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Evaluation course\RCT\"/>
    </mc:Choice>
  </mc:AlternateContent>
  <xr:revisionPtr revIDLastSave="0" documentId="13_ncr:1_{6D30FF4E-E759-4935-BB72-94DEB73018FC}" xr6:coauthVersionLast="47" xr6:coauthVersionMax="47" xr10:uidLastSave="{00000000-0000-0000-0000-000000000000}"/>
  <bookViews>
    <workbookView xWindow="-108" yWindow="-108" windowWidth="23256" windowHeight="12456" firstSheet="12" activeTab="13" xr2:uid="{00000000-000D-0000-FFFF-FFFF00000000}"/>
  </bookViews>
  <sheets>
    <sheet name="HISP" sheetId="1" r:id="rId1"/>
    <sheet name="KRWSIP_Program_Baseline Data" sheetId="2" r:id="rId2"/>
    <sheet name="Baseline_Characteristics_t-test" sheetId="3" r:id="rId3"/>
    <sheet name="Baseline_RCT" sheetId="11" r:id="rId4"/>
    <sheet name="Endline_Data_charecteristics" sheetId="8" r:id="rId5"/>
    <sheet name="KRWSIP_Program_Endline_Data" sheetId="6" r:id="rId6"/>
    <sheet name="Endline_RCT" sheetId="12" r:id="rId7"/>
    <sheet name="Graphs " sheetId="10" r:id="rId8"/>
    <sheet name="OLS_Regression Analysis" sheetId="9" r:id="rId9"/>
    <sheet name="Baseline2P" sheetId="13" r:id="rId10"/>
    <sheet name="F_Baseline_data" sheetId="14" r:id="rId11"/>
    <sheet name="Endline2P" sheetId="15" r:id="rId12"/>
    <sheet name="F_Endline_Data" sheetId="16" r:id="rId13"/>
    <sheet name="F_Endline_Data(full)" sheetId="17" r:id="rId14"/>
  </sheets>
  <definedNames>
    <definedName name="_xlnm.Print_Area" localSheetId="4">Endline_Data_charecteristics!$A$1:$I$18</definedName>
    <definedName name="_xlnm.Print_Area" localSheetId="8">'OLS_Regression Analysis'!$A$1:$J$19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" i="17" l="1"/>
  <c r="Q4" i="17"/>
  <c r="Q5" i="17"/>
  <c r="Q6" i="17"/>
  <c r="Q7" i="17"/>
  <c r="Q8" i="17"/>
  <c r="Q9" i="17"/>
  <c r="Q10" i="17"/>
  <c r="Q11" i="17"/>
  <c r="Q12" i="17"/>
  <c r="Q13" i="17"/>
  <c r="Q14" i="17"/>
  <c r="Q15" i="17"/>
  <c r="Q16" i="17"/>
  <c r="Q17" i="17"/>
  <c r="Q18" i="17"/>
  <c r="Q19" i="17"/>
  <c r="Q20" i="17"/>
  <c r="Q21" i="17"/>
  <c r="Q22" i="17"/>
  <c r="Q23" i="17"/>
  <c r="Q24" i="17"/>
  <c r="Q25" i="17"/>
  <c r="Q26" i="17"/>
  <c r="Q27" i="17"/>
  <c r="Q28" i="17"/>
  <c r="Q29" i="17"/>
  <c r="Q30" i="17"/>
  <c r="Q31" i="17"/>
  <c r="Q32" i="17"/>
  <c r="Q33" i="17"/>
  <c r="Q34" i="17"/>
  <c r="Q35" i="17"/>
  <c r="Q36" i="17"/>
  <c r="Q37" i="17"/>
  <c r="Q38" i="17"/>
  <c r="Q39" i="17"/>
  <c r="Q40" i="17"/>
  <c r="Q41" i="17"/>
  <c r="Q42" i="17"/>
  <c r="Q43" i="17"/>
  <c r="Q44" i="17"/>
  <c r="Q45" i="17"/>
  <c r="Q46" i="17"/>
  <c r="Q47" i="17"/>
  <c r="Q48" i="17"/>
  <c r="Q49" i="17"/>
  <c r="Q50" i="17"/>
  <c r="Q51" i="17"/>
  <c r="Q52" i="17"/>
  <c r="Q53" i="17"/>
  <c r="Q54" i="17"/>
  <c r="Q55" i="17"/>
  <c r="Q56" i="17"/>
  <c r="Q57" i="17"/>
  <c r="Q58" i="17"/>
  <c r="Q59" i="17"/>
  <c r="Q60" i="17"/>
  <c r="Q61" i="17"/>
  <c r="Q62" i="17"/>
  <c r="Q63" i="17"/>
  <c r="Q64" i="17"/>
  <c r="Q65" i="17"/>
  <c r="Q66" i="17"/>
  <c r="Q67" i="17"/>
  <c r="Q68" i="17"/>
  <c r="Q69" i="17"/>
  <c r="Q70" i="17"/>
  <c r="Q71" i="17"/>
  <c r="Q72" i="17"/>
  <c r="Q73" i="17"/>
  <c r="Q74" i="17"/>
  <c r="Q75" i="17"/>
  <c r="Q76" i="17"/>
  <c r="Q77" i="17"/>
  <c r="Q78" i="17"/>
  <c r="Q79" i="17"/>
  <c r="Q80" i="17"/>
  <c r="Q81" i="17"/>
  <c r="Q82" i="17"/>
  <c r="Q83" i="17"/>
  <c r="Q84" i="17"/>
  <c r="Q85" i="17"/>
  <c r="Q86" i="17"/>
  <c r="Q87" i="17"/>
  <c r="Q88" i="17"/>
  <c r="Q89" i="17"/>
  <c r="Q90" i="17"/>
  <c r="Q91" i="17"/>
  <c r="Q92" i="17"/>
  <c r="Q93" i="17"/>
  <c r="Q94" i="17"/>
  <c r="Q95" i="17"/>
  <c r="Q96" i="17"/>
  <c r="Q97" i="17"/>
  <c r="Q98" i="17"/>
  <c r="Q99" i="17"/>
  <c r="Q100" i="17"/>
  <c r="Q101" i="17"/>
  <c r="Q102" i="17"/>
  <c r="Q103" i="17"/>
  <c r="Q104" i="17"/>
  <c r="Q105" i="17"/>
  <c r="Q106" i="17"/>
  <c r="Q107" i="17"/>
  <c r="Q108" i="17"/>
  <c r="Q109" i="17"/>
  <c r="Q110" i="17"/>
  <c r="Q111" i="17"/>
  <c r="Q112" i="17"/>
  <c r="Q113" i="17"/>
  <c r="Q114" i="17"/>
  <c r="Q115" i="17"/>
  <c r="Q116" i="17"/>
  <c r="Q117" i="17"/>
  <c r="Q118" i="17"/>
  <c r="Q119" i="17"/>
  <c r="Q120" i="17"/>
  <c r="Q121" i="17"/>
  <c r="Q122" i="17"/>
  <c r="Q123" i="17"/>
  <c r="Q124" i="17"/>
  <c r="Q125" i="17"/>
  <c r="Q126" i="17"/>
  <c r="Q127" i="17"/>
  <c r="Q128" i="17"/>
  <c r="Q129" i="17"/>
  <c r="Q130" i="17"/>
  <c r="Q131" i="17"/>
  <c r="Q132" i="17"/>
  <c r="Q133" i="17"/>
  <c r="Q134" i="17"/>
  <c r="Q135" i="17"/>
  <c r="Q136" i="17"/>
  <c r="Q137" i="17"/>
  <c r="Q138" i="17"/>
  <c r="Q139" i="17"/>
  <c r="Q140" i="17"/>
  <c r="Q141" i="17"/>
  <c r="Q142" i="17"/>
  <c r="Q143" i="17"/>
  <c r="Q144" i="17"/>
  <c r="Q145" i="17"/>
  <c r="Q146" i="17"/>
  <c r="Q147" i="17"/>
  <c r="Q148" i="17"/>
  <c r="Q149" i="17"/>
  <c r="Q150" i="17"/>
  <c r="Q151" i="17"/>
  <c r="Q152" i="17"/>
  <c r="Q153" i="17"/>
  <c r="Q154" i="17"/>
  <c r="Q155" i="17"/>
  <c r="Q156" i="17"/>
  <c r="Q157" i="17"/>
  <c r="Q158" i="17"/>
  <c r="Q159" i="17"/>
  <c r="Q160" i="17"/>
  <c r="Q161" i="17"/>
  <c r="Q162" i="17"/>
  <c r="Q163" i="17"/>
  <c r="Q164" i="17"/>
  <c r="Q165" i="17"/>
  <c r="Q166" i="17"/>
  <c r="Q167" i="17"/>
  <c r="Q168" i="17"/>
  <c r="Q169" i="17"/>
  <c r="Q170" i="17"/>
  <c r="Q171" i="17"/>
  <c r="Q172" i="17"/>
  <c r="Q173" i="17"/>
  <c r="Q174" i="17"/>
  <c r="Q175" i="17"/>
  <c r="Q176" i="17"/>
  <c r="Q177" i="17"/>
  <c r="Q178" i="17"/>
  <c r="Q179" i="17"/>
  <c r="Q180" i="17"/>
  <c r="Q181" i="17"/>
  <c r="Q182" i="17"/>
  <c r="Q183" i="17"/>
  <c r="Q184" i="17"/>
  <c r="Q185" i="17"/>
  <c r="Q186" i="17"/>
  <c r="Q187" i="17"/>
  <c r="Q188" i="17"/>
  <c r="Q189" i="17"/>
  <c r="Q190" i="17"/>
  <c r="Q191" i="17"/>
  <c r="Q192" i="17"/>
  <c r="Q193" i="17"/>
  <c r="Q194" i="17"/>
  <c r="Q195" i="17"/>
  <c r="Q196" i="17"/>
  <c r="Q197" i="17"/>
  <c r="Q198" i="17"/>
  <c r="Q199" i="17"/>
  <c r="Q200" i="17"/>
  <c r="Q201" i="17"/>
  <c r="Q202" i="17"/>
  <c r="Q203" i="17"/>
  <c r="Q204" i="17"/>
  <c r="Q205" i="17"/>
  <c r="Q206" i="17"/>
  <c r="Q207" i="17"/>
  <c r="Q208" i="17"/>
  <c r="Q209" i="17"/>
  <c r="Q210" i="17"/>
  <c r="Q211" i="17"/>
  <c r="Q212" i="17"/>
  <c r="Q213" i="17"/>
  <c r="Q214" i="17"/>
  <c r="Q215" i="17"/>
  <c r="Q216" i="17"/>
  <c r="Q217" i="17"/>
  <c r="Q218" i="17"/>
  <c r="Q219" i="17"/>
  <c r="Q220" i="17"/>
  <c r="Q221" i="17"/>
  <c r="Q222" i="17"/>
  <c r="Q223" i="17"/>
  <c r="Q224" i="17"/>
  <c r="Q225" i="17"/>
  <c r="Q226" i="17"/>
  <c r="Q227" i="17"/>
  <c r="Q228" i="17"/>
  <c r="Q229" i="17"/>
  <c r="Q230" i="17"/>
  <c r="Q231" i="17"/>
  <c r="Q232" i="17"/>
  <c r="Q233" i="17"/>
  <c r="Q234" i="17"/>
  <c r="Q235" i="17"/>
  <c r="Q236" i="17"/>
  <c r="Q237" i="17"/>
  <c r="Q238" i="17"/>
  <c r="Q239" i="17"/>
  <c r="Q240" i="17"/>
  <c r="Q241" i="17"/>
  <c r="Q242" i="17"/>
  <c r="Q243" i="17"/>
  <c r="Q244" i="17"/>
  <c r="Q245" i="17"/>
  <c r="Q246" i="17"/>
  <c r="Q247" i="17"/>
  <c r="Q248" i="17"/>
  <c r="Q249" i="17"/>
  <c r="Q250" i="17"/>
  <c r="Q251" i="17"/>
  <c r="Q252" i="17"/>
  <c r="Q253" i="17"/>
  <c r="Q254" i="17"/>
  <c r="Q255" i="17"/>
  <c r="Q256" i="17"/>
  <c r="Q257" i="17"/>
  <c r="Q258" i="17"/>
  <c r="Q259" i="17"/>
  <c r="Q260" i="17"/>
  <c r="Q261" i="17"/>
  <c r="Q262" i="17"/>
  <c r="Q263" i="17"/>
  <c r="Q264" i="17"/>
  <c r="Q265" i="17"/>
  <c r="Q266" i="17"/>
  <c r="Q267" i="17"/>
  <c r="Q268" i="17"/>
  <c r="Q269" i="17"/>
  <c r="Q270" i="17"/>
  <c r="Q271" i="17"/>
  <c r="Q272" i="17"/>
  <c r="Q273" i="17"/>
  <c r="Q274" i="17"/>
  <c r="Q275" i="17"/>
  <c r="Q276" i="17"/>
  <c r="Q277" i="17"/>
  <c r="Q278" i="17"/>
  <c r="Q279" i="17"/>
  <c r="Q280" i="17"/>
  <c r="Q281" i="17"/>
  <c r="Q282" i="17"/>
  <c r="Q283" i="17"/>
  <c r="Q284" i="17"/>
  <c r="Q285" i="17"/>
  <c r="Q286" i="17"/>
  <c r="Q287" i="17"/>
  <c r="Q288" i="17"/>
  <c r="Q289" i="17"/>
  <c r="Q290" i="17"/>
  <c r="Q291" i="17"/>
  <c r="Q292" i="17"/>
  <c r="Q293" i="17"/>
  <c r="Q294" i="17"/>
  <c r="Q295" i="17"/>
  <c r="Q296" i="17"/>
  <c r="Q297" i="17"/>
  <c r="Q298" i="17"/>
  <c r="Q299" i="17"/>
  <c r="Q300" i="17"/>
  <c r="Q301" i="17"/>
  <c r="Q302" i="17"/>
  <c r="Q303" i="17"/>
  <c r="Q304" i="17"/>
  <c r="Q305" i="17"/>
  <c r="Q306" i="17"/>
  <c r="Q307" i="17"/>
  <c r="Q308" i="17"/>
  <c r="Q309" i="17"/>
  <c r="Q310" i="17"/>
  <c r="Q311" i="17"/>
  <c r="Q312" i="17"/>
  <c r="Q313" i="17"/>
  <c r="Q314" i="17"/>
  <c r="Q315" i="17"/>
  <c r="Q316" i="17"/>
  <c r="Q317" i="17"/>
  <c r="Q318" i="17"/>
  <c r="Q319" i="17"/>
  <c r="Q320" i="17"/>
  <c r="Q321" i="17"/>
  <c r="Q322" i="17"/>
  <c r="Q323" i="17"/>
  <c r="Q324" i="17"/>
  <c r="Q325" i="17"/>
  <c r="Q326" i="17"/>
  <c r="Q327" i="17"/>
  <c r="Q328" i="17"/>
  <c r="Q329" i="17"/>
  <c r="Q330" i="17"/>
  <c r="Q331" i="17"/>
  <c r="Q332" i="17"/>
  <c r="Q333" i="17"/>
  <c r="Q334" i="17"/>
  <c r="Q335" i="17"/>
  <c r="Q336" i="17"/>
  <c r="Q337" i="17"/>
  <c r="Q338" i="17"/>
  <c r="Q339" i="17"/>
  <c r="Q340" i="17"/>
  <c r="Q341" i="17"/>
  <c r="Q342" i="17"/>
  <c r="Q343" i="17"/>
  <c r="Q344" i="17"/>
  <c r="Q345" i="17"/>
  <c r="Q346" i="17"/>
  <c r="Q347" i="17"/>
  <c r="Q348" i="17"/>
  <c r="Q349" i="17"/>
  <c r="Q350" i="17"/>
  <c r="Q351" i="17"/>
  <c r="Q352" i="17"/>
  <c r="Q353" i="17"/>
  <c r="Q354" i="17"/>
  <c r="Q355" i="17"/>
  <c r="Q356" i="17"/>
  <c r="Q357" i="17"/>
  <c r="Q358" i="17"/>
  <c r="Q359" i="17"/>
  <c r="Q360" i="17"/>
  <c r="Q361" i="17"/>
  <c r="Q362" i="17"/>
  <c r="Q363" i="17"/>
  <c r="Q364" i="17"/>
  <c r="Q365" i="17"/>
  <c r="Q366" i="17"/>
  <c r="Q367" i="17"/>
  <c r="Q368" i="17"/>
  <c r="Q369" i="17"/>
  <c r="Q370" i="17"/>
  <c r="Q371" i="17"/>
  <c r="Q372" i="17"/>
  <c r="Q373" i="17"/>
  <c r="Q374" i="17"/>
  <c r="Q375" i="17"/>
  <c r="Q376" i="17"/>
  <c r="Q377" i="17"/>
  <c r="Q378" i="17"/>
  <c r="Q379" i="17"/>
  <c r="Q380" i="17"/>
  <c r="Q381" i="17"/>
  <c r="Q382" i="17"/>
  <c r="Q383" i="17"/>
  <c r="Q384" i="17"/>
  <c r="Q385" i="17"/>
  <c r="Q386" i="17"/>
  <c r="Q387" i="17"/>
  <c r="Q388" i="17"/>
  <c r="Q389" i="17"/>
  <c r="Q390" i="17"/>
  <c r="Q391" i="17"/>
  <c r="Q392" i="17"/>
  <c r="Q393" i="17"/>
  <c r="Q394" i="17"/>
  <c r="Q395" i="17"/>
  <c r="Q396" i="17"/>
  <c r="Q397" i="17"/>
  <c r="Q398" i="17"/>
  <c r="Q399" i="17"/>
  <c r="Q400" i="17"/>
  <c r="Q401" i="17"/>
  <c r="Q402" i="17"/>
  <c r="Q403" i="17"/>
  <c r="Q404" i="17"/>
  <c r="Q405" i="17"/>
  <c r="Q406" i="17"/>
  <c r="Q407" i="17"/>
  <c r="Q408" i="17"/>
  <c r="Q409" i="17"/>
  <c r="Q410" i="17"/>
  <c r="Q411" i="17"/>
  <c r="Q412" i="17"/>
  <c r="Q413" i="17"/>
  <c r="Q414" i="17"/>
  <c r="Q415" i="17"/>
  <c r="Q416" i="17"/>
  <c r="Q417" i="17"/>
  <c r="Q418" i="17"/>
  <c r="Q419" i="17"/>
  <c r="Q420" i="17"/>
  <c r="Q421" i="17"/>
  <c r="Q422" i="17"/>
  <c r="Q423" i="17"/>
  <c r="Q424" i="17"/>
  <c r="Q425" i="17"/>
  <c r="Q426" i="17"/>
  <c r="Q427" i="17"/>
  <c r="Q428" i="17"/>
  <c r="Q429" i="17"/>
  <c r="Q430" i="17"/>
  <c r="Q431" i="17"/>
  <c r="Q432" i="17"/>
  <c r="Q433" i="17"/>
  <c r="Q434" i="17"/>
  <c r="Q435" i="17"/>
  <c r="Q436" i="17"/>
  <c r="Q437" i="17"/>
  <c r="Q438" i="17"/>
  <c r="Q439" i="17"/>
  <c r="Q440" i="17"/>
  <c r="Q441" i="17"/>
  <c r="Q442" i="17"/>
  <c r="Q443" i="17"/>
  <c r="Q444" i="17"/>
  <c r="Q445" i="17"/>
  <c r="Q446" i="17"/>
  <c r="Q447" i="17"/>
  <c r="Q448" i="17"/>
  <c r="Q449" i="17"/>
  <c r="Q450" i="17"/>
  <c r="Q451" i="17"/>
  <c r="Q452" i="17"/>
  <c r="Q453" i="17"/>
  <c r="Q454" i="17"/>
  <c r="Q455" i="17"/>
  <c r="Q456" i="17"/>
  <c r="Q457" i="17"/>
  <c r="Q458" i="17"/>
  <c r="Q459" i="17"/>
  <c r="Q460" i="17"/>
  <c r="Q461" i="17"/>
  <c r="Q462" i="17"/>
  <c r="Q463" i="17"/>
  <c r="Q464" i="17"/>
  <c r="Q465" i="17"/>
  <c r="Q466" i="17"/>
  <c r="Q467" i="17"/>
  <c r="Q468" i="17"/>
  <c r="Q469" i="17"/>
  <c r="Q470" i="17"/>
  <c r="Q471" i="17"/>
  <c r="Q472" i="17"/>
  <c r="Q473" i="17"/>
  <c r="Q474" i="17"/>
  <c r="Q475" i="17"/>
  <c r="Q476" i="17"/>
  <c r="Q477" i="17"/>
  <c r="Q478" i="17"/>
  <c r="Q479" i="17"/>
  <c r="Q480" i="17"/>
  <c r="Q481" i="17"/>
  <c r="Q482" i="17"/>
  <c r="Q483" i="17"/>
  <c r="Q484" i="17"/>
  <c r="Q485" i="17"/>
  <c r="Q486" i="17"/>
  <c r="Q487" i="17"/>
  <c r="Q488" i="17"/>
  <c r="Q489" i="17"/>
  <c r="Q490" i="17"/>
  <c r="Q491" i="17"/>
  <c r="Q492" i="17"/>
  <c r="Q493" i="17"/>
  <c r="Q494" i="17"/>
  <c r="Q495" i="17"/>
  <c r="Q496" i="17"/>
  <c r="Q497" i="17"/>
  <c r="Q498" i="17"/>
  <c r="Q499" i="17"/>
  <c r="Q500" i="17"/>
  <c r="Q501" i="17"/>
  <c r="Q502" i="17"/>
  <c r="Q503" i="17"/>
  <c r="Q504" i="17"/>
  <c r="Q505" i="17"/>
  <c r="Q506" i="17"/>
  <c r="Q507" i="17"/>
  <c r="Q508" i="17"/>
  <c r="Q509" i="17"/>
  <c r="Q510" i="17"/>
  <c r="Q511" i="17"/>
  <c r="Q512" i="17"/>
  <c r="Q513" i="17"/>
  <c r="Q514" i="17"/>
  <c r="Q515" i="17"/>
  <c r="Q516" i="17"/>
  <c r="Q517" i="17"/>
  <c r="Q518" i="17"/>
  <c r="Q519" i="17"/>
  <c r="Q520" i="17"/>
  <c r="Q521" i="17"/>
  <c r="Q522" i="17"/>
  <c r="Q523" i="17"/>
  <c r="Q524" i="17"/>
  <c r="Q525" i="17"/>
  <c r="Q526" i="17"/>
  <c r="Q527" i="17"/>
  <c r="Q528" i="17"/>
  <c r="Q529" i="17"/>
  <c r="Q530" i="17"/>
  <c r="Q531" i="17"/>
  <c r="Q532" i="17"/>
  <c r="Q533" i="17"/>
  <c r="Q534" i="17"/>
  <c r="Q535" i="17"/>
  <c r="Q536" i="17"/>
  <c r="Q537" i="17"/>
  <c r="Q538" i="17"/>
  <c r="Q539" i="17"/>
  <c r="Q540" i="17"/>
  <c r="Q541" i="17"/>
  <c r="Q542" i="17"/>
  <c r="Q543" i="17"/>
  <c r="Q544" i="17"/>
  <c r="Q545" i="17"/>
  <c r="Q546" i="17"/>
  <c r="Q547" i="17"/>
  <c r="Q548" i="17"/>
  <c r="Q549" i="17"/>
  <c r="Q550" i="17"/>
  <c r="Q551" i="17"/>
  <c r="Q552" i="17"/>
  <c r="Q553" i="17"/>
  <c r="Q554" i="17"/>
  <c r="Q555" i="17"/>
  <c r="Q556" i="17"/>
  <c r="Q557" i="17"/>
  <c r="Q558" i="17"/>
  <c r="Q559" i="17"/>
  <c r="Q560" i="17"/>
  <c r="Q561" i="17"/>
  <c r="Q562" i="17"/>
  <c r="Q563" i="17"/>
  <c r="Q564" i="17"/>
  <c r="Q565" i="17"/>
  <c r="Q566" i="17"/>
  <c r="Q567" i="17"/>
  <c r="Q568" i="17"/>
  <c r="Q569" i="17"/>
  <c r="Q570" i="17"/>
  <c r="Q571" i="17"/>
  <c r="Q572" i="17"/>
  <c r="Q573" i="17"/>
  <c r="Q574" i="17"/>
  <c r="Q575" i="17"/>
  <c r="Q576" i="17"/>
  <c r="Q577" i="17"/>
  <c r="Q578" i="17"/>
  <c r="Q579" i="17"/>
  <c r="Q580" i="17"/>
  <c r="Q581" i="17"/>
  <c r="Q582" i="17"/>
  <c r="Q583" i="17"/>
  <c r="Q584" i="17"/>
  <c r="Q585" i="17"/>
  <c r="Q586" i="17"/>
  <c r="Q587" i="17"/>
  <c r="Q588" i="17"/>
  <c r="Q589" i="17"/>
  <c r="Q590" i="17"/>
  <c r="Q591" i="17"/>
  <c r="Q592" i="17"/>
  <c r="Q593" i="17"/>
  <c r="Q594" i="17"/>
  <c r="Q595" i="17"/>
  <c r="Q596" i="17"/>
  <c r="Q597" i="17"/>
  <c r="Q598" i="17"/>
  <c r="Q599" i="17"/>
  <c r="Q600" i="17"/>
  <c r="Q601" i="17"/>
  <c r="Q602" i="17"/>
  <c r="Q603" i="17"/>
  <c r="Q604" i="17"/>
  <c r="Q605" i="17"/>
  <c r="Q606" i="17"/>
  <c r="Q607" i="17"/>
  <c r="Q608" i="17"/>
  <c r="Q609" i="17"/>
  <c r="Q610" i="17"/>
  <c r="Q611" i="17"/>
  <c r="Q612" i="17"/>
  <c r="Q613" i="17"/>
  <c r="Q614" i="17"/>
  <c r="Q615" i="17"/>
  <c r="Q616" i="17"/>
  <c r="Q617" i="17"/>
  <c r="Q618" i="17"/>
  <c r="Q619" i="17"/>
  <c r="Q620" i="17"/>
  <c r="Q621" i="17"/>
  <c r="Q622" i="17"/>
  <c r="Q623" i="17"/>
  <c r="Q624" i="17"/>
  <c r="Q625" i="17"/>
  <c r="Q626" i="17"/>
  <c r="Q627" i="17"/>
  <c r="Q628" i="17"/>
  <c r="Q629" i="17"/>
  <c r="Q630" i="17"/>
  <c r="Q631" i="17"/>
  <c r="Q632" i="17"/>
  <c r="Q633" i="17"/>
  <c r="Q634" i="17"/>
  <c r="Q635" i="17"/>
  <c r="Q636" i="17"/>
  <c r="Q637" i="17"/>
  <c r="Q638" i="17"/>
  <c r="Q639" i="17"/>
  <c r="Q640" i="17"/>
  <c r="Q641" i="17"/>
  <c r="Q642" i="17"/>
  <c r="Q643" i="17"/>
  <c r="Q644" i="17"/>
  <c r="Q645" i="17"/>
  <c r="Q646" i="17"/>
  <c r="Q647" i="17"/>
  <c r="Q648" i="17"/>
  <c r="Q649" i="17"/>
  <c r="Q650" i="17"/>
  <c r="Q651" i="17"/>
  <c r="Q652" i="17"/>
  <c r="Q653" i="17"/>
  <c r="Q654" i="17"/>
  <c r="Q655" i="17"/>
  <c r="Q656" i="17"/>
  <c r="Q657" i="17"/>
  <c r="Q658" i="17"/>
  <c r="Q659" i="17"/>
  <c r="Q660" i="17"/>
  <c r="Q661" i="17"/>
  <c r="Q662" i="17"/>
  <c r="Q663" i="17"/>
  <c r="Q664" i="17"/>
  <c r="Q665" i="17"/>
  <c r="Q666" i="17"/>
  <c r="Q667" i="17"/>
  <c r="Q668" i="17"/>
  <c r="Q669" i="17"/>
  <c r="Q670" i="17"/>
  <c r="Q671" i="17"/>
  <c r="Q672" i="17"/>
  <c r="Q673" i="17"/>
  <c r="Q674" i="17"/>
  <c r="Q675" i="17"/>
  <c r="Q676" i="17"/>
  <c r="Q677" i="17"/>
  <c r="Q678" i="17"/>
  <c r="Q679" i="17"/>
  <c r="Q680" i="17"/>
  <c r="Q681" i="17"/>
  <c r="Q682" i="17"/>
  <c r="Q683" i="17"/>
  <c r="Q684" i="17"/>
  <c r="Q685" i="17"/>
  <c r="Q686" i="17"/>
  <c r="Q687" i="17"/>
  <c r="Q688" i="17"/>
  <c r="Q689" i="17"/>
  <c r="Q690" i="17"/>
  <c r="Q691" i="17"/>
  <c r="Q692" i="17"/>
  <c r="Q693" i="17"/>
  <c r="Q694" i="17"/>
  <c r="Q695" i="17"/>
  <c r="Q696" i="17"/>
  <c r="Q697" i="17"/>
  <c r="Q698" i="17"/>
  <c r="Q699" i="17"/>
  <c r="Q700" i="17"/>
  <c r="Q701" i="17"/>
  <c r="Q702" i="17"/>
  <c r="Q703" i="17"/>
  <c r="Q704" i="17"/>
  <c r="Q705" i="17"/>
  <c r="Q706" i="17"/>
  <c r="Q707" i="17"/>
  <c r="Q708" i="17"/>
  <c r="Q709" i="17"/>
  <c r="Q710" i="17"/>
  <c r="Q711" i="17"/>
  <c r="Q712" i="17"/>
  <c r="Q713" i="17"/>
  <c r="Q714" i="17"/>
  <c r="Q715" i="17"/>
  <c r="Q716" i="17"/>
  <c r="Q717" i="17"/>
  <c r="Q718" i="17"/>
  <c r="Q719" i="17"/>
  <c r="Q720" i="17"/>
  <c r="Q721" i="17"/>
  <c r="Q722" i="17"/>
  <c r="Q723" i="17"/>
  <c r="Q724" i="17"/>
  <c r="Q725" i="17"/>
  <c r="Q726" i="17"/>
  <c r="Q727" i="17"/>
  <c r="Q728" i="17"/>
  <c r="Q729" i="17"/>
  <c r="Q730" i="17"/>
  <c r="Q731" i="17"/>
  <c r="Q732" i="17"/>
  <c r="Q733" i="17"/>
  <c r="Q734" i="17"/>
  <c r="Q735" i="17"/>
  <c r="Q736" i="17"/>
  <c r="Q737" i="17"/>
  <c r="Q738" i="17"/>
  <c r="Q739" i="17"/>
  <c r="Q740" i="17"/>
  <c r="Q741" i="17"/>
  <c r="Q742" i="17"/>
  <c r="Q743" i="17"/>
  <c r="Q744" i="17"/>
  <c r="Q745" i="17"/>
  <c r="Q746" i="17"/>
  <c r="Q747" i="17"/>
  <c r="Q748" i="17"/>
  <c r="Q749" i="17"/>
  <c r="Q750" i="17"/>
  <c r="Q751" i="17"/>
  <c r="Q752" i="17"/>
  <c r="Q753" i="17"/>
  <c r="Q754" i="17"/>
  <c r="Q755" i="17"/>
  <c r="Q756" i="17"/>
  <c r="Q757" i="17"/>
  <c r="Q758" i="17"/>
  <c r="Q759" i="17"/>
  <c r="Q760" i="17"/>
  <c r="Q761" i="17"/>
  <c r="Q762" i="17"/>
  <c r="Q763" i="17"/>
  <c r="Q764" i="17"/>
  <c r="Q765" i="17"/>
  <c r="Q766" i="17"/>
  <c r="Q767" i="17"/>
  <c r="Q768" i="17"/>
  <c r="Q769" i="17"/>
  <c r="Q770" i="17"/>
  <c r="Q771" i="17"/>
  <c r="Q772" i="17"/>
  <c r="Q773" i="17"/>
  <c r="Q774" i="17"/>
  <c r="Q775" i="17"/>
  <c r="Q776" i="17"/>
  <c r="Q777" i="17"/>
  <c r="Q778" i="17"/>
  <c r="Q779" i="17"/>
  <c r="Q780" i="17"/>
  <c r="Q781" i="17"/>
  <c r="Q782" i="17"/>
  <c r="Q783" i="17"/>
  <c r="Q784" i="17"/>
  <c r="Q785" i="17"/>
  <c r="Q786" i="17"/>
  <c r="Q787" i="17"/>
  <c r="Q788" i="17"/>
  <c r="Q789" i="17"/>
  <c r="Q790" i="17"/>
  <c r="Q791" i="17"/>
  <c r="Q792" i="17"/>
  <c r="Q793" i="17"/>
  <c r="Q794" i="17"/>
  <c r="Q795" i="17"/>
  <c r="Q796" i="17"/>
  <c r="Q797" i="17"/>
  <c r="Q798" i="17"/>
  <c r="Q799" i="17"/>
  <c r="Q800" i="17"/>
  <c r="Q801" i="17"/>
  <c r="Q802" i="17"/>
  <c r="Q803" i="17"/>
  <c r="Q804" i="17"/>
  <c r="Q805" i="17"/>
  <c r="Q806" i="17"/>
  <c r="Q807" i="17"/>
  <c r="Q808" i="17"/>
  <c r="Q809" i="17"/>
  <c r="Q810" i="17"/>
  <c r="Q811" i="17"/>
  <c r="Q812" i="17"/>
  <c r="Q813" i="17"/>
  <c r="Q814" i="17"/>
  <c r="Q815" i="17"/>
  <c r="Q816" i="17"/>
  <c r="Q817" i="17"/>
  <c r="Q818" i="17"/>
  <c r="Q819" i="17"/>
  <c r="Q820" i="17"/>
  <c r="Q821" i="17"/>
  <c r="Q822" i="17"/>
  <c r="Q823" i="17"/>
  <c r="Q824" i="17"/>
  <c r="Q825" i="17"/>
  <c r="Q826" i="17"/>
  <c r="Q827" i="17"/>
  <c r="Q828" i="17"/>
  <c r="Q829" i="17"/>
  <c r="Q830" i="17"/>
  <c r="Q831" i="17"/>
  <c r="Q832" i="17"/>
  <c r="Q833" i="17"/>
  <c r="Q834" i="17"/>
  <c r="Q835" i="17"/>
  <c r="Q836" i="17"/>
  <c r="Q837" i="17"/>
  <c r="Q838" i="17"/>
  <c r="Q839" i="17"/>
  <c r="Q840" i="17"/>
  <c r="Q841" i="17"/>
  <c r="Q842" i="17"/>
  <c r="Q843" i="17"/>
  <c r="Q844" i="17"/>
  <c r="Q845" i="17"/>
  <c r="Q846" i="17"/>
  <c r="Q847" i="17"/>
  <c r="Q848" i="17"/>
  <c r="Q849" i="17"/>
  <c r="Q850" i="17"/>
  <c r="Q851" i="17"/>
  <c r="Q852" i="17"/>
  <c r="Q853" i="17"/>
  <c r="Q854" i="17"/>
  <c r="Q855" i="17"/>
  <c r="Q856" i="17"/>
  <c r="Q857" i="17"/>
  <c r="Q858" i="17"/>
  <c r="Q859" i="17"/>
  <c r="Q860" i="17"/>
  <c r="Q861" i="17"/>
  <c r="Q862" i="17"/>
  <c r="Q863" i="17"/>
  <c r="Q864" i="17"/>
  <c r="Q865" i="17"/>
  <c r="Q866" i="17"/>
  <c r="Q867" i="17"/>
  <c r="Q868" i="17"/>
  <c r="Q869" i="17"/>
  <c r="Q870" i="17"/>
  <c r="Q871" i="17"/>
  <c r="Q872" i="17"/>
  <c r="Q873" i="17"/>
  <c r="Q874" i="17"/>
  <c r="Q875" i="17"/>
  <c r="Q876" i="17"/>
  <c r="Q877" i="17"/>
  <c r="Q878" i="17"/>
  <c r="Q879" i="17"/>
  <c r="Q880" i="17"/>
  <c r="Q881" i="17"/>
  <c r="Q882" i="17"/>
  <c r="Q883" i="17"/>
  <c r="Q884" i="17"/>
  <c r="Q885" i="17"/>
  <c r="Q886" i="17"/>
  <c r="Q887" i="17"/>
  <c r="Q888" i="17"/>
  <c r="Q889" i="17"/>
  <c r="Q890" i="17"/>
  <c r="Q891" i="17"/>
  <c r="Q892" i="17"/>
  <c r="Q893" i="17"/>
  <c r="Q894" i="17"/>
  <c r="Q895" i="17"/>
  <c r="Q896" i="17"/>
  <c r="Q897" i="17"/>
  <c r="Q898" i="17"/>
  <c r="Q899" i="17"/>
  <c r="Q900" i="17"/>
  <c r="Q901" i="17"/>
  <c r="Q902" i="17"/>
  <c r="Q903" i="17"/>
  <c r="Q904" i="17"/>
  <c r="Q905" i="17"/>
  <c r="Q906" i="17"/>
  <c r="Q907" i="17"/>
  <c r="Q908" i="17"/>
  <c r="Q909" i="17"/>
  <c r="Q910" i="17"/>
  <c r="Q911" i="17"/>
  <c r="Q912" i="17"/>
  <c r="Q913" i="17"/>
  <c r="Q914" i="17"/>
  <c r="Q915" i="17"/>
  <c r="Q916" i="17"/>
  <c r="Q917" i="17"/>
  <c r="Q918" i="17"/>
  <c r="Q919" i="17"/>
  <c r="Q920" i="17"/>
  <c r="Q921" i="17"/>
  <c r="Q922" i="17"/>
  <c r="Q923" i="17"/>
  <c r="Q924" i="17"/>
  <c r="Q925" i="17"/>
  <c r="Q926" i="17"/>
  <c r="Q927" i="17"/>
  <c r="Q928" i="17"/>
  <c r="Q929" i="17"/>
  <c r="Q930" i="17"/>
  <c r="Q931" i="17"/>
  <c r="Q932" i="17"/>
  <c r="Q933" i="17"/>
  <c r="Q934" i="17"/>
  <c r="Q935" i="17"/>
  <c r="Q936" i="17"/>
  <c r="Q937" i="17"/>
  <c r="Q938" i="17"/>
  <c r="Q939" i="17"/>
  <c r="Q940" i="17"/>
  <c r="Q941" i="17"/>
  <c r="Q942" i="17"/>
  <c r="Q943" i="17"/>
  <c r="Q944" i="17"/>
  <c r="Q945" i="17"/>
  <c r="Q946" i="17"/>
  <c r="Q947" i="17"/>
  <c r="Q948" i="17"/>
  <c r="Q949" i="17"/>
  <c r="Q950" i="17"/>
  <c r="Q951" i="17"/>
  <c r="Q952" i="17"/>
  <c r="Q953" i="17"/>
  <c r="Q954" i="17"/>
  <c r="Q955" i="17"/>
  <c r="Q956" i="17"/>
  <c r="Q957" i="17"/>
  <c r="Q958" i="17"/>
  <c r="Q959" i="17"/>
  <c r="Q960" i="17"/>
  <c r="Q961" i="17"/>
  <c r="Q962" i="17"/>
  <c r="Q963" i="17"/>
  <c r="Q964" i="17"/>
  <c r="Q965" i="17"/>
  <c r="Q966" i="17"/>
  <c r="Q967" i="17"/>
  <c r="Q968" i="17"/>
  <c r="Q969" i="17"/>
  <c r="Q970" i="17"/>
  <c r="Q971" i="17"/>
  <c r="Q972" i="17"/>
  <c r="Q973" i="17"/>
  <c r="Q974" i="17"/>
  <c r="Q975" i="17"/>
  <c r="Q976" i="17"/>
  <c r="Q977" i="17"/>
  <c r="Q978" i="17"/>
  <c r="Q979" i="17"/>
  <c r="Q980" i="17"/>
  <c r="Q981" i="17"/>
  <c r="Q982" i="17"/>
  <c r="Q983" i="17"/>
  <c r="Q984" i="17"/>
  <c r="Q985" i="17"/>
  <c r="Q986" i="17"/>
  <c r="Q987" i="17"/>
  <c r="Q988" i="17"/>
  <c r="Q989" i="17"/>
  <c r="Q990" i="17"/>
  <c r="Q991" i="17"/>
  <c r="Q992" i="17"/>
  <c r="Q993" i="17"/>
  <c r="Q994" i="17"/>
  <c r="Q995" i="17"/>
  <c r="Q996" i="17"/>
  <c r="Q997" i="17"/>
  <c r="Q998" i="17"/>
  <c r="Q999" i="17"/>
  <c r="Q1000" i="17"/>
  <c r="Q1001" i="17"/>
  <c r="Q1002" i="17"/>
  <c r="Q1003" i="17"/>
  <c r="Q1004" i="17"/>
  <c r="Q1005" i="17"/>
  <c r="Q1006" i="17"/>
  <c r="Q1007" i="17"/>
  <c r="Q1008" i="17"/>
  <c r="Q1009" i="17"/>
  <c r="Q1010" i="17"/>
  <c r="Q1011" i="17"/>
  <c r="Q1012" i="17"/>
  <c r="Q1013" i="17"/>
  <c r="Q1014" i="17"/>
  <c r="Q1015" i="17"/>
  <c r="Q1016" i="17"/>
  <c r="Q1017" i="17"/>
  <c r="Q1018" i="17"/>
  <c r="Q1019" i="17"/>
  <c r="Q1020" i="17"/>
  <c r="Q1021" i="17"/>
  <c r="Q1022" i="17"/>
  <c r="Q1023" i="17"/>
  <c r="Q1024" i="17"/>
  <c r="Q1025" i="17"/>
  <c r="Q1026" i="17"/>
  <c r="Q1027" i="17"/>
  <c r="Q1028" i="17"/>
  <c r="Q1029" i="17"/>
  <c r="Q1030" i="17"/>
  <c r="Q1031" i="17"/>
  <c r="Q1032" i="17"/>
  <c r="Q1033" i="17"/>
  <c r="Q2" i="17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2" i="17"/>
  <c r="P911" i="17"/>
  <c r="P912" i="17"/>
  <c r="P913" i="17"/>
  <c r="P914" i="17"/>
  <c r="P915" i="17"/>
  <c r="P916" i="17"/>
  <c r="P917" i="17"/>
  <c r="P918" i="17"/>
  <c r="P919" i="17"/>
  <c r="P920" i="17"/>
  <c r="P921" i="17"/>
  <c r="P922" i="17"/>
  <c r="P923" i="17"/>
  <c r="P924" i="17"/>
  <c r="P925" i="17"/>
  <c r="P926" i="17"/>
  <c r="P927" i="17"/>
  <c r="P928" i="17"/>
  <c r="P929" i="17"/>
  <c r="P930" i="17"/>
  <c r="P931" i="17"/>
  <c r="P932" i="17"/>
  <c r="P933" i="17"/>
  <c r="P934" i="17"/>
  <c r="P935" i="17"/>
  <c r="P936" i="17"/>
  <c r="P937" i="17"/>
  <c r="P938" i="17"/>
  <c r="P939" i="17"/>
  <c r="P940" i="17"/>
  <c r="P941" i="17"/>
  <c r="P942" i="17"/>
  <c r="P943" i="17"/>
  <c r="P944" i="17"/>
  <c r="P945" i="17"/>
  <c r="P946" i="17"/>
  <c r="P947" i="17"/>
  <c r="P948" i="17"/>
  <c r="P949" i="17"/>
  <c r="P950" i="17"/>
  <c r="P951" i="17"/>
  <c r="P952" i="17"/>
  <c r="P953" i="17"/>
  <c r="P954" i="17"/>
  <c r="P955" i="17"/>
  <c r="P956" i="17"/>
  <c r="P957" i="17"/>
  <c r="P958" i="17"/>
  <c r="P959" i="17"/>
  <c r="P960" i="17"/>
  <c r="P961" i="17"/>
  <c r="P962" i="17"/>
  <c r="P963" i="17"/>
  <c r="P964" i="17"/>
  <c r="P965" i="17"/>
  <c r="P966" i="17"/>
  <c r="P967" i="17"/>
  <c r="P968" i="17"/>
  <c r="P969" i="17"/>
  <c r="P970" i="17"/>
  <c r="P971" i="17"/>
  <c r="P972" i="17"/>
  <c r="P973" i="17"/>
  <c r="P974" i="17"/>
  <c r="P975" i="17"/>
  <c r="P976" i="17"/>
  <c r="P977" i="17"/>
  <c r="P978" i="17"/>
  <c r="P979" i="17"/>
  <c r="P980" i="17"/>
  <c r="P981" i="17"/>
  <c r="P982" i="17"/>
  <c r="P983" i="17"/>
  <c r="P984" i="17"/>
  <c r="P985" i="17"/>
  <c r="P986" i="17"/>
  <c r="P987" i="17"/>
  <c r="P988" i="17"/>
  <c r="P989" i="17"/>
  <c r="P990" i="17"/>
  <c r="P991" i="17"/>
  <c r="P992" i="17"/>
  <c r="P993" i="17"/>
  <c r="P994" i="17"/>
  <c r="P995" i="17"/>
  <c r="P996" i="17"/>
  <c r="P997" i="17"/>
  <c r="P998" i="17"/>
  <c r="P999" i="17"/>
  <c r="P1000" i="17"/>
  <c r="P1001" i="17"/>
  <c r="P1002" i="17"/>
  <c r="P1003" i="17"/>
  <c r="P1004" i="17"/>
  <c r="P1005" i="17"/>
  <c r="P1006" i="17"/>
  <c r="P1007" i="17"/>
  <c r="P1008" i="17"/>
  <c r="P1009" i="17"/>
  <c r="P1010" i="17"/>
  <c r="P1011" i="17"/>
  <c r="P1012" i="17"/>
  <c r="P1013" i="17"/>
  <c r="P1014" i="17"/>
  <c r="P1015" i="17"/>
  <c r="P1016" i="17"/>
  <c r="P1017" i="17"/>
  <c r="P1018" i="17"/>
  <c r="P1019" i="17"/>
  <c r="P1020" i="17"/>
  <c r="P1021" i="17"/>
  <c r="P1022" i="17"/>
  <c r="P1023" i="17"/>
  <c r="P1024" i="17"/>
  <c r="P1025" i="17"/>
  <c r="P1026" i="17"/>
  <c r="P1027" i="17"/>
  <c r="P1028" i="17"/>
  <c r="P1029" i="17"/>
  <c r="P1030" i="17"/>
  <c r="P1031" i="17"/>
  <c r="P1032" i="17"/>
  <c r="P1033" i="17"/>
  <c r="P97" i="17"/>
  <c r="P60" i="17"/>
  <c r="P829" i="17"/>
  <c r="P554" i="17"/>
  <c r="P740" i="17"/>
  <c r="P657" i="17"/>
  <c r="P715" i="17"/>
  <c r="P315" i="17"/>
  <c r="P400" i="17"/>
  <c r="P534" i="17"/>
  <c r="P244" i="17"/>
  <c r="P88" i="17"/>
  <c r="P854" i="17"/>
  <c r="P344" i="17"/>
  <c r="P347" i="17"/>
  <c r="P435" i="17"/>
  <c r="P475" i="17"/>
  <c r="P328" i="17"/>
  <c r="P589" i="17"/>
  <c r="P140" i="17"/>
  <c r="P771" i="17"/>
  <c r="P371" i="17"/>
  <c r="P856" i="17"/>
  <c r="P521" i="17"/>
  <c r="P752" i="17"/>
  <c r="P863" i="17"/>
  <c r="P520" i="17"/>
  <c r="P612" i="17"/>
  <c r="P235" i="17"/>
  <c r="P814" i="17"/>
  <c r="P888" i="17"/>
  <c r="P305" i="17"/>
  <c r="P310" i="17"/>
  <c r="P87" i="17"/>
  <c r="P570" i="17"/>
  <c r="P209" i="17"/>
  <c r="P84" i="17"/>
  <c r="P434" i="17"/>
  <c r="P839" i="17"/>
  <c r="P23" i="17"/>
  <c r="P136" i="17"/>
  <c r="P623" i="17"/>
  <c r="P460" i="17"/>
  <c r="P853" i="17"/>
  <c r="P173" i="17"/>
  <c r="P139" i="17"/>
  <c r="P481" i="17"/>
  <c r="P809" i="17"/>
  <c r="P626" i="17"/>
  <c r="P278" i="17"/>
  <c r="P382" i="17"/>
  <c r="P101" i="17"/>
  <c r="P197" i="17"/>
  <c r="P205" i="17"/>
  <c r="P190" i="17"/>
  <c r="P901" i="17"/>
  <c r="P40" i="17"/>
  <c r="P317" i="17"/>
  <c r="P819" i="17"/>
  <c r="P456" i="17"/>
  <c r="P224" i="17"/>
  <c r="P2" i="17"/>
  <c r="P451" i="17"/>
  <c r="P142" i="17"/>
  <c r="P767" i="17"/>
  <c r="P654" i="17"/>
  <c r="P109" i="17"/>
  <c r="P410" i="17"/>
  <c r="P549" i="17"/>
  <c r="P682" i="17"/>
  <c r="P155" i="17"/>
  <c r="P775" i="17"/>
  <c r="P645" i="17"/>
  <c r="P38" i="17"/>
  <c r="P838" i="17"/>
  <c r="P61" i="17"/>
  <c r="P602" i="17"/>
  <c r="P29" i="17"/>
  <c r="P391" i="17"/>
  <c r="P73" i="17"/>
  <c r="P428" i="17"/>
  <c r="P830" i="17"/>
  <c r="P274" i="17"/>
  <c r="P55" i="17"/>
  <c r="P736" i="17"/>
  <c r="P212" i="17"/>
  <c r="P85" i="17"/>
  <c r="P762" i="17"/>
  <c r="P303" i="17"/>
  <c r="P327" i="17"/>
  <c r="P309" i="17"/>
  <c r="P895" i="17"/>
  <c r="P405" i="17"/>
  <c r="P528" i="17"/>
  <c r="P492" i="17"/>
  <c r="P208" i="17"/>
  <c r="P805" i="17"/>
  <c r="P821" i="17"/>
  <c r="P92" i="17"/>
  <c r="P288" i="17"/>
  <c r="P710" i="17"/>
  <c r="P384" i="17"/>
  <c r="P365" i="17"/>
  <c r="P479" i="17"/>
  <c r="P192" i="17"/>
  <c r="P702" i="17"/>
  <c r="P277" i="17"/>
  <c r="P624" i="17"/>
  <c r="P517" i="17"/>
  <c r="P524" i="17"/>
  <c r="P181" i="17"/>
  <c r="P562" i="17"/>
  <c r="P175" i="17"/>
  <c r="P120" i="17"/>
  <c r="P132" i="17"/>
  <c r="P184" i="17"/>
  <c r="P540" i="17"/>
  <c r="P343" i="17"/>
  <c r="P267" i="17"/>
  <c r="P697" i="17"/>
  <c r="P807" i="17"/>
  <c r="P429" i="17"/>
  <c r="P731" i="17"/>
  <c r="P578" i="17"/>
  <c r="P302" i="17"/>
  <c r="P422" i="17"/>
  <c r="P350" i="17"/>
  <c r="P19" i="17"/>
  <c r="P728" i="17"/>
  <c r="P745" i="17"/>
  <c r="P113" i="17"/>
  <c r="P247" i="17"/>
  <c r="P596" i="17"/>
  <c r="P363" i="17"/>
  <c r="P94" i="17"/>
  <c r="P611" i="17"/>
  <c r="P539" i="17"/>
  <c r="P164" i="17"/>
  <c r="P878" i="17"/>
  <c r="P671" i="17"/>
  <c r="P568" i="17"/>
  <c r="P866" i="17"/>
  <c r="P45" i="17"/>
  <c r="P123" i="17"/>
  <c r="P453" i="17"/>
  <c r="P145" i="17"/>
  <c r="P80" i="17"/>
  <c r="P366" i="17"/>
  <c r="P857" i="17"/>
  <c r="P35" i="17"/>
  <c r="P437" i="17"/>
  <c r="P157" i="17"/>
  <c r="P514" i="17"/>
  <c r="P457" i="17"/>
  <c r="P742" i="17"/>
  <c r="P174" i="17"/>
  <c r="P832" i="17"/>
  <c r="P782" i="17"/>
  <c r="P179" i="17"/>
  <c r="P530" i="17"/>
  <c r="P827" i="17"/>
  <c r="P16" i="17"/>
  <c r="P360" i="17"/>
  <c r="P287" i="17"/>
  <c r="P681" i="17"/>
  <c r="P616" i="17"/>
  <c r="P269" i="17"/>
  <c r="P149" i="17"/>
  <c r="P474" i="17"/>
  <c r="P159" i="17"/>
  <c r="P473" i="17"/>
  <c r="P118" i="17"/>
  <c r="P637" i="17"/>
  <c r="P36" i="17"/>
  <c r="P313" i="17"/>
  <c r="P858" i="17"/>
  <c r="P233" i="17"/>
  <c r="P705" i="17"/>
  <c r="P737" i="17"/>
  <c r="P810" i="17"/>
  <c r="P292" i="17"/>
  <c r="P408" i="17"/>
  <c r="P753" i="17"/>
  <c r="P285" i="17"/>
  <c r="P881" i="17"/>
  <c r="P273" i="17"/>
  <c r="P706" i="17"/>
  <c r="P37" i="17"/>
  <c r="P537" i="17"/>
  <c r="P489" i="17"/>
  <c r="P200" i="17"/>
  <c r="P441" i="17"/>
  <c r="P339" i="17"/>
  <c r="P896" i="17"/>
  <c r="P625" i="17"/>
  <c r="P786" i="17"/>
  <c r="P167" i="17"/>
  <c r="P696" i="17"/>
  <c r="P423" i="17"/>
  <c r="P816" i="17"/>
  <c r="P606" i="17"/>
  <c r="P326" i="17"/>
  <c r="P844" i="17"/>
  <c r="P272" i="17"/>
  <c r="P769" i="17"/>
  <c r="P316" i="17"/>
  <c r="P872" i="17"/>
  <c r="P614" i="17"/>
  <c r="P906" i="17"/>
  <c r="P229" i="17"/>
  <c r="P411" i="17"/>
  <c r="P445" i="17"/>
  <c r="P879" i="17"/>
  <c r="P99" i="17"/>
  <c r="P420" i="17"/>
  <c r="P393" i="17"/>
  <c r="P89" i="17"/>
  <c r="P403" i="17"/>
  <c r="P194" i="17"/>
  <c r="P281" i="17"/>
  <c r="P730" i="17"/>
  <c r="P56" i="17"/>
  <c r="P7" i="17"/>
  <c r="P218" i="17"/>
  <c r="P25" i="17"/>
  <c r="P216" i="17"/>
  <c r="P477" i="17"/>
  <c r="P398" i="17"/>
  <c r="P876" i="17"/>
  <c r="P885" i="17"/>
  <c r="P158" i="17"/>
  <c r="P221" i="17"/>
  <c r="P547" i="17"/>
  <c r="P726" i="17"/>
  <c r="P170" i="17"/>
  <c r="P198" i="17"/>
  <c r="P404" i="17"/>
  <c r="P333" i="17"/>
  <c r="P279" i="17"/>
  <c r="P635" i="17"/>
  <c r="P377" i="17"/>
  <c r="P69" i="17"/>
  <c r="P595" i="17"/>
  <c r="P725" i="17"/>
  <c r="P488" i="17"/>
  <c r="P191" i="17"/>
  <c r="P105" i="17"/>
  <c r="P165" i="17"/>
  <c r="P708" i="17"/>
  <c r="P251" i="17"/>
  <c r="P813" i="17"/>
  <c r="P581" i="17"/>
  <c r="P284" i="17"/>
  <c r="P225" i="17"/>
  <c r="P507" i="17"/>
  <c r="P388" i="17"/>
  <c r="P516" i="17"/>
  <c r="P8" i="17"/>
  <c r="P666" i="17"/>
  <c r="P386" i="17"/>
  <c r="P409" i="17"/>
  <c r="P875" i="17"/>
  <c r="P750" i="17"/>
  <c r="P96" i="17"/>
  <c r="P378" i="17"/>
  <c r="P513" i="17"/>
  <c r="P485" i="17"/>
  <c r="P631" i="17"/>
  <c r="P842" i="17"/>
  <c r="P436" i="17"/>
  <c r="P236" i="17"/>
  <c r="P831" i="17"/>
  <c r="P861" i="17"/>
  <c r="P590" i="17"/>
  <c r="P848" i="17"/>
  <c r="P318" i="17"/>
  <c r="P617" i="17"/>
  <c r="P609" i="17"/>
  <c r="P239" i="17"/>
  <c r="P889" i="17"/>
  <c r="P651" i="17"/>
  <c r="P199" i="17"/>
  <c r="P484" i="17"/>
  <c r="P610" i="17"/>
  <c r="P131" i="17"/>
  <c r="P717" i="17"/>
  <c r="P211" i="17"/>
  <c r="P351" i="17"/>
  <c r="P761" i="17"/>
  <c r="P452" i="17"/>
  <c r="P593" i="17"/>
  <c r="P566" i="17"/>
  <c r="P718" i="17"/>
  <c r="P289" i="17"/>
  <c r="P779" i="17"/>
  <c r="P510" i="17"/>
  <c r="P677" i="17"/>
  <c r="P822" i="17"/>
  <c r="P649" i="17"/>
  <c r="P141" i="17"/>
  <c r="P433" i="17"/>
  <c r="P638" i="17"/>
  <c r="P3" i="17"/>
  <c r="P107" i="17"/>
  <c r="P41" i="17"/>
  <c r="P686" i="17"/>
  <c r="P659" i="17"/>
  <c r="P640" i="17"/>
  <c r="P522" i="17"/>
  <c r="P546" i="17"/>
  <c r="P496" i="17"/>
  <c r="P692" i="17"/>
  <c r="P58" i="17"/>
  <c r="P90" i="17"/>
  <c r="P430" i="17"/>
  <c r="P607" i="17"/>
  <c r="P490" i="17"/>
  <c r="P161" i="17"/>
  <c r="P414" i="17"/>
  <c r="P680" i="17"/>
  <c r="P180" i="17"/>
  <c r="P835" i="17"/>
  <c r="P348" i="17"/>
  <c r="P103" i="17"/>
  <c r="P106" i="17"/>
  <c r="P644" i="17"/>
  <c r="P15" i="17"/>
  <c r="P569" i="17"/>
  <c r="P147" i="17"/>
  <c r="P506" i="17"/>
  <c r="P138" i="17"/>
  <c r="P146" i="17"/>
  <c r="P242" i="17"/>
  <c r="P483" i="17"/>
  <c r="P49" i="17"/>
  <c r="P448" i="17"/>
  <c r="P201" i="17"/>
  <c r="P178" i="17"/>
  <c r="P104" i="17"/>
  <c r="P356" i="17"/>
  <c r="P160" i="17"/>
  <c r="P21" i="17"/>
  <c r="P220" i="17"/>
  <c r="P703" i="17"/>
  <c r="P880" i="17"/>
  <c r="P580" i="17"/>
  <c r="P508" i="17"/>
  <c r="P471" i="17"/>
  <c r="P869" i="17"/>
  <c r="P227" i="17"/>
  <c r="P551" i="17"/>
  <c r="P432" i="17"/>
  <c r="P629" i="17"/>
  <c r="P789" i="17"/>
  <c r="P577" i="17"/>
  <c r="P260" i="17"/>
  <c r="P171" i="17"/>
  <c r="P747" i="17"/>
  <c r="P721" i="17"/>
  <c r="P18" i="17"/>
  <c r="P776" i="17"/>
  <c r="P738" i="17"/>
  <c r="P372" i="17"/>
  <c r="P694" i="17"/>
  <c r="P286" i="17"/>
  <c r="P9" i="17"/>
  <c r="P741" i="17"/>
  <c r="P469" i="17"/>
  <c r="P898" i="17"/>
  <c r="P331" i="17"/>
  <c r="P772" i="17"/>
  <c r="P379" i="17"/>
  <c r="P894" i="17"/>
  <c r="P367" i="17"/>
  <c r="P558" i="17"/>
  <c r="P615" i="17"/>
  <c r="P245" i="17"/>
  <c r="P557" i="17"/>
  <c r="P352" i="17"/>
  <c r="P240" i="17"/>
  <c r="P241" i="17"/>
  <c r="P298" i="17"/>
  <c r="P440" i="17"/>
  <c r="P627" i="17"/>
  <c r="P746" i="17"/>
  <c r="P698" i="17"/>
  <c r="P357" i="17"/>
  <c r="P4" i="17"/>
  <c r="P337" i="17"/>
  <c r="P690" i="17"/>
  <c r="P556" i="17"/>
  <c r="P340" i="17"/>
  <c r="P592" i="17"/>
  <c r="P156" i="17"/>
  <c r="P243" i="17"/>
  <c r="P455" i="17"/>
  <c r="P47" i="17"/>
  <c r="P756" i="17"/>
  <c r="P778" i="17"/>
  <c r="P322" i="17"/>
  <c r="P301" i="17"/>
  <c r="P425" i="17"/>
  <c r="P544" i="17"/>
  <c r="P714" i="17"/>
  <c r="P529" i="17"/>
  <c r="P739" i="17"/>
  <c r="P77" i="17"/>
  <c r="P699" i="17"/>
  <c r="P523" i="17"/>
  <c r="P127" i="17"/>
  <c r="P783" i="17"/>
  <c r="P815" i="17"/>
  <c r="P369" i="17"/>
  <c r="P719" i="17"/>
  <c r="P342" i="17"/>
  <c r="P226" i="17"/>
  <c r="P800" i="17"/>
  <c r="P222" i="17"/>
  <c r="P246" i="17"/>
  <c r="P27" i="17"/>
  <c r="P541" i="17"/>
  <c r="P744" i="17"/>
  <c r="P734" i="17"/>
  <c r="P845" i="17"/>
  <c r="P271" i="17"/>
  <c r="P639" i="17"/>
  <c r="P599" i="17"/>
  <c r="P78" i="17"/>
  <c r="P381" i="17"/>
  <c r="P13" i="17"/>
  <c r="P542" i="17"/>
  <c r="P658" i="17"/>
  <c r="P71" i="17"/>
  <c r="P505" i="17"/>
  <c r="P661" i="17"/>
  <c r="P689" i="17"/>
  <c r="P12" i="17"/>
  <c r="P188" i="17"/>
  <c r="P891" i="17"/>
  <c r="P151" i="17"/>
  <c r="P871" i="17"/>
  <c r="P444" i="17"/>
  <c r="P461" i="17"/>
  <c r="P68" i="17"/>
  <c r="P480" i="17"/>
  <c r="P183" i="17"/>
  <c r="P263" i="17"/>
  <c r="P575" i="17"/>
  <c r="P850" i="17"/>
  <c r="P152" i="17"/>
  <c r="P321" i="17"/>
  <c r="P890" i="17"/>
  <c r="P177" i="17"/>
  <c r="P79" i="17"/>
  <c r="P849" i="17"/>
  <c r="P214" i="17"/>
  <c r="P413" i="17"/>
  <c r="P387" i="17"/>
  <c r="P567" i="17"/>
  <c r="P74" i="17"/>
  <c r="P672" i="17"/>
  <c r="P585" i="17"/>
  <c r="P419" i="17"/>
  <c r="P264" i="17"/>
  <c r="P499" i="17"/>
  <c r="P594" i="17"/>
  <c r="P252" i="17"/>
  <c r="P375" i="17"/>
  <c r="P591" i="17"/>
  <c r="P555" i="17"/>
  <c r="P559" i="17"/>
  <c r="P368" i="17"/>
  <c r="P416" i="17"/>
  <c r="P215" i="17"/>
  <c r="P777" i="17"/>
  <c r="P206" i="17"/>
  <c r="P840" i="17"/>
  <c r="P859" i="17"/>
  <c r="P266" i="17"/>
  <c r="P52" i="17"/>
  <c r="P169" i="17"/>
  <c r="P144" i="17"/>
  <c r="P334" i="17"/>
  <c r="P791" i="17"/>
  <c r="P100" i="17"/>
  <c r="P20" i="17"/>
  <c r="P820" i="17"/>
  <c r="P431" i="17"/>
  <c r="P722" i="17"/>
  <c r="P361" i="17"/>
  <c r="P687" i="17"/>
  <c r="P501" i="17"/>
  <c r="P254" i="17"/>
  <c r="P86" i="17"/>
  <c r="P613" i="17"/>
  <c r="P324" i="17"/>
  <c r="P383" i="17"/>
  <c r="P462" i="17"/>
  <c r="P345" i="17"/>
  <c r="P663" i="17"/>
  <c r="P774" i="17"/>
  <c r="P749" i="17"/>
  <c r="P255" i="17"/>
  <c r="P618" i="17"/>
  <c r="P695" i="17"/>
  <c r="P801" i="17"/>
  <c r="P189" i="17"/>
  <c r="P467" i="17"/>
  <c r="P168" i="17"/>
  <c r="P504" i="17"/>
  <c r="P574" i="17"/>
  <c r="P22" i="17"/>
  <c r="P399" i="17"/>
  <c r="P502" i="17"/>
  <c r="P185" i="17"/>
  <c r="P116" i="17"/>
  <c r="P290" i="17"/>
  <c r="P828" i="17"/>
  <c r="P907" i="17"/>
  <c r="P667" i="17"/>
  <c r="P426" i="17"/>
  <c r="P33" i="17"/>
  <c r="P256" i="17"/>
  <c r="P724" i="17"/>
  <c r="P76" i="17"/>
  <c r="P48" i="17"/>
  <c r="P81" i="17"/>
  <c r="P265" i="17"/>
  <c r="P402" i="17"/>
  <c r="P803" i="17"/>
  <c r="P766" i="17"/>
  <c r="P598" i="17"/>
  <c r="P533" i="17"/>
  <c r="P346" i="17"/>
  <c r="P196" i="17"/>
  <c r="P494" i="17"/>
  <c r="P34" i="17"/>
  <c r="P550" i="17"/>
  <c r="P498" i="17"/>
  <c r="P727" i="17"/>
  <c r="P415" i="17"/>
  <c r="P447" i="17"/>
  <c r="P601" i="17"/>
  <c r="P723" i="17"/>
  <c r="P716" i="17"/>
  <c r="P262" i="17"/>
  <c r="P685" i="17"/>
  <c r="P892" i="17"/>
  <c r="P836" i="17"/>
  <c r="P864" i="17"/>
  <c r="P374" i="17"/>
  <c r="P376" i="17"/>
  <c r="P561" i="17"/>
  <c r="P102" i="17"/>
  <c r="P307" i="17"/>
  <c r="P70" i="17"/>
  <c r="P389" i="17"/>
  <c r="P276" i="17"/>
  <c r="P673" i="17"/>
  <c r="P711" i="17"/>
  <c r="P656" i="17"/>
  <c r="P628" i="17"/>
  <c r="P341" i="17"/>
  <c r="P653" i="17"/>
  <c r="P46" i="17"/>
  <c r="P338" i="17"/>
  <c r="P450" i="17"/>
  <c r="P258" i="17"/>
  <c r="P709" i="17"/>
  <c r="P359" i="17"/>
  <c r="P259" i="17"/>
  <c r="P108" i="17"/>
  <c r="P332" i="17"/>
  <c r="P512" i="17"/>
  <c r="P662" i="17"/>
  <c r="P373" i="17"/>
  <c r="P195" i="17"/>
  <c r="P764" i="17"/>
  <c r="P119" i="17"/>
  <c r="P870" i="17"/>
  <c r="P757" i="17"/>
  <c r="P579" i="17"/>
  <c r="P187" i="17"/>
  <c r="P115" i="17"/>
  <c r="P824" i="17"/>
  <c r="P604" i="17"/>
  <c r="P406" i="17"/>
  <c r="P713" i="17"/>
  <c r="P295" i="17"/>
  <c r="P153" i="17"/>
  <c r="P166" i="17"/>
  <c r="P608" i="17"/>
  <c r="P903" i="17"/>
  <c r="P482" i="17"/>
  <c r="P54" i="17"/>
  <c r="P110" i="17"/>
  <c r="P811" i="17"/>
  <c r="P650" i="17"/>
  <c r="P217" i="17"/>
  <c r="P446" i="17"/>
  <c r="P882" i="17"/>
  <c r="P207" i="17"/>
  <c r="P652" i="17"/>
  <c r="P563" i="17"/>
  <c r="P380" i="17"/>
  <c r="P459" i="17"/>
  <c r="P773" i="17"/>
  <c r="P545" i="17"/>
  <c r="P417" i="17"/>
  <c r="P320" i="17"/>
  <c r="P794" i="17"/>
  <c r="P294" i="17"/>
  <c r="P30" i="17"/>
  <c r="P755" i="17"/>
  <c r="P899" i="17"/>
  <c r="P5" i="17"/>
  <c r="P632" i="17"/>
  <c r="P865" i="17"/>
  <c r="P660" i="17"/>
  <c r="P668" i="17"/>
  <c r="P720" i="17"/>
  <c r="P395" i="17"/>
  <c r="P121" i="17"/>
  <c r="P630" i="17"/>
  <c r="P688" i="17"/>
  <c r="P785" i="17"/>
  <c r="P748" i="17"/>
  <c r="P584" i="17"/>
  <c r="P679" i="17"/>
  <c r="P283" i="17"/>
  <c r="P11" i="17"/>
  <c r="P503" i="17"/>
  <c r="P237" i="17"/>
  <c r="P841" i="17"/>
  <c r="P280" i="17"/>
  <c r="P576" i="17"/>
  <c r="P605" i="17"/>
  <c r="P897" i="17"/>
  <c r="P884" i="17"/>
  <c r="P358" i="17"/>
  <c r="P299" i="17"/>
  <c r="P335" i="17"/>
  <c r="P438" i="17"/>
  <c r="P770" i="17"/>
  <c r="P531" i="17"/>
  <c r="P622" i="17"/>
  <c r="P700" i="17"/>
  <c r="P162" i="17"/>
  <c r="P553" i="17"/>
  <c r="P50" i="17"/>
  <c r="P676" i="17"/>
  <c r="P538" i="17"/>
  <c r="P793" i="17"/>
  <c r="P83" i="17"/>
  <c r="P536" i="17"/>
  <c r="P518" i="17"/>
  <c r="P491" i="17"/>
  <c r="P421" i="17"/>
  <c r="P63" i="17"/>
  <c r="P230" i="17"/>
  <c r="P401" i="17"/>
  <c r="P760" i="17"/>
  <c r="P798" i="17"/>
  <c r="P95" i="17"/>
  <c r="P439" i="17"/>
  <c r="P862" i="17"/>
  <c r="P39" i="17"/>
  <c r="P14" i="17"/>
  <c r="P642" i="17"/>
  <c r="P126" i="17"/>
  <c r="P193" i="17"/>
  <c r="P28" i="17"/>
  <c r="P458" i="17"/>
  <c r="P143" i="17"/>
  <c r="P186" i="17"/>
  <c r="P248" i="17"/>
  <c r="P647" i="17"/>
  <c r="P515" i="17"/>
  <c r="P587" i="17"/>
  <c r="P768" i="17"/>
  <c r="P543" i="17"/>
  <c r="P759" i="17"/>
  <c r="P754" i="17"/>
  <c r="P511" i="17"/>
  <c r="P526" i="17"/>
  <c r="P323" i="17"/>
  <c r="P572" i="17"/>
  <c r="P597" i="17"/>
  <c r="P873" i="17"/>
  <c r="P833" i="17"/>
  <c r="P908" i="17"/>
  <c r="P765" i="17"/>
  <c r="P478" i="17"/>
  <c r="P620" i="17"/>
  <c r="P172" i="17"/>
  <c r="P67" i="17"/>
  <c r="P325" i="17"/>
  <c r="P250" i="17"/>
  <c r="P137" i="17"/>
  <c r="P257" i="17"/>
  <c r="P314" i="17"/>
  <c r="P319" i="17"/>
  <c r="P886" i="17"/>
  <c r="P847" i="17"/>
  <c r="P846" i="17"/>
  <c r="P223" i="17"/>
  <c r="P693" i="17"/>
  <c r="P253" i="17"/>
  <c r="P655" i="17"/>
  <c r="P304" i="17"/>
  <c r="P98" i="17"/>
  <c r="P306" i="17"/>
  <c r="P781" i="17"/>
  <c r="P583" i="17"/>
  <c r="P648" i="17"/>
  <c r="P112" i="17"/>
  <c r="P390" i="17"/>
  <c r="P691" i="17"/>
  <c r="P867" i="17"/>
  <c r="P571" i="17"/>
  <c r="P385" i="17"/>
  <c r="P355" i="17"/>
  <c r="P300" i="17"/>
  <c r="P6" i="17"/>
  <c r="P600" i="17"/>
  <c r="P275" i="17"/>
  <c r="P353" i="17"/>
  <c r="P354" i="17"/>
  <c r="P586" i="17"/>
  <c r="P797" i="17"/>
  <c r="P707" i="17"/>
  <c r="P735" i="17"/>
  <c r="P729" i="17"/>
  <c r="P825" i="17"/>
  <c r="P397" i="17"/>
  <c r="P621" i="17"/>
  <c r="P150" i="17"/>
  <c r="P548" i="17"/>
  <c r="P905" i="17"/>
  <c r="P900" i="17"/>
  <c r="P308" i="17"/>
  <c r="P203" i="17"/>
  <c r="P234" i="17"/>
  <c r="P874" i="17"/>
  <c r="P424" i="17"/>
  <c r="P788" i="17"/>
  <c r="P62" i="17"/>
  <c r="P860" i="17"/>
  <c r="P634" i="17"/>
  <c r="P525" i="17"/>
  <c r="P564" i="17"/>
  <c r="P664" i="17"/>
  <c r="P751" i="17"/>
  <c r="P125" i="17"/>
  <c r="P238" i="17"/>
  <c r="P44" i="17"/>
  <c r="P148" i="17"/>
  <c r="P228" i="17"/>
  <c r="P486" i="17"/>
  <c r="P883" i="17"/>
  <c r="P855" i="17"/>
  <c r="P817" i="17"/>
  <c r="P268" i="17"/>
  <c r="P763" i="17"/>
  <c r="P909" i="17"/>
  <c r="P641" i="17"/>
  <c r="P43" i="17"/>
  <c r="P837" i="17"/>
  <c r="P678" i="17"/>
  <c r="P532" i="17"/>
  <c r="P396" i="17"/>
  <c r="P128" i="17"/>
  <c r="P51" i="17"/>
  <c r="P129" i="17"/>
  <c r="P117" i="17"/>
  <c r="P851" i="17"/>
  <c r="P349" i="17"/>
  <c r="P823" i="17"/>
  <c r="P802" i="17"/>
  <c r="P792" i="17"/>
  <c r="P296" i="17"/>
  <c r="P392" i="17"/>
  <c r="P780" i="17"/>
  <c r="P72" i="17"/>
  <c r="P407" i="17"/>
  <c r="P468" i="17"/>
  <c r="P646" i="17"/>
  <c r="P154" i="17"/>
  <c r="P784" i="17"/>
  <c r="P329" i="17"/>
  <c r="P213" i="17"/>
  <c r="P293" i="17"/>
  <c r="P64" i="17"/>
  <c r="P796" i="17"/>
  <c r="P124" i="17"/>
  <c r="P466" i="17"/>
  <c r="P535" i="17"/>
  <c r="P665" i="17"/>
  <c r="P312" i="17"/>
  <c r="P133" i="17"/>
  <c r="P122" i="17"/>
  <c r="P826" i="17"/>
  <c r="P743" i="17"/>
  <c r="P636" i="17"/>
  <c r="P427" i="17"/>
  <c r="P311" i="17"/>
  <c r="P818" i="17"/>
  <c r="P135" i="17"/>
  <c r="P297" i="17"/>
  <c r="P812" i="17"/>
  <c r="P111" i="17"/>
  <c r="P261" i="17"/>
  <c r="P804" i="17"/>
  <c r="P219" i="17"/>
  <c r="P336" i="17"/>
  <c r="P370" i="17"/>
  <c r="P182" i="17"/>
  <c r="P454" i="17"/>
  <c r="P59" i="17"/>
  <c r="P527" i="17"/>
  <c r="P465" i="17"/>
  <c r="P787" i="17"/>
  <c r="P619" i="17"/>
  <c r="P202" i="17"/>
  <c r="P443" i="17"/>
  <c r="P476" i="17"/>
  <c r="P799" i="17"/>
  <c r="P733" i="17"/>
  <c r="P231" i="17"/>
  <c r="P204" i="17"/>
  <c r="P442" i="17"/>
  <c r="P877" i="17"/>
  <c r="P418" i="17"/>
  <c r="P66" i="17"/>
  <c r="P210" i="17"/>
  <c r="P790" i="17"/>
  <c r="P868" i="17"/>
  <c r="P93" i="17"/>
  <c r="P10" i="17"/>
  <c r="P176" i="17"/>
  <c r="P495" i="17"/>
  <c r="P704" i="17"/>
  <c r="P330" i="17"/>
  <c r="P893" i="17"/>
  <c r="P500" i="17"/>
  <c r="P26" i="17"/>
  <c r="P270" i="17"/>
  <c r="P732" i="17"/>
  <c r="P560" i="17"/>
  <c r="P669" i="17"/>
  <c r="P449" i="17"/>
  <c r="P852" i="17"/>
  <c r="P57" i="17"/>
  <c r="P509" i="17"/>
  <c r="P394" i="17"/>
  <c r="P675" i="17"/>
  <c r="P795" i="17"/>
  <c r="P493" i="17"/>
  <c r="P674" i="17"/>
  <c r="P472" i="17"/>
  <c r="P552" i="17"/>
  <c r="P464" i="17"/>
  <c r="P643" i="17"/>
  <c r="P31" i="17"/>
  <c r="P565" i="17"/>
  <c r="P843" i="17"/>
  <c r="P32" i="17"/>
  <c r="P114" i="17"/>
  <c r="P163" i="17"/>
  <c r="P582" i="17"/>
  <c r="P487" i="17"/>
  <c r="P82" i="17"/>
  <c r="P834" i="17"/>
  <c r="P808" i="17"/>
  <c r="P683" i="17"/>
  <c r="P232" i="17"/>
  <c r="P806" i="17"/>
  <c r="P701" i="17"/>
  <c r="P904" i="17"/>
  <c r="P758" i="17"/>
  <c r="P130" i="17"/>
  <c r="P887" i="17"/>
  <c r="P463" i="17"/>
  <c r="P902" i="17"/>
  <c r="P684" i="17"/>
  <c r="P412" i="17"/>
  <c r="P42" i="17"/>
  <c r="P362" i="17"/>
  <c r="P603" i="17"/>
  <c r="P470" i="17"/>
  <c r="P364" i="17"/>
  <c r="P65" i="17"/>
  <c r="P24" i="17"/>
  <c r="P291" i="17"/>
  <c r="P519" i="17"/>
  <c r="P588" i="17"/>
  <c r="P633" i="17"/>
  <c r="P573" i="17"/>
  <c r="P712" i="17"/>
  <c r="P53" i="17"/>
  <c r="P282" i="17"/>
  <c r="P91" i="17"/>
  <c r="P75" i="17"/>
  <c r="P497" i="17"/>
  <c r="P17" i="17"/>
  <c r="P670" i="17"/>
  <c r="P134" i="17"/>
  <c r="P249" i="17"/>
  <c r="P910" i="17"/>
  <c r="L1033" i="17"/>
  <c r="L911" i="17"/>
  <c r="L912" i="17"/>
  <c r="L913" i="17"/>
  <c r="L914" i="17"/>
  <c r="L915" i="17"/>
  <c r="L916" i="17"/>
  <c r="L917" i="17"/>
  <c r="L918" i="17"/>
  <c r="L919" i="17"/>
  <c r="L920" i="17"/>
  <c r="L921" i="17"/>
  <c r="L922" i="17"/>
  <c r="L923" i="17"/>
  <c r="L924" i="17"/>
  <c r="L925" i="17"/>
  <c r="L926" i="17"/>
  <c r="L927" i="17"/>
  <c r="L928" i="17"/>
  <c r="L929" i="17"/>
  <c r="L930" i="17"/>
  <c r="L931" i="17"/>
  <c r="L932" i="17"/>
  <c r="L933" i="17"/>
  <c r="L934" i="17"/>
  <c r="L935" i="17"/>
  <c r="L936" i="17"/>
  <c r="L937" i="17"/>
  <c r="L938" i="17"/>
  <c r="L939" i="17"/>
  <c r="L940" i="17"/>
  <c r="L941" i="17"/>
  <c r="L942" i="17"/>
  <c r="L943" i="17"/>
  <c r="L944" i="17"/>
  <c r="L945" i="17"/>
  <c r="L946" i="17"/>
  <c r="L947" i="17"/>
  <c r="L948" i="17"/>
  <c r="L949" i="17"/>
  <c r="L950" i="17"/>
  <c r="L951" i="17"/>
  <c r="L952" i="17"/>
  <c r="L953" i="17"/>
  <c r="L954" i="17"/>
  <c r="L955" i="17"/>
  <c r="L956" i="17"/>
  <c r="L957" i="17"/>
  <c r="L958" i="17"/>
  <c r="L959" i="17"/>
  <c r="L960" i="17"/>
  <c r="L961" i="17"/>
  <c r="L962" i="17"/>
  <c r="L963" i="17"/>
  <c r="L964" i="17"/>
  <c r="L965" i="17"/>
  <c r="L966" i="17"/>
  <c r="L967" i="17"/>
  <c r="L968" i="17"/>
  <c r="L969" i="17"/>
  <c r="L970" i="17"/>
  <c r="L971" i="17"/>
  <c r="L972" i="17"/>
  <c r="L973" i="17"/>
  <c r="L974" i="17"/>
  <c r="L975" i="17"/>
  <c r="L976" i="17"/>
  <c r="L977" i="17"/>
  <c r="L978" i="17"/>
  <c r="L979" i="17"/>
  <c r="L980" i="17"/>
  <c r="L981" i="17"/>
  <c r="L982" i="17"/>
  <c r="L983" i="17"/>
  <c r="L984" i="17"/>
  <c r="L985" i="17"/>
  <c r="L986" i="17"/>
  <c r="L987" i="17"/>
  <c r="L988" i="17"/>
  <c r="L989" i="17"/>
  <c r="L990" i="17"/>
  <c r="L991" i="17"/>
  <c r="L992" i="17"/>
  <c r="L993" i="17"/>
  <c r="L994" i="17"/>
  <c r="L995" i="17"/>
  <c r="L996" i="17"/>
  <c r="L997" i="17"/>
  <c r="L998" i="17"/>
  <c r="L999" i="17"/>
  <c r="L1000" i="17"/>
  <c r="L1001" i="17"/>
  <c r="L1002" i="17"/>
  <c r="L1003" i="17"/>
  <c r="L1004" i="17"/>
  <c r="L1005" i="17"/>
  <c r="L1006" i="17"/>
  <c r="L1007" i="17"/>
  <c r="L1008" i="17"/>
  <c r="L1009" i="17"/>
  <c r="L1010" i="17"/>
  <c r="L1011" i="17"/>
  <c r="L1012" i="17"/>
  <c r="L1013" i="17"/>
  <c r="L1014" i="17"/>
  <c r="L1015" i="17"/>
  <c r="L1016" i="17"/>
  <c r="L1017" i="17"/>
  <c r="L1018" i="17"/>
  <c r="L1019" i="17"/>
  <c r="L1020" i="17"/>
  <c r="L1021" i="17"/>
  <c r="L1022" i="17"/>
  <c r="L1023" i="17"/>
  <c r="L1024" i="17"/>
  <c r="L1025" i="17"/>
  <c r="L1026" i="17"/>
  <c r="L1027" i="17"/>
  <c r="L1028" i="17"/>
  <c r="L1029" i="17"/>
  <c r="L1030" i="17"/>
  <c r="L1031" i="17"/>
  <c r="L1032" i="17"/>
  <c r="L910" i="17"/>
  <c r="M788" i="17"/>
  <c r="M117" i="17"/>
  <c r="M724" i="17"/>
  <c r="M699" i="17"/>
  <c r="M565" i="17"/>
  <c r="M1019" i="17"/>
  <c r="M230" i="17"/>
  <c r="M68" i="17"/>
  <c r="M928" i="17"/>
  <c r="M312" i="17"/>
  <c r="M8" i="17"/>
  <c r="M458" i="17"/>
  <c r="M104" i="17"/>
  <c r="M1007" i="17"/>
  <c r="M839" i="17"/>
  <c r="M548" i="17"/>
  <c r="M167" i="17"/>
  <c r="M212" i="17"/>
  <c r="M185" i="17"/>
  <c r="M866" i="17"/>
  <c r="M1001" i="17"/>
  <c r="M246" i="17"/>
  <c r="M452" i="17"/>
  <c r="M83" i="17"/>
  <c r="M974" i="17"/>
  <c r="M115" i="17"/>
  <c r="M474" i="17"/>
  <c r="M879" i="17"/>
  <c r="M1009" i="17"/>
  <c r="M407" i="17"/>
  <c r="M415" i="17"/>
  <c r="M666" i="17"/>
  <c r="M710" i="17"/>
  <c r="M236" i="17"/>
  <c r="M646" i="17"/>
  <c r="M503" i="17"/>
  <c r="M953" i="17"/>
  <c r="M55" i="17"/>
  <c r="M690" i="17"/>
  <c r="M358" i="17"/>
  <c r="M155" i="17"/>
  <c r="M1025" i="17"/>
  <c r="M34" i="17"/>
  <c r="M627" i="17"/>
  <c r="M264" i="17"/>
  <c r="M480" i="17"/>
  <c r="M718" i="17"/>
  <c r="M153" i="17"/>
  <c r="M623" i="17"/>
  <c r="M546" i="17"/>
  <c r="M520" i="17"/>
  <c r="M726" i="17"/>
  <c r="M643" i="17"/>
  <c r="M809" i="17"/>
  <c r="M895" i="17"/>
  <c r="M817" i="17"/>
  <c r="M922" i="17"/>
  <c r="M402" i="17"/>
  <c r="M677" i="17"/>
  <c r="M369" i="17"/>
  <c r="M618" i="17"/>
  <c r="M775" i="17"/>
  <c r="M47" i="17"/>
  <c r="M683" i="17"/>
  <c r="M191" i="17"/>
  <c r="M768" i="17"/>
  <c r="M711" i="17"/>
  <c r="M865" i="17"/>
  <c r="M559" i="17"/>
  <c r="M910" i="17"/>
  <c r="M854" i="17"/>
  <c r="M919" i="17"/>
  <c r="M870" i="17"/>
  <c r="M958" i="17"/>
  <c r="M108" i="17"/>
  <c r="M432" i="17"/>
  <c r="M825" i="17"/>
  <c r="M181" i="17"/>
  <c r="M944" i="17"/>
  <c r="M641" i="17"/>
  <c r="M477" i="17"/>
  <c r="M765" i="17"/>
  <c r="M42" i="17"/>
  <c r="M399" i="17"/>
  <c r="M979" i="17"/>
  <c r="M810" i="17"/>
  <c r="M778" i="17"/>
  <c r="M679" i="17"/>
  <c r="M484" i="17"/>
  <c r="M251" i="17"/>
  <c r="M890" i="17"/>
  <c r="M107" i="17"/>
  <c r="M708" i="17"/>
  <c r="M199" i="17"/>
  <c r="M241" i="17"/>
  <c r="M622" i="17"/>
  <c r="M344" i="17"/>
  <c r="M674" i="17"/>
  <c r="M382" i="17"/>
  <c r="M147" i="17"/>
  <c r="M594" i="17"/>
  <c r="M956" i="17"/>
  <c r="M506" i="17"/>
  <c r="M863" i="17"/>
  <c r="M811" i="17"/>
  <c r="M130" i="17"/>
  <c r="M930" i="17"/>
  <c r="M315" i="17"/>
  <c r="M278" i="17"/>
  <c r="M556" i="17"/>
  <c r="M122" i="17"/>
  <c r="M394" i="17"/>
  <c r="M887" i="17"/>
  <c r="M882" i="17"/>
  <c r="M173" i="17"/>
  <c r="M766" i="17"/>
  <c r="M109" i="17"/>
  <c r="M50" i="17"/>
  <c r="M913" i="17"/>
  <c r="M987" i="17"/>
  <c r="M736" i="17"/>
  <c r="M303" i="17"/>
  <c r="M371" i="17"/>
  <c r="M386" i="17"/>
  <c r="M410" i="17"/>
  <c r="M700" i="17"/>
  <c r="M53" i="17"/>
  <c r="M799" i="17"/>
  <c r="M333" i="17"/>
  <c r="M359" i="17"/>
  <c r="M783" i="17"/>
  <c r="M397" i="17"/>
  <c r="M360" i="17"/>
  <c r="M529" i="17"/>
  <c r="M819" i="17"/>
  <c r="M105" i="17"/>
  <c r="M523" i="17"/>
  <c r="M313" i="17"/>
  <c r="M330" i="17"/>
  <c r="M296" i="17"/>
  <c r="M492" i="17"/>
  <c r="M218" i="17"/>
  <c r="M981" i="17"/>
  <c r="M123" i="17"/>
  <c r="M800" i="17"/>
  <c r="M401" i="17"/>
  <c r="M545" i="17"/>
  <c r="M758" i="17"/>
  <c r="M762" i="17"/>
  <c r="M689" i="17"/>
  <c r="M982" i="17"/>
  <c r="M481" i="17"/>
  <c r="M540" i="17"/>
  <c r="M518" i="17"/>
  <c r="M631" i="17"/>
  <c r="M901" i="17"/>
  <c r="M110" i="17"/>
  <c r="M543" i="17"/>
  <c r="M793" i="17"/>
  <c r="M908" i="17"/>
  <c r="M651" i="17"/>
  <c r="M222" i="17"/>
  <c r="M818" i="17"/>
  <c r="M400" i="17"/>
  <c r="M554" i="17"/>
  <c r="M467" i="17"/>
  <c r="M947" i="17"/>
  <c r="M406" i="17"/>
  <c r="M156" i="17"/>
  <c r="M1015" i="17"/>
  <c r="M135" i="17"/>
  <c r="M273" i="17"/>
  <c r="M614" i="17"/>
  <c r="M660" i="17"/>
  <c r="M527" i="17"/>
  <c r="M728" i="17"/>
  <c r="M334" i="17"/>
  <c r="M61" i="17"/>
  <c r="M125" i="17"/>
  <c r="M424" i="17"/>
  <c r="M389" i="17"/>
  <c r="M356" i="17"/>
  <c r="M883" i="17"/>
  <c r="M593" i="17"/>
  <c r="M1000" i="17"/>
  <c r="M687" i="17"/>
  <c r="M629" i="17"/>
  <c r="M749" i="17"/>
  <c r="M139" i="17"/>
  <c r="M428" i="17"/>
  <c r="M525" i="17"/>
  <c r="M198" i="17"/>
  <c r="M914" i="17"/>
  <c r="M447" i="17"/>
  <c r="M963" i="17"/>
  <c r="M761" i="17"/>
  <c r="M121" i="17"/>
  <c r="M722" i="17"/>
  <c r="M151" i="17"/>
  <c r="M58" i="17"/>
  <c r="M367" i="17"/>
  <c r="M214" i="17"/>
  <c r="M884" i="17"/>
  <c r="M676" i="17"/>
  <c r="M911" i="17"/>
  <c r="M111" i="17"/>
  <c r="M776" i="17"/>
  <c r="M552" i="17"/>
  <c r="M413" i="17"/>
  <c r="M433" i="17"/>
  <c r="M40" i="17"/>
  <c r="M438" i="17"/>
  <c r="M691" i="17"/>
  <c r="M764" i="17"/>
  <c r="M707" i="17"/>
  <c r="M916" i="17"/>
  <c r="M316" i="17"/>
  <c r="M120" i="17"/>
  <c r="M323" i="17"/>
  <c r="M741" i="17"/>
  <c r="M705" i="17"/>
  <c r="M849" i="17"/>
  <c r="M168" i="17"/>
  <c r="M304" i="17"/>
  <c r="M454" i="17"/>
  <c r="M826" i="17"/>
  <c r="M815" i="17"/>
  <c r="M376" i="17"/>
  <c r="M576" i="17"/>
  <c r="M387" i="17"/>
  <c r="M941" i="17"/>
  <c r="M427" i="17"/>
  <c r="M873" i="17"/>
  <c r="M497" i="17"/>
  <c r="M693" i="17"/>
  <c r="M368" i="17"/>
  <c r="M95" i="17"/>
  <c r="M969" i="17"/>
  <c r="M763" i="17"/>
  <c r="M872" i="17"/>
  <c r="M5" i="17"/>
  <c r="M909" i="17"/>
  <c r="M311" i="17"/>
  <c r="M207" i="17"/>
  <c r="M74" i="17"/>
  <c r="M757" i="17"/>
  <c r="M767" i="17"/>
  <c r="M730" i="17"/>
  <c r="M880" i="17"/>
  <c r="M802" i="17"/>
  <c r="M962" i="17"/>
  <c r="M886" i="17"/>
  <c r="M681" i="17"/>
  <c r="M320" i="17"/>
  <c r="M294" i="17"/>
  <c r="M375" i="17"/>
  <c r="M892" i="17"/>
  <c r="M449" i="17"/>
  <c r="M290" i="17"/>
  <c r="M542" i="17"/>
  <c r="M927" i="17"/>
  <c r="M734" i="17"/>
  <c r="M164" i="17"/>
  <c r="M157" i="17"/>
  <c r="M257" i="17"/>
  <c r="M182" i="17"/>
  <c r="M425" i="17"/>
  <c r="M19" i="17"/>
  <c r="M609" i="17"/>
  <c r="M583" i="17"/>
  <c r="M33" i="17"/>
  <c r="M124" i="17"/>
  <c r="M494" i="17"/>
  <c r="M216" i="17"/>
  <c r="M760" i="17"/>
  <c r="M321" i="17"/>
  <c r="M792" i="17"/>
  <c r="M430" i="17"/>
  <c r="M634" i="17"/>
  <c r="M69" i="17"/>
  <c r="M957" i="17"/>
  <c r="M769" i="17"/>
  <c r="M653" i="17"/>
  <c r="M578" i="17"/>
  <c r="M678" i="17"/>
  <c r="M994" i="17"/>
  <c r="M804" i="17"/>
  <c r="M805" i="17"/>
  <c r="M723" i="17"/>
  <c r="M184" i="17"/>
  <c r="M463" i="17"/>
  <c r="M881" i="17"/>
  <c r="M789" i="17"/>
  <c r="M60" i="17"/>
  <c r="M535" i="17"/>
  <c r="M245" i="17"/>
  <c r="M267" i="17"/>
  <c r="M544" i="17"/>
  <c r="M75" i="17"/>
  <c r="M18" i="17"/>
  <c r="M668" i="17"/>
  <c r="M639" i="17"/>
  <c r="M63" i="17"/>
  <c r="M209" i="17"/>
  <c r="M996" i="17"/>
  <c r="M456" i="17"/>
  <c r="M770" i="17"/>
  <c r="M521" i="17"/>
  <c r="M281" i="17"/>
  <c r="M6" i="17"/>
  <c r="M31" i="17"/>
  <c r="M292" i="17"/>
  <c r="M592" i="17"/>
  <c r="M568" i="17"/>
  <c r="M487" i="17"/>
  <c r="M650" i="17"/>
  <c r="M324" i="17"/>
  <c r="M567" i="17"/>
  <c r="M176" i="17"/>
  <c r="M468" i="17"/>
  <c r="M533" i="17"/>
  <c r="M625" i="17"/>
  <c r="M145" i="17"/>
  <c r="M279" i="17"/>
  <c r="M709" i="17"/>
  <c r="M302" i="17"/>
  <c r="M940" i="17"/>
  <c r="M813" i="17"/>
  <c r="M244" i="17"/>
  <c r="M610" i="17"/>
  <c r="M779" i="17"/>
  <c r="M112" i="17"/>
  <c r="M598" i="17"/>
  <c r="M1016" i="17"/>
  <c r="M65" i="17"/>
  <c r="M751" i="17"/>
  <c r="M858" i="17"/>
  <c r="M266" i="17"/>
  <c r="M673" i="17"/>
  <c r="M27" i="17"/>
  <c r="M1014" i="17"/>
  <c r="M346" i="17"/>
  <c r="M569" i="17"/>
  <c r="M777" i="17"/>
  <c r="M192" i="17"/>
  <c r="M984" i="17"/>
  <c r="M177" i="17"/>
  <c r="M605" i="17"/>
  <c r="M188" i="17"/>
  <c r="M1017" i="17"/>
  <c r="M1024" i="17"/>
  <c r="M579" i="17"/>
  <c r="M946" i="17"/>
  <c r="M889" i="17"/>
  <c r="M896" i="17"/>
  <c r="M524" i="17"/>
  <c r="M140" i="17"/>
  <c r="M701" i="17"/>
  <c r="M589" i="17"/>
  <c r="M242" i="17"/>
  <c r="M141" i="17"/>
  <c r="M988" i="17"/>
  <c r="M694" i="17"/>
  <c r="M493" i="17"/>
  <c r="M379" i="17"/>
  <c r="M833" i="17"/>
  <c r="M175" i="17"/>
  <c r="M235" i="17"/>
  <c r="M615" i="17"/>
  <c r="M822" i="17"/>
  <c r="M343" i="17"/>
  <c r="M952" i="17"/>
  <c r="M658" i="17"/>
  <c r="M314" i="17"/>
  <c r="M234" i="17"/>
  <c r="M137" i="17"/>
  <c r="M200" i="17"/>
  <c r="M857" i="17"/>
  <c r="M557" i="17"/>
  <c r="M169" i="17"/>
  <c r="M966" i="17"/>
  <c r="M936" i="17"/>
  <c r="M528" i="17"/>
  <c r="M459" i="17"/>
  <c r="M541" i="17"/>
  <c r="M390" i="17"/>
  <c r="M648" i="17"/>
  <c r="M893" i="17"/>
  <c r="M435" i="17"/>
  <c r="M80" i="17"/>
  <c r="M841" i="17"/>
  <c r="M94" i="17"/>
  <c r="M301" i="17"/>
  <c r="M980" i="17"/>
  <c r="M607" i="17"/>
  <c r="M745" i="17"/>
  <c r="M437" i="17"/>
  <c r="M225" i="17"/>
  <c r="M558" i="17"/>
  <c r="M719" i="17"/>
  <c r="M997" i="17"/>
  <c r="M9" i="17"/>
  <c r="M1021" i="17"/>
  <c r="M644" i="17"/>
  <c r="M659" i="17"/>
  <c r="M526" i="17"/>
  <c r="M680" i="17"/>
  <c r="M160" i="17"/>
  <c r="M418" i="17"/>
  <c r="M288" i="17"/>
  <c r="M902" i="17"/>
  <c r="M283" i="17"/>
  <c r="M322" i="17"/>
  <c r="M797" i="17"/>
  <c r="M429" i="17"/>
  <c r="M885" i="17"/>
  <c r="M11" i="17"/>
  <c r="M1006" i="17"/>
  <c r="M361" i="17"/>
  <c r="M945" i="17"/>
  <c r="M530" i="17"/>
  <c r="M403" i="17"/>
  <c r="M201" i="17"/>
  <c r="M989" i="17"/>
  <c r="M560" i="17"/>
  <c r="M602" i="17"/>
  <c r="M931" i="17"/>
  <c r="M949" i="17"/>
  <c r="M439" i="17"/>
  <c r="M455" i="17"/>
  <c r="M289" i="17"/>
  <c r="M417" i="17"/>
  <c r="M129" i="17"/>
  <c r="M101" i="17"/>
  <c r="M725" i="17"/>
  <c r="M499" i="17"/>
  <c r="M45" i="17"/>
  <c r="M253" i="17"/>
  <c r="M221" i="17"/>
  <c r="M90" i="17"/>
  <c r="M384" i="17"/>
  <c r="M965" i="17"/>
  <c r="M248" i="17"/>
  <c r="M688" i="17"/>
  <c r="M824" i="17"/>
  <c r="M737" i="17"/>
  <c r="M250" i="17"/>
  <c r="M36" i="17"/>
  <c r="M929" i="17"/>
  <c r="M978" i="17"/>
  <c r="M733" i="17"/>
  <c r="M642" i="17"/>
  <c r="M2" i="17"/>
  <c r="M446" i="17"/>
  <c r="M575" i="17"/>
  <c r="M64" i="17"/>
  <c r="M743" i="17"/>
  <c r="M507" i="17"/>
  <c r="M1029" i="17"/>
  <c r="M196" i="17"/>
  <c r="M794" i="17"/>
  <c r="M633" i="17"/>
  <c r="M991" i="17"/>
  <c r="M286" i="17"/>
  <c r="M223" i="17"/>
  <c r="M502" i="17"/>
  <c r="M159" i="17"/>
  <c r="M534" i="17"/>
  <c r="M754" i="17"/>
  <c r="M715" i="17"/>
  <c r="M338" i="17"/>
  <c r="M898" i="17"/>
  <c r="M686" i="17"/>
  <c r="M243" i="17"/>
  <c r="M39" i="17"/>
  <c r="M381" i="17"/>
  <c r="M652" i="17"/>
  <c r="M663" i="17"/>
  <c r="M640" i="17"/>
  <c r="M220" i="17"/>
  <c r="M255" i="17"/>
  <c r="M531" i="17"/>
  <c r="M829" i="17"/>
  <c r="M495" i="17"/>
  <c r="M363" i="17"/>
  <c r="M847" i="17"/>
  <c r="M29" i="17"/>
  <c r="M247" i="17"/>
  <c r="M440" i="17"/>
  <c r="M106" i="17"/>
  <c r="M172" i="17"/>
  <c r="M340" i="17"/>
  <c r="M30" i="17"/>
  <c r="M260" i="17"/>
  <c r="M469" i="17"/>
  <c r="M73" i="17"/>
  <c r="M637" i="17"/>
  <c r="M868" i="17"/>
  <c r="M10" i="17"/>
  <c r="M1003" i="17"/>
  <c r="M626" i="17"/>
  <c r="M1018" i="17"/>
  <c r="M720" i="17"/>
  <c r="M773" i="17"/>
  <c r="M925" i="17"/>
  <c r="M380" i="17"/>
  <c r="M897" i="17"/>
  <c r="M785" i="17"/>
  <c r="M70" i="17"/>
  <c r="M35" i="17"/>
  <c r="M352" i="17"/>
  <c r="M1010" i="17"/>
  <c r="M478" i="17"/>
  <c r="M955" i="17"/>
  <c r="M142" i="17"/>
  <c r="M796" i="17"/>
  <c r="M149" i="17"/>
  <c r="M327" i="17"/>
  <c r="M840" i="17"/>
  <c r="M337" i="17"/>
  <c r="M685" i="17"/>
  <c r="M12" i="17"/>
  <c r="M317" i="17"/>
  <c r="M470" i="17"/>
  <c r="M17" i="17"/>
  <c r="M310" i="17"/>
  <c r="M636" i="17"/>
  <c r="M422" i="17"/>
  <c r="M496" i="17"/>
  <c r="M798" i="17"/>
  <c r="M655" i="17"/>
  <c r="M186" i="17"/>
  <c r="M601" i="17"/>
  <c r="M93" i="17"/>
  <c r="M421" i="17"/>
  <c r="M91" i="17"/>
  <c r="M479" i="17"/>
  <c r="M52" i="17"/>
  <c r="M490" i="17"/>
  <c r="M547" i="17"/>
  <c r="M24" i="17"/>
  <c r="M475" i="17"/>
  <c r="M861" i="17"/>
  <c r="M656" i="17"/>
  <c r="M657" i="17"/>
  <c r="M215" i="17"/>
  <c r="M671" i="17"/>
  <c r="M307" i="17"/>
  <c r="M152" i="17"/>
  <c r="M808" i="17"/>
  <c r="M903" i="17"/>
  <c r="M714" i="17"/>
  <c r="M498" i="17"/>
  <c r="M488" i="17"/>
  <c r="M934" i="17"/>
  <c r="M577" i="17"/>
  <c r="M662" i="17"/>
  <c r="M174" i="17"/>
  <c r="M721" i="17"/>
  <c r="M1022" i="17"/>
  <c r="M698" i="17"/>
  <c r="M89" i="17"/>
  <c r="M874" i="17"/>
  <c r="M405" i="17"/>
  <c r="M973" i="17"/>
  <c r="M203" i="17"/>
  <c r="M54" i="17"/>
  <c r="M28" i="17"/>
  <c r="M828" i="17"/>
  <c r="M362" i="17"/>
  <c r="M224" i="17"/>
  <c r="M23" i="17"/>
  <c r="M852" i="17"/>
  <c r="M1020" i="17"/>
  <c r="M759" i="17"/>
  <c r="M414" i="17"/>
  <c r="M66" i="17"/>
  <c r="M365" i="17"/>
  <c r="M975" i="17"/>
  <c r="M318" i="17"/>
  <c r="M131" i="17"/>
  <c r="M573" i="17"/>
  <c r="M1030" i="17"/>
  <c r="M476" i="17"/>
  <c r="M14" i="17"/>
  <c r="M132" i="17"/>
  <c r="M49" i="17"/>
  <c r="M372" i="17"/>
  <c r="M171" i="17"/>
  <c r="M747" i="17"/>
  <c r="M86" i="17"/>
  <c r="M842" i="17"/>
  <c r="M670" i="17"/>
  <c r="M853" i="17"/>
  <c r="M904" i="17"/>
  <c r="M803" i="17"/>
  <c r="M703" i="17"/>
  <c r="M412" i="17"/>
  <c r="M166" i="17"/>
  <c r="M284" i="17"/>
  <c r="M465" i="17"/>
  <c r="M827" i="17"/>
  <c r="M464" i="17"/>
  <c r="M876" i="17"/>
  <c r="M150" i="17"/>
  <c r="M48" i="17"/>
  <c r="M864" i="17"/>
  <c r="M51" i="17"/>
  <c r="M287" i="17"/>
  <c r="M483" i="17"/>
  <c r="M305" i="17"/>
  <c r="M370" i="17"/>
  <c r="M807" i="17"/>
  <c r="M190" i="17"/>
  <c r="M830" i="17"/>
  <c r="M654" i="17"/>
  <c r="M240" i="17"/>
  <c r="M391" i="17"/>
  <c r="M366" i="17"/>
  <c r="M256" i="17"/>
  <c r="M1008" i="17"/>
  <c r="M566" i="17"/>
  <c r="M563" i="17"/>
  <c r="M202" i="17"/>
  <c r="M948" i="17"/>
  <c r="M457" i="17"/>
  <c r="M536" i="17"/>
  <c r="M696" i="17"/>
  <c r="M187" i="17"/>
  <c r="M619" i="17"/>
  <c r="M856" i="17"/>
  <c r="M961" i="17"/>
  <c r="M912" i="17"/>
  <c r="M729" i="17"/>
  <c r="M444" i="17"/>
  <c r="M774" i="17"/>
  <c r="M938" i="17"/>
  <c r="M771" i="17"/>
  <c r="M22" i="17"/>
  <c r="M1031" i="17"/>
  <c r="M261" i="17"/>
  <c r="M590" i="17"/>
  <c r="M85" i="17"/>
  <c r="M114" i="17"/>
  <c r="M194" i="17"/>
  <c r="M836" i="17"/>
  <c r="M431" i="17"/>
  <c r="M539" i="17"/>
  <c r="M649" i="17"/>
  <c r="M393" i="17"/>
  <c r="M977" i="17"/>
  <c r="M331" i="17"/>
  <c r="M990" i="17"/>
  <c r="M564" i="17"/>
  <c r="M515" i="17"/>
  <c r="M867" i="17"/>
  <c r="M1026" i="17"/>
  <c r="M482" i="17"/>
  <c r="M232" i="17"/>
  <c r="M753" i="17"/>
  <c r="M299" i="17"/>
  <c r="M269" i="17"/>
  <c r="M1005" i="17"/>
  <c r="M821" i="17"/>
  <c r="M891" i="17"/>
  <c r="M163" i="17"/>
  <c r="M189" i="17"/>
  <c r="M942" i="17"/>
  <c r="M582" i="17"/>
  <c r="M843" i="17"/>
  <c r="M786" i="17"/>
  <c r="M453" i="17"/>
  <c r="M44" i="17"/>
  <c r="M588" i="17"/>
  <c r="M926" i="17"/>
  <c r="M781" i="17"/>
  <c r="M378" i="17"/>
  <c r="M249" i="17"/>
  <c r="M848" i="17"/>
  <c r="M604" i="17"/>
  <c r="M1032" i="17"/>
  <c r="M228" i="17"/>
  <c r="M78" i="17"/>
  <c r="M522" i="17"/>
  <c r="M571" i="17"/>
  <c r="M917" i="17"/>
  <c r="M396" i="17"/>
  <c r="M584" i="17"/>
  <c r="M553" i="17"/>
  <c r="M328" i="17"/>
  <c r="M950" i="17"/>
  <c r="M345" i="17"/>
  <c r="M816" i="17"/>
  <c r="M341" i="17"/>
  <c r="M960" i="17"/>
  <c r="M617" i="17"/>
  <c r="M127" i="17"/>
  <c r="M148" i="17"/>
  <c r="M509" i="17"/>
  <c r="M586" i="17"/>
  <c r="M275" i="17"/>
  <c r="M574" i="17"/>
  <c r="M43" i="17"/>
  <c r="M513" i="17"/>
  <c r="M342" i="17"/>
  <c r="M731" i="17"/>
  <c r="M306" i="17"/>
  <c r="M587" i="17"/>
  <c r="M41" i="17"/>
  <c r="M451" i="17"/>
  <c r="M939" i="17"/>
  <c r="M258" i="17"/>
  <c r="M92" i="17"/>
  <c r="M357" i="17"/>
  <c r="M894" i="17"/>
  <c r="M76" i="17"/>
  <c r="M675" i="17"/>
  <c r="M580" i="17"/>
  <c r="M784" i="17"/>
  <c r="M964" i="17"/>
  <c r="M732" i="17"/>
  <c r="M84" i="17"/>
  <c r="M850" i="17"/>
  <c r="M664" i="17"/>
  <c r="M154" i="17"/>
  <c r="M549" i="17"/>
  <c r="M195" i="17"/>
  <c r="M613" i="17"/>
  <c r="M205" i="17"/>
  <c r="M570" i="17"/>
  <c r="M204" i="17"/>
  <c r="M26" i="17"/>
  <c r="M416" i="17"/>
  <c r="M471" i="17"/>
  <c r="M96" i="17"/>
  <c r="M38" i="17"/>
  <c r="M746" i="17"/>
  <c r="M508" i="17"/>
  <c r="M420" i="17"/>
  <c r="M97" i="17"/>
  <c r="M532" i="17"/>
  <c r="M136" i="17"/>
  <c r="M67" i="17"/>
  <c r="M888" i="17"/>
  <c r="M846" i="17"/>
  <c r="M600" i="17"/>
  <c r="M599" i="17"/>
  <c r="M933" i="17"/>
  <c r="M319" i="17"/>
  <c r="M791" i="17"/>
  <c r="M335" i="17"/>
  <c r="M347" i="17"/>
  <c r="M351" i="17"/>
  <c r="M738" i="17"/>
  <c r="M1028" i="17"/>
  <c r="M812" i="17"/>
  <c r="M227" i="17"/>
  <c r="M98" i="17"/>
  <c r="M967" i="17"/>
  <c r="M71" i="17"/>
  <c r="M628" i="17"/>
  <c r="M692" i="17"/>
  <c r="M219" i="17"/>
  <c r="M514" i="17"/>
  <c r="M113" i="17"/>
  <c r="M937" i="17"/>
  <c r="M806" i="17"/>
  <c r="M706" i="17"/>
  <c r="M442" i="17"/>
  <c r="M102" i="17"/>
  <c r="M742" i="17"/>
  <c r="M32" i="17"/>
  <c r="M350" i="17"/>
  <c r="M263" i="17"/>
  <c r="M231" i="17"/>
  <c r="M517" i="17"/>
  <c r="M411" i="17"/>
  <c r="M128" i="17"/>
  <c r="M265" i="17"/>
  <c r="M226" i="17"/>
  <c r="M268" i="17"/>
  <c r="M238" i="17"/>
  <c r="M277" i="17"/>
  <c r="M183" i="17"/>
  <c r="M259" i="17"/>
  <c r="M504" i="17"/>
  <c r="M801" i="17"/>
  <c r="M297" i="17"/>
  <c r="M165" i="17"/>
  <c r="M935" i="17"/>
  <c r="M385" i="17"/>
  <c r="M951" i="17"/>
  <c r="M144" i="17"/>
  <c r="M298" i="17"/>
  <c r="M126" i="17"/>
  <c r="M851" i="17"/>
  <c r="M750" i="17"/>
  <c r="M462" i="17"/>
  <c r="M831" i="17"/>
  <c r="M436" i="17"/>
  <c r="M972" i="17"/>
  <c r="M727" i="17"/>
  <c r="M606" i="17"/>
  <c r="M1012" i="17"/>
  <c r="M845" i="17"/>
  <c r="M835" i="17"/>
  <c r="M585" i="17"/>
  <c r="M460" i="17"/>
  <c r="M426" i="17"/>
  <c r="M336" i="17"/>
  <c r="M932" i="17"/>
  <c r="M348" i="17"/>
  <c r="M254" i="17"/>
  <c r="M461" i="17"/>
  <c r="M924" i="17"/>
  <c r="M780" i="17"/>
  <c r="M13" i="17"/>
  <c r="M81" i="17"/>
  <c r="M665" i="17"/>
  <c r="M755" i="17"/>
  <c r="M695" i="17"/>
  <c r="M295" i="17"/>
  <c r="M787" i="17"/>
  <c r="M992" i="17"/>
  <c r="M57" i="17"/>
  <c r="M374" i="17"/>
  <c r="M206" i="17"/>
  <c r="M339" i="17"/>
  <c r="M423" i="17"/>
  <c r="M325" i="17"/>
  <c r="M491" i="17"/>
  <c r="M21" i="17"/>
  <c r="M512" i="17"/>
  <c r="M233" i="17"/>
  <c r="M161" i="17"/>
  <c r="M855" i="17"/>
  <c r="M466" i="17"/>
  <c r="M918" i="17"/>
  <c r="M197" i="17"/>
  <c r="M832" i="17"/>
  <c r="M739" i="17"/>
  <c r="M395" i="17"/>
  <c r="M392" i="17"/>
  <c r="M713" i="17"/>
  <c r="M516" i="17"/>
  <c r="M860" i="17"/>
  <c r="M276" i="17"/>
  <c r="M138" i="17"/>
  <c r="M72" i="17"/>
  <c r="M217" i="17"/>
  <c r="M970" i="17"/>
  <c r="M486" i="17"/>
  <c r="M959" i="17"/>
  <c r="M271" i="17"/>
  <c r="M608" i="17"/>
  <c r="M968" i="17"/>
  <c r="M274" i="17"/>
  <c r="M293" i="17"/>
  <c r="M682" i="17"/>
  <c r="M262" i="17"/>
  <c r="M193" i="17"/>
  <c r="M597" i="17"/>
  <c r="M551" i="17"/>
  <c r="M383" i="17"/>
  <c r="M661" i="17"/>
  <c r="M291" i="17"/>
  <c r="M208" i="17"/>
  <c r="M178" i="17"/>
  <c r="M15" i="17"/>
  <c r="M943" i="17"/>
  <c r="M1033" i="17"/>
  <c r="M1011" i="17"/>
  <c r="M954" i="17"/>
  <c r="M3" i="17"/>
  <c r="M88" i="17"/>
  <c r="M485" i="17"/>
  <c r="M844" i="17"/>
  <c r="M1027" i="17"/>
  <c r="M134" i="17"/>
  <c r="M581" i="17"/>
  <c r="M158" i="17"/>
  <c r="M355" i="17"/>
  <c r="M472" i="17"/>
  <c r="M993" i="17"/>
  <c r="M404" i="17"/>
  <c r="M611" i="17"/>
  <c r="M505" i="17"/>
  <c r="M377" i="17"/>
  <c r="M146" i="17"/>
  <c r="M349" i="17"/>
  <c r="M77" i="17"/>
  <c r="M87" i="17"/>
  <c r="M180" i="17"/>
  <c r="M923" i="17"/>
  <c r="M999" i="17"/>
  <c r="M740" i="17"/>
  <c r="M37" i="17"/>
  <c r="M252" i="17"/>
  <c r="M875" i="17"/>
  <c r="M823" i="17"/>
  <c r="M272" i="17"/>
  <c r="M537" i="17"/>
  <c r="M612" i="17"/>
  <c r="M103" i="17"/>
  <c r="M878" i="17"/>
  <c r="M419" i="17"/>
  <c r="M814" i="17"/>
  <c r="M229" i="17"/>
  <c r="M716" i="17"/>
  <c r="M308" i="17"/>
  <c r="M332" i="17"/>
  <c r="M906" i="17"/>
  <c r="M717" i="17"/>
  <c r="M697" i="17"/>
  <c r="M838" i="17"/>
  <c r="M869" i="17"/>
  <c r="M735" i="17"/>
  <c r="M100" i="17"/>
  <c r="M820" i="17"/>
  <c r="M900" i="17"/>
  <c r="M398" i="17"/>
  <c r="M285" i="17"/>
  <c r="M744" i="17"/>
  <c r="M364" i="17"/>
  <c r="M905" i="17"/>
  <c r="M907" i="17"/>
  <c r="M976" i="17"/>
  <c r="M270" i="17"/>
  <c r="M59" i="17"/>
  <c r="M899" i="17"/>
  <c r="M782" i="17"/>
  <c r="M645" i="17"/>
  <c r="M210" i="17"/>
  <c r="M837" i="17"/>
  <c r="M712" i="17"/>
  <c r="M621" i="17"/>
  <c r="M986" i="17"/>
  <c r="M99" i="17"/>
  <c r="M443" i="17"/>
  <c r="M550" i="17"/>
  <c r="M329" i="17"/>
  <c r="M118" i="17"/>
  <c r="M772" i="17"/>
  <c r="M239" i="17"/>
  <c r="M790" i="17"/>
  <c r="M511" i="17"/>
  <c r="M500" i="17"/>
  <c r="M756" i="17"/>
  <c r="M630" i="17"/>
  <c r="M7" i="17"/>
  <c r="M309" i="17"/>
  <c r="M25" i="17"/>
  <c r="M280" i="17"/>
  <c r="M4" i="17"/>
  <c r="M603" i="17"/>
  <c r="M562" i="17"/>
  <c r="M752" i="17"/>
  <c r="M834" i="17"/>
  <c r="M624" i="17"/>
  <c r="M282" i="17"/>
  <c r="M388" i="17"/>
  <c r="M473" i="17"/>
  <c r="M179" i="17"/>
  <c r="M920" i="17"/>
  <c r="M620" i="17"/>
  <c r="M326" i="17"/>
  <c r="M915" i="17"/>
  <c r="M501" i="17"/>
  <c r="M353" i="17"/>
  <c r="M877" i="17"/>
  <c r="M538" i="17"/>
  <c r="M859" i="17"/>
  <c r="M119" i="17"/>
  <c r="M616" i="17"/>
  <c r="M704" i="17"/>
  <c r="M445" i="17"/>
  <c r="M647" i="17"/>
  <c r="M1023" i="17"/>
  <c r="M1013" i="17"/>
  <c r="M555" i="17"/>
  <c r="M1002" i="17"/>
  <c r="M572" i="17"/>
  <c r="M871" i="17"/>
  <c r="M862" i="17"/>
  <c r="M79" i="17"/>
  <c r="M62" i="17"/>
  <c r="M998" i="17"/>
  <c r="M748" i="17"/>
  <c r="M672" i="17"/>
  <c r="M971" i="17"/>
  <c r="M162" i="17"/>
  <c r="M170" i="17"/>
  <c r="M211" i="17"/>
  <c r="M354" i="17"/>
  <c r="M408" i="17"/>
  <c r="M702" i="17"/>
  <c r="M921" i="17"/>
  <c r="M595" i="17"/>
  <c r="M635" i="17"/>
  <c r="M448" i="17"/>
  <c r="M638" i="17"/>
  <c r="M237" i="17"/>
  <c r="M489" i="17"/>
  <c r="M795" i="17"/>
  <c r="M373" i="17"/>
  <c r="M995" i="17"/>
  <c r="M519" i="17"/>
  <c r="M985" i="17"/>
  <c r="M213" i="17"/>
  <c r="M300" i="17"/>
  <c r="M143" i="17"/>
  <c r="M409" i="17"/>
  <c r="M983" i="17"/>
  <c r="M16" i="17"/>
  <c r="M632" i="17"/>
  <c r="M684" i="17"/>
  <c r="M56" i="17"/>
  <c r="M667" i="17"/>
  <c r="M133" i="17"/>
  <c r="M20" i="17"/>
  <c r="M441" i="17"/>
  <c r="M116" i="17"/>
  <c r="M46" i="17"/>
  <c r="M82" i="17"/>
  <c r="M561" i="17"/>
  <c r="M510" i="17"/>
  <c r="M591" i="17"/>
  <c r="M434" i="17"/>
  <c r="M669" i="17"/>
  <c r="M450" i="17"/>
  <c r="M1004" i="17"/>
  <c r="M596" i="17"/>
  <c r="J788" i="17"/>
  <c r="J117" i="17"/>
  <c r="J724" i="17"/>
  <c r="J699" i="17"/>
  <c r="J565" i="17"/>
  <c r="J1019" i="17"/>
  <c r="J230" i="17"/>
  <c r="J68" i="17"/>
  <c r="J928" i="17"/>
  <c r="J312" i="17"/>
  <c r="J8" i="17"/>
  <c r="J458" i="17"/>
  <c r="J104" i="17"/>
  <c r="J1007" i="17"/>
  <c r="J839" i="17"/>
  <c r="J548" i="17"/>
  <c r="J167" i="17"/>
  <c r="J212" i="17"/>
  <c r="J185" i="17"/>
  <c r="J866" i="17"/>
  <c r="J1001" i="17"/>
  <c r="J246" i="17"/>
  <c r="J452" i="17"/>
  <c r="J83" i="17"/>
  <c r="J974" i="17"/>
  <c r="J115" i="17"/>
  <c r="J474" i="17"/>
  <c r="J879" i="17"/>
  <c r="J1009" i="17"/>
  <c r="J407" i="17"/>
  <c r="J415" i="17"/>
  <c r="J666" i="17"/>
  <c r="J710" i="17"/>
  <c r="J236" i="17"/>
  <c r="J646" i="17"/>
  <c r="J503" i="17"/>
  <c r="J953" i="17"/>
  <c r="J55" i="17"/>
  <c r="J690" i="17"/>
  <c r="J358" i="17"/>
  <c r="J155" i="17"/>
  <c r="J1025" i="17"/>
  <c r="J34" i="17"/>
  <c r="J627" i="17"/>
  <c r="J264" i="17"/>
  <c r="J480" i="17"/>
  <c r="J718" i="17"/>
  <c r="J153" i="17"/>
  <c r="J623" i="17"/>
  <c r="J546" i="17"/>
  <c r="J520" i="17"/>
  <c r="J726" i="17"/>
  <c r="J643" i="17"/>
  <c r="J809" i="17"/>
  <c r="J895" i="17"/>
  <c r="J817" i="17"/>
  <c r="J922" i="17"/>
  <c r="J402" i="17"/>
  <c r="J677" i="17"/>
  <c r="J369" i="17"/>
  <c r="J618" i="17"/>
  <c r="J775" i="17"/>
  <c r="J47" i="17"/>
  <c r="J683" i="17"/>
  <c r="J191" i="17"/>
  <c r="J768" i="17"/>
  <c r="J711" i="17"/>
  <c r="J865" i="17"/>
  <c r="J559" i="17"/>
  <c r="J910" i="17"/>
  <c r="J854" i="17"/>
  <c r="J919" i="17"/>
  <c r="J870" i="17"/>
  <c r="J958" i="17"/>
  <c r="J108" i="17"/>
  <c r="J432" i="17"/>
  <c r="J825" i="17"/>
  <c r="J181" i="17"/>
  <c r="J944" i="17"/>
  <c r="J641" i="17"/>
  <c r="J477" i="17"/>
  <c r="J765" i="17"/>
  <c r="J42" i="17"/>
  <c r="J399" i="17"/>
  <c r="J979" i="17"/>
  <c r="J810" i="17"/>
  <c r="J778" i="17"/>
  <c r="J679" i="17"/>
  <c r="J484" i="17"/>
  <c r="J251" i="17"/>
  <c r="J890" i="17"/>
  <c r="J107" i="17"/>
  <c r="J708" i="17"/>
  <c r="J199" i="17"/>
  <c r="J241" i="17"/>
  <c r="J622" i="17"/>
  <c r="J344" i="17"/>
  <c r="J674" i="17"/>
  <c r="J382" i="17"/>
  <c r="J147" i="17"/>
  <c r="J594" i="17"/>
  <c r="J956" i="17"/>
  <c r="J506" i="17"/>
  <c r="J863" i="17"/>
  <c r="J811" i="17"/>
  <c r="J130" i="17"/>
  <c r="J930" i="17"/>
  <c r="J315" i="17"/>
  <c r="J278" i="17"/>
  <c r="J556" i="17"/>
  <c r="J122" i="17"/>
  <c r="J394" i="17"/>
  <c r="J887" i="17"/>
  <c r="J882" i="17"/>
  <c r="J173" i="17"/>
  <c r="J766" i="17"/>
  <c r="J109" i="17"/>
  <c r="J50" i="17"/>
  <c r="J913" i="17"/>
  <c r="J987" i="17"/>
  <c r="J736" i="17"/>
  <c r="J303" i="17"/>
  <c r="J371" i="17"/>
  <c r="J386" i="17"/>
  <c r="J410" i="17"/>
  <c r="J700" i="17"/>
  <c r="J53" i="17"/>
  <c r="J799" i="17"/>
  <c r="J333" i="17"/>
  <c r="J359" i="17"/>
  <c r="J783" i="17"/>
  <c r="J397" i="17"/>
  <c r="J360" i="17"/>
  <c r="J529" i="17"/>
  <c r="J819" i="17"/>
  <c r="J105" i="17"/>
  <c r="J523" i="17"/>
  <c r="J313" i="17"/>
  <c r="J330" i="17"/>
  <c r="J296" i="17"/>
  <c r="J492" i="17"/>
  <c r="J218" i="17"/>
  <c r="J981" i="17"/>
  <c r="J123" i="17"/>
  <c r="J800" i="17"/>
  <c r="J401" i="17"/>
  <c r="J545" i="17"/>
  <c r="J758" i="17"/>
  <c r="J762" i="17"/>
  <c r="J689" i="17"/>
  <c r="J982" i="17"/>
  <c r="J481" i="17"/>
  <c r="J540" i="17"/>
  <c r="J518" i="17"/>
  <c r="J631" i="17"/>
  <c r="J901" i="17"/>
  <c r="J110" i="17"/>
  <c r="J543" i="17"/>
  <c r="J793" i="17"/>
  <c r="J908" i="17"/>
  <c r="J651" i="17"/>
  <c r="J222" i="17"/>
  <c r="J818" i="17"/>
  <c r="J400" i="17"/>
  <c r="J554" i="17"/>
  <c r="J467" i="17"/>
  <c r="J947" i="17"/>
  <c r="J406" i="17"/>
  <c r="J156" i="17"/>
  <c r="J1015" i="17"/>
  <c r="J135" i="17"/>
  <c r="J273" i="17"/>
  <c r="J614" i="17"/>
  <c r="J660" i="17"/>
  <c r="J527" i="17"/>
  <c r="J728" i="17"/>
  <c r="J334" i="17"/>
  <c r="J61" i="17"/>
  <c r="J125" i="17"/>
  <c r="J424" i="17"/>
  <c r="J389" i="17"/>
  <c r="J356" i="17"/>
  <c r="J883" i="17"/>
  <c r="J593" i="17"/>
  <c r="J1000" i="17"/>
  <c r="J687" i="17"/>
  <c r="J629" i="17"/>
  <c r="J749" i="17"/>
  <c r="J139" i="17"/>
  <c r="J428" i="17"/>
  <c r="J525" i="17"/>
  <c r="J198" i="17"/>
  <c r="J914" i="17"/>
  <c r="J447" i="17"/>
  <c r="J963" i="17"/>
  <c r="J761" i="17"/>
  <c r="J121" i="17"/>
  <c r="J722" i="17"/>
  <c r="J151" i="17"/>
  <c r="J58" i="17"/>
  <c r="J367" i="17"/>
  <c r="J214" i="17"/>
  <c r="J884" i="17"/>
  <c r="J676" i="17"/>
  <c r="J911" i="17"/>
  <c r="J111" i="17"/>
  <c r="J776" i="17"/>
  <c r="J552" i="17"/>
  <c r="J413" i="17"/>
  <c r="J433" i="17"/>
  <c r="J40" i="17"/>
  <c r="J438" i="17"/>
  <c r="J691" i="17"/>
  <c r="J764" i="17"/>
  <c r="J707" i="17"/>
  <c r="J916" i="17"/>
  <c r="J316" i="17"/>
  <c r="J120" i="17"/>
  <c r="J323" i="17"/>
  <c r="J741" i="17"/>
  <c r="J705" i="17"/>
  <c r="J849" i="17"/>
  <c r="J168" i="17"/>
  <c r="J304" i="17"/>
  <c r="J454" i="17"/>
  <c r="J826" i="17"/>
  <c r="J815" i="17"/>
  <c r="J376" i="17"/>
  <c r="J576" i="17"/>
  <c r="J387" i="17"/>
  <c r="J941" i="17"/>
  <c r="J427" i="17"/>
  <c r="J873" i="17"/>
  <c r="J497" i="17"/>
  <c r="J693" i="17"/>
  <c r="J368" i="17"/>
  <c r="J95" i="17"/>
  <c r="J969" i="17"/>
  <c r="J763" i="17"/>
  <c r="J872" i="17"/>
  <c r="J5" i="17"/>
  <c r="J909" i="17"/>
  <c r="J311" i="17"/>
  <c r="J207" i="17"/>
  <c r="J74" i="17"/>
  <c r="J757" i="17"/>
  <c r="J767" i="17"/>
  <c r="J730" i="17"/>
  <c r="J880" i="17"/>
  <c r="J802" i="17"/>
  <c r="J962" i="17"/>
  <c r="J886" i="17"/>
  <c r="J681" i="17"/>
  <c r="J320" i="17"/>
  <c r="J294" i="17"/>
  <c r="J375" i="17"/>
  <c r="J892" i="17"/>
  <c r="J449" i="17"/>
  <c r="J290" i="17"/>
  <c r="J542" i="17"/>
  <c r="J927" i="17"/>
  <c r="J734" i="17"/>
  <c r="J164" i="17"/>
  <c r="J157" i="17"/>
  <c r="J257" i="17"/>
  <c r="J182" i="17"/>
  <c r="J425" i="17"/>
  <c r="J19" i="17"/>
  <c r="J609" i="17"/>
  <c r="J583" i="17"/>
  <c r="J33" i="17"/>
  <c r="J124" i="17"/>
  <c r="J494" i="17"/>
  <c r="J216" i="17"/>
  <c r="J760" i="17"/>
  <c r="J321" i="17"/>
  <c r="J792" i="17"/>
  <c r="J430" i="17"/>
  <c r="J634" i="17"/>
  <c r="J69" i="17"/>
  <c r="J957" i="17"/>
  <c r="J769" i="17"/>
  <c r="J653" i="17"/>
  <c r="J578" i="17"/>
  <c r="J678" i="17"/>
  <c r="J994" i="17"/>
  <c r="J804" i="17"/>
  <c r="J805" i="17"/>
  <c r="J723" i="17"/>
  <c r="J184" i="17"/>
  <c r="J463" i="17"/>
  <c r="J881" i="17"/>
  <c r="J789" i="17"/>
  <c r="J60" i="17"/>
  <c r="J535" i="17"/>
  <c r="J245" i="17"/>
  <c r="J267" i="17"/>
  <c r="J544" i="17"/>
  <c r="J75" i="17"/>
  <c r="J18" i="17"/>
  <c r="J668" i="17"/>
  <c r="J639" i="17"/>
  <c r="J63" i="17"/>
  <c r="J209" i="17"/>
  <c r="J996" i="17"/>
  <c r="J456" i="17"/>
  <c r="J770" i="17"/>
  <c r="J521" i="17"/>
  <c r="J281" i="17"/>
  <c r="J6" i="17"/>
  <c r="J31" i="17"/>
  <c r="J292" i="17"/>
  <c r="J592" i="17"/>
  <c r="J568" i="17"/>
  <c r="J487" i="17"/>
  <c r="J650" i="17"/>
  <c r="J324" i="17"/>
  <c r="J567" i="17"/>
  <c r="J176" i="17"/>
  <c r="J468" i="17"/>
  <c r="J533" i="17"/>
  <c r="J625" i="17"/>
  <c r="J145" i="17"/>
  <c r="J279" i="17"/>
  <c r="J709" i="17"/>
  <c r="J302" i="17"/>
  <c r="J940" i="17"/>
  <c r="J813" i="17"/>
  <c r="J244" i="17"/>
  <c r="J610" i="17"/>
  <c r="J779" i="17"/>
  <c r="J112" i="17"/>
  <c r="J598" i="17"/>
  <c r="J1016" i="17"/>
  <c r="J65" i="17"/>
  <c r="J751" i="17"/>
  <c r="J858" i="17"/>
  <c r="J266" i="17"/>
  <c r="J673" i="17"/>
  <c r="J27" i="17"/>
  <c r="J1014" i="17"/>
  <c r="J346" i="17"/>
  <c r="J569" i="17"/>
  <c r="J777" i="17"/>
  <c r="J192" i="17"/>
  <c r="J984" i="17"/>
  <c r="J177" i="17"/>
  <c r="J605" i="17"/>
  <c r="J188" i="17"/>
  <c r="J1017" i="17"/>
  <c r="J1024" i="17"/>
  <c r="J579" i="17"/>
  <c r="J946" i="17"/>
  <c r="J889" i="17"/>
  <c r="J896" i="17"/>
  <c r="J524" i="17"/>
  <c r="J140" i="17"/>
  <c r="J701" i="17"/>
  <c r="J589" i="17"/>
  <c r="J242" i="17"/>
  <c r="J141" i="17"/>
  <c r="J988" i="17"/>
  <c r="J694" i="17"/>
  <c r="J493" i="17"/>
  <c r="J379" i="17"/>
  <c r="J833" i="17"/>
  <c r="J175" i="17"/>
  <c r="J235" i="17"/>
  <c r="J615" i="17"/>
  <c r="J822" i="17"/>
  <c r="J343" i="17"/>
  <c r="J952" i="17"/>
  <c r="J658" i="17"/>
  <c r="J314" i="17"/>
  <c r="J234" i="17"/>
  <c r="J137" i="17"/>
  <c r="J200" i="17"/>
  <c r="J857" i="17"/>
  <c r="J557" i="17"/>
  <c r="J169" i="17"/>
  <c r="J966" i="17"/>
  <c r="J936" i="17"/>
  <c r="J528" i="17"/>
  <c r="J459" i="17"/>
  <c r="J541" i="17"/>
  <c r="J390" i="17"/>
  <c r="J648" i="17"/>
  <c r="J893" i="17"/>
  <c r="J435" i="17"/>
  <c r="J80" i="17"/>
  <c r="J841" i="17"/>
  <c r="J94" i="17"/>
  <c r="J301" i="17"/>
  <c r="J980" i="17"/>
  <c r="J607" i="17"/>
  <c r="J745" i="17"/>
  <c r="J437" i="17"/>
  <c r="J225" i="17"/>
  <c r="J558" i="17"/>
  <c r="J719" i="17"/>
  <c r="J997" i="17"/>
  <c r="J9" i="17"/>
  <c r="J1021" i="17"/>
  <c r="J644" i="17"/>
  <c r="J659" i="17"/>
  <c r="J526" i="17"/>
  <c r="J680" i="17"/>
  <c r="J160" i="17"/>
  <c r="J418" i="17"/>
  <c r="J288" i="17"/>
  <c r="J902" i="17"/>
  <c r="J283" i="17"/>
  <c r="J322" i="17"/>
  <c r="J797" i="17"/>
  <c r="J429" i="17"/>
  <c r="J885" i="17"/>
  <c r="J11" i="17"/>
  <c r="J1006" i="17"/>
  <c r="J361" i="17"/>
  <c r="J945" i="17"/>
  <c r="J530" i="17"/>
  <c r="J403" i="17"/>
  <c r="J201" i="17"/>
  <c r="J989" i="17"/>
  <c r="J560" i="17"/>
  <c r="J602" i="17"/>
  <c r="J931" i="17"/>
  <c r="J949" i="17"/>
  <c r="J439" i="17"/>
  <c r="J455" i="17"/>
  <c r="J289" i="17"/>
  <c r="J417" i="17"/>
  <c r="J129" i="17"/>
  <c r="J101" i="17"/>
  <c r="J725" i="17"/>
  <c r="J499" i="17"/>
  <c r="J45" i="17"/>
  <c r="J253" i="17"/>
  <c r="J221" i="17"/>
  <c r="J90" i="17"/>
  <c r="J384" i="17"/>
  <c r="J965" i="17"/>
  <c r="J248" i="17"/>
  <c r="J688" i="17"/>
  <c r="J824" i="17"/>
  <c r="J737" i="17"/>
  <c r="J250" i="17"/>
  <c r="J36" i="17"/>
  <c r="J929" i="17"/>
  <c r="J978" i="17"/>
  <c r="J733" i="17"/>
  <c r="J642" i="17"/>
  <c r="J2" i="17"/>
  <c r="J446" i="17"/>
  <c r="J575" i="17"/>
  <c r="J64" i="17"/>
  <c r="J743" i="17"/>
  <c r="J507" i="17"/>
  <c r="J1029" i="17"/>
  <c r="J196" i="17"/>
  <c r="J794" i="17"/>
  <c r="J633" i="17"/>
  <c r="J991" i="17"/>
  <c r="J286" i="17"/>
  <c r="J223" i="17"/>
  <c r="J502" i="17"/>
  <c r="J159" i="17"/>
  <c r="J534" i="17"/>
  <c r="J754" i="17"/>
  <c r="J715" i="17"/>
  <c r="J338" i="17"/>
  <c r="J898" i="17"/>
  <c r="J686" i="17"/>
  <c r="J243" i="17"/>
  <c r="J39" i="17"/>
  <c r="J381" i="17"/>
  <c r="J652" i="17"/>
  <c r="J663" i="17"/>
  <c r="J640" i="17"/>
  <c r="J220" i="17"/>
  <c r="J255" i="17"/>
  <c r="J531" i="17"/>
  <c r="J829" i="17"/>
  <c r="J495" i="17"/>
  <c r="J363" i="17"/>
  <c r="J847" i="17"/>
  <c r="J29" i="17"/>
  <c r="J247" i="17"/>
  <c r="J440" i="17"/>
  <c r="J106" i="17"/>
  <c r="J172" i="17"/>
  <c r="J340" i="17"/>
  <c r="J30" i="17"/>
  <c r="J260" i="17"/>
  <c r="J469" i="17"/>
  <c r="J73" i="17"/>
  <c r="J637" i="17"/>
  <c r="J868" i="17"/>
  <c r="J10" i="17"/>
  <c r="J1003" i="17"/>
  <c r="J626" i="17"/>
  <c r="J1018" i="17"/>
  <c r="J720" i="17"/>
  <c r="J773" i="17"/>
  <c r="J925" i="17"/>
  <c r="J380" i="17"/>
  <c r="J897" i="17"/>
  <c r="J785" i="17"/>
  <c r="J70" i="17"/>
  <c r="J35" i="17"/>
  <c r="J352" i="17"/>
  <c r="J1010" i="17"/>
  <c r="J478" i="17"/>
  <c r="J955" i="17"/>
  <c r="J142" i="17"/>
  <c r="J796" i="17"/>
  <c r="J149" i="17"/>
  <c r="J327" i="17"/>
  <c r="J840" i="17"/>
  <c r="J337" i="17"/>
  <c r="J685" i="17"/>
  <c r="J12" i="17"/>
  <c r="J317" i="17"/>
  <c r="J470" i="17"/>
  <c r="J17" i="17"/>
  <c r="J310" i="17"/>
  <c r="J636" i="17"/>
  <c r="J422" i="17"/>
  <c r="J496" i="17"/>
  <c r="J798" i="17"/>
  <c r="J655" i="17"/>
  <c r="J186" i="17"/>
  <c r="J601" i="17"/>
  <c r="J93" i="17"/>
  <c r="J421" i="17"/>
  <c r="J91" i="17"/>
  <c r="J479" i="17"/>
  <c r="J52" i="17"/>
  <c r="J490" i="17"/>
  <c r="J547" i="17"/>
  <c r="J24" i="17"/>
  <c r="J475" i="17"/>
  <c r="J861" i="17"/>
  <c r="J656" i="17"/>
  <c r="J657" i="17"/>
  <c r="J215" i="17"/>
  <c r="J671" i="17"/>
  <c r="J307" i="17"/>
  <c r="J152" i="17"/>
  <c r="J808" i="17"/>
  <c r="J903" i="17"/>
  <c r="J714" i="17"/>
  <c r="J498" i="17"/>
  <c r="J488" i="17"/>
  <c r="J934" i="17"/>
  <c r="J577" i="17"/>
  <c r="J662" i="17"/>
  <c r="J174" i="17"/>
  <c r="J721" i="17"/>
  <c r="J1022" i="17"/>
  <c r="J698" i="17"/>
  <c r="J89" i="17"/>
  <c r="J874" i="17"/>
  <c r="J405" i="17"/>
  <c r="J973" i="17"/>
  <c r="J203" i="17"/>
  <c r="J54" i="17"/>
  <c r="J28" i="17"/>
  <c r="J828" i="17"/>
  <c r="J362" i="17"/>
  <c r="J224" i="17"/>
  <c r="J23" i="17"/>
  <c r="J852" i="17"/>
  <c r="J1020" i="17"/>
  <c r="J759" i="17"/>
  <c r="J414" i="17"/>
  <c r="J66" i="17"/>
  <c r="J365" i="17"/>
  <c r="J975" i="17"/>
  <c r="J318" i="17"/>
  <c r="J131" i="17"/>
  <c r="J573" i="17"/>
  <c r="J1030" i="17"/>
  <c r="J476" i="17"/>
  <c r="J14" i="17"/>
  <c r="J132" i="17"/>
  <c r="J49" i="17"/>
  <c r="J372" i="17"/>
  <c r="J171" i="17"/>
  <c r="J747" i="17"/>
  <c r="J86" i="17"/>
  <c r="J842" i="17"/>
  <c r="J670" i="17"/>
  <c r="J853" i="17"/>
  <c r="J904" i="17"/>
  <c r="J803" i="17"/>
  <c r="J703" i="17"/>
  <c r="J412" i="17"/>
  <c r="J166" i="17"/>
  <c r="J284" i="17"/>
  <c r="J465" i="17"/>
  <c r="J827" i="17"/>
  <c r="J464" i="17"/>
  <c r="J876" i="17"/>
  <c r="J150" i="17"/>
  <c r="J48" i="17"/>
  <c r="J864" i="17"/>
  <c r="J51" i="17"/>
  <c r="J287" i="17"/>
  <c r="J483" i="17"/>
  <c r="J305" i="17"/>
  <c r="J370" i="17"/>
  <c r="J807" i="17"/>
  <c r="J190" i="17"/>
  <c r="J830" i="17"/>
  <c r="J654" i="17"/>
  <c r="J240" i="17"/>
  <c r="J391" i="17"/>
  <c r="J366" i="17"/>
  <c r="J256" i="17"/>
  <c r="J1008" i="17"/>
  <c r="J566" i="17"/>
  <c r="J563" i="17"/>
  <c r="J202" i="17"/>
  <c r="J948" i="17"/>
  <c r="J457" i="17"/>
  <c r="J536" i="17"/>
  <c r="J696" i="17"/>
  <c r="J187" i="17"/>
  <c r="J619" i="17"/>
  <c r="J856" i="17"/>
  <c r="J961" i="17"/>
  <c r="J912" i="17"/>
  <c r="J729" i="17"/>
  <c r="J444" i="17"/>
  <c r="J774" i="17"/>
  <c r="J938" i="17"/>
  <c r="J771" i="17"/>
  <c r="J22" i="17"/>
  <c r="J1031" i="17"/>
  <c r="J261" i="17"/>
  <c r="J590" i="17"/>
  <c r="J85" i="17"/>
  <c r="J114" i="17"/>
  <c r="J194" i="17"/>
  <c r="J836" i="17"/>
  <c r="J431" i="17"/>
  <c r="J539" i="17"/>
  <c r="J649" i="17"/>
  <c r="J393" i="17"/>
  <c r="J977" i="17"/>
  <c r="J331" i="17"/>
  <c r="J990" i="17"/>
  <c r="J564" i="17"/>
  <c r="J515" i="17"/>
  <c r="J867" i="17"/>
  <c r="J1026" i="17"/>
  <c r="J482" i="17"/>
  <c r="J232" i="17"/>
  <c r="J753" i="17"/>
  <c r="J299" i="17"/>
  <c r="J269" i="17"/>
  <c r="J1005" i="17"/>
  <c r="J821" i="17"/>
  <c r="J891" i="17"/>
  <c r="J163" i="17"/>
  <c r="J189" i="17"/>
  <c r="J942" i="17"/>
  <c r="J582" i="17"/>
  <c r="J843" i="17"/>
  <c r="J786" i="17"/>
  <c r="J453" i="17"/>
  <c r="J44" i="17"/>
  <c r="J588" i="17"/>
  <c r="J926" i="17"/>
  <c r="J781" i="17"/>
  <c r="J378" i="17"/>
  <c r="J249" i="17"/>
  <c r="J848" i="17"/>
  <c r="J604" i="17"/>
  <c r="J1032" i="17"/>
  <c r="J228" i="17"/>
  <c r="J78" i="17"/>
  <c r="J522" i="17"/>
  <c r="J571" i="17"/>
  <c r="J917" i="17"/>
  <c r="J396" i="17"/>
  <c r="J584" i="17"/>
  <c r="J553" i="17"/>
  <c r="J328" i="17"/>
  <c r="J950" i="17"/>
  <c r="J345" i="17"/>
  <c r="J816" i="17"/>
  <c r="J341" i="17"/>
  <c r="J960" i="17"/>
  <c r="J617" i="17"/>
  <c r="J127" i="17"/>
  <c r="J148" i="17"/>
  <c r="J509" i="17"/>
  <c r="J586" i="17"/>
  <c r="J275" i="17"/>
  <c r="J574" i="17"/>
  <c r="J43" i="17"/>
  <c r="J513" i="17"/>
  <c r="J342" i="17"/>
  <c r="J731" i="17"/>
  <c r="J306" i="17"/>
  <c r="J587" i="17"/>
  <c r="J41" i="17"/>
  <c r="J451" i="17"/>
  <c r="J939" i="17"/>
  <c r="J258" i="17"/>
  <c r="J92" i="17"/>
  <c r="J357" i="17"/>
  <c r="J894" i="17"/>
  <c r="J76" i="17"/>
  <c r="J675" i="17"/>
  <c r="J580" i="17"/>
  <c r="J784" i="17"/>
  <c r="J964" i="17"/>
  <c r="J732" i="17"/>
  <c r="J84" i="17"/>
  <c r="J850" i="17"/>
  <c r="J664" i="17"/>
  <c r="J154" i="17"/>
  <c r="J549" i="17"/>
  <c r="J195" i="17"/>
  <c r="J613" i="17"/>
  <c r="J205" i="17"/>
  <c r="J570" i="17"/>
  <c r="J204" i="17"/>
  <c r="J26" i="17"/>
  <c r="J416" i="17"/>
  <c r="J471" i="17"/>
  <c r="J96" i="17"/>
  <c r="J38" i="17"/>
  <c r="J746" i="17"/>
  <c r="J508" i="17"/>
  <c r="J420" i="17"/>
  <c r="J97" i="17"/>
  <c r="J532" i="17"/>
  <c r="J136" i="17"/>
  <c r="J67" i="17"/>
  <c r="J888" i="17"/>
  <c r="J846" i="17"/>
  <c r="J600" i="17"/>
  <c r="J599" i="17"/>
  <c r="J933" i="17"/>
  <c r="J319" i="17"/>
  <c r="J791" i="17"/>
  <c r="J335" i="17"/>
  <c r="J347" i="17"/>
  <c r="J351" i="17"/>
  <c r="J738" i="17"/>
  <c r="J1028" i="17"/>
  <c r="J812" i="17"/>
  <c r="J227" i="17"/>
  <c r="J98" i="17"/>
  <c r="J967" i="17"/>
  <c r="J71" i="17"/>
  <c r="J628" i="17"/>
  <c r="J692" i="17"/>
  <c r="J219" i="17"/>
  <c r="J514" i="17"/>
  <c r="J113" i="17"/>
  <c r="J937" i="17"/>
  <c r="J806" i="17"/>
  <c r="J706" i="17"/>
  <c r="J442" i="17"/>
  <c r="J102" i="17"/>
  <c r="J742" i="17"/>
  <c r="J32" i="17"/>
  <c r="J350" i="17"/>
  <c r="J263" i="17"/>
  <c r="J231" i="17"/>
  <c r="J517" i="17"/>
  <c r="J411" i="17"/>
  <c r="J128" i="17"/>
  <c r="J265" i="17"/>
  <c r="J226" i="17"/>
  <c r="J268" i="17"/>
  <c r="J238" i="17"/>
  <c r="J277" i="17"/>
  <c r="J183" i="17"/>
  <c r="J259" i="17"/>
  <c r="J504" i="17"/>
  <c r="J801" i="17"/>
  <c r="J297" i="17"/>
  <c r="J165" i="17"/>
  <c r="J935" i="17"/>
  <c r="J385" i="17"/>
  <c r="J951" i="17"/>
  <c r="J144" i="17"/>
  <c r="J298" i="17"/>
  <c r="J126" i="17"/>
  <c r="J851" i="17"/>
  <c r="J750" i="17"/>
  <c r="J462" i="17"/>
  <c r="J831" i="17"/>
  <c r="J436" i="17"/>
  <c r="J972" i="17"/>
  <c r="J727" i="17"/>
  <c r="J606" i="17"/>
  <c r="J1012" i="17"/>
  <c r="J845" i="17"/>
  <c r="J835" i="17"/>
  <c r="J585" i="17"/>
  <c r="J460" i="17"/>
  <c r="J426" i="17"/>
  <c r="J336" i="17"/>
  <c r="J932" i="17"/>
  <c r="J348" i="17"/>
  <c r="J254" i="17"/>
  <c r="J461" i="17"/>
  <c r="J924" i="17"/>
  <c r="J780" i="17"/>
  <c r="J13" i="17"/>
  <c r="J81" i="17"/>
  <c r="J665" i="17"/>
  <c r="J755" i="17"/>
  <c r="J695" i="17"/>
  <c r="J295" i="17"/>
  <c r="J787" i="17"/>
  <c r="J992" i="17"/>
  <c r="J57" i="17"/>
  <c r="J374" i="17"/>
  <c r="J206" i="17"/>
  <c r="J339" i="17"/>
  <c r="J423" i="17"/>
  <c r="J325" i="17"/>
  <c r="J491" i="17"/>
  <c r="J21" i="17"/>
  <c r="J512" i="17"/>
  <c r="J233" i="17"/>
  <c r="J161" i="17"/>
  <c r="J855" i="17"/>
  <c r="J466" i="17"/>
  <c r="J918" i="17"/>
  <c r="J197" i="17"/>
  <c r="J832" i="17"/>
  <c r="J739" i="17"/>
  <c r="J395" i="17"/>
  <c r="J392" i="17"/>
  <c r="J713" i="17"/>
  <c r="J516" i="17"/>
  <c r="J860" i="17"/>
  <c r="J276" i="17"/>
  <c r="J138" i="17"/>
  <c r="J72" i="17"/>
  <c r="J217" i="17"/>
  <c r="J970" i="17"/>
  <c r="J486" i="17"/>
  <c r="J959" i="17"/>
  <c r="J271" i="17"/>
  <c r="J608" i="17"/>
  <c r="J968" i="17"/>
  <c r="J274" i="17"/>
  <c r="J293" i="17"/>
  <c r="J682" i="17"/>
  <c r="J262" i="17"/>
  <c r="J193" i="17"/>
  <c r="J597" i="17"/>
  <c r="J551" i="17"/>
  <c r="J383" i="17"/>
  <c r="J661" i="17"/>
  <c r="J291" i="17"/>
  <c r="J208" i="17"/>
  <c r="J178" i="17"/>
  <c r="J15" i="17"/>
  <c r="J943" i="17"/>
  <c r="J1033" i="17"/>
  <c r="J1011" i="17"/>
  <c r="J954" i="17"/>
  <c r="J3" i="17"/>
  <c r="J88" i="17"/>
  <c r="J485" i="17"/>
  <c r="J844" i="17"/>
  <c r="J1027" i="17"/>
  <c r="J134" i="17"/>
  <c r="J581" i="17"/>
  <c r="J158" i="17"/>
  <c r="J355" i="17"/>
  <c r="J472" i="17"/>
  <c r="J993" i="17"/>
  <c r="J404" i="17"/>
  <c r="J611" i="17"/>
  <c r="J505" i="17"/>
  <c r="J377" i="17"/>
  <c r="J146" i="17"/>
  <c r="J349" i="17"/>
  <c r="J77" i="17"/>
  <c r="J87" i="17"/>
  <c r="J180" i="17"/>
  <c r="J923" i="17"/>
  <c r="J999" i="17"/>
  <c r="J740" i="17"/>
  <c r="J37" i="17"/>
  <c r="J252" i="17"/>
  <c r="J875" i="17"/>
  <c r="J823" i="17"/>
  <c r="J272" i="17"/>
  <c r="J537" i="17"/>
  <c r="J612" i="17"/>
  <c r="J103" i="17"/>
  <c r="J878" i="17"/>
  <c r="J419" i="17"/>
  <c r="J814" i="17"/>
  <c r="J229" i="17"/>
  <c r="J716" i="17"/>
  <c r="J308" i="17"/>
  <c r="J332" i="17"/>
  <c r="J906" i="17"/>
  <c r="J717" i="17"/>
  <c r="J697" i="17"/>
  <c r="J838" i="17"/>
  <c r="J869" i="17"/>
  <c r="J735" i="17"/>
  <c r="J100" i="17"/>
  <c r="J820" i="17"/>
  <c r="J900" i="17"/>
  <c r="J398" i="17"/>
  <c r="J285" i="17"/>
  <c r="J744" i="17"/>
  <c r="J364" i="17"/>
  <c r="J905" i="17"/>
  <c r="J907" i="17"/>
  <c r="J976" i="17"/>
  <c r="J270" i="17"/>
  <c r="J59" i="17"/>
  <c r="J899" i="17"/>
  <c r="J782" i="17"/>
  <c r="J645" i="17"/>
  <c r="J210" i="17"/>
  <c r="J837" i="17"/>
  <c r="J712" i="17"/>
  <c r="J621" i="17"/>
  <c r="J986" i="17"/>
  <c r="J99" i="17"/>
  <c r="J443" i="17"/>
  <c r="J550" i="17"/>
  <c r="J329" i="17"/>
  <c r="J118" i="17"/>
  <c r="J772" i="17"/>
  <c r="J239" i="17"/>
  <c r="J790" i="17"/>
  <c r="J511" i="17"/>
  <c r="J500" i="17"/>
  <c r="J756" i="17"/>
  <c r="J630" i="17"/>
  <c r="J7" i="17"/>
  <c r="J309" i="17"/>
  <c r="J25" i="17"/>
  <c r="J280" i="17"/>
  <c r="J4" i="17"/>
  <c r="J603" i="17"/>
  <c r="J562" i="17"/>
  <c r="J752" i="17"/>
  <c r="J834" i="17"/>
  <c r="J624" i="17"/>
  <c r="J282" i="17"/>
  <c r="J388" i="17"/>
  <c r="J473" i="17"/>
  <c r="J179" i="17"/>
  <c r="J920" i="17"/>
  <c r="J620" i="17"/>
  <c r="J326" i="17"/>
  <c r="J915" i="17"/>
  <c r="J501" i="17"/>
  <c r="J353" i="17"/>
  <c r="J877" i="17"/>
  <c r="J538" i="17"/>
  <c r="J859" i="17"/>
  <c r="J119" i="17"/>
  <c r="J616" i="17"/>
  <c r="J704" i="17"/>
  <c r="J445" i="17"/>
  <c r="J647" i="17"/>
  <c r="J1023" i="17"/>
  <c r="J1013" i="17"/>
  <c r="J555" i="17"/>
  <c r="J1002" i="17"/>
  <c r="J572" i="17"/>
  <c r="J871" i="17"/>
  <c r="J862" i="17"/>
  <c r="J79" i="17"/>
  <c r="J62" i="17"/>
  <c r="J998" i="17"/>
  <c r="J748" i="17"/>
  <c r="J672" i="17"/>
  <c r="J971" i="17"/>
  <c r="J162" i="17"/>
  <c r="J170" i="17"/>
  <c r="J211" i="17"/>
  <c r="J354" i="17"/>
  <c r="J408" i="17"/>
  <c r="J702" i="17"/>
  <c r="J921" i="17"/>
  <c r="J595" i="17"/>
  <c r="J635" i="17"/>
  <c r="J448" i="17"/>
  <c r="J638" i="17"/>
  <c r="J237" i="17"/>
  <c r="J489" i="17"/>
  <c r="J795" i="17"/>
  <c r="J373" i="17"/>
  <c r="J995" i="17"/>
  <c r="J519" i="17"/>
  <c r="J985" i="17"/>
  <c r="J213" i="17"/>
  <c r="J300" i="17"/>
  <c r="J143" i="17"/>
  <c r="J409" i="17"/>
  <c r="J983" i="17"/>
  <c r="J16" i="17"/>
  <c r="J632" i="17"/>
  <c r="J684" i="17"/>
  <c r="J56" i="17"/>
  <c r="J667" i="17"/>
  <c r="J133" i="17"/>
  <c r="J20" i="17"/>
  <c r="J441" i="17"/>
  <c r="J116" i="17"/>
  <c r="J46" i="17"/>
  <c r="J82" i="17"/>
  <c r="J561" i="17"/>
  <c r="J510" i="17"/>
  <c r="J591" i="17"/>
  <c r="J434" i="17"/>
  <c r="J669" i="17"/>
  <c r="J450" i="17"/>
  <c r="J1004" i="17"/>
  <c r="J596" i="17"/>
  <c r="M3" i="15"/>
  <c r="M4" i="15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60" i="15"/>
  <c r="M61" i="15"/>
  <c r="M62" i="15"/>
  <c r="M63" i="15"/>
  <c r="M64" i="15"/>
  <c r="M65" i="15"/>
  <c r="M66" i="15"/>
  <c r="M67" i="15"/>
  <c r="M68" i="15"/>
  <c r="M69" i="15"/>
  <c r="M70" i="15"/>
  <c r="M71" i="15"/>
  <c r="M72" i="15"/>
  <c r="M73" i="15"/>
  <c r="M74" i="15"/>
  <c r="M75" i="15"/>
  <c r="M76" i="15"/>
  <c r="M77" i="15"/>
  <c r="M78" i="15"/>
  <c r="M79" i="15"/>
  <c r="M80" i="15"/>
  <c r="M81" i="15"/>
  <c r="M82" i="15"/>
  <c r="M83" i="15"/>
  <c r="M84" i="15"/>
  <c r="M85" i="15"/>
  <c r="M86" i="15"/>
  <c r="M87" i="15"/>
  <c r="M88" i="15"/>
  <c r="M89" i="15"/>
  <c r="M90" i="15"/>
  <c r="M91" i="15"/>
  <c r="M92" i="15"/>
  <c r="M93" i="15"/>
  <c r="M94" i="15"/>
  <c r="M95" i="15"/>
  <c r="M96" i="15"/>
  <c r="M97" i="15"/>
  <c r="M98" i="15"/>
  <c r="M99" i="15"/>
  <c r="M100" i="15"/>
  <c r="M101" i="15"/>
  <c r="M102" i="15"/>
  <c r="M103" i="15"/>
  <c r="M104" i="15"/>
  <c r="M105" i="15"/>
  <c r="M106" i="15"/>
  <c r="M107" i="15"/>
  <c r="M108" i="15"/>
  <c r="M109" i="15"/>
  <c r="M110" i="15"/>
  <c r="M111" i="15"/>
  <c r="M112" i="15"/>
  <c r="M113" i="15"/>
  <c r="M114" i="15"/>
  <c r="M115" i="15"/>
  <c r="M116" i="15"/>
  <c r="M117" i="15"/>
  <c r="M118" i="15"/>
  <c r="M119" i="15"/>
  <c r="M120" i="15"/>
  <c r="M121" i="15"/>
  <c r="M122" i="15"/>
  <c r="M123" i="15"/>
  <c r="M124" i="15"/>
  <c r="M125" i="15"/>
  <c r="M126" i="15"/>
  <c r="M127" i="15"/>
  <c r="M128" i="15"/>
  <c r="M129" i="15"/>
  <c r="M130" i="15"/>
  <c r="M131" i="15"/>
  <c r="M132" i="15"/>
  <c r="M133" i="15"/>
  <c r="M134" i="15"/>
  <c r="M135" i="15"/>
  <c r="M136" i="15"/>
  <c r="M137" i="15"/>
  <c r="M138" i="15"/>
  <c r="M139" i="15"/>
  <c r="M140" i="15"/>
  <c r="M141" i="15"/>
  <c r="M142" i="15"/>
  <c r="M143" i="15"/>
  <c r="M144" i="15"/>
  <c r="M145" i="15"/>
  <c r="M146" i="15"/>
  <c r="M147" i="15"/>
  <c r="M148" i="15"/>
  <c r="M149" i="15"/>
  <c r="M150" i="15"/>
  <c r="M151" i="15"/>
  <c r="M152" i="15"/>
  <c r="M153" i="15"/>
  <c r="M154" i="15"/>
  <c r="M155" i="15"/>
  <c r="M156" i="15"/>
  <c r="M157" i="15"/>
  <c r="M158" i="15"/>
  <c r="M159" i="15"/>
  <c r="M160" i="15"/>
  <c r="M161" i="15"/>
  <c r="M162" i="15"/>
  <c r="M163" i="15"/>
  <c r="M164" i="15"/>
  <c r="M165" i="15"/>
  <c r="M166" i="15"/>
  <c r="M167" i="15"/>
  <c r="M168" i="15"/>
  <c r="M169" i="15"/>
  <c r="M170" i="15"/>
  <c r="M171" i="15"/>
  <c r="M172" i="15"/>
  <c r="M173" i="15"/>
  <c r="M174" i="15"/>
  <c r="M175" i="15"/>
  <c r="M176" i="15"/>
  <c r="M177" i="15"/>
  <c r="M178" i="15"/>
  <c r="M179" i="15"/>
  <c r="M180" i="15"/>
  <c r="M181" i="15"/>
  <c r="M182" i="15"/>
  <c r="M183" i="15"/>
  <c r="M184" i="15"/>
  <c r="M185" i="15"/>
  <c r="M186" i="15"/>
  <c r="M187" i="15"/>
  <c r="M188" i="15"/>
  <c r="M189" i="15"/>
  <c r="M190" i="15"/>
  <c r="M191" i="15"/>
  <c r="M192" i="15"/>
  <c r="M193" i="15"/>
  <c r="M194" i="15"/>
  <c r="M195" i="15"/>
  <c r="M196" i="15"/>
  <c r="M197" i="15"/>
  <c r="M198" i="15"/>
  <c r="M199" i="15"/>
  <c r="M200" i="15"/>
  <c r="M201" i="15"/>
  <c r="M202" i="15"/>
  <c r="M203" i="15"/>
  <c r="M204" i="15"/>
  <c r="M205" i="15"/>
  <c r="M206" i="15"/>
  <c r="M207" i="15"/>
  <c r="M208" i="15"/>
  <c r="M209" i="15"/>
  <c r="M210" i="15"/>
  <c r="M211" i="15"/>
  <c r="M212" i="15"/>
  <c r="M213" i="15"/>
  <c r="M214" i="15"/>
  <c r="M215" i="15"/>
  <c r="M216" i="15"/>
  <c r="M217" i="15"/>
  <c r="M218" i="15"/>
  <c r="M219" i="15"/>
  <c r="M220" i="15"/>
  <c r="M221" i="15"/>
  <c r="M222" i="15"/>
  <c r="M223" i="15"/>
  <c r="M224" i="15"/>
  <c r="M225" i="15"/>
  <c r="M226" i="15"/>
  <c r="M227" i="15"/>
  <c r="M228" i="15"/>
  <c r="M229" i="15"/>
  <c r="M230" i="15"/>
  <c r="M231" i="15"/>
  <c r="M232" i="15"/>
  <c r="M233" i="15"/>
  <c r="M234" i="15"/>
  <c r="M235" i="15"/>
  <c r="M236" i="15"/>
  <c r="M237" i="15"/>
  <c r="M238" i="15"/>
  <c r="M239" i="15"/>
  <c r="M240" i="15"/>
  <c r="M241" i="15"/>
  <c r="M242" i="15"/>
  <c r="M243" i="15"/>
  <c r="M244" i="15"/>
  <c r="M245" i="15"/>
  <c r="M246" i="15"/>
  <c r="M247" i="15"/>
  <c r="M248" i="15"/>
  <c r="M249" i="15"/>
  <c r="M250" i="15"/>
  <c r="M251" i="15"/>
  <c r="M252" i="15"/>
  <c r="M253" i="15"/>
  <c r="M254" i="15"/>
  <c r="M255" i="15"/>
  <c r="M256" i="15"/>
  <c r="M257" i="15"/>
  <c r="M258" i="15"/>
  <c r="M259" i="15"/>
  <c r="M260" i="15"/>
  <c r="M261" i="15"/>
  <c r="M262" i="15"/>
  <c r="M263" i="15"/>
  <c r="M264" i="15"/>
  <c r="M265" i="15"/>
  <c r="M266" i="15"/>
  <c r="M267" i="15"/>
  <c r="M268" i="15"/>
  <c r="M269" i="15"/>
  <c r="M270" i="15"/>
  <c r="M271" i="15"/>
  <c r="M272" i="15"/>
  <c r="M273" i="15"/>
  <c r="M274" i="15"/>
  <c r="M275" i="15"/>
  <c r="M276" i="15"/>
  <c r="M277" i="15"/>
  <c r="M278" i="15"/>
  <c r="M279" i="15"/>
  <c r="M280" i="15"/>
  <c r="M281" i="15"/>
  <c r="M282" i="15"/>
  <c r="M283" i="15"/>
  <c r="M284" i="15"/>
  <c r="M285" i="15"/>
  <c r="M286" i="15"/>
  <c r="M287" i="15"/>
  <c r="M288" i="15"/>
  <c r="M289" i="15"/>
  <c r="M290" i="15"/>
  <c r="M291" i="15"/>
  <c r="M292" i="15"/>
  <c r="M293" i="15"/>
  <c r="M294" i="15"/>
  <c r="M295" i="15"/>
  <c r="M296" i="15"/>
  <c r="M297" i="15"/>
  <c r="M298" i="15"/>
  <c r="M299" i="15"/>
  <c r="M300" i="15"/>
  <c r="M301" i="15"/>
  <c r="M302" i="15"/>
  <c r="M303" i="15"/>
  <c r="M304" i="15"/>
  <c r="M305" i="15"/>
  <c r="M306" i="15"/>
  <c r="M307" i="15"/>
  <c r="M308" i="15"/>
  <c r="M309" i="15"/>
  <c r="M310" i="15"/>
  <c r="M311" i="15"/>
  <c r="M312" i="15"/>
  <c r="M313" i="15"/>
  <c r="M314" i="15"/>
  <c r="M315" i="15"/>
  <c r="M316" i="15"/>
  <c r="M317" i="15"/>
  <c r="M318" i="15"/>
  <c r="M319" i="15"/>
  <c r="M320" i="15"/>
  <c r="M321" i="15"/>
  <c r="M322" i="15"/>
  <c r="M323" i="15"/>
  <c r="M324" i="15"/>
  <c r="M325" i="15"/>
  <c r="M326" i="15"/>
  <c r="M327" i="15"/>
  <c r="M328" i="15"/>
  <c r="M329" i="15"/>
  <c r="M330" i="15"/>
  <c r="M331" i="15"/>
  <c r="M332" i="15"/>
  <c r="M333" i="15"/>
  <c r="M334" i="15"/>
  <c r="M335" i="15"/>
  <c r="M336" i="15"/>
  <c r="M337" i="15"/>
  <c r="M338" i="15"/>
  <c r="M339" i="15"/>
  <c r="M340" i="15"/>
  <c r="M341" i="15"/>
  <c r="M342" i="15"/>
  <c r="M343" i="15"/>
  <c r="M344" i="15"/>
  <c r="M345" i="15"/>
  <c r="M346" i="15"/>
  <c r="M347" i="15"/>
  <c r="M348" i="15"/>
  <c r="M349" i="15"/>
  <c r="M350" i="15"/>
  <c r="M351" i="15"/>
  <c r="M352" i="15"/>
  <c r="M353" i="15"/>
  <c r="M354" i="15"/>
  <c r="M355" i="15"/>
  <c r="M356" i="15"/>
  <c r="M357" i="15"/>
  <c r="M358" i="15"/>
  <c r="M359" i="15"/>
  <c r="M360" i="15"/>
  <c r="M361" i="15"/>
  <c r="M362" i="15"/>
  <c r="M363" i="15"/>
  <c r="M364" i="15"/>
  <c r="M365" i="15"/>
  <c r="M366" i="15"/>
  <c r="M367" i="15"/>
  <c r="M368" i="15"/>
  <c r="M369" i="15"/>
  <c r="M370" i="15"/>
  <c r="M371" i="15"/>
  <c r="M372" i="15"/>
  <c r="M373" i="15"/>
  <c r="M374" i="15"/>
  <c r="M375" i="15"/>
  <c r="M376" i="15"/>
  <c r="M377" i="15"/>
  <c r="M378" i="15"/>
  <c r="M379" i="15"/>
  <c r="M380" i="15"/>
  <c r="M381" i="15"/>
  <c r="M382" i="15"/>
  <c r="M383" i="15"/>
  <c r="M384" i="15"/>
  <c r="M385" i="15"/>
  <c r="M386" i="15"/>
  <c r="M387" i="15"/>
  <c r="M388" i="15"/>
  <c r="M389" i="15"/>
  <c r="M390" i="15"/>
  <c r="M391" i="15"/>
  <c r="M392" i="15"/>
  <c r="M393" i="15"/>
  <c r="M394" i="15"/>
  <c r="M395" i="15"/>
  <c r="M396" i="15"/>
  <c r="M397" i="15"/>
  <c r="M398" i="15"/>
  <c r="M399" i="15"/>
  <c r="M400" i="15"/>
  <c r="M401" i="15"/>
  <c r="M402" i="15"/>
  <c r="M403" i="15"/>
  <c r="M404" i="15"/>
  <c r="M405" i="15"/>
  <c r="M406" i="15"/>
  <c r="M407" i="15"/>
  <c r="M408" i="15"/>
  <c r="M409" i="15"/>
  <c r="M410" i="15"/>
  <c r="M411" i="15"/>
  <c r="M412" i="15"/>
  <c r="M413" i="15"/>
  <c r="M414" i="15"/>
  <c r="M415" i="15"/>
  <c r="M416" i="15"/>
  <c r="M417" i="15"/>
  <c r="M418" i="15"/>
  <c r="M419" i="15"/>
  <c r="M420" i="15"/>
  <c r="M421" i="15"/>
  <c r="M422" i="15"/>
  <c r="M423" i="15"/>
  <c r="M424" i="15"/>
  <c r="M425" i="15"/>
  <c r="M426" i="15"/>
  <c r="M427" i="15"/>
  <c r="M428" i="15"/>
  <c r="M429" i="15"/>
  <c r="M430" i="15"/>
  <c r="M431" i="15"/>
  <c r="M432" i="15"/>
  <c r="M433" i="15"/>
  <c r="M434" i="15"/>
  <c r="M435" i="15"/>
  <c r="M436" i="15"/>
  <c r="M437" i="15"/>
  <c r="M438" i="15"/>
  <c r="M439" i="15"/>
  <c r="M440" i="15"/>
  <c r="M441" i="15"/>
  <c r="M442" i="15"/>
  <c r="M443" i="15"/>
  <c r="M444" i="15"/>
  <c r="M445" i="15"/>
  <c r="M446" i="15"/>
  <c r="M447" i="15"/>
  <c r="M448" i="15"/>
  <c r="M449" i="15"/>
  <c r="M450" i="15"/>
  <c r="M451" i="15"/>
  <c r="M452" i="15"/>
  <c r="M453" i="15"/>
  <c r="M454" i="15"/>
  <c r="M455" i="15"/>
  <c r="M456" i="15"/>
  <c r="M457" i="15"/>
  <c r="M458" i="15"/>
  <c r="M459" i="15"/>
  <c r="M460" i="15"/>
  <c r="M461" i="15"/>
  <c r="M462" i="15"/>
  <c r="M463" i="15"/>
  <c r="M464" i="15"/>
  <c r="M465" i="15"/>
  <c r="M466" i="15"/>
  <c r="M467" i="15"/>
  <c r="M468" i="15"/>
  <c r="M469" i="15"/>
  <c r="M470" i="15"/>
  <c r="M471" i="15"/>
  <c r="M472" i="15"/>
  <c r="M473" i="15"/>
  <c r="M474" i="15"/>
  <c r="M475" i="15"/>
  <c r="M476" i="15"/>
  <c r="M477" i="15"/>
  <c r="M478" i="15"/>
  <c r="M479" i="15"/>
  <c r="M480" i="15"/>
  <c r="M481" i="15"/>
  <c r="M482" i="15"/>
  <c r="M483" i="15"/>
  <c r="M484" i="15"/>
  <c r="M485" i="15"/>
  <c r="M486" i="15"/>
  <c r="M487" i="15"/>
  <c r="M488" i="15"/>
  <c r="M489" i="15"/>
  <c r="M490" i="15"/>
  <c r="M491" i="15"/>
  <c r="M492" i="15"/>
  <c r="M493" i="15"/>
  <c r="M494" i="15"/>
  <c r="M495" i="15"/>
  <c r="M496" i="15"/>
  <c r="M497" i="15"/>
  <c r="M498" i="15"/>
  <c r="M499" i="15"/>
  <c r="M500" i="15"/>
  <c r="M501" i="15"/>
  <c r="M502" i="15"/>
  <c r="M503" i="15"/>
  <c r="M504" i="15"/>
  <c r="M505" i="15"/>
  <c r="M506" i="15"/>
  <c r="M507" i="15"/>
  <c r="M508" i="15"/>
  <c r="M509" i="15"/>
  <c r="M510" i="15"/>
  <c r="M511" i="15"/>
  <c r="M512" i="15"/>
  <c r="M513" i="15"/>
  <c r="M514" i="15"/>
  <c r="M515" i="15"/>
  <c r="M516" i="15"/>
  <c r="M517" i="15"/>
  <c r="M518" i="15"/>
  <c r="M519" i="15"/>
  <c r="M520" i="15"/>
  <c r="M521" i="15"/>
  <c r="M522" i="15"/>
  <c r="M523" i="15"/>
  <c r="M524" i="15"/>
  <c r="M525" i="15"/>
  <c r="M526" i="15"/>
  <c r="M527" i="15"/>
  <c r="M528" i="15"/>
  <c r="M529" i="15"/>
  <c r="M530" i="15"/>
  <c r="M531" i="15"/>
  <c r="M532" i="15"/>
  <c r="M533" i="15"/>
  <c r="M534" i="15"/>
  <c r="M535" i="15"/>
  <c r="M536" i="15"/>
  <c r="M537" i="15"/>
  <c r="M538" i="15"/>
  <c r="M539" i="15"/>
  <c r="M540" i="15"/>
  <c r="M541" i="15"/>
  <c r="M542" i="15"/>
  <c r="M543" i="15"/>
  <c r="M544" i="15"/>
  <c r="M545" i="15"/>
  <c r="M546" i="15"/>
  <c r="M547" i="15"/>
  <c r="M548" i="15"/>
  <c r="M549" i="15"/>
  <c r="M550" i="15"/>
  <c r="M551" i="15"/>
  <c r="M552" i="15"/>
  <c r="M553" i="15"/>
  <c r="M554" i="15"/>
  <c r="M555" i="15"/>
  <c r="M556" i="15"/>
  <c r="M557" i="15"/>
  <c r="M558" i="15"/>
  <c r="M559" i="15"/>
  <c r="M560" i="15"/>
  <c r="M561" i="15"/>
  <c r="M562" i="15"/>
  <c r="M563" i="15"/>
  <c r="M564" i="15"/>
  <c r="M565" i="15"/>
  <c r="M566" i="15"/>
  <c r="M567" i="15"/>
  <c r="M568" i="15"/>
  <c r="M569" i="15"/>
  <c r="M570" i="15"/>
  <c r="M571" i="15"/>
  <c r="M572" i="15"/>
  <c r="M573" i="15"/>
  <c r="M574" i="15"/>
  <c r="M575" i="15"/>
  <c r="M576" i="15"/>
  <c r="M577" i="15"/>
  <c r="M578" i="15"/>
  <c r="M579" i="15"/>
  <c r="M580" i="15"/>
  <c r="M581" i="15"/>
  <c r="M582" i="15"/>
  <c r="M583" i="15"/>
  <c r="M584" i="15"/>
  <c r="M585" i="15"/>
  <c r="M586" i="15"/>
  <c r="M587" i="15"/>
  <c r="M588" i="15"/>
  <c r="M589" i="15"/>
  <c r="M590" i="15"/>
  <c r="M591" i="15"/>
  <c r="M592" i="15"/>
  <c r="M593" i="15"/>
  <c r="M594" i="15"/>
  <c r="M595" i="15"/>
  <c r="M596" i="15"/>
  <c r="M597" i="15"/>
  <c r="M598" i="15"/>
  <c r="M599" i="15"/>
  <c r="M600" i="15"/>
  <c r="M601" i="15"/>
  <c r="M602" i="15"/>
  <c r="M603" i="15"/>
  <c r="M604" i="15"/>
  <c r="M605" i="15"/>
  <c r="M606" i="15"/>
  <c r="M607" i="15"/>
  <c r="M608" i="15"/>
  <c r="M609" i="15"/>
  <c r="M610" i="15"/>
  <c r="M611" i="15"/>
  <c r="M612" i="15"/>
  <c r="M613" i="15"/>
  <c r="M614" i="15"/>
  <c r="M615" i="15"/>
  <c r="M616" i="15"/>
  <c r="M617" i="15"/>
  <c r="M618" i="15"/>
  <c r="M619" i="15"/>
  <c r="M620" i="15"/>
  <c r="M621" i="15"/>
  <c r="M622" i="15"/>
  <c r="M623" i="15"/>
  <c r="M624" i="15"/>
  <c r="M625" i="15"/>
  <c r="M626" i="15"/>
  <c r="M627" i="15"/>
  <c r="M628" i="15"/>
  <c r="M629" i="15"/>
  <c r="M630" i="15"/>
  <c r="M631" i="15"/>
  <c r="M632" i="15"/>
  <c r="M633" i="15"/>
  <c r="M634" i="15"/>
  <c r="M635" i="15"/>
  <c r="M636" i="15"/>
  <c r="M637" i="15"/>
  <c r="M638" i="15"/>
  <c r="M639" i="15"/>
  <c r="M640" i="15"/>
  <c r="M641" i="15"/>
  <c r="M642" i="15"/>
  <c r="M643" i="15"/>
  <c r="M644" i="15"/>
  <c r="M645" i="15"/>
  <c r="M646" i="15"/>
  <c r="M647" i="15"/>
  <c r="M648" i="15"/>
  <c r="M649" i="15"/>
  <c r="M650" i="15"/>
  <c r="M651" i="15"/>
  <c r="M652" i="15"/>
  <c r="M653" i="15"/>
  <c r="M654" i="15"/>
  <c r="M655" i="15"/>
  <c r="M656" i="15"/>
  <c r="M657" i="15"/>
  <c r="M658" i="15"/>
  <c r="M659" i="15"/>
  <c r="M660" i="15"/>
  <c r="M661" i="15"/>
  <c r="M662" i="15"/>
  <c r="M663" i="15"/>
  <c r="M664" i="15"/>
  <c r="M665" i="15"/>
  <c r="M666" i="15"/>
  <c r="M667" i="15"/>
  <c r="M668" i="15"/>
  <c r="M669" i="15"/>
  <c r="M670" i="15"/>
  <c r="M671" i="15"/>
  <c r="M672" i="15"/>
  <c r="M673" i="15"/>
  <c r="M674" i="15"/>
  <c r="M675" i="15"/>
  <c r="M676" i="15"/>
  <c r="M677" i="15"/>
  <c r="M678" i="15"/>
  <c r="M679" i="15"/>
  <c r="M680" i="15"/>
  <c r="M681" i="15"/>
  <c r="M682" i="15"/>
  <c r="M683" i="15"/>
  <c r="M684" i="15"/>
  <c r="M685" i="15"/>
  <c r="M686" i="15"/>
  <c r="M687" i="15"/>
  <c r="M688" i="15"/>
  <c r="M689" i="15"/>
  <c r="M690" i="15"/>
  <c r="M691" i="15"/>
  <c r="M692" i="15"/>
  <c r="M693" i="15"/>
  <c r="M694" i="15"/>
  <c r="M695" i="15"/>
  <c r="M696" i="15"/>
  <c r="M697" i="15"/>
  <c r="M698" i="15"/>
  <c r="M699" i="15"/>
  <c r="M700" i="15"/>
  <c r="M701" i="15"/>
  <c r="M702" i="15"/>
  <c r="M703" i="15"/>
  <c r="M704" i="15"/>
  <c r="M705" i="15"/>
  <c r="M706" i="15"/>
  <c r="M707" i="15"/>
  <c r="M708" i="15"/>
  <c r="M709" i="15"/>
  <c r="M710" i="15"/>
  <c r="M711" i="15"/>
  <c r="M712" i="15"/>
  <c r="M713" i="15"/>
  <c r="M714" i="15"/>
  <c r="M715" i="15"/>
  <c r="M716" i="15"/>
  <c r="M717" i="15"/>
  <c r="M718" i="15"/>
  <c r="M719" i="15"/>
  <c r="M720" i="15"/>
  <c r="M721" i="15"/>
  <c r="M722" i="15"/>
  <c r="M723" i="15"/>
  <c r="M724" i="15"/>
  <c r="M725" i="15"/>
  <c r="M726" i="15"/>
  <c r="M727" i="15"/>
  <c r="M728" i="15"/>
  <c r="M729" i="15"/>
  <c r="M730" i="15"/>
  <c r="M731" i="15"/>
  <c r="M732" i="15"/>
  <c r="M733" i="15"/>
  <c r="M734" i="15"/>
  <c r="M735" i="15"/>
  <c r="M736" i="15"/>
  <c r="M737" i="15"/>
  <c r="M738" i="15"/>
  <c r="M739" i="15"/>
  <c r="M740" i="15"/>
  <c r="M741" i="15"/>
  <c r="M742" i="15"/>
  <c r="M743" i="15"/>
  <c r="M744" i="15"/>
  <c r="M745" i="15"/>
  <c r="M746" i="15"/>
  <c r="M747" i="15"/>
  <c r="M748" i="15"/>
  <c r="M749" i="15"/>
  <c r="M750" i="15"/>
  <c r="M751" i="15"/>
  <c r="M752" i="15"/>
  <c r="M753" i="15"/>
  <c r="M754" i="15"/>
  <c r="M755" i="15"/>
  <c r="M756" i="15"/>
  <c r="M757" i="15"/>
  <c r="M758" i="15"/>
  <c r="M759" i="15"/>
  <c r="M760" i="15"/>
  <c r="M761" i="15"/>
  <c r="M762" i="15"/>
  <c r="M763" i="15"/>
  <c r="M764" i="15"/>
  <c r="M765" i="15"/>
  <c r="M766" i="15"/>
  <c r="M767" i="15"/>
  <c r="M768" i="15"/>
  <c r="M769" i="15"/>
  <c r="M770" i="15"/>
  <c r="M771" i="15"/>
  <c r="M772" i="15"/>
  <c r="M773" i="15"/>
  <c r="M774" i="15"/>
  <c r="M775" i="15"/>
  <c r="M776" i="15"/>
  <c r="M777" i="15"/>
  <c r="M778" i="15"/>
  <c r="M779" i="15"/>
  <c r="M780" i="15"/>
  <c r="M781" i="15"/>
  <c r="M782" i="15"/>
  <c r="M783" i="15"/>
  <c r="M784" i="15"/>
  <c r="M785" i="15"/>
  <c r="M786" i="15"/>
  <c r="M787" i="15"/>
  <c r="M788" i="15"/>
  <c r="M789" i="15"/>
  <c r="M790" i="15"/>
  <c r="M791" i="15"/>
  <c r="M792" i="15"/>
  <c r="M793" i="15"/>
  <c r="M794" i="15"/>
  <c r="M795" i="15"/>
  <c r="M796" i="15"/>
  <c r="M797" i="15"/>
  <c r="M798" i="15"/>
  <c r="M799" i="15"/>
  <c r="M800" i="15"/>
  <c r="M801" i="15"/>
  <c r="M802" i="15"/>
  <c r="M803" i="15"/>
  <c r="M804" i="15"/>
  <c r="M805" i="15"/>
  <c r="M806" i="15"/>
  <c r="M807" i="15"/>
  <c r="M808" i="15"/>
  <c r="M809" i="15"/>
  <c r="M810" i="15"/>
  <c r="M811" i="15"/>
  <c r="M812" i="15"/>
  <c r="M813" i="15"/>
  <c r="M814" i="15"/>
  <c r="M815" i="15"/>
  <c r="M816" i="15"/>
  <c r="M817" i="15"/>
  <c r="M818" i="15"/>
  <c r="M819" i="15"/>
  <c r="M820" i="15"/>
  <c r="M821" i="15"/>
  <c r="M822" i="15"/>
  <c r="M823" i="15"/>
  <c r="M824" i="15"/>
  <c r="M825" i="15"/>
  <c r="M826" i="15"/>
  <c r="M827" i="15"/>
  <c r="M828" i="15"/>
  <c r="M829" i="15"/>
  <c r="M830" i="15"/>
  <c r="M831" i="15"/>
  <c r="M832" i="15"/>
  <c r="M833" i="15"/>
  <c r="M834" i="15"/>
  <c r="M835" i="15"/>
  <c r="M836" i="15"/>
  <c r="M837" i="15"/>
  <c r="M838" i="15"/>
  <c r="M839" i="15"/>
  <c r="M840" i="15"/>
  <c r="M841" i="15"/>
  <c r="M842" i="15"/>
  <c r="M843" i="15"/>
  <c r="M844" i="15"/>
  <c r="M845" i="15"/>
  <c r="M846" i="15"/>
  <c r="M847" i="15"/>
  <c r="M848" i="15"/>
  <c r="M849" i="15"/>
  <c r="M850" i="15"/>
  <c r="M851" i="15"/>
  <c r="M852" i="15"/>
  <c r="M853" i="15"/>
  <c r="M854" i="15"/>
  <c r="M855" i="15"/>
  <c r="M856" i="15"/>
  <c r="M857" i="15"/>
  <c r="M858" i="15"/>
  <c r="M859" i="15"/>
  <c r="M860" i="15"/>
  <c r="M861" i="15"/>
  <c r="M862" i="15"/>
  <c r="M863" i="15"/>
  <c r="M864" i="15"/>
  <c r="M865" i="15"/>
  <c r="M866" i="15"/>
  <c r="M867" i="15"/>
  <c r="M868" i="15"/>
  <c r="M869" i="15"/>
  <c r="M870" i="15"/>
  <c r="M871" i="15"/>
  <c r="M872" i="15"/>
  <c r="M873" i="15"/>
  <c r="M874" i="15"/>
  <c r="M875" i="15"/>
  <c r="M876" i="15"/>
  <c r="M877" i="15"/>
  <c r="M878" i="15"/>
  <c r="M879" i="15"/>
  <c r="M880" i="15"/>
  <c r="M881" i="15"/>
  <c r="M882" i="15"/>
  <c r="M883" i="15"/>
  <c r="M884" i="15"/>
  <c r="M885" i="15"/>
  <c r="M886" i="15"/>
  <c r="M887" i="15"/>
  <c r="M888" i="15"/>
  <c r="M889" i="15"/>
  <c r="M890" i="15"/>
  <c r="M891" i="15"/>
  <c r="M892" i="15"/>
  <c r="M893" i="15"/>
  <c r="M894" i="15"/>
  <c r="M895" i="15"/>
  <c r="M896" i="15"/>
  <c r="M897" i="15"/>
  <c r="M898" i="15"/>
  <c r="M899" i="15"/>
  <c r="M900" i="15"/>
  <c r="M901" i="15"/>
  <c r="M902" i="15"/>
  <c r="M903" i="15"/>
  <c r="M904" i="15"/>
  <c r="M905" i="15"/>
  <c r="M906" i="15"/>
  <c r="M907" i="15"/>
  <c r="M908" i="15"/>
  <c r="M909" i="15"/>
  <c r="M910" i="15"/>
  <c r="M911" i="15"/>
  <c r="M912" i="15"/>
  <c r="M913" i="15"/>
  <c r="M914" i="15"/>
  <c r="M915" i="15"/>
  <c r="M916" i="15"/>
  <c r="M917" i="15"/>
  <c r="M918" i="15"/>
  <c r="M919" i="15"/>
  <c r="M920" i="15"/>
  <c r="M921" i="15"/>
  <c r="M922" i="15"/>
  <c r="M923" i="15"/>
  <c r="M924" i="15"/>
  <c r="M925" i="15"/>
  <c r="M926" i="15"/>
  <c r="M927" i="15"/>
  <c r="M928" i="15"/>
  <c r="M929" i="15"/>
  <c r="M930" i="15"/>
  <c r="M931" i="15"/>
  <c r="M932" i="15"/>
  <c r="M933" i="15"/>
  <c r="M934" i="15"/>
  <c r="M935" i="15"/>
  <c r="M936" i="15"/>
  <c r="M937" i="15"/>
  <c r="M938" i="15"/>
  <c r="M939" i="15"/>
  <c r="M940" i="15"/>
  <c r="M941" i="15"/>
  <c r="M942" i="15"/>
  <c r="M943" i="15"/>
  <c r="M944" i="15"/>
  <c r="M945" i="15"/>
  <c r="M946" i="15"/>
  <c r="M947" i="15"/>
  <c r="M948" i="15"/>
  <c r="M949" i="15"/>
  <c r="M950" i="15"/>
  <c r="M951" i="15"/>
  <c r="M952" i="15"/>
  <c r="M953" i="15"/>
  <c r="M954" i="15"/>
  <c r="M955" i="15"/>
  <c r="M956" i="15"/>
  <c r="M957" i="15"/>
  <c r="M958" i="15"/>
  <c r="M959" i="15"/>
  <c r="M960" i="15"/>
  <c r="M961" i="15"/>
  <c r="M962" i="15"/>
  <c r="M963" i="15"/>
  <c r="M964" i="15"/>
  <c r="M965" i="15"/>
  <c r="M966" i="15"/>
  <c r="M967" i="15"/>
  <c r="M968" i="15"/>
  <c r="M969" i="15"/>
  <c r="M970" i="15"/>
  <c r="M971" i="15"/>
  <c r="M972" i="15"/>
  <c r="M973" i="15"/>
  <c r="M974" i="15"/>
  <c r="M975" i="15"/>
  <c r="M976" i="15"/>
  <c r="M977" i="15"/>
  <c r="M978" i="15"/>
  <c r="M979" i="15"/>
  <c r="M980" i="15"/>
  <c r="M981" i="15"/>
  <c r="M982" i="15"/>
  <c r="M983" i="15"/>
  <c r="M984" i="15"/>
  <c r="M985" i="15"/>
  <c r="M986" i="15"/>
  <c r="M987" i="15"/>
  <c r="M988" i="15"/>
  <c r="M989" i="15"/>
  <c r="M990" i="15"/>
  <c r="M991" i="15"/>
  <c r="M992" i="15"/>
  <c r="M993" i="15"/>
  <c r="M994" i="15"/>
  <c r="M995" i="15"/>
  <c r="M996" i="15"/>
  <c r="M997" i="15"/>
  <c r="M998" i="15"/>
  <c r="M999" i="15"/>
  <c r="M1000" i="15"/>
  <c r="M1001" i="15"/>
  <c r="M1002" i="15"/>
  <c r="M1003" i="15"/>
  <c r="M1004" i="15"/>
  <c r="M1005" i="15"/>
  <c r="M1006" i="15"/>
  <c r="M1007" i="15"/>
  <c r="M1008" i="15"/>
  <c r="M1009" i="15"/>
  <c r="M1010" i="15"/>
  <c r="M1011" i="15"/>
  <c r="M1012" i="15"/>
  <c r="M1013" i="15"/>
  <c r="M1014" i="15"/>
  <c r="M1015" i="15"/>
  <c r="M1016" i="15"/>
  <c r="M1017" i="15"/>
  <c r="M1018" i="15"/>
  <c r="M1019" i="15"/>
  <c r="M1020" i="15"/>
  <c r="M1021" i="15"/>
  <c r="M1022" i="15"/>
  <c r="M1023" i="15"/>
  <c r="M1024" i="15"/>
  <c r="M1025" i="15"/>
  <c r="M1026" i="15"/>
  <c r="M1027" i="15"/>
  <c r="M1028" i="15"/>
  <c r="M1029" i="15"/>
  <c r="M1030" i="15"/>
  <c r="M1031" i="15"/>
  <c r="M1032" i="15"/>
  <c r="M1033" i="15"/>
  <c r="M2" i="15"/>
  <c r="K3" i="15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33" i="15"/>
  <c r="K34" i="15"/>
  <c r="K35" i="15"/>
  <c r="K36" i="15"/>
  <c r="K37" i="15"/>
  <c r="K38" i="15"/>
  <c r="K39" i="15"/>
  <c r="K40" i="15"/>
  <c r="K41" i="15"/>
  <c r="K42" i="15"/>
  <c r="K43" i="15"/>
  <c r="K44" i="15"/>
  <c r="K45" i="15"/>
  <c r="K46" i="15"/>
  <c r="K47" i="15"/>
  <c r="K48" i="15"/>
  <c r="K49" i="15"/>
  <c r="K50" i="15"/>
  <c r="K51" i="15"/>
  <c r="K52" i="15"/>
  <c r="K53" i="15"/>
  <c r="K54" i="15"/>
  <c r="K55" i="15"/>
  <c r="K56" i="15"/>
  <c r="K57" i="15"/>
  <c r="K58" i="15"/>
  <c r="K59" i="15"/>
  <c r="K60" i="15"/>
  <c r="K61" i="15"/>
  <c r="K62" i="15"/>
  <c r="K63" i="15"/>
  <c r="K64" i="15"/>
  <c r="K65" i="15"/>
  <c r="K66" i="15"/>
  <c r="K67" i="15"/>
  <c r="K68" i="15"/>
  <c r="K69" i="15"/>
  <c r="K70" i="15"/>
  <c r="K71" i="15"/>
  <c r="K72" i="15"/>
  <c r="K73" i="15"/>
  <c r="K74" i="15"/>
  <c r="K75" i="15"/>
  <c r="K76" i="15"/>
  <c r="K77" i="15"/>
  <c r="K78" i="15"/>
  <c r="K79" i="15"/>
  <c r="K80" i="15"/>
  <c r="K81" i="15"/>
  <c r="K82" i="15"/>
  <c r="K83" i="15"/>
  <c r="K84" i="15"/>
  <c r="K85" i="15"/>
  <c r="K86" i="15"/>
  <c r="K87" i="15"/>
  <c r="K88" i="15"/>
  <c r="K89" i="15"/>
  <c r="K90" i="15"/>
  <c r="K91" i="15"/>
  <c r="K92" i="15"/>
  <c r="K93" i="15"/>
  <c r="K94" i="15"/>
  <c r="K95" i="15"/>
  <c r="K96" i="15"/>
  <c r="K97" i="15"/>
  <c r="K98" i="15"/>
  <c r="K99" i="15"/>
  <c r="K100" i="15"/>
  <c r="K101" i="15"/>
  <c r="K102" i="15"/>
  <c r="K103" i="15"/>
  <c r="K104" i="15"/>
  <c r="K105" i="15"/>
  <c r="K106" i="15"/>
  <c r="K107" i="15"/>
  <c r="K108" i="15"/>
  <c r="K109" i="15"/>
  <c r="K110" i="15"/>
  <c r="K111" i="15"/>
  <c r="K112" i="15"/>
  <c r="K113" i="15"/>
  <c r="K114" i="15"/>
  <c r="K115" i="15"/>
  <c r="K116" i="15"/>
  <c r="K117" i="15"/>
  <c r="K118" i="15"/>
  <c r="K119" i="15"/>
  <c r="K120" i="15"/>
  <c r="K121" i="15"/>
  <c r="K122" i="15"/>
  <c r="K123" i="15"/>
  <c r="K124" i="15"/>
  <c r="K125" i="15"/>
  <c r="K126" i="15"/>
  <c r="K127" i="15"/>
  <c r="K128" i="15"/>
  <c r="K129" i="15"/>
  <c r="K130" i="15"/>
  <c r="K131" i="15"/>
  <c r="K132" i="15"/>
  <c r="K133" i="15"/>
  <c r="K134" i="15"/>
  <c r="K135" i="15"/>
  <c r="K136" i="15"/>
  <c r="K137" i="15"/>
  <c r="K138" i="15"/>
  <c r="K139" i="15"/>
  <c r="K140" i="15"/>
  <c r="K141" i="15"/>
  <c r="K142" i="15"/>
  <c r="K143" i="15"/>
  <c r="K144" i="15"/>
  <c r="K145" i="15"/>
  <c r="K146" i="15"/>
  <c r="K147" i="15"/>
  <c r="K148" i="15"/>
  <c r="K149" i="15"/>
  <c r="K150" i="15"/>
  <c r="K151" i="15"/>
  <c r="K152" i="15"/>
  <c r="K153" i="15"/>
  <c r="K154" i="15"/>
  <c r="K155" i="15"/>
  <c r="K156" i="15"/>
  <c r="K157" i="15"/>
  <c r="K158" i="15"/>
  <c r="K159" i="15"/>
  <c r="K160" i="15"/>
  <c r="K161" i="15"/>
  <c r="K162" i="15"/>
  <c r="K163" i="15"/>
  <c r="K164" i="15"/>
  <c r="K165" i="15"/>
  <c r="K166" i="15"/>
  <c r="K167" i="15"/>
  <c r="K168" i="15"/>
  <c r="K169" i="15"/>
  <c r="K170" i="15"/>
  <c r="K171" i="15"/>
  <c r="K172" i="15"/>
  <c r="K173" i="15"/>
  <c r="K174" i="15"/>
  <c r="K175" i="15"/>
  <c r="K176" i="15"/>
  <c r="K177" i="15"/>
  <c r="K178" i="15"/>
  <c r="K179" i="15"/>
  <c r="K180" i="15"/>
  <c r="K181" i="15"/>
  <c r="K182" i="15"/>
  <c r="K183" i="15"/>
  <c r="K184" i="15"/>
  <c r="K185" i="15"/>
  <c r="K186" i="15"/>
  <c r="K187" i="15"/>
  <c r="K188" i="15"/>
  <c r="K189" i="15"/>
  <c r="K190" i="15"/>
  <c r="K191" i="15"/>
  <c r="K192" i="15"/>
  <c r="K193" i="15"/>
  <c r="K194" i="15"/>
  <c r="K195" i="15"/>
  <c r="K196" i="15"/>
  <c r="K197" i="15"/>
  <c r="K198" i="15"/>
  <c r="K199" i="15"/>
  <c r="K200" i="15"/>
  <c r="K201" i="15"/>
  <c r="K202" i="15"/>
  <c r="K203" i="15"/>
  <c r="K204" i="15"/>
  <c r="K205" i="15"/>
  <c r="K206" i="15"/>
  <c r="K207" i="15"/>
  <c r="K208" i="15"/>
  <c r="K209" i="15"/>
  <c r="K210" i="15"/>
  <c r="K211" i="15"/>
  <c r="K212" i="15"/>
  <c r="K213" i="15"/>
  <c r="K214" i="15"/>
  <c r="K215" i="15"/>
  <c r="K216" i="15"/>
  <c r="K217" i="15"/>
  <c r="K218" i="15"/>
  <c r="K219" i="15"/>
  <c r="K220" i="15"/>
  <c r="K221" i="15"/>
  <c r="K222" i="15"/>
  <c r="K223" i="15"/>
  <c r="K224" i="15"/>
  <c r="K225" i="15"/>
  <c r="K226" i="15"/>
  <c r="K227" i="15"/>
  <c r="K228" i="15"/>
  <c r="K229" i="15"/>
  <c r="K230" i="15"/>
  <c r="K231" i="15"/>
  <c r="K232" i="15"/>
  <c r="K233" i="15"/>
  <c r="K234" i="15"/>
  <c r="K235" i="15"/>
  <c r="K236" i="15"/>
  <c r="K237" i="15"/>
  <c r="K238" i="15"/>
  <c r="K239" i="15"/>
  <c r="K240" i="15"/>
  <c r="K241" i="15"/>
  <c r="K242" i="15"/>
  <c r="K243" i="15"/>
  <c r="K244" i="15"/>
  <c r="K245" i="15"/>
  <c r="K246" i="15"/>
  <c r="K247" i="15"/>
  <c r="K248" i="15"/>
  <c r="K249" i="15"/>
  <c r="K250" i="15"/>
  <c r="K251" i="15"/>
  <c r="K252" i="15"/>
  <c r="K253" i="15"/>
  <c r="K254" i="15"/>
  <c r="K255" i="15"/>
  <c r="K256" i="15"/>
  <c r="K257" i="15"/>
  <c r="K258" i="15"/>
  <c r="K259" i="15"/>
  <c r="K260" i="15"/>
  <c r="K261" i="15"/>
  <c r="K262" i="15"/>
  <c r="K263" i="15"/>
  <c r="K264" i="15"/>
  <c r="K265" i="15"/>
  <c r="K266" i="15"/>
  <c r="K267" i="15"/>
  <c r="K268" i="15"/>
  <c r="K269" i="15"/>
  <c r="K270" i="15"/>
  <c r="K271" i="15"/>
  <c r="K272" i="15"/>
  <c r="K273" i="15"/>
  <c r="K274" i="15"/>
  <c r="K275" i="15"/>
  <c r="K276" i="15"/>
  <c r="K277" i="15"/>
  <c r="K278" i="15"/>
  <c r="K279" i="15"/>
  <c r="K280" i="15"/>
  <c r="K281" i="15"/>
  <c r="K282" i="15"/>
  <c r="K283" i="15"/>
  <c r="K284" i="15"/>
  <c r="K285" i="15"/>
  <c r="K286" i="15"/>
  <c r="K287" i="15"/>
  <c r="K288" i="15"/>
  <c r="K289" i="15"/>
  <c r="K290" i="15"/>
  <c r="K291" i="15"/>
  <c r="K292" i="15"/>
  <c r="K293" i="15"/>
  <c r="K294" i="15"/>
  <c r="K295" i="15"/>
  <c r="K296" i="15"/>
  <c r="K297" i="15"/>
  <c r="K298" i="15"/>
  <c r="K299" i="15"/>
  <c r="K300" i="15"/>
  <c r="K301" i="15"/>
  <c r="K302" i="15"/>
  <c r="K303" i="15"/>
  <c r="K304" i="15"/>
  <c r="K305" i="15"/>
  <c r="K306" i="15"/>
  <c r="K307" i="15"/>
  <c r="K308" i="15"/>
  <c r="K309" i="15"/>
  <c r="K310" i="15"/>
  <c r="K311" i="15"/>
  <c r="K312" i="15"/>
  <c r="K313" i="15"/>
  <c r="K314" i="15"/>
  <c r="K315" i="15"/>
  <c r="K316" i="15"/>
  <c r="K317" i="15"/>
  <c r="K318" i="15"/>
  <c r="K319" i="15"/>
  <c r="K320" i="15"/>
  <c r="K321" i="15"/>
  <c r="K322" i="15"/>
  <c r="K323" i="15"/>
  <c r="K324" i="15"/>
  <c r="K325" i="15"/>
  <c r="K326" i="15"/>
  <c r="K327" i="15"/>
  <c r="K328" i="15"/>
  <c r="K329" i="15"/>
  <c r="K330" i="15"/>
  <c r="K331" i="15"/>
  <c r="K332" i="15"/>
  <c r="K333" i="15"/>
  <c r="K334" i="15"/>
  <c r="K335" i="15"/>
  <c r="K336" i="15"/>
  <c r="K337" i="15"/>
  <c r="K338" i="15"/>
  <c r="K339" i="15"/>
  <c r="K340" i="15"/>
  <c r="K341" i="15"/>
  <c r="K342" i="15"/>
  <c r="K343" i="15"/>
  <c r="K344" i="15"/>
  <c r="K345" i="15"/>
  <c r="K346" i="15"/>
  <c r="K347" i="15"/>
  <c r="K348" i="15"/>
  <c r="K349" i="15"/>
  <c r="K350" i="15"/>
  <c r="K351" i="15"/>
  <c r="K352" i="15"/>
  <c r="K353" i="15"/>
  <c r="K354" i="15"/>
  <c r="K355" i="15"/>
  <c r="K356" i="15"/>
  <c r="K357" i="15"/>
  <c r="K358" i="15"/>
  <c r="K359" i="15"/>
  <c r="K360" i="15"/>
  <c r="K361" i="15"/>
  <c r="K362" i="15"/>
  <c r="K363" i="15"/>
  <c r="K364" i="15"/>
  <c r="K365" i="15"/>
  <c r="K366" i="15"/>
  <c r="K367" i="15"/>
  <c r="K368" i="15"/>
  <c r="K369" i="15"/>
  <c r="K370" i="15"/>
  <c r="K371" i="15"/>
  <c r="K372" i="15"/>
  <c r="K373" i="15"/>
  <c r="K374" i="15"/>
  <c r="K375" i="15"/>
  <c r="K376" i="15"/>
  <c r="K377" i="15"/>
  <c r="K378" i="15"/>
  <c r="K379" i="15"/>
  <c r="K380" i="15"/>
  <c r="K381" i="15"/>
  <c r="K382" i="15"/>
  <c r="K383" i="15"/>
  <c r="K384" i="15"/>
  <c r="K385" i="15"/>
  <c r="K386" i="15"/>
  <c r="K387" i="15"/>
  <c r="K388" i="15"/>
  <c r="K389" i="15"/>
  <c r="K390" i="15"/>
  <c r="K391" i="15"/>
  <c r="K392" i="15"/>
  <c r="K393" i="15"/>
  <c r="K394" i="15"/>
  <c r="K395" i="15"/>
  <c r="K396" i="15"/>
  <c r="K397" i="15"/>
  <c r="K398" i="15"/>
  <c r="K399" i="15"/>
  <c r="K400" i="15"/>
  <c r="K401" i="15"/>
  <c r="K402" i="15"/>
  <c r="K403" i="15"/>
  <c r="K404" i="15"/>
  <c r="K405" i="15"/>
  <c r="K406" i="15"/>
  <c r="K407" i="15"/>
  <c r="K408" i="15"/>
  <c r="K409" i="15"/>
  <c r="K410" i="15"/>
  <c r="K411" i="15"/>
  <c r="K412" i="15"/>
  <c r="K413" i="15"/>
  <c r="K414" i="15"/>
  <c r="K415" i="15"/>
  <c r="K416" i="15"/>
  <c r="K417" i="15"/>
  <c r="K418" i="15"/>
  <c r="K419" i="15"/>
  <c r="K420" i="15"/>
  <c r="K421" i="15"/>
  <c r="K422" i="15"/>
  <c r="K423" i="15"/>
  <c r="K424" i="15"/>
  <c r="K425" i="15"/>
  <c r="K426" i="15"/>
  <c r="K427" i="15"/>
  <c r="K428" i="15"/>
  <c r="K429" i="15"/>
  <c r="K430" i="15"/>
  <c r="K431" i="15"/>
  <c r="K432" i="15"/>
  <c r="K433" i="15"/>
  <c r="K434" i="15"/>
  <c r="K435" i="15"/>
  <c r="K436" i="15"/>
  <c r="K437" i="15"/>
  <c r="K438" i="15"/>
  <c r="K439" i="15"/>
  <c r="K440" i="15"/>
  <c r="K441" i="15"/>
  <c r="K442" i="15"/>
  <c r="K443" i="15"/>
  <c r="K444" i="15"/>
  <c r="K445" i="15"/>
  <c r="K446" i="15"/>
  <c r="K447" i="15"/>
  <c r="K448" i="15"/>
  <c r="K449" i="15"/>
  <c r="K450" i="15"/>
  <c r="K451" i="15"/>
  <c r="K452" i="15"/>
  <c r="K453" i="15"/>
  <c r="K454" i="15"/>
  <c r="K455" i="15"/>
  <c r="K456" i="15"/>
  <c r="K457" i="15"/>
  <c r="K458" i="15"/>
  <c r="K459" i="15"/>
  <c r="K460" i="15"/>
  <c r="K461" i="15"/>
  <c r="K462" i="15"/>
  <c r="K463" i="15"/>
  <c r="K464" i="15"/>
  <c r="K465" i="15"/>
  <c r="K466" i="15"/>
  <c r="K467" i="15"/>
  <c r="K468" i="15"/>
  <c r="K469" i="15"/>
  <c r="K470" i="15"/>
  <c r="K471" i="15"/>
  <c r="K472" i="15"/>
  <c r="K473" i="15"/>
  <c r="K474" i="15"/>
  <c r="K475" i="15"/>
  <c r="K476" i="15"/>
  <c r="K477" i="15"/>
  <c r="K478" i="15"/>
  <c r="K479" i="15"/>
  <c r="K480" i="15"/>
  <c r="K481" i="15"/>
  <c r="K482" i="15"/>
  <c r="K483" i="15"/>
  <c r="K484" i="15"/>
  <c r="K485" i="15"/>
  <c r="K486" i="15"/>
  <c r="K487" i="15"/>
  <c r="K488" i="15"/>
  <c r="K489" i="15"/>
  <c r="K490" i="15"/>
  <c r="K491" i="15"/>
  <c r="K492" i="15"/>
  <c r="K493" i="15"/>
  <c r="K494" i="15"/>
  <c r="K495" i="15"/>
  <c r="K496" i="15"/>
  <c r="K497" i="15"/>
  <c r="K498" i="15"/>
  <c r="K499" i="15"/>
  <c r="K500" i="15"/>
  <c r="K501" i="15"/>
  <c r="K502" i="15"/>
  <c r="K503" i="15"/>
  <c r="K504" i="15"/>
  <c r="K505" i="15"/>
  <c r="K506" i="15"/>
  <c r="K507" i="15"/>
  <c r="K508" i="15"/>
  <c r="K509" i="15"/>
  <c r="K510" i="15"/>
  <c r="K511" i="15"/>
  <c r="K512" i="15"/>
  <c r="K513" i="15"/>
  <c r="K514" i="15"/>
  <c r="K515" i="15"/>
  <c r="K516" i="15"/>
  <c r="K517" i="15"/>
  <c r="K518" i="15"/>
  <c r="K519" i="15"/>
  <c r="K520" i="15"/>
  <c r="K521" i="15"/>
  <c r="K522" i="15"/>
  <c r="K523" i="15"/>
  <c r="K524" i="15"/>
  <c r="K525" i="15"/>
  <c r="K526" i="15"/>
  <c r="K527" i="15"/>
  <c r="K528" i="15"/>
  <c r="K529" i="15"/>
  <c r="K530" i="15"/>
  <c r="K531" i="15"/>
  <c r="K532" i="15"/>
  <c r="K533" i="15"/>
  <c r="K534" i="15"/>
  <c r="K535" i="15"/>
  <c r="K536" i="15"/>
  <c r="K537" i="15"/>
  <c r="K538" i="15"/>
  <c r="K539" i="15"/>
  <c r="K540" i="15"/>
  <c r="K541" i="15"/>
  <c r="K542" i="15"/>
  <c r="K543" i="15"/>
  <c r="K544" i="15"/>
  <c r="K545" i="15"/>
  <c r="K546" i="15"/>
  <c r="K547" i="15"/>
  <c r="K548" i="15"/>
  <c r="K549" i="15"/>
  <c r="K550" i="15"/>
  <c r="K551" i="15"/>
  <c r="K552" i="15"/>
  <c r="K553" i="15"/>
  <c r="K554" i="15"/>
  <c r="K555" i="15"/>
  <c r="K556" i="15"/>
  <c r="K557" i="15"/>
  <c r="K558" i="15"/>
  <c r="K559" i="15"/>
  <c r="K560" i="15"/>
  <c r="K561" i="15"/>
  <c r="K562" i="15"/>
  <c r="K563" i="15"/>
  <c r="K564" i="15"/>
  <c r="K565" i="15"/>
  <c r="K566" i="15"/>
  <c r="K567" i="15"/>
  <c r="K568" i="15"/>
  <c r="K569" i="15"/>
  <c r="K570" i="15"/>
  <c r="K571" i="15"/>
  <c r="K572" i="15"/>
  <c r="K573" i="15"/>
  <c r="K574" i="15"/>
  <c r="K575" i="15"/>
  <c r="K576" i="15"/>
  <c r="K577" i="15"/>
  <c r="K578" i="15"/>
  <c r="K579" i="15"/>
  <c r="K580" i="15"/>
  <c r="K581" i="15"/>
  <c r="K582" i="15"/>
  <c r="K583" i="15"/>
  <c r="K584" i="15"/>
  <c r="K585" i="15"/>
  <c r="K586" i="15"/>
  <c r="K587" i="15"/>
  <c r="K588" i="15"/>
  <c r="K589" i="15"/>
  <c r="K590" i="15"/>
  <c r="K591" i="15"/>
  <c r="K592" i="15"/>
  <c r="K593" i="15"/>
  <c r="K594" i="15"/>
  <c r="K595" i="15"/>
  <c r="K596" i="15"/>
  <c r="K597" i="15"/>
  <c r="K598" i="15"/>
  <c r="K599" i="15"/>
  <c r="K600" i="15"/>
  <c r="K601" i="15"/>
  <c r="K602" i="15"/>
  <c r="K603" i="15"/>
  <c r="K604" i="15"/>
  <c r="K605" i="15"/>
  <c r="K606" i="15"/>
  <c r="K607" i="15"/>
  <c r="K608" i="15"/>
  <c r="K609" i="15"/>
  <c r="K610" i="15"/>
  <c r="K611" i="15"/>
  <c r="K612" i="15"/>
  <c r="K613" i="15"/>
  <c r="K614" i="15"/>
  <c r="K615" i="15"/>
  <c r="K616" i="15"/>
  <c r="K617" i="15"/>
  <c r="K618" i="15"/>
  <c r="K619" i="15"/>
  <c r="K620" i="15"/>
  <c r="K621" i="15"/>
  <c r="K622" i="15"/>
  <c r="K623" i="15"/>
  <c r="K624" i="15"/>
  <c r="K625" i="15"/>
  <c r="K626" i="15"/>
  <c r="K627" i="15"/>
  <c r="K628" i="15"/>
  <c r="K629" i="15"/>
  <c r="K630" i="15"/>
  <c r="K631" i="15"/>
  <c r="K632" i="15"/>
  <c r="K633" i="15"/>
  <c r="K634" i="15"/>
  <c r="K635" i="15"/>
  <c r="K636" i="15"/>
  <c r="K637" i="15"/>
  <c r="K638" i="15"/>
  <c r="K639" i="15"/>
  <c r="K640" i="15"/>
  <c r="K641" i="15"/>
  <c r="K642" i="15"/>
  <c r="K643" i="15"/>
  <c r="K644" i="15"/>
  <c r="K645" i="15"/>
  <c r="K646" i="15"/>
  <c r="K647" i="15"/>
  <c r="K648" i="15"/>
  <c r="K649" i="15"/>
  <c r="K650" i="15"/>
  <c r="K651" i="15"/>
  <c r="K652" i="15"/>
  <c r="K653" i="15"/>
  <c r="K654" i="15"/>
  <c r="K655" i="15"/>
  <c r="K656" i="15"/>
  <c r="K657" i="15"/>
  <c r="K658" i="15"/>
  <c r="K659" i="15"/>
  <c r="K660" i="15"/>
  <c r="K661" i="15"/>
  <c r="K662" i="15"/>
  <c r="K663" i="15"/>
  <c r="K664" i="15"/>
  <c r="K665" i="15"/>
  <c r="K666" i="15"/>
  <c r="K667" i="15"/>
  <c r="K668" i="15"/>
  <c r="K669" i="15"/>
  <c r="K670" i="15"/>
  <c r="K671" i="15"/>
  <c r="K672" i="15"/>
  <c r="K673" i="15"/>
  <c r="K674" i="15"/>
  <c r="K675" i="15"/>
  <c r="K676" i="15"/>
  <c r="K677" i="15"/>
  <c r="K678" i="15"/>
  <c r="K679" i="15"/>
  <c r="K680" i="15"/>
  <c r="K681" i="15"/>
  <c r="K682" i="15"/>
  <c r="K683" i="15"/>
  <c r="K684" i="15"/>
  <c r="K685" i="15"/>
  <c r="K686" i="15"/>
  <c r="K687" i="15"/>
  <c r="K688" i="15"/>
  <c r="K689" i="15"/>
  <c r="K690" i="15"/>
  <c r="K691" i="15"/>
  <c r="K692" i="15"/>
  <c r="K693" i="15"/>
  <c r="K694" i="15"/>
  <c r="K695" i="15"/>
  <c r="K696" i="15"/>
  <c r="K697" i="15"/>
  <c r="K698" i="15"/>
  <c r="K699" i="15"/>
  <c r="K700" i="15"/>
  <c r="K701" i="15"/>
  <c r="K702" i="15"/>
  <c r="K703" i="15"/>
  <c r="K704" i="15"/>
  <c r="K705" i="15"/>
  <c r="K706" i="15"/>
  <c r="K707" i="15"/>
  <c r="K708" i="15"/>
  <c r="K709" i="15"/>
  <c r="K710" i="15"/>
  <c r="K711" i="15"/>
  <c r="K712" i="15"/>
  <c r="K713" i="15"/>
  <c r="K714" i="15"/>
  <c r="K715" i="15"/>
  <c r="K716" i="15"/>
  <c r="K717" i="15"/>
  <c r="K718" i="15"/>
  <c r="K719" i="15"/>
  <c r="K720" i="15"/>
  <c r="K721" i="15"/>
  <c r="K722" i="15"/>
  <c r="K723" i="15"/>
  <c r="K724" i="15"/>
  <c r="K725" i="15"/>
  <c r="K726" i="15"/>
  <c r="K727" i="15"/>
  <c r="K728" i="15"/>
  <c r="K729" i="15"/>
  <c r="K730" i="15"/>
  <c r="K731" i="15"/>
  <c r="K732" i="15"/>
  <c r="K733" i="15"/>
  <c r="K734" i="15"/>
  <c r="K735" i="15"/>
  <c r="K736" i="15"/>
  <c r="K737" i="15"/>
  <c r="K738" i="15"/>
  <c r="K739" i="15"/>
  <c r="K740" i="15"/>
  <c r="K741" i="15"/>
  <c r="K742" i="15"/>
  <c r="K743" i="15"/>
  <c r="K744" i="15"/>
  <c r="K745" i="15"/>
  <c r="K746" i="15"/>
  <c r="K747" i="15"/>
  <c r="K748" i="15"/>
  <c r="K749" i="15"/>
  <c r="K750" i="15"/>
  <c r="K751" i="15"/>
  <c r="K752" i="15"/>
  <c r="K753" i="15"/>
  <c r="K754" i="15"/>
  <c r="K755" i="15"/>
  <c r="K756" i="15"/>
  <c r="K757" i="15"/>
  <c r="K758" i="15"/>
  <c r="K759" i="15"/>
  <c r="K760" i="15"/>
  <c r="K761" i="15"/>
  <c r="K762" i="15"/>
  <c r="K763" i="15"/>
  <c r="K764" i="15"/>
  <c r="K765" i="15"/>
  <c r="K766" i="15"/>
  <c r="K767" i="15"/>
  <c r="K768" i="15"/>
  <c r="K769" i="15"/>
  <c r="K770" i="15"/>
  <c r="K771" i="15"/>
  <c r="K772" i="15"/>
  <c r="K773" i="15"/>
  <c r="K774" i="15"/>
  <c r="K775" i="15"/>
  <c r="K776" i="15"/>
  <c r="K777" i="15"/>
  <c r="K778" i="15"/>
  <c r="K779" i="15"/>
  <c r="K780" i="15"/>
  <c r="K781" i="15"/>
  <c r="K782" i="15"/>
  <c r="K783" i="15"/>
  <c r="K784" i="15"/>
  <c r="K785" i="15"/>
  <c r="K786" i="15"/>
  <c r="K787" i="15"/>
  <c r="K788" i="15"/>
  <c r="K789" i="15"/>
  <c r="K790" i="15"/>
  <c r="K791" i="15"/>
  <c r="K792" i="15"/>
  <c r="K793" i="15"/>
  <c r="K794" i="15"/>
  <c r="K795" i="15"/>
  <c r="K796" i="15"/>
  <c r="K797" i="15"/>
  <c r="K798" i="15"/>
  <c r="K799" i="15"/>
  <c r="K800" i="15"/>
  <c r="K801" i="15"/>
  <c r="K802" i="15"/>
  <c r="K803" i="15"/>
  <c r="K804" i="15"/>
  <c r="K805" i="15"/>
  <c r="K806" i="15"/>
  <c r="K807" i="15"/>
  <c r="K808" i="15"/>
  <c r="K809" i="15"/>
  <c r="K810" i="15"/>
  <c r="K811" i="15"/>
  <c r="K812" i="15"/>
  <c r="K813" i="15"/>
  <c r="K814" i="15"/>
  <c r="K815" i="15"/>
  <c r="K816" i="15"/>
  <c r="K817" i="15"/>
  <c r="K818" i="15"/>
  <c r="K819" i="15"/>
  <c r="K820" i="15"/>
  <c r="K821" i="15"/>
  <c r="K822" i="15"/>
  <c r="K823" i="15"/>
  <c r="K824" i="15"/>
  <c r="K825" i="15"/>
  <c r="K826" i="15"/>
  <c r="K827" i="15"/>
  <c r="K828" i="15"/>
  <c r="K829" i="15"/>
  <c r="K830" i="15"/>
  <c r="K831" i="15"/>
  <c r="K832" i="15"/>
  <c r="K833" i="15"/>
  <c r="K834" i="15"/>
  <c r="K835" i="15"/>
  <c r="K836" i="15"/>
  <c r="K837" i="15"/>
  <c r="K838" i="15"/>
  <c r="K839" i="15"/>
  <c r="K840" i="15"/>
  <c r="K841" i="15"/>
  <c r="K842" i="15"/>
  <c r="K843" i="15"/>
  <c r="K844" i="15"/>
  <c r="K845" i="15"/>
  <c r="K846" i="15"/>
  <c r="K847" i="15"/>
  <c r="K848" i="15"/>
  <c r="K849" i="15"/>
  <c r="K850" i="15"/>
  <c r="K851" i="15"/>
  <c r="K852" i="15"/>
  <c r="K853" i="15"/>
  <c r="K854" i="15"/>
  <c r="K855" i="15"/>
  <c r="K856" i="15"/>
  <c r="K857" i="15"/>
  <c r="K858" i="15"/>
  <c r="K859" i="15"/>
  <c r="K860" i="15"/>
  <c r="K861" i="15"/>
  <c r="K862" i="15"/>
  <c r="K863" i="15"/>
  <c r="K864" i="15"/>
  <c r="K865" i="15"/>
  <c r="K866" i="15"/>
  <c r="K867" i="15"/>
  <c r="K868" i="15"/>
  <c r="K869" i="15"/>
  <c r="K870" i="15"/>
  <c r="K871" i="15"/>
  <c r="K872" i="15"/>
  <c r="K873" i="15"/>
  <c r="K874" i="15"/>
  <c r="K875" i="15"/>
  <c r="K876" i="15"/>
  <c r="K877" i="15"/>
  <c r="K878" i="15"/>
  <c r="K879" i="15"/>
  <c r="K880" i="15"/>
  <c r="K881" i="15"/>
  <c r="K882" i="15"/>
  <c r="K883" i="15"/>
  <c r="K884" i="15"/>
  <c r="K885" i="15"/>
  <c r="K886" i="15"/>
  <c r="K887" i="15"/>
  <c r="K888" i="15"/>
  <c r="K889" i="15"/>
  <c r="K890" i="15"/>
  <c r="K891" i="15"/>
  <c r="K892" i="15"/>
  <c r="K893" i="15"/>
  <c r="K894" i="15"/>
  <c r="K895" i="15"/>
  <c r="K896" i="15"/>
  <c r="K897" i="15"/>
  <c r="K898" i="15"/>
  <c r="K899" i="15"/>
  <c r="K900" i="15"/>
  <c r="K901" i="15"/>
  <c r="K902" i="15"/>
  <c r="K903" i="15"/>
  <c r="K904" i="15"/>
  <c r="K905" i="15"/>
  <c r="K906" i="15"/>
  <c r="K907" i="15"/>
  <c r="K908" i="15"/>
  <c r="K909" i="15"/>
  <c r="K910" i="15"/>
  <c r="K911" i="15"/>
  <c r="K912" i="15"/>
  <c r="K913" i="15"/>
  <c r="K914" i="15"/>
  <c r="K915" i="15"/>
  <c r="K916" i="15"/>
  <c r="K917" i="15"/>
  <c r="K918" i="15"/>
  <c r="K919" i="15"/>
  <c r="K920" i="15"/>
  <c r="K921" i="15"/>
  <c r="K922" i="15"/>
  <c r="K923" i="15"/>
  <c r="K924" i="15"/>
  <c r="K925" i="15"/>
  <c r="K926" i="15"/>
  <c r="K927" i="15"/>
  <c r="K928" i="15"/>
  <c r="K929" i="15"/>
  <c r="K930" i="15"/>
  <c r="K931" i="15"/>
  <c r="K932" i="15"/>
  <c r="K933" i="15"/>
  <c r="K934" i="15"/>
  <c r="K935" i="15"/>
  <c r="K936" i="15"/>
  <c r="K937" i="15"/>
  <c r="K938" i="15"/>
  <c r="K939" i="15"/>
  <c r="K940" i="15"/>
  <c r="K941" i="15"/>
  <c r="K942" i="15"/>
  <c r="K943" i="15"/>
  <c r="K944" i="15"/>
  <c r="K945" i="15"/>
  <c r="K946" i="15"/>
  <c r="K947" i="15"/>
  <c r="K948" i="15"/>
  <c r="K949" i="15"/>
  <c r="K950" i="15"/>
  <c r="K951" i="15"/>
  <c r="K952" i="15"/>
  <c r="K953" i="15"/>
  <c r="K954" i="15"/>
  <c r="K955" i="15"/>
  <c r="K956" i="15"/>
  <c r="K957" i="15"/>
  <c r="K958" i="15"/>
  <c r="K959" i="15"/>
  <c r="K960" i="15"/>
  <c r="K961" i="15"/>
  <c r="K962" i="15"/>
  <c r="K963" i="15"/>
  <c r="K964" i="15"/>
  <c r="K965" i="15"/>
  <c r="K966" i="15"/>
  <c r="K967" i="15"/>
  <c r="K968" i="15"/>
  <c r="K969" i="15"/>
  <c r="K970" i="15"/>
  <c r="K971" i="15"/>
  <c r="K972" i="15"/>
  <c r="K973" i="15"/>
  <c r="K974" i="15"/>
  <c r="K975" i="15"/>
  <c r="K976" i="15"/>
  <c r="K977" i="15"/>
  <c r="K978" i="15"/>
  <c r="K979" i="15"/>
  <c r="K980" i="15"/>
  <c r="K981" i="15"/>
  <c r="K982" i="15"/>
  <c r="K983" i="15"/>
  <c r="K984" i="15"/>
  <c r="K985" i="15"/>
  <c r="K986" i="15"/>
  <c r="K987" i="15"/>
  <c r="K988" i="15"/>
  <c r="K989" i="15"/>
  <c r="K990" i="15"/>
  <c r="K991" i="15"/>
  <c r="K992" i="15"/>
  <c r="K993" i="15"/>
  <c r="K994" i="15"/>
  <c r="K995" i="15"/>
  <c r="K996" i="15"/>
  <c r="K997" i="15"/>
  <c r="K998" i="15"/>
  <c r="K999" i="15"/>
  <c r="K1000" i="15"/>
  <c r="K1001" i="15"/>
  <c r="K1002" i="15"/>
  <c r="K1003" i="15"/>
  <c r="K1004" i="15"/>
  <c r="K1005" i="15"/>
  <c r="K1006" i="15"/>
  <c r="K1007" i="15"/>
  <c r="K1008" i="15"/>
  <c r="K1009" i="15"/>
  <c r="K1010" i="15"/>
  <c r="K1011" i="15"/>
  <c r="K1012" i="15"/>
  <c r="K1013" i="15"/>
  <c r="K1014" i="15"/>
  <c r="K1015" i="15"/>
  <c r="K1016" i="15"/>
  <c r="K1017" i="15"/>
  <c r="K1018" i="15"/>
  <c r="K1019" i="15"/>
  <c r="K1020" i="15"/>
  <c r="K1021" i="15"/>
  <c r="K1022" i="15"/>
  <c r="K1023" i="15"/>
  <c r="K1024" i="15"/>
  <c r="K1025" i="15"/>
  <c r="K1026" i="15"/>
  <c r="K1027" i="15"/>
  <c r="K1028" i="15"/>
  <c r="K1029" i="15"/>
  <c r="K1030" i="15"/>
  <c r="K1031" i="15"/>
  <c r="K1032" i="15"/>
  <c r="K1033" i="15"/>
  <c r="K2" i="15"/>
  <c r="J3" i="15"/>
  <c r="J4" i="15"/>
  <c r="J5" i="15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45" i="15"/>
  <c r="J46" i="15"/>
  <c r="J47" i="15"/>
  <c r="J48" i="15"/>
  <c r="J49" i="15"/>
  <c r="J50" i="15"/>
  <c r="J51" i="15"/>
  <c r="J52" i="15"/>
  <c r="J53" i="15"/>
  <c r="J54" i="15"/>
  <c r="J55" i="15"/>
  <c r="J56" i="15"/>
  <c r="J57" i="15"/>
  <c r="J58" i="15"/>
  <c r="J59" i="15"/>
  <c r="J60" i="15"/>
  <c r="J61" i="15"/>
  <c r="J62" i="15"/>
  <c r="J63" i="15"/>
  <c r="J64" i="15"/>
  <c r="J65" i="15"/>
  <c r="J66" i="15"/>
  <c r="J67" i="15"/>
  <c r="J68" i="15"/>
  <c r="J69" i="15"/>
  <c r="J70" i="15"/>
  <c r="J71" i="15"/>
  <c r="J72" i="15"/>
  <c r="J73" i="15"/>
  <c r="J74" i="15"/>
  <c r="J75" i="15"/>
  <c r="J76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J89" i="15"/>
  <c r="J90" i="15"/>
  <c r="J91" i="15"/>
  <c r="J92" i="15"/>
  <c r="J93" i="15"/>
  <c r="J94" i="15"/>
  <c r="J95" i="15"/>
  <c r="J96" i="15"/>
  <c r="J97" i="15"/>
  <c r="J98" i="15"/>
  <c r="J99" i="15"/>
  <c r="J100" i="15"/>
  <c r="J101" i="15"/>
  <c r="J102" i="15"/>
  <c r="J103" i="15"/>
  <c r="J104" i="15"/>
  <c r="J105" i="15"/>
  <c r="J106" i="15"/>
  <c r="J107" i="15"/>
  <c r="J108" i="15"/>
  <c r="J109" i="15"/>
  <c r="J110" i="15"/>
  <c r="J111" i="15"/>
  <c r="J112" i="15"/>
  <c r="J113" i="15"/>
  <c r="J114" i="15"/>
  <c r="J115" i="15"/>
  <c r="J116" i="15"/>
  <c r="J117" i="15"/>
  <c r="J118" i="15"/>
  <c r="J119" i="15"/>
  <c r="J120" i="15"/>
  <c r="J121" i="15"/>
  <c r="J122" i="15"/>
  <c r="J123" i="15"/>
  <c r="J124" i="15"/>
  <c r="J125" i="15"/>
  <c r="J126" i="15"/>
  <c r="J127" i="15"/>
  <c r="J128" i="15"/>
  <c r="J129" i="15"/>
  <c r="J130" i="15"/>
  <c r="J131" i="15"/>
  <c r="J132" i="15"/>
  <c r="J133" i="15"/>
  <c r="J134" i="15"/>
  <c r="J135" i="15"/>
  <c r="J136" i="15"/>
  <c r="J137" i="15"/>
  <c r="J138" i="15"/>
  <c r="J139" i="15"/>
  <c r="J140" i="15"/>
  <c r="J141" i="15"/>
  <c r="J142" i="15"/>
  <c r="J143" i="15"/>
  <c r="J144" i="15"/>
  <c r="J145" i="15"/>
  <c r="J146" i="15"/>
  <c r="J147" i="15"/>
  <c r="J148" i="15"/>
  <c r="J149" i="15"/>
  <c r="J150" i="15"/>
  <c r="J151" i="15"/>
  <c r="J152" i="15"/>
  <c r="J153" i="15"/>
  <c r="J154" i="15"/>
  <c r="J155" i="15"/>
  <c r="J156" i="15"/>
  <c r="J157" i="15"/>
  <c r="J158" i="15"/>
  <c r="J159" i="15"/>
  <c r="J160" i="15"/>
  <c r="J161" i="15"/>
  <c r="J162" i="15"/>
  <c r="J163" i="15"/>
  <c r="J164" i="15"/>
  <c r="J165" i="15"/>
  <c r="J166" i="15"/>
  <c r="J167" i="15"/>
  <c r="J168" i="15"/>
  <c r="J169" i="15"/>
  <c r="J170" i="15"/>
  <c r="J171" i="15"/>
  <c r="J172" i="15"/>
  <c r="J173" i="15"/>
  <c r="J174" i="15"/>
  <c r="J175" i="15"/>
  <c r="J176" i="15"/>
  <c r="J177" i="15"/>
  <c r="J178" i="15"/>
  <c r="J179" i="15"/>
  <c r="J180" i="15"/>
  <c r="J181" i="15"/>
  <c r="J182" i="15"/>
  <c r="J183" i="15"/>
  <c r="J184" i="15"/>
  <c r="J185" i="15"/>
  <c r="J186" i="15"/>
  <c r="J187" i="15"/>
  <c r="J188" i="15"/>
  <c r="J189" i="15"/>
  <c r="J190" i="15"/>
  <c r="J191" i="15"/>
  <c r="J192" i="15"/>
  <c r="J193" i="15"/>
  <c r="J194" i="15"/>
  <c r="J195" i="15"/>
  <c r="J196" i="15"/>
  <c r="J197" i="15"/>
  <c r="J198" i="15"/>
  <c r="J199" i="15"/>
  <c r="J200" i="15"/>
  <c r="J201" i="15"/>
  <c r="J202" i="15"/>
  <c r="J203" i="15"/>
  <c r="J204" i="15"/>
  <c r="J205" i="15"/>
  <c r="J206" i="15"/>
  <c r="J207" i="15"/>
  <c r="J208" i="15"/>
  <c r="J209" i="15"/>
  <c r="J210" i="15"/>
  <c r="J211" i="15"/>
  <c r="J212" i="15"/>
  <c r="J213" i="15"/>
  <c r="J214" i="15"/>
  <c r="J215" i="15"/>
  <c r="J216" i="15"/>
  <c r="J217" i="15"/>
  <c r="J218" i="15"/>
  <c r="J219" i="15"/>
  <c r="J220" i="15"/>
  <c r="J221" i="15"/>
  <c r="J222" i="15"/>
  <c r="J223" i="15"/>
  <c r="J224" i="15"/>
  <c r="J225" i="15"/>
  <c r="J226" i="15"/>
  <c r="J227" i="15"/>
  <c r="J228" i="15"/>
  <c r="J229" i="15"/>
  <c r="J230" i="15"/>
  <c r="J231" i="15"/>
  <c r="J232" i="15"/>
  <c r="J233" i="15"/>
  <c r="J234" i="15"/>
  <c r="J235" i="15"/>
  <c r="J236" i="15"/>
  <c r="J237" i="15"/>
  <c r="J238" i="15"/>
  <c r="J239" i="15"/>
  <c r="J240" i="15"/>
  <c r="J241" i="15"/>
  <c r="J242" i="15"/>
  <c r="J243" i="15"/>
  <c r="J244" i="15"/>
  <c r="J245" i="15"/>
  <c r="J246" i="15"/>
  <c r="J247" i="15"/>
  <c r="J248" i="15"/>
  <c r="J249" i="15"/>
  <c r="J250" i="15"/>
  <c r="J251" i="15"/>
  <c r="J252" i="15"/>
  <c r="J253" i="15"/>
  <c r="J254" i="15"/>
  <c r="J255" i="15"/>
  <c r="J256" i="15"/>
  <c r="J257" i="15"/>
  <c r="J258" i="15"/>
  <c r="J259" i="15"/>
  <c r="J260" i="15"/>
  <c r="J261" i="15"/>
  <c r="J262" i="15"/>
  <c r="J263" i="15"/>
  <c r="J264" i="15"/>
  <c r="J265" i="15"/>
  <c r="J266" i="15"/>
  <c r="J267" i="15"/>
  <c r="J268" i="15"/>
  <c r="J269" i="15"/>
  <c r="J270" i="15"/>
  <c r="J271" i="15"/>
  <c r="J272" i="15"/>
  <c r="J273" i="15"/>
  <c r="J274" i="15"/>
  <c r="J275" i="15"/>
  <c r="J276" i="15"/>
  <c r="J277" i="15"/>
  <c r="J278" i="15"/>
  <c r="J279" i="15"/>
  <c r="J280" i="15"/>
  <c r="J281" i="15"/>
  <c r="J282" i="15"/>
  <c r="J283" i="15"/>
  <c r="J284" i="15"/>
  <c r="J285" i="15"/>
  <c r="J286" i="15"/>
  <c r="J287" i="15"/>
  <c r="J288" i="15"/>
  <c r="J289" i="15"/>
  <c r="J290" i="15"/>
  <c r="J291" i="15"/>
  <c r="J292" i="15"/>
  <c r="J293" i="15"/>
  <c r="J294" i="15"/>
  <c r="J295" i="15"/>
  <c r="J296" i="15"/>
  <c r="J297" i="15"/>
  <c r="J298" i="15"/>
  <c r="J299" i="15"/>
  <c r="J300" i="15"/>
  <c r="J301" i="15"/>
  <c r="J302" i="15"/>
  <c r="J303" i="15"/>
  <c r="J304" i="15"/>
  <c r="J305" i="15"/>
  <c r="J306" i="15"/>
  <c r="J307" i="15"/>
  <c r="J308" i="15"/>
  <c r="J309" i="15"/>
  <c r="J310" i="15"/>
  <c r="J311" i="15"/>
  <c r="J312" i="15"/>
  <c r="J313" i="15"/>
  <c r="J314" i="15"/>
  <c r="J315" i="15"/>
  <c r="J316" i="15"/>
  <c r="J317" i="15"/>
  <c r="J318" i="15"/>
  <c r="J319" i="15"/>
  <c r="J320" i="15"/>
  <c r="J321" i="15"/>
  <c r="J322" i="15"/>
  <c r="J323" i="15"/>
  <c r="J324" i="15"/>
  <c r="J325" i="15"/>
  <c r="J326" i="15"/>
  <c r="J327" i="15"/>
  <c r="J328" i="15"/>
  <c r="J329" i="15"/>
  <c r="J330" i="15"/>
  <c r="J331" i="15"/>
  <c r="J332" i="15"/>
  <c r="J333" i="15"/>
  <c r="J334" i="15"/>
  <c r="J335" i="15"/>
  <c r="J336" i="15"/>
  <c r="J337" i="15"/>
  <c r="J338" i="15"/>
  <c r="J339" i="15"/>
  <c r="J340" i="15"/>
  <c r="J341" i="15"/>
  <c r="J342" i="15"/>
  <c r="J343" i="15"/>
  <c r="J344" i="15"/>
  <c r="J345" i="15"/>
  <c r="J346" i="15"/>
  <c r="J347" i="15"/>
  <c r="J348" i="15"/>
  <c r="J349" i="15"/>
  <c r="J350" i="15"/>
  <c r="J351" i="15"/>
  <c r="J352" i="15"/>
  <c r="J353" i="15"/>
  <c r="J354" i="15"/>
  <c r="J355" i="15"/>
  <c r="J356" i="15"/>
  <c r="J357" i="15"/>
  <c r="J358" i="15"/>
  <c r="J359" i="15"/>
  <c r="J360" i="15"/>
  <c r="J361" i="15"/>
  <c r="J362" i="15"/>
  <c r="J363" i="15"/>
  <c r="J364" i="15"/>
  <c r="J365" i="15"/>
  <c r="J366" i="15"/>
  <c r="J367" i="15"/>
  <c r="J368" i="15"/>
  <c r="J369" i="15"/>
  <c r="J370" i="15"/>
  <c r="J371" i="15"/>
  <c r="J372" i="15"/>
  <c r="J373" i="15"/>
  <c r="J374" i="15"/>
  <c r="J375" i="15"/>
  <c r="J376" i="15"/>
  <c r="J377" i="15"/>
  <c r="J378" i="15"/>
  <c r="J379" i="15"/>
  <c r="J380" i="15"/>
  <c r="J381" i="15"/>
  <c r="J382" i="15"/>
  <c r="J383" i="15"/>
  <c r="J384" i="15"/>
  <c r="J385" i="15"/>
  <c r="J386" i="15"/>
  <c r="J387" i="15"/>
  <c r="J388" i="15"/>
  <c r="J389" i="15"/>
  <c r="J390" i="15"/>
  <c r="J391" i="15"/>
  <c r="J392" i="15"/>
  <c r="J393" i="15"/>
  <c r="J394" i="15"/>
  <c r="J395" i="15"/>
  <c r="J396" i="15"/>
  <c r="J397" i="15"/>
  <c r="J398" i="15"/>
  <c r="J399" i="15"/>
  <c r="J400" i="15"/>
  <c r="J401" i="15"/>
  <c r="J402" i="15"/>
  <c r="J403" i="15"/>
  <c r="J404" i="15"/>
  <c r="J405" i="15"/>
  <c r="J406" i="15"/>
  <c r="J407" i="15"/>
  <c r="J408" i="15"/>
  <c r="J409" i="15"/>
  <c r="J410" i="15"/>
  <c r="J411" i="15"/>
  <c r="J412" i="15"/>
  <c r="J413" i="15"/>
  <c r="J414" i="15"/>
  <c r="J415" i="15"/>
  <c r="J416" i="15"/>
  <c r="J417" i="15"/>
  <c r="J418" i="15"/>
  <c r="J419" i="15"/>
  <c r="J420" i="15"/>
  <c r="J421" i="15"/>
  <c r="J422" i="15"/>
  <c r="J423" i="15"/>
  <c r="J424" i="15"/>
  <c r="J425" i="15"/>
  <c r="J426" i="15"/>
  <c r="J427" i="15"/>
  <c r="J428" i="15"/>
  <c r="J429" i="15"/>
  <c r="J430" i="15"/>
  <c r="J431" i="15"/>
  <c r="J432" i="15"/>
  <c r="J433" i="15"/>
  <c r="J434" i="15"/>
  <c r="J435" i="15"/>
  <c r="J436" i="15"/>
  <c r="J437" i="15"/>
  <c r="J438" i="15"/>
  <c r="J439" i="15"/>
  <c r="J440" i="15"/>
  <c r="J441" i="15"/>
  <c r="J442" i="15"/>
  <c r="J443" i="15"/>
  <c r="J444" i="15"/>
  <c r="J445" i="15"/>
  <c r="J446" i="15"/>
  <c r="J447" i="15"/>
  <c r="J448" i="15"/>
  <c r="J449" i="15"/>
  <c r="J450" i="15"/>
  <c r="J451" i="15"/>
  <c r="J452" i="15"/>
  <c r="J453" i="15"/>
  <c r="J454" i="15"/>
  <c r="J455" i="15"/>
  <c r="J456" i="15"/>
  <c r="J457" i="15"/>
  <c r="J458" i="15"/>
  <c r="J459" i="15"/>
  <c r="J460" i="15"/>
  <c r="J461" i="15"/>
  <c r="J462" i="15"/>
  <c r="J463" i="15"/>
  <c r="J464" i="15"/>
  <c r="J465" i="15"/>
  <c r="J466" i="15"/>
  <c r="J467" i="15"/>
  <c r="J468" i="15"/>
  <c r="J469" i="15"/>
  <c r="J470" i="15"/>
  <c r="J471" i="15"/>
  <c r="J472" i="15"/>
  <c r="J473" i="15"/>
  <c r="J474" i="15"/>
  <c r="J475" i="15"/>
  <c r="J476" i="15"/>
  <c r="J477" i="15"/>
  <c r="J478" i="15"/>
  <c r="J479" i="15"/>
  <c r="J480" i="15"/>
  <c r="J481" i="15"/>
  <c r="J482" i="15"/>
  <c r="J483" i="15"/>
  <c r="J484" i="15"/>
  <c r="J485" i="15"/>
  <c r="J486" i="15"/>
  <c r="J487" i="15"/>
  <c r="J488" i="15"/>
  <c r="J489" i="15"/>
  <c r="J490" i="15"/>
  <c r="J491" i="15"/>
  <c r="J492" i="15"/>
  <c r="J493" i="15"/>
  <c r="J494" i="15"/>
  <c r="J495" i="15"/>
  <c r="J496" i="15"/>
  <c r="J497" i="15"/>
  <c r="J498" i="15"/>
  <c r="J499" i="15"/>
  <c r="J500" i="15"/>
  <c r="J501" i="15"/>
  <c r="J502" i="15"/>
  <c r="J503" i="15"/>
  <c r="J504" i="15"/>
  <c r="J505" i="15"/>
  <c r="J506" i="15"/>
  <c r="J507" i="15"/>
  <c r="J508" i="15"/>
  <c r="J509" i="15"/>
  <c r="J510" i="15"/>
  <c r="J511" i="15"/>
  <c r="J512" i="15"/>
  <c r="J513" i="15"/>
  <c r="J514" i="15"/>
  <c r="J515" i="15"/>
  <c r="J516" i="15"/>
  <c r="J517" i="15"/>
  <c r="J518" i="15"/>
  <c r="J519" i="15"/>
  <c r="J520" i="15"/>
  <c r="J521" i="15"/>
  <c r="J522" i="15"/>
  <c r="J523" i="15"/>
  <c r="J524" i="15"/>
  <c r="J525" i="15"/>
  <c r="J526" i="15"/>
  <c r="J527" i="15"/>
  <c r="J528" i="15"/>
  <c r="J529" i="15"/>
  <c r="J530" i="15"/>
  <c r="J531" i="15"/>
  <c r="J532" i="15"/>
  <c r="J533" i="15"/>
  <c r="J534" i="15"/>
  <c r="J535" i="15"/>
  <c r="J536" i="15"/>
  <c r="J537" i="15"/>
  <c r="J538" i="15"/>
  <c r="J539" i="15"/>
  <c r="J540" i="15"/>
  <c r="J541" i="15"/>
  <c r="J542" i="15"/>
  <c r="J543" i="15"/>
  <c r="J544" i="15"/>
  <c r="J545" i="15"/>
  <c r="J546" i="15"/>
  <c r="J547" i="15"/>
  <c r="J548" i="15"/>
  <c r="J549" i="15"/>
  <c r="J550" i="15"/>
  <c r="J551" i="15"/>
  <c r="J552" i="15"/>
  <c r="J553" i="15"/>
  <c r="J554" i="15"/>
  <c r="J555" i="15"/>
  <c r="J556" i="15"/>
  <c r="J557" i="15"/>
  <c r="J558" i="15"/>
  <c r="J559" i="15"/>
  <c r="J560" i="15"/>
  <c r="J561" i="15"/>
  <c r="J562" i="15"/>
  <c r="J563" i="15"/>
  <c r="J564" i="15"/>
  <c r="J565" i="15"/>
  <c r="J566" i="15"/>
  <c r="J567" i="15"/>
  <c r="J568" i="15"/>
  <c r="J569" i="15"/>
  <c r="J570" i="15"/>
  <c r="J571" i="15"/>
  <c r="J572" i="15"/>
  <c r="J573" i="15"/>
  <c r="J574" i="15"/>
  <c r="J575" i="15"/>
  <c r="J576" i="15"/>
  <c r="J577" i="15"/>
  <c r="J578" i="15"/>
  <c r="J579" i="15"/>
  <c r="J580" i="15"/>
  <c r="J581" i="15"/>
  <c r="J582" i="15"/>
  <c r="J583" i="15"/>
  <c r="J584" i="15"/>
  <c r="J585" i="15"/>
  <c r="J586" i="15"/>
  <c r="J587" i="15"/>
  <c r="J588" i="15"/>
  <c r="J589" i="15"/>
  <c r="J590" i="15"/>
  <c r="J591" i="15"/>
  <c r="J592" i="15"/>
  <c r="J593" i="15"/>
  <c r="J594" i="15"/>
  <c r="J595" i="15"/>
  <c r="J596" i="15"/>
  <c r="J597" i="15"/>
  <c r="J598" i="15"/>
  <c r="J599" i="15"/>
  <c r="J600" i="15"/>
  <c r="J601" i="15"/>
  <c r="J602" i="15"/>
  <c r="J603" i="15"/>
  <c r="J604" i="15"/>
  <c r="J605" i="15"/>
  <c r="J606" i="15"/>
  <c r="J607" i="15"/>
  <c r="J608" i="15"/>
  <c r="J609" i="15"/>
  <c r="J610" i="15"/>
  <c r="J611" i="15"/>
  <c r="J612" i="15"/>
  <c r="J613" i="15"/>
  <c r="J614" i="15"/>
  <c r="J615" i="15"/>
  <c r="J616" i="15"/>
  <c r="J617" i="15"/>
  <c r="J618" i="15"/>
  <c r="J619" i="15"/>
  <c r="J620" i="15"/>
  <c r="J621" i="15"/>
  <c r="J622" i="15"/>
  <c r="J623" i="15"/>
  <c r="J624" i="15"/>
  <c r="J625" i="15"/>
  <c r="J626" i="15"/>
  <c r="J627" i="15"/>
  <c r="J628" i="15"/>
  <c r="J629" i="15"/>
  <c r="J630" i="15"/>
  <c r="J631" i="15"/>
  <c r="J632" i="15"/>
  <c r="J633" i="15"/>
  <c r="J634" i="15"/>
  <c r="J635" i="15"/>
  <c r="J636" i="15"/>
  <c r="J637" i="15"/>
  <c r="J638" i="15"/>
  <c r="J639" i="15"/>
  <c r="J640" i="15"/>
  <c r="J641" i="15"/>
  <c r="J642" i="15"/>
  <c r="J643" i="15"/>
  <c r="J644" i="15"/>
  <c r="J645" i="15"/>
  <c r="J646" i="15"/>
  <c r="J647" i="15"/>
  <c r="J648" i="15"/>
  <c r="J649" i="15"/>
  <c r="J650" i="15"/>
  <c r="J651" i="15"/>
  <c r="J652" i="15"/>
  <c r="J653" i="15"/>
  <c r="J654" i="15"/>
  <c r="J655" i="15"/>
  <c r="J656" i="15"/>
  <c r="J657" i="15"/>
  <c r="J658" i="15"/>
  <c r="J659" i="15"/>
  <c r="J660" i="15"/>
  <c r="J661" i="15"/>
  <c r="J662" i="15"/>
  <c r="J663" i="15"/>
  <c r="J664" i="15"/>
  <c r="J665" i="15"/>
  <c r="J666" i="15"/>
  <c r="J667" i="15"/>
  <c r="J668" i="15"/>
  <c r="J669" i="15"/>
  <c r="J670" i="15"/>
  <c r="J671" i="15"/>
  <c r="J672" i="15"/>
  <c r="J673" i="15"/>
  <c r="J674" i="15"/>
  <c r="J675" i="15"/>
  <c r="J676" i="15"/>
  <c r="J677" i="15"/>
  <c r="J678" i="15"/>
  <c r="J679" i="15"/>
  <c r="J680" i="15"/>
  <c r="J681" i="15"/>
  <c r="J682" i="15"/>
  <c r="J683" i="15"/>
  <c r="J684" i="15"/>
  <c r="J685" i="15"/>
  <c r="J686" i="15"/>
  <c r="J687" i="15"/>
  <c r="J688" i="15"/>
  <c r="J689" i="15"/>
  <c r="J690" i="15"/>
  <c r="J691" i="15"/>
  <c r="J692" i="15"/>
  <c r="J693" i="15"/>
  <c r="J694" i="15"/>
  <c r="J695" i="15"/>
  <c r="J696" i="15"/>
  <c r="J697" i="15"/>
  <c r="J698" i="15"/>
  <c r="J699" i="15"/>
  <c r="J700" i="15"/>
  <c r="J701" i="15"/>
  <c r="J702" i="15"/>
  <c r="J703" i="15"/>
  <c r="J704" i="15"/>
  <c r="J705" i="15"/>
  <c r="J706" i="15"/>
  <c r="J707" i="15"/>
  <c r="J708" i="15"/>
  <c r="J709" i="15"/>
  <c r="J710" i="15"/>
  <c r="J711" i="15"/>
  <c r="J712" i="15"/>
  <c r="J713" i="15"/>
  <c r="J714" i="15"/>
  <c r="J715" i="15"/>
  <c r="J716" i="15"/>
  <c r="J717" i="15"/>
  <c r="J718" i="15"/>
  <c r="J719" i="15"/>
  <c r="J720" i="15"/>
  <c r="J721" i="15"/>
  <c r="J722" i="15"/>
  <c r="J723" i="15"/>
  <c r="J724" i="15"/>
  <c r="J725" i="15"/>
  <c r="J726" i="15"/>
  <c r="J727" i="15"/>
  <c r="J728" i="15"/>
  <c r="J729" i="15"/>
  <c r="J730" i="15"/>
  <c r="J731" i="15"/>
  <c r="J732" i="15"/>
  <c r="J733" i="15"/>
  <c r="J734" i="15"/>
  <c r="J735" i="15"/>
  <c r="J736" i="15"/>
  <c r="J737" i="15"/>
  <c r="J738" i="15"/>
  <c r="J739" i="15"/>
  <c r="J740" i="15"/>
  <c r="J741" i="15"/>
  <c r="J742" i="15"/>
  <c r="J743" i="15"/>
  <c r="J744" i="15"/>
  <c r="J745" i="15"/>
  <c r="J746" i="15"/>
  <c r="J747" i="15"/>
  <c r="J748" i="15"/>
  <c r="J749" i="15"/>
  <c r="J750" i="15"/>
  <c r="J751" i="15"/>
  <c r="J752" i="15"/>
  <c r="J753" i="15"/>
  <c r="J754" i="15"/>
  <c r="J755" i="15"/>
  <c r="J756" i="15"/>
  <c r="J757" i="15"/>
  <c r="J758" i="15"/>
  <c r="J759" i="15"/>
  <c r="J760" i="15"/>
  <c r="J761" i="15"/>
  <c r="J762" i="15"/>
  <c r="J763" i="15"/>
  <c r="J764" i="15"/>
  <c r="J765" i="15"/>
  <c r="J766" i="15"/>
  <c r="J767" i="15"/>
  <c r="J768" i="15"/>
  <c r="J769" i="15"/>
  <c r="J770" i="15"/>
  <c r="J771" i="15"/>
  <c r="J772" i="15"/>
  <c r="J773" i="15"/>
  <c r="J774" i="15"/>
  <c r="J775" i="15"/>
  <c r="J776" i="15"/>
  <c r="J777" i="15"/>
  <c r="J778" i="15"/>
  <c r="J779" i="15"/>
  <c r="J780" i="15"/>
  <c r="J781" i="15"/>
  <c r="J782" i="15"/>
  <c r="J783" i="15"/>
  <c r="J784" i="15"/>
  <c r="J785" i="15"/>
  <c r="J786" i="15"/>
  <c r="J787" i="15"/>
  <c r="J788" i="15"/>
  <c r="J789" i="15"/>
  <c r="J790" i="15"/>
  <c r="J791" i="15"/>
  <c r="J792" i="15"/>
  <c r="J793" i="15"/>
  <c r="J794" i="15"/>
  <c r="J795" i="15"/>
  <c r="J796" i="15"/>
  <c r="J797" i="15"/>
  <c r="J798" i="15"/>
  <c r="J799" i="15"/>
  <c r="J800" i="15"/>
  <c r="J801" i="15"/>
  <c r="J802" i="15"/>
  <c r="J803" i="15"/>
  <c r="J804" i="15"/>
  <c r="J805" i="15"/>
  <c r="J806" i="15"/>
  <c r="J807" i="15"/>
  <c r="J808" i="15"/>
  <c r="J809" i="15"/>
  <c r="J810" i="15"/>
  <c r="J811" i="15"/>
  <c r="J812" i="15"/>
  <c r="J813" i="15"/>
  <c r="J814" i="15"/>
  <c r="J815" i="15"/>
  <c r="J816" i="15"/>
  <c r="J817" i="15"/>
  <c r="J818" i="15"/>
  <c r="J819" i="15"/>
  <c r="J820" i="15"/>
  <c r="J821" i="15"/>
  <c r="J822" i="15"/>
  <c r="J823" i="15"/>
  <c r="J824" i="15"/>
  <c r="J825" i="15"/>
  <c r="J826" i="15"/>
  <c r="J827" i="15"/>
  <c r="J828" i="15"/>
  <c r="J829" i="15"/>
  <c r="J830" i="15"/>
  <c r="J831" i="15"/>
  <c r="J832" i="15"/>
  <c r="J833" i="15"/>
  <c r="J834" i="15"/>
  <c r="J835" i="15"/>
  <c r="J836" i="15"/>
  <c r="J837" i="15"/>
  <c r="J838" i="15"/>
  <c r="J839" i="15"/>
  <c r="J840" i="15"/>
  <c r="J841" i="15"/>
  <c r="J842" i="15"/>
  <c r="J843" i="15"/>
  <c r="J844" i="15"/>
  <c r="J845" i="15"/>
  <c r="J846" i="15"/>
  <c r="J847" i="15"/>
  <c r="J848" i="15"/>
  <c r="J849" i="15"/>
  <c r="J850" i="15"/>
  <c r="J851" i="15"/>
  <c r="J852" i="15"/>
  <c r="J853" i="15"/>
  <c r="J854" i="15"/>
  <c r="J855" i="15"/>
  <c r="J856" i="15"/>
  <c r="J857" i="15"/>
  <c r="J858" i="15"/>
  <c r="J859" i="15"/>
  <c r="J860" i="15"/>
  <c r="J861" i="15"/>
  <c r="J862" i="15"/>
  <c r="J863" i="15"/>
  <c r="J864" i="15"/>
  <c r="J865" i="15"/>
  <c r="J866" i="15"/>
  <c r="J867" i="15"/>
  <c r="J868" i="15"/>
  <c r="J869" i="15"/>
  <c r="J870" i="15"/>
  <c r="J871" i="15"/>
  <c r="J872" i="15"/>
  <c r="J873" i="15"/>
  <c r="J874" i="15"/>
  <c r="J875" i="15"/>
  <c r="J876" i="15"/>
  <c r="J877" i="15"/>
  <c r="J878" i="15"/>
  <c r="J879" i="15"/>
  <c r="J880" i="15"/>
  <c r="J881" i="15"/>
  <c r="J882" i="15"/>
  <c r="J883" i="15"/>
  <c r="J884" i="15"/>
  <c r="J885" i="15"/>
  <c r="J886" i="15"/>
  <c r="J887" i="15"/>
  <c r="J888" i="15"/>
  <c r="J889" i="15"/>
  <c r="J890" i="15"/>
  <c r="J891" i="15"/>
  <c r="J892" i="15"/>
  <c r="J893" i="15"/>
  <c r="J894" i="15"/>
  <c r="J895" i="15"/>
  <c r="J896" i="15"/>
  <c r="J897" i="15"/>
  <c r="J898" i="15"/>
  <c r="J899" i="15"/>
  <c r="J900" i="15"/>
  <c r="J901" i="15"/>
  <c r="J902" i="15"/>
  <c r="J903" i="15"/>
  <c r="J904" i="15"/>
  <c r="J905" i="15"/>
  <c r="J906" i="15"/>
  <c r="J907" i="15"/>
  <c r="J908" i="15"/>
  <c r="J909" i="15"/>
  <c r="J910" i="15"/>
  <c r="J911" i="15"/>
  <c r="J912" i="15"/>
  <c r="J913" i="15"/>
  <c r="J914" i="15"/>
  <c r="J915" i="15"/>
  <c r="J916" i="15"/>
  <c r="J917" i="15"/>
  <c r="J918" i="15"/>
  <c r="J919" i="15"/>
  <c r="J920" i="15"/>
  <c r="J921" i="15"/>
  <c r="J922" i="15"/>
  <c r="J923" i="15"/>
  <c r="J924" i="15"/>
  <c r="J925" i="15"/>
  <c r="J926" i="15"/>
  <c r="J927" i="15"/>
  <c r="J928" i="15"/>
  <c r="J929" i="15"/>
  <c r="J930" i="15"/>
  <c r="J931" i="15"/>
  <c r="J932" i="15"/>
  <c r="J933" i="15"/>
  <c r="J934" i="15"/>
  <c r="J935" i="15"/>
  <c r="J936" i="15"/>
  <c r="J937" i="15"/>
  <c r="J938" i="15"/>
  <c r="J939" i="15"/>
  <c r="J940" i="15"/>
  <c r="J941" i="15"/>
  <c r="J942" i="15"/>
  <c r="J943" i="15"/>
  <c r="J944" i="15"/>
  <c r="J945" i="15"/>
  <c r="J946" i="15"/>
  <c r="J947" i="15"/>
  <c r="J948" i="15"/>
  <c r="J949" i="15"/>
  <c r="J950" i="15"/>
  <c r="J951" i="15"/>
  <c r="J952" i="15"/>
  <c r="J953" i="15"/>
  <c r="J954" i="15"/>
  <c r="J955" i="15"/>
  <c r="J956" i="15"/>
  <c r="J957" i="15"/>
  <c r="J958" i="15"/>
  <c r="J959" i="15"/>
  <c r="J960" i="15"/>
  <c r="J961" i="15"/>
  <c r="J962" i="15"/>
  <c r="J963" i="15"/>
  <c r="J964" i="15"/>
  <c r="J965" i="15"/>
  <c r="J966" i="15"/>
  <c r="J967" i="15"/>
  <c r="J968" i="15"/>
  <c r="J969" i="15"/>
  <c r="J970" i="15"/>
  <c r="J971" i="15"/>
  <c r="J972" i="15"/>
  <c r="J973" i="15"/>
  <c r="J974" i="15"/>
  <c r="J975" i="15"/>
  <c r="J976" i="15"/>
  <c r="J977" i="15"/>
  <c r="J978" i="15"/>
  <c r="J979" i="15"/>
  <c r="J980" i="15"/>
  <c r="J981" i="15"/>
  <c r="J982" i="15"/>
  <c r="J983" i="15"/>
  <c r="J984" i="15"/>
  <c r="J985" i="15"/>
  <c r="J986" i="15"/>
  <c r="J987" i="15"/>
  <c r="J988" i="15"/>
  <c r="J989" i="15"/>
  <c r="J990" i="15"/>
  <c r="J991" i="15"/>
  <c r="J992" i="15"/>
  <c r="J993" i="15"/>
  <c r="J994" i="15"/>
  <c r="J995" i="15"/>
  <c r="J996" i="15"/>
  <c r="J997" i="15"/>
  <c r="J998" i="15"/>
  <c r="J999" i="15"/>
  <c r="J1000" i="15"/>
  <c r="J1001" i="15"/>
  <c r="J1002" i="15"/>
  <c r="J1003" i="15"/>
  <c r="J1004" i="15"/>
  <c r="J1005" i="15"/>
  <c r="J1006" i="15"/>
  <c r="J1007" i="15"/>
  <c r="J1008" i="15"/>
  <c r="J1009" i="15"/>
  <c r="J1010" i="15"/>
  <c r="J1011" i="15"/>
  <c r="J1012" i="15"/>
  <c r="J1013" i="15"/>
  <c r="J1014" i="15"/>
  <c r="J1015" i="15"/>
  <c r="J1016" i="15"/>
  <c r="J1017" i="15"/>
  <c r="J1018" i="15"/>
  <c r="J1019" i="15"/>
  <c r="J1020" i="15"/>
  <c r="J1021" i="15"/>
  <c r="J1022" i="15"/>
  <c r="J1023" i="15"/>
  <c r="J1024" i="15"/>
  <c r="J1025" i="15"/>
  <c r="J1026" i="15"/>
  <c r="J1027" i="15"/>
  <c r="J1028" i="15"/>
  <c r="J1029" i="15"/>
  <c r="J1030" i="15"/>
  <c r="J1031" i="15"/>
  <c r="J1032" i="15"/>
  <c r="J1033" i="15"/>
  <c r="J2" i="15"/>
  <c r="E3" i="15"/>
  <c r="F3" i="15" s="1"/>
  <c r="E4" i="15"/>
  <c r="F4" i="15" s="1"/>
  <c r="E5" i="15"/>
  <c r="F5" i="15" s="1"/>
  <c r="E6" i="15"/>
  <c r="F6" i="15" s="1"/>
  <c r="E7" i="15"/>
  <c r="F7" i="15" s="1"/>
  <c r="E8" i="15"/>
  <c r="F8" i="15" s="1"/>
  <c r="E9" i="15"/>
  <c r="F9" i="15" s="1"/>
  <c r="E10" i="15"/>
  <c r="F10" i="15" s="1"/>
  <c r="E11" i="15"/>
  <c r="F11" i="15" s="1"/>
  <c r="E12" i="15"/>
  <c r="F12" i="15" s="1"/>
  <c r="E13" i="15"/>
  <c r="F13" i="15" s="1"/>
  <c r="E14" i="15"/>
  <c r="F14" i="15" s="1"/>
  <c r="E15" i="15"/>
  <c r="F15" i="15" s="1"/>
  <c r="E16" i="15"/>
  <c r="F16" i="15" s="1"/>
  <c r="E17" i="15"/>
  <c r="F17" i="15" s="1"/>
  <c r="E18" i="15"/>
  <c r="F18" i="15" s="1"/>
  <c r="E19" i="15"/>
  <c r="F19" i="15" s="1"/>
  <c r="E20" i="15"/>
  <c r="F20" i="15" s="1"/>
  <c r="E21" i="15"/>
  <c r="F21" i="15" s="1"/>
  <c r="E22" i="15"/>
  <c r="F22" i="15" s="1"/>
  <c r="E23" i="15"/>
  <c r="F23" i="15" s="1"/>
  <c r="E24" i="15"/>
  <c r="F24" i="15" s="1"/>
  <c r="E25" i="15"/>
  <c r="F25" i="15" s="1"/>
  <c r="E26" i="15"/>
  <c r="F26" i="15" s="1"/>
  <c r="E27" i="15"/>
  <c r="F27" i="15" s="1"/>
  <c r="E28" i="15"/>
  <c r="F28" i="15" s="1"/>
  <c r="E29" i="15"/>
  <c r="F29" i="15" s="1"/>
  <c r="E30" i="15"/>
  <c r="F30" i="15" s="1"/>
  <c r="E31" i="15"/>
  <c r="F31" i="15" s="1"/>
  <c r="E32" i="15"/>
  <c r="F32" i="15" s="1"/>
  <c r="E33" i="15"/>
  <c r="F33" i="15" s="1"/>
  <c r="E34" i="15"/>
  <c r="F34" i="15" s="1"/>
  <c r="E35" i="15"/>
  <c r="F35" i="15" s="1"/>
  <c r="E36" i="15"/>
  <c r="F36" i="15" s="1"/>
  <c r="E37" i="15"/>
  <c r="F37" i="15" s="1"/>
  <c r="E38" i="15"/>
  <c r="F38" i="15" s="1"/>
  <c r="E39" i="15"/>
  <c r="F39" i="15" s="1"/>
  <c r="E40" i="15"/>
  <c r="F40" i="15" s="1"/>
  <c r="E41" i="15"/>
  <c r="F41" i="15" s="1"/>
  <c r="E42" i="15"/>
  <c r="F42" i="15" s="1"/>
  <c r="E43" i="15"/>
  <c r="F43" i="15" s="1"/>
  <c r="E44" i="15"/>
  <c r="F44" i="15" s="1"/>
  <c r="E45" i="15"/>
  <c r="F45" i="15" s="1"/>
  <c r="E46" i="15"/>
  <c r="F46" i="15" s="1"/>
  <c r="E47" i="15"/>
  <c r="F47" i="15" s="1"/>
  <c r="E48" i="15"/>
  <c r="F48" i="15" s="1"/>
  <c r="E49" i="15"/>
  <c r="F49" i="15" s="1"/>
  <c r="E50" i="15"/>
  <c r="F50" i="15" s="1"/>
  <c r="E51" i="15"/>
  <c r="F51" i="15" s="1"/>
  <c r="E52" i="15"/>
  <c r="F52" i="15" s="1"/>
  <c r="E53" i="15"/>
  <c r="F53" i="15" s="1"/>
  <c r="E54" i="15"/>
  <c r="F54" i="15" s="1"/>
  <c r="E55" i="15"/>
  <c r="F55" i="15" s="1"/>
  <c r="E56" i="15"/>
  <c r="F56" i="15" s="1"/>
  <c r="E57" i="15"/>
  <c r="F57" i="15" s="1"/>
  <c r="E58" i="15"/>
  <c r="F58" i="15" s="1"/>
  <c r="E59" i="15"/>
  <c r="F59" i="15" s="1"/>
  <c r="E60" i="15"/>
  <c r="F60" i="15" s="1"/>
  <c r="E61" i="15"/>
  <c r="F61" i="15" s="1"/>
  <c r="E62" i="15"/>
  <c r="F62" i="15" s="1"/>
  <c r="E63" i="15"/>
  <c r="F63" i="15" s="1"/>
  <c r="E64" i="15"/>
  <c r="F64" i="15" s="1"/>
  <c r="E65" i="15"/>
  <c r="F65" i="15" s="1"/>
  <c r="E66" i="15"/>
  <c r="F66" i="15" s="1"/>
  <c r="E67" i="15"/>
  <c r="F67" i="15" s="1"/>
  <c r="E68" i="15"/>
  <c r="F68" i="15" s="1"/>
  <c r="E69" i="15"/>
  <c r="F69" i="15" s="1"/>
  <c r="E70" i="15"/>
  <c r="F70" i="15" s="1"/>
  <c r="E71" i="15"/>
  <c r="F71" i="15" s="1"/>
  <c r="E72" i="15"/>
  <c r="F72" i="15" s="1"/>
  <c r="E73" i="15"/>
  <c r="F73" i="15" s="1"/>
  <c r="E74" i="15"/>
  <c r="F74" i="15" s="1"/>
  <c r="E75" i="15"/>
  <c r="F75" i="15" s="1"/>
  <c r="E76" i="15"/>
  <c r="F76" i="15" s="1"/>
  <c r="E77" i="15"/>
  <c r="F77" i="15" s="1"/>
  <c r="E78" i="15"/>
  <c r="F78" i="15" s="1"/>
  <c r="E79" i="15"/>
  <c r="F79" i="15" s="1"/>
  <c r="E80" i="15"/>
  <c r="F80" i="15" s="1"/>
  <c r="E81" i="15"/>
  <c r="F81" i="15" s="1"/>
  <c r="E82" i="15"/>
  <c r="F82" i="15" s="1"/>
  <c r="E83" i="15"/>
  <c r="F83" i="15" s="1"/>
  <c r="E84" i="15"/>
  <c r="F84" i="15" s="1"/>
  <c r="E85" i="15"/>
  <c r="F85" i="15" s="1"/>
  <c r="E86" i="15"/>
  <c r="F86" i="15" s="1"/>
  <c r="E87" i="15"/>
  <c r="F87" i="15" s="1"/>
  <c r="E88" i="15"/>
  <c r="F88" i="15" s="1"/>
  <c r="E89" i="15"/>
  <c r="F89" i="15" s="1"/>
  <c r="E90" i="15"/>
  <c r="F90" i="15" s="1"/>
  <c r="E91" i="15"/>
  <c r="F91" i="15" s="1"/>
  <c r="E92" i="15"/>
  <c r="F92" i="15" s="1"/>
  <c r="E93" i="15"/>
  <c r="F93" i="15" s="1"/>
  <c r="E94" i="15"/>
  <c r="F94" i="15" s="1"/>
  <c r="E95" i="15"/>
  <c r="F95" i="15" s="1"/>
  <c r="E96" i="15"/>
  <c r="F96" i="15" s="1"/>
  <c r="E97" i="15"/>
  <c r="F97" i="15" s="1"/>
  <c r="E98" i="15"/>
  <c r="F98" i="15" s="1"/>
  <c r="E99" i="15"/>
  <c r="F99" i="15" s="1"/>
  <c r="E100" i="15"/>
  <c r="F100" i="15" s="1"/>
  <c r="E101" i="15"/>
  <c r="F101" i="15" s="1"/>
  <c r="E102" i="15"/>
  <c r="F102" i="15" s="1"/>
  <c r="E103" i="15"/>
  <c r="F103" i="15" s="1"/>
  <c r="E104" i="15"/>
  <c r="F104" i="15" s="1"/>
  <c r="E105" i="15"/>
  <c r="F105" i="15" s="1"/>
  <c r="E106" i="15"/>
  <c r="F106" i="15" s="1"/>
  <c r="E107" i="15"/>
  <c r="F107" i="15" s="1"/>
  <c r="E108" i="15"/>
  <c r="F108" i="15" s="1"/>
  <c r="E109" i="15"/>
  <c r="F109" i="15" s="1"/>
  <c r="E110" i="15"/>
  <c r="F110" i="15" s="1"/>
  <c r="E111" i="15"/>
  <c r="F111" i="15" s="1"/>
  <c r="E112" i="15"/>
  <c r="F112" i="15" s="1"/>
  <c r="E113" i="15"/>
  <c r="F113" i="15" s="1"/>
  <c r="E114" i="15"/>
  <c r="F114" i="15" s="1"/>
  <c r="E115" i="15"/>
  <c r="F115" i="15" s="1"/>
  <c r="E116" i="15"/>
  <c r="F116" i="15" s="1"/>
  <c r="E117" i="15"/>
  <c r="F117" i="15" s="1"/>
  <c r="E118" i="15"/>
  <c r="F118" i="15" s="1"/>
  <c r="E119" i="15"/>
  <c r="F119" i="15" s="1"/>
  <c r="E120" i="15"/>
  <c r="F120" i="15" s="1"/>
  <c r="E121" i="15"/>
  <c r="F121" i="15" s="1"/>
  <c r="E122" i="15"/>
  <c r="F122" i="15" s="1"/>
  <c r="E123" i="15"/>
  <c r="F123" i="15" s="1"/>
  <c r="E124" i="15"/>
  <c r="F124" i="15" s="1"/>
  <c r="E125" i="15"/>
  <c r="F125" i="15" s="1"/>
  <c r="E126" i="15"/>
  <c r="F126" i="15" s="1"/>
  <c r="E127" i="15"/>
  <c r="F127" i="15" s="1"/>
  <c r="E128" i="15"/>
  <c r="F128" i="15" s="1"/>
  <c r="E129" i="15"/>
  <c r="F129" i="15" s="1"/>
  <c r="E130" i="15"/>
  <c r="F130" i="15" s="1"/>
  <c r="E131" i="15"/>
  <c r="F131" i="15" s="1"/>
  <c r="E132" i="15"/>
  <c r="F132" i="15" s="1"/>
  <c r="E133" i="15"/>
  <c r="F133" i="15" s="1"/>
  <c r="E134" i="15"/>
  <c r="F134" i="15" s="1"/>
  <c r="E135" i="15"/>
  <c r="F135" i="15" s="1"/>
  <c r="E136" i="15"/>
  <c r="F136" i="15" s="1"/>
  <c r="E137" i="15"/>
  <c r="F137" i="15" s="1"/>
  <c r="E138" i="15"/>
  <c r="F138" i="15" s="1"/>
  <c r="E139" i="15"/>
  <c r="F139" i="15" s="1"/>
  <c r="E140" i="15"/>
  <c r="F140" i="15" s="1"/>
  <c r="E141" i="15"/>
  <c r="F141" i="15" s="1"/>
  <c r="E142" i="15"/>
  <c r="F142" i="15" s="1"/>
  <c r="E143" i="15"/>
  <c r="F143" i="15" s="1"/>
  <c r="E144" i="15"/>
  <c r="F144" i="15" s="1"/>
  <c r="E145" i="15"/>
  <c r="F145" i="15" s="1"/>
  <c r="E146" i="15"/>
  <c r="F146" i="15" s="1"/>
  <c r="E147" i="15"/>
  <c r="F147" i="15" s="1"/>
  <c r="E148" i="15"/>
  <c r="F148" i="15" s="1"/>
  <c r="E149" i="15"/>
  <c r="F149" i="15" s="1"/>
  <c r="E150" i="15"/>
  <c r="F150" i="15" s="1"/>
  <c r="E151" i="15"/>
  <c r="F151" i="15" s="1"/>
  <c r="E152" i="15"/>
  <c r="F152" i="15" s="1"/>
  <c r="E153" i="15"/>
  <c r="F153" i="15" s="1"/>
  <c r="E154" i="15"/>
  <c r="F154" i="15" s="1"/>
  <c r="E155" i="15"/>
  <c r="F155" i="15" s="1"/>
  <c r="E156" i="15"/>
  <c r="F156" i="15" s="1"/>
  <c r="E157" i="15"/>
  <c r="F157" i="15" s="1"/>
  <c r="E158" i="15"/>
  <c r="F158" i="15" s="1"/>
  <c r="E159" i="15"/>
  <c r="F159" i="15" s="1"/>
  <c r="E160" i="15"/>
  <c r="F160" i="15" s="1"/>
  <c r="E161" i="15"/>
  <c r="F161" i="15" s="1"/>
  <c r="E162" i="15"/>
  <c r="F162" i="15" s="1"/>
  <c r="E163" i="15"/>
  <c r="F163" i="15" s="1"/>
  <c r="E164" i="15"/>
  <c r="F164" i="15" s="1"/>
  <c r="E165" i="15"/>
  <c r="F165" i="15" s="1"/>
  <c r="E166" i="15"/>
  <c r="F166" i="15" s="1"/>
  <c r="E167" i="15"/>
  <c r="F167" i="15" s="1"/>
  <c r="E168" i="15"/>
  <c r="F168" i="15" s="1"/>
  <c r="E169" i="15"/>
  <c r="F169" i="15" s="1"/>
  <c r="E170" i="15"/>
  <c r="F170" i="15" s="1"/>
  <c r="E171" i="15"/>
  <c r="F171" i="15" s="1"/>
  <c r="E172" i="15"/>
  <c r="F172" i="15" s="1"/>
  <c r="E173" i="15"/>
  <c r="F173" i="15" s="1"/>
  <c r="E174" i="15"/>
  <c r="F174" i="15" s="1"/>
  <c r="E175" i="15"/>
  <c r="F175" i="15" s="1"/>
  <c r="E176" i="15"/>
  <c r="F176" i="15" s="1"/>
  <c r="E177" i="15"/>
  <c r="F177" i="15" s="1"/>
  <c r="E178" i="15"/>
  <c r="F178" i="15" s="1"/>
  <c r="E179" i="15"/>
  <c r="F179" i="15" s="1"/>
  <c r="E180" i="15"/>
  <c r="F180" i="15" s="1"/>
  <c r="E181" i="15"/>
  <c r="F181" i="15" s="1"/>
  <c r="E182" i="15"/>
  <c r="F182" i="15" s="1"/>
  <c r="E183" i="15"/>
  <c r="F183" i="15" s="1"/>
  <c r="E184" i="15"/>
  <c r="F184" i="15" s="1"/>
  <c r="E185" i="15"/>
  <c r="F185" i="15" s="1"/>
  <c r="E186" i="15"/>
  <c r="F186" i="15" s="1"/>
  <c r="E187" i="15"/>
  <c r="F187" i="15" s="1"/>
  <c r="E188" i="15"/>
  <c r="F188" i="15" s="1"/>
  <c r="E189" i="15"/>
  <c r="F189" i="15" s="1"/>
  <c r="E190" i="15"/>
  <c r="F190" i="15" s="1"/>
  <c r="E191" i="15"/>
  <c r="F191" i="15" s="1"/>
  <c r="E192" i="15"/>
  <c r="F192" i="15" s="1"/>
  <c r="E193" i="15"/>
  <c r="F193" i="15" s="1"/>
  <c r="E194" i="15"/>
  <c r="F194" i="15" s="1"/>
  <c r="E195" i="15"/>
  <c r="F195" i="15" s="1"/>
  <c r="E196" i="15"/>
  <c r="F196" i="15" s="1"/>
  <c r="E197" i="15"/>
  <c r="F197" i="15" s="1"/>
  <c r="E198" i="15"/>
  <c r="F198" i="15" s="1"/>
  <c r="E199" i="15"/>
  <c r="F199" i="15" s="1"/>
  <c r="E200" i="15"/>
  <c r="F200" i="15" s="1"/>
  <c r="E201" i="15"/>
  <c r="F201" i="15" s="1"/>
  <c r="E202" i="15"/>
  <c r="F202" i="15" s="1"/>
  <c r="E203" i="15"/>
  <c r="F203" i="15" s="1"/>
  <c r="E204" i="15"/>
  <c r="F204" i="15" s="1"/>
  <c r="E205" i="15"/>
  <c r="F205" i="15" s="1"/>
  <c r="E206" i="15"/>
  <c r="F206" i="15" s="1"/>
  <c r="E207" i="15"/>
  <c r="F207" i="15" s="1"/>
  <c r="E208" i="15"/>
  <c r="F208" i="15" s="1"/>
  <c r="E209" i="15"/>
  <c r="F209" i="15" s="1"/>
  <c r="E210" i="15"/>
  <c r="F210" i="15" s="1"/>
  <c r="E211" i="15"/>
  <c r="F211" i="15" s="1"/>
  <c r="E212" i="15"/>
  <c r="F212" i="15" s="1"/>
  <c r="E213" i="15"/>
  <c r="F213" i="15" s="1"/>
  <c r="E214" i="15"/>
  <c r="F214" i="15" s="1"/>
  <c r="E215" i="15"/>
  <c r="F215" i="15" s="1"/>
  <c r="E216" i="15"/>
  <c r="F216" i="15" s="1"/>
  <c r="E217" i="15"/>
  <c r="F217" i="15" s="1"/>
  <c r="E218" i="15"/>
  <c r="F218" i="15" s="1"/>
  <c r="E219" i="15"/>
  <c r="F219" i="15" s="1"/>
  <c r="E220" i="15"/>
  <c r="F220" i="15" s="1"/>
  <c r="E221" i="15"/>
  <c r="F221" i="15" s="1"/>
  <c r="E222" i="15"/>
  <c r="F222" i="15" s="1"/>
  <c r="E223" i="15"/>
  <c r="F223" i="15" s="1"/>
  <c r="E224" i="15"/>
  <c r="F224" i="15" s="1"/>
  <c r="E225" i="15"/>
  <c r="F225" i="15" s="1"/>
  <c r="E226" i="15"/>
  <c r="F226" i="15" s="1"/>
  <c r="E227" i="15"/>
  <c r="F227" i="15" s="1"/>
  <c r="E228" i="15"/>
  <c r="F228" i="15" s="1"/>
  <c r="E229" i="15"/>
  <c r="F229" i="15" s="1"/>
  <c r="E230" i="15"/>
  <c r="F230" i="15" s="1"/>
  <c r="E231" i="15"/>
  <c r="F231" i="15" s="1"/>
  <c r="E232" i="15"/>
  <c r="F232" i="15" s="1"/>
  <c r="E233" i="15"/>
  <c r="F233" i="15" s="1"/>
  <c r="E234" i="15"/>
  <c r="F234" i="15" s="1"/>
  <c r="E235" i="15"/>
  <c r="F235" i="15" s="1"/>
  <c r="E236" i="15"/>
  <c r="F236" i="15" s="1"/>
  <c r="E237" i="15"/>
  <c r="F237" i="15" s="1"/>
  <c r="E238" i="15"/>
  <c r="F238" i="15" s="1"/>
  <c r="E239" i="15"/>
  <c r="F239" i="15" s="1"/>
  <c r="E240" i="15"/>
  <c r="F240" i="15" s="1"/>
  <c r="E241" i="15"/>
  <c r="F241" i="15" s="1"/>
  <c r="E242" i="15"/>
  <c r="F242" i="15" s="1"/>
  <c r="E243" i="15"/>
  <c r="F243" i="15" s="1"/>
  <c r="E244" i="15"/>
  <c r="F244" i="15" s="1"/>
  <c r="E245" i="15"/>
  <c r="F245" i="15" s="1"/>
  <c r="E246" i="15"/>
  <c r="F246" i="15" s="1"/>
  <c r="E247" i="15"/>
  <c r="F247" i="15" s="1"/>
  <c r="E248" i="15"/>
  <c r="F248" i="15" s="1"/>
  <c r="E249" i="15"/>
  <c r="F249" i="15" s="1"/>
  <c r="E250" i="15"/>
  <c r="F250" i="15" s="1"/>
  <c r="E251" i="15"/>
  <c r="F251" i="15" s="1"/>
  <c r="E252" i="15"/>
  <c r="F252" i="15" s="1"/>
  <c r="E253" i="15"/>
  <c r="F253" i="15" s="1"/>
  <c r="E254" i="15"/>
  <c r="F254" i="15" s="1"/>
  <c r="E255" i="15"/>
  <c r="F255" i="15" s="1"/>
  <c r="E256" i="15"/>
  <c r="F256" i="15" s="1"/>
  <c r="E257" i="15"/>
  <c r="F257" i="15" s="1"/>
  <c r="E258" i="15"/>
  <c r="F258" i="15" s="1"/>
  <c r="E259" i="15"/>
  <c r="F259" i="15" s="1"/>
  <c r="E260" i="15"/>
  <c r="F260" i="15" s="1"/>
  <c r="E261" i="15"/>
  <c r="F261" i="15" s="1"/>
  <c r="E262" i="15"/>
  <c r="F262" i="15" s="1"/>
  <c r="E263" i="15"/>
  <c r="F263" i="15" s="1"/>
  <c r="E264" i="15"/>
  <c r="F264" i="15" s="1"/>
  <c r="E265" i="15"/>
  <c r="F265" i="15" s="1"/>
  <c r="E266" i="15"/>
  <c r="F266" i="15" s="1"/>
  <c r="E267" i="15"/>
  <c r="F267" i="15" s="1"/>
  <c r="E268" i="15"/>
  <c r="F268" i="15" s="1"/>
  <c r="E269" i="15"/>
  <c r="F269" i="15" s="1"/>
  <c r="E270" i="15"/>
  <c r="F270" i="15" s="1"/>
  <c r="E271" i="15"/>
  <c r="F271" i="15" s="1"/>
  <c r="E272" i="15"/>
  <c r="F272" i="15" s="1"/>
  <c r="E273" i="15"/>
  <c r="F273" i="15" s="1"/>
  <c r="E274" i="15"/>
  <c r="F274" i="15" s="1"/>
  <c r="E275" i="15"/>
  <c r="F275" i="15" s="1"/>
  <c r="E276" i="15"/>
  <c r="F276" i="15" s="1"/>
  <c r="E277" i="15"/>
  <c r="F277" i="15" s="1"/>
  <c r="E278" i="15"/>
  <c r="F278" i="15" s="1"/>
  <c r="E279" i="15"/>
  <c r="F279" i="15" s="1"/>
  <c r="E280" i="15"/>
  <c r="F280" i="15" s="1"/>
  <c r="E281" i="15"/>
  <c r="F281" i="15" s="1"/>
  <c r="E282" i="15"/>
  <c r="F282" i="15" s="1"/>
  <c r="E283" i="15"/>
  <c r="F283" i="15" s="1"/>
  <c r="E284" i="15"/>
  <c r="F284" i="15" s="1"/>
  <c r="E285" i="15"/>
  <c r="F285" i="15" s="1"/>
  <c r="E286" i="15"/>
  <c r="F286" i="15" s="1"/>
  <c r="E287" i="15"/>
  <c r="F287" i="15" s="1"/>
  <c r="E288" i="15"/>
  <c r="F288" i="15" s="1"/>
  <c r="E289" i="15"/>
  <c r="F289" i="15" s="1"/>
  <c r="E290" i="15"/>
  <c r="F290" i="15" s="1"/>
  <c r="E291" i="15"/>
  <c r="F291" i="15" s="1"/>
  <c r="E292" i="15"/>
  <c r="F292" i="15" s="1"/>
  <c r="E293" i="15"/>
  <c r="F293" i="15" s="1"/>
  <c r="E294" i="15"/>
  <c r="F294" i="15" s="1"/>
  <c r="E295" i="15"/>
  <c r="F295" i="15" s="1"/>
  <c r="E296" i="15"/>
  <c r="F296" i="15" s="1"/>
  <c r="E297" i="15"/>
  <c r="F297" i="15" s="1"/>
  <c r="E298" i="15"/>
  <c r="F298" i="15" s="1"/>
  <c r="E299" i="15"/>
  <c r="F299" i="15" s="1"/>
  <c r="E300" i="15"/>
  <c r="F300" i="15" s="1"/>
  <c r="E301" i="15"/>
  <c r="F301" i="15" s="1"/>
  <c r="E302" i="15"/>
  <c r="F302" i="15" s="1"/>
  <c r="E303" i="15"/>
  <c r="F303" i="15" s="1"/>
  <c r="E304" i="15"/>
  <c r="F304" i="15" s="1"/>
  <c r="E305" i="15"/>
  <c r="F305" i="15" s="1"/>
  <c r="E306" i="15"/>
  <c r="F306" i="15" s="1"/>
  <c r="E307" i="15"/>
  <c r="F307" i="15" s="1"/>
  <c r="E308" i="15"/>
  <c r="F308" i="15" s="1"/>
  <c r="E309" i="15"/>
  <c r="F309" i="15" s="1"/>
  <c r="E310" i="15"/>
  <c r="F310" i="15" s="1"/>
  <c r="E311" i="15"/>
  <c r="F311" i="15" s="1"/>
  <c r="E312" i="15"/>
  <c r="F312" i="15" s="1"/>
  <c r="E313" i="15"/>
  <c r="F313" i="15" s="1"/>
  <c r="E314" i="15"/>
  <c r="F314" i="15" s="1"/>
  <c r="E315" i="15"/>
  <c r="F315" i="15" s="1"/>
  <c r="E316" i="15"/>
  <c r="F316" i="15" s="1"/>
  <c r="E317" i="15"/>
  <c r="F317" i="15" s="1"/>
  <c r="E318" i="15"/>
  <c r="F318" i="15" s="1"/>
  <c r="E319" i="15"/>
  <c r="F319" i="15" s="1"/>
  <c r="E320" i="15"/>
  <c r="F320" i="15" s="1"/>
  <c r="E321" i="15"/>
  <c r="F321" i="15" s="1"/>
  <c r="E322" i="15"/>
  <c r="F322" i="15" s="1"/>
  <c r="E323" i="15"/>
  <c r="F323" i="15" s="1"/>
  <c r="E324" i="15"/>
  <c r="F324" i="15" s="1"/>
  <c r="E325" i="15"/>
  <c r="F325" i="15" s="1"/>
  <c r="E326" i="15"/>
  <c r="F326" i="15" s="1"/>
  <c r="E327" i="15"/>
  <c r="F327" i="15" s="1"/>
  <c r="E328" i="15"/>
  <c r="F328" i="15" s="1"/>
  <c r="E329" i="15"/>
  <c r="F329" i="15" s="1"/>
  <c r="E330" i="15"/>
  <c r="F330" i="15" s="1"/>
  <c r="E331" i="15"/>
  <c r="F331" i="15" s="1"/>
  <c r="E332" i="15"/>
  <c r="F332" i="15" s="1"/>
  <c r="E333" i="15"/>
  <c r="F333" i="15" s="1"/>
  <c r="E334" i="15"/>
  <c r="F334" i="15" s="1"/>
  <c r="E335" i="15"/>
  <c r="F335" i="15" s="1"/>
  <c r="E336" i="15"/>
  <c r="F336" i="15" s="1"/>
  <c r="E337" i="15"/>
  <c r="F337" i="15" s="1"/>
  <c r="E338" i="15"/>
  <c r="F338" i="15" s="1"/>
  <c r="E339" i="15"/>
  <c r="F339" i="15" s="1"/>
  <c r="E340" i="15"/>
  <c r="F340" i="15" s="1"/>
  <c r="E341" i="15"/>
  <c r="F341" i="15" s="1"/>
  <c r="E342" i="15"/>
  <c r="F342" i="15" s="1"/>
  <c r="E343" i="15"/>
  <c r="F343" i="15" s="1"/>
  <c r="E344" i="15"/>
  <c r="F344" i="15" s="1"/>
  <c r="E345" i="15"/>
  <c r="F345" i="15" s="1"/>
  <c r="E346" i="15"/>
  <c r="F346" i="15" s="1"/>
  <c r="E347" i="15"/>
  <c r="F347" i="15" s="1"/>
  <c r="E348" i="15"/>
  <c r="F348" i="15" s="1"/>
  <c r="E349" i="15"/>
  <c r="F349" i="15" s="1"/>
  <c r="E350" i="15"/>
  <c r="F350" i="15" s="1"/>
  <c r="E351" i="15"/>
  <c r="F351" i="15" s="1"/>
  <c r="E352" i="15"/>
  <c r="F352" i="15" s="1"/>
  <c r="E353" i="15"/>
  <c r="F353" i="15" s="1"/>
  <c r="E354" i="15"/>
  <c r="F354" i="15" s="1"/>
  <c r="E355" i="15"/>
  <c r="F355" i="15" s="1"/>
  <c r="E356" i="15"/>
  <c r="F356" i="15" s="1"/>
  <c r="E357" i="15"/>
  <c r="F357" i="15" s="1"/>
  <c r="E358" i="15"/>
  <c r="F358" i="15" s="1"/>
  <c r="E359" i="15"/>
  <c r="F359" i="15" s="1"/>
  <c r="E360" i="15"/>
  <c r="F360" i="15" s="1"/>
  <c r="E361" i="15"/>
  <c r="F361" i="15" s="1"/>
  <c r="E362" i="15"/>
  <c r="F362" i="15" s="1"/>
  <c r="E363" i="15"/>
  <c r="F363" i="15" s="1"/>
  <c r="E364" i="15"/>
  <c r="F364" i="15" s="1"/>
  <c r="E365" i="15"/>
  <c r="F365" i="15" s="1"/>
  <c r="E366" i="15"/>
  <c r="F366" i="15" s="1"/>
  <c r="E367" i="15"/>
  <c r="F367" i="15" s="1"/>
  <c r="E368" i="15"/>
  <c r="F368" i="15" s="1"/>
  <c r="E369" i="15"/>
  <c r="F369" i="15" s="1"/>
  <c r="E370" i="15"/>
  <c r="F370" i="15" s="1"/>
  <c r="E371" i="15"/>
  <c r="F371" i="15" s="1"/>
  <c r="E372" i="15"/>
  <c r="F372" i="15" s="1"/>
  <c r="E373" i="15"/>
  <c r="F373" i="15" s="1"/>
  <c r="E374" i="15"/>
  <c r="F374" i="15" s="1"/>
  <c r="E375" i="15"/>
  <c r="F375" i="15" s="1"/>
  <c r="E376" i="15"/>
  <c r="F376" i="15" s="1"/>
  <c r="E377" i="15"/>
  <c r="F377" i="15" s="1"/>
  <c r="E378" i="15"/>
  <c r="F378" i="15" s="1"/>
  <c r="E379" i="15"/>
  <c r="F379" i="15" s="1"/>
  <c r="E380" i="15"/>
  <c r="F380" i="15" s="1"/>
  <c r="E381" i="15"/>
  <c r="F381" i="15" s="1"/>
  <c r="E382" i="15"/>
  <c r="F382" i="15" s="1"/>
  <c r="E383" i="15"/>
  <c r="F383" i="15" s="1"/>
  <c r="E384" i="15"/>
  <c r="F384" i="15" s="1"/>
  <c r="E385" i="15"/>
  <c r="F385" i="15" s="1"/>
  <c r="E386" i="15"/>
  <c r="F386" i="15" s="1"/>
  <c r="E387" i="15"/>
  <c r="F387" i="15" s="1"/>
  <c r="E388" i="15"/>
  <c r="F388" i="15" s="1"/>
  <c r="E389" i="15"/>
  <c r="F389" i="15" s="1"/>
  <c r="E390" i="15"/>
  <c r="F390" i="15" s="1"/>
  <c r="E391" i="15"/>
  <c r="F391" i="15" s="1"/>
  <c r="E392" i="15"/>
  <c r="F392" i="15" s="1"/>
  <c r="E393" i="15"/>
  <c r="F393" i="15" s="1"/>
  <c r="E394" i="15"/>
  <c r="F394" i="15" s="1"/>
  <c r="E395" i="15"/>
  <c r="F395" i="15" s="1"/>
  <c r="E396" i="15"/>
  <c r="F396" i="15" s="1"/>
  <c r="E397" i="15"/>
  <c r="F397" i="15" s="1"/>
  <c r="E398" i="15"/>
  <c r="F398" i="15" s="1"/>
  <c r="E399" i="15"/>
  <c r="F399" i="15" s="1"/>
  <c r="E400" i="15"/>
  <c r="F400" i="15" s="1"/>
  <c r="E401" i="15"/>
  <c r="F401" i="15" s="1"/>
  <c r="E402" i="15"/>
  <c r="F402" i="15" s="1"/>
  <c r="E403" i="15"/>
  <c r="F403" i="15" s="1"/>
  <c r="E404" i="15"/>
  <c r="F404" i="15" s="1"/>
  <c r="E405" i="15"/>
  <c r="F405" i="15" s="1"/>
  <c r="E406" i="15"/>
  <c r="F406" i="15" s="1"/>
  <c r="E407" i="15"/>
  <c r="F407" i="15" s="1"/>
  <c r="E408" i="15"/>
  <c r="F408" i="15" s="1"/>
  <c r="E409" i="15"/>
  <c r="F409" i="15" s="1"/>
  <c r="E410" i="15"/>
  <c r="F410" i="15" s="1"/>
  <c r="E411" i="15"/>
  <c r="F411" i="15" s="1"/>
  <c r="E412" i="15"/>
  <c r="F412" i="15" s="1"/>
  <c r="E413" i="15"/>
  <c r="F413" i="15" s="1"/>
  <c r="E414" i="15"/>
  <c r="F414" i="15" s="1"/>
  <c r="E415" i="15"/>
  <c r="F415" i="15" s="1"/>
  <c r="E416" i="15"/>
  <c r="F416" i="15" s="1"/>
  <c r="E417" i="15"/>
  <c r="F417" i="15" s="1"/>
  <c r="E418" i="15"/>
  <c r="F418" i="15" s="1"/>
  <c r="E419" i="15"/>
  <c r="F419" i="15" s="1"/>
  <c r="E420" i="15"/>
  <c r="F420" i="15" s="1"/>
  <c r="E421" i="15"/>
  <c r="F421" i="15" s="1"/>
  <c r="E422" i="15"/>
  <c r="F422" i="15" s="1"/>
  <c r="E423" i="15"/>
  <c r="F423" i="15" s="1"/>
  <c r="E424" i="15"/>
  <c r="F424" i="15" s="1"/>
  <c r="E425" i="15"/>
  <c r="F425" i="15" s="1"/>
  <c r="E426" i="15"/>
  <c r="F426" i="15" s="1"/>
  <c r="E427" i="15"/>
  <c r="F427" i="15" s="1"/>
  <c r="E428" i="15"/>
  <c r="F428" i="15" s="1"/>
  <c r="E429" i="15"/>
  <c r="F429" i="15" s="1"/>
  <c r="E430" i="15"/>
  <c r="F430" i="15" s="1"/>
  <c r="E431" i="15"/>
  <c r="F431" i="15" s="1"/>
  <c r="E432" i="15"/>
  <c r="F432" i="15" s="1"/>
  <c r="E433" i="15"/>
  <c r="F433" i="15" s="1"/>
  <c r="E434" i="15"/>
  <c r="F434" i="15" s="1"/>
  <c r="E435" i="15"/>
  <c r="F435" i="15" s="1"/>
  <c r="E436" i="15"/>
  <c r="F436" i="15" s="1"/>
  <c r="E437" i="15"/>
  <c r="F437" i="15" s="1"/>
  <c r="E438" i="15"/>
  <c r="F438" i="15" s="1"/>
  <c r="E439" i="15"/>
  <c r="F439" i="15" s="1"/>
  <c r="E440" i="15"/>
  <c r="F440" i="15" s="1"/>
  <c r="E441" i="15"/>
  <c r="F441" i="15" s="1"/>
  <c r="E442" i="15"/>
  <c r="F442" i="15" s="1"/>
  <c r="E443" i="15"/>
  <c r="F443" i="15" s="1"/>
  <c r="E444" i="15"/>
  <c r="F444" i="15" s="1"/>
  <c r="E445" i="15"/>
  <c r="F445" i="15" s="1"/>
  <c r="E446" i="15"/>
  <c r="F446" i="15" s="1"/>
  <c r="E447" i="15"/>
  <c r="F447" i="15" s="1"/>
  <c r="E448" i="15"/>
  <c r="F448" i="15" s="1"/>
  <c r="E449" i="15"/>
  <c r="F449" i="15" s="1"/>
  <c r="E450" i="15"/>
  <c r="F450" i="15" s="1"/>
  <c r="E451" i="15"/>
  <c r="F451" i="15" s="1"/>
  <c r="E452" i="15"/>
  <c r="F452" i="15" s="1"/>
  <c r="E453" i="15"/>
  <c r="F453" i="15" s="1"/>
  <c r="E454" i="15"/>
  <c r="F454" i="15" s="1"/>
  <c r="E455" i="15"/>
  <c r="F455" i="15" s="1"/>
  <c r="E456" i="15"/>
  <c r="F456" i="15" s="1"/>
  <c r="E457" i="15"/>
  <c r="F457" i="15" s="1"/>
  <c r="E458" i="15"/>
  <c r="F458" i="15" s="1"/>
  <c r="E459" i="15"/>
  <c r="F459" i="15" s="1"/>
  <c r="E460" i="15"/>
  <c r="F460" i="15" s="1"/>
  <c r="E461" i="15"/>
  <c r="F461" i="15" s="1"/>
  <c r="E462" i="15"/>
  <c r="F462" i="15" s="1"/>
  <c r="E463" i="15"/>
  <c r="F463" i="15" s="1"/>
  <c r="E464" i="15"/>
  <c r="F464" i="15" s="1"/>
  <c r="E465" i="15"/>
  <c r="F465" i="15" s="1"/>
  <c r="E466" i="15"/>
  <c r="F466" i="15" s="1"/>
  <c r="E467" i="15"/>
  <c r="F467" i="15" s="1"/>
  <c r="E468" i="15"/>
  <c r="F468" i="15" s="1"/>
  <c r="E469" i="15"/>
  <c r="F469" i="15" s="1"/>
  <c r="E470" i="15"/>
  <c r="F470" i="15" s="1"/>
  <c r="E471" i="15"/>
  <c r="F471" i="15" s="1"/>
  <c r="E472" i="15"/>
  <c r="F472" i="15" s="1"/>
  <c r="E473" i="15"/>
  <c r="F473" i="15" s="1"/>
  <c r="E474" i="15"/>
  <c r="F474" i="15" s="1"/>
  <c r="E475" i="15"/>
  <c r="F475" i="15" s="1"/>
  <c r="E476" i="15"/>
  <c r="F476" i="15" s="1"/>
  <c r="E477" i="15"/>
  <c r="F477" i="15" s="1"/>
  <c r="E478" i="15"/>
  <c r="F478" i="15" s="1"/>
  <c r="E479" i="15"/>
  <c r="F479" i="15" s="1"/>
  <c r="E480" i="15"/>
  <c r="F480" i="15" s="1"/>
  <c r="E481" i="15"/>
  <c r="F481" i="15" s="1"/>
  <c r="E482" i="15"/>
  <c r="F482" i="15" s="1"/>
  <c r="E483" i="15"/>
  <c r="F483" i="15" s="1"/>
  <c r="E484" i="15"/>
  <c r="F484" i="15" s="1"/>
  <c r="E485" i="15"/>
  <c r="F485" i="15" s="1"/>
  <c r="E486" i="15"/>
  <c r="F486" i="15" s="1"/>
  <c r="E487" i="15"/>
  <c r="F487" i="15" s="1"/>
  <c r="E488" i="15"/>
  <c r="F488" i="15" s="1"/>
  <c r="E489" i="15"/>
  <c r="F489" i="15" s="1"/>
  <c r="E490" i="15"/>
  <c r="F490" i="15" s="1"/>
  <c r="E491" i="15"/>
  <c r="F491" i="15" s="1"/>
  <c r="E492" i="15"/>
  <c r="F492" i="15" s="1"/>
  <c r="E493" i="15"/>
  <c r="F493" i="15" s="1"/>
  <c r="E494" i="15"/>
  <c r="F494" i="15" s="1"/>
  <c r="E495" i="15"/>
  <c r="F495" i="15" s="1"/>
  <c r="E496" i="15"/>
  <c r="F496" i="15" s="1"/>
  <c r="E497" i="15"/>
  <c r="F497" i="15" s="1"/>
  <c r="E498" i="15"/>
  <c r="F498" i="15" s="1"/>
  <c r="E499" i="15"/>
  <c r="F499" i="15" s="1"/>
  <c r="E500" i="15"/>
  <c r="F500" i="15" s="1"/>
  <c r="E501" i="15"/>
  <c r="F501" i="15" s="1"/>
  <c r="E502" i="15"/>
  <c r="F502" i="15" s="1"/>
  <c r="E503" i="15"/>
  <c r="F503" i="15" s="1"/>
  <c r="E504" i="15"/>
  <c r="F504" i="15" s="1"/>
  <c r="E505" i="15"/>
  <c r="F505" i="15" s="1"/>
  <c r="E506" i="15"/>
  <c r="F506" i="15" s="1"/>
  <c r="E507" i="15"/>
  <c r="F507" i="15" s="1"/>
  <c r="E508" i="15"/>
  <c r="F508" i="15" s="1"/>
  <c r="E509" i="15"/>
  <c r="F509" i="15" s="1"/>
  <c r="E510" i="15"/>
  <c r="F510" i="15" s="1"/>
  <c r="E511" i="15"/>
  <c r="F511" i="15" s="1"/>
  <c r="E512" i="15"/>
  <c r="F512" i="15" s="1"/>
  <c r="E513" i="15"/>
  <c r="F513" i="15" s="1"/>
  <c r="E514" i="15"/>
  <c r="F514" i="15" s="1"/>
  <c r="E515" i="15"/>
  <c r="F515" i="15" s="1"/>
  <c r="E516" i="15"/>
  <c r="F516" i="15" s="1"/>
  <c r="E517" i="15"/>
  <c r="F517" i="15" s="1"/>
  <c r="E518" i="15"/>
  <c r="F518" i="15" s="1"/>
  <c r="E519" i="15"/>
  <c r="F519" i="15" s="1"/>
  <c r="E520" i="15"/>
  <c r="F520" i="15" s="1"/>
  <c r="E521" i="15"/>
  <c r="F521" i="15" s="1"/>
  <c r="E522" i="15"/>
  <c r="F522" i="15" s="1"/>
  <c r="E523" i="15"/>
  <c r="F523" i="15" s="1"/>
  <c r="E524" i="15"/>
  <c r="F524" i="15" s="1"/>
  <c r="E525" i="15"/>
  <c r="F525" i="15" s="1"/>
  <c r="E526" i="15"/>
  <c r="F526" i="15" s="1"/>
  <c r="E527" i="15"/>
  <c r="F527" i="15" s="1"/>
  <c r="E528" i="15"/>
  <c r="F528" i="15" s="1"/>
  <c r="E529" i="15"/>
  <c r="F529" i="15" s="1"/>
  <c r="E530" i="15"/>
  <c r="F530" i="15" s="1"/>
  <c r="E531" i="15"/>
  <c r="F531" i="15" s="1"/>
  <c r="E532" i="15"/>
  <c r="F532" i="15" s="1"/>
  <c r="E533" i="15"/>
  <c r="F533" i="15" s="1"/>
  <c r="E534" i="15"/>
  <c r="F534" i="15" s="1"/>
  <c r="E535" i="15"/>
  <c r="F535" i="15" s="1"/>
  <c r="E536" i="15"/>
  <c r="F536" i="15" s="1"/>
  <c r="E537" i="15"/>
  <c r="F537" i="15" s="1"/>
  <c r="E538" i="15"/>
  <c r="F538" i="15" s="1"/>
  <c r="E539" i="15"/>
  <c r="F539" i="15" s="1"/>
  <c r="E540" i="15"/>
  <c r="F540" i="15" s="1"/>
  <c r="E541" i="15"/>
  <c r="F541" i="15" s="1"/>
  <c r="E542" i="15"/>
  <c r="F542" i="15" s="1"/>
  <c r="E543" i="15"/>
  <c r="F543" i="15" s="1"/>
  <c r="E544" i="15"/>
  <c r="F544" i="15" s="1"/>
  <c r="E545" i="15"/>
  <c r="F545" i="15" s="1"/>
  <c r="E546" i="15"/>
  <c r="F546" i="15" s="1"/>
  <c r="E547" i="15"/>
  <c r="F547" i="15" s="1"/>
  <c r="E548" i="15"/>
  <c r="F548" i="15" s="1"/>
  <c r="E549" i="15"/>
  <c r="F549" i="15" s="1"/>
  <c r="E550" i="15"/>
  <c r="F550" i="15" s="1"/>
  <c r="E551" i="15"/>
  <c r="F551" i="15" s="1"/>
  <c r="E552" i="15"/>
  <c r="F552" i="15" s="1"/>
  <c r="E553" i="15"/>
  <c r="F553" i="15" s="1"/>
  <c r="E554" i="15"/>
  <c r="F554" i="15" s="1"/>
  <c r="E555" i="15"/>
  <c r="F555" i="15" s="1"/>
  <c r="E556" i="15"/>
  <c r="F556" i="15" s="1"/>
  <c r="E557" i="15"/>
  <c r="F557" i="15" s="1"/>
  <c r="E558" i="15"/>
  <c r="F558" i="15" s="1"/>
  <c r="E559" i="15"/>
  <c r="F559" i="15" s="1"/>
  <c r="E560" i="15"/>
  <c r="F560" i="15" s="1"/>
  <c r="E561" i="15"/>
  <c r="F561" i="15" s="1"/>
  <c r="E562" i="15"/>
  <c r="F562" i="15" s="1"/>
  <c r="E563" i="15"/>
  <c r="F563" i="15" s="1"/>
  <c r="E564" i="15"/>
  <c r="F564" i="15" s="1"/>
  <c r="E565" i="15"/>
  <c r="F565" i="15" s="1"/>
  <c r="E566" i="15"/>
  <c r="F566" i="15" s="1"/>
  <c r="E567" i="15"/>
  <c r="F567" i="15" s="1"/>
  <c r="E568" i="15"/>
  <c r="F568" i="15" s="1"/>
  <c r="E569" i="15"/>
  <c r="F569" i="15" s="1"/>
  <c r="E570" i="15"/>
  <c r="F570" i="15" s="1"/>
  <c r="E571" i="15"/>
  <c r="F571" i="15" s="1"/>
  <c r="E572" i="15"/>
  <c r="F572" i="15" s="1"/>
  <c r="E573" i="15"/>
  <c r="F573" i="15" s="1"/>
  <c r="E574" i="15"/>
  <c r="F574" i="15" s="1"/>
  <c r="E575" i="15"/>
  <c r="F575" i="15" s="1"/>
  <c r="E576" i="15"/>
  <c r="F576" i="15" s="1"/>
  <c r="E577" i="15"/>
  <c r="F577" i="15" s="1"/>
  <c r="E578" i="15"/>
  <c r="F578" i="15" s="1"/>
  <c r="E579" i="15"/>
  <c r="F579" i="15" s="1"/>
  <c r="E580" i="15"/>
  <c r="F580" i="15" s="1"/>
  <c r="E581" i="15"/>
  <c r="F581" i="15" s="1"/>
  <c r="E582" i="15"/>
  <c r="F582" i="15" s="1"/>
  <c r="E583" i="15"/>
  <c r="F583" i="15" s="1"/>
  <c r="E584" i="15"/>
  <c r="F584" i="15" s="1"/>
  <c r="E585" i="15"/>
  <c r="F585" i="15" s="1"/>
  <c r="E586" i="15"/>
  <c r="F586" i="15" s="1"/>
  <c r="E587" i="15"/>
  <c r="F587" i="15" s="1"/>
  <c r="E588" i="15"/>
  <c r="F588" i="15" s="1"/>
  <c r="E589" i="15"/>
  <c r="F589" i="15" s="1"/>
  <c r="E590" i="15"/>
  <c r="F590" i="15" s="1"/>
  <c r="E591" i="15"/>
  <c r="F591" i="15" s="1"/>
  <c r="E592" i="15"/>
  <c r="F592" i="15" s="1"/>
  <c r="E593" i="15"/>
  <c r="F593" i="15" s="1"/>
  <c r="E594" i="15"/>
  <c r="F594" i="15" s="1"/>
  <c r="E595" i="15"/>
  <c r="F595" i="15" s="1"/>
  <c r="E596" i="15"/>
  <c r="F596" i="15" s="1"/>
  <c r="E597" i="15"/>
  <c r="F597" i="15" s="1"/>
  <c r="E598" i="15"/>
  <c r="F598" i="15" s="1"/>
  <c r="E599" i="15"/>
  <c r="F599" i="15" s="1"/>
  <c r="E600" i="15"/>
  <c r="F600" i="15" s="1"/>
  <c r="E601" i="15"/>
  <c r="F601" i="15" s="1"/>
  <c r="E602" i="15"/>
  <c r="F602" i="15" s="1"/>
  <c r="E603" i="15"/>
  <c r="F603" i="15" s="1"/>
  <c r="E604" i="15"/>
  <c r="F604" i="15" s="1"/>
  <c r="E605" i="15"/>
  <c r="F605" i="15" s="1"/>
  <c r="E606" i="15"/>
  <c r="F606" i="15" s="1"/>
  <c r="E607" i="15"/>
  <c r="F607" i="15" s="1"/>
  <c r="E608" i="15"/>
  <c r="F608" i="15" s="1"/>
  <c r="E609" i="15"/>
  <c r="F609" i="15" s="1"/>
  <c r="E610" i="15"/>
  <c r="F610" i="15" s="1"/>
  <c r="E611" i="15"/>
  <c r="F611" i="15" s="1"/>
  <c r="E612" i="15"/>
  <c r="F612" i="15" s="1"/>
  <c r="E613" i="15"/>
  <c r="F613" i="15" s="1"/>
  <c r="E614" i="15"/>
  <c r="F614" i="15" s="1"/>
  <c r="E615" i="15"/>
  <c r="F615" i="15" s="1"/>
  <c r="E616" i="15"/>
  <c r="F616" i="15" s="1"/>
  <c r="E617" i="15"/>
  <c r="F617" i="15" s="1"/>
  <c r="E618" i="15"/>
  <c r="F618" i="15" s="1"/>
  <c r="E619" i="15"/>
  <c r="F619" i="15" s="1"/>
  <c r="E620" i="15"/>
  <c r="F620" i="15" s="1"/>
  <c r="E621" i="15"/>
  <c r="F621" i="15" s="1"/>
  <c r="E622" i="15"/>
  <c r="F622" i="15" s="1"/>
  <c r="E623" i="15"/>
  <c r="F623" i="15" s="1"/>
  <c r="E624" i="15"/>
  <c r="F624" i="15" s="1"/>
  <c r="E625" i="15"/>
  <c r="F625" i="15" s="1"/>
  <c r="E626" i="15"/>
  <c r="F626" i="15" s="1"/>
  <c r="E627" i="15"/>
  <c r="F627" i="15" s="1"/>
  <c r="E628" i="15"/>
  <c r="F628" i="15" s="1"/>
  <c r="E629" i="15"/>
  <c r="F629" i="15" s="1"/>
  <c r="E630" i="15"/>
  <c r="F630" i="15" s="1"/>
  <c r="E631" i="15"/>
  <c r="F631" i="15" s="1"/>
  <c r="E632" i="15"/>
  <c r="F632" i="15" s="1"/>
  <c r="E633" i="15"/>
  <c r="F633" i="15" s="1"/>
  <c r="E634" i="15"/>
  <c r="F634" i="15" s="1"/>
  <c r="E635" i="15"/>
  <c r="F635" i="15" s="1"/>
  <c r="E636" i="15"/>
  <c r="F636" i="15" s="1"/>
  <c r="E637" i="15"/>
  <c r="F637" i="15" s="1"/>
  <c r="E638" i="15"/>
  <c r="F638" i="15" s="1"/>
  <c r="E639" i="15"/>
  <c r="F639" i="15" s="1"/>
  <c r="E640" i="15"/>
  <c r="F640" i="15" s="1"/>
  <c r="E641" i="15"/>
  <c r="F641" i="15" s="1"/>
  <c r="E642" i="15"/>
  <c r="F642" i="15" s="1"/>
  <c r="E643" i="15"/>
  <c r="F643" i="15" s="1"/>
  <c r="E644" i="15"/>
  <c r="F644" i="15" s="1"/>
  <c r="E645" i="15"/>
  <c r="F645" i="15" s="1"/>
  <c r="E646" i="15"/>
  <c r="F646" i="15" s="1"/>
  <c r="E647" i="15"/>
  <c r="F647" i="15" s="1"/>
  <c r="E648" i="15"/>
  <c r="F648" i="15" s="1"/>
  <c r="E649" i="15"/>
  <c r="F649" i="15" s="1"/>
  <c r="E650" i="15"/>
  <c r="F650" i="15" s="1"/>
  <c r="E651" i="15"/>
  <c r="F651" i="15" s="1"/>
  <c r="E652" i="15"/>
  <c r="F652" i="15" s="1"/>
  <c r="E653" i="15"/>
  <c r="F653" i="15" s="1"/>
  <c r="E654" i="15"/>
  <c r="F654" i="15" s="1"/>
  <c r="E655" i="15"/>
  <c r="F655" i="15" s="1"/>
  <c r="E656" i="15"/>
  <c r="F656" i="15" s="1"/>
  <c r="E657" i="15"/>
  <c r="F657" i="15" s="1"/>
  <c r="E658" i="15"/>
  <c r="F658" i="15" s="1"/>
  <c r="E659" i="15"/>
  <c r="F659" i="15" s="1"/>
  <c r="E660" i="15"/>
  <c r="F660" i="15" s="1"/>
  <c r="E661" i="15"/>
  <c r="F661" i="15" s="1"/>
  <c r="E662" i="15"/>
  <c r="F662" i="15" s="1"/>
  <c r="E663" i="15"/>
  <c r="F663" i="15" s="1"/>
  <c r="E664" i="15"/>
  <c r="F664" i="15" s="1"/>
  <c r="E665" i="15"/>
  <c r="F665" i="15" s="1"/>
  <c r="E666" i="15"/>
  <c r="F666" i="15" s="1"/>
  <c r="E667" i="15"/>
  <c r="F667" i="15" s="1"/>
  <c r="E668" i="15"/>
  <c r="F668" i="15" s="1"/>
  <c r="E669" i="15"/>
  <c r="F669" i="15" s="1"/>
  <c r="E670" i="15"/>
  <c r="F670" i="15" s="1"/>
  <c r="E671" i="15"/>
  <c r="F671" i="15" s="1"/>
  <c r="E672" i="15"/>
  <c r="F672" i="15" s="1"/>
  <c r="E673" i="15"/>
  <c r="F673" i="15" s="1"/>
  <c r="E674" i="15"/>
  <c r="F674" i="15" s="1"/>
  <c r="E675" i="15"/>
  <c r="F675" i="15" s="1"/>
  <c r="E676" i="15"/>
  <c r="F676" i="15" s="1"/>
  <c r="E677" i="15"/>
  <c r="F677" i="15" s="1"/>
  <c r="E678" i="15"/>
  <c r="F678" i="15" s="1"/>
  <c r="E679" i="15"/>
  <c r="F679" i="15" s="1"/>
  <c r="E680" i="15"/>
  <c r="F680" i="15" s="1"/>
  <c r="E681" i="15"/>
  <c r="F681" i="15" s="1"/>
  <c r="E682" i="15"/>
  <c r="F682" i="15" s="1"/>
  <c r="E683" i="15"/>
  <c r="F683" i="15" s="1"/>
  <c r="E684" i="15"/>
  <c r="F684" i="15" s="1"/>
  <c r="E685" i="15"/>
  <c r="F685" i="15" s="1"/>
  <c r="E686" i="15"/>
  <c r="F686" i="15" s="1"/>
  <c r="E687" i="15"/>
  <c r="F687" i="15" s="1"/>
  <c r="E688" i="15"/>
  <c r="F688" i="15" s="1"/>
  <c r="E689" i="15"/>
  <c r="F689" i="15" s="1"/>
  <c r="E690" i="15"/>
  <c r="F690" i="15" s="1"/>
  <c r="E691" i="15"/>
  <c r="F691" i="15" s="1"/>
  <c r="E692" i="15"/>
  <c r="F692" i="15" s="1"/>
  <c r="E693" i="15"/>
  <c r="F693" i="15" s="1"/>
  <c r="E694" i="15"/>
  <c r="F694" i="15" s="1"/>
  <c r="E695" i="15"/>
  <c r="F695" i="15" s="1"/>
  <c r="E696" i="15"/>
  <c r="F696" i="15" s="1"/>
  <c r="E697" i="15"/>
  <c r="F697" i="15" s="1"/>
  <c r="E698" i="15"/>
  <c r="F698" i="15" s="1"/>
  <c r="E699" i="15"/>
  <c r="F699" i="15" s="1"/>
  <c r="E700" i="15"/>
  <c r="F700" i="15" s="1"/>
  <c r="E701" i="15"/>
  <c r="F701" i="15" s="1"/>
  <c r="E702" i="15"/>
  <c r="F702" i="15" s="1"/>
  <c r="E703" i="15"/>
  <c r="F703" i="15" s="1"/>
  <c r="E704" i="15"/>
  <c r="F704" i="15" s="1"/>
  <c r="E705" i="15"/>
  <c r="F705" i="15" s="1"/>
  <c r="E706" i="15"/>
  <c r="F706" i="15" s="1"/>
  <c r="E707" i="15"/>
  <c r="F707" i="15" s="1"/>
  <c r="E708" i="15"/>
  <c r="F708" i="15" s="1"/>
  <c r="E709" i="15"/>
  <c r="F709" i="15" s="1"/>
  <c r="E710" i="15"/>
  <c r="F710" i="15" s="1"/>
  <c r="E711" i="15"/>
  <c r="F711" i="15" s="1"/>
  <c r="E712" i="15"/>
  <c r="F712" i="15" s="1"/>
  <c r="E713" i="15"/>
  <c r="F713" i="15" s="1"/>
  <c r="E714" i="15"/>
  <c r="F714" i="15" s="1"/>
  <c r="E715" i="15"/>
  <c r="F715" i="15" s="1"/>
  <c r="E716" i="15"/>
  <c r="F716" i="15" s="1"/>
  <c r="E717" i="15"/>
  <c r="F717" i="15" s="1"/>
  <c r="E718" i="15"/>
  <c r="F718" i="15" s="1"/>
  <c r="E719" i="15"/>
  <c r="F719" i="15" s="1"/>
  <c r="E720" i="15"/>
  <c r="F720" i="15" s="1"/>
  <c r="E721" i="15"/>
  <c r="F721" i="15" s="1"/>
  <c r="E722" i="15"/>
  <c r="F722" i="15" s="1"/>
  <c r="E723" i="15"/>
  <c r="F723" i="15" s="1"/>
  <c r="E724" i="15"/>
  <c r="F724" i="15" s="1"/>
  <c r="E725" i="15"/>
  <c r="F725" i="15" s="1"/>
  <c r="E726" i="15"/>
  <c r="F726" i="15" s="1"/>
  <c r="E727" i="15"/>
  <c r="F727" i="15" s="1"/>
  <c r="E728" i="15"/>
  <c r="F728" i="15" s="1"/>
  <c r="E729" i="15"/>
  <c r="F729" i="15" s="1"/>
  <c r="E730" i="15"/>
  <c r="F730" i="15" s="1"/>
  <c r="E731" i="15"/>
  <c r="F731" i="15" s="1"/>
  <c r="E732" i="15"/>
  <c r="F732" i="15" s="1"/>
  <c r="E733" i="15"/>
  <c r="F733" i="15" s="1"/>
  <c r="E734" i="15"/>
  <c r="F734" i="15" s="1"/>
  <c r="E735" i="15"/>
  <c r="F735" i="15" s="1"/>
  <c r="E736" i="15"/>
  <c r="F736" i="15" s="1"/>
  <c r="E737" i="15"/>
  <c r="F737" i="15" s="1"/>
  <c r="E738" i="15"/>
  <c r="F738" i="15" s="1"/>
  <c r="E739" i="15"/>
  <c r="F739" i="15" s="1"/>
  <c r="E740" i="15"/>
  <c r="F740" i="15" s="1"/>
  <c r="E741" i="15"/>
  <c r="F741" i="15" s="1"/>
  <c r="E742" i="15"/>
  <c r="F742" i="15" s="1"/>
  <c r="E743" i="15"/>
  <c r="F743" i="15" s="1"/>
  <c r="E744" i="15"/>
  <c r="F744" i="15" s="1"/>
  <c r="E745" i="15"/>
  <c r="F745" i="15" s="1"/>
  <c r="E746" i="15"/>
  <c r="F746" i="15" s="1"/>
  <c r="E747" i="15"/>
  <c r="F747" i="15" s="1"/>
  <c r="E748" i="15"/>
  <c r="F748" i="15" s="1"/>
  <c r="E749" i="15"/>
  <c r="F749" i="15" s="1"/>
  <c r="E750" i="15"/>
  <c r="F750" i="15" s="1"/>
  <c r="E751" i="15"/>
  <c r="F751" i="15" s="1"/>
  <c r="E752" i="15"/>
  <c r="F752" i="15" s="1"/>
  <c r="E753" i="15"/>
  <c r="F753" i="15" s="1"/>
  <c r="E754" i="15"/>
  <c r="F754" i="15" s="1"/>
  <c r="E755" i="15"/>
  <c r="F755" i="15" s="1"/>
  <c r="E756" i="15"/>
  <c r="F756" i="15" s="1"/>
  <c r="E757" i="15"/>
  <c r="F757" i="15" s="1"/>
  <c r="E758" i="15"/>
  <c r="F758" i="15" s="1"/>
  <c r="E759" i="15"/>
  <c r="F759" i="15" s="1"/>
  <c r="E760" i="15"/>
  <c r="F760" i="15" s="1"/>
  <c r="E761" i="15"/>
  <c r="F761" i="15" s="1"/>
  <c r="E762" i="15"/>
  <c r="F762" i="15" s="1"/>
  <c r="E763" i="15"/>
  <c r="F763" i="15" s="1"/>
  <c r="E764" i="15"/>
  <c r="F764" i="15" s="1"/>
  <c r="E765" i="15"/>
  <c r="F765" i="15" s="1"/>
  <c r="E766" i="15"/>
  <c r="F766" i="15" s="1"/>
  <c r="E767" i="15"/>
  <c r="F767" i="15" s="1"/>
  <c r="E768" i="15"/>
  <c r="F768" i="15" s="1"/>
  <c r="E769" i="15"/>
  <c r="F769" i="15" s="1"/>
  <c r="E770" i="15"/>
  <c r="F770" i="15" s="1"/>
  <c r="E771" i="15"/>
  <c r="F771" i="15" s="1"/>
  <c r="E772" i="15"/>
  <c r="F772" i="15" s="1"/>
  <c r="E773" i="15"/>
  <c r="F773" i="15" s="1"/>
  <c r="E774" i="15"/>
  <c r="F774" i="15" s="1"/>
  <c r="E775" i="15"/>
  <c r="F775" i="15" s="1"/>
  <c r="E776" i="15"/>
  <c r="F776" i="15" s="1"/>
  <c r="E777" i="15"/>
  <c r="F777" i="15" s="1"/>
  <c r="E778" i="15"/>
  <c r="F778" i="15" s="1"/>
  <c r="E779" i="15"/>
  <c r="F779" i="15" s="1"/>
  <c r="E780" i="15"/>
  <c r="F780" i="15" s="1"/>
  <c r="E781" i="15"/>
  <c r="F781" i="15" s="1"/>
  <c r="E782" i="15"/>
  <c r="F782" i="15" s="1"/>
  <c r="E783" i="15"/>
  <c r="F783" i="15" s="1"/>
  <c r="E784" i="15"/>
  <c r="F784" i="15" s="1"/>
  <c r="E785" i="15"/>
  <c r="F785" i="15" s="1"/>
  <c r="E786" i="15"/>
  <c r="F786" i="15" s="1"/>
  <c r="E787" i="15"/>
  <c r="F787" i="15" s="1"/>
  <c r="E788" i="15"/>
  <c r="F788" i="15" s="1"/>
  <c r="E789" i="15"/>
  <c r="F789" i="15" s="1"/>
  <c r="E790" i="15"/>
  <c r="F790" i="15" s="1"/>
  <c r="E791" i="15"/>
  <c r="F791" i="15" s="1"/>
  <c r="E792" i="15"/>
  <c r="F792" i="15" s="1"/>
  <c r="E793" i="15"/>
  <c r="F793" i="15" s="1"/>
  <c r="E794" i="15"/>
  <c r="F794" i="15" s="1"/>
  <c r="E795" i="15"/>
  <c r="F795" i="15" s="1"/>
  <c r="E796" i="15"/>
  <c r="F796" i="15" s="1"/>
  <c r="E797" i="15"/>
  <c r="F797" i="15" s="1"/>
  <c r="E798" i="15"/>
  <c r="F798" i="15" s="1"/>
  <c r="E799" i="15"/>
  <c r="F799" i="15" s="1"/>
  <c r="E800" i="15"/>
  <c r="F800" i="15" s="1"/>
  <c r="E801" i="15"/>
  <c r="F801" i="15" s="1"/>
  <c r="E802" i="15"/>
  <c r="F802" i="15" s="1"/>
  <c r="E803" i="15"/>
  <c r="F803" i="15" s="1"/>
  <c r="E804" i="15"/>
  <c r="F804" i="15" s="1"/>
  <c r="E805" i="15"/>
  <c r="F805" i="15" s="1"/>
  <c r="E806" i="15"/>
  <c r="F806" i="15" s="1"/>
  <c r="E807" i="15"/>
  <c r="F807" i="15" s="1"/>
  <c r="E808" i="15"/>
  <c r="F808" i="15" s="1"/>
  <c r="E809" i="15"/>
  <c r="F809" i="15" s="1"/>
  <c r="E810" i="15"/>
  <c r="F810" i="15" s="1"/>
  <c r="E811" i="15"/>
  <c r="F811" i="15" s="1"/>
  <c r="E812" i="15"/>
  <c r="F812" i="15" s="1"/>
  <c r="E813" i="15"/>
  <c r="F813" i="15" s="1"/>
  <c r="E814" i="15"/>
  <c r="F814" i="15" s="1"/>
  <c r="E815" i="15"/>
  <c r="F815" i="15" s="1"/>
  <c r="E816" i="15"/>
  <c r="F816" i="15" s="1"/>
  <c r="E817" i="15"/>
  <c r="F817" i="15" s="1"/>
  <c r="E818" i="15"/>
  <c r="F818" i="15" s="1"/>
  <c r="E819" i="15"/>
  <c r="F819" i="15" s="1"/>
  <c r="E820" i="15"/>
  <c r="F820" i="15" s="1"/>
  <c r="E821" i="15"/>
  <c r="F821" i="15" s="1"/>
  <c r="E822" i="15"/>
  <c r="F822" i="15" s="1"/>
  <c r="E823" i="15"/>
  <c r="F823" i="15" s="1"/>
  <c r="E824" i="15"/>
  <c r="F824" i="15" s="1"/>
  <c r="E825" i="15"/>
  <c r="F825" i="15" s="1"/>
  <c r="E826" i="15"/>
  <c r="F826" i="15" s="1"/>
  <c r="E827" i="15"/>
  <c r="F827" i="15" s="1"/>
  <c r="E828" i="15"/>
  <c r="F828" i="15" s="1"/>
  <c r="E829" i="15"/>
  <c r="F829" i="15" s="1"/>
  <c r="E830" i="15"/>
  <c r="F830" i="15" s="1"/>
  <c r="E831" i="15"/>
  <c r="F831" i="15" s="1"/>
  <c r="E832" i="15"/>
  <c r="F832" i="15" s="1"/>
  <c r="E833" i="15"/>
  <c r="F833" i="15" s="1"/>
  <c r="E834" i="15"/>
  <c r="F834" i="15" s="1"/>
  <c r="E835" i="15"/>
  <c r="F835" i="15" s="1"/>
  <c r="E836" i="15"/>
  <c r="F836" i="15" s="1"/>
  <c r="E837" i="15"/>
  <c r="F837" i="15" s="1"/>
  <c r="E838" i="15"/>
  <c r="F838" i="15" s="1"/>
  <c r="E839" i="15"/>
  <c r="F839" i="15" s="1"/>
  <c r="E840" i="15"/>
  <c r="F840" i="15" s="1"/>
  <c r="E841" i="15"/>
  <c r="F841" i="15" s="1"/>
  <c r="E842" i="15"/>
  <c r="F842" i="15" s="1"/>
  <c r="E843" i="15"/>
  <c r="F843" i="15" s="1"/>
  <c r="E844" i="15"/>
  <c r="F844" i="15" s="1"/>
  <c r="E845" i="15"/>
  <c r="F845" i="15" s="1"/>
  <c r="E846" i="15"/>
  <c r="F846" i="15" s="1"/>
  <c r="E847" i="15"/>
  <c r="F847" i="15" s="1"/>
  <c r="E848" i="15"/>
  <c r="F848" i="15" s="1"/>
  <c r="E849" i="15"/>
  <c r="F849" i="15" s="1"/>
  <c r="E850" i="15"/>
  <c r="F850" i="15" s="1"/>
  <c r="E851" i="15"/>
  <c r="F851" i="15" s="1"/>
  <c r="E852" i="15"/>
  <c r="F852" i="15" s="1"/>
  <c r="E853" i="15"/>
  <c r="F853" i="15" s="1"/>
  <c r="E854" i="15"/>
  <c r="F854" i="15" s="1"/>
  <c r="E855" i="15"/>
  <c r="F855" i="15" s="1"/>
  <c r="E856" i="15"/>
  <c r="F856" i="15" s="1"/>
  <c r="E857" i="15"/>
  <c r="F857" i="15" s="1"/>
  <c r="E858" i="15"/>
  <c r="F858" i="15" s="1"/>
  <c r="E859" i="15"/>
  <c r="F859" i="15" s="1"/>
  <c r="E860" i="15"/>
  <c r="F860" i="15" s="1"/>
  <c r="E861" i="15"/>
  <c r="F861" i="15" s="1"/>
  <c r="E862" i="15"/>
  <c r="F862" i="15" s="1"/>
  <c r="E863" i="15"/>
  <c r="F863" i="15" s="1"/>
  <c r="E864" i="15"/>
  <c r="F864" i="15" s="1"/>
  <c r="E865" i="15"/>
  <c r="F865" i="15" s="1"/>
  <c r="E866" i="15"/>
  <c r="F866" i="15" s="1"/>
  <c r="E867" i="15"/>
  <c r="F867" i="15" s="1"/>
  <c r="E868" i="15"/>
  <c r="F868" i="15" s="1"/>
  <c r="E869" i="15"/>
  <c r="F869" i="15" s="1"/>
  <c r="E870" i="15"/>
  <c r="F870" i="15" s="1"/>
  <c r="E871" i="15"/>
  <c r="F871" i="15" s="1"/>
  <c r="E872" i="15"/>
  <c r="F872" i="15" s="1"/>
  <c r="E873" i="15"/>
  <c r="F873" i="15" s="1"/>
  <c r="E874" i="15"/>
  <c r="F874" i="15" s="1"/>
  <c r="E875" i="15"/>
  <c r="F875" i="15" s="1"/>
  <c r="E876" i="15"/>
  <c r="F876" i="15" s="1"/>
  <c r="E877" i="15"/>
  <c r="F877" i="15" s="1"/>
  <c r="E878" i="15"/>
  <c r="F878" i="15" s="1"/>
  <c r="E879" i="15"/>
  <c r="F879" i="15" s="1"/>
  <c r="E880" i="15"/>
  <c r="F880" i="15" s="1"/>
  <c r="E881" i="15"/>
  <c r="F881" i="15" s="1"/>
  <c r="E882" i="15"/>
  <c r="F882" i="15" s="1"/>
  <c r="E883" i="15"/>
  <c r="F883" i="15" s="1"/>
  <c r="E884" i="15"/>
  <c r="F884" i="15" s="1"/>
  <c r="E885" i="15"/>
  <c r="F885" i="15" s="1"/>
  <c r="E886" i="15"/>
  <c r="F886" i="15" s="1"/>
  <c r="E887" i="15"/>
  <c r="F887" i="15" s="1"/>
  <c r="E888" i="15"/>
  <c r="F888" i="15" s="1"/>
  <c r="E889" i="15"/>
  <c r="F889" i="15" s="1"/>
  <c r="E890" i="15"/>
  <c r="F890" i="15" s="1"/>
  <c r="E891" i="15"/>
  <c r="F891" i="15" s="1"/>
  <c r="E892" i="15"/>
  <c r="F892" i="15" s="1"/>
  <c r="E893" i="15"/>
  <c r="F893" i="15" s="1"/>
  <c r="E894" i="15"/>
  <c r="F894" i="15" s="1"/>
  <c r="E895" i="15"/>
  <c r="F895" i="15" s="1"/>
  <c r="E896" i="15"/>
  <c r="F896" i="15" s="1"/>
  <c r="E897" i="15"/>
  <c r="F897" i="15" s="1"/>
  <c r="E898" i="15"/>
  <c r="F898" i="15" s="1"/>
  <c r="E899" i="15"/>
  <c r="F899" i="15" s="1"/>
  <c r="E900" i="15"/>
  <c r="F900" i="15" s="1"/>
  <c r="E901" i="15"/>
  <c r="F901" i="15" s="1"/>
  <c r="E902" i="15"/>
  <c r="F902" i="15" s="1"/>
  <c r="E903" i="15"/>
  <c r="F903" i="15" s="1"/>
  <c r="E904" i="15"/>
  <c r="F904" i="15" s="1"/>
  <c r="E905" i="15"/>
  <c r="F905" i="15" s="1"/>
  <c r="E906" i="15"/>
  <c r="F906" i="15" s="1"/>
  <c r="E907" i="15"/>
  <c r="F907" i="15" s="1"/>
  <c r="E908" i="15"/>
  <c r="F908" i="15" s="1"/>
  <c r="E909" i="15"/>
  <c r="F909" i="15" s="1"/>
  <c r="E910" i="15"/>
  <c r="F910" i="15" s="1"/>
  <c r="E911" i="15"/>
  <c r="F911" i="15" s="1"/>
  <c r="E912" i="15"/>
  <c r="F912" i="15" s="1"/>
  <c r="E913" i="15"/>
  <c r="F913" i="15" s="1"/>
  <c r="E914" i="15"/>
  <c r="F914" i="15" s="1"/>
  <c r="E915" i="15"/>
  <c r="F915" i="15" s="1"/>
  <c r="E916" i="15"/>
  <c r="F916" i="15" s="1"/>
  <c r="E917" i="15"/>
  <c r="F917" i="15" s="1"/>
  <c r="E918" i="15"/>
  <c r="F918" i="15" s="1"/>
  <c r="E919" i="15"/>
  <c r="F919" i="15" s="1"/>
  <c r="E920" i="15"/>
  <c r="F920" i="15" s="1"/>
  <c r="E921" i="15"/>
  <c r="F921" i="15" s="1"/>
  <c r="E922" i="15"/>
  <c r="F922" i="15" s="1"/>
  <c r="E923" i="15"/>
  <c r="F923" i="15" s="1"/>
  <c r="E924" i="15"/>
  <c r="F924" i="15" s="1"/>
  <c r="E925" i="15"/>
  <c r="F925" i="15" s="1"/>
  <c r="E926" i="15"/>
  <c r="F926" i="15" s="1"/>
  <c r="E927" i="15"/>
  <c r="F927" i="15" s="1"/>
  <c r="E928" i="15"/>
  <c r="F928" i="15" s="1"/>
  <c r="E929" i="15"/>
  <c r="F929" i="15" s="1"/>
  <c r="E930" i="15"/>
  <c r="F930" i="15" s="1"/>
  <c r="E931" i="15"/>
  <c r="F931" i="15" s="1"/>
  <c r="E932" i="15"/>
  <c r="F932" i="15" s="1"/>
  <c r="E933" i="15"/>
  <c r="F933" i="15" s="1"/>
  <c r="E934" i="15"/>
  <c r="F934" i="15" s="1"/>
  <c r="E935" i="15"/>
  <c r="F935" i="15" s="1"/>
  <c r="E936" i="15"/>
  <c r="F936" i="15" s="1"/>
  <c r="E937" i="15"/>
  <c r="F937" i="15" s="1"/>
  <c r="E938" i="15"/>
  <c r="F938" i="15" s="1"/>
  <c r="E939" i="15"/>
  <c r="F939" i="15" s="1"/>
  <c r="E940" i="15"/>
  <c r="F940" i="15" s="1"/>
  <c r="E941" i="15"/>
  <c r="F941" i="15" s="1"/>
  <c r="E942" i="15"/>
  <c r="F942" i="15" s="1"/>
  <c r="E943" i="15"/>
  <c r="F943" i="15" s="1"/>
  <c r="E944" i="15"/>
  <c r="F944" i="15" s="1"/>
  <c r="E945" i="15"/>
  <c r="F945" i="15" s="1"/>
  <c r="E946" i="15"/>
  <c r="F946" i="15" s="1"/>
  <c r="E947" i="15"/>
  <c r="F947" i="15" s="1"/>
  <c r="E948" i="15"/>
  <c r="F948" i="15" s="1"/>
  <c r="E949" i="15"/>
  <c r="F949" i="15" s="1"/>
  <c r="E950" i="15"/>
  <c r="F950" i="15" s="1"/>
  <c r="E951" i="15"/>
  <c r="F951" i="15" s="1"/>
  <c r="E952" i="15"/>
  <c r="F952" i="15" s="1"/>
  <c r="E953" i="15"/>
  <c r="F953" i="15" s="1"/>
  <c r="E954" i="15"/>
  <c r="F954" i="15" s="1"/>
  <c r="E955" i="15"/>
  <c r="F955" i="15" s="1"/>
  <c r="E956" i="15"/>
  <c r="F956" i="15" s="1"/>
  <c r="E957" i="15"/>
  <c r="F957" i="15" s="1"/>
  <c r="E958" i="15"/>
  <c r="F958" i="15" s="1"/>
  <c r="E959" i="15"/>
  <c r="F959" i="15" s="1"/>
  <c r="E960" i="15"/>
  <c r="F960" i="15" s="1"/>
  <c r="E961" i="15"/>
  <c r="F961" i="15" s="1"/>
  <c r="E962" i="15"/>
  <c r="F962" i="15" s="1"/>
  <c r="E963" i="15"/>
  <c r="F963" i="15" s="1"/>
  <c r="E964" i="15"/>
  <c r="F964" i="15" s="1"/>
  <c r="E965" i="15"/>
  <c r="F965" i="15" s="1"/>
  <c r="E966" i="15"/>
  <c r="F966" i="15" s="1"/>
  <c r="E967" i="15"/>
  <c r="F967" i="15" s="1"/>
  <c r="E968" i="15"/>
  <c r="F968" i="15" s="1"/>
  <c r="E969" i="15"/>
  <c r="F969" i="15" s="1"/>
  <c r="E970" i="15"/>
  <c r="F970" i="15" s="1"/>
  <c r="E971" i="15"/>
  <c r="F971" i="15" s="1"/>
  <c r="E972" i="15"/>
  <c r="F972" i="15" s="1"/>
  <c r="E973" i="15"/>
  <c r="F973" i="15" s="1"/>
  <c r="E974" i="15"/>
  <c r="F974" i="15" s="1"/>
  <c r="E975" i="15"/>
  <c r="F975" i="15" s="1"/>
  <c r="E976" i="15"/>
  <c r="F976" i="15" s="1"/>
  <c r="E977" i="15"/>
  <c r="F977" i="15" s="1"/>
  <c r="E978" i="15"/>
  <c r="F978" i="15" s="1"/>
  <c r="E979" i="15"/>
  <c r="F979" i="15" s="1"/>
  <c r="E980" i="15"/>
  <c r="F980" i="15" s="1"/>
  <c r="E981" i="15"/>
  <c r="F981" i="15" s="1"/>
  <c r="E982" i="15"/>
  <c r="F982" i="15" s="1"/>
  <c r="E983" i="15"/>
  <c r="F983" i="15" s="1"/>
  <c r="E984" i="15"/>
  <c r="F984" i="15" s="1"/>
  <c r="E985" i="15"/>
  <c r="F985" i="15" s="1"/>
  <c r="E986" i="15"/>
  <c r="F986" i="15" s="1"/>
  <c r="E987" i="15"/>
  <c r="F987" i="15" s="1"/>
  <c r="E988" i="15"/>
  <c r="F988" i="15" s="1"/>
  <c r="E989" i="15"/>
  <c r="F989" i="15" s="1"/>
  <c r="E990" i="15"/>
  <c r="F990" i="15" s="1"/>
  <c r="E991" i="15"/>
  <c r="F991" i="15" s="1"/>
  <c r="E992" i="15"/>
  <c r="F992" i="15" s="1"/>
  <c r="E993" i="15"/>
  <c r="F993" i="15" s="1"/>
  <c r="E994" i="15"/>
  <c r="F994" i="15" s="1"/>
  <c r="E995" i="15"/>
  <c r="F995" i="15" s="1"/>
  <c r="E996" i="15"/>
  <c r="F996" i="15" s="1"/>
  <c r="E997" i="15"/>
  <c r="F997" i="15" s="1"/>
  <c r="E998" i="15"/>
  <c r="F998" i="15" s="1"/>
  <c r="E999" i="15"/>
  <c r="F999" i="15" s="1"/>
  <c r="E1000" i="15"/>
  <c r="F1000" i="15" s="1"/>
  <c r="E1001" i="15"/>
  <c r="F1001" i="15" s="1"/>
  <c r="E1002" i="15"/>
  <c r="F1002" i="15" s="1"/>
  <c r="E1003" i="15"/>
  <c r="F1003" i="15" s="1"/>
  <c r="E1004" i="15"/>
  <c r="F1004" i="15" s="1"/>
  <c r="E1005" i="15"/>
  <c r="F1005" i="15" s="1"/>
  <c r="E1006" i="15"/>
  <c r="F1006" i="15" s="1"/>
  <c r="E1007" i="15"/>
  <c r="F1007" i="15" s="1"/>
  <c r="E1008" i="15"/>
  <c r="F1008" i="15" s="1"/>
  <c r="E1009" i="15"/>
  <c r="F1009" i="15" s="1"/>
  <c r="E1010" i="15"/>
  <c r="F1010" i="15" s="1"/>
  <c r="E1011" i="15"/>
  <c r="F1011" i="15" s="1"/>
  <c r="E1012" i="15"/>
  <c r="F1012" i="15" s="1"/>
  <c r="E1013" i="15"/>
  <c r="F1013" i="15" s="1"/>
  <c r="E1014" i="15"/>
  <c r="F1014" i="15" s="1"/>
  <c r="E1015" i="15"/>
  <c r="F1015" i="15" s="1"/>
  <c r="E1016" i="15"/>
  <c r="F1016" i="15" s="1"/>
  <c r="E1017" i="15"/>
  <c r="F1017" i="15" s="1"/>
  <c r="E1018" i="15"/>
  <c r="F1018" i="15" s="1"/>
  <c r="E1019" i="15"/>
  <c r="F1019" i="15" s="1"/>
  <c r="E1020" i="15"/>
  <c r="F1020" i="15" s="1"/>
  <c r="E1021" i="15"/>
  <c r="F1021" i="15" s="1"/>
  <c r="E1022" i="15"/>
  <c r="F1022" i="15" s="1"/>
  <c r="E1023" i="15"/>
  <c r="F1023" i="15" s="1"/>
  <c r="E1024" i="15"/>
  <c r="F1024" i="15" s="1"/>
  <c r="E1025" i="15"/>
  <c r="F1025" i="15" s="1"/>
  <c r="E1026" i="15"/>
  <c r="F1026" i="15" s="1"/>
  <c r="E1027" i="15"/>
  <c r="F1027" i="15" s="1"/>
  <c r="E1028" i="15"/>
  <c r="F1028" i="15" s="1"/>
  <c r="E1029" i="15"/>
  <c r="F1029" i="15" s="1"/>
  <c r="E1030" i="15"/>
  <c r="F1030" i="15" s="1"/>
  <c r="E1031" i="15"/>
  <c r="F1031" i="15" s="1"/>
  <c r="E1032" i="15"/>
  <c r="F1032" i="15" s="1"/>
  <c r="E1033" i="15"/>
  <c r="F1033" i="15" s="1"/>
  <c r="E2" i="15"/>
  <c r="F2" i="15" s="1"/>
  <c r="D3" i="15"/>
  <c r="H3" i="15" s="1"/>
  <c r="D4" i="15"/>
  <c r="H4" i="15" s="1"/>
  <c r="D5" i="15"/>
  <c r="H5" i="15" s="1"/>
  <c r="D6" i="15"/>
  <c r="H6" i="15" s="1"/>
  <c r="D7" i="15"/>
  <c r="H7" i="15" s="1"/>
  <c r="D8" i="15"/>
  <c r="H8" i="15" s="1"/>
  <c r="D9" i="15"/>
  <c r="H9" i="15" s="1"/>
  <c r="D10" i="15"/>
  <c r="H10" i="15" s="1"/>
  <c r="D11" i="15"/>
  <c r="H11" i="15" s="1"/>
  <c r="D12" i="15"/>
  <c r="H12" i="15" s="1"/>
  <c r="D13" i="15"/>
  <c r="H13" i="15" s="1"/>
  <c r="D14" i="15"/>
  <c r="H14" i="15" s="1"/>
  <c r="D15" i="15"/>
  <c r="H15" i="15" s="1"/>
  <c r="D16" i="15"/>
  <c r="H16" i="15" s="1"/>
  <c r="D17" i="15"/>
  <c r="H17" i="15" s="1"/>
  <c r="D18" i="15"/>
  <c r="H18" i="15" s="1"/>
  <c r="D19" i="15"/>
  <c r="H19" i="15" s="1"/>
  <c r="D20" i="15"/>
  <c r="H20" i="15" s="1"/>
  <c r="D21" i="15"/>
  <c r="H21" i="15" s="1"/>
  <c r="D22" i="15"/>
  <c r="H22" i="15" s="1"/>
  <c r="D23" i="15"/>
  <c r="H23" i="15" s="1"/>
  <c r="D24" i="15"/>
  <c r="H24" i="15" s="1"/>
  <c r="D25" i="15"/>
  <c r="H25" i="15" s="1"/>
  <c r="D26" i="15"/>
  <c r="H26" i="15" s="1"/>
  <c r="D27" i="15"/>
  <c r="H27" i="15" s="1"/>
  <c r="D28" i="15"/>
  <c r="H28" i="15" s="1"/>
  <c r="D29" i="15"/>
  <c r="H29" i="15" s="1"/>
  <c r="D30" i="15"/>
  <c r="H30" i="15" s="1"/>
  <c r="D31" i="15"/>
  <c r="H31" i="15" s="1"/>
  <c r="D32" i="15"/>
  <c r="H32" i="15" s="1"/>
  <c r="D33" i="15"/>
  <c r="H33" i="15" s="1"/>
  <c r="D34" i="15"/>
  <c r="H34" i="15" s="1"/>
  <c r="D35" i="15"/>
  <c r="H35" i="15" s="1"/>
  <c r="D36" i="15"/>
  <c r="H36" i="15" s="1"/>
  <c r="D37" i="15"/>
  <c r="H37" i="15" s="1"/>
  <c r="D38" i="15"/>
  <c r="H38" i="15" s="1"/>
  <c r="D39" i="15"/>
  <c r="H39" i="15" s="1"/>
  <c r="D40" i="15"/>
  <c r="H40" i="15" s="1"/>
  <c r="D41" i="15"/>
  <c r="H41" i="15" s="1"/>
  <c r="D42" i="15"/>
  <c r="H42" i="15" s="1"/>
  <c r="D43" i="15"/>
  <c r="H43" i="15" s="1"/>
  <c r="D44" i="15"/>
  <c r="H44" i="15" s="1"/>
  <c r="D45" i="15"/>
  <c r="H45" i="15" s="1"/>
  <c r="D46" i="15"/>
  <c r="H46" i="15" s="1"/>
  <c r="D47" i="15"/>
  <c r="H47" i="15" s="1"/>
  <c r="D48" i="15"/>
  <c r="H48" i="15" s="1"/>
  <c r="D49" i="15"/>
  <c r="H49" i="15" s="1"/>
  <c r="D50" i="15"/>
  <c r="H50" i="15" s="1"/>
  <c r="D51" i="15"/>
  <c r="H51" i="15" s="1"/>
  <c r="D52" i="15"/>
  <c r="H52" i="15" s="1"/>
  <c r="D53" i="15"/>
  <c r="H53" i="15" s="1"/>
  <c r="D54" i="15"/>
  <c r="H54" i="15" s="1"/>
  <c r="D55" i="15"/>
  <c r="H55" i="15" s="1"/>
  <c r="D56" i="15"/>
  <c r="H56" i="15" s="1"/>
  <c r="D57" i="15"/>
  <c r="H57" i="15" s="1"/>
  <c r="D58" i="15"/>
  <c r="D59" i="15"/>
  <c r="H59" i="15" s="1"/>
  <c r="D60" i="15"/>
  <c r="H60" i="15" s="1"/>
  <c r="D61" i="15"/>
  <c r="H61" i="15" s="1"/>
  <c r="D62" i="15"/>
  <c r="H62" i="15" s="1"/>
  <c r="D63" i="15"/>
  <c r="H63" i="15" s="1"/>
  <c r="D64" i="15"/>
  <c r="H64" i="15" s="1"/>
  <c r="D65" i="15"/>
  <c r="D66" i="15"/>
  <c r="H66" i="15" s="1"/>
  <c r="D67" i="15"/>
  <c r="H67" i="15" s="1"/>
  <c r="D68" i="15"/>
  <c r="H68" i="15" s="1"/>
  <c r="D69" i="15"/>
  <c r="H69" i="15" s="1"/>
  <c r="D70" i="15"/>
  <c r="H70" i="15" s="1"/>
  <c r="D71" i="15"/>
  <c r="H71" i="15" s="1"/>
  <c r="D72" i="15"/>
  <c r="H72" i="15" s="1"/>
  <c r="D73" i="15"/>
  <c r="H73" i="15" s="1"/>
  <c r="D74" i="15"/>
  <c r="H74" i="15" s="1"/>
  <c r="D75" i="15"/>
  <c r="H75" i="15" s="1"/>
  <c r="D76" i="15"/>
  <c r="H76" i="15" s="1"/>
  <c r="D77" i="15"/>
  <c r="H77" i="15" s="1"/>
  <c r="D78" i="15"/>
  <c r="H78" i="15" s="1"/>
  <c r="D79" i="15"/>
  <c r="H79" i="15" s="1"/>
  <c r="D80" i="15"/>
  <c r="H80" i="15" s="1"/>
  <c r="D81" i="15"/>
  <c r="H81" i="15" s="1"/>
  <c r="D82" i="15"/>
  <c r="H82" i="15" s="1"/>
  <c r="D83" i="15"/>
  <c r="H83" i="15" s="1"/>
  <c r="D84" i="15"/>
  <c r="H84" i="15" s="1"/>
  <c r="D85" i="15"/>
  <c r="H85" i="15" s="1"/>
  <c r="D86" i="15"/>
  <c r="H86" i="15" s="1"/>
  <c r="D87" i="15"/>
  <c r="H87" i="15" s="1"/>
  <c r="D88" i="15"/>
  <c r="H88" i="15" s="1"/>
  <c r="D89" i="15"/>
  <c r="H89" i="15" s="1"/>
  <c r="D90" i="15"/>
  <c r="H90" i="15" s="1"/>
  <c r="D91" i="15"/>
  <c r="H91" i="15" s="1"/>
  <c r="D92" i="15"/>
  <c r="H92" i="15" s="1"/>
  <c r="D93" i="15"/>
  <c r="H93" i="15" s="1"/>
  <c r="D94" i="15"/>
  <c r="H94" i="15" s="1"/>
  <c r="D95" i="15"/>
  <c r="H95" i="15" s="1"/>
  <c r="D96" i="15"/>
  <c r="H96" i="15" s="1"/>
  <c r="D97" i="15"/>
  <c r="H97" i="15" s="1"/>
  <c r="D98" i="15"/>
  <c r="H98" i="15" s="1"/>
  <c r="D99" i="15"/>
  <c r="H99" i="15" s="1"/>
  <c r="D100" i="15"/>
  <c r="H100" i="15" s="1"/>
  <c r="D101" i="15"/>
  <c r="H101" i="15" s="1"/>
  <c r="D102" i="15"/>
  <c r="H102" i="15" s="1"/>
  <c r="D103" i="15"/>
  <c r="H103" i="15" s="1"/>
  <c r="D104" i="15"/>
  <c r="H104" i="15" s="1"/>
  <c r="D105" i="15"/>
  <c r="D106" i="15"/>
  <c r="H106" i="15" s="1"/>
  <c r="D107" i="15"/>
  <c r="H107" i="15" s="1"/>
  <c r="D108" i="15"/>
  <c r="H108" i="15" s="1"/>
  <c r="D109" i="15"/>
  <c r="H109" i="15" s="1"/>
  <c r="D110" i="15"/>
  <c r="H110" i="15" s="1"/>
  <c r="D111" i="15"/>
  <c r="H111" i="15" s="1"/>
  <c r="D112" i="15"/>
  <c r="H112" i="15" s="1"/>
  <c r="D113" i="15"/>
  <c r="H113" i="15" s="1"/>
  <c r="D114" i="15"/>
  <c r="H114" i="15" s="1"/>
  <c r="D115" i="15"/>
  <c r="H115" i="15" s="1"/>
  <c r="D116" i="15"/>
  <c r="H116" i="15" s="1"/>
  <c r="D117" i="15"/>
  <c r="H117" i="15" s="1"/>
  <c r="D118" i="15"/>
  <c r="H118" i="15" s="1"/>
  <c r="D119" i="15"/>
  <c r="H119" i="15" s="1"/>
  <c r="D120" i="15"/>
  <c r="H120" i="15" s="1"/>
  <c r="D121" i="15"/>
  <c r="H121" i="15" s="1"/>
  <c r="D122" i="15"/>
  <c r="H122" i="15" s="1"/>
  <c r="D123" i="15"/>
  <c r="H123" i="15" s="1"/>
  <c r="D124" i="15"/>
  <c r="H124" i="15" s="1"/>
  <c r="D125" i="15"/>
  <c r="H125" i="15" s="1"/>
  <c r="D126" i="15"/>
  <c r="H126" i="15" s="1"/>
  <c r="D127" i="15"/>
  <c r="H127" i="15" s="1"/>
  <c r="D128" i="15"/>
  <c r="H128" i="15" s="1"/>
  <c r="D129" i="15"/>
  <c r="H129" i="15" s="1"/>
  <c r="D130" i="15"/>
  <c r="H130" i="15" s="1"/>
  <c r="D131" i="15"/>
  <c r="H131" i="15" s="1"/>
  <c r="D132" i="15"/>
  <c r="H132" i="15" s="1"/>
  <c r="D133" i="15"/>
  <c r="H133" i="15" s="1"/>
  <c r="D134" i="15"/>
  <c r="H134" i="15" s="1"/>
  <c r="D135" i="15"/>
  <c r="H135" i="15" s="1"/>
  <c r="D136" i="15"/>
  <c r="H136" i="15" s="1"/>
  <c r="D137" i="15"/>
  <c r="H137" i="15" s="1"/>
  <c r="D138" i="15"/>
  <c r="H138" i="15" s="1"/>
  <c r="D139" i="15"/>
  <c r="H139" i="15" s="1"/>
  <c r="D140" i="15"/>
  <c r="D141" i="15"/>
  <c r="H141" i="15" s="1"/>
  <c r="D142" i="15"/>
  <c r="H142" i="15" s="1"/>
  <c r="D143" i="15"/>
  <c r="H143" i="15" s="1"/>
  <c r="D144" i="15"/>
  <c r="H144" i="15" s="1"/>
  <c r="D145" i="15"/>
  <c r="H145" i="15" s="1"/>
  <c r="D146" i="15"/>
  <c r="H146" i="15" s="1"/>
  <c r="D147" i="15"/>
  <c r="H147" i="15" s="1"/>
  <c r="D148" i="15"/>
  <c r="H148" i="15" s="1"/>
  <c r="D149" i="15"/>
  <c r="H149" i="15" s="1"/>
  <c r="D150" i="15"/>
  <c r="H150" i="15" s="1"/>
  <c r="D151" i="15"/>
  <c r="H151" i="15" s="1"/>
  <c r="D152" i="15"/>
  <c r="H152" i="15" s="1"/>
  <c r="D153" i="15"/>
  <c r="H153" i="15" s="1"/>
  <c r="D154" i="15"/>
  <c r="H154" i="15" s="1"/>
  <c r="D155" i="15"/>
  <c r="H155" i="15" s="1"/>
  <c r="D156" i="15"/>
  <c r="H156" i="15" s="1"/>
  <c r="D157" i="15"/>
  <c r="H157" i="15" s="1"/>
  <c r="D158" i="15"/>
  <c r="H158" i="15" s="1"/>
  <c r="D159" i="15"/>
  <c r="H159" i="15" s="1"/>
  <c r="D160" i="15"/>
  <c r="H160" i="15" s="1"/>
  <c r="D161" i="15"/>
  <c r="H161" i="15" s="1"/>
  <c r="D162" i="15"/>
  <c r="H162" i="15" s="1"/>
  <c r="D163" i="15"/>
  <c r="H163" i="15" s="1"/>
  <c r="D164" i="15"/>
  <c r="H164" i="15" s="1"/>
  <c r="D165" i="15"/>
  <c r="H165" i="15" s="1"/>
  <c r="D166" i="15"/>
  <c r="H166" i="15" s="1"/>
  <c r="D167" i="15"/>
  <c r="H167" i="15" s="1"/>
  <c r="D168" i="15"/>
  <c r="H168" i="15" s="1"/>
  <c r="D169" i="15"/>
  <c r="H169" i="15" s="1"/>
  <c r="D170" i="15"/>
  <c r="H170" i="15" s="1"/>
  <c r="D171" i="15"/>
  <c r="H171" i="15" s="1"/>
  <c r="D172" i="15"/>
  <c r="H172" i="15" s="1"/>
  <c r="D173" i="15"/>
  <c r="H173" i="15" s="1"/>
  <c r="D174" i="15"/>
  <c r="H174" i="15" s="1"/>
  <c r="D175" i="15"/>
  <c r="H175" i="15" s="1"/>
  <c r="D176" i="15"/>
  <c r="H176" i="15" s="1"/>
  <c r="D177" i="15"/>
  <c r="H177" i="15" s="1"/>
  <c r="D178" i="15"/>
  <c r="H178" i="15" s="1"/>
  <c r="D179" i="15"/>
  <c r="H179" i="15" s="1"/>
  <c r="D180" i="15"/>
  <c r="H180" i="15" s="1"/>
  <c r="D181" i="15"/>
  <c r="H181" i="15" s="1"/>
  <c r="D182" i="15"/>
  <c r="H182" i="15" s="1"/>
  <c r="D183" i="15"/>
  <c r="H183" i="15" s="1"/>
  <c r="D184" i="15"/>
  <c r="H184" i="15" s="1"/>
  <c r="D185" i="15"/>
  <c r="H185" i="15" s="1"/>
  <c r="D186" i="15"/>
  <c r="H186" i="15" s="1"/>
  <c r="D187" i="15"/>
  <c r="H187" i="15" s="1"/>
  <c r="D188" i="15"/>
  <c r="H188" i="15" s="1"/>
  <c r="D189" i="15"/>
  <c r="H189" i="15" s="1"/>
  <c r="D190" i="15"/>
  <c r="H190" i="15" s="1"/>
  <c r="D191" i="15"/>
  <c r="H191" i="15" s="1"/>
  <c r="D192" i="15"/>
  <c r="H192" i="15" s="1"/>
  <c r="D193" i="15"/>
  <c r="H193" i="15" s="1"/>
  <c r="D194" i="15"/>
  <c r="H194" i="15" s="1"/>
  <c r="D195" i="15"/>
  <c r="H195" i="15" s="1"/>
  <c r="D196" i="15"/>
  <c r="H196" i="15" s="1"/>
  <c r="D197" i="15"/>
  <c r="H197" i="15" s="1"/>
  <c r="D198" i="15"/>
  <c r="H198" i="15" s="1"/>
  <c r="D199" i="15"/>
  <c r="H199" i="15" s="1"/>
  <c r="D200" i="15"/>
  <c r="H200" i="15" s="1"/>
  <c r="D201" i="15"/>
  <c r="H201" i="15" s="1"/>
  <c r="D202" i="15"/>
  <c r="H202" i="15" s="1"/>
  <c r="D203" i="15"/>
  <c r="H203" i="15" s="1"/>
  <c r="D204" i="15"/>
  <c r="H204" i="15" s="1"/>
  <c r="D205" i="15"/>
  <c r="H205" i="15" s="1"/>
  <c r="D206" i="15"/>
  <c r="H206" i="15" s="1"/>
  <c r="D207" i="15"/>
  <c r="H207" i="15" s="1"/>
  <c r="D208" i="15"/>
  <c r="H208" i="15" s="1"/>
  <c r="D209" i="15"/>
  <c r="H209" i="15" s="1"/>
  <c r="D210" i="15"/>
  <c r="H210" i="15" s="1"/>
  <c r="D211" i="15"/>
  <c r="H211" i="15" s="1"/>
  <c r="D212" i="15"/>
  <c r="H212" i="15" s="1"/>
  <c r="D213" i="15"/>
  <c r="H213" i="15" s="1"/>
  <c r="D214" i="15"/>
  <c r="H214" i="15" s="1"/>
  <c r="D215" i="15"/>
  <c r="H215" i="15" s="1"/>
  <c r="D216" i="15"/>
  <c r="H216" i="15" s="1"/>
  <c r="D217" i="15"/>
  <c r="H217" i="15" s="1"/>
  <c r="D218" i="15"/>
  <c r="H218" i="15" s="1"/>
  <c r="D219" i="15"/>
  <c r="H219" i="15" s="1"/>
  <c r="D220" i="15"/>
  <c r="H220" i="15" s="1"/>
  <c r="D221" i="15"/>
  <c r="H221" i="15" s="1"/>
  <c r="D222" i="15"/>
  <c r="H222" i="15" s="1"/>
  <c r="D223" i="15"/>
  <c r="H223" i="15" s="1"/>
  <c r="D224" i="15"/>
  <c r="H224" i="15" s="1"/>
  <c r="D225" i="15"/>
  <c r="H225" i="15" s="1"/>
  <c r="D226" i="15"/>
  <c r="H226" i="15" s="1"/>
  <c r="D227" i="15"/>
  <c r="H227" i="15" s="1"/>
  <c r="D228" i="15"/>
  <c r="H228" i="15" s="1"/>
  <c r="D229" i="15"/>
  <c r="H229" i="15" s="1"/>
  <c r="D230" i="15"/>
  <c r="H230" i="15" s="1"/>
  <c r="D231" i="15"/>
  <c r="H231" i="15" s="1"/>
  <c r="D232" i="15"/>
  <c r="H232" i="15" s="1"/>
  <c r="D233" i="15"/>
  <c r="H233" i="15" s="1"/>
  <c r="D234" i="15"/>
  <c r="H234" i="15" s="1"/>
  <c r="D235" i="15"/>
  <c r="H235" i="15" s="1"/>
  <c r="D236" i="15"/>
  <c r="H236" i="15" s="1"/>
  <c r="D237" i="15"/>
  <c r="H237" i="15" s="1"/>
  <c r="D238" i="15"/>
  <c r="H238" i="15" s="1"/>
  <c r="D239" i="15"/>
  <c r="H239" i="15" s="1"/>
  <c r="D240" i="15"/>
  <c r="H240" i="15" s="1"/>
  <c r="D241" i="15"/>
  <c r="H241" i="15" s="1"/>
  <c r="D242" i="15"/>
  <c r="H242" i="15" s="1"/>
  <c r="D243" i="15"/>
  <c r="H243" i="15" s="1"/>
  <c r="D244" i="15"/>
  <c r="H244" i="15" s="1"/>
  <c r="D245" i="15"/>
  <c r="H245" i="15" s="1"/>
  <c r="D246" i="15"/>
  <c r="H246" i="15" s="1"/>
  <c r="D247" i="15"/>
  <c r="H247" i="15" s="1"/>
  <c r="D248" i="15"/>
  <c r="H248" i="15" s="1"/>
  <c r="D249" i="15"/>
  <c r="H249" i="15" s="1"/>
  <c r="D250" i="15"/>
  <c r="H250" i="15" s="1"/>
  <c r="D251" i="15"/>
  <c r="H251" i="15" s="1"/>
  <c r="D252" i="15"/>
  <c r="H252" i="15" s="1"/>
  <c r="D253" i="15"/>
  <c r="H253" i="15" s="1"/>
  <c r="D254" i="15"/>
  <c r="H254" i="15" s="1"/>
  <c r="D255" i="15"/>
  <c r="H255" i="15" s="1"/>
  <c r="D256" i="15"/>
  <c r="H256" i="15" s="1"/>
  <c r="D257" i="15"/>
  <c r="H257" i="15" s="1"/>
  <c r="D258" i="15"/>
  <c r="H258" i="15" s="1"/>
  <c r="D259" i="15"/>
  <c r="H259" i="15" s="1"/>
  <c r="D260" i="15"/>
  <c r="H260" i="15" s="1"/>
  <c r="D261" i="15"/>
  <c r="H261" i="15" s="1"/>
  <c r="D262" i="15"/>
  <c r="H262" i="15" s="1"/>
  <c r="D263" i="15"/>
  <c r="H263" i="15" s="1"/>
  <c r="D264" i="15"/>
  <c r="H264" i="15" s="1"/>
  <c r="D265" i="15"/>
  <c r="H265" i="15" s="1"/>
  <c r="D266" i="15"/>
  <c r="H266" i="15" s="1"/>
  <c r="D267" i="15"/>
  <c r="H267" i="15" s="1"/>
  <c r="D268" i="15"/>
  <c r="H268" i="15" s="1"/>
  <c r="D269" i="15"/>
  <c r="H269" i="15" s="1"/>
  <c r="D270" i="15"/>
  <c r="H270" i="15" s="1"/>
  <c r="D271" i="15"/>
  <c r="H271" i="15" s="1"/>
  <c r="D272" i="15"/>
  <c r="H272" i="15" s="1"/>
  <c r="D273" i="15"/>
  <c r="H273" i="15" s="1"/>
  <c r="D274" i="15"/>
  <c r="H274" i="15" s="1"/>
  <c r="D275" i="15"/>
  <c r="H275" i="15" s="1"/>
  <c r="D276" i="15"/>
  <c r="H276" i="15" s="1"/>
  <c r="D277" i="15"/>
  <c r="H277" i="15" s="1"/>
  <c r="D278" i="15"/>
  <c r="H278" i="15" s="1"/>
  <c r="D279" i="15"/>
  <c r="H279" i="15" s="1"/>
  <c r="D280" i="15"/>
  <c r="H280" i="15" s="1"/>
  <c r="D281" i="15"/>
  <c r="H281" i="15" s="1"/>
  <c r="D282" i="15"/>
  <c r="H282" i="15" s="1"/>
  <c r="D283" i="15"/>
  <c r="H283" i="15" s="1"/>
  <c r="D284" i="15"/>
  <c r="H284" i="15" s="1"/>
  <c r="D285" i="15"/>
  <c r="H285" i="15" s="1"/>
  <c r="D286" i="15"/>
  <c r="H286" i="15" s="1"/>
  <c r="D287" i="15"/>
  <c r="H287" i="15" s="1"/>
  <c r="D288" i="15"/>
  <c r="H288" i="15" s="1"/>
  <c r="D289" i="15"/>
  <c r="H289" i="15" s="1"/>
  <c r="D290" i="15"/>
  <c r="H290" i="15" s="1"/>
  <c r="D291" i="15"/>
  <c r="H291" i="15" s="1"/>
  <c r="D292" i="15"/>
  <c r="H292" i="15" s="1"/>
  <c r="D293" i="15"/>
  <c r="H293" i="15" s="1"/>
  <c r="D294" i="15"/>
  <c r="H294" i="15" s="1"/>
  <c r="D295" i="15"/>
  <c r="H295" i="15" s="1"/>
  <c r="D296" i="15"/>
  <c r="H296" i="15" s="1"/>
  <c r="D297" i="15"/>
  <c r="H297" i="15" s="1"/>
  <c r="D298" i="15"/>
  <c r="H298" i="15" s="1"/>
  <c r="D299" i="15"/>
  <c r="H299" i="15" s="1"/>
  <c r="D300" i="15"/>
  <c r="H300" i="15" s="1"/>
  <c r="D301" i="15"/>
  <c r="H301" i="15" s="1"/>
  <c r="D302" i="15"/>
  <c r="H302" i="15" s="1"/>
  <c r="D303" i="15"/>
  <c r="H303" i="15" s="1"/>
  <c r="D304" i="15"/>
  <c r="H304" i="15" s="1"/>
  <c r="D305" i="15"/>
  <c r="H305" i="15" s="1"/>
  <c r="D306" i="15"/>
  <c r="H306" i="15" s="1"/>
  <c r="D307" i="15"/>
  <c r="H307" i="15" s="1"/>
  <c r="D308" i="15"/>
  <c r="H308" i="15" s="1"/>
  <c r="D309" i="15"/>
  <c r="H309" i="15" s="1"/>
  <c r="D310" i="15"/>
  <c r="H310" i="15" s="1"/>
  <c r="D311" i="15"/>
  <c r="H311" i="15" s="1"/>
  <c r="D312" i="15"/>
  <c r="H312" i="15" s="1"/>
  <c r="D313" i="15"/>
  <c r="H313" i="15" s="1"/>
  <c r="D314" i="15"/>
  <c r="H314" i="15" s="1"/>
  <c r="D315" i="15"/>
  <c r="H315" i="15" s="1"/>
  <c r="D316" i="15"/>
  <c r="H316" i="15" s="1"/>
  <c r="D317" i="15"/>
  <c r="H317" i="15" s="1"/>
  <c r="D318" i="15"/>
  <c r="H318" i="15" s="1"/>
  <c r="D319" i="15"/>
  <c r="H319" i="15" s="1"/>
  <c r="D320" i="15"/>
  <c r="H320" i="15" s="1"/>
  <c r="D321" i="15"/>
  <c r="H321" i="15" s="1"/>
  <c r="D322" i="15"/>
  <c r="H322" i="15" s="1"/>
  <c r="D323" i="15"/>
  <c r="H323" i="15" s="1"/>
  <c r="D324" i="15"/>
  <c r="H324" i="15" s="1"/>
  <c r="D325" i="15"/>
  <c r="H325" i="15" s="1"/>
  <c r="D326" i="15"/>
  <c r="H326" i="15" s="1"/>
  <c r="D327" i="15"/>
  <c r="H327" i="15" s="1"/>
  <c r="D328" i="15"/>
  <c r="H328" i="15" s="1"/>
  <c r="D329" i="15"/>
  <c r="H329" i="15" s="1"/>
  <c r="D330" i="15"/>
  <c r="H330" i="15" s="1"/>
  <c r="D331" i="15"/>
  <c r="H331" i="15" s="1"/>
  <c r="D332" i="15"/>
  <c r="H332" i="15" s="1"/>
  <c r="D333" i="15"/>
  <c r="H333" i="15" s="1"/>
  <c r="D334" i="15"/>
  <c r="H334" i="15" s="1"/>
  <c r="D335" i="15"/>
  <c r="H335" i="15" s="1"/>
  <c r="D336" i="15"/>
  <c r="H336" i="15" s="1"/>
  <c r="D337" i="15"/>
  <c r="H337" i="15" s="1"/>
  <c r="D338" i="15"/>
  <c r="H338" i="15" s="1"/>
  <c r="D339" i="15"/>
  <c r="H339" i="15" s="1"/>
  <c r="D340" i="15"/>
  <c r="H340" i="15" s="1"/>
  <c r="D341" i="15"/>
  <c r="H341" i="15" s="1"/>
  <c r="D342" i="15"/>
  <c r="H342" i="15" s="1"/>
  <c r="D343" i="15"/>
  <c r="H343" i="15" s="1"/>
  <c r="D344" i="15"/>
  <c r="H344" i="15" s="1"/>
  <c r="D345" i="15"/>
  <c r="H345" i="15" s="1"/>
  <c r="D346" i="15"/>
  <c r="H346" i="15" s="1"/>
  <c r="D347" i="15"/>
  <c r="H347" i="15" s="1"/>
  <c r="D348" i="15"/>
  <c r="H348" i="15" s="1"/>
  <c r="D349" i="15"/>
  <c r="H349" i="15" s="1"/>
  <c r="D350" i="15"/>
  <c r="H350" i="15" s="1"/>
  <c r="D351" i="15"/>
  <c r="H351" i="15" s="1"/>
  <c r="D352" i="15"/>
  <c r="H352" i="15" s="1"/>
  <c r="D353" i="15"/>
  <c r="H353" i="15" s="1"/>
  <c r="D354" i="15"/>
  <c r="H354" i="15" s="1"/>
  <c r="D355" i="15"/>
  <c r="H355" i="15" s="1"/>
  <c r="D356" i="15"/>
  <c r="H356" i="15" s="1"/>
  <c r="D357" i="15"/>
  <c r="H357" i="15" s="1"/>
  <c r="D358" i="15"/>
  <c r="H358" i="15" s="1"/>
  <c r="D359" i="15"/>
  <c r="H359" i="15" s="1"/>
  <c r="D360" i="15"/>
  <c r="H360" i="15" s="1"/>
  <c r="D361" i="15"/>
  <c r="H361" i="15" s="1"/>
  <c r="D362" i="15"/>
  <c r="H362" i="15" s="1"/>
  <c r="D363" i="15"/>
  <c r="H363" i="15" s="1"/>
  <c r="D364" i="15"/>
  <c r="H364" i="15" s="1"/>
  <c r="D365" i="15"/>
  <c r="H365" i="15" s="1"/>
  <c r="D366" i="15"/>
  <c r="H366" i="15" s="1"/>
  <c r="D367" i="15"/>
  <c r="H367" i="15" s="1"/>
  <c r="D368" i="15"/>
  <c r="H368" i="15" s="1"/>
  <c r="D369" i="15"/>
  <c r="H369" i="15" s="1"/>
  <c r="D370" i="15"/>
  <c r="H370" i="15" s="1"/>
  <c r="D371" i="15"/>
  <c r="H371" i="15" s="1"/>
  <c r="D372" i="15"/>
  <c r="H372" i="15" s="1"/>
  <c r="D373" i="15"/>
  <c r="H373" i="15" s="1"/>
  <c r="D374" i="15"/>
  <c r="H374" i="15" s="1"/>
  <c r="D375" i="15"/>
  <c r="H375" i="15" s="1"/>
  <c r="D376" i="15"/>
  <c r="H376" i="15" s="1"/>
  <c r="D377" i="15"/>
  <c r="H377" i="15" s="1"/>
  <c r="D378" i="15"/>
  <c r="H378" i="15" s="1"/>
  <c r="D379" i="15"/>
  <c r="H379" i="15" s="1"/>
  <c r="D380" i="15"/>
  <c r="H380" i="15" s="1"/>
  <c r="D381" i="15"/>
  <c r="H381" i="15" s="1"/>
  <c r="D382" i="15"/>
  <c r="H382" i="15" s="1"/>
  <c r="D383" i="15"/>
  <c r="H383" i="15" s="1"/>
  <c r="D384" i="15"/>
  <c r="H384" i="15" s="1"/>
  <c r="D385" i="15"/>
  <c r="H385" i="15" s="1"/>
  <c r="D386" i="15"/>
  <c r="H386" i="15" s="1"/>
  <c r="D387" i="15"/>
  <c r="H387" i="15" s="1"/>
  <c r="D388" i="15"/>
  <c r="H388" i="15" s="1"/>
  <c r="D389" i="15"/>
  <c r="H389" i="15" s="1"/>
  <c r="D390" i="15"/>
  <c r="H390" i="15" s="1"/>
  <c r="D391" i="15"/>
  <c r="H391" i="15" s="1"/>
  <c r="D392" i="15"/>
  <c r="H392" i="15" s="1"/>
  <c r="D393" i="15"/>
  <c r="H393" i="15" s="1"/>
  <c r="D394" i="15"/>
  <c r="H394" i="15" s="1"/>
  <c r="D395" i="15"/>
  <c r="H395" i="15" s="1"/>
  <c r="D396" i="15"/>
  <c r="H396" i="15" s="1"/>
  <c r="D397" i="15"/>
  <c r="H397" i="15" s="1"/>
  <c r="D398" i="15"/>
  <c r="H398" i="15" s="1"/>
  <c r="D399" i="15"/>
  <c r="H399" i="15" s="1"/>
  <c r="D400" i="15"/>
  <c r="H400" i="15" s="1"/>
  <c r="D401" i="15"/>
  <c r="H401" i="15" s="1"/>
  <c r="D402" i="15"/>
  <c r="H402" i="15" s="1"/>
  <c r="D403" i="15"/>
  <c r="H403" i="15" s="1"/>
  <c r="D404" i="15"/>
  <c r="H404" i="15" s="1"/>
  <c r="D405" i="15"/>
  <c r="H405" i="15" s="1"/>
  <c r="D406" i="15"/>
  <c r="H406" i="15" s="1"/>
  <c r="D407" i="15"/>
  <c r="H407" i="15" s="1"/>
  <c r="D408" i="15"/>
  <c r="H408" i="15" s="1"/>
  <c r="D409" i="15"/>
  <c r="H409" i="15" s="1"/>
  <c r="D410" i="15"/>
  <c r="H410" i="15" s="1"/>
  <c r="D411" i="15"/>
  <c r="H411" i="15" s="1"/>
  <c r="D412" i="15"/>
  <c r="H412" i="15" s="1"/>
  <c r="D413" i="15"/>
  <c r="H413" i="15" s="1"/>
  <c r="D414" i="15"/>
  <c r="H414" i="15" s="1"/>
  <c r="D415" i="15"/>
  <c r="H415" i="15" s="1"/>
  <c r="D416" i="15"/>
  <c r="H416" i="15" s="1"/>
  <c r="D417" i="15"/>
  <c r="H417" i="15" s="1"/>
  <c r="D418" i="15"/>
  <c r="H418" i="15" s="1"/>
  <c r="D419" i="15"/>
  <c r="H419" i="15" s="1"/>
  <c r="D420" i="15"/>
  <c r="H420" i="15" s="1"/>
  <c r="D421" i="15"/>
  <c r="H421" i="15" s="1"/>
  <c r="D422" i="15"/>
  <c r="H422" i="15" s="1"/>
  <c r="D423" i="15"/>
  <c r="H423" i="15" s="1"/>
  <c r="D424" i="15"/>
  <c r="H424" i="15" s="1"/>
  <c r="D425" i="15"/>
  <c r="H425" i="15" s="1"/>
  <c r="D426" i="15"/>
  <c r="H426" i="15" s="1"/>
  <c r="D427" i="15"/>
  <c r="H427" i="15" s="1"/>
  <c r="D428" i="15"/>
  <c r="H428" i="15" s="1"/>
  <c r="D429" i="15"/>
  <c r="H429" i="15" s="1"/>
  <c r="D430" i="15"/>
  <c r="H430" i="15" s="1"/>
  <c r="D431" i="15"/>
  <c r="H431" i="15" s="1"/>
  <c r="D432" i="15"/>
  <c r="H432" i="15" s="1"/>
  <c r="D433" i="15"/>
  <c r="H433" i="15" s="1"/>
  <c r="D434" i="15"/>
  <c r="H434" i="15" s="1"/>
  <c r="D435" i="15"/>
  <c r="H435" i="15" s="1"/>
  <c r="D436" i="15"/>
  <c r="H436" i="15" s="1"/>
  <c r="D437" i="15"/>
  <c r="H437" i="15" s="1"/>
  <c r="D438" i="15"/>
  <c r="H438" i="15" s="1"/>
  <c r="D439" i="15"/>
  <c r="H439" i="15" s="1"/>
  <c r="D440" i="15"/>
  <c r="H440" i="15" s="1"/>
  <c r="D441" i="15"/>
  <c r="H441" i="15" s="1"/>
  <c r="D442" i="15"/>
  <c r="H442" i="15" s="1"/>
  <c r="D443" i="15"/>
  <c r="H443" i="15" s="1"/>
  <c r="D444" i="15"/>
  <c r="H444" i="15" s="1"/>
  <c r="D445" i="15"/>
  <c r="H445" i="15" s="1"/>
  <c r="D446" i="15"/>
  <c r="H446" i="15" s="1"/>
  <c r="D447" i="15"/>
  <c r="H447" i="15" s="1"/>
  <c r="D448" i="15"/>
  <c r="H448" i="15" s="1"/>
  <c r="D449" i="15"/>
  <c r="H449" i="15" s="1"/>
  <c r="D450" i="15"/>
  <c r="H450" i="15" s="1"/>
  <c r="D451" i="15"/>
  <c r="H451" i="15" s="1"/>
  <c r="D452" i="15"/>
  <c r="H452" i="15" s="1"/>
  <c r="D453" i="15"/>
  <c r="H453" i="15" s="1"/>
  <c r="D454" i="15"/>
  <c r="H454" i="15" s="1"/>
  <c r="D455" i="15"/>
  <c r="H455" i="15" s="1"/>
  <c r="D456" i="15"/>
  <c r="H456" i="15" s="1"/>
  <c r="D457" i="15"/>
  <c r="H457" i="15" s="1"/>
  <c r="D458" i="15"/>
  <c r="H458" i="15" s="1"/>
  <c r="D459" i="15"/>
  <c r="H459" i="15" s="1"/>
  <c r="D460" i="15"/>
  <c r="H460" i="15" s="1"/>
  <c r="D461" i="15"/>
  <c r="H461" i="15" s="1"/>
  <c r="D462" i="15"/>
  <c r="H462" i="15" s="1"/>
  <c r="D463" i="15"/>
  <c r="H463" i="15" s="1"/>
  <c r="D464" i="15"/>
  <c r="H464" i="15" s="1"/>
  <c r="D465" i="15"/>
  <c r="H465" i="15" s="1"/>
  <c r="D466" i="15"/>
  <c r="H466" i="15" s="1"/>
  <c r="D467" i="15"/>
  <c r="H467" i="15" s="1"/>
  <c r="D468" i="15"/>
  <c r="H468" i="15" s="1"/>
  <c r="D469" i="15"/>
  <c r="H469" i="15" s="1"/>
  <c r="D470" i="15"/>
  <c r="H470" i="15" s="1"/>
  <c r="D471" i="15"/>
  <c r="H471" i="15" s="1"/>
  <c r="D472" i="15"/>
  <c r="H472" i="15" s="1"/>
  <c r="D473" i="15"/>
  <c r="H473" i="15" s="1"/>
  <c r="D474" i="15"/>
  <c r="H474" i="15" s="1"/>
  <c r="D475" i="15"/>
  <c r="H475" i="15" s="1"/>
  <c r="D476" i="15"/>
  <c r="H476" i="15" s="1"/>
  <c r="D477" i="15"/>
  <c r="H477" i="15" s="1"/>
  <c r="D478" i="15"/>
  <c r="H478" i="15" s="1"/>
  <c r="D479" i="15"/>
  <c r="H479" i="15" s="1"/>
  <c r="D480" i="15"/>
  <c r="H480" i="15" s="1"/>
  <c r="D481" i="15"/>
  <c r="H481" i="15" s="1"/>
  <c r="D482" i="15"/>
  <c r="H482" i="15" s="1"/>
  <c r="D483" i="15"/>
  <c r="H483" i="15" s="1"/>
  <c r="D484" i="15"/>
  <c r="H484" i="15" s="1"/>
  <c r="D485" i="15"/>
  <c r="H485" i="15" s="1"/>
  <c r="D486" i="15"/>
  <c r="H486" i="15" s="1"/>
  <c r="D487" i="15"/>
  <c r="H487" i="15" s="1"/>
  <c r="D488" i="15"/>
  <c r="H488" i="15" s="1"/>
  <c r="D489" i="15"/>
  <c r="H489" i="15" s="1"/>
  <c r="D490" i="15"/>
  <c r="H490" i="15" s="1"/>
  <c r="D491" i="15"/>
  <c r="H491" i="15" s="1"/>
  <c r="D492" i="15"/>
  <c r="H492" i="15" s="1"/>
  <c r="D493" i="15"/>
  <c r="H493" i="15" s="1"/>
  <c r="D494" i="15"/>
  <c r="H494" i="15" s="1"/>
  <c r="D495" i="15"/>
  <c r="H495" i="15" s="1"/>
  <c r="D496" i="15"/>
  <c r="H496" i="15" s="1"/>
  <c r="D497" i="15"/>
  <c r="D498" i="15"/>
  <c r="H498" i="15" s="1"/>
  <c r="D499" i="15"/>
  <c r="H499" i="15" s="1"/>
  <c r="D500" i="15"/>
  <c r="H500" i="15" s="1"/>
  <c r="D501" i="15"/>
  <c r="H501" i="15" s="1"/>
  <c r="D502" i="15"/>
  <c r="H502" i="15" s="1"/>
  <c r="D503" i="15"/>
  <c r="H503" i="15" s="1"/>
  <c r="D504" i="15"/>
  <c r="H504" i="15" s="1"/>
  <c r="D505" i="15"/>
  <c r="H505" i="15" s="1"/>
  <c r="D506" i="15"/>
  <c r="H506" i="15" s="1"/>
  <c r="D507" i="15"/>
  <c r="H507" i="15" s="1"/>
  <c r="D508" i="15"/>
  <c r="H508" i="15" s="1"/>
  <c r="D509" i="15"/>
  <c r="H509" i="15" s="1"/>
  <c r="D510" i="15"/>
  <c r="H510" i="15" s="1"/>
  <c r="D511" i="15"/>
  <c r="H511" i="15" s="1"/>
  <c r="D512" i="15"/>
  <c r="H512" i="15" s="1"/>
  <c r="D513" i="15"/>
  <c r="H513" i="15" s="1"/>
  <c r="D514" i="15"/>
  <c r="H514" i="15" s="1"/>
  <c r="D515" i="15"/>
  <c r="H515" i="15" s="1"/>
  <c r="D516" i="15"/>
  <c r="H516" i="15" s="1"/>
  <c r="D517" i="15"/>
  <c r="H517" i="15" s="1"/>
  <c r="D518" i="15"/>
  <c r="H518" i="15" s="1"/>
  <c r="D519" i="15"/>
  <c r="H519" i="15" s="1"/>
  <c r="D520" i="15"/>
  <c r="H520" i="15" s="1"/>
  <c r="D521" i="15"/>
  <c r="H521" i="15" s="1"/>
  <c r="D522" i="15"/>
  <c r="H522" i="15" s="1"/>
  <c r="D523" i="15"/>
  <c r="H523" i="15" s="1"/>
  <c r="D524" i="15"/>
  <c r="H524" i="15" s="1"/>
  <c r="D525" i="15"/>
  <c r="H525" i="15" s="1"/>
  <c r="D526" i="15"/>
  <c r="H526" i="15" s="1"/>
  <c r="D527" i="15"/>
  <c r="H527" i="15" s="1"/>
  <c r="D528" i="15"/>
  <c r="H528" i="15" s="1"/>
  <c r="D529" i="15"/>
  <c r="H529" i="15" s="1"/>
  <c r="D530" i="15"/>
  <c r="H530" i="15" s="1"/>
  <c r="D531" i="15"/>
  <c r="H531" i="15" s="1"/>
  <c r="D532" i="15"/>
  <c r="H532" i="15" s="1"/>
  <c r="D533" i="15"/>
  <c r="H533" i="15" s="1"/>
  <c r="D534" i="15"/>
  <c r="H534" i="15" s="1"/>
  <c r="D535" i="15"/>
  <c r="H535" i="15" s="1"/>
  <c r="D536" i="15"/>
  <c r="H536" i="15" s="1"/>
  <c r="D537" i="15"/>
  <c r="H537" i="15" s="1"/>
  <c r="D538" i="15"/>
  <c r="H538" i="15" s="1"/>
  <c r="D539" i="15"/>
  <c r="H539" i="15" s="1"/>
  <c r="D540" i="15"/>
  <c r="H540" i="15" s="1"/>
  <c r="D541" i="15"/>
  <c r="H541" i="15" s="1"/>
  <c r="D542" i="15"/>
  <c r="H542" i="15" s="1"/>
  <c r="D543" i="15"/>
  <c r="H543" i="15" s="1"/>
  <c r="D544" i="15"/>
  <c r="H544" i="15" s="1"/>
  <c r="D545" i="15"/>
  <c r="H545" i="15" s="1"/>
  <c r="D546" i="15"/>
  <c r="H546" i="15" s="1"/>
  <c r="D547" i="15"/>
  <c r="H547" i="15" s="1"/>
  <c r="D548" i="15"/>
  <c r="H548" i="15" s="1"/>
  <c r="D549" i="15"/>
  <c r="H549" i="15" s="1"/>
  <c r="D550" i="15"/>
  <c r="H550" i="15" s="1"/>
  <c r="D551" i="15"/>
  <c r="H551" i="15" s="1"/>
  <c r="D552" i="15"/>
  <c r="H552" i="15" s="1"/>
  <c r="D553" i="15"/>
  <c r="H553" i="15" s="1"/>
  <c r="D554" i="15"/>
  <c r="H554" i="15" s="1"/>
  <c r="D555" i="15"/>
  <c r="H555" i="15" s="1"/>
  <c r="D556" i="15"/>
  <c r="H556" i="15" s="1"/>
  <c r="D557" i="15"/>
  <c r="H557" i="15" s="1"/>
  <c r="D558" i="15"/>
  <c r="H558" i="15" s="1"/>
  <c r="D559" i="15"/>
  <c r="H559" i="15" s="1"/>
  <c r="D560" i="15"/>
  <c r="H560" i="15" s="1"/>
  <c r="D561" i="15"/>
  <c r="H561" i="15" s="1"/>
  <c r="D562" i="15"/>
  <c r="H562" i="15" s="1"/>
  <c r="D563" i="15"/>
  <c r="H563" i="15" s="1"/>
  <c r="D564" i="15"/>
  <c r="H564" i="15" s="1"/>
  <c r="D565" i="15"/>
  <c r="H565" i="15" s="1"/>
  <c r="D566" i="15"/>
  <c r="H566" i="15" s="1"/>
  <c r="D567" i="15"/>
  <c r="H567" i="15" s="1"/>
  <c r="D568" i="15"/>
  <c r="H568" i="15" s="1"/>
  <c r="D569" i="15"/>
  <c r="H569" i="15" s="1"/>
  <c r="D570" i="15"/>
  <c r="H570" i="15" s="1"/>
  <c r="D571" i="15"/>
  <c r="H571" i="15" s="1"/>
  <c r="D572" i="15"/>
  <c r="H572" i="15" s="1"/>
  <c r="D573" i="15"/>
  <c r="H573" i="15" s="1"/>
  <c r="D574" i="15"/>
  <c r="H574" i="15" s="1"/>
  <c r="D575" i="15"/>
  <c r="H575" i="15" s="1"/>
  <c r="D576" i="15"/>
  <c r="H576" i="15" s="1"/>
  <c r="D577" i="15"/>
  <c r="H577" i="15" s="1"/>
  <c r="D578" i="15"/>
  <c r="H578" i="15" s="1"/>
  <c r="D579" i="15"/>
  <c r="H579" i="15" s="1"/>
  <c r="D580" i="15"/>
  <c r="H580" i="15" s="1"/>
  <c r="D581" i="15"/>
  <c r="H581" i="15" s="1"/>
  <c r="D582" i="15"/>
  <c r="H582" i="15" s="1"/>
  <c r="D583" i="15"/>
  <c r="H583" i="15" s="1"/>
  <c r="D584" i="15"/>
  <c r="H584" i="15" s="1"/>
  <c r="D585" i="15"/>
  <c r="D586" i="15"/>
  <c r="H586" i="15" s="1"/>
  <c r="D587" i="15"/>
  <c r="H587" i="15" s="1"/>
  <c r="D588" i="15"/>
  <c r="H588" i="15" s="1"/>
  <c r="D589" i="15"/>
  <c r="H589" i="15" s="1"/>
  <c r="D590" i="15"/>
  <c r="H590" i="15" s="1"/>
  <c r="D591" i="15"/>
  <c r="H591" i="15" s="1"/>
  <c r="D592" i="15"/>
  <c r="H592" i="15" s="1"/>
  <c r="D593" i="15"/>
  <c r="H593" i="15" s="1"/>
  <c r="D594" i="15"/>
  <c r="H594" i="15" s="1"/>
  <c r="D595" i="15"/>
  <c r="H595" i="15" s="1"/>
  <c r="D596" i="15"/>
  <c r="H596" i="15" s="1"/>
  <c r="D597" i="15"/>
  <c r="H597" i="15" s="1"/>
  <c r="D598" i="15"/>
  <c r="H598" i="15" s="1"/>
  <c r="D599" i="15"/>
  <c r="H599" i="15" s="1"/>
  <c r="D600" i="15"/>
  <c r="H600" i="15" s="1"/>
  <c r="D601" i="15"/>
  <c r="H601" i="15" s="1"/>
  <c r="D602" i="15"/>
  <c r="H602" i="15" s="1"/>
  <c r="D603" i="15"/>
  <c r="H603" i="15" s="1"/>
  <c r="D604" i="15"/>
  <c r="H604" i="15" s="1"/>
  <c r="D605" i="15"/>
  <c r="H605" i="15" s="1"/>
  <c r="D606" i="15"/>
  <c r="H606" i="15" s="1"/>
  <c r="D607" i="15"/>
  <c r="H607" i="15" s="1"/>
  <c r="D608" i="15"/>
  <c r="H608" i="15" s="1"/>
  <c r="D609" i="15"/>
  <c r="H609" i="15" s="1"/>
  <c r="D610" i="15"/>
  <c r="H610" i="15" s="1"/>
  <c r="D611" i="15"/>
  <c r="H611" i="15" s="1"/>
  <c r="D612" i="15"/>
  <c r="H612" i="15" s="1"/>
  <c r="D613" i="15"/>
  <c r="H613" i="15" s="1"/>
  <c r="D614" i="15"/>
  <c r="H614" i="15" s="1"/>
  <c r="D615" i="15"/>
  <c r="H615" i="15" s="1"/>
  <c r="D616" i="15"/>
  <c r="H616" i="15" s="1"/>
  <c r="D617" i="15"/>
  <c r="H617" i="15" s="1"/>
  <c r="D618" i="15"/>
  <c r="H618" i="15" s="1"/>
  <c r="D619" i="15"/>
  <c r="H619" i="15" s="1"/>
  <c r="D620" i="15"/>
  <c r="H620" i="15" s="1"/>
  <c r="D621" i="15"/>
  <c r="H621" i="15" s="1"/>
  <c r="D622" i="15"/>
  <c r="H622" i="15" s="1"/>
  <c r="D623" i="15"/>
  <c r="H623" i="15" s="1"/>
  <c r="D624" i="15"/>
  <c r="H624" i="15" s="1"/>
  <c r="D625" i="15"/>
  <c r="H625" i="15" s="1"/>
  <c r="D626" i="15"/>
  <c r="H626" i="15" s="1"/>
  <c r="D627" i="15"/>
  <c r="H627" i="15" s="1"/>
  <c r="D628" i="15"/>
  <c r="H628" i="15" s="1"/>
  <c r="D629" i="15"/>
  <c r="H629" i="15" s="1"/>
  <c r="D630" i="15"/>
  <c r="H630" i="15" s="1"/>
  <c r="D631" i="15"/>
  <c r="H631" i="15" s="1"/>
  <c r="D632" i="15"/>
  <c r="H632" i="15" s="1"/>
  <c r="D633" i="15"/>
  <c r="H633" i="15" s="1"/>
  <c r="D634" i="15"/>
  <c r="H634" i="15" s="1"/>
  <c r="D635" i="15"/>
  <c r="H635" i="15" s="1"/>
  <c r="D636" i="15"/>
  <c r="H636" i="15" s="1"/>
  <c r="D637" i="15"/>
  <c r="H637" i="15" s="1"/>
  <c r="D638" i="15"/>
  <c r="H638" i="15" s="1"/>
  <c r="D639" i="15"/>
  <c r="H639" i="15" s="1"/>
  <c r="D640" i="15"/>
  <c r="H640" i="15" s="1"/>
  <c r="D641" i="15"/>
  <c r="H641" i="15" s="1"/>
  <c r="D642" i="15"/>
  <c r="H642" i="15" s="1"/>
  <c r="D643" i="15"/>
  <c r="H643" i="15" s="1"/>
  <c r="D644" i="15"/>
  <c r="H644" i="15" s="1"/>
  <c r="D645" i="15"/>
  <c r="H645" i="15" s="1"/>
  <c r="D646" i="15"/>
  <c r="H646" i="15" s="1"/>
  <c r="D647" i="15"/>
  <c r="H647" i="15" s="1"/>
  <c r="D648" i="15"/>
  <c r="H648" i="15" s="1"/>
  <c r="D649" i="15"/>
  <c r="H649" i="15" s="1"/>
  <c r="D650" i="15"/>
  <c r="H650" i="15" s="1"/>
  <c r="D651" i="15"/>
  <c r="H651" i="15" s="1"/>
  <c r="D652" i="15"/>
  <c r="H652" i="15" s="1"/>
  <c r="D653" i="15"/>
  <c r="H653" i="15" s="1"/>
  <c r="D654" i="15"/>
  <c r="H654" i="15" s="1"/>
  <c r="D655" i="15"/>
  <c r="H655" i="15" s="1"/>
  <c r="D656" i="15"/>
  <c r="H656" i="15" s="1"/>
  <c r="D657" i="15"/>
  <c r="H657" i="15" s="1"/>
  <c r="D658" i="15"/>
  <c r="H658" i="15" s="1"/>
  <c r="D659" i="15"/>
  <c r="H659" i="15" s="1"/>
  <c r="D660" i="15"/>
  <c r="H660" i="15" s="1"/>
  <c r="D661" i="15"/>
  <c r="H661" i="15" s="1"/>
  <c r="D662" i="15"/>
  <c r="H662" i="15" s="1"/>
  <c r="D663" i="15"/>
  <c r="H663" i="15" s="1"/>
  <c r="D664" i="15"/>
  <c r="H664" i="15" s="1"/>
  <c r="D665" i="15"/>
  <c r="H665" i="15" s="1"/>
  <c r="D666" i="15"/>
  <c r="H666" i="15" s="1"/>
  <c r="D667" i="15"/>
  <c r="H667" i="15" s="1"/>
  <c r="D668" i="15"/>
  <c r="H668" i="15" s="1"/>
  <c r="D669" i="15"/>
  <c r="H669" i="15" s="1"/>
  <c r="D670" i="15"/>
  <c r="H670" i="15" s="1"/>
  <c r="D671" i="15"/>
  <c r="H671" i="15" s="1"/>
  <c r="D672" i="15"/>
  <c r="H672" i="15" s="1"/>
  <c r="D673" i="15"/>
  <c r="H673" i="15" s="1"/>
  <c r="D674" i="15"/>
  <c r="H674" i="15" s="1"/>
  <c r="D675" i="15"/>
  <c r="H675" i="15" s="1"/>
  <c r="D676" i="15"/>
  <c r="H676" i="15" s="1"/>
  <c r="D677" i="15"/>
  <c r="H677" i="15" s="1"/>
  <c r="D678" i="15"/>
  <c r="H678" i="15" s="1"/>
  <c r="D679" i="15"/>
  <c r="H679" i="15" s="1"/>
  <c r="D680" i="15"/>
  <c r="H680" i="15" s="1"/>
  <c r="D681" i="15"/>
  <c r="H681" i="15" s="1"/>
  <c r="D682" i="15"/>
  <c r="H682" i="15" s="1"/>
  <c r="D683" i="15"/>
  <c r="H683" i="15" s="1"/>
  <c r="D684" i="15"/>
  <c r="H684" i="15" s="1"/>
  <c r="D685" i="15"/>
  <c r="H685" i="15" s="1"/>
  <c r="D686" i="15"/>
  <c r="H686" i="15" s="1"/>
  <c r="D687" i="15"/>
  <c r="H687" i="15" s="1"/>
  <c r="D688" i="15"/>
  <c r="H688" i="15" s="1"/>
  <c r="D689" i="15"/>
  <c r="H689" i="15" s="1"/>
  <c r="D690" i="15"/>
  <c r="H690" i="15" s="1"/>
  <c r="D691" i="15"/>
  <c r="H691" i="15" s="1"/>
  <c r="D692" i="15"/>
  <c r="H692" i="15" s="1"/>
  <c r="D693" i="15"/>
  <c r="H693" i="15" s="1"/>
  <c r="D694" i="15"/>
  <c r="H694" i="15" s="1"/>
  <c r="D695" i="15"/>
  <c r="H695" i="15" s="1"/>
  <c r="D696" i="15"/>
  <c r="H696" i="15" s="1"/>
  <c r="D697" i="15"/>
  <c r="H697" i="15" s="1"/>
  <c r="D698" i="15"/>
  <c r="H698" i="15" s="1"/>
  <c r="D699" i="15"/>
  <c r="H699" i="15" s="1"/>
  <c r="D700" i="15"/>
  <c r="H700" i="15" s="1"/>
  <c r="D701" i="15"/>
  <c r="H701" i="15" s="1"/>
  <c r="D702" i="15"/>
  <c r="H702" i="15" s="1"/>
  <c r="D703" i="15"/>
  <c r="H703" i="15" s="1"/>
  <c r="D704" i="15"/>
  <c r="H704" i="15" s="1"/>
  <c r="D705" i="15"/>
  <c r="H705" i="15" s="1"/>
  <c r="D706" i="15"/>
  <c r="H706" i="15" s="1"/>
  <c r="D707" i="15"/>
  <c r="H707" i="15" s="1"/>
  <c r="D708" i="15"/>
  <c r="H708" i="15" s="1"/>
  <c r="D709" i="15"/>
  <c r="H709" i="15" s="1"/>
  <c r="D710" i="15"/>
  <c r="H710" i="15" s="1"/>
  <c r="D711" i="15"/>
  <c r="H711" i="15" s="1"/>
  <c r="D712" i="15"/>
  <c r="H712" i="15" s="1"/>
  <c r="D713" i="15"/>
  <c r="H713" i="15" s="1"/>
  <c r="D714" i="15"/>
  <c r="H714" i="15" s="1"/>
  <c r="D715" i="15"/>
  <c r="H715" i="15" s="1"/>
  <c r="D716" i="15"/>
  <c r="H716" i="15" s="1"/>
  <c r="D717" i="15"/>
  <c r="H717" i="15" s="1"/>
  <c r="D718" i="15"/>
  <c r="H718" i="15" s="1"/>
  <c r="D719" i="15"/>
  <c r="H719" i="15" s="1"/>
  <c r="D720" i="15"/>
  <c r="H720" i="15" s="1"/>
  <c r="D721" i="15"/>
  <c r="H721" i="15" s="1"/>
  <c r="D722" i="15"/>
  <c r="H722" i="15" s="1"/>
  <c r="D723" i="15"/>
  <c r="H723" i="15" s="1"/>
  <c r="D724" i="15"/>
  <c r="H724" i="15" s="1"/>
  <c r="D725" i="15"/>
  <c r="H725" i="15" s="1"/>
  <c r="D726" i="15"/>
  <c r="H726" i="15" s="1"/>
  <c r="D727" i="15"/>
  <c r="H727" i="15" s="1"/>
  <c r="D728" i="15"/>
  <c r="H728" i="15" s="1"/>
  <c r="D729" i="15"/>
  <c r="H729" i="15" s="1"/>
  <c r="D730" i="15"/>
  <c r="H730" i="15" s="1"/>
  <c r="D731" i="15"/>
  <c r="H731" i="15" s="1"/>
  <c r="D732" i="15"/>
  <c r="H732" i="15" s="1"/>
  <c r="D733" i="15"/>
  <c r="H733" i="15" s="1"/>
  <c r="D734" i="15"/>
  <c r="H734" i="15" s="1"/>
  <c r="D735" i="15"/>
  <c r="H735" i="15" s="1"/>
  <c r="D736" i="15"/>
  <c r="H736" i="15" s="1"/>
  <c r="D737" i="15"/>
  <c r="H737" i="15" s="1"/>
  <c r="D738" i="15"/>
  <c r="H738" i="15" s="1"/>
  <c r="D739" i="15"/>
  <c r="H739" i="15" s="1"/>
  <c r="D740" i="15"/>
  <c r="H740" i="15" s="1"/>
  <c r="D741" i="15"/>
  <c r="H741" i="15" s="1"/>
  <c r="D742" i="15"/>
  <c r="H742" i="15" s="1"/>
  <c r="D743" i="15"/>
  <c r="H743" i="15" s="1"/>
  <c r="D744" i="15"/>
  <c r="H744" i="15" s="1"/>
  <c r="D745" i="15"/>
  <c r="H745" i="15" s="1"/>
  <c r="D746" i="15"/>
  <c r="H746" i="15" s="1"/>
  <c r="D747" i="15"/>
  <c r="H747" i="15" s="1"/>
  <c r="D748" i="15"/>
  <c r="H748" i="15" s="1"/>
  <c r="D749" i="15"/>
  <c r="H749" i="15" s="1"/>
  <c r="D750" i="15"/>
  <c r="H750" i="15" s="1"/>
  <c r="D751" i="15"/>
  <c r="H751" i="15" s="1"/>
  <c r="D752" i="15"/>
  <c r="H752" i="15" s="1"/>
  <c r="D753" i="15"/>
  <c r="H753" i="15" s="1"/>
  <c r="D754" i="15"/>
  <c r="H754" i="15" s="1"/>
  <c r="D755" i="15"/>
  <c r="H755" i="15" s="1"/>
  <c r="D756" i="15"/>
  <c r="H756" i="15" s="1"/>
  <c r="D757" i="15"/>
  <c r="H757" i="15" s="1"/>
  <c r="D758" i="15"/>
  <c r="H758" i="15" s="1"/>
  <c r="D759" i="15"/>
  <c r="H759" i="15" s="1"/>
  <c r="D760" i="15"/>
  <c r="H760" i="15" s="1"/>
  <c r="D761" i="15"/>
  <c r="H761" i="15" s="1"/>
  <c r="D762" i="15"/>
  <c r="H762" i="15" s="1"/>
  <c r="D763" i="15"/>
  <c r="H763" i="15" s="1"/>
  <c r="D764" i="15"/>
  <c r="H764" i="15" s="1"/>
  <c r="D765" i="15"/>
  <c r="H765" i="15" s="1"/>
  <c r="D766" i="15"/>
  <c r="H766" i="15" s="1"/>
  <c r="D767" i="15"/>
  <c r="H767" i="15" s="1"/>
  <c r="D768" i="15"/>
  <c r="H768" i="15" s="1"/>
  <c r="D769" i="15"/>
  <c r="H769" i="15" s="1"/>
  <c r="D770" i="15"/>
  <c r="H770" i="15" s="1"/>
  <c r="D771" i="15"/>
  <c r="H771" i="15" s="1"/>
  <c r="D772" i="15"/>
  <c r="H772" i="15" s="1"/>
  <c r="D773" i="15"/>
  <c r="H773" i="15" s="1"/>
  <c r="D774" i="15"/>
  <c r="H774" i="15" s="1"/>
  <c r="D775" i="15"/>
  <c r="H775" i="15" s="1"/>
  <c r="D776" i="15"/>
  <c r="H776" i="15" s="1"/>
  <c r="D777" i="15"/>
  <c r="H777" i="15" s="1"/>
  <c r="D778" i="15"/>
  <c r="H778" i="15" s="1"/>
  <c r="D779" i="15"/>
  <c r="H779" i="15" s="1"/>
  <c r="D780" i="15"/>
  <c r="H780" i="15" s="1"/>
  <c r="D781" i="15"/>
  <c r="H781" i="15" s="1"/>
  <c r="D782" i="15"/>
  <c r="H782" i="15" s="1"/>
  <c r="D783" i="15"/>
  <c r="H783" i="15" s="1"/>
  <c r="D784" i="15"/>
  <c r="H784" i="15" s="1"/>
  <c r="D785" i="15"/>
  <c r="H785" i="15" s="1"/>
  <c r="D786" i="15"/>
  <c r="H786" i="15" s="1"/>
  <c r="D787" i="15"/>
  <c r="H787" i="15" s="1"/>
  <c r="D788" i="15"/>
  <c r="H788" i="15" s="1"/>
  <c r="D789" i="15"/>
  <c r="H789" i="15" s="1"/>
  <c r="D790" i="15"/>
  <c r="H790" i="15" s="1"/>
  <c r="D791" i="15"/>
  <c r="H791" i="15" s="1"/>
  <c r="D792" i="15"/>
  <c r="H792" i="15" s="1"/>
  <c r="D793" i="15"/>
  <c r="H793" i="15" s="1"/>
  <c r="D794" i="15"/>
  <c r="H794" i="15" s="1"/>
  <c r="D795" i="15"/>
  <c r="H795" i="15" s="1"/>
  <c r="D796" i="15"/>
  <c r="H796" i="15" s="1"/>
  <c r="D797" i="15"/>
  <c r="H797" i="15" s="1"/>
  <c r="D798" i="15"/>
  <c r="H798" i="15" s="1"/>
  <c r="D799" i="15"/>
  <c r="H799" i="15" s="1"/>
  <c r="D800" i="15"/>
  <c r="H800" i="15" s="1"/>
  <c r="D801" i="15"/>
  <c r="H801" i="15" s="1"/>
  <c r="D802" i="15"/>
  <c r="H802" i="15" s="1"/>
  <c r="D803" i="15"/>
  <c r="H803" i="15" s="1"/>
  <c r="D804" i="15"/>
  <c r="H804" i="15" s="1"/>
  <c r="D805" i="15"/>
  <c r="H805" i="15" s="1"/>
  <c r="D806" i="15"/>
  <c r="H806" i="15" s="1"/>
  <c r="D807" i="15"/>
  <c r="H807" i="15" s="1"/>
  <c r="D808" i="15"/>
  <c r="H808" i="15" s="1"/>
  <c r="D809" i="15"/>
  <c r="H809" i="15" s="1"/>
  <c r="D810" i="15"/>
  <c r="H810" i="15" s="1"/>
  <c r="D811" i="15"/>
  <c r="H811" i="15" s="1"/>
  <c r="D812" i="15"/>
  <c r="H812" i="15" s="1"/>
  <c r="D813" i="15"/>
  <c r="H813" i="15" s="1"/>
  <c r="D814" i="15"/>
  <c r="H814" i="15" s="1"/>
  <c r="D815" i="15"/>
  <c r="H815" i="15" s="1"/>
  <c r="D816" i="15"/>
  <c r="H816" i="15" s="1"/>
  <c r="D817" i="15"/>
  <c r="H817" i="15" s="1"/>
  <c r="D818" i="15"/>
  <c r="H818" i="15" s="1"/>
  <c r="D819" i="15"/>
  <c r="H819" i="15" s="1"/>
  <c r="D820" i="15"/>
  <c r="H820" i="15" s="1"/>
  <c r="D821" i="15"/>
  <c r="H821" i="15" s="1"/>
  <c r="D822" i="15"/>
  <c r="H822" i="15" s="1"/>
  <c r="D823" i="15"/>
  <c r="H823" i="15" s="1"/>
  <c r="D824" i="15"/>
  <c r="H824" i="15" s="1"/>
  <c r="D825" i="15"/>
  <c r="H825" i="15" s="1"/>
  <c r="D826" i="15"/>
  <c r="H826" i="15" s="1"/>
  <c r="D827" i="15"/>
  <c r="H827" i="15" s="1"/>
  <c r="D828" i="15"/>
  <c r="H828" i="15" s="1"/>
  <c r="D829" i="15"/>
  <c r="H829" i="15" s="1"/>
  <c r="D830" i="15"/>
  <c r="H830" i="15" s="1"/>
  <c r="D831" i="15"/>
  <c r="H831" i="15" s="1"/>
  <c r="D832" i="15"/>
  <c r="H832" i="15" s="1"/>
  <c r="D833" i="15"/>
  <c r="H833" i="15" s="1"/>
  <c r="D834" i="15"/>
  <c r="H834" i="15" s="1"/>
  <c r="D835" i="15"/>
  <c r="H835" i="15" s="1"/>
  <c r="D836" i="15"/>
  <c r="H836" i="15" s="1"/>
  <c r="D837" i="15"/>
  <c r="H837" i="15" s="1"/>
  <c r="D838" i="15"/>
  <c r="H838" i="15" s="1"/>
  <c r="D839" i="15"/>
  <c r="H839" i="15" s="1"/>
  <c r="D840" i="15"/>
  <c r="H840" i="15" s="1"/>
  <c r="D841" i="15"/>
  <c r="H841" i="15" s="1"/>
  <c r="D842" i="15"/>
  <c r="H842" i="15" s="1"/>
  <c r="D843" i="15"/>
  <c r="H843" i="15" s="1"/>
  <c r="D844" i="15"/>
  <c r="H844" i="15" s="1"/>
  <c r="D845" i="15"/>
  <c r="H845" i="15" s="1"/>
  <c r="D846" i="15"/>
  <c r="H846" i="15" s="1"/>
  <c r="D847" i="15"/>
  <c r="H847" i="15" s="1"/>
  <c r="D848" i="15"/>
  <c r="H848" i="15" s="1"/>
  <c r="D849" i="15"/>
  <c r="H849" i="15" s="1"/>
  <c r="D850" i="15"/>
  <c r="H850" i="15" s="1"/>
  <c r="D851" i="15"/>
  <c r="H851" i="15" s="1"/>
  <c r="D852" i="15"/>
  <c r="H852" i="15" s="1"/>
  <c r="D853" i="15"/>
  <c r="H853" i="15" s="1"/>
  <c r="D854" i="15"/>
  <c r="H854" i="15" s="1"/>
  <c r="D855" i="15"/>
  <c r="H855" i="15" s="1"/>
  <c r="D856" i="15"/>
  <c r="H856" i="15" s="1"/>
  <c r="D857" i="15"/>
  <c r="H857" i="15" s="1"/>
  <c r="D858" i="15"/>
  <c r="H858" i="15" s="1"/>
  <c r="D859" i="15"/>
  <c r="H859" i="15" s="1"/>
  <c r="D860" i="15"/>
  <c r="H860" i="15" s="1"/>
  <c r="D861" i="15"/>
  <c r="H861" i="15" s="1"/>
  <c r="D862" i="15"/>
  <c r="H862" i="15" s="1"/>
  <c r="D863" i="15"/>
  <c r="H863" i="15" s="1"/>
  <c r="D864" i="15"/>
  <c r="H864" i="15" s="1"/>
  <c r="D865" i="15"/>
  <c r="H865" i="15" s="1"/>
  <c r="D866" i="15"/>
  <c r="H866" i="15" s="1"/>
  <c r="D867" i="15"/>
  <c r="H867" i="15" s="1"/>
  <c r="D868" i="15"/>
  <c r="H868" i="15" s="1"/>
  <c r="D869" i="15"/>
  <c r="H869" i="15" s="1"/>
  <c r="D870" i="15"/>
  <c r="H870" i="15" s="1"/>
  <c r="D871" i="15"/>
  <c r="H871" i="15" s="1"/>
  <c r="D872" i="15"/>
  <c r="H872" i="15" s="1"/>
  <c r="D873" i="15"/>
  <c r="H873" i="15" s="1"/>
  <c r="D874" i="15"/>
  <c r="H874" i="15" s="1"/>
  <c r="D875" i="15"/>
  <c r="H875" i="15" s="1"/>
  <c r="D876" i="15"/>
  <c r="H876" i="15" s="1"/>
  <c r="D877" i="15"/>
  <c r="H877" i="15" s="1"/>
  <c r="D878" i="15"/>
  <c r="H878" i="15" s="1"/>
  <c r="D879" i="15"/>
  <c r="H879" i="15" s="1"/>
  <c r="D880" i="15"/>
  <c r="H880" i="15" s="1"/>
  <c r="D881" i="15"/>
  <c r="H881" i="15" s="1"/>
  <c r="D882" i="15"/>
  <c r="H882" i="15" s="1"/>
  <c r="D883" i="15"/>
  <c r="H883" i="15" s="1"/>
  <c r="D884" i="15"/>
  <c r="H884" i="15" s="1"/>
  <c r="D885" i="15"/>
  <c r="H885" i="15" s="1"/>
  <c r="D886" i="15"/>
  <c r="H886" i="15" s="1"/>
  <c r="D887" i="15"/>
  <c r="H887" i="15" s="1"/>
  <c r="D888" i="15"/>
  <c r="H888" i="15" s="1"/>
  <c r="D889" i="15"/>
  <c r="H889" i="15" s="1"/>
  <c r="D890" i="15"/>
  <c r="H890" i="15" s="1"/>
  <c r="D891" i="15"/>
  <c r="H891" i="15" s="1"/>
  <c r="D892" i="15"/>
  <c r="H892" i="15" s="1"/>
  <c r="D893" i="15"/>
  <c r="H893" i="15" s="1"/>
  <c r="D894" i="15"/>
  <c r="H894" i="15" s="1"/>
  <c r="D895" i="15"/>
  <c r="H895" i="15" s="1"/>
  <c r="D896" i="15"/>
  <c r="H896" i="15" s="1"/>
  <c r="D897" i="15"/>
  <c r="H897" i="15" s="1"/>
  <c r="D898" i="15"/>
  <c r="H898" i="15" s="1"/>
  <c r="D899" i="15"/>
  <c r="H899" i="15" s="1"/>
  <c r="D900" i="15"/>
  <c r="H900" i="15" s="1"/>
  <c r="D901" i="15"/>
  <c r="H901" i="15" s="1"/>
  <c r="D902" i="15"/>
  <c r="H902" i="15" s="1"/>
  <c r="D903" i="15"/>
  <c r="H903" i="15" s="1"/>
  <c r="D904" i="15"/>
  <c r="H904" i="15" s="1"/>
  <c r="D905" i="15"/>
  <c r="H905" i="15" s="1"/>
  <c r="D906" i="15"/>
  <c r="H906" i="15" s="1"/>
  <c r="D907" i="15"/>
  <c r="H907" i="15" s="1"/>
  <c r="D908" i="15"/>
  <c r="H908" i="15" s="1"/>
  <c r="D909" i="15"/>
  <c r="H909" i="15" s="1"/>
  <c r="D910" i="15"/>
  <c r="H910" i="15" s="1"/>
  <c r="D911" i="15"/>
  <c r="H911" i="15" s="1"/>
  <c r="D912" i="15"/>
  <c r="H912" i="15" s="1"/>
  <c r="D913" i="15"/>
  <c r="H913" i="15" s="1"/>
  <c r="D914" i="15"/>
  <c r="H914" i="15" s="1"/>
  <c r="D915" i="15"/>
  <c r="H915" i="15" s="1"/>
  <c r="D916" i="15"/>
  <c r="H916" i="15" s="1"/>
  <c r="D917" i="15"/>
  <c r="H917" i="15" s="1"/>
  <c r="D918" i="15"/>
  <c r="H918" i="15" s="1"/>
  <c r="D919" i="15"/>
  <c r="H919" i="15" s="1"/>
  <c r="D920" i="15"/>
  <c r="H920" i="15" s="1"/>
  <c r="D921" i="15"/>
  <c r="H921" i="15" s="1"/>
  <c r="D922" i="15"/>
  <c r="H922" i="15" s="1"/>
  <c r="D923" i="15"/>
  <c r="H923" i="15" s="1"/>
  <c r="D924" i="15"/>
  <c r="H924" i="15" s="1"/>
  <c r="D925" i="15"/>
  <c r="H925" i="15" s="1"/>
  <c r="D926" i="15"/>
  <c r="H926" i="15" s="1"/>
  <c r="D927" i="15"/>
  <c r="H927" i="15" s="1"/>
  <c r="D928" i="15"/>
  <c r="H928" i="15" s="1"/>
  <c r="D929" i="15"/>
  <c r="H929" i="15" s="1"/>
  <c r="D930" i="15"/>
  <c r="H930" i="15" s="1"/>
  <c r="D931" i="15"/>
  <c r="H931" i="15" s="1"/>
  <c r="D932" i="15"/>
  <c r="H932" i="15" s="1"/>
  <c r="D933" i="15"/>
  <c r="H933" i="15" s="1"/>
  <c r="D934" i="15"/>
  <c r="H934" i="15" s="1"/>
  <c r="D935" i="15"/>
  <c r="H935" i="15" s="1"/>
  <c r="D936" i="15"/>
  <c r="H936" i="15" s="1"/>
  <c r="D937" i="15"/>
  <c r="H937" i="15" s="1"/>
  <c r="D938" i="15"/>
  <c r="H938" i="15" s="1"/>
  <c r="D939" i="15"/>
  <c r="H939" i="15" s="1"/>
  <c r="D940" i="15"/>
  <c r="H940" i="15" s="1"/>
  <c r="D941" i="15"/>
  <c r="H941" i="15" s="1"/>
  <c r="D942" i="15"/>
  <c r="H942" i="15" s="1"/>
  <c r="D943" i="15"/>
  <c r="H943" i="15" s="1"/>
  <c r="D944" i="15"/>
  <c r="H944" i="15" s="1"/>
  <c r="D945" i="15"/>
  <c r="H945" i="15" s="1"/>
  <c r="D946" i="15"/>
  <c r="H946" i="15" s="1"/>
  <c r="D947" i="15"/>
  <c r="H947" i="15" s="1"/>
  <c r="D948" i="15"/>
  <c r="H948" i="15" s="1"/>
  <c r="D949" i="15"/>
  <c r="H949" i="15" s="1"/>
  <c r="D950" i="15"/>
  <c r="H950" i="15" s="1"/>
  <c r="D951" i="15"/>
  <c r="H951" i="15" s="1"/>
  <c r="D952" i="15"/>
  <c r="H952" i="15" s="1"/>
  <c r="D953" i="15"/>
  <c r="H953" i="15" s="1"/>
  <c r="D954" i="15"/>
  <c r="D955" i="15"/>
  <c r="H955" i="15" s="1"/>
  <c r="D956" i="15"/>
  <c r="H956" i="15" s="1"/>
  <c r="D957" i="15"/>
  <c r="H957" i="15" s="1"/>
  <c r="D958" i="15"/>
  <c r="H958" i="15" s="1"/>
  <c r="D959" i="15"/>
  <c r="H959" i="15" s="1"/>
  <c r="D960" i="15"/>
  <c r="H960" i="15" s="1"/>
  <c r="D961" i="15"/>
  <c r="H961" i="15" s="1"/>
  <c r="D962" i="15"/>
  <c r="H962" i="15" s="1"/>
  <c r="D963" i="15"/>
  <c r="H963" i="15" s="1"/>
  <c r="D964" i="15"/>
  <c r="H964" i="15" s="1"/>
  <c r="D965" i="15"/>
  <c r="H965" i="15" s="1"/>
  <c r="D966" i="15"/>
  <c r="H966" i="15" s="1"/>
  <c r="D967" i="15"/>
  <c r="H967" i="15" s="1"/>
  <c r="D968" i="15"/>
  <c r="H968" i="15" s="1"/>
  <c r="D969" i="15"/>
  <c r="H969" i="15" s="1"/>
  <c r="D970" i="15"/>
  <c r="H970" i="15" s="1"/>
  <c r="D971" i="15"/>
  <c r="H971" i="15" s="1"/>
  <c r="D972" i="15"/>
  <c r="H972" i="15" s="1"/>
  <c r="D973" i="15"/>
  <c r="H973" i="15" s="1"/>
  <c r="D974" i="15"/>
  <c r="H974" i="15" s="1"/>
  <c r="D975" i="15"/>
  <c r="H975" i="15" s="1"/>
  <c r="D976" i="15"/>
  <c r="H976" i="15" s="1"/>
  <c r="D977" i="15"/>
  <c r="H977" i="15" s="1"/>
  <c r="D978" i="15"/>
  <c r="H978" i="15" s="1"/>
  <c r="D979" i="15"/>
  <c r="H979" i="15" s="1"/>
  <c r="D980" i="15"/>
  <c r="H980" i="15" s="1"/>
  <c r="D981" i="15"/>
  <c r="H981" i="15" s="1"/>
  <c r="D982" i="15"/>
  <c r="H982" i="15" s="1"/>
  <c r="D983" i="15"/>
  <c r="H983" i="15" s="1"/>
  <c r="D984" i="15"/>
  <c r="H984" i="15" s="1"/>
  <c r="D985" i="15"/>
  <c r="H985" i="15" s="1"/>
  <c r="D986" i="15"/>
  <c r="H986" i="15" s="1"/>
  <c r="D987" i="15"/>
  <c r="H987" i="15" s="1"/>
  <c r="D988" i="15"/>
  <c r="H988" i="15" s="1"/>
  <c r="D989" i="15"/>
  <c r="H989" i="15" s="1"/>
  <c r="D990" i="15"/>
  <c r="H990" i="15" s="1"/>
  <c r="D991" i="15"/>
  <c r="H991" i="15" s="1"/>
  <c r="D992" i="15"/>
  <c r="H992" i="15" s="1"/>
  <c r="D993" i="15"/>
  <c r="H993" i="15" s="1"/>
  <c r="D994" i="15"/>
  <c r="H994" i="15" s="1"/>
  <c r="D995" i="15"/>
  <c r="H995" i="15" s="1"/>
  <c r="D996" i="15"/>
  <c r="H996" i="15" s="1"/>
  <c r="D997" i="15"/>
  <c r="H997" i="15" s="1"/>
  <c r="D998" i="15"/>
  <c r="H998" i="15" s="1"/>
  <c r="D999" i="15"/>
  <c r="H999" i="15" s="1"/>
  <c r="D1000" i="15"/>
  <c r="H1000" i="15" s="1"/>
  <c r="D1001" i="15"/>
  <c r="H1001" i="15" s="1"/>
  <c r="D1002" i="15"/>
  <c r="H1002" i="15" s="1"/>
  <c r="D1003" i="15"/>
  <c r="H1003" i="15" s="1"/>
  <c r="D1004" i="15"/>
  <c r="H1004" i="15" s="1"/>
  <c r="D1005" i="15"/>
  <c r="H1005" i="15" s="1"/>
  <c r="D1006" i="15"/>
  <c r="H1006" i="15" s="1"/>
  <c r="D1007" i="15"/>
  <c r="D1008" i="15"/>
  <c r="H1008" i="15" s="1"/>
  <c r="D1009" i="15"/>
  <c r="H1009" i="15" s="1"/>
  <c r="D1010" i="15"/>
  <c r="H1010" i="15" s="1"/>
  <c r="D1011" i="15"/>
  <c r="H1011" i="15" s="1"/>
  <c r="D1012" i="15"/>
  <c r="H1012" i="15" s="1"/>
  <c r="D1013" i="15"/>
  <c r="H1013" i="15" s="1"/>
  <c r="D1014" i="15"/>
  <c r="H1014" i="15" s="1"/>
  <c r="D1015" i="15"/>
  <c r="H1015" i="15" s="1"/>
  <c r="D1016" i="15"/>
  <c r="H1016" i="15" s="1"/>
  <c r="D1017" i="15"/>
  <c r="H1017" i="15" s="1"/>
  <c r="D1018" i="15"/>
  <c r="H1018" i="15" s="1"/>
  <c r="D1019" i="15"/>
  <c r="H1019" i="15" s="1"/>
  <c r="D1020" i="15"/>
  <c r="H1020" i="15" s="1"/>
  <c r="D1021" i="15"/>
  <c r="H1021" i="15" s="1"/>
  <c r="D1022" i="15"/>
  <c r="H1022" i="15" s="1"/>
  <c r="D1023" i="15"/>
  <c r="H1023" i="15" s="1"/>
  <c r="D1024" i="15"/>
  <c r="H1024" i="15" s="1"/>
  <c r="D1025" i="15"/>
  <c r="H1025" i="15" s="1"/>
  <c r="D1026" i="15"/>
  <c r="H1026" i="15" s="1"/>
  <c r="D1027" i="15"/>
  <c r="H1027" i="15" s="1"/>
  <c r="D1028" i="15"/>
  <c r="H1028" i="15" s="1"/>
  <c r="D1029" i="15"/>
  <c r="H1029" i="15" s="1"/>
  <c r="D1030" i="15"/>
  <c r="H1030" i="15" s="1"/>
  <c r="D1031" i="15"/>
  <c r="H1031" i="15" s="1"/>
  <c r="D1032" i="15"/>
  <c r="H1032" i="15" s="1"/>
  <c r="D1033" i="15"/>
  <c r="H1033" i="15" s="1"/>
  <c r="D2" i="15"/>
  <c r="H2" i="15" s="1"/>
  <c r="C8" i="15"/>
  <c r="C11" i="15"/>
  <c r="C14" i="15"/>
  <c r="C28" i="15"/>
  <c r="C29" i="15"/>
  <c r="C31" i="15"/>
  <c r="C32" i="15"/>
  <c r="C39" i="15"/>
  <c r="C46" i="15"/>
  <c r="C47" i="15"/>
  <c r="C48" i="15"/>
  <c r="C54" i="15"/>
  <c r="C58" i="15"/>
  <c r="C62" i="15"/>
  <c r="C64" i="15"/>
  <c r="C71" i="15"/>
  <c r="C73" i="15"/>
  <c r="C74" i="15"/>
  <c r="C75" i="15"/>
  <c r="C85" i="15"/>
  <c r="C86" i="15"/>
  <c r="C88" i="15"/>
  <c r="C91" i="15"/>
  <c r="C92" i="15"/>
  <c r="C93" i="15"/>
  <c r="C94" i="15"/>
  <c r="C96" i="15"/>
  <c r="C97" i="15"/>
  <c r="C99" i="15"/>
  <c r="C101" i="15"/>
  <c r="C102" i="15"/>
  <c r="C105" i="15"/>
  <c r="C106" i="15"/>
  <c r="C108" i="15"/>
  <c r="C109" i="15"/>
  <c r="C116" i="15"/>
  <c r="C119" i="15"/>
  <c r="C121" i="15"/>
  <c r="C122" i="15"/>
  <c r="C129" i="15"/>
  <c r="C132" i="15"/>
  <c r="C137" i="15"/>
  <c r="C143" i="15"/>
  <c r="C147" i="15"/>
  <c r="C152" i="15"/>
  <c r="C156" i="15"/>
  <c r="C159" i="15"/>
  <c r="C165" i="15"/>
  <c r="C168" i="15"/>
  <c r="C171" i="15"/>
  <c r="C176" i="15"/>
  <c r="C183" i="15"/>
  <c r="C184" i="15"/>
  <c r="C187" i="15"/>
  <c r="C192" i="15"/>
  <c r="C198" i="15"/>
  <c r="C199" i="15"/>
  <c r="C202" i="15"/>
  <c r="C205" i="15"/>
  <c r="C207" i="15"/>
  <c r="C214" i="15"/>
  <c r="C218" i="15"/>
  <c r="C219" i="15"/>
  <c r="C224" i="15"/>
  <c r="C232" i="15"/>
  <c r="C237" i="15"/>
  <c r="C241" i="15"/>
  <c r="C248" i="15"/>
  <c r="C249" i="15"/>
  <c r="C254" i="15"/>
  <c r="C258" i="15"/>
  <c r="C265" i="15"/>
  <c r="C267" i="15"/>
  <c r="C268" i="15"/>
  <c r="C275" i="15"/>
  <c r="C279" i="15"/>
  <c r="C280" i="15"/>
  <c r="C282" i="15"/>
  <c r="C285" i="15"/>
  <c r="C290" i="15"/>
  <c r="C293" i="15"/>
  <c r="C295" i="15"/>
  <c r="C301" i="15"/>
  <c r="C307" i="15"/>
  <c r="C308" i="15"/>
  <c r="C310" i="15"/>
  <c r="C311" i="15"/>
  <c r="C312" i="15"/>
  <c r="C313" i="15"/>
  <c r="C322" i="15"/>
  <c r="C329" i="15"/>
  <c r="C333" i="15"/>
  <c r="C339" i="15"/>
  <c r="C341" i="15"/>
  <c r="C342" i="15"/>
  <c r="C349" i="15"/>
  <c r="C361" i="15"/>
  <c r="C367" i="15"/>
  <c r="C368" i="15"/>
  <c r="C369" i="15"/>
  <c r="C376" i="15"/>
  <c r="C378" i="15"/>
  <c r="C379" i="15"/>
  <c r="C380" i="15"/>
  <c r="C383" i="15"/>
  <c r="C396" i="15"/>
  <c r="C397" i="15"/>
  <c r="C403" i="15"/>
  <c r="C406" i="15"/>
  <c r="C427" i="15"/>
  <c r="C430" i="15"/>
  <c r="C431" i="15"/>
  <c r="C435" i="15"/>
  <c r="C436" i="15"/>
  <c r="C444" i="15"/>
  <c r="C447" i="15"/>
  <c r="C448" i="15"/>
  <c r="C449" i="15"/>
  <c r="C451" i="15"/>
  <c r="C456" i="15"/>
  <c r="C457" i="15"/>
  <c r="C468" i="15"/>
  <c r="C469" i="15"/>
  <c r="C472" i="15"/>
  <c r="C473" i="15"/>
  <c r="C474" i="15"/>
  <c r="C475" i="15"/>
  <c r="C476" i="15"/>
  <c r="C481" i="15"/>
  <c r="C482" i="15"/>
  <c r="C483" i="15"/>
  <c r="C484" i="15"/>
  <c r="C487" i="15"/>
  <c r="C490" i="15"/>
  <c r="C499" i="15"/>
  <c r="C501" i="15"/>
  <c r="C503" i="15"/>
  <c r="C504" i="15"/>
  <c r="C505" i="15"/>
  <c r="C506" i="15"/>
  <c r="C512" i="15"/>
  <c r="C515" i="15"/>
  <c r="C526" i="15"/>
  <c r="C527" i="15"/>
  <c r="C528" i="15"/>
  <c r="C530" i="15"/>
  <c r="C532" i="15"/>
  <c r="C536" i="15"/>
  <c r="C540" i="15"/>
  <c r="C546" i="15"/>
  <c r="C548" i="15"/>
  <c r="C549" i="15"/>
  <c r="C550" i="15"/>
  <c r="C568" i="15"/>
  <c r="C570" i="15"/>
  <c r="C576" i="15"/>
  <c r="C585" i="15"/>
  <c r="C586" i="15"/>
  <c r="C588" i="15"/>
  <c r="C591" i="15"/>
  <c r="C593" i="15"/>
  <c r="C595" i="15"/>
  <c r="C599" i="15"/>
  <c r="C601" i="15"/>
  <c r="C602" i="15"/>
  <c r="C603" i="15"/>
  <c r="C612" i="15"/>
  <c r="C623" i="15"/>
  <c r="C624" i="15"/>
  <c r="C625" i="15"/>
  <c r="C633" i="15"/>
  <c r="C635" i="15"/>
  <c r="C637" i="15"/>
  <c r="C646" i="15"/>
  <c r="C659" i="15"/>
  <c r="C663" i="15"/>
  <c r="C674" i="15"/>
  <c r="C679" i="15"/>
  <c r="C684" i="15"/>
  <c r="C686" i="15"/>
  <c r="C694" i="15"/>
  <c r="C698" i="15"/>
  <c r="C701" i="15"/>
  <c r="C705" i="15"/>
  <c r="C706" i="15"/>
  <c r="C707" i="15"/>
  <c r="C713" i="15"/>
  <c r="C716" i="15"/>
  <c r="C719" i="15"/>
  <c r="C720" i="15"/>
  <c r="C722" i="15"/>
  <c r="C724" i="15"/>
  <c r="C728" i="15"/>
  <c r="C732" i="15"/>
  <c r="C733" i="15"/>
  <c r="C734" i="15"/>
  <c r="C738" i="15"/>
  <c r="C743" i="15"/>
  <c r="C744" i="15"/>
  <c r="C758" i="15"/>
  <c r="C759" i="15"/>
  <c r="C767" i="15"/>
  <c r="C776" i="15"/>
  <c r="C779" i="15"/>
  <c r="C793" i="15"/>
  <c r="C797" i="15"/>
  <c r="C798" i="15"/>
  <c r="C811" i="15"/>
  <c r="C814" i="15"/>
  <c r="C819" i="15"/>
  <c r="C825" i="15"/>
  <c r="C828" i="15"/>
  <c r="C848" i="15"/>
  <c r="C855" i="15"/>
  <c r="C857" i="15"/>
  <c r="C867" i="15"/>
  <c r="C869" i="15"/>
  <c r="C870" i="15"/>
  <c r="C875" i="15"/>
  <c r="C879" i="15"/>
  <c r="C883" i="15"/>
  <c r="C890" i="15"/>
  <c r="C899" i="15"/>
  <c r="C903" i="15"/>
  <c r="C905" i="15"/>
  <c r="C911" i="15"/>
  <c r="C912" i="15"/>
  <c r="C915" i="15"/>
  <c r="C923" i="15"/>
  <c r="C926" i="15"/>
  <c r="C928" i="15"/>
  <c r="C930" i="15"/>
  <c r="C932" i="15"/>
  <c r="C939" i="15"/>
  <c r="C940" i="15"/>
  <c r="C955" i="15"/>
  <c r="C960" i="15"/>
  <c r="C964" i="15"/>
  <c r="C970" i="15"/>
  <c r="C975" i="15"/>
  <c r="C977" i="15"/>
  <c r="C978" i="15"/>
  <c r="C981" i="15"/>
  <c r="C985" i="15"/>
  <c r="C989" i="15"/>
  <c r="C992" i="15"/>
  <c r="C1006" i="15"/>
  <c r="C1010" i="15"/>
  <c r="C1016" i="15"/>
  <c r="C1017" i="15"/>
  <c r="C1022" i="15"/>
  <c r="C1023" i="15"/>
  <c r="C1028" i="15"/>
  <c r="C1029" i="15"/>
  <c r="C1032" i="15"/>
  <c r="I844" i="13"/>
  <c r="I986" i="13"/>
  <c r="I494" i="13"/>
  <c r="I596" i="13"/>
  <c r="I224" i="13"/>
  <c r="I144" i="13"/>
  <c r="I208" i="13"/>
  <c r="I523" i="13"/>
  <c r="I1009" i="13"/>
  <c r="I181" i="13"/>
  <c r="I615" i="13"/>
  <c r="I469" i="13"/>
  <c r="I467" i="13"/>
  <c r="I786" i="13"/>
  <c r="I639" i="13"/>
  <c r="I89" i="13"/>
  <c r="I444" i="13"/>
  <c r="I350" i="13"/>
  <c r="I191" i="13"/>
  <c r="I832" i="13"/>
  <c r="I1016" i="13"/>
  <c r="I944" i="13"/>
  <c r="I14" i="13"/>
  <c r="I86" i="13"/>
  <c r="I997" i="13"/>
  <c r="I800" i="13"/>
  <c r="I592" i="13"/>
  <c r="I93" i="13"/>
  <c r="I904" i="13"/>
  <c r="I149" i="13"/>
  <c r="I344" i="13"/>
  <c r="I441" i="13"/>
  <c r="I346" i="13"/>
  <c r="I323" i="13"/>
  <c r="I505" i="13"/>
  <c r="I531" i="13"/>
  <c r="I612" i="13"/>
  <c r="I963" i="13"/>
  <c r="I307" i="13"/>
  <c r="I196" i="13"/>
  <c r="I179" i="13"/>
  <c r="I610" i="13"/>
  <c r="I663" i="13"/>
  <c r="I788" i="13"/>
  <c r="I769" i="13"/>
  <c r="I549" i="13"/>
  <c r="I97" i="13"/>
  <c r="I783" i="13"/>
  <c r="I858" i="13"/>
  <c r="I168" i="13"/>
  <c r="I619" i="13"/>
  <c r="I676" i="13"/>
  <c r="I316" i="13"/>
  <c r="I26" i="13"/>
  <c r="I329" i="13"/>
  <c r="I108" i="13"/>
  <c r="I110" i="13"/>
  <c r="I765" i="13"/>
  <c r="I780" i="13"/>
  <c r="I226" i="13"/>
  <c r="I122" i="13"/>
  <c r="I652" i="13"/>
  <c r="I123" i="13"/>
  <c r="I74" i="13"/>
  <c r="I589" i="13"/>
  <c r="I270" i="13"/>
  <c r="I47" i="13"/>
  <c r="I748" i="13"/>
  <c r="I489" i="13"/>
  <c r="I109" i="13"/>
  <c r="I499" i="13"/>
  <c r="I845" i="13"/>
  <c r="I183" i="13"/>
  <c r="I670" i="13"/>
  <c r="I335" i="13"/>
  <c r="I13" i="13"/>
  <c r="I690" i="13"/>
  <c r="I298" i="13"/>
  <c r="I493" i="13"/>
  <c r="I152" i="13"/>
  <c r="I253" i="13"/>
  <c r="I472" i="13"/>
  <c r="I714" i="13"/>
  <c r="I450" i="13"/>
  <c r="I989" i="13"/>
  <c r="I899" i="13"/>
  <c r="I977" i="13"/>
  <c r="I167" i="13"/>
  <c r="I692" i="13"/>
  <c r="I771" i="13"/>
  <c r="I412" i="13"/>
  <c r="I516" i="13"/>
  <c r="I454" i="13"/>
  <c r="I567" i="13"/>
  <c r="I117" i="13"/>
  <c r="I768" i="13"/>
  <c r="I477" i="13"/>
  <c r="I929" i="13"/>
  <c r="I451" i="13"/>
  <c r="I254" i="13"/>
  <c r="I347" i="13"/>
  <c r="I671" i="13"/>
  <c r="I600" i="13"/>
  <c r="I624" i="13"/>
  <c r="I498" i="13"/>
  <c r="I348" i="13"/>
  <c r="I78" i="13"/>
  <c r="I65" i="13"/>
  <c r="I96" i="13"/>
  <c r="I180" i="13"/>
  <c r="I831" i="13"/>
  <c r="I657" i="13"/>
  <c r="I281" i="13"/>
  <c r="I317" i="13"/>
  <c r="I435" i="13"/>
  <c r="I172" i="13"/>
  <c r="I794" i="13"/>
  <c r="I171" i="13"/>
  <c r="I6" i="13"/>
  <c r="I132" i="13"/>
  <c r="I417" i="13"/>
  <c r="I760" i="13"/>
  <c r="I360" i="13"/>
  <c r="I728" i="13"/>
  <c r="I261" i="13"/>
  <c r="I666" i="13"/>
  <c r="I190" i="13"/>
  <c r="I948" i="13"/>
  <c r="I841" i="13"/>
  <c r="I207" i="13"/>
  <c r="I906" i="13"/>
  <c r="I129" i="13"/>
  <c r="I11" i="13"/>
  <c r="I430" i="13"/>
  <c r="I48" i="13"/>
  <c r="I823" i="13"/>
  <c r="I204" i="13"/>
  <c r="I729" i="13"/>
  <c r="I655" i="13"/>
  <c r="I390" i="13"/>
  <c r="I1033" i="13"/>
  <c r="I299" i="13"/>
  <c r="I182" i="13"/>
  <c r="I559" i="13"/>
  <c r="I776" i="13"/>
  <c r="I870" i="13"/>
  <c r="I685" i="13"/>
  <c r="I1012" i="13"/>
  <c r="I150" i="13"/>
  <c r="I339" i="13"/>
  <c r="I576" i="13"/>
  <c r="I262" i="13"/>
  <c r="I629" i="13"/>
  <c r="I162" i="13"/>
  <c r="I292" i="13"/>
  <c r="I900" i="13"/>
  <c r="I953" i="13"/>
  <c r="I587" i="13"/>
  <c r="I572" i="13"/>
  <c r="I1020" i="13"/>
  <c r="I50" i="13"/>
  <c r="I925" i="13"/>
  <c r="I556" i="13"/>
  <c r="I40" i="13"/>
  <c r="I616" i="13"/>
  <c r="I315" i="13"/>
  <c r="I574" i="13"/>
  <c r="I736" i="13"/>
  <c r="I954" i="13"/>
  <c r="I715" i="13"/>
  <c r="I1015" i="13"/>
  <c r="I804" i="13"/>
  <c r="I750" i="13"/>
  <c r="I878" i="13"/>
  <c r="I568" i="13"/>
  <c r="I398" i="13"/>
  <c r="I304" i="13"/>
  <c r="I664" i="13"/>
  <c r="I1024" i="13"/>
  <c r="I429" i="13"/>
  <c r="I530" i="13"/>
  <c r="I82" i="13"/>
  <c r="I452" i="13"/>
  <c r="I642" i="13"/>
  <c r="I979" i="13"/>
  <c r="I133" i="13"/>
  <c r="I659" i="13"/>
  <c r="I23" i="13"/>
  <c r="I501" i="13"/>
  <c r="I855" i="13"/>
  <c r="I785" i="13"/>
  <c r="I533" i="13"/>
  <c r="I1017" i="13"/>
  <c r="I849" i="13"/>
  <c r="I931" i="13"/>
  <c r="I887" i="13"/>
  <c r="I210" i="13"/>
  <c r="I907" i="13"/>
  <c r="I595" i="13"/>
  <c r="I497" i="13"/>
  <c r="I169" i="13"/>
  <c r="I839" i="13"/>
  <c r="I66" i="13"/>
  <c r="I153" i="13"/>
  <c r="I59" i="13"/>
  <c r="I1029" i="13"/>
  <c r="I453" i="13"/>
  <c r="I51" i="13"/>
  <c r="I644" i="13"/>
  <c r="I829" i="13"/>
  <c r="I193" i="13"/>
  <c r="I248" i="13"/>
  <c r="I249" i="13"/>
  <c r="I668" i="13"/>
  <c r="I814" i="13"/>
  <c r="I388" i="13"/>
  <c r="I38" i="13"/>
  <c r="I515" i="13"/>
  <c r="I449" i="13"/>
  <c r="I593" i="13"/>
  <c r="I653" i="13"/>
  <c r="I403" i="13"/>
  <c r="I364" i="13"/>
  <c r="I269" i="13"/>
  <c r="I8" i="13"/>
  <c r="I343" i="13"/>
  <c r="I751" i="13"/>
  <c r="I143" i="13"/>
  <c r="I563" i="13"/>
  <c r="I891" i="13"/>
  <c r="I640" i="13"/>
  <c r="I691" i="13"/>
  <c r="I319" i="13"/>
  <c r="I724" i="13"/>
  <c r="I308" i="13"/>
  <c r="I342" i="13"/>
  <c r="I882" i="13"/>
  <c r="I1003" i="13"/>
  <c r="I72" i="13"/>
  <c r="I228" i="13"/>
  <c r="I799" i="13"/>
  <c r="I309" i="13"/>
  <c r="I280" i="13"/>
  <c r="I289" i="13"/>
  <c r="I527" i="13"/>
  <c r="I565" i="13"/>
  <c r="I395" i="13"/>
  <c r="I679" i="13"/>
  <c r="I705" i="13"/>
  <c r="I883" i="13"/>
  <c r="I656" i="13"/>
  <c r="I879" i="13"/>
  <c r="I278" i="13"/>
  <c r="I539" i="13"/>
  <c r="I239" i="13"/>
  <c r="I416" i="13"/>
  <c r="I913" i="13"/>
  <c r="I701" i="13"/>
  <c r="I698" i="13"/>
  <c r="I782" i="13"/>
  <c r="I949" i="13"/>
  <c r="I36" i="13"/>
  <c r="I221" i="13"/>
  <c r="I98" i="13"/>
  <c r="I146" i="13"/>
  <c r="I95" i="13"/>
  <c r="I754" i="13"/>
  <c r="I893" i="13"/>
  <c r="I67" i="13"/>
  <c r="I365" i="13"/>
  <c r="I735" i="13"/>
  <c r="I437" i="13"/>
  <c r="I938" i="13"/>
  <c r="I424" i="13"/>
  <c r="I439" i="13"/>
  <c r="I282" i="13"/>
  <c r="I131" i="13"/>
  <c r="I322" i="13"/>
  <c r="I389" i="13"/>
  <c r="I85" i="13"/>
  <c r="I266" i="13"/>
  <c r="I101" i="13"/>
  <c r="I495" i="13"/>
  <c r="I177" i="13"/>
  <c r="I793" i="13"/>
  <c r="I49" i="13"/>
  <c r="I555" i="13"/>
  <c r="I825" i="13"/>
  <c r="I351" i="13"/>
  <c r="I994" i="13"/>
  <c r="I236" i="13"/>
  <c r="I201" i="13"/>
  <c r="I943" i="13"/>
  <c r="I974" i="13"/>
  <c r="I519" i="13"/>
  <c r="I7" i="13"/>
  <c r="I626" i="13"/>
  <c r="I998" i="13"/>
  <c r="I255" i="13"/>
  <c r="I851" i="13"/>
  <c r="I678" i="13"/>
  <c r="I801" i="13"/>
  <c r="I968" i="13"/>
  <c r="I92" i="13"/>
  <c r="I983" i="13"/>
  <c r="I377" i="13"/>
  <c r="I675" i="13"/>
  <c r="I22" i="13"/>
  <c r="I661" i="13"/>
  <c r="I650" i="13"/>
  <c r="I187" i="13"/>
  <c r="I176" i="13"/>
  <c r="I869" i="13"/>
  <c r="I632" i="13"/>
  <c r="I578" i="13"/>
  <c r="I464" i="13"/>
  <c r="I888" i="13"/>
  <c r="I597" i="13"/>
  <c r="I232" i="13"/>
  <c r="I743" i="13"/>
  <c r="I681" i="13"/>
  <c r="I271" i="13"/>
  <c r="I184" i="13"/>
  <c r="I384" i="13"/>
  <c r="I427" i="13"/>
  <c r="I687" i="13"/>
  <c r="I941" i="13"/>
  <c r="I609" i="13"/>
  <c r="I560" i="13"/>
  <c r="I939" i="13"/>
  <c r="I709" i="13"/>
  <c r="I633" i="13"/>
  <c r="I352" i="13"/>
  <c r="I354" i="13"/>
  <c r="I106" i="13"/>
  <c r="I1030" i="13"/>
  <c r="I817" i="13"/>
  <c r="I622" i="13"/>
  <c r="I195" i="13"/>
  <c r="I915" i="13"/>
  <c r="I710" i="13"/>
  <c r="I762" i="13"/>
  <c r="I423" i="13"/>
  <c r="I483" i="13"/>
  <c r="I475" i="13"/>
  <c r="I980" i="13"/>
  <c r="I274" i="13"/>
  <c r="I275" i="13"/>
  <c r="I363" i="13"/>
  <c r="I100" i="13"/>
  <c r="I105" i="13"/>
  <c r="I956" i="13"/>
  <c r="I525" i="13"/>
  <c r="I279" i="13"/>
  <c r="I265" i="13"/>
  <c r="I898" i="13"/>
  <c r="I969" i="13"/>
  <c r="I862" i="13"/>
  <c r="I229" i="13"/>
  <c r="I660" i="13"/>
  <c r="I291" i="13"/>
  <c r="I178" i="13"/>
  <c r="I557" i="13"/>
  <c r="I847" i="13"/>
  <c r="I158" i="13"/>
  <c r="I586" i="13"/>
  <c r="I203" i="13"/>
  <c r="I713" i="13"/>
  <c r="I235" i="13"/>
  <c r="I455" i="13"/>
  <c r="I937" i="13"/>
  <c r="I590" i="13"/>
  <c r="I889" i="13"/>
  <c r="I703" i="13"/>
  <c r="I874" i="13"/>
  <c r="I790" i="13"/>
  <c r="I362" i="13"/>
  <c r="I702" i="13"/>
  <c r="I295" i="13"/>
  <c r="I1013" i="13"/>
  <c r="I910" i="13"/>
  <c r="I1001" i="13"/>
  <c r="I512" i="13"/>
  <c r="I584" i="13"/>
  <c r="I945" i="13"/>
  <c r="I326" i="13"/>
  <c r="I19" i="13"/>
  <c r="I443" i="13"/>
  <c r="I577" i="13"/>
  <c r="I942" i="13"/>
  <c r="I238" i="13"/>
  <c r="I39" i="13"/>
  <c r="I80" i="13"/>
  <c r="I327" i="13"/>
  <c r="I379" i="13"/>
  <c r="I927" i="13"/>
  <c r="I972" i="13"/>
  <c r="I186" i="13"/>
  <c r="I662" i="13"/>
  <c r="I445" i="13"/>
  <c r="I62" i="13"/>
  <c r="I892" i="13"/>
  <c r="I756" i="13"/>
  <c r="I142" i="13"/>
  <c r="I448" i="13"/>
  <c r="I541" i="13"/>
  <c r="I677" i="13"/>
  <c r="I35" i="13"/>
  <c r="I602" i="13"/>
  <c r="I258" i="13"/>
  <c r="I865" i="13"/>
  <c r="I649" i="13"/>
  <c r="I787" i="13"/>
  <c r="I877" i="13"/>
  <c r="I341" i="13"/>
  <c r="I822" i="13"/>
  <c r="I723" i="13"/>
  <c r="I433" i="13"/>
  <c r="I206" i="13"/>
  <c r="I139" i="13"/>
  <c r="I812" i="13"/>
  <c r="I623" i="13"/>
  <c r="I746" i="13"/>
  <c r="I996" i="13"/>
  <c r="I418" i="13"/>
  <c r="I821" i="13"/>
  <c r="I617" i="13"/>
  <c r="I276" i="13"/>
  <c r="I1018" i="13"/>
  <c r="I222" i="13"/>
  <c r="I854" i="13"/>
  <c r="I951" i="13"/>
  <c r="I792" i="13"/>
  <c r="I202" i="13"/>
  <c r="I328" i="13"/>
  <c r="I457" i="13"/>
  <c r="I538" i="13"/>
  <c r="I536" i="13"/>
  <c r="I411" i="13"/>
  <c r="I611" i="13"/>
  <c r="I561" i="13"/>
  <c r="I818" i="13"/>
  <c r="I605" i="13"/>
  <c r="I534" i="13"/>
  <c r="I684" i="13"/>
  <c r="I438" i="13"/>
  <c r="I321" i="13"/>
  <c r="I506" i="13"/>
  <c r="I734" i="13"/>
  <c r="I425" i="13"/>
  <c r="I288" i="13"/>
  <c r="I147" i="13"/>
  <c r="I230" i="13"/>
  <c r="I835" i="13"/>
  <c r="I234" i="13"/>
  <c r="I607" i="13"/>
  <c r="I928" i="13"/>
  <c r="I246" i="13"/>
  <c r="I554" i="13"/>
  <c r="I79" i="13"/>
  <c r="I18" i="13"/>
  <c r="I394" i="13"/>
  <c r="I300" i="13"/>
  <c r="I807" i="13"/>
  <c r="I385" i="13"/>
  <c r="I1007" i="13"/>
  <c r="I918" i="13"/>
  <c r="I141" i="13"/>
  <c r="I486" i="13"/>
  <c r="I836" i="13"/>
  <c r="I1002" i="13"/>
  <c r="I212" i="13"/>
  <c r="I585" i="13"/>
  <c r="I404" i="13"/>
  <c r="I513" i="13"/>
  <c r="I682" i="13"/>
  <c r="I302" i="13"/>
  <c r="I764" i="13"/>
  <c r="I895" i="13"/>
  <c r="I697" i="13"/>
  <c r="I636" i="13"/>
  <c r="I857" i="13"/>
  <c r="I373" i="13"/>
  <c r="I90" i="13"/>
  <c r="I923" i="13"/>
  <c r="I127" i="13"/>
  <c r="I581" i="13"/>
  <c r="I473" i="13"/>
  <c r="I916" i="13"/>
  <c r="I345" i="13"/>
  <c r="I173" i="13"/>
  <c r="I971" i="13"/>
  <c r="I962" i="13"/>
  <c r="I658" i="13"/>
  <c r="I116" i="13"/>
  <c r="I988" i="13"/>
  <c r="I104" i="13"/>
  <c r="I952" i="13"/>
  <c r="I970" i="13"/>
  <c r="I485" i="13"/>
  <c r="I87" i="13"/>
  <c r="I773" i="13"/>
  <c r="I251" i="13"/>
  <c r="I382" i="13"/>
  <c r="I397" i="13"/>
  <c r="I810" i="13"/>
  <c r="I603" i="13"/>
  <c r="I993" i="13"/>
  <c r="I583" i="13"/>
  <c r="I120" i="13"/>
  <c r="I480" i="13"/>
  <c r="I137" i="13"/>
  <c r="I313" i="13"/>
  <c r="I75" i="13"/>
  <c r="I991" i="13"/>
  <c r="I436" i="13"/>
  <c r="I128" i="13"/>
  <c r="I372" i="13"/>
  <c r="I955" i="13"/>
  <c r="I599" i="13"/>
  <c r="I706" i="13"/>
  <c r="I873" i="13"/>
  <c r="I370" i="13"/>
  <c r="I826" i="13"/>
  <c r="I532" i="13"/>
  <c r="I834" i="13"/>
  <c r="I853" i="13"/>
  <c r="I730" i="13"/>
  <c r="I547" i="13"/>
  <c r="I550" i="13"/>
  <c r="I496" i="13"/>
  <c r="I264" i="13"/>
  <c r="I958" i="13"/>
  <c r="I613" i="13"/>
  <c r="I88" i="13"/>
  <c r="I641" i="13"/>
  <c r="I252" i="13"/>
  <c r="I320" i="13"/>
  <c r="I381" i="13"/>
  <c r="I647" i="13"/>
  <c r="I700" i="13"/>
  <c r="I356" i="13"/>
  <c r="I41" i="13"/>
  <c r="I579" i="13"/>
  <c r="I479" i="13"/>
  <c r="I569" i="13"/>
  <c r="I772" i="13"/>
  <c r="I458" i="13"/>
  <c r="I837" i="13"/>
  <c r="I124" i="13"/>
  <c r="I914" i="13"/>
  <c r="I903" i="13"/>
  <c r="I856" i="13"/>
  <c r="I985" i="13"/>
  <c r="I166" i="13"/>
  <c r="I277" i="13"/>
  <c r="I160" i="13"/>
  <c r="I107" i="13"/>
  <c r="I946" i="13"/>
  <c r="I978" i="13"/>
  <c r="I638" i="13"/>
  <c r="I976" i="13"/>
  <c r="I634" i="13"/>
  <c r="I737" i="13"/>
  <c r="I112" i="13"/>
  <c r="I712" i="13"/>
  <c r="I509" i="13"/>
  <c r="I375" i="13"/>
  <c r="I406" i="13"/>
  <c r="I902" i="13"/>
  <c r="I60" i="13"/>
  <c r="I459" i="13"/>
  <c r="I540" i="13"/>
  <c r="I369" i="13"/>
  <c r="I99" i="13"/>
  <c r="I673" i="13"/>
  <c r="I257" i="13"/>
  <c r="I151" i="13"/>
  <c r="I833" i="13"/>
  <c r="I225" i="13"/>
  <c r="I45" i="13"/>
  <c r="I286" i="13"/>
  <c r="I973" i="13"/>
  <c r="I402" i="13"/>
  <c r="I371" i="13"/>
  <c r="I488" i="13"/>
  <c r="I136" i="13"/>
  <c r="I119" i="13"/>
  <c r="I37" i="13"/>
  <c r="I1026" i="13"/>
  <c r="I529" i="13"/>
  <c r="I1025" i="13"/>
  <c r="I118" i="13"/>
  <c r="I367" i="13"/>
  <c r="I306" i="13"/>
  <c r="I778" i="13"/>
  <c r="I324" i="13"/>
  <c r="I52" i="13"/>
  <c r="I43" i="13"/>
  <c r="I535" i="13"/>
  <c r="I478" i="13"/>
  <c r="I843" i="13"/>
  <c r="I838" i="13"/>
  <c r="I32" i="13"/>
  <c r="I695" i="13"/>
  <c r="I940" i="13"/>
  <c r="I462" i="13"/>
  <c r="I802" i="13"/>
  <c r="I318" i="13"/>
  <c r="I391" i="13"/>
  <c r="I654" i="13"/>
  <c r="I594" i="13"/>
  <c r="I761" i="13"/>
  <c r="I194" i="13"/>
  <c r="I431" i="13"/>
  <c r="I606" i="13"/>
  <c r="I745" i="13"/>
  <c r="I247" i="13"/>
  <c r="I332" i="13"/>
  <c r="I227" i="13"/>
  <c r="I231" i="13"/>
  <c r="I820" i="13"/>
  <c r="I484" i="13"/>
  <c r="I1008" i="13"/>
  <c r="I708" i="13"/>
  <c r="I1021" i="13"/>
  <c r="I69" i="13"/>
  <c r="I1014" i="13"/>
  <c r="I1027" i="13"/>
  <c r="I744" i="13"/>
  <c r="I683" i="13"/>
  <c r="I518" i="13"/>
  <c r="I456" i="13"/>
  <c r="I784" i="13"/>
  <c r="I720" i="13"/>
  <c r="I757" i="13"/>
  <c r="I738" i="13"/>
  <c r="I358" i="13"/>
  <c r="I511" i="13"/>
  <c r="I755" i="13"/>
  <c r="I199" i="13"/>
  <c r="I355" i="13"/>
  <c r="I795" i="13"/>
  <c r="I20" i="13"/>
  <c r="I796" i="13"/>
  <c r="I894" i="13"/>
  <c r="I620" i="13"/>
  <c r="I233" i="13"/>
  <c r="I1011" i="13"/>
  <c r="I965" i="13"/>
  <c r="I64" i="13"/>
  <c r="I875" i="13"/>
  <c r="I850" i="13"/>
  <c r="I491" i="13"/>
  <c r="I742" i="13"/>
  <c r="I188" i="13"/>
  <c r="I303" i="13"/>
  <c r="I570" i="13"/>
  <c r="I544" i="13"/>
  <c r="I409" i="13"/>
  <c r="I545" i="13"/>
  <c r="I333" i="13"/>
  <c r="I12" i="13"/>
  <c r="I311" i="13"/>
  <c r="I521" i="13"/>
  <c r="I200" i="13"/>
  <c r="I10" i="13"/>
  <c r="I383" i="13"/>
  <c r="I217" i="13"/>
  <c r="I337" i="13"/>
  <c r="I53" i="13"/>
  <c r="I861" i="13"/>
  <c r="I338" i="13"/>
  <c r="I44" i="13"/>
  <c r="I901" i="13"/>
  <c r="I924" i="13"/>
  <c r="I15" i="13"/>
  <c r="I507" i="13"/>
  <c r="I813" i="13"/>
  <c r="I165" i="13"/>
  <c r="I905" i="13"/>
  <c r="I474" i="13"/>
  <c r="I148" i="13"/>
  <c r="I722" i="13"/>
  <c r="I91" i="13"/>
  <c r="I964" i="13"/>
  <c r="I83" i="13"/>
  <c r="I218" i="13"/>
  <c r="I960" i="13"/>
  <c r="I637" i="13"/>
  <c r="I216" i="13"/>
  <c r="I699" i="13"/>
  <c r="I546" i="13"/>
  <c r="I548" i="13"/>
  <c r="I490" i="13"/>
  <c r="I209" i="13"/>
  <c r="I770" i="13"/>
  <c r="I374" i="13"/>
  <c r="I920" i="13"/>
  <c r="I164" i="13"/>
  <c r="I880" i="13"/>
  <c r="I982" i="13"/>
  <c r="I631" i="13"/>
  <c r="I189" i="13"/>
  <c r="I758" i="13"/>
  <c r="I482" i="13"/>
  <c r="I163" i="13"/>
  <c r="I819" i="13"/>
  <c r="I947" i="13"/>
  <c r="I504" i="13"/>
  <c r="I588" i="13"/>
  <c r="I791" i="13"/>
  <c r="I56" i="13"/>
  <c r="I408" i="13"/>
  <c r="I126" i="13"/>
  <c r="I68" i="13"/>
  <c r="I293" i="13"/>
  <c r="I54" i="13"/>
  <c r="I115" i="13"/>
  <c r="I470" i="13"/>
  <c r="I273" i="13"/>
  <c r="I331" i="13"/>
  <c r="I401" i="13"/>
  <c r="I17" i="13"/>
  <c r="I161" i="13"/>
  <c r="I688" i="13"/>
  <c r="I1031" i="13"/>
  <c r="I975" i="13"/>
  <c r="I779" i="13"/>
  <c r="I604" i="13"/>
  <c r="I77" i="13"/>
  <c r="I860" i="13"/>
  <c r="I213" i="13"/>
  <c r="I242" i="13"/>
  <c r="I890" i="13"/>
  <c r="I553" i="13"/>
  <c r="I808" i="13"/>
  <c r="I284" i="13"/>
  <c r="I410" i="13"/>
  <c r="I732" i="13"/>
  <c r="I863" i="13"/>
  <c r="I741" i="13"/>
  <c r="I643" i="13"/>
  <c r="I415" i="13"/>
  <c r="I185" i="13"/>
  <c r="I828" i="13"/>
  <c r="I627" i="13"/>
  <c r="I645" i="13"/>
  <c r="I562" i="13"/>
  <c r="I121" i="13"/>
  <c r="I361" i="13"/>
  <c r="I667" i="13"/>
  <c r="I259" i="13"/>
  <c r="I387" i="13"/>
  <c r="I921" i="13"/>
  <c r="I29" i="13"/>
  <c r="I70" i="13"/>
  <c r="I1004" i="13"/>
  <c r="I310" i="13"/>
  <c r="I926" i="13"/>
  <c r="I27" i="13"/>
  <c r="I896" i="13"/>
  <c r="I386" i="13"/>
  <c r="I884" i="13"/>
  <c r="I811" i="13"/>
  <c r="I922" i="13"/>
  <c r="I718" i="13"/>
  <c r="I405" i="13"/>
  <c r="I665" i="13"/>
  <c r="I503" i="13"/>
  <c r="I919" i="13"/>
  <c r="I508" i="13"/>
  <c r="I935" i="13"/>
  <c r="I917" i="13"/>
  <c r="I789" i="13"/>
  <c r="I240" i="13"/>
  <c r="I522" i="13"/>
  <c r="I805" i="13"/>
  <c r="I268" i="13"/>
  <c r="I618" i="13"/>
  <c r="I16" i="13"/>
  <c r="I608" i="13"/>
  <c r="I471" i="13"/>
  <c r="I543" i="13"/>
  <c r="I933" i="13"/>
  <c r="I669" i="13"/>
  <c r="I380" i="13"/>
  <c r="I573" i="13"/>
  <c r="I635" i="13"/>
  <c r="I198" i="13"/>
  <c r="I721" i="13"/>
  <c r="I349" i="13"/>
  <c r="I827" i="13"/>
  <c r="I575" i="13"/>
  <c r="I885" i="13"/>
  <c r="I752" i="13"/>
  <c r="I614" i="13"/>
  <c r="I114" i="13"/>
  <c r="I243" i="13"/>
  <c r="I102" i="13"/>
  <c r="I159" i="13"/>
  <c r="I514" i="13"/>
  <c r="I689" i="13"/>
  <c r="I806" i="13"/>
  <c r="I214" i="13"/>
  <c r="I1028" i="13"/>
  <c r="I24" i="13"/>
  <c r="I71" i="13"/>
  <c r="I463" i="13"/>
  <c r="I526" i="13"/>
  <c r="I5" i="13"/>
  <c r="I426" i="13"/>
  <c r="I330" i="13"/>
  <c r="I717" i="13"/>
  <c r="I995" i="13"/>
  <c r="I428" i="13"/>
  <c r="I34" i="13"/>
  <c r="I31" i="13"/>
  <c r="I524" i="13"/>
  <c r="I422" i="13"/>
  <c r="I961" i="13"/>
  <c r="I46" i="13"/>
  <c r="I4" i="13"/>
  <c r="I694" i="13"/>
  <c r="I733" i="13"/>
  <c r="I466" i="13"/>
  <c r="I301" i="13"/>
  <c r="I936" i="13"/>
  <c r="I197" i="13"/>
  <c r="I867" i="13"/>
  <c r="I815" i="13"/>
  <c r="I726" i="13"/>
  <c r="I591" i="13"/>
  <c r="I1010" i="13"/>
  <c r="I94" i="13"/>
  <c r="I157" i="13"/>
  <c r="I727" i="13"/>
  <c r="I156" i="13"/>
  <c r="I696" i="13"/>
  <c r="I111" i="13"/>
  <c r="I967" i="13"/>
  <c r="I601" i="13"/>
  <c r="I378" i="13"/>
  <c r="I376" i="13"/>
  <c r="I366" i="13"/>
  <c r="I871" i="13"/>
  <c r="I220" i="13"/>
  <c r="I957" i="13"/>
  <c r="I552" i="13"/>
  <c r="I950" i="13"/>
  <c r="I848" i="13"/>
  <c r="I205" i="13"/>
  <c r="I866" i="13"/>
  <c r="I285" i="13"/>
  <c r="I830" i="13"/>
  <c r="I990" i="13"/>
  <c r="I414" i="13"/>
  <c r="I237" i="13"/>
  <c r="I872" i="13"/>
  <c r="I359" i="13"/>
  <c r="I630" i="13"/>
  <c r="I175" i="13"/>
  <c r="I250" i="13"/>
  <c r="I1006" i="13"/>
  <c r="I267" i="13"/>
  <c r="I558" i="13"/>
  <c r="I517" i="13"/>
  <c r="I305" i="13"/>
  <c r="I680" i="13"/>
  <c r="I767" i="13"/>
  <c r="I674" i="13"/>
  <c r="I571" i="13"/>
  <c r="I999" i="13"/>
  <c r="I542" i="13"/>
  <c r="I749" i="13"/>
  <c r="I357" i="13"/>
  <c r="I215" i="13"/>
  <c r="I170" i="13"/>
  <c r="I465" i="13"/>
  <c r="I192" i="13"/>
  <c r="I566" i="13"/>
  <c r="I672" i="13"/>
  <c r="I1000" i="13"/>
  <c r="I421" i="13"/>
  <c r="I219" i="13"/>
  <c r="I420" i="13"/>
  <c r="I28" i="13"/>
  <c r="I135" i="13"/>
  <c r="I859" i="13"/>
  <c r="I932" i="13"/>
  <c r="I621" i="13"/>
  <c r="I725" i="13"/>
  <c r="I245" i="13"/>
  <c r="I140" i="13"/>
  <c r="I984" i="13"/>
  <c r="I312" i="13"/>
  <c r="I797" i="13"/>
  <c r="I774" i="13"/>
  <c r="I211" i="13"/>
  <c r="I174" i="13"/>
  <c r="I63" i="13"/>
  <c r="I846" i="13"/>
  <c r="I777" i="13"/>
  <c r="I260" i="13"/>
  <c r="I1022" i="13"/>
  <c r="I731" i="13"/>
  <c r="I290" i="13"/>
  <c r="I103" i="13"/>
  <c r="I628" i="13"/>
  <c r="I753" i="13"/>
  <c r="I294" i="13"/>
  <c r="I130" i="13"/>
  <c r="I908" i="13"/>
  <c r="I297" i="13"/>
  <c r="I868" i="13"/>
  <c r="I693" i="13"/>
  <c r="I842" i="13"/>
  <c r="I704" i="13"/>
  <c r="I61" i="13"/>
  <c r="I460" i="13"/>
  <c r="I564" i="13"/>
  <c r="I992" i="13"/>
  <c r="I759" i="13"/>
  <c r="I909" i="13"/>
  <c r="I419" i="13"/>
  <c r="I740" i="13"/>
  <c r="I897" i="13"/>
  <c r="I824" i="13"/>
  <c r="I145" i="13"/>
  <c r="I707" i="13"/>
  <c r="I396" i="13"/>
  <c r="I25" i="13"/>
  <c r="I432" i="13"/>
  <c r="I21" i="13"/>
  <c r="I84" i="13"/>
  <c r="I155" i="13"/>
  <c r="I1005" i="13"/>
  <c r="I648" i="13"/>
  <c r="I959" i="13"/>
  <c r="I340" i="13"/>
  <c r="I468" i="13"/>
  <c r="I287" i="13"/>
  <c r="I442" i="13"/>
  <c r="I598" i="13"/>
  <c r="I400" i="13"/>
  <c r="I711" i="13"/>
  <c r="I353" i="13"/>
  <c r="I551" i="13"/>
  <c r="I803" i="13"/>
  <c r="I399" i="13"/>
  <c r="I716" i="13"/>
  <c r="I57" i="13"/>
  <c r="I440" i="13"/>
  <c r="I809" i="13"/>
  <c r="I314" i="13"/>
  <c r="I1032" i="13"/>
  <c r="I125" i="13"/>
  <c r="I537" i="13"/>
  <c r="I930" i="13"/>
  <c r="I1023" i="13"/>
  <c r="I651" i="13"/>
  <c r="I886" i="13"/>
  <c r="I686" i="13"/>
  <c r="I272" i="13"/>
  <c r="I766" i="13"/>
  <c r="I58" i="13"/>
  <c r="I775" i="13"/>
  <c r="I476" i="13"/>
  <c r="I461" i="13"/>
  <c r="I492" i="13"/>
  <c r="I434" i="13"/>
  <c r="I138" i="13"/>
  <c r="I520" i="13"/>
  <c r="I413" i="13"/>
  <c r="I368" i="13"/>
  <c r="I1019" i="13"/>
  <c r="I646" i="13"/>
  <c r="I407" i="13"/>
  <c r="I966" i="13"/>
  <c r="I223" i="13"/>
  <c r="I840" i="13"/>
  <c r="I33" i="13"/>
  <c r="I9" i="13"/>
  <c r="I256" i="13"/>
  <c r="I500" i="13"/>
  <c r="I487" i="13"/>
  <c r="I42" i="13"/>
  <c r="I392" i="13"/>
  <c r="I481" i="13"/>
  <c r="I447" i="13"/>
  <c r="I336" i="13"/>
  <c r="I719" i="13"/>
  <c r="I81" i="13"/>
  <c r="I134" i="13"/>
  <c r="I747" i="13"/>
  <c r="I3" i="13"/>
  <c r="I510" i="13"/>
  <c r="I781" i="13"/>
  <c r="I296" i="13"/>
  <c r="I30" i="13"/>
  <c r="I244" i="13"/>
  <c r="I113" i="13"/>
  <c r="I763" i="13"/>
  <c r="I55" i="13"/>
  <c r="I981" i="13"/>
  <c r="I864" i="13"/>
  <c r="I934" i="13"/>
  <c r="I263" i="13"/>
  <c r="I325" i="13"/>
  <c r="I528" i="13"/>
  <c r="I987" i="13"/>
  <c r="I876" i="13"/>
  <c r="I283" i="13"/>
  <c r="I73" i="13"/>
  <c r="I912" i="13"/>
  <c r="I625" i="13"/>
  <c r="I816" i="13"/>
  <c r="I76" i="13"/>
  <c r="I739" i="13"/>
  <c r="I502" i="13"/>
  <c r="I2" i="13"/>
  <c r="I446" i="13"/>
  <c r="I582" i="13"/>
  <c r="I154" i="13"/>
  <c r="I852" i="13"/>
  <c r="I393" i="13"/>
  <c r="I881" i="13"/>
  <c r="I334" i="13"/>
  <c r="I911" i="13"/>
  <c r="I241" i="13"/>
  <c r="I798" i="13"/>
  <c r="I580" i="13"/>
  <c r="C844" i="13"/>
  <c r="C986" i="13"/>
  <c r="C494" i="13"/>
  <c r="C596" i="13"/>
  <c r="C224" i="13"/>
  <c r="C144" i="13"/>
  <c r="C208" i="13"/>
  <c r="D208" i="13" s="1"/>
  <c r="C523" i="13"/>
  <c r="C1009" i="13"/>
  <c r="C181" i="13"/>
  <c r="C615" i="13"/>
  <c r="C469" i="13"/>
  <c r="C467" i="13"/>
  <c r="C786" i="13"/>
  <c r="C639" i="13"/>
  <c r="D639" i="13" s="1"/>
  <c r="C89" i="13"/>
  <c r="C444" i="13"/>
  <c r="C350" i="13"/>
  <c r="C191" i="13"/>
  <c r="C832" i="13"/>
  <c r="C1016" i="13"/>
  <c r="C944" i="13"/>
  <c r="C14" i="13"/>
  <c r="D14" i="13" s="1"/>
  <c r="C86" i="13"/>
  <c r="C997" i="13"/>
  <c r="C800" i="13"/>
  <c r="C592" i="13"/>
  <c r="C93" i="13"/>
  <c r="C904" i="13"/>
  <c r="C149" i="13"/>
  <c r="C344" i="13"/>
  <c r="D344" i="13" s="1"/>
  <c r="C441" i="13"/>
  <c r="C346" i="13"/>
  <c r="C323" i="13"/>
  <c r="C505" i="13"/>
  <c r="C531" i="13"/>
  <c r="C612" i="13"/>
  <c r="C963" i="13"/>
  <c r="C307" i="13"/>
  <c r="D307" i="13" s="1"/>
  <c r="C196" i="13"/>
  <c r="C179" i="13"/>
  <c r="C610" i="13"/>
  <c r="C663" i="13"/>
  <c r="C788" i="13"/>
  <c r="C769" i="13"/>
  <c r="C549" i="13"/>
  <c r="C97" i="13"/>
  <c r="D97" i="13" s="1"/>
  <c r="C783" i="13"/>
  <c r="C858" i="13"/>
  <c r="C168" i="13"/>
  <c r="C619" i="13"/>
  <c r="C676" i="13"/>
  <c r="C316" i="13"/>
  <c r="C26" i="13"/>
  <c r="C329" i="13"/>
  <c r="D329" i="13" s="1"/>
  <c r="C108" i="13"/>
  <c r="C110" i="13"/>
  <c r="C765" i="13"/>
  <c r="C780" i="13"/>
  <c r="C226" i="13"/>
  <c r="C122" i="13"/>
  <c r="C652" i="13"/>
  <c r="C123" i="13"/>
  <c r="D123" i="13" s="1"/>
  <c r="C74" i="13"/>
  <c r="C589" i="13"/>
  <c r="C270" i="13"/>
  <c r="C47" i="13"/>
  <c r="C748" i="13"/>
  <c r="C489" i="13"/>
  <c r="C109" i="13"/>
  <c r="C499" i="13"/>
  <c r="D499" i="13" s="1"/>
  <c r="C845" i="13"/>
  <c r="C183" i="13"/>
  <c r="C670" i="13"/>
  <c r="C335" i="13"/>
  <c r="C13" i="13"/>
  <c r="C690" i="13"/>
  <c r="C298" i="13"/>
  <c r="C493" i="13"/>
  <c r="D493" i="13" s="1"/>
  <c r="C152" i="13"/>
  <c r="C253" i="13"/>
  <c r="C472" i="13"/>
  <c r="C714" i="13"/>
  <c r="C450" i="13"/>
  <c r="C989" i="13"/>
  <c r="C899" i="13"/>
  <c r="C977" i="13"/>
  <c r="D977" i="13" s="1"/>
  <c r="C167" i="13"/>
  <c r="C692" i="13"/>
  <c r="C771" i="13"/>
  <c r="C412" i="13"/>
  <c r="C516" i="13"/>
  <c r="C454" i="13"/>
  <c r="C567" i="13"/>
  <c r="C117" i="13"/>
  <c r="D117" i="13" s="1"/>
  <c r="C768" i="13"/>
  <c r="C477" i="13"/>
  <c r="C929" i="13"/>
  <c r="C451" i="13"/>
  <c r="C254" i="13"/>
  <c r="C347" i="13"/>
  <c r="C671" i="13"/>
  <c r="C600" i="13"/>
  <c r="D600" i="13" s="1"/>
  <c r="C624" i="13"/>
  <c r="C498" i="13"/>
  <c r="C348" i="13"/>
  <c r="C78" i="13"/>
  <c r="C65" i="13"/>
  <c r="C96" i="13"/>
  <c r="C180" i="13"/>
  <c r="C831" i="13"/>
  <c r="D831" i="13" s="1"/>
  <c r="C657" i="13"/>
  <c r="C281" i="13"/>
  <c r="C317" i="13"/>
  <c r="C435" i="13"/>
  <c r="C172" i="13"/>
  <c r="C794" i="13"/>
  <c r="C171" i="13"/>
  <c r="C6" i="13"/>
  <c r="D6" i="13" s="1"/>
  <c r="C132" i="13"/>
  <c r="C417" i="13"/>
  <c r="C760" i="13"/>
  <c r="C360" i="13"/>
  <c r="C728" i="13"/>
  <c r="C261" i="13"/>
  <c r="C666" i="13"/>
  <c r="C190" i="13"/>
  <c r="D190" i="13" s="1"/>
  <c r="C948" i="13"/>
  <c r="C841" i="13"/>
  <c r="C207" i="13"/>
  <c r="C906" i="13"/>
  <c r="C129" i="13"/>
  <c r="C11" i="13"/>
  <c r="C430" i="13"/>
  <c r="C48" i="13"/>
  <c r="D48" i="13" s="1"/>
  <c r="C823" i="13"/>
  <c r="C204" i="13"/>
  <c r="C729" i="13"/>
  <c r="C655" i="13"/>
  <c r="C390" i="13"/>
  <c r="C1033" i="13"/>
  <c r="C299" i="13"/>
  <c r="C182" i="13"/>
  <c r="D182" i="13" s="1"/>
  <c r="C559" i="13"/>
  <c r="C776" i="13"/>
  <c r="C870" i="13"/>
  <c r="C685" i="13"/>
  <c r="C1012" i="13"/>
  <c r="C150" i="13"/>
  <c r="C339" i="13"/>
  <c r="C576" i="13"/>
  <c r="C262" i="13"/>
  <c r="C629" i="13"/>
  <c r="C162" i="13"/>
  <c r="C292" i="13"/>
  <c r="C900" i="13"/>
  <c r="C953" i="13"/>
  <c r="C587" i="13"/>
  <c r="C572" i="13"/>
  <c r="C1020" i="13"/>
  <c r="C50" i="13"/>
  <c r="C925" i="13"/>
  <c r="C556" i="13"/>
  <c r="C40" i="13"/>
  <c r="C616" i="13"/>
  <c r="C315" i="13"/>
  <c r="C574" i="13"/>
  <c r="C736" i="13"/>
  <c r="C954" i="13"/>
  <c r="C715" i="13"/>
  <c r="C1015" i="13"/>
  <c r="C804" i="13"/>
  <c r="C750" i="13"/>
  <c r="C878" i="13"/>
  <c r="C568" i="13"/>
  <c r="C398" i="13"/>
  <c r="C304" i="13"/>
  <c r="C664" i="13"/>
  <c r="C1024" i="13"/>
  <c r="C429" i="13"/>
  <c r="C530" i="13"/>
  <c r="C82" i="13"/>
  <c r="C452" i="13"/>
  <c r="D452" i="13" s="1"/>
  <c r="C642" i="13"/>
  <c r="C979" i="13"/>
  <c r="C133" i="13"/>
  <c r="C659" i="13"/>
  <c r="C23" i="13"/>
  <c r="C501" i="13"/>
  <c r="C855" i="13"/>
  <c r="C785" i="13"/>
  <c r="C533" i="13"/>
  <c r="C1017" i="13"/>
  <c r="C849" i="13"/>
  <c r="C931" i="13"/>
  <c r="C887" i="13"/>
  <c r="C210" i="13"/>
  <c r="C907" i="13"/>
  <c r="C595" i="13"/>
  <c r="C497" i="13"/>
  <c r="C169" i="13"/>
  <c r="C839" i="13"/>
  <c r="C66" i="13"/>
  <c r="C153" i="13"/>
  <c r="C59" i="13"/>
  <c r="C1029" i="13"/>
  <c r="C453" i="13"/>
  <c r="C51" i="13"/>
  <c r="C644" i="13"/>
  <c r="C829" i="13"/>
  <c r="C193" i="13"/>
  <c r="C248" i="13"/>
  <c r="C249" i="13"/>
  <c r="C668" i="13"/>
  <c r="C814" i="13"/>
  <c r="C388" i="13"/>
  <c r="C38" i="13"/>
  <c r="C515" i="13"/>
  <c r="C449" i="13"/>
  <c r="C593" i="13"/>
  <c r="C653" i="13"/>
  <c r="C403" i="13"/>
  <c r="C364" i="13"/>
  <c r="C269" i="13"/>
  <c r="C8" i="13"/>
  <c r="C343" i="13"/>
  <c r="C751" i="13"/>
  <c r="C143" i="13"/>
  <c r="C563" i="13"/>
  <c r="C891" i="13"/>
  <c r="C640" i="13"/>
  <c r="C691" i="13"/>
  <c r="C319" i="13"/>
  <c r="C724" i="13"/>
  <c r="C308" i="13"/>
  <c r="C342" i="13"/>
  <c r="C882" i="13"/>
  <c r="C1003" i="13"/>
  <c r="C72" i="13"/>
  <c r="C228" i="13"/>
  <c r="C799" i="13"/>
  <c r="C309" i="13"/>
  <c r="C280" i="13"/>
  <c r="C289" i="13"/>
  <c r="C527" i="13"/>
  <c r="C565" i="13"/>
  <c r="C395" i="13"/>
  <c r="D395" i="13" s="1"/>
  <c r="C679" i="13"/>
  <c r="C705" i="13"/>
  <c r="C883" i="13"/>
  <c r="C656" i="13"/>
  <c r="C879" i="13"/>
  <c r="C278" i="13"/>
  <c r="C539" i="13"/>
  <c r="C239" i="13"/>
  <c r="C416" i="13"/>
  <c r="C913" i="13"/>
  <c r="C701" i="13"/>
  <c r="C698" i="13"/>
  <c r="C782" i="13"/>
  <c r="C949" i="13"/>
  <c r="C36" i="13"/>
  <c r="C221" i="13"/>
  <c r="C98" i="13"/>
  <c r="C146" i="13"/>
  <c r="C95" i="13"/>
  <c r="C754" i="13"/>
  <c r="C893" i="13"/>
  <c r="C67" i="13"/>
  <c r="C365" i="13"/>
  <c r="C735" i="13"/>
  <c r="C437" i="13"/>
  <c r="C938" i="13"/>
  <c r="C424" i="13"/>
  <c r="C439" i="13"/>
  <c r="C282" i="13"/>
  <c r="C131" i="13"/>
  <c r="C322" i="13"/>
  <c r="C389" i="13"/>
  <c r="C85" i="13"/>
  <c r="C266" i="13"/>
  <c r="C101" i="13"/>
  <c r="C495" i="13"/>
  <c r="C177" i="13"/>
  <c r="C793" i="13"/>
  <c r="C49" i="13"/>
  <c r="C555" i="13"/>
  <c r="C825" i="13"/>
  <c r="C351" i="13"/>
  <c r="C994" i="13"/>
  <c r="C236" i="13"/>
  <c r="C201" i="13"/>
  <c r="C943" i="13"/>
  <c r="C974" i="13"/>
  <c r="C519" i="13"/>
  <c r="C7" i="13"/>
  <c r="C626" i="13"/>
  <c r="C998" i="13"/>
  <c r="C255" i="13"/>
  <c r="C851" i="13"/>
  <c r="C678" i="13"/>
  <c r="C801" i="13"/>
  <c r="C968" i="13"/>
  <c r="C92" i="13"/>
  <c r="D92" i="13" s="1"/>
  <c r="C983" i="13"/>
  <c r="C377" i="13"/>
  <c r="C675" i="13"/>
  <c r="C22" i="13"/>
  <c r="C661" i="13"/>
  <c r="C650" i="13"/>
  <c r="C187" i="13"/>
  <c r="C176" i="13"/>
  <c r="C869" i="13"/>
  <c r="C632" i="13"/>
  <c r="C578" i="13"/>
  <c r="C464" i="13"/>
  <c r="C888" i="13"/>
  <c r="C597" i="13"/>
  <c r="C232" i="13"/>
  <c r="C743" i="13"/>
  <c r="C681" i="13"/>
  <c r="C271" i="13"/>
  <c r="C184" i="13"/>
  <c r="C384" i="13"/>
  <c r="C427" i="13"/>
  <c r="C687" i="13"/>
  <c r="C941" i="13"/>
  <c r="C609" i="13"/>
  <c r="C560" i="13"/>
  <c r="C939" i="13"/>
  <c r="C709" i="13"/>
  <c r="C633" i="13"/>
  <c r="C352" i="13"/>
  <c r="C354" i="13"/>
  <c r="C106" i="13"/>
  <c r="C1030" i="13"/>
  <c r="D1030" i="13" s="1"/>
  <c r="C817" i="13"/>
  <c r="C622" i="13"/>
  <c r="C195" i="13"/>
  <c r="C915" i="13"/>
  <c r="C710" i="13"/>
  <c r="C762" i="13"/>
  <c r="C423" i="13"/>
  <c r="C483" i="13"/>
  <c r="C475" i="13"/>
  <c r="C980" i="13"/>
  <c r="C274" i="13"/>
  <c r="C275" i="13"/>
  <c r="C363" i="13"/>
  <c r="C100" i="13"/>
  <c r="C105" i="13"/>
  <c r="C956" i="13"/>
  <c r="C525" i="13"/>
  <c r="C279" i="13"/>
  <c r="C265" i="13"/>
  <c r="C898" i="13"/>
  <c r="C969" i="13"/>
  <c r="C862" i="13"/>
  <c r="C229" i="13"/>
  <c r="C660" i="13"/>
  <c r="C291" i="13"/>
  <c r="C178" i="13"/>
  <c r="C557" i="13"/>
  <c r="C847" i="13"/>
  <c r="C158" i="13"/>
  <c r="C586" i="13"/>
  <c r="C203" i="13"/>
  <c r="C713" i="13"/>
  <c r="D713" i="13" s="1"/>
  <c r="C235" i="13"/>
  <c r="C455" i="13"/>
  <c r="C937" i="13"/>
  <c r="C590" i="13"/>
  <c r="C889" i="13"/>
  <c r="C703" i="13"/>
  <c r="C874" i="13"/>
  <c r="C790" i="13"/>
  <c r="C362" i="13"/>
  <c r="C702" i="13"/>
  <c r="C295" i="13"/>
  <c r="C1013" i="13"/>
  <c r="C910" i="13"/>
  <c r="C1001" i="13"/>
  <c r="C512" i="13"/>
  <c r="C584" i="13"/>
  <c r="C945" i="13"/>
  <c r="C326" i="13"/>
  <c r="C19" i="13"/>
  <c r="C443" i="13"/>
  <c r="C577" i="13"/>
  <c r="C942" i="13"/>
  <c r="C238" i="13"/>
  <c r="C39" i="13"/>
  <c r="C80" i="13"/>
  <c r="C327" i="13"/>
  <c r="C379" i="13"/>
  <c r="C927" i="13"/>
  <c r="C972" i="13"/>
  <c r="C186" i="13"/>
  <c r="C662" i="13"/>
  <c r="C445" i="13"/>
  <c r="D445" i="13" s="1"/>
  <c r="C62" i="13"/>
  <c r="C892" i="13"/>
  <c r="C756" i="13"/>
  <c r="C142" i="13"/>
  <c r="C448" i="13"/>
  <c r="C541" i="13"/>
  <c r="C677" i="13"/>
  <c r="C35" i="13"/>
  <c r="C602" i="13"/>
  <c r="C258" i="13"/>
  <c r="C865" i="13"/>
  <c r="C649" i="13"/>
  <c r="C787" i="13"/>
  <c r="C877" i="13"/>
  <c r="C341" i="13"/>
  <c r="C822" i="13"/>
  <c r="C723" i="13"/>
  <c r="C433" i="13"/>
  <c r="C206" i="13"/>
  <c r="C139" i="13"/>
  <c r="C812" i="13"/>
  <c r="C623" i="13"/>
  <c r="C746" i="13"/>
  <c r="C996" i="13"/>
  <c r="C418" i="13"/>
  <c r="C821" i="13"/>
  <c r="C617" i="13"/>
  <c r="C276" i="13"/>
  <c r="C1018" i="13"/>
  <c r="C222" i="13"/>
  <c r="C854" i="13"/>
  <c r="C951" i="13"/>
  <c r="D951" i="13" s="1"/>
  <c r="C792" i="13"/>
  <c r="C202" i="13"/>
  <c r="C328" i="13"/>
  <c r="C457" i="13"/>
  <c r="C538" i="13"/>
  <c r="C536" i="13"/>
  <c r="C411" i="13"/>
  <c r="C611" i="13"/>
  <c r="C561" i="13"/>
  <c r="C818" i="13"/>
  <c r="C605" i="13"/>
  <c r="C534" i="13"/>
  <c r="C684" i="13"/>
  <c r="C438" i="13"/>
  <c r="C321" i="13"/>
  <c r="C506" i="13"/>
  <c r="C734" i="13"/>
  <c r="C425" i="13"/>
  <c r="C288" i="13"/>
  <c r="C147" i="13"/>
  <c r="C230" i="13"/>
  <c r="C835" i="13"/>
  <c r="C234" i="13"/>
  <c r="C607" i="13"/>
  <c r="C928" i="13"/>
  <c r="C246" i="13"/>
  <c r="C554" i="13"/>
  <c r="C79" i="13"/>
  <c r="C18" i="13"/>
  <c r="C394" i="13"/>
  <c r="C300" i="13"/>
  <c r="C807" i="13"/>
  <c r="D807" i="13" s="1"/>
  <c r="C385" i="13"/>
  <c r="C1007" i="13"/>
  <c r="C918" i="13"/>
  <c r="C141" i="13"/>
  <c r="C486" i="13"/>
  <c r="C836" i="13"/>
  <c r="C1002" i="13"/>
  <c r="C212" i="13"/>
  <c r="C585" i="13"/>
  <c r="C404" i="13"/>
  <c r="C513" i="13"/>
  <c r="C682" i="13"/>
  <c r="C302" i="13"/>
  <c r="C764" i="13"/>
  <c r="C895" i="13"/>
  <c r="C697" i="13"/>
  <c r="C636" i="13"/>
  <c r="C857" i="13"/>
  <c r="C373" i="13"/>
  <c r="C90" i="13"/>
  <c r="C923" i="13"/>
  <c r="C127" i="13"/>
  <c r="C581" i="13"/>
  <c r="C473" i="13"/>
  <c r="C916" i="13"/>
  <c r="C345" i="13"/>
  <c r="C173" i="13"/>
  <c r="C971" i="13"/>
  <c r="C962" i="13"/>
  <c r="C658" i="13"/>
  <c r="C116" i="13"/>
  <c r="C988" i="13"/>
  <c r="D988" i="13" s="1"/>
  <c r="C104" i="13"/>
  <c r="C952" i="13"/>
  <c r="C970" i="13"/>
  <c r="C485" i="13"/>
  <c r="C87" i="13"/>
  <c r="C773" i="13"/>
  <c r="C251" i="13"/>
  <c r="C382" i="13"/>
  <c r="C397" i="13"/>
  <c r="C810" i="13"/>
  <c r="C603" i="13"/>
  <c r="C993" i="13"/>
  <c r="C583" i="13"/>
  <c r="C120" i="13"/>
  <c r="C480" i="13"/>
  <c r="C137" i="13"/>
  <c r="C313" i="13"/>
  <c r="C75" i="13"/>
  <c r="C991" i="13"/>
  <c r="C436" i="13"/>
  <c r="C128" i="13"/>
  <c r="C372" i="13"/>
  <c r="C955" i="13"/>
  <c r="C599" i="13"/>
  <c r="C706" i="13"/>
  <c r="C873" i="13"/>
  <c r="C370" i="13"/>
  <c r="C826" i="13"/>
  <c r="C532" i="13"/>
  <c r="C834" i="13"/>
  <c r="C853" i="13"/>
  <c r="C730" i="13"/>
  <c r="D730" i="13" s="1"/>
  <c r="C547" i="13"/>
  <c r="C550" i="13"/>
  <c r="C496" i="13"/>
  <c r="C264" i="13"/>
  <c r="C958" i="13"/>
  <c r="C613" i="13"/>
  <c r="C88" i="13"/>
  <c r="C641" i="13"/>
  <c r="C252" i="13"/>
  <c r="C320" i="13"/>
  <c r="C381" i="13"/>
  <c r="C647" i="13"/>
  <c r="C700" i="13"/>
  <c r="C356" i="13"/>
  <c r="C41" i="13"/>
  <c r="C579" i="13"/>
  <c r="C479" i="13"/>
  <c r="C569" i="13"/>
  <c r="C772" i="13"/>
  <c r="C458" i="13"/>
  <c r="C837" i="13"/>
  <c r="C124" i="13"/>
  <c r="C914" i="13"/>
  <c r="C903" i="13"/>
  <c r="C856" i="13"/>
  <c r="C985" i="13"/>
  <c r="C166" i="13"/>
  <c r="C277" i="13"/>
  <c r="C160" i="13"/>
  <c r="C107" i="13"/>
  <c r="C946" i="13"/>
  <c r="C978" i="13"/>
  <c r="D978" i="13" s="1"/>
  <c r="C638" i="13"/>
  <c r="C976" i="13"/>
  <c r="C634" i="13"/>
  <c r="C737" i="13"/>
  <c r="C112" i="13"/>
  <c r="C712" i="13"/>
  <c r="C509" i="13"/>
  <c r="C375" i="13"/>
  <c r="C406" i="13"/>
  <c r="C902" i="13"/>
  <c r="C60" i="13"/>
  <c r="C459" i="13"/>
  <c r="C540" i="13"/>
  <c r="C369" i="13"/>
  <c r="C99" i="13"/>
  <c r="C673" i="13"/>
  <c r="C257" i="13"/>
  <c r="C151" i="13"/>
  <c r="C833" i="13"/>
  <c r="C225" i="13"/>
  <c r="C45" i="13"/>
  <c r="C286" i="13"/>
  <c r="C973" i="13"/>
  <c r="C402" i="13"/>
  <c r="C371" i="13"/>
  <c r="C488" i="13"/>
  <c r="C136" i="13"/>
  <c r="C119" i="13"/>
  <c r="C37" i="13"/>
  <c r="C1026" i="13"/>
  <c r="C529" i="13"/>
  <c r="C1025" i="13"/>
  <c r="D1025" i="13" s="1"/>
  <c r="C118" i="13"/>
  <c r="C367" i="13"/>
  <c r="C306" i="13"/>
  <c r="C778" i="13"/>
  <c r="C324" i="13"/>
  <c r="C52" i="13"/>
  <c r="C43" i="13"/>
  <c r="C535" i="13"/>
  <c r="C478" i="13"/>
  <c r="C843" i="13"/>
  <c r="C838" i="13"/>
  <c r="C32" i="13"/>
  <c r="C695" i="13"/>
  <c r="C940" i="13"/>
  <c r="C462" i="13"/>
  <c r="C802" i="13"/>
  <c r="C318" i="13"/>
  <c r="C391" i="13"/>
  <c r="C654" i="13"/>
  <c r="C594" i="13"/>
  <c r="C761" i="13"/>
  <c r="C194" i="13"/>
  <c r="C431" i="13"/>
  <c r="D431" i="13" s="1"/>
  <c r="C606" i="13"/>
  <c r="C745" i="13"/>
  <c r="C247" i="13"/>
  <c r="C332" i="13"/>
  <c r="C227" i="13"/>
  <c r="C231" i="13"/>
  <c r="C820" i="13"/>
  <c r="C484" i="13"/>
  <c r="C1008" i="13"/>
  <c r="C708" i="13"/>
  <c r="C1021" i="13"/>
  <c r="C69" i="13"/>
  <c r="C1014" i="13"/>
  <c r="C1027" i="13"/>
  <c r="C744" i="13"/>
  <c r="C683" i="13"/>
  <c r="C518" i="13"/>
  <c r="C456" i="13"/>
  <c r="C784" i="13"/>
  <c r="C720" i="13"/>
  <c r="C757" i="13"/>
  <c r="C738" i="13"/>
  <c r="C358" i="13"/>
  <c r="D358" i="13" s="1"/>
  <c r="C511" i="13"/>
  <c r="C755" i="13"/>
  <c r="C199" i="13"/>
  <c r="C355" i="13"/>
  <c r="C795" i="13"/>
  <c r="C20" i="13"/>
  <c r="C796" i="13"/>
  <c r="C894" i="13"/>
  <c r="C620" i="13"/>
  <c r="C233" i="13"/>
  <c r="C1011" i="13"/>
  <c r="C965" i="13"/>
  <c r="C64" i="13"/>
  <c r="C875" i="13"/>
  <c r="C850" i="13"/>
  <c r="C491" i="13"/>
  <c r="C742" i="13"/>
  <c r="C188" i="13"/>
  <c r="D188" i="13" s="1"/>
  <c r="C303" i="13"/>
  <c r="C570" i="13"/>
  <c r="C544" i="13"/>
  <c r="C409" i="13"/>
  <c r="C545" i="13"/>
  <c r="C333" i="13"/>
  <c r="C12" i="13"/>
  <c r="C311" i="13"/>
  <c r="C521" i="13"/>
  <c r="C200" i="13"/>
  <c r="C10" i="13"/>
  <c r="C383" i="13"/>
  <c r="C217" i="13"/>
  <c r="C337" i="13"/>
  <c r="C53" i="13"/>
  <c r="C861" i="13"/>
  <c r="C338" i="13"/>
  <c r="C44" i="13"/>
  <c r="C901" i="13"/>
  <c r="C924" i="13"/>
  <c r="C15" i="13"/>
  <c r="C507" i="13"/>
  <c r="C813" i="13"/>
  <c r="D813" i="13" s="1"/>
  <c r="C165" i="13"/>
  <c r="C905" i="13"/>
  <c r="C474" i="13"/>
  <c r="C148" i="13"/>
  <c r="C722" i="13"/>
  <c r="C91" i="13"/>
  <c r="C964" i="13"/>
  <c r="C83" i="13"/>
  <c r="D83" i="13" s="1"/>
  <c r="C218" i="13"/>
  <c r="C960" i="13"/>
  <c r="C637" i="13"/>
  <c r="C216" i="13"/>
  <c r="C699" i="13"/>
  <c r="C546" i="13"/>
  <c r="C548" i="13"/>
  <c r="C490" i="13"/>
  <c r="D490" i="13" s="1"/>
  <c r="C209" i="13"/>
  <c r="C770" i="13"/>
  <c r="C374" i="13"/>
  <c r="C920" i="13"/>
  <c r="C164" i="13"/>
  <c r="C880" i="13"/>
  <c r="C982" i="13"/>
  <c r="C631" i="13"/>
  <c r="D631" i="13" s="1"/>
  <c r="C189" i="13"/>
  <c r="C758" i="13"/>
  <c r="C482" i="13"/>
  <c r="C163" i="13"/>
  <c r="C819" i="13"/>
  <c r="C947" i="13"/>
  <c r="C504" i="13"/>
  <c r="C588" i="13"/>
  <c r="D588" i="13" s="1"/>
  <c r="C791" i="13"/>
  <c r="C56" i="13"/>
  <c r="C408" i="13"/>
  <c r="C126" i="13"/>
  <c r="C68" i="13"/>
  <c r="C293" i="13"/>
  <c r="C54" i="13"/>
  <c r="C115" i="13"/>
  <c r="D115" i="13" s="1"/>
  <c r="C470" i="13"/>
  <c r="C273" i="13"/>
  <c r="C331" i="13"/>
  <c r="C401" i="13"/>
  <c r="C17" i="13"/>
  <c r="C161" i="13"/>
  <c r="C688" i="13"/>
  <c r="C1031" i="13"/>
  <c r="D1031" i="13" s="1"/>
  <c r="C975" i="13"/>
  <c r="C779" i="13"/>
  <c r="C604" i="13"/>
  <c r="C77" i="13"/>
  <c r="C860" i="13"/>
  <c r="C213" i="13"/>
  <c r="C242" i="13"/>
  <c r="C890" i="13"/>
  <c r="D890" i="13" s="1"/>
  <c r="C553" i="13"/>
  <c r="C808" i="13"/>
  <c r="C284" i="13"/>
  <c r="C410" i="13"/>
  <c r="C732" i="13"/>
  <c r="C863" i="13"/>
  <c r="C741" i="13"/>
  <c r="C643" i="13"/>
  <c r="D643" i="13" s="1"/>
  <c r="C415" i="13"/>
  <c r="C185" i="13"/>
  <c r="C828" i="13"/>
  <c r="C627" i="13"/>
  <c r="C645" i="13"/>
  <c r="C562" i="13"/>
  <c r="C121" i="13"/>
  <c r="C361" i="13"/>
  <c r="D361" i="13" s="1"/>
  <c r="C667" i="13"/>
  <c r="C259" i="13"/>
  <c r="C387" i="13"/>
  <c r="C921" i="13"/>
  <c r="C29" i="13"/>
  <c r="C70" i="13"/>
  <c r="C1004" i="13"/>
  <c r="C310" i="13"/>
  <c r="D310" i="13" s="1"/>
  <c r="C926" i="13"/>
  <c r="C27" i="13"/>
  <c r="C896" i="13"/>
  <c r="C386" i="13"/>
  <c r="C884" i="13"/>
  <c r="C811" i="13"/>
  <c r="C922" i="13"/>
  <c r="C718" i="13"/>
  <c r="D718" i="13" s="1"/>
  <c r="C405" i="13"/>
  <c r="C665" i="13"/>
  <c r="C503" i="13"/>
  <c r="C919" i="13"/>
  <c r="C508" i="13"/>
  <c r="C935" i="13"/>
  <c r="C917" i="13"/>
  <c r="C789" i="13"/>
  <c r="D789" i="13" s="1"/>
  <c r="C240" i="13"/>
  <c r="C522" i="13"/>
  <c r="C805" i="13"/>
  <c r="C268" i="13"/>
  <c r="C618" i="13"/>
  <c r="C16" i="13"/>
  <c r="C608" i="13"/>
  <c r="C471" i="13"/>
  <c r="D471" i="13" s="1"/>
  <c r="C543" i="13"/>
  <c r="C933" i="13"/>
  <c r="C669" i="13"/>
  <c r="C380" i="13"/>
  <c r="C573" i="13"/>
  <c r="C635" i="13"/>
  <c r="C198" i="13"/>
  <c r="C721" i="13"/>
  <c r="D721" i="13" s="1"/>
  <c r="C349" i="13"/>
  <c r="C827" i="13"/>
  <c r="C575" i="13"/>
  <c r="C885" i="13"/>
  <c r="C752" i="13"/>
  <c r="C614" i="13"/>
  <c r="C114" i="13"/>
  <c r="C243" i="13"/>
  <c r="D243" i="13" s="1"/>
  <c r="C102" i="13"/>
  <c r="C159" i="13"/>
  <c r="C514" i="13"/>
  <c r="C689" i="13"/>
  <c r="C806" i="13"/>
  <c r="C214" i="13"/>
  <c r="C1028" i="13"/>
  <c r="C24" i="13"/>
  <c r="D24" i="13" s="1"/>
  <c r="C71" i="13"/>
  <c r="C463" i="13"/>
  <c r="C526" i="13"/>
  <c r="C5" i="13"/>
  <c r="C426" i="13"/>
  <c r="C330" i="13"/>
  <c r="C717" i="13"/>
  <c r="C995" i="13"/>
  <c r="D995" i="13" s="1"/>
  <c r="C428" i="13"/>
  <c r="C34" i="13"/>
  <c r="C31" i="13"/>
  <c r="C524" i="13"/>
  <c r="C422" i="13"/>
  <c r="C961" i="13"/>
  <c r="C46" i="13"/>
  <c r="C4" i="13"/>
  <c r="D4" i="13" s="1"/>
  <c r="C694" i="13"/>
  <c r="C733" i="13"/>
  <c r="C466" i="13"/>
  <c r="C301" i="13"/>
  <c r="C936" i="13"/>
  <c r="C197" i="13"/>
  <c r="C867" i="13"/>
  <c r="C815" i="13"/>
  <c r="D815" i="13" s="1"/>
  <c r="C726" i="13"/>
  <c r="C591" i="13"/>
  <c r="C1010" i="13"/>
  <c r="C94" i="13"/>
  <c r="C157" i="13"/>
  <c r="C727" i="13"/>
  <c r="C156" i="13"/>
  <c r="C696" i="13"/>
  <c r="D696" i="13" s="1"/>
  <c r="C111" i="13"/>
  <c r="C967" i="13"/>
  <c r="C601" i="13"/>
  <c r="C378" i="13"/>
  <c r="C376" i="13"/>
  <c r="C366" i="13"/>
  <c r="C871" i="13"/>
  <c r="C220" i="13"/>
  <c r="D220" i="13" s="1"/>
  <c r="C957" i="13"/>
  <c r="C552" i="13"/>
  <c r="C950" i="13"/>
  <c r="C848" i="13"/>
  <c r="C205" i="13"/>
  <c r="C866" i="13"/>
  <c r="C285" i="13"/>
  <c r="C830" i="13"/>
  <c r="D830" i="13" s="1"/>
  <c r="C990" i="13"/>
  <c r="C414" i="13"/>
  <c r="C237" i="13"/>
  <c r="C872" i="13"/>
  <c r="C359" i="13"/>
  <c r="C630" i="13"/>
  <c r="C175" i="13"/>
  <c r="C250" i="13"/>
  <c r="D250" i="13" s="1"/>
  <c r="C1006" i="13"/>
  <c r="C267" i="13"/>
  <c r="C558" i="13"/>
  <c r="C517" i="13"/>
  <c r="C305" i="13"/>
  <c r="C680" i="13"/>
  <c r="C767" i="13"/>
  <c r="C674" i="13"/>
  <c r="D674" i="13" s="1"/>
  <c r="C571" i="13"/>
  <c r="C999" i="13"/>
  <c r="C542" i="13"/>
  <c r="C749" i="13"/>
  <c r="C357" i="13"/>
  <c r="C215" i="13"/>
  <c r="C170" i="13"/>
  <c r="C465" i="13"/>
  <c r="D465" i="13" s="1"/>
  <c r="C192" i="13"/>
  <c r="C566" i="13"/>
  <c r="C672" i="13"/>
  <c r="C1000" i="13"/>
  <c r="C421" i="13"/>
  <c r="C219" i="13"/>
  <c r="C420" i="13"/>
  <c r="C28" i="13"/>
  <c r="D28" i="13" s="1"/>
  <c r="C135" i="13"/>
  <c r="C859" i="13"/>
  <c r="C932" i="13"/>
  <c r="C621" i="13"/>
  <c r="C725" i="13"/>
  <c r="C245" i="13"/>
  <c r="C140" i="13"/>
  <c r="C984" i="13"/>
  <c r="D984" i="13" s="1"/>
  <c r="C312" i="13"/>
  <c r="C797" i="13"/>
  <c r="C774" i="13"/>
  <c r="C211" i="13"/>
  <c r="C174" i="13"/>
  <c r="C63" i="13"/>
  <c r="C846" i="13"/>
  <c r="C777" i="13"/>
  <c r="D777" i="13" s="1"/>
  <c r="C260" i="13"/>
  <c r="C1022" i="13"/>
  <c r="C731" i="13"/>
  <c r="C290" i="13"/>
  <c r="C103" i="13"/>
  <c r="C628" i="13"/>
  <c r="C753" i="13"/>
  <c r="C294" i="13"/>
  <c r="D294" i="13" s="1"/>
  <c r="C130" i="13"/>
  <c r="C908" i="13"/>
  <c r="C297" i="13"/>
  <c r="C868" i="13"/>
  <c r="C693" i="13"/>
  <c r="C842" i="13"/>
  <c r="C704" i="13"/>
  <c r="C61" i="13"/>
  <c r="D61" i="13" s="1"/>
  <c r="C460" i="13"/>
  <c r="C564" i="13"/>
  <c r="C992" i="13"/>
  <c r="C759" i="13"/>
  <c r="C909" i="13"/>
  <c r="C419" i="13"/>
  <c r="C740" i="13"/>
  <c r="C897" i="13"/>
  <c r="D897" i="13" s="1"/>
  <c r="C824" i="13"/>
  <c r="C145" i="13"/>
  <c r="C707" i="13"/>
  <c r="C396" i="13"/>
  <c r="C25" i="13"/>
  <c r="C432" i="13"/>
  <c r="C21" i="13"/>
  <c r="C84" i="13"/>
  <c r="D84" i="13" s="1"/>
  <c r="C155" i="13"/>
  <c r="C1005" i="13"/>
  <c r="C648" i="13"/>
  <c r="C959" i="13"/>
  <c r="C340" i="13"/>
  <c r="C468" i="13"/>
  <c r="C287" i="13"/>
  <c r="C442" i="13"/>
  <c r="D442" i="13" s="1"/>
  <c r="C598" i="13"/>
  <c r="C400" i="13"/>
  <c r="C711" i="13"/>
  <c r="C353" i="13"/>
  <c r="C551" i="13"/>
  <c r="C803" i="13"/>
  <c r="C399" i="13"/>
  <c r="C716" i="13"/>
  <c r="D716" i="13" s="1"/>
  <c r="C57" i="13"/>
  <c r="C440" i="13"/>
  <c r="C809" i="13"/>
  <c r="C314" i="13"/>
  <c r="C1032" i="13"/>
  <c r="C125" i="13"/>
  <c r="C537" i="13"/>
  <c r="C930" i="13"/>
  <c r="D930" i="13" s="1"/>
  <c r="C1023" i="13"/>
  <c r="C651" i="13"/>
  <c r="C886" i="13"/>
  <c r="C686" i="13"/>
  <c r="C272" i="13"/>
  <c r="C766" i="13"/>
  <c r="C58" i="13"/>
  <c r="C775" i="13"/>
  <c r="D775" i="13" s="1"/>
  <c r="C476" i="13"/>
  <c r="C461" i="13"/>
  <c r="C492" i="13"/>
  <c r="C434" i="13"/>
  <c r="C138" i="13"/>
  <c r="C520" i="13"/>
  <c r="C413" i="13"/>
  <c r="C368" i="13"/>
  <c r="D368" i="13" s="1"/>
  <c r="C1019" i="13"/>
  <c r="C646" i="13"/>
  <c r="C407" i="13"/>
  <c r="C966" i="13"/>
  <c r="C223" i="13"/>
  <c r="C840" i="13"/>
  <c r="C33" i="13"/>
  <c r="C9" i="13"/>
  <c r="D9" i="13" s="1"/>
  <c r="C256" i="13"/>
  <c r="C500" i="13"/>
  <c r="C487" i="13"/>
  <c r="C42" i="13"/>
  <c r="C392" i="13"/>
  <c r="C481" i="13"/>
  <c r="C447" i="13"/>
  <c r="C336" i="13"/>
  <c r="D336" i="13" s="1"/>
  <c r="C719" i="13"/>
  <c r="C81" i="13"/>
  <c r="C134" i="13"/>
  <c r="C747" i="13"/>
  <c r="C3" i="13"/>
  <c r="C510" i="13"/>
  <c r="C781" i="13"/>
  <c r="C296" i="13"/>
  <c r="D296" i="13" s="1"/>
  <c r="C30" i="13"/>
  <c r="C244" i="13"/>
  <c r="C113" i="13"/>
  <c r="C763" i="13"/>
  <c r="C55" i="13"/>
  <c r="C981" i="13"/>
  <c r="C864" i="13"/>
  <c r="C934" i="13"/>
  <c r="D934" i="13" s="1"/>
  <c r="C263" i="13"/>
  <c r="C325" i="13"/>
  <c r="C528" i="13"/>
  <c r="C987" i="13"/>
  <c r="C876" i="13"/>
  <c r="C283" i="13"/>
  <c r="C73" i="13"/>
  <c r="C912" i="13"/>
  <c r="D912" i="13" s="1"/>
  <c r="C625" i="13"/>
  <c r="C816" i="13"/>
  <c r="C76" i="13"/>
  <c r="C739" i="13"/>
  <c r="C502" i="13"/>
  <c r="C2" i="13"/>
  <c r="C446" i="13"/>
  <c r="C582" i="13"/>
  <c r="D582" i="13" s="1"/>
  <c r="C154" i="13"/>
  <c r="C852" i="13"/>
  <c r="C393" i="13"/>
  <c r="C881" i="13"/>
  <c r="C334" i="13"/>
  <c r="C911" i="13"/>
  <c r="C241" i="13"/>
  <c r="C798" i="13"/>
  <c r="D798" i="13" s="1"/>
  <c r="C580" i="13"/>
  <c r="D580" i="13" s="1"/>
  <c r="B844" i="13"/>
  <c r="B986" i="13"/>
  <c r="B494" i="13"/>
  <c r="B596" i="13"/>
  <c r="B224" i="13"/>
  <c r="B144" i="13"/>
  <c r="B208" i="13"/>
  <c r="B523" i="13"/>
  <c r="B1009" i="13"/>
  <c r="B181" i="13"/>
  <c r="B615" i="13"/>
  <c r="B469" i="13"/>
  <c r="B467" i="13"/>
  <c r="B786" i="13"/>
  <c r="B639" i="13"/>
  <c r="B89" i="13"/>
  <c r="B444" i="13"/>
  <c r="B350" i="13"/>
  <c r="B191" i="13"/>
  <c r="B832" i="13"/>
  <c r="B1016" i="13"/>
  <c r="B944" i="13"/>
  <c r="B14" i="13"/>
  <c r="B86" i="13"/>
  <c r="B997" i="13"/>
  <c r="B800" i="13"/>
  <c r="B592" i="13"/>
  <c r="B93" i="13"/>
  <c r="B904" i="13"/>
  <c r="B149" i="13"/>
  <c r="B344" i="13"/>
  <c r="B441" i="13"/>
  <c r="B346" i="13"/>
  <c r="B323" i="13"/>
  <c r="B505" i="13"/>
  <c r="B531" i="13"/>
  <c r="B612" i="13"/>
  <c r="B963" i="13"/>
  <c r="B307" i="13"/>
  <c r="B196" i="13"/>
  <c r="B179" i="13"/>
  <c r="B610" i="13"/>
  <c r="B663" i="13"/>
  <c r="B788" i="13"/>
  <c r="B769" i="13"/>
  <c r="B549" i="13"/>
  <c r="B97" i="13"/>
  <c r="B783" i="13"/>
  <c r="B858" i="13"/>
  <c r="B168" i="13"/>
  <c r="B619" i="13"/>
  <c r="B676" i="13"/>
  <c r="B316" i="13"/>
  <c r="B26" i="13"/>
  <c r="B329" i="13"/>
  <c r="B108" i="13"/>
  <c r="B110" i="13"/>
  <c r="B765" i="13"/>
  <c r="B780" i="13"/>
  <c r="B226" i="13"/>
  <c r="B122" i="13"/>
  <c r="B652" i="13"/>
  <c r="B123" i="13"/>
  <c r="B74" i="13"/>
  <c r="B589" i="13"/>
  <c r="B270" i="13"/>
  <c r="B47" i="13"/>
  <c r="B748" i="13"/>
  <c r="B489" i="13"/>
  <c r="B109" i="13"/>
  <c r="B499" i="13"/>
  <c r="B845" i="13"/>
  <c r="B183" i="13"/>
  <c r="B670" i="13"/>
  <c r="B335" i="13"/>
  <c r="B13" i="13"/>
  <c r="B690" i="13"/>
  <c r="B298" i="13"/>
  <c r="B493" i="13"/>
  <c r="B152" i="13"/>
  <c r="B253" i="13"/>
  <c r="B472" i="13"/>
  <c r="B714" i="13"/>
  <c r="B450" i="13"/>
  <c r="B989" i="13"/>
  <c r="B899" i="13"/>
  <c r="B977" i="13"/>
  <c r="B167" i="13"/>
  <c r="B692" i="13"/>
  <c r="B771" i="13"/>
  <c r="B412" i="13"/>
  <c r="B516" i="13"/>
  <c r="B454" i="13"/>
  <c r="B567" i="13"/>
  <c r="B117" i="13"/>
  <c r="B768" i="13"/>
  <c r="B477" i="13"/>
  <c r="B929" i="13"/>
  <c r="B451" i="13"/>
  <c r="B254" i="13"/>
  <c r="B347" i="13"/>
  <c r="B671" i="13"/>
  <c r="B600" i="13"/>
  <c r="B624" i="13"/>
  <c r="B498" i="13"/>
  <c r="B348" i="13"/>
  <c r="B78" i="13"/>
  <c r="B65" i="13"/>
  <c r="B96" i="13"/>
  <c r="B180" i="13"/>
  <c r="B831" i="13"/>
  <c r="B657" i="13"/>
  <c r="B281" i="13"/>
  <c r="B317" i="13"/>
  <c r="B435" i="13"/>
  <c r="B172" i="13"/>
  <c r="B794" i="13"/>
  <c r="B171" i="13"/>
  <c r="B6" i="13"/>
  <c r="B132" i="13"/>
  <c r="B417" i="13"/>
  <c r="B760" i="13"/>
  <c r="B360" i="13"/>
  <c r="B728" i="13"/>
  <c r="B261" i="13"/>
  <c r="B666" i="13"/>
  <c r="B190" i="13"/>
  <c r="B948" i="13"/>
  <c r="B841" i="13"/>
  <c r="B207" i="13"/>
  <c r="B906" i="13"/>
  <c r="B129" i="13"/>
  <c r="B11" i="13"/>
  <c r="B430" i="13"/>
  <c r="B48" i="13"/>
  <c r="B823" i="13"/>
  <c r="B204" i="13"/>
  <c r="B729" i="13"/>
  <c r="B655" i="13"/>
  <c r="B390" i="13"/>
  <c r="B1033" i="13"/>
  <c r="B299" i="13"/>
  <c r="B182" i="13"/>
  <c r="B559" i="13"/>
  <c r="B776" i="13"/>
  <c r="B870" i="13"/>
  <c r="B685" i="13"/>
  <c r="B1012" i="13"/>
  <c r="B150" i="13"/>
  <c r="B339" i="13"/>
  <c r="B576" i="13"/>
  <c r="B262" i="13"/>
  <c r="B629" i="13"/>
  <c r="B162" i="13"/>
  <c r="B292" i="13"/>
  <c r="B900" i="13"/>
  <c r="B953" i="13"/>
  <c r="B587" i="13"/>
  <c r="B572" i="13"/>
  <c r="B1020" i="13"/>
  <c r="B50" i="13"/>
  <c r="B925" i="13"/>
  <c r="B556" i="13"/>
  <c r="B40" i="13"/>
  <c r="B616" i="13"/>
  <c r="B315" i="13"/>
  <c r="B574" i="13"/>
  <c r="B736" i="13"/>
  <c r="B954" i="13"/>
  <c r="B715" i="13"/>
  <c r="B1015" i="13"/>
  <c r="B804" i="13"/>
  <c r="B750" i="13"/>
  <c r="B878" i="13"/>
  <c r="B568" i="13"/>
  <c r="B398" i="13"/>
  <c r="B304" i="13"/>
  <c r="B664" i="13"/>
  <c r="B1024" i="13"/>
  <c r="B429" i="13"/>
  <c r="B530" i="13"/>
  <c r="B82" i="13"/>
  <c r="B452" i="13"/>
  <c r="B642" i="13"/>
  <c r="B979" i="13"/>
  <c r="B133" i="13"/>
  <c r="B659" i="13"/>
  <c r="B23" i="13"/>
  <c r="B501" i="13"/>
  <c r="B855" i="13"/>
  <c r="B785" i="13"/>
  <c r="B533" i="13"/>
  <c r="B1017" i="13"/>
  <c r="B849" i="13"/>
  <c r="B931" i="13"/>
  <c r="B887" i="13"/>
  <c r="B210" i="13"/>
  <c r="B907" i="13"/>
  <c r="B595" i="13"/>
  <c r="B497" i="13"/>
  <c r="B169" i="13"/>
  <c r="B839" i="13"/>
  <c r="B66" i="13"/>
  <c r="B153" i="13"/>
  <c r="B59" i="13"/>
  <c r="B1029" i="13"/>
  <c r="B453" i="13"/>
  <c r="B51" i="13"/>
  <c r="B644" i="13"/>
  <c r="B829" i="13"/>
  <c r="B193" i="13"/>
  <c r="B248" i="13"/>
  <c r="B249" i="13"/>
  <c r="B668" i="13"/>
  <c r="B814" i="13"/>
  <c r="B388" i="13"/>
  <c r="B38" i="13"/>
  <c r="B515" i="13"/>
  <c r="B449" i="13"/>
  <c r="B593" i="13"/>
  <c r="B653" i="13"/>
  <c r="B403" i="13"/>
  <c r="B364" i="13"/>
  <c r="B269" i="13"/>
  <c r="B8" i="13"/>
  <c r="B343" i="13"/>
  <c r="B751" i="13"/>
  <c r="B143" i="13"/>
  <c r="B563" i="13"/>
  <c r="B891" i="13"/>
  <c r="B640" i="13"/>
  <c r="B691" i="13"/>
  <c r="B319" i="13"/>
  <c r="B724" i="13"/>
  <c r="B308" i="13"/>
  <c r="B342" i="13"/>
  <c r="B882" i="13"/>
  <c r="B1003" i="13"/>
  <c r="B72" i="13"/>
  <c r="B228" i="13"/>
  <c r="B799" i="13"/>
  <c r="B309" i="13"/>
  <c r="B280" i="13"/>
  <c r="B289" i="13"/>
  <c r="B527" i="13"/>
  <c r="B565" i="13"/>
  <c r="B395" i="13"/>
  <c r="B679" i="13"/>
  <c r="B705" i="13"/>
  <c r="B883" i="13"/>
  <c r="B656" i="13"/>
  <c r="B879" i="13"/>
  <c r="B278" i="13"/>
  <c r="B539" i="13"/>
  <c r="B239" i="13"/>
  <c r="B416" i="13"/>
  <c r="B913" i="13"/>
  <c r="B701" i="13"/>
  <c r="B698" i="13"/>
  <c r="B782" i="13"/>
  <c r="B949" i="13"/>
  <c r="B36" i="13"/>
  <c r="B221" i="13"/>
  <c r="B98" i="13"/>
  <c r="B146" i="13"/>
  <c r="B95" i="13"/>
  <c r="B754" i="13"/>
  <c r="B893" i="13"/>
  <c r="B67" i="13"/>
  <c r="B365" i="13"/>
  <c r="B735" i="13"/>
  <c r="B437" i="13"/>
  <c r="B938" i="13"/>
  <c r="B424" i="13"/>
  <c r="B439" i="13"/>
  <c r="B282" i="13"/>
  <c r="B131" i="13"/>
  <c r="B322" i="13"/>
  <c r="B389" i="13"/>
  <c r="B85" i="13"/>
  <c r="B266" i="13"/>
  <c r="B101" i="13"/>
  <c r="B495" i="13"/>
  <c r="B177" i="13"/>
  <c r="B793" i="13"/>
  <c r="B49" i="13"/>
  <c r="B555" i="13"/>
  <c r="B825" i="13"/>
  <c r="B351" i="13"/>
  <c r="B994" i="13"/>
  <c r="B236" i="13"/>
  <c r="B201" i="13"/>
  <c r="B943" i="13"/>
  <c r="B974" i="13"/>
  <c r="B519" i="13"/>
  <c r="B7" i="13"/>
  <c r="B626" i="13"/>
  <c r="B998" i="13"/>
  <c r="B255" i="13"/>
  <c r="B851" i="13"/>
  <c r="B678" i="13"/>
  <c r="B801" i="13"/>
  <c r="B968" i="13"/>
  <c r="B92" i="13"/>
  <c r="B983" i="13"/>
  <c r="B377" i="13"/>
  <c r="B675" i="13"/>
  <c r="B22" i="13"/>
  <c r="B661" i="13"/>
  <c r="B650" i="13"/>
  <c r="B187" i="13"/>
  <c r="B176" i="13"/>
  <c r="B869" i="13"/>
  <c r="B632" i="13"/>
  <c r="B578" i="13"/>
  <c r="B464" i="13"/>
  <c r="B888" i="13"/>
  <c r="B597" i="13"/>
  <c r="B232" i="13"/>
  <c r="B743" i="13"/>
  <c r="B681" i="13"/>
  <c r="B271" i="13"/>
  <c r="B184" i="13"/>
  <c r="B384" i="13"/>
  <c r="B427" i="13"/>
  <c r="B687" i="13"/>
  <c r="B941" i="13"/>
  <c r="B609" i="13"/>
  <c r="B560" i="13"/>
  <c r="B939" i="13"/>
  <c r="B709" i="13"/>
  <c r="B633" i="13"/>
  <c r="B352" i="13"/>
  <c r="B354" i="13"/>
  <c r="B106" i="13"/>
  <c r="B1030" i="13"/>
  <c r="B817" i="13"/>
  <c r="B622" i="13"/>
  <c r="B195" i="13"/>
  <c r="B915" i="13"/>
  <c r="B710" i="13"/>
  <c r="B762" i="13"/>
  <c r="B423" i="13"/>
  <c r="B483" i="13"/>
  <c r="B475" i="13"/>
  <c r="B980" i="13"/>
  <c r="B274" i="13"/>
  <c r="B275" i="13"/>
  <c r="B363" i="13"/>
  <c r="B100" i="13"/>
  <c r="B105" i="13"/>
  <c r="B956" i="13"/>
  <c r="B525" i="13"/>
  <c r="B279" i="13"/>
  <c r="B265" i="13"/>
  <c r="B898" i="13"/>
  <c r="B969" i="13"/>
  <c r="B862" i="13"/>
  <c r="B229" i="13"/>
  <c r="B660" i="13"/>
  <c r="B291" i="13"/>
  <c r="B178" i="13"/>
  <c r="B557" i="13"/>
  <c r="B847" i="13"/>
  <c r="B158" i="13"/>
  <c r="B586" i="13"/>
  <c r="B203" i="13"/>
  <c r="B713" i="13"/>
  <c r="B235" i="13"/>
  <c r="B455" i="13"/>
  <c r="B937" i="13"/>
  <c r="B590" i="13"/>
  <c r="B889" i="13"/>
  <c r="B703" i="13"/>
  <c r="B874" i="13"/>
  <c r="B790" i="13"/>
  <c r="B362" i="13"/>
  <c r="B702" i="13"/>
  <c r="B295" i="13"/>
  <c r="B1013" i="13"/>
  <c r="B910" i="13"/>
  <c r="B1001" i="13"/>
  <c r="B512" i="13"/>
  <c r="B584" i="13"/>
  <c r="B945" i="13"/>
  <c r="B326" i="13"/>
  <c r="B19" i="13"/>
  <c r="B443" i="13"/>
  <c r="B577" i="13"/>
  <c r="B942" i="13"/>
  <c r="B238" i="13"/>
  <c r="B39" i="13"/>
  <c r="B80" i="13"/>
  <c r="B327" i="13"/>
  <c r="B379" i="13"/>
  <c r="B927" i="13"/>
  <c r="B972" i="13"/>
  <c r="B186" i="13"/>
  <c r="B662" i="13"/>
  <c r="B445" i="13"/>
  <c r="B62" i="13"/>
  <c r="B892" i="13"/>
  <c r="B756" i="13"/>
  <c r="B142" i="13"/>
  <c r="B448" i="13"/>
  <c r="B541" i="13"/>
  <c r="B677" i="13"/>
  <c r="B35" i="13"/>
  <c r="B602" i="13"/>
  <c r="B258" i="13"/>
  <c r="B865" i="13"/>
  <c r="B649" i="13"/>
  <c r="B787" i="13"/>
  <c r="B877" i="13"/>
  <c r="B341" i="13"/>
  <c r="B822" i="13"/>
  <c r="B723" i="13"/>
  <c r="B433" i="13"/>
  <c r="B206" i="13"/>
  <c r="B139" i="13"/>
  <c r="B812" i="13"/>
  <c r="B623" i="13"/>
  <c r="B746" i="13"/>
  <c r="B996" i="13"/>
  <c r="B418" i="13"/>
  <c r="B821" i="13"/>
  <c r="B617" i="13"/>
  <c r="B276" i="13"/>
  <c r="B1018" i="13"/>
  <c r="B222" i="13"/>
  <c r="B854" i="13"/>
  <c r="B951" i="13"/>
  <c r="B792" i="13"/>
  <c r="B202" i="13"/>
  <c r="B328" i="13"/>
  <c r="B457" i="13"/>
  <c r="B538" i="13"/>
  <c r="B536" i="13"/>
  <c r="B411" i="13"/>
  <c r="B611" i="13"/>
  <c r="B561" i="13"/>
  <c r="B818" i="13"/>
  <c r="B605" i="13"/>
  <c r="B534" i="13"/>
  <c r="B684" i="13"/>
  <c r="B438" i="13"/>
  <c r="B321" i="13"/>
  <c r="B506" i="13"/>
  <c r="B734" i="13"/>
  <c r="B425" i="13"/>
  <c r="B288" i="13"/>
  <c r="B147" i="13"/>
  <c r="B230" i="13"/>
  <c r="B835" i="13"/>
  <c r="B234" i="13"/>
  <c r="B607" i="13"/>
  <c r="B928" i="13"/>
  <c r="B246" i="13"/>
  <c r="B554" i="13"/>
  <c r="B79" i="13"/>
  <c r="B18" i="13"/>
  <c r="B394" i="13"/>
  <c r="B300" i="13"/>
  <c r="B807" i="13"/>
  <c r="B385" i="13"/>
  <c r="B1007" i="13"/>
  <c r="B918" i="13"/>
  <c r="B141" i="13"/>
  <c r="B486" i="13"/>
  <c r="B836" i="13"/>
  <c r="B1002" i="13"/>
  <c r="B212" i="13"/>
  <c r="B585" i="13"/>
  <c r="B404" i="13"/>
  <c r="B513" i="13"/>
  <c r="B682" i="13"/>
  <c r="B302" i="13"/>
  <c r="B764" i="13"/>
  <c r="B895" i="13"/>
  <c r="B697" i="13"/>
  <c r="B636" i="13"/>
  <c r="B857" i="13"/>
  <c r="B373" i="13"/>
  <c r="B90" i="13"/>
  <c r="B923" i="13"/>
  <c r="B127" i="13"/>
  <c r="B581" i="13"/>
  <c r="B473" i="13"/>
  <c r="B916" i="13"/>
  <c r="B345" i="13"/>
  <c r="B173" i="13"/>
  <c r="B971" i="13"/>
  <c r="B962" i="13"/>
  <c r="B658" i="13"/>
  <c r="B116" i="13"/>
  <c r="B988" i="13"/>
  <c r="B104" i="13"/>
  <c r="B952" i="13"/>
  <c r="B970" i="13"/>
  <c r="B485" i="13"/>
  <c r="B87" i="13"/>
  <c r="B773" i="13"/>
  <c r="B251" i="13"/>
  <c r="B382" i="13"/>
  <c r="B397" i="13"/>
  <c r="B810" i="13"/>
  <c r="B603" i="13"/>
  <c r="B993" i="13"/>
  <c r="B583" i="13"/>
  <c r="B120" i="13"/>
  <c r="B480" i="13"/>
  <c r="B137" i="13"/>
  <c r="B313" i="13"/>
  <c r="B75" i="13"/>
  <c r="B991" i="13"/>
  <c r="B436" i="13"/>
  <c r="B128" i="13"/>
  <c r="B372" i="13"/>
  <c r="B955" i="13"/>
  <c r="B599" i="13"/>
  <c r="B706" i="13"/>
  <c r="B873" i="13"/>
  <c r="B370" i="13"/>
  <c r="B826" i="13"/>
  <c r="B532" i="13"/>
  <c r="B834" i="13"/>
  <c r="B853" i="13"/>
  <c r="B730" i="13"/>
  <c r="B547" i="13"/>
  <c r="B550" i="13"/>
  <c r="B496" i="13"/>
  <c r="B264" i="13"/>
  <c r="B958" i="13"/>
  <c r="B613" i="13"/>
  <c r="B88" i="13"/>
  <c r="B641" i="13"/>
  <c r="B252" i="13"/>
  <c r="B320" i="13"/>
  <c r="B381" i="13"/>
  <c r="B647" i="13"/>
  <c r="B700" i="13"/>
  <c r="B356" i="13"/>
  <c r="B41" i="13"/>
  <c r="B579" i="13"/>
  <c r="B479" i="13"/>
  <c r="B569" i="13"/>
  <c r="B772" i="13"/>
  <c r="B458" i="13"/>
  <c r="B837" i="13"/>
  <c r="B124" i="13"/>
  <c r="B914" i="13"/>
  <c r="B903" i="13"/>
  <c r="B856" i="13"/>
  <c r="B985" i="13"/>
  <c r="B166" i="13"/>
  <c r="B277" i="13"/>
  <c r="B160" i="13"/>
  <c r="B107" i="13"/>
  <c r="B946" i="13"/>
  <c r="B978" i="13"/>
  <c r="B638" i="13"/>
  <c r="B976" i="13"/>
  <c r="B634" i="13"/>
  <c r="B737" i="13"/>
  <c r="B112" i="13"/>
  <c r="B712" i="13"/>
  <c r="B509" i="13"/>
  <c r="B375" i="13"/>
  <c r="B406" i="13"/>
  <c r="B902" i="13"/>
  <c r="B60" i="13"/>
  <c r="B459" i="13"/>
  <c r="B540" i="13"/>
  <c r="B369" i="13"/>
  <c r="B99" i="13"/>
  <c r="B673" i="13"/>
  <c r="B257" i="13"/>
  <c r="B151" i="13"/>
  <c r="B833" i="13"/>
  <c r="B225" i="13"/>
  <c r="B45" i="13"/>
  <c r="B286" i="13"/>
  <c r="B973" i="13"/>
  <c r="B402" i="13"/>
  <c r="B371" i="13"/>
  <c r="B488" i="13"/>
  <c r="B136" i="13"/>
  <c r="B119" i="13"/>
  <c r="B37" i="13"/>
  <c r="B1026" i="13"/>
  <c r="B529" i="13"/>
  <c r="B1025" i="13"/>
  <c r="B118" i="13"/>
  <c r="B367" i="13"/>
  <c r="B306" i="13"/>
  <c r="B778" i="13"/>
  <c r="B324" i="13"/>
  <c r="B52" i="13"/>
  <c r="B43" i="13"/>
  <c r="B535" i="13"/>
  <c r="B478" i="13"/>
  <c r="B843" i="13"/>
  <c r="B838" i="13"/>
  <c r="B32" i="13"/>
  <c r="B695" i="13"/>
  <c r="B940" i="13"/>
  <c r="B462" i="13"/>
  <c r="B802" i="13"/>
  <c r="B318" i="13"/>
  <c r="B391" i="13"/>
  <c r="B654" i="13"/>
  <c r="B594" i="13"/>
  <c r="B761" i="13"/>
  <c r="B194" i="13"/>
  <c r="B431" i="13"/>
  <c r="B606" i="13"/>
  <c r="B745" i="13"/>
  <c r="B247" i="13"/>
  <c r="B332" i="13"/>
  <c r="B227" i="13"/>
  <c r="B231" i="13"/>
  <c r="B820" i="13"/>
  <c r="B484" i="13"/>
  <c r="B1008" i="13"/>
  <c r="B708" i="13"/>
  <c r="B1021" i="13"/>
  <c r="B69" i="13"/>
  <c r="B1014" i="13"/>
  <c r="B1027" i="13"/>
  <c r="B744" i="13"/>
  <c r="B683" i="13"/>
  <c r="B518" i="13"/>
  <c r="B456" i="13"/>
  <c r="B784" i="13"/>
  <c r="B720" i="13"/>
  <c r="B757" i="13"/>
  <c r="B738" i="13"/>
  <c r="B358" i="13"/>
  <c r="B511" i="13"/>
  <c r="B755" i="13"/>
  <c r="B199" i="13"/>
  <c r="B355" i="13"/>
  <c r="B795" i="13"/>
  <c r="B20" i="13"/>
  <c r="B796" i="13"/>
  <c r="B894" i="13"/>
  <c r="B620" i="13"/>
  <c r="B233" i="13"/>
  <c r="B1011" i="13"/>
  <c r="B965" i="13"/>
  <c r="B64" i="13"/>
  <c r="B875" i="13"/>
  <c r="B850" i="13"/>
  <c r="B491" i="13"/>
  <c r="B742" i="13"/>
  <c r="B188" i="13"/>
  <c r="B303" i="13"/>
  <c r="B570" i="13"/>
  <c r="B544" i="13"/>
  <c r="B409" i="13"/>
  <c r="B545" i="13"/>
  <c r="B333" i="13"/>
  <c r="B12" i="13"/>
  <c r="B311" i="13"/>
  <c r="B521" i="13"/>
  <c r="B200" i="13"/>
  <c r="B10" i="13"/>
  <c r="B383" i="13"/>
  <c r="B217" i="13"/>
  <c r="B337" i="13"/>
  <c r="B53" i="13"/>
  <c r="B861" i="13"/>
  <c r="B338" i="13"/>
  <c r="B44" i="13"/>
  <c r="B901" i="13"/>
  <c r="B924" i="13"/>
  <c r="B15" i="13"/>
  <c r="B507" i="13"/>
  <c r="B813" i="13"/>
  <c r="B165" i="13"/>
  <c r="B905" i="13"/>
  <c r="B474" i="13"/>
  <c r="B148" i="13"/>
  <c r="B722" i="13"/>
  <c r="B91" i="13"/>
  <c r="B964" i="13"/>
  <c r="B83" i="13"/>
  <c r="B218" i="13"/>
  <c r="B960" i="13"/>
  <c r="B637" i="13"/>
  <c r="B216" i="13"/>
  <c r="B699" i="13"/>
  <c r="B546" i="13"/>
  <c r="B548" i="13"/>
  <c r="B490" i="13"/>
  <c r="B209" i="13"/>
  <c r="B770" i="13"/>
  <c r="B374" i="13"/>
  <c r="B920" i="13"/>
  <c r="B164" i="13"/>
  <c r="B880" i="13"/>
  <c r="B982" i="13"/>
  <c r="B631" i="13"/>
  <c r="B189" i="13"/>
  <c r="B758" i="13"/>
  <c r="B482" i="13"/>
  <c r="B163" i="13"/>
  <c r="B819" i="13"/>
  <c r="B947" i="13"/>
  <c r="B504" i="13"/>
  <c r="B588" i="13"/>
  <c r="B791" i="13"/>
  <c r="B56" i="13"/>
  <c r="B408" i="13"/>
  <c r="B126" i="13"/>
  <c r="B68" i="13"/>
  <c r="B293" i="13"/>
  <c r="B54" i="13"/>
  <c r="B115" i="13"/>
  <c r="B470" i="13"/>
  <c r="B273" i="13"/>
  <c r="B331" i="13"/>
  <c r="B401" i="13"/>
  <c r="B17" i="13"/>
  <c r="B161" i="13"/>
  <c r="B688" i="13"/>
  <c r="B1031" i="13"/>
  <c r="B975" i="13"/>
  <c r="B779" i="13"/>
  <c r="B604" i="13"/>
  <c r="B77" i="13"/>
  <c r="B860" i="13"/>
  <c r="B213" i="13"/>
  <c r="B242" i="13"/>
  <c r="B890" i="13"/>
  <c r="B553" i="13"/>
  <c r="B808" i="13"/>
  <c r="B284" i="13"/>
  <c r="B410" i="13"/>
  <c r="B732" i="13"/>
  <c r="B863" i="13"/>
  <c r="B741" i="13"/>
  <c r="B643" i="13"/>
  <c r="B415" i="13"/>
  <c r="B185" i="13"/>
  <c r="B828" i="13"/>
  <c r="B627" i="13"/>
  <c r="B645" i="13"/>
  <c r="B562" i="13"/>
  <c r="B121" i="13"/>
  <c r="B361" i="13"/>
  <c r="B667" i="13"/>
  <c r="B259" i="13"/>
  <c r="B387" i="13"/>
  <c r="B921" i="13"/>
  <c r="B29" i="13"/>
  <c r="B70" i="13"/>
  <c r="B1004" i="13"/>
  <c r="B310" i="13"/>
  <c r="B926" i="13"/>
  <c r="B27" i="13"/>
  <c r="B896" i="13"/>
  <c r="B386" i="13"/>
  <c r="B884" i="13"/>
  <c r="B811" i="13"/>
  <c r="B922" i="13"/>
  <c r="B718" i="13"/>
  <c r="B405" i="13"/>
  <c r="B665" i="13"/>
  <c r="B503" i="13"/>
  <c r="B919" i="13"/>
  <c r="B508" i="13"/>
  <c r="B935" i="13"/>
  <c r="B917" i="13"/>
  <c r="B789" i="13"/>
  <c r="B240" i="13"/>
  <c r="B522" i="13"/>
  <c r="B805" i="13"/>
  <c r="B268" i="13"/>
  <c r="B618" i="13"/>
  <c r="B16" i="13"/>
  <c r="B608" i="13"/>
  <c r="B471" i="13"/>
  <c r="B543" i="13"/>
  <c r="B933" i="13"/>
  <c r="B669" i="13"/>
  <c r="B380" i="13"/>
  <c r="B573" i="13"/>
  <c r="B635" i="13"/>
  <c r="B198" i="13"/>
  <c r="B721" i="13"/>
  <c r="B349" i="13"/>
  <c r="B827" i="13"/>
  <c r="B575" i="13"/>
  <c r="B885" i="13"/>
  <c r="B752" i="13"/>
  <c r="B614" i="13"/>
  <c r="B114" i="13"/>
  <c r="B243" i="13"/>
  <c r="B102" i="13"/>
  <c r="B159" i="13"/>
  <c r="B514" i="13"/>
  <c r="B689" i="13"/>
  <c r="B806" i="13"/>
  <c r="B214" i="13"/>
  <c r="B1028" i="13"/>
  <c r="B24" i="13"/>
  <c r="B71" i="13"/>
  <c r="B463" i="13"/>
  <c r="B526" i="13"/>
  <c r="B5" i="13"/>
  <c r="B426" i="13"/>
  <c r="B330" i="13"/>
  <c r="B717" i="13"/>
  <c r="B995" i="13"/>
  <c r="B428" i="13"/>
  <c r="B34" i="13"/>
  <c r="B31" i="13"/>
  <c r="B524" i="13"/>
  <c r="B422" i="13"/>
  <c r="B961" i="13"/>
  <c r="B46" i="13"/>
  <c r="B4" i="13"/>
  <c r="B694" i="13"/>
  <c r="B733" i="13"/>
  <c r="B466" i="13"/>
  <c r="B301" i="13"/>
  <c r="B936" i="13"/>
  <c r="B197" i="13"/>
  <c r="B867" i="13"/>
  <c r="B815" i="13"/>
  <c r="B726" i="13"/>
  <c r="B591" i="13"/>
  <c r="B1010" i="13"/>
  <c r="B94" i="13"/>
  <c r="B157" i="13"/>
  <c r="B727" i="13"/>
  <c r="B156" i="13"/>
  <c r="B696" i="13"/>
  <c r="B111" i="13"/>
  <c r="B967" i="13"/>
  <c r="B601" i="13"/>
  <c r="B378" i="13"/>
  <c r="B376" i="13"/>
  <c r="B366" i="13"/>
  <c r="B871" i="13"/>
  <c r="B220" i="13"/>
  <c r="B957" i="13"/>
  <c r="B552" i="13"/>
  <c r="B950" i="13"/>
  <c r="B848" i="13"/>
  <c r="B205" i="13"/>
  <c r="B866" i="13"/>
  <c r="B285" i="13"/>
  <c r="B830" i="13"/>
  <c r="B990" i="13"/>
  <c r="B414" i="13"/>
  <c r="B237" i="13"/>
  <c r="B872" i="13"/>
  <c r="B359" i="13"/>
  <c r="B630" i="13"/>
  <c r="B175" i="13"/>
  <c r="B250" i="13"/>
  <c r="B1006" i="13"/>
  <c r="B267" i="13"/>
  <c r="B558" i="13"/>
  <c r="B517" i="13"/>
  <c r="B305" i="13"/>
  <c r="B680" i="13"/>
  <c r="B767" i="13"/>
  <c r="B674" i="13"/>
  <c r="B571" i="13"/>
  <c r="B999" i="13"/>
  <c r="B542" i="13"/>
  <c r="B749" i="13"/>
  <c r="B357" i="13"/>
  <c r="B215" i="13"/>
  <c r="B170" i="13"/>
  <c r="B465" i="13"/>
  <c r="B192" i="13"/>
  <c r="B566" i="13"/>
  <c r="B672" i="13"/>
  <c r="B1000" i="13"/>
  <c r="B421" i="13"/>
  <c r="B219" i="13"/>
  <c r="B420" i="13"/>
  <c r="B28" i="13"/>
  <c r="B135" i="13"/>
  <c r="B859" i="13"/>
  <c r="B932" i="13"/>
  <c r="B621" i="13"/>
  <c r="B725" i="13"/>
  <c r="B245" i="13"/>
  <c r="B140" i="13"/>
  <c r="B984" i="13"/>
  <c r="B312" i="13"/>
  <c r="B797" i="13"/>
  <c r="B774" i="13"/>
  <c r="B211" i="13"/>
  <c r="B174" i="13"/>
  <c r="B63" i="13"/>
  <c r="B846" i="13"/>
  <c r="B777" i="13"/>
  <c r="B260" i="13"/>
  <c r="B1022" i="13"/>
  <c r="B731" i="13"/>
  <c r="B290" i="13"/>
  <c r="B103" i="13"/>
  <c r="B628" i="13"/>
  <c r="B753" i="13"/>
  <c r="B294" i="13"/>
  <c r="B130" i="13"/>
  <c r="B908" i="13"/>
  <c r="B297" i="13"/>
  <c r="B868" i="13"/>
  <c r="B693" i="13"/>
  <c r="B842" i="13"/>
  <c r="B704" i="13"/>
  <c r="B61" i="13"/>
  <c r="B460" i="13"/>
  <c r="B564" i="13"/>
  <c r="B992" i="13"/>
  <c r="B759" i="13"/>
  <c r="B909" i="13"/>
  <c r="B419" i="13"/>
  <c r="B740" i="13"/>
  <c r="B897" i="13"/>
  <c r="B824" i="13"/>
  <c r="B145" i="13"/>
  <c r="B707" i="13"/>
  <c r="B396" i="13"/>
  <c r="B25" i="13"/>
  <c r="B432" i="13"/>
  <c r="B21" i="13"/>
  <c r="B84" i="13"/>
  <c r="B155" i="13"/>
  <c r="B1005" i="13"/>
  <c r="B648" i="13"/>
  <c r="B959" i="13"/>
  <c r="B340" i="13"/>
  <c r="B468" i="13"/>
  <c r="B287" i="13"/>
  <c r="B442" i="13"/>
  <c r="B598" i="13"/>
  <c r="B400" i="13"/>
  <c r="B711" i="13"/>
  <c r="B353" i="13"/>
  <c r="B551" i="13"/>
  <c r="B803" i="13"/>
  <c r="B399" i="13"/>
  <c r="B716" i="13"/>
  <c r="B57" i="13"/>
  <c r="B440" i="13"/>
  <c r="B809" i="13"/>
  <c r="B314" i="13"/>
  <c r="B1032" i="13"/>
  <c r="B125" i="13"/>
  <c r="B537" i="13"/>
  <c r="B930" i="13"/>
  <c r="B1023" i="13"/>
  <c r="B651" i="13"/>
  <c r="B886" i="13"/>
  <c r="B686" i="13"/>
  <c r="B272" i="13"/>
  <c r="B766" i="13"/>
  <c r="B58" i="13"/>
  <c r="B775" i="13"/>
  <c r="B476" i="13"/>
  <c r="B461" i="13"/>
  <c r="B492" i="13"/>
  <c r="B434" i="13"/>
  <c r="B138" i="13"/>
  <c r="B520" i="13"/>
  <c r="B413" i="13"/>
  <c r="B368" i="13"/>
  <c r="B1019" i="13"/>
  <c r="B646" i="13"/>
  <c r="B407" i="13"/>
  <c r="B966" i="13"/>
  <c r="B223" i="13"/>
  <c r="B840" i="13"/>
  <c r="B33" i="13"/>
  <c r="B9" i="13"/>
  <c r="B256" i="13"/>
  <c r="B500" i="13"/>
  <c r="B487" i="13"/>
  <c r="B42" i="13"/>
  <c r="B392" i="13"/>
  <c r="B481" i="13"/>
  <c r="B447" i="13"/>
  <c r="B336" i="13"/>
  <c r="B719" i="13"/>
  <c r="B81" i="13"/>
  <c r="B134" i="13"/>
  <c r="B747" i="13"/>
  <c r="B3" i="13"/>
  <c r="B510" i="13"/>
  <c r="B781" i="13"/>
  <c r="B296" i="13"/>
  <c r="B30" i="13"/>
  <c r="B244" i="13"/>
  <c r="B113" i="13"/>
  <c r="B763" i="13"/>
  <c r="B55" i="13"/>
  <c r="B981" i="13"/>
  <c r="B864" i="13"/>
  <c r="B934" i="13"/>
  <c r="B263" i="13"/>
  <c r="B325" i="13"/>
  <c r="B528" i="13"/>
  <c r="B987" i="13"/>
  <c r="B876" i="13"/>
  <c r="B283" i="13"/>
  <c r="B73" i="13"/>
  <c r="B912" i="13"/>
  <c r="B625" i="13"/>
  <c r="B816" i="13"/>
  <c r="B76" i="13"/>
  <c r="B739" i="13"/>
  <c r="B502" i="13"/>
  <c r="B2" i="13"/>
  <c r="B446" i="13"/>
  <c r="B582" i="13"/>
  <c r="B154" i="13"/>
  <c r="B852" i="13"/>
  <c r="B393" i="13"/>
  <c r="B881" i="13"/>
  <c r="B334" i="13"/>
  <c r="B911" i="13"/>
  <c r="B241" i="13"/>
  <c r="B798" i="13"/>
  <c r="B580" i="13"/>
  <c r="E580" i="13" s="1"/>
  <c r="F580" i="13" s="1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100" i="13"/>
  <c r="A101" i="13"/>
  <c r="A102" i="13"/>
  <c r="A103" i="13"/>
  <c r="A104" i="13"/>
  <c r="A105" i="13"/>
  <c r="A106" i="13"/>
  <c r="A107" i="13"/>
  <c r="A108" i="13"/>
  <c r="A109" i="13"/>
  <c r="A110" i="13"/>
  <c r="A111" i="13"/>
  <c r="A112" i="13"/>
  <c r="A113" i="13"/>
  <c r="A114" i="13"/>
  <c r="A115" i="13"/>
  <c r="A116" i="13"/>
  <c r="A117" i="13"/>
  <c r="A118" i="13"/>
  <c r="A119" i="13"/>
  <c r="A120" i="13"/>
  <c r="A121" i="13"/>
  <c r="A122" i="13"/>
  <c r="A123" i="13"/>
  <c r="A124" i="13"/>
  <c r="A125" i="13"/>
  <c r="A126" i="13"/>
  <c r="A127" i="13"/>
  <c r="A128" i="13"/>
  <c r="A129" i="13"/>
  <c r="A130" i="13"/>
  <c r="A131" i="13"/>
  <c r="A132" i="13"/>
  <c r="A133" i="13"/>
  <c r="A134" i="13"/>
  <c r="A135" i="13"/>
  <c r="A136" i="13"/>
  <c r="A137" i="13"/>
  <c r="A138" i="13"/>
  <c r="A139" i="13"/>
  <c r="A140" i="13"/>
  <c r="A141" i="13"/>
  <c r="A142" i="13"/>
  <c r="A143" i="13"/>
  <c r="A144" i="13"/>
  <c r="A145" i="13"/>
  <c r="A146" i="13"/>
  <c r="A147" i="13"/>
  <c r="A148" i="13"/>
  <c r="A149" i="13"/>
  <c r="A150" i="13"/>
  <c r="A151" i="13"/>
  <c r="A152" i="13"/>
  <c r="A153" i="13"/>
  <c r="A154" i="13"/>
  <c r="A155" i="13"/>
  <c r="A156" i="13"/>
  <c r="A157" i="13"/>
  <c r="A158" i="13"/>
  <c r="A159" i="13"/>
  <c r="A160" i="13"/>
  <c r="A161" i="13"/>
  <c r="A162" i="13"/>
  <c r="A163" i="13"/>
  <c r="A164" i="13"/>
  <c r="A165" i="13"/>
  <c r="A166" i="13"/>
  <c r="A167" i="13"/>
  <c r="A168" i="13"/>
  <c r="A169" i="13"/>
  <c r="A170" i="13"/>
  <c r="A171" i="13"/>
  <c r="A172" i="13"/>
  <c r="A173" i="13"/>
  <c r="A174" i="13"/>
  <c r="A175" i="13"/>
  <c r="A176" i="13"/>
  <c r="A177" i="13"/>
  <c r="A178" i="13"/>
  <c r="A179" i="13"/>
  <c r="A180" i="13"/>
  <c r="A181" i="13"/>
  <c r="A182" i="13"/>
  <c r="A183" i="13"/>
  <c r="A184" i="13"/>
  <c r="A185" i="13"/>
  <c r="A186" i="13"/>
  <c r="A187" i="13"/>
  <c r="A188" i="13"/>
  <c r="A189" i="13"/>
  <c r="A190" i="13"/>
  <c r="A191" i="13"/>
  <c r="A192" i="13"/>
  <c r="A193" i="13"/>
  <c r="A194" i="13"/>
  <c r="A195" i="13"/>
  <c r="A196" i="13"/>
  <c r="A197" i="13"/>
  <c r="A198" i="13"/>
  <c r="A199" i="13"/>
  <c r="A200" i="13"/>
  <c r="A201" i="13"/>
  <c r="A202" i="13"/>
  <c r="A203" i="13"/>
  <c r="A204" i="13"/>
  <c r="A205" i="13"/>
  <c r="A206" i="13"/>
  <c r="A207" i="13"/>
  <c r="A208" i="13"/>
  <c r="A209" i="13"/>
  <c r="A210" i="13"/>
  <c r="A211" i="13"/>
  <c r="A212" i="13"/>
  <c r="A213" i="13"/>
  <c r="A214" i="13"/>
  <c r="A215" i="13"/>
  <c r="A216" i="13"/>
  <c r="A217" i="13"/>
  <c r="A218" i="13"/>
  <c r="A219" i="13"/>
  <c r="A220" i="13"/>
  <c r="A221" i="13"/>
  <c r="A222" i="13"/>
  <c r="A223" i="13"/>
  <c r="A224" i="13"/>
  <c r="A225" i="13"/>
  <c r="A226" i="13"/>
  <c r="A227" i="13"/>
  <c r="A228" i="13"/>
  <c r="A229" i="13"/>
  <c r="A230" i="13"/>
  <c r="A231" i="13"/>
  <c r="A232" i="13"/>
  <c r="A233" i="13"/>
  <c r="A234" i="13"/>
  <c r="A235" i="13"/>
  <c r="A236" i="13"/>
  <c r="A237" i="13"/>
  <c r="A238" i="13"/>
  <c r="A239" i="13"/>
  <c r="A240" i="13"/>
  <c r="A241" i="13"/>
  <c r="A242" i="13"/>
  <c r="A243" i="13"/>
  <c r="A244" i="13"/>
  <c r="A245" i="13"/>
  <c r="A246" i="13"/>
  <c r="A247" i="13"/>
  <c r="A248" i="13"/>
  <c r="A249" i="13"/>
  <c r="A250" i="13"/>
  <c r="A251" i="13"/>
  <c r="A252" i="13"/>
  <c r="A253" i="13"/>
  <c r="A254" i="13"/>
  <c r="A255" i="13"/>
  <c r="A256" i="13"/>
  <c r="A257" i="13"/>
  <c r="A258" i="13"/>
  <c r="A259" i="13"/>
  <c r="A260" i="13"/>
  <c r="A261" i="13"/>
  <c r="A262" i="13"/>
  <c r="A263" i="13"/>
  <c r="A264" i="13"/>
  <c r="A265" i="13"/>
  <c r="A266" i="13"/>
  <c r="A267" i="13"/>
  <c r="A268" i="13"/>
  <c r="A269" i="13"/>
  <c r="A270" i="13"/>
  <c r="A271" i="13"/>
  <c r="A272" i="13"/>
  <c r="A273" i="13"/>
  <c r="A274" i="13"/>
  <c r="A275" i="13"/>
  <c r="A276" i="13"/>
  <c r="A277" i="13"/>
  <c r="A278" i="13"/>
  <c r="A279" i="13"/>
  <c r="A280" i="13"/>
  <c r="A281" i="13"/>
  <c r="A282" i="13"/>
  <c r="A283" i="13"/>
  <c r="A284" i="13"/>
  <c r="A285" i="13"/>
  <c r="A286" i="13"/>
  <c r="A287" i="13"/>
  <c r="A288" i="13"/>
  <c r="A289" i="13"/>
  <c r="A290" i="13"/>
  <c r="A291" i="13"/>
  <c r="A292" i="13"/>
  <c r="A293" i="13"/>
  <c r="A294" i="13"/>
  <c r="A295" i="13"/>
  <c r="A296" i="13"/>
  <c r="A297" i="13"/>
  <c r="A298" i="13"/>
  <c r="A299" i="13"/>
  <c r="A300" i="13"/>
  <c r="A301" i="13"/>
  <c r="A302" i="13"/>
  <c r="A303" i="13"/>
  <c r="A304" i="13"/>
  <c r="A305" i="13"/>
  <c r="A306" i="13"/>
  <c r="A307" i="13"/>
  <c r="A308" i="13"/>
  <c r="A309" i="13"/>
  <c r="A310" i="13"/>
  <c r="A311" i="13"/>
  <c r="A312" i="13"/>
  <c r="A313" i="13"/>
  <c r="A314" i="13"/>
  <c r="A315" i="13"/>
  <c r="A316" i="13"/>
  <c r="A317" i="13"/>
  <c r="A318" i="13"/>
  <c r="A319" i="13"/>
  <c r="A320" i="13"/>
  <c r="A321" i="13"/>
  <c r="A322" i="13"/>
  <c r="A323" i="13"/>
  <c r="A324" i="13"/>
  <c r="A325" i="13"/>
  <c r="A326" i="13"/>
  <c r="A327" i="13"/>
  <c r="A328" i="13"/>
  <c r="A329" i="13"/>
  <c r="A330" i="13"/>
  <c r="A331" i="13"/>
  <c r="A332" i="13"/>
  <c r="A333" i="13"/>
  <c r="A334" i="13"/>
  <c r="A335" i="13"/>
  <c r="A336" i="13"/>
  <c r="A337" i="13"/>
  <c r="A338" i="13"/>
  <c r="A339" i="13"/>
  <c r="A340" i="13"/>
  <c r="A341" i="13"/>
  <c r="A342" i="13"/>
  <c r="A343" i="13"/>
  <c r="A344" i="13"/>
  <c r="A345" i="13"/>
  <c r="A346" i="13"/>
  <c r="A347" i="13"/>
  <c r="A348" i="13"/>
  <c r="A349" i="13"/>
  <c r="A350" i="13"/>
  <c r="A351" i="13"/>
  <c r="A352" i="13"/>
  <c r="A353" i="13"/>
  <c r="A354" i="13"/>
  <c r="A355" i="13"/>
  <c r="A356" i="13"/>
  <c r="A357" i="13"/>
  <c r="A358" i="13"/>
  <c r="A359" i="13"/>
  <c r="A360" i="13"/>
  <c r="A361" i="13"/>
  <c r="A362" i="13"/>
  <c r="A363" i="13"/>
  <c r="A364" i="13"/>
  <c r="A365" i="13"/>
  <c r="A366" i="13"/>
  <c r="A367" i="13"/>
  <c r="A368" i="13"/>
  <c r="A369" i="13"/>
  <c r="A370" i="13"/>
  <c r="A371" i="13"/>
  <c r="A372" i="13"/>
  <c r="A373" i="13"/>
  <c r="A374" i="13"/>
  <c r="A375" i="13"/>
  <c r="A376" i="13"/>
  <c r="A377" i="13"/>
  <c r="A378" i="13"/>
  <c r="A379" i="13"/>
  <c r="A380" i="13"/>
  <c r="A381" i="13"/>
  <c r="A382" i="13"/>
  <c r="A383" i="13"/>
  <c r="A384" i="13"/>
  <c r="A385" i="13"/>
  <c r="A386" i="13"/>
  <c r="A387" i="13"/>
  <c r="A388" i="13"/>
  <c r="A389" i="13"/>
  <c r="A390" i="13"/>
  <c r="A391" i="13"/>
  <c r="A392" i="13"/>
  <c r="A393" i="13"/>
  <c r="A394" i="13"/>
  <c r="A395" i="13"/>
  <c r="A396" i="13"/>
  <c r="A397" i="13"/>
  <c r="A398" i="13"/>
  <c r="A399" i="13"/>
  <c r="A400" i="13"/>
  <c r="A401" i="13"/>
  <c r="A402" i="13"/>
  <c r="A403" i="13"/>
  <c r="A404" i="13"/>
  <c r="A405" i="13"/>
  <c r="A406" i="13"/>
  <c r="A407" i="13"/>
  <c r="A408" i="13"/>
  <c r="A409" i="13"/>
  <c r="A410" i="13"/>
  <c r="A411" i="13"/>
  <c r="A412" i="13"/>
  <c r="A413" i="13"/>
  <c r="A414" i="13"/>
  <c r="A415" i="13"/>
  <c r="A416" i="13"/>
  <c r="A417" i="13"/>
  <c r="A418" i="13"/>
  <c r="A419" i="13"/>
  <c r="A420" i="13"/>
  <c r="A421" i="13"/>
  <c r="A422" i="13"/>
  <c r="A423" i="13"/>
  <c r="A424" i="13"/>
  <c r="A425" i="13"/>
  <c r="A426" i="13"/>
  <c r="A427" i="13"/>
  <c r="A428" i="13"/>
  <c r="A429" i="13"/>
  <c r="A430" i="13"/>
  <c r="A431" i="13"/>
  <c r="A432" i="13"/>
  <c r="A433" i="13"/>
  <c r="A434" i="13"/>
  <c r="A435" i="13"/>
  <c r="A436" i="13"/>
  <c r="A437" i="13"/>
  <c r="A438" i="13"/>
  <c r="A439" i="13"/>
  <c r="A440" i="13"/>
  <c r="A441" i="13"/>
  <c r="A442" i="13"/>
  <c r="A443" i="13"/>
  <c r="A444" i="13"/>
  <c r="A445" i="13"/>
  <c r="A446" i="13"/>
  <c r="A447" i="13"/>
  <c r="A448" i="13"/>
  <c r="A449" i="13"/>
  <c r="A450" i="13"/>
  <c r="A451" i="13"/>
  <c r="A452" i="13"/>
  <c r="A453" i="13"/>
  <c r="A454" i="13"/>
  <c r="A455" i="13"/>
  <c r="A456" i="13"/>
  <c r="A457" i="13"/>
  <c r="A458" i="13"/>
  <c r="A459" i="13"/>
  <c r="A460" i="13"/>
  <c r="A461" i="13"/>
  <c r="A462" i="13"/>
  <c r="A463" i="13"/>
  <c r="A464" i="13"/>
  <c r="A465" i="13"/>
  <c r="A466" i="13"/>
  <c r="A467" i="13"/>
  <c r="A468" i="13"/>
  <c r="A469" i="13"/>
  <c r="A470" i="13"/>
  <c r="A471" i="13"/>
  <c r="A472" i="13"/>
  <c r="A473" i="13"/>
  <c r="A474" i="13"/>
  <c r="A475" i="13"/>
  <c r="A476" i="13"/>
  <c r="A477" i="13"/>
  <c r="A478" i="13"/>
  <c r="A479" i="13"/>
  <c r="A480" i="13"/>
  <c r="A481" i="13"/>
  <c r="A482" i="13"/>
  <c r="A483" i="13"/>
  <c r="A484" i="13"/>
  <c r="A485" i="13"/>
  <c r="A486" i="13"/>
  <c r="A487" i="13"/>
  <c r="A488" i="13"/>
  <c r="A489" i="13"/>
  <c r="A490" i="13"/>
  <c r="A491" i="13"/>
  <c r="A492" i="13"/>
  <c r="A493" i="13"/>
  <c r="A494" i="13"/>
  <c r="A495" i="13"/>
  <c r="A496" i="13"/>
  <c r="A497" i="13"/>
  <c r="A498" i="13"/>
  <c r="A499" i="13"/>
  <c r="A500" i="13"/>
  <c r="A501" i="13"/>
  <c r="A502" i="13"/>
  <c r="A503" i="13"/>
  <c r="A504" i="13"/>
  <c r="A505" i="13"/>
  <c r="A506" i="13"/>
  <c r="A507" i="13"/>
  <c r="A508" i="13"/>
  <c r="A509" i="13"/>
  <c r="A510" i="13"/>
  <c r="A511" i="13"/>
  <c r="A512" i="13"/>
  <c r="A513" i="13"/>
  <c r="A514" i="13"/>
  <c r="A515" i="13"/>
  <c r="A516" i="13"/>
  <c r="A517" i="13"/>
  <c r="A518" i="13"/>
  <c r="A519" i="13"/>
  <c r="A520" i="13"/>
  <c r="A521" i="13"/>
  <c r="A522" i="13"/>
  <c r="A523" i="13"/>
  <c r="A524" i="13"/>
  <c r="A525" i="13"/>
  <c r="A526" i="13"/>
  <c r="A527" i="13"/>
  <c r="A528" i="13"/>
  <c r="A529" i="13"/>
  <c r="A530" i="13"/>
  <c r="A531" i="13"/>
  <c r="A532" i="13"/>
  <c r="A533" i="13"/>
  <c r="A534" i="13"/>
  <c r="A535" i="13"/>
  <c r="A536" i="13"/>
  <c r="A537" i="13"/>
  <c r="A538" i="13"/>
  <c r="A539" i="13"/>
  <c r="A540" i="13"/>
  <c r="A541" i="13"/>
  <c r="A542" i="13"/>
  <c r="A543" i="13"/>
  <c r="A544" i="13"/>
  <c r="A545" i="13"/>
  <c r="A546" i="13"/>
  <c r="A547" i="13"/>
  <c r="A548" i="13"/>
  <c r="A549" i="13"/>
  <c r="A550" i="13"/>
  <c r="A551" i="13"/>
  <c r="A552" i="13"/>
  <c r="A553" i="13"/>
  <c r="A554" i="13"/>
  <c r="A555" i="13"/>
  <c r="A556" i="13"/>
  <c r="A557" i="13"/>
  <c r="A558" i="13"/>
  <c r="A559" i="13"/>
  <c r="A560" i="13"/>
  <c r="A561" i="13"/>
  <c r="A562" i="13"/>
  <c r="A563" i="13"/>
  <c r="A564" i="13"/>
  <c r="A565" i="13"/>
  <c r="A566" i="13"/>
  <c r="A567" i="13"/>
  <c r="A568" i="13"/>
  <c r="A569" i="13"/>
  <c r="A570" i="13"/>
  <c r="A571" i="13"/>
  <c r="A572" i="13"/>
  <c r="A573" i="13"/>
  <c r="A574" i="13"/>
  <c r="A575" i="13"/>
  <c r="A576" i="13"/>
  <c r="A577" i="13"/>
  <c r="A578" i="13"/>
  <c r="A579" i="13"/>
  <c r="A580" i="13"/>
  <c r="A581" i="13"/>
  <c r="A582" i="13"/>
  <c r="A583" i="13"/>
  <c r="A584" i="13"/>
  <c r="A585" i="13"/>
  <c r="A586" i="13"/>
  <c r="A587" i="13"/>
  <c r="A588" i="13"/>
  <c r="A589" i="13"/>
  <c r="A590" i="13"/>
  <c r="A591" i="13"/>
  <c r="A592" i="13"/>
  <c r="A593" i="13"/>
  <c r="A594" i="13"/>
  <c r="A595" i="13"/>
  <c r="A596" i="13"/>
  <c r="A597" i="13"/>
  <c r="A598" i="13"/>
  <c r="A599" i="13"/>
  <c r="A600" i="13"/>
  <c r="A601" i="13"/>
  <c r="A602" i="13"/>
  <c r="A603" i="13"/>
  <c r="A604" i="13"/>
  <c r="A605" i="13"/>
  <c r="A606" i="13"/>
  <c r="A607" i="13"/>
  <c r="A608" i="13"/>
  <c r="A609" i="13"/>
  <c r="A610" i="13"/>
  <c r="A611" i="13"/>
  <c r="A612" i="13"/>
  <c r="A613" i="13"/>
  <c r="A614" i="13"/>
  <c r="A615" i="13"/>
  <c r="A616" i="13"/>
  <c r="A617" i="13"/>
  <c r="A618" i="13"/>
  <c r="A619" i="13"/>
  <c r="A620" i="13"/>
  <c r="A621" i="13"/>
  <c r="A622" i="13"/>
  <c r="A623" i="13"/>
  <c r="A624" i="13"/>
  <c r="A625" i="13"/>
  <c r="A626" i="13"/>
  <c r="A627" i="13"/>
  <c r="A628" i="13"/>
  <c r="A629" i="13"/>
  <c r="A630" i="13"/>
  <c r="A631" i="13"/>
  <c r="A632" i="13"/>
  <c r="A633" i="13"/>
  <c r="A634" i="13"/>
  <c r="A635" i="13"/>
  <c r="A636" i="13"/>
  <c r="A637" i="13"/>
  <c r="A638" i="13"/>
  <c r="A639" i="13"/>
  <c r="A640" i="13"/>
  <c r="A641" i="13"/>
  <c r="A642" i="13"/>
  <c r="A643" i="13"/>
  <c r="A644" i="13"/>
  <c r="A645" i="13"/>
  <c r="A646" i="13"/>
  <c r="A647" i="13"/>
  <c r="A648" i="13"/>
  <c r="A649" i="13"/>
  <c r="A650" i="13"/>
  <c r="A651" i="13"/>
  <c r="A652" i="13"/>
  <c r="A653" i="13"/>
  <c r="A654" i="13"/>
  <c r="A655" i="13"/>
  <c r="A656" i="13"/>
  <c r="A657" i="13"/>
  <c r="A658" i="13"/>
  <c r="A659" i="13"/>
  <c r="A660" i="13"/>
  <c r="A661" i="13"/>
  <c r="A662" i="13"/>
  <c r="A663" i="13"/>
  <c r="A664" i="13"/>
  <c r="A665" i="13"/>
  <c r="A666" i="13"/>
  <c r="A667" i="13"/>
  <c r="A668" i="13"/>
  <c r="A669" i="13"/>
  <c r="A670" i="13"/>
  <c r="A671" i="13"/>
  <c r="A672" i="13"/>
  <c r="A673" i="13"/>
  <c r="A674" i="13"/>
  <c r="A675" i="13"/>
  <c r="A676" i="13"/>
  <c r="A677" i="13"/>
  <c r="A678" i="13"/>
  <c r="A679" i="13"/>
  <c r="A680" i="13"/>
  <c r="A681" i="13"/>
  <c r="A682" i="13"/>
  <c r="A683" i="13"/>
  <c r="A684" i="13"/>
  <c r="A685" i="13"/>
  <c r="A686" i="13"/>
  <c r="A687" i="13"/>
  <c r="A688" i="13"/>
  <c r="A689" i="13"/>
  <c r="A690" i="13"/>
  <c r="A691" i="13"/>
  <c r="A692" i="13"/>
  <c r="A693" i="13"/>
  <c r="A694" i="13"/>
  <c r="A695" i="13"/>
  <c r="A696" i="13"/>
  <c r="A697" i="13"/>
  <c r="A698" i="13"/>
  <c r="A699" i="13"/>
  <c r="A700" i="13"/>
  <c r="A701" i="13"/>
  <c r="A702" i="13"/>
  <c r="A703" i="13"/>
  <c r="A704" i="13"/>
  <c r="A705" i="13"/>
  <c r="A706" i="13"/>
  <c r="A707" i="13"/>
  <c r="A708" i="13"/>
  <c r="A709" i="13"/>
  <c r="A710" i="13"/>
  <c r="A711" i="13"/>
  <c r="A712" i="13"/>
  <c r="A713" i="13"/>
  <c r="A714" i="13"/>
  <c r="A715" i="13"/>
  <c r="A716" i="13"/>
  <c r="A717" i="13"/>
  <c r="A718" i="13"/>
  <c r="A719" i="13"/>
  <c r="A720" i="13"/>
  <c r="A721" i="13"/>
  <c r="A722" i="13"/>
  <c r="A723" i="13"/>
  <c r="A724" i="13"/>
  <c r="A725" i="13"/>
  <c r="A726" i="13"/>
  <c r="A727" i="13"/>
  <c r="A728" i="13"/>
  <c r="A729" i="13"/>
  <c r="A730" i="13"/>
  <c r="A731" i="13"/>
  <c r="A732" i="13"/>
  <c r="A733" i="13"/>
  <c r="A734" i="13"/>
  <c r="A735" i="13"/>
  <c r="A736" i="13"/>
  <c r="A737" i="13"/>
  <c r="A738" i="13"/>
  <c r="A739" i="13"/>
  <c r="A740" i="13"/>
  <c r="A741" i="13"/>
  <c r="A742" i="13"/>
  <c r="A743" i="13"/>
  <c r="A744" i="13"/>
  <c r="A745" i="13"/>
  <c r="A746" i="13"/>
  <c r="A747" i="13"/>
  <c r="A748" i="13"/>
  <c r="A749" i="13"/>
  <c r="A750" i="13"/>
  <c r="A751" i="13"/>
  <c r="A752" i="13"/>
  <c r="A753" i="13"/>
  <c r="A754" i="13"/>
  <c r="A755" i="13"/>
  <c r="A756" i="13"/>
  <c r="A757" i="13"/>
  <c r="A758" i="13"/>
  <c r="A759" i="13"/>
  <c r="A760" i="13"/>
  <c r="A761" i="13"/>
  <c r="A762" i="13"/>
  <c r="A763" i="13"/>
  <c r="A764" i="13"/>
  <c r="A765" i="13"/>
  <c r="A766" i="13"/>
  <c r="A767" i="13"/>
  <c r="A768" i="13"/>
  <c r="A769" i="13"/>
  <c r="A770" i="13"/>
  <c r="A771" i="13"/>
  <c r="A772" i="13"/>
  <c r="A773" i="13"/>
  <c r="A774" i="13"/>
  <c r="A775" i="13"/>
  <c r="A776" i="13"/>
  <c r="A777" i="13"/>
  <c r="A778" i="13"/>
  <c r="A779" i="13"/>
  <c r="A780" i="13"/>
  <c r="A781" i="13"/>
  <c r="A782" i="13"/>
  <c r="A783" i="13"/>
  <c r="A784" i="13"/>
  <c r="A785" i="13"/>
  <c r="A786" i="13"/>
  <c r="A787" i="13"/>
  <c r="A788" i="13"/>
  <c r="A789" i="13"/>
  <c r="A790" i="13"/>
  <c r="A791" i="13"/>
  <c r="A792" i="13"/>
  <c r="A793" i="13"/>
  <c r="A794" i="13"/>
  <c r="A795" i="13"/>
  <c r="A796" i="13"/>
  <c r="A797" i="13"/>
  <c r="A798" i="13"/>
  <c r="A799" i="13"/>
  <c r="A800" i="13"/>
  <c r="A801" i="13"/>
  <c r="A802" i="13"/>
  <c r="A803" i="13"/>
  <c r="A804" i="13"/>
  <c r="A805" i="13"/>
  <c r="A806" i="13"/>
  <c r="A807" i="13"/>
  <c r="A808" i="13"/>
  <c r="A809" i="13"/>
  <c r="A810" i="13"/>
  <c r="A811" i="13"/>
  <c r="A812" i="13"/>
  <c r="A813" i="13"/>
  <c r="A814" i="13"/>
  <c r="A815" i="13"/>
  <c r="A816" i="13"/>
  <c r="A817" i="13"/>
  <c r="A818" i="13"/>
  <c r="A819" i="13"/>
  <c r="A820" i="13"/>
  <c r="A821" i="13"/>
  <c r="A822" i="13"/>
  <c r="A823" i="13"/>
  <c r="A824" i="13"/>
  <c r="A825" i="13"/>
  <c r="A826" i="13"/>
  <c r="A827" i="13"/>
  <c r="A828" i="13"/>
  <c r="A829" i="13"/>
  <c r="A830" i="13"/>
  <c r="A831" i="13"/>
  <c r="A832" i="13"/>
  <c r="A833" i="13"/>
  <c r="A834" i="13"/>
  <c r="A835" i="13"/>
  <c r="A836" i="13"/>
  <c r="A837" i="13"/>
  <c r="A838" i="13"/>
  <c r="A839" i="13"/>
  <c r="A840" i="13"/>
  <c r="A841" i="13"/>
  <c r="A842" i="13"/>
  <c r="A843" i="13"/>
  <c r="A844" i="13"/>
  <c r="A845" i="13"/>
  <c r="A846" i="13"/>
  <c r="A847" i="13"/>
  <c r="A848" i="13"/>
  <c r="A849" i="13"/>
  <c r="A850" i="13"/>
  <c r="A851" i="13"/>
  <c r="A852" i="13"/>
  <c r="A853" i="13"/>
  <c r="A854" i="13"/>
  <c r="A855" i="13"/>
  <c r="A856" i="13"/>
  <c r="A857" i="13"/>
  <c r="A858" i="13"/>
  <c r="A859" i="13"/>
  <c r="A860" i="13"/>
  <c r="A861" i="13"/>
  <c r="A862" i="13"/>
  <c r="A863" i="13"/>
  <c r="A864" i="13"/>
  <c r="A865" i="13"/>
  <c r="A866" i="13"/>
  <c r="A867" i="13"/>
  <c r="A868" i="13"/>
  <c r="A869" i="13"/>
  <c r="A870" i="13"/>
  <c r="A871" i="13"/>
  <c r="A872" i="13"/>
  <c r="A873" i="13"/>
  <c r="A874" i="13"/>
  <c r="A875" i="13"/>
  <c r="A876" i="13"/>
  <c r="A877" i="13"/>
  <c r="A878" i="13"/>
  <c r="A879" i="13"/>
  <c r="A880" i="13"/>
  <c r="A881" i="13"/>
  <c r="A882" i="13"/>
  <c r="A883" i="13"/>
  <c r="A884" i="13"/>
  <c r="A885" i="13"/>
  <c r="A886" i="13"/>
  <c r="A887" i="13"/>
  <c r="A888" i="13"/>
  <c r="A889" i="13"/>
  <c r="A890" i="13"/>
  <c r="A891" i="13"/>
  <c r="A892" i="13"/>
  <c r="A893" i="13"/>
  <c r="A894" i="13"/>
  <c r="A895" i="13"/>
  <c r="A896" i="13"/>
  <c r="A897" i="13"/>
  <c r="A898" i="13"/>
  <c r="A899" i="13"/>
  <c r="A900" i="13"/>
  <c r="A901" i="13"/>
  <c r="A902" i="13"/>
  <c r="A903" i="13"/>
  <c r="A904" i="13"/>
  <c r="A905" i="13"/>
  <c r="A906" i="13"/>
  <c r="A907" i="13"/>
  <c r="A908" i="13"/>
  <c r="A909" i="13"/>
  <c r="A910" i="13"/>
  <c r="A911" i="13"/>
  <c r="A912" i="13"/>
  <c r="A913" i="13"/>
  <c r="A914" i="13"/>
  <c r="A915" i="13"/>
  <c r="A916" i="13"/>
  <c r="A917" i="13"/>
  <c r="A918" i="13"/>
  <c r="A919" i="13"/>
  <c r="A920" i="13"/>
  <c r="A921" i="13"/>
  <c r="A922" i="13"/>
  <c r="A923" i="13"/>
  <c r="A924" i="13"/>
  <c r="A925" i="13"/>
  <c r="A926" i="13"/>
  <c r="A927" i="13"/>
  <c r="A928" i="13"/>
  <c r="A929" i="13"/>
  <c r="A930" i="13"/>
  <c r="A931" i="13"/>
  <c r="A932" i="13"/>
  <c r="A933" i="13"/>
  <c r="A934" i="13"/>
  <c r="A935" i="13"/>
  <c r="A936" i="13"/>
  <c r="A937" i="13"/>
  <c r="A938" i="13"/>
  <c r="A939" i="13"/>
  <c r="A940" i="13"/>
  <c r="A941" i="13"/>
  <c r="A942" i="13"/>
  <c r="A943" i="13"/>
  <c r="A944" i="13"/>
  <c r="A945" i="13"/>
  <c r="A946" i="13"/>
  <c r="A947" i="13"/>
  <c r="A948" i="13"/>
  <c r="A949" i="13"/>
  <c r="A950" i="13"/>
  <c r="A951" i="13"/>
  <c r="A952" i="13"/>
  <c r="A953" i="13"/>
  <c r="A954" i="13"/>
  <c r="A955" i="13"/>
  <c r="A956" i="13"/>
  <c r="A957" i="13"/>
  <c r="A958" i="13"/>
  <c r="A959" i="13"/>
  <c r="A960" i="13"/>
  <c r="A961" i="13"/>
  <c r="A962" i="13"/>
  <c r="A963" i="13"/>
  <c r="A964" i="13"/>
  <c r="A965" i="13"/>
  <c r="A966" i="13"/>
  <c r="A967" i="13"/>
  <c r="A968" i="13"/>
  <c r="A969" i="13"/>
  <c r="A970" i="13"/>
  <c r="A971" i="13"/>
  <c r="A972" i="13"/>
  <c r="A973" i="13"/>
  <c r="A974" i="13"/>
  <c r="A975" i="13"/>
  <c r="A976" i="13"/>
  <c r="A977" i="13"/>
  <c r="A978" i="13"/>
  <c r="A979" i="13"/>
  <c r="A980" i="13"/>
  <c r="A981" i="13"/>
  <c r="A982" i="13"/>
  <c r="A983" i="13"/>
  <c r="A984" i="13"/>
  <c r="A985" i="13"/>
  <c r="A986" i="13"/>
  <c r="A987" i="13"/>
  <c r="A988" i="13"/>
  <c r="A989" i="13"/>
  <c r="A990" i="13"/>
  <c r="A991" i="13"/>
  <c r="A992" i="13"/>
  <c r="A993" i="13"/>
  <c r="A994" i="13"/>
  <c r="A995" i="13"/>
  <c r="A996" i="13"/>
  <c r="A997" i="13"/>
  <c r="A998" i="13"/>
  <c r="A999" i="13"/>
  <c r="A1000" i="13"/>
  <c r="A1001" i="13"/>
  <c r="A1002" i="13"/>
  <c r="A1003" i="13"/>
  <c r="A1004" i="13"/>
  <c r="A1005" i="13"/>
  <c r="A1006" i="13"/>
  <c r="A1007" i="13"/>
  <c r="A1008" i="13"/>
  <c r="A1009" i="13"/>
  <c r="A1010" i="13"/>
  <c r="A1011" i="13"/>
  <c r="A1012" i="13"/>
  <c r="A1013" i="13"/>
  <c r="A1014" i="13"/>
  <c r="A1015" i="13"/>
  <c r="A1016" i="13"/>
  <c r="A1017" i="13"/>
  <c r="A1018" i="13"/>
  <c r="A1019" i="13"/>
  <c r="A1020" i="13"/>
  <c r="A1021" i="13"/>
  <c r="A1022" i="13"/>
  <c r="A1023" i="13"/>
  <c r="A1024" i="13"/>
  <c r="A1025" i="13"/>
  <c r="A1026" i="13"/>
  <c r="A1027" i="13"/>
  <c r="A1028" i="13"/>
  <c r="A1029" i="13"/>
  <c r="A1030" i="13"/>
  <c r="A1031" i="13"/>
  <c r="A1032" i="13"/>
  <c r="A1033" i="13"/>
  <c r="A2" i="13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5" i="6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6" i="2"/>
  <c r="H1007" i="15" l="1"/>
  <c r="H105" i="15"/>
  <c r="H140" i="15"/>
  <c r="H497" i="15"/>
  <c r="H585" i="15"/>
  <c r="H954" i="15"/>
  <c r="H58" i="15"/>
  <c r="H65" i="15"/>
  <c r="D852" i="13"/>
  <c r="E852" i="13" s="1"/>
  <c r="F852" i="13" s="1"/>
  <c r="D651" i="13"/>
  <c r="E651" i="13" s="1"/>
  <c r="F651" i="13" s="1"/>
  <c r="D908" i="13"/>
  <c r="E908" i="13" s="1"/>
  <c r="F908" i="13" s="1"/>
  <c r="D414" i="13"/>
  <c r="E414" i="13" s="1"/>
  <c r="F414" i="13" s="1"/>
  <c r="D827" i="13"/>
  <c r="D185" i="13"/>
  <c r="E185" i="13" s="1"/>
  <c r="F185" i="13" s="1"/>
  <c r="D770" i="13"/>
  <c r="E770" i="13" s="1"/>
  <c r="F770" i="13" s="1"/>
  <c r="D303" i="13"/>
  <c r="E303" i="13" s="1"/>
  <c r="F303" i="13" s="1"/>
  <c r="D708" i="13"/>
  <c r="E708" i="13" s="1"/>
  <c r="F708" i="13" s="1"/>
  <c r="D257" i="13"/>
  <c r="E257" i="13" s="1"/>
  <c r="F257" i="13" s="1"/>
  <c r="D263" i="13"/>
  <c r="E263" i="13" s="1"/>
  <c r="F263" i="13" s="1"/>
  <c r="D1023" i="13"/>
  <c r="D260" i="13"/>
  <c r="D957" i="13"/>
  <c r="E957" i="13" s="1"/>
  <c r="F957" i="13" s="1"/>
  <c r="D102" i="13"/>
  <c r="D667" i="13"/>
  <c r="E667" i="13" s="1"/>
  <c r="F667" i="13" s="1"/>
  <c r="D1008" i="13"/>
  <c r="E1008" i="13" s="1"/>
  <c r="F1008" i="13" s="1"/>
  <c r="D402" i="13"/>
  <c r="E402" i="13" s="1"/>
  <c r="F402" i="13" s="1"/>
  <c r="D903" i="13"/>
  <c r="E903" i="13" s="1"/>
  <c r="F903" i="13" s="1"/>
  <c r="D137" i="13"/>
  <c r="D790" i="13"/>
  <c r="E790" i="13" s="1"/>
  <c r="F790" i="13" s="1"/>
  <c r="D483" i="13"/>
  <c r="E483" i="13" s="1"/>
  <c r="F483" i="13" s="1"/>
  <c r="D7" i="13"/>
  <c r="D679" i="13"/>
  <c r="E679" i="13" s="1"/>
  <c r="F679" i="13" s="1"/>
  <c r="D497" i="13"/>
  <c r="E497" i="13" s="1"/>
  <c r="F497" i="13" s="1"/>
  <c r="D736" i="13"/>
  <c r="E736" i="13" s="1"/>
  <c r="F736" i="13" s="1"/>
  <c r="D132" i="13"/>
  <c r="D845" i="13"/>
  <c r="E845" i="13" s="1"/>
  <c r="F845" i="13" s="1"/>
  <c r="D86" i="13"/>
  <c r="E86" i="13" s="1"/>
  <c r="F86" i="13" s="1"/>
  <c r="D393" i="13"/>
  <c r="E393" i="13" s="1"/>
  <c r="F393" i="13" s="1"/>
  <c r="D76" i="13"/>
  <c r="D528" i="13"/>
  <c r="E528" i="13" s="1"/>
  <c r="F528" i="13" s="1"/>
  <c r="D113" i="13"/>
  <c r="E113" i="13" s="1"/>
  <c r="F113" i="13" s="1"/>
  <c r="D134" i="13"/>
  <c r="E134" i="13" s="1"/>
  <c r="F134" i="13" s="1"/>
  <c r="D487" i="13"/>
  <c r="E487" i="13" s="1"/>
  <c r="F487" i="13" s="1"/>
  <c r="D407" i="13"/>
  <c r="E407" i="13" s="1"/>
  <c r="F407" i="13" s="1"/>
  <c r="D492" i="13"/>
  <c r="E492" i="13" s="1"/>
  <c r="F492" i="13" s="1"/>
  <c r="D886" i="13"/>
  <c r="E886" i="13" s="1"/>
  <c r="F886" i="13" s="1"/>
  <c r="D809" i="13"/>
  <c r="D711" i="13"/>
  <c r="E711" i="13" s="1"/>
  <c r="F711" i="13" s="1"/>
  <c r="D648" i="13"/>
  <c r="E648" i="13" s="1"/>
  <c r="F648" i="13" s="1"/>
  <c r="D707" i="13"/>
  <c r="E707" i="13" s="1"/>
  <c r="F707" i="13" s="1"/>
  <c r="D992" i="13"/>
  <c r="E992" i="13" s="1"/>
  <c r="F992" i="13" s="1"/>
  <c r="D297" i="13"/>
  <c r="E297" i="13" s="1"/>
  <c r="F297" i="13" s="1"/>
  <c r="D731" i="13"/>
  <c r="E731" i="13" s="1"/>
  <c r="F731" i="13" s="1"/>
  <c r="D774" i="13"/>
  <c r="E774" i="13" s="1"/>
  <c r="F774" i="13" s="1"/>
  <c r="D932" i="13"/>
  <c r="D672" i="13"/>
  <c r="E672" i="13" s="1"/>
  <c r="F672" i="13" s="1"/>
  <c r="D542" i="13"/>
  <c r="E542" i="13" s="1"/>
  <c r="F542" i="13" s="1"/>
  <c r="D558" i="13"/>
  <c r="E558" i="13" s="1"/>
  <c r="F558" i="13" s="1"/>
  <c r="D237" i="13"/>
  <c r="E237" i="13" s="1"/>
  <c r="F237" i="13" s="1"/>
  <c r="D950" i="13"/>
  <c r="E950" i="13" s="1"/>
  <c r="F950" i="13" s="1"/>
  <c r="D601" i="13"/>
  <c r="E601" i="13" s="1"/>
  <c r="F601" i="13" s="1"/>
  <c r="D1010" i="13"/>
  <c r="E1010" i="13" s="1"/>
  <c r="F1010" i="13" s="1"/>
  <c r="D466" i="13"/>
  <c r="D31" i="13"/>
  <c r="E31" i="13" s="1"/>
  <c r="F31" i="13" s="1"/>
  <c r="D526" i="13"/>
  <c r="E526" i="13" s="1"/>
  <c r="F526" i="13" s="1"/>
  <c r="D514" i="13"/>
  <c r="E514" i="13" s="1"/>
  <c r="F514" i="13" s="1"/>
  <c r="D575" i="13"/>
  <c r="E575" i="13" s="1"/>
  <c r="F575" i="13" s="1"/>
  <c r="D669" i="13"/>
  <c r="E669" i="13" s="1"/>
  <c r="F669" i="13" s="1"/>
  <c r="D805" i="13"/>
  <c r="E805" i="13" s="1"/>
  <c r="F805" i="13" s="1"/>
  <c r="D503" i="13"/>
  <c r="E503" i="13" s="1"/>
  <c r="F503" i="13" s="1"/>
  <c r="D896" i="13"/>
  <c r="D387" i="13"/>
  <c r="E387" i="13" s="1"/>
  <c r="F387" i="13" s="1"/>
  <c r="D828" i="13"/>
  <c r="D284" i="13"/>
  <c r="E284" i="13" s="1"/>
  <c r="F284" i="13" s="1"/>
  <c r="D604" i="13"/>
  <c r="E604" i="13" s="1"/>
  <c r="F604" i="13" s="1"/>
  <c r="D331" i="13"/>
  <c r="E331" i="13" s="1"/>
  <c r="F331" i="13" s="1"/>
  <c r="D408" i="13"/>
  <c r="E408" i="13" s="1"/>
  <c r="F408" i="13" s="1"/>
  <c r="D482" i="13"/>
  <c r="E482" i="13" s="1"/>
  <c r="F482" i="13" s="1"/>
  <c r="D374" i="13"/>
  <c r="D637" i="13"/>
  <c r="E637" i="13" s="1"/>
  <c r="F637" i="13" s="1"/>
  <c r="D474" i="13"/>
  <c r="E474" i="13" s="1"/>
  <c r="F474" i="13" s="1"/>
  <c r="D44" i="13"/>
  <c r="E44" i="13" s="1"/>
  <c r="F44" i="13" s="1"/>
  <c r="D200" i="13"/>
  <c r="E200" i="13" s="1"/>
  <c r="F200" i="13" s="1"/>
  <c r="D570" i="13"/>
  <c r="E570" i="13" s="1"/>
  <c r="F570" i="13" s="1"/>
  <c r="D965" i="13"/>
  <c r="E965" i="13" s="1"/>
  <c r="F965" i="13" s="1"/>
  <c r="D355" i="13"/>
  <c r="E355" i="13" s="1"/>
  <c r="F355" i="13" s="1"/>
  <c r="D784" i="13"/>
  <c r="E784" i="13" s="1"/>
  <c r="F784" i="13" s="1"/>
  <c r="D1021" i="13"/>
  <c r="E1021" i="13" s="1"/>
  <c r="F1021" i="13" s="1"/>
  <c r="D247" i="13"/>
  <c r="E247" i="13" s="1"/>
  <c r="F247" i="13" s="1"/>
  <c r="D391" i="13"/>
  <c r="E391" i="13" s="1"/>
  <c r="F391" i="13" s="1"/>
  <c r="D81" i="13"/>
  <c r="E81" i="13" s="1"/>
  <c r="F81" i="13" s="1"/>
  <c r="D145" i="13"/>
  <c r="E145" i="13" s="1"/>
  <c r="F145" i="13" s="1"/>
  <c r="D566" i="13"/>
  <c r="E566" i="13" s="1"/>
  <c r="F566" i="13" s="1"/>
  <c r="D591" i="13"/>
  <c r="E591" i="13" s="1"/>
  <c r="F591" i="13" s="1"/>
  <c r="D933" i="13"/>
  <c r="E933" i="13" s="1"/>
  <c r="F933" i="13" s="1"/>
  <c r="D808" i="13"/>
  <c r="E808" i="13" s="1"/>
  <c r="F808" i="13" s="1"/>
  <c r="D338" i="13"/>
  <c r="E338" i="13" s="1"/>
  <c r="F338" i="13" s="1"/>
  <c r="D478" i="13"/>
  <c r="E478" i="13" s="1"/>
  <c r="F478" i="13" s="1"/>
  <c r="D154" i="13"/>
  <c r="E154" i="13" s="1"/>
  <c r="F154" i="13" s="1"/>
  <c r="D1019" i="13"/>
  <c r="E1019" i="13" s="1"/>
  <c r="F1019" i="13" s="1"/>
  <c r="D460" i="13"/>
  <c r="D990" i="13"/>
  <c r="E990" i="13" s="1"/>
  <c r="F990" i="13" s="1"/>
  <c r="D71" i="13"/>
  <c r="E71" i="13" s="1"/>
  <c r="F71" i="13" s="1"/>
  <c r="D926" i="13"/>
  <c r="E926" i="13" s="1"/>
  <c r="F926" i="13" s="1"/>
  <c r="D791" i="13"/>
  <c r="E791" i="13" s="1"/>
  <c r="F791" i="13" s="1"/>
  <c r="D165" i="13"/>
  <c r="E165" i="13" s="1"/>
  <c r="F165" i="13" s="1"/>
  <c r="D755" i="13"/>
  <c r="E755" i="13" s="1"/>
  <c r="F755" i="13" s="1"/>
  <c r="D802" i="13"/>
  <c r="D473" i="13"/>
  <c r="E473" i="13" s="1"/>
  <c r="F473" i="13" s="1"/>
  <c r="D607" i="13"/>
  <c r="E607" i="13" s="1"/>
  <c r="F607" i="13" s="1"/>
  <c r="D743" i="13"/>
  <c r="E743" i="13" s="1"/>
  <c r="F743" i="13" s="1"/>
  <c r="D416" i="13"/>
  <c r="E416" i="13" s="1"/>
  <c r="F416" i="13" s="1"/>
  <c r="D51" i="13"/>
  <c r="E51" i="13" s="1"/>
  <c r="F51" i="13" s="1"/>
  <c r="D262" i="13"/>
  <c r="E262" i="13" s="1"/>
  <c r="F262" i="13" s="1"/>
  <c r="D167" i="13"/>
  <c r="E167" i="13" s="1"/>
  <c r="F167" i="13" s="1"/>
  <c r="D53" i="13"/>
  <c r="E53" i="13" s="1"/>
  <c r="F53" i="13" s="1"/>
  <c r="D12" i="13"/>
  <c r="E12" i="13" s="1"/>
  <c r="F12" i="13" s="1"/>
  <c r="D742" i="13"/>
  <c r="E742" i="13" s="1"/>
  <c r="F742" i="13" s="1"/>
  <c r="D620" i="13"/>
  <c r="E620" i="13" s="1"/>
  <c r="F620" i="13" s="1"/>
  <c r="D511" i="13"/>
  <c r="E511" i="13" s="1"/>
  <c r="F511" i="13" s="1"/>
  <c r="D683" i="13"/>
  <c r="E683" i="13" s="1"/>
  <c r="F683" i="13" s="1"/>
  <c r="D484" i="13"/>
  <c r="E484" i="13" s="1"/>
  <c r="F484" i="13" s="1"/>
  <c r="D462" i="13"/>
  <c r="E462" i="13" s="1"/>
  <c r="F462" i="13" s="1"/>
  <c r="D43" i="13"/>
  <c r="E43" i="13" s="1"/>
  <c r="F43" i="13" s="1"/>
  <c r="D529" i="13"/>
  <c r="E529" i="13" s="1"/>
  <c r="F529" i="13" s="1"/>
  <c r="D973" i="13"/>
  <c r="E973" i="13" s="1"/>
  <c r="F973" i="13" s="1"/>
  <c r="D99" i="13"/>
  <c r="E99" i="13" s="1"/>
  <c r="F99" i="13" s="1"/>
  <c r="D509" i="13"/>
  <c r="E509" i="13" s="1"/>
  <c r="F509" i="13" s="1"/>
  <c r="D946" i="13"/>
  <c r="E946" i="13" s="1"/>
  <c r="F946" i="13" s="1"/>
  <c r="D914" i="13"/>
  <c r="E914" i="13" s="1"/>
  <c r="F914" i="13" s="1"/>
  <c r="D41" i="13"/>
  <c r="E41" i="13" s="1"/>
  <c r="F41" i="13" s="1"/>
  <c r="D88" i="13"/>
  <c r="E88" i="13" s="1"/>
  <c r="F88" i="13" s="1"/>
  <c r="D853" i="13"/>
  <c r="D955" i="13"/>
  <c r="E955" i="13" s="1"/>
  <c r="F955" i="13" s="1"/>
  <c r="D480" i="13"/>
  <c r="E480" i="13" s="1"/>
  <c r="F480" i="13" s="1"/>
  <c r="D251" i="13"/>
  <c r="E251" i="13" s="1"/>
  <c r="F251" i="13" s="1"/>
  <c r="D116" i="13"/>
  <c r="E116" i="13" s="1"/>
  <c r="F116" i="13" s="1"/>
  <c r="D581" i="13"/>
  <c r="E581" i="13" s="1"/>
  <c r="F581" i="13" s="1"/>
  <c r="D895" i="13"/>
  <c r="E895" i="13" s="1"/>
  <c r="F895" i="13" s="1"/>
  <c r="D1002" i="13"/>
  <c r="E1002" i="13" s="1"/>
  <c r="F1002" i="13" s="1"/>
  <c r="D300" i="13"/>
  <c r="E300" i="13" s="1"/>
  <c r="F300" i="13" s="1"/>
  <c r="D234" i="13"/>
  <c r="E234" i="13" s="1"/>
  <c r="F234" i="13" s="1"/>
  <c r="D321" i="13"/>
  <c r="E321" i="13" s="1"/>
  <c r="F321" i="13" s="1"/>
  <c r="D411" i="13"/>
  <c r="E411" i="13" s="1"/>
  <c r="F411" i="13" s="1"/>
  <c r="D854" i="13"/>
  <c r="E854" i="13" s="1"/>
  <c r="F854" i="13" s="1"/>
  <c r="D746" i="13"/>
  <c r="E746" i="13" s="1"/>
  <c r="F746" i="13" s="1"/>
  <c r="D341" i="13"/>
  <c r="E341" i="13" s="1"/>
  <c r="F341" i="13" s="1"/>
  <c r="D677" i="13"/>
  <c r="D662" i="13"/>
  <c r="D238" i="13"/>
  <c r="E238" i="13" s="1"/>
  <c r="F238" i="13" s="1"/>
  <c r="D512" i="13"/>
  <c r="E512" i="13" s="1"/>
  <c r="F512" i="13" s="1"/>
  <c r="D874" i="13"/>
  <c r="E874" i="13" s="1"/>
  <c r="F874" i="13" s="1"/>
  <c r="D203" i="13"/>
  <c r="E203" i="13" s="1"/>
  <c r="F203" i="13" s="1"/>
  <c r="D229" i="13"/>
  <c r="E229" i="13" s="1"/>
  <c r="F229" i="13" s="1"/>
  <c r="D105" i="13"/>
  <c r="E105" i="13" s="1"/>
  <c r="F105" i="13" s="1"/>
  <c r="D423" i="13"/>
  <c r="D106" i="13"/>
  <c r="E106" i="13" s="1"/>
  <c r="F106" i="13" s="1"/>
  <c r="D941" i="13"/>
  <c r="E941" i="13" s="1"/>
  <c r="F941" i="13" s="1"/>
  <c r="D232" i="13"/>
  <c r="E232" i="13" s="1"/>
  <c r="F232" i="13" s="1"/>
  <c r="D187" i="13"/>
  <c r="E187" i="13" s="1"/>
  <c r="F187" i="13" s="1"/>
  <c r="D968" i="13"/>
  <c r="E968" i="13" s="1"/>
  <c r="F968" i="13" s="1"/>
  <c r="D519" i="13"/>
  <c r="E519" i="13" s="1"/>
  <c r="F519" i="13" s="1"/>
  <c r="D555" i="13"/>
  <c r="E555" i="13" s="1"/>
  <c r="F555" i="13" s="1"/>
  <c r="D389" i="13"/>
  <c r="E389" i="13" s="1"/>
  <c r="F389" i="13" s="1"/>
  <c r="D735" i="13"/>
  <c r="D221" i="13"/>
  <c r="E221" i="13" s="1"/>
  <c r="F221" i="13" s="1"/>
  <c r="D239" i="13"/>
  <c r="E239" i="13" s="1"/>
  <c r="F239" i="13" s="1"/>
  <c r="D72" i="13"/>
  <c r="E72" i="13" s="1"/>
  <c r="F72" i="13" s="1"/>
  <c r="D640" i="13"/>
  <c r="E640" i="13" s="1"/>
  <c r="F640" i="13" s="1"/>
  <c r="D364" i="13"/>
  <c r="E364" i="13" s="1"/>
  <c r="F364" i="13" s="1"/>
  <c r="D814" i="13"/>
  <c r="E814" i="13" s="1"/>
  <c r="F814" i="13" s="1"/>
  <c r="D453" i="13"/>
  <c r="D595" i="13"/>
  <c r="D785" i="13"/>
  <c r="E785" i="13" s="1"/>
  <c r="F785" i="13" s="1"/>
  <c r="D568" i="13"/>
  <c r="E568" i="13" s="1"/>
  <c r="F568" i="13" s="1"/>
  <c r="D574" i="13"/>
  <c r="E574" i="13" s="1"/>
  <c r="F574" i="13" s="1"/>
  <c r="D572" i="13"/>
  <c r="E572" i="13" s="1"/>
  <c r="F572" i="13" s="1"/>
  <c r="D576" i="13"/>
  <c r="E576" i="13" s="1"/>
  <c r="F576" i="13" s="1"/>
  <c r="D461" i="13"/>
  <c r="E461" i="13" s="1"/>
  <c r="F461" i="13" s="1"/>
  <c r="D564" i="13"/>
  <c r="E564" i="13" s="1"/>
  <c r="F564" i="13" s="1"/>
  <c r="D999" i="13"/>
  <c r="E999" i="13" s="1"/>
  <c r="F999" i="13" s="1"/>
  <c r="D34" i="13"/>
  <c r="E34" i="13" s="1"/>
  <c r="F34" i="13" s="1"/>
  <c r="D259" i="13"/>
  <c r="E259" i="13" s="1"/>
  <c r="F259" i="13" s="1"/>
  <c r="D758" i="13"/>
  <c r="E758" i="13" s="1"/>
  <c r="F758" i="13" s="1"/>
  <c r="D1011" i="13"/>
  <c r="E1011" i="13" s="1"/>
  <c r="F1011" i="13" s="1"/>
  <c r="D745" i="13"/>
  <c r="E745" i="13" s="1"/>
  <c r="F745" i="13" s="1"/>
  <c r="D406" i="13"/>
  <c r="E406" i="13" s="1"/>
  <c r="F406" i="13" s="1"/>
  <c r="D625" i="13"/>
  <c r="E625" i="13" s="1"/>
  <c r="F625" i="13" s="1"/>
  <c r="D476" i="13"/>
  <c r="E476" i="13" s="1"/>
  <c r="F476" i="13" s="1"/>
  <c r="D824" i="13"/>
  <c r="E824" i="13" s="1"/>
  <c r="F824" i="13" s="1"/>
  <c r="D192" i="13"/>
  <c r="E192" i="13" s="1"/>
  <c r="F192" i="13" s="1"/>
  <c r="D726" i="13"/>
  <c r="E726" i="13" s="1"/>
  <c r="F726" i="13" s="1"/>
  <c r="D543" i="13"/>
  <c r="E543" i="13" s="1"/>
  <c r="F543" i="13" s="1"/>
  <c r="D975" i="13"/>
  <c r="E975" i="13" s="1"/>
  <c r="F975" i="13" s="1"/>
  <c r="D218" i="13"/>
  <c r="E218" i="13" s="1"/>
  <c r="F218" i="13" s="1"/>
  <c r="D233" i="13"/>
  <c r="E233" i="13" s="1"/>
  <c r="F233" i="13" s="1"/>
  <c r="D599" i="13"/>
  <c r="E599" i="13" s="1"/>
  <c r="F599" i="13" s="1"/>
  <c r="D825" i="13"/>
  <c r="E825" i="13" s="1"/>
  <c r="F825" i="13" s="1"/>
  <c r="D388" i="13"/>
  <c r="E388" i="13" s="1"/>
  <c r="F388" i="13" s="1"/>
  <c r="D1020" i="13"/>
  <c r="E1020" i="13" s="1"/>
  <c r="F1020" i="13" s="1"/>
  <c r="D657" i="13"/>
  <c r="E657" i="13" s="1"/>
  <c r="F657" i="13" s="1"/>
  <c r="D74" i="13"/>
  <c r="E74" i="13" s="1"/>
  <c r="F74" i="13" s="1"/>
  <c r="D196" i="13"/>
  <c r="E196" i="13" s="1"/>
  <c r="F196" i="13" s="1"/>
  <c r="D241" i="13"/>
  <c r="E241" i="13" s="1"/>
  <c r="F241" i="13" s="1"/>
  <c r="D446" i="13"/>
  <c r="E446" i="13" s="1"/>
  <c r="F446" i="13" s="1"/>
  <c r="D73" i="13"/>
  <c r="E73" i="13" s="1"/>
  <c r="F73" i="13" s="1"/>
  <c r="D864" i="13"/>
  <c r="E864" i="13" s="1"/>
  <c r="F864" i="13" s="1"/>
  <c r="D781" i="13"/>
  <c r="E781" i="13" s="1"/>
  <c r="F781" i="13" s="1"/>
  <c r="D447" i="13"/>
  <c r="E447" i="13" s="1"/>
  <c r="F447" i="13" s="1"/>
  <c r="D33" i="13"/>
  <c r="E33" i="13" s="1"/>
  <c r="F33" i="13" s="1"/>
  <c r="D413" i="13"/>
  <c r="E413" i="13" s="1"/>
  <c r="F413" i="13" s="1"/>
  <c r="D58" i="13"/>
  <c r="E58" i="13" s="1"/>
  <c r="F58" i="13" s="1"/>
  <c r="D537" i="13"/>
  <c r="E537" i="13" s="1"/>
  <c r="F537" i="13" s="1"/>
  <c r="D399" i="13"/>
  <c r="E399" i="13" s="1"/>
  <c r="F399" i="13" s="1"/>
  <c r="D287" i="13"/>
  <c r="E287" i="13" s="1"/>
  <c r="F287" i="13" s="1"/>
  <c r="D21" i="13"/>
  <c r="E21" i="13" s="1"/>
  <c r="F21" i="13" s="1"/>
  <c r="D740" i="13"/>
  <c r="E740" i="13" s="1"/>
  <c r="F740" i="13" s="1"/>
  <c r="D704" i="13"/>
  <c r="E704" i="13" s="1"/>
  <c r="F704" i="13" s="1"/>
  <c r="D753" i="13"/>
  <c r="E753" i="13" s="1"/>
  <c r="F753" i="13" s="1"/>
  <c r="D846" i="13"/>
  <c r="E846" i="13" s="1"/>
  <c r="F846" i="13" s="1"/>
  <c r="D140" i="13"/>
  <c r="E140" i="13" s="1"/>
  <c r="F140" i="13" s="1"/>
  <c r="D420" i="13"/>
  <c r="E420" i="13" s="1"/>
  <c r="F420" i="13" s="1"/>
  <c r="D170" i="13"/>
  <c r="E170" i="13" s="1"/>
  <c r="F170" i="13" s="1"/>
  <c r="D767" i="13"/>
  <c r="E767" i="13" s="1"/>
  <c r="F767" i="13" s="1"/>
  <c r="D175" i="13"/>
  <c r="E175" i="13" s="1"/>
  <c r="F175" i="13" s="1"/>
  <c r="D285" i="13"/>
  <c r="E285" i="13" s="1"/>
  <c r="F285" i="13" s="1"/>
  <c r="D871" i="13"/>
  <c r="E871" i="13" s="1"/>
  <c r="F871" i="13" s="1"/>
  <c r="D156" i="13"/>
  <c r="E156" i="13" s="1"/>
  <c r="F156" i="13" s="1"/>
  <c r="D867" i="13"/>
  <c r="E867" i="13" s="1"/>
  <c r="F867" i="13" s="1"/>
  <c r="D46" i="13"/>
  <c r="E46" i="13" s="1"/>
  <c r="F46" i="13" s="1"/>
  <c r="D717" i="13"/>
  <c r="E717" i="13" s="1"/>
  <c r="F717" i="13" s="1"/>
  <c r="D1028" i="13"/>
  <c r="E1028" i="13" s="1"/>
  <c r="F1028" i="13" s="1"/>
  <c r="D114" i="13"/>
  <c r="E114" i="13" s="1"/>
  <c r="F114" i="13" s="1"/>
  <c r="D198" i="13"/>
  <c r="E198" i="13" s="1"/>
  <c r="F198" i="13" s="1"/>
  <c r="D608" i="13"/>
  <c r="E608" i="13" s="1"/>
  <c r="F608" i="13" s="1"/>
  <c r="D917" i="13"/>
  <c r="E917" i="13" s="1"/>
  <c r="F917" i="13" s="1"/>
  <c r="D922" i="13"/>
  <c r="E922" i="13" s="1"/>
  <c r="F922" i="13" s="1"/>
  <c r="D1004" i="13"/>
  <c r="E1004" i="13" s="1"/>
  <c r="F1004" i="13" s="1"/>
  <c r="D121" i="13"/>
  <c r="E121" i="13" s="1"/>
  <c r="F121" i="13" s="1"/>
  <c r="D741" i="13"/>
  <c r="E741" i="13" s="1"/>
  <c r="F741" i="13" s="1"/>
  <c r="D242" i="13"/>
  <c r="E242" i="13" s="1"/>
  <c r="F242" i="13" s="1"/>
  <c r="D688" i="13"/>
  <c r="E688" i="13" s="1"/>
  <c r="F688" i="13" s="1"/>
  <c r="D54" i="13"/>
  <c r="E54" i="13" s="1"/>
  <c r="F54" i="13" s="1"/>
  <c r="D504" i="13"/>
  <c r="E504" i="13" s="1"/>
  <c r="F504" i="13" s="1"/>
  <c r="D982" i="13"/>
  <c r="E982" i="13" s="1"/>
  <c r="F982" i="13" s="1"/>
  <c r="D548" i="13"/>
  <c r="E548" i="13" s="1"/>
  <c r="F548" i="13" s="1"/>
  <c r="D964" i="13"/>
  <c r="E964" i="13" s="1"/>
  <c r="F964" i="13" s="1"/>
  <c r="D507" i="13"/>
  <c r="E507" i="13" s="1"/>
  <c r="F507" i="13" s="1"/>
  <c r="D337" i="13"/>
  <c r="E337" i="13" s="1"/>
  <c r="F337" i="13" s="1"/>
  <c r="D333" i="13"/>
  <c r="E333" i="13" s="1"/>
  <c r="F333" i="13" s="1"/>
  <c r="D491" i="13"/>
  <c r="E491" i="13" s="1"/>
  <c r="F491" i="13" s="1"/>
  <c r="D894" i="13"/>
  <c r="E894" i="13" s="1"/>
  <c r="F894" i="13" s="1"/>
  <c r="D744" i="13"/>
  <c r="E744" i="13" s="1"/>
  <c r="F744" i="13" s="1"/>
  <c r="D820" i="13"/>
  <c r="E820" i="13" s="1"/>
  <c r="F820" i="13" s="1"/>
  <c r="D194" i="13"/>
  <c r="E194" i="13" s="1"/>
  <c r="F194" i="13" s="1"/>
  <c r="D940" i="13"/>
  <c r="E940" i="13" s="1"/>
  <c r="F940" i="13" s="1"/>
  <c r="D52" i="13"/>
  <c r="E52" i="13" s="1"/>
  <c r="F52" i="13" s="1"/>
  <c r="D1026" i="13"/>
  <c r="E1026" i="13" s="1"/>
  <c r="F1026" i="13" s="1"/>
  <c r="D286" i="13"/>
  <c r="E286" i="13" s="1"/>
  <c r="F286" i="13" s="1"/>
  <c r="D244" i="13"/>
  <c r="E244" i="13" s="1"/>
  <c r="F244" i="13" s="1"/>
  <c r="D440" i="13"/>
  <c r="E440" i="13" s="1"/>
  <c r="F440" i="13" s="1"/>
  <c r="D1022" i="13"/>
  <c r="E1022" i="13" s="1"/>
  <c r="F1022" i="13" s="1"/>
  <c r="D267" i="13"/>
  <c r="E267" i="13" s="1"/>
  <c r="F267" i="13" s="1"/>
  <c r="D733" i="13"/>
  <c r="E733" i="13" s="1"/>
  <c r="F733" i="13" s="1"/>
  <c r="D522" i="13"/>
  <c r="E522" i="13" s="1"/>
  <c r="F522" i="13" s="1"/>
  <c r="D56" i="13"/>
  <c r="E56" i="13" s="1"/>
  <c r="F56" i="13" s="1"/>
  <c r="D521" i="13"/>
  <c r="E521" i="13" s="1"/>
  <c r="F521" i="13" s="1"/>
  <c r="D318" i="13"/>
  <c r="E318" i="13" s="1"/>
  <c r="F318" i="13" s="1"/>
  <c r="D30" i="13"/>
  <c r="E30" i="13" s="1"/>
  <c r="F30" i="13" s="1"/>
  <c r="D57" i="13"/>
  <c r="E57" i="13" s="1"/>
  <c r="F57" i="13" s="1"/>
  <c r="D135" i="13"/>
  <c r="E135" i="13" s="1"/>
  <c r="F135" i="13" s="1"/>
  <c r="D111" i="13"/>
  <c r="E111" i="13" s="1"/>
  <c r="F111" i="13" s="1"/>
  <c r="D349" i="13"/>
  <c r="E349" i="13" s="1"/>
  <c r="F349" i="13" s="1"/>
  <c r="D470" i="13"/>
  <c r="E470" i="13" s="1"/>
  <c r="F470" i="13" s="1"/>
  <c r="D375" i="13"/>
  <c r="E375" i="13" s="1"/>
  <c r="F375" i="13" s="1"/>
  <c r="D641" i="13"/>
  <c r="E641" i="13" s="1"/>
  <c r="F641" i="13" s="1"/>
  <c r="D382" i="13"/>
  <c r="E382" i="13" s="1"/>
  <c r="F382" i="13" s="1"/>
  <c r="D697" i="13"/>
  <c r="E697" i="13" s="1"/>
  <c r="F697" i="13" s="1"/>
  <c r="D506" i="13"/>
  <c r="E506" i="13" s="1"/>
  <c r="F506" i="13" s="1"/>
  <c r="D35" i="13"/>
  <c r="E35" i="13" s="1"/>
  <c r="F35" i="13" s="1"/>
  <c r="D39" i="13"/>
  <c r="E39" i="13" s="1"/>
  <c r="F39" i="13" s="1"/>
  <c r="D956" i="13"/>
  <c r="E956" i="13" s="1"/>
  <c r="F956" i="13" s="1"/>
  <c r="D176" i="13"/>
  <c r="E176" i="13" s="1"/>
  <c r="F176" i="13" s="1"/>
  <c r="D437" i="13"/>
  <c r="E437" i="13" s="1"/>
  <c r="F437" i="13" s="1"/>
  <c r="D269" i="13"/>
  <c r="E269" i="13" s="1"/>
  <c r="F269" i="13" s="1"/>
  <c r="D398" i="13"/>
  <c r="E398" i="13" s="1"/>
  <c r="F398" i="13" s="1"/>
  <c r="D948" i="13"/>
  <c r="E948" i="13" s="1"/>
  <c r="F948" i="13" s="1"/>
  <c r="D152" i="13"/>
  <c r="E152" i="13" s="1"/>
  <c r="F152" i="13" s="1"/>
  <c r="D441" i="13"/>
  <c r="E441" i="13" s="1"/>
  <c r="F441" i="13" s="1"/>
  <c r="D911" i="13"/>
  <c r="E911" i="13" s="1"/>
  <c r="F911" i="13" s="1"/>
  <c r="D2" i="13"/>
  <c r="E2" i="13" s="1"/>
  <c r="F2" i="13" s="1"/>
  <c r="D283" i="13"/>
  <c r="E283" i="13" s="1"/>
  <c r="F283" i="13" s="1"/>
  <c r="D981" i="13"/>
  <c r="E981" i="13" s="1"/>
  <c r="F981" i="13" s="1"/>
  <c r="D510" i="13"/>
  <c r="E510" i="13" s="1"/>
  <c r="F510" i="13" s="1"/>
  <c r="D481" i="13"/>
  <c r="E481" i="13" s="1"/>
  <c r="F481" i="13" s="1"/>
  <c r="D840" i="13"/>
  <c r="E840" i="13" s="1"/>
  <c r="F840" i="13" s="1"/>
  <c r="D520" i="13"/>
  <c r="E520" i="13" s="1"/>
  <c r="F520" i="13" s="1"/>
  <c r="D766" i="13"/>
  <c r="E766" i="13" s="1"/>
  <c r="F766" i="13" s="1"/>
  <c r="D125" i="13"/>
  <c r="E125" i="13" s="1"/>
  <c r="F125" i="13" s="1"/>
  <c r="D803" i="13"/>
  <c r="E803" i="13" s="1"/>
  <c r="F803" i="13" s="1"/>
  <c r="D468" i="13"/>
  <c r="E468" i="13" s="1"/>
  <c r="F468" i="13" s="1"/>
  <c r="D432" i="13"/>
  <c r="E432" i="13" s="1"/>
  <c r="F432" i="13" s="1"/>
  <c r="D419" i="13"/>
  <c r="E419" i="13" s="1"/>
  <c r="F419" i="13" s="1"/>
  <c r="D842" i="13"/>
  <c r="E842" i="13" s="1"/>
  <c r="F842" i="13" s="1"/>
  <c r="D628" i="13"/>
  <c r="E628" i="13" s="1"/>
  <c r="F628" i="13" s="1"/>
  <c r="D63" i="13"/>
  <c r="E63" i="13" s="1"/>
  <c r="F63" i="13" s="1"/>
  <c r="D245" i="13"/>
  <c r="E245" i="13" s="1"/>
  <c r="F245" i="13" s="1"/>
  <c r="D219" i="13"/>
  <c r="E219" i="13" s="1"/>
  <c r="F219" i="13" s="1"/>
  <c r="D215" i="13"/>
  <c r="E215" i="13" s="1"/>
  <c r="F215" i="13" s="1"/>
  <c r="D680" i="13"/>
  <c r="E680" i="13" s="1"/>
  <c r="F680" i="13" s="1"/>
  <c r="D630" i="13"/>
  <c r="E630" i="13" s="1"/>
  <c r="F630" i="13" s="1"/>
  <c r="D866" i="13"/>
  <c r="E866" i="13" s="1"/>
  <c r="F866" i="13" s="1"/>
  <c r="D366" i="13"/>
  <c r="E366" i="13" s="1"/>
  <c r="F366" i="13" s="1"/>
  <c r="D727" i="13"/>
  <c r="E727" i="13" s="1"/>
  <c r="F727" i="13" s="1"/>
  <c r="D197" i="13"/>
  <c r="E197" i="13" s="1"/>
  <c r="F197" i="13" s="1"/>
  <c r="D961" i="13"/>
  <c r="E961" i="13" s="1"/>
  <c r="F961" i="13" s="1"/>
  <c r="D330" i="13"/>
  <c r="E330" i="13" s="1"/>
  <c r="F330" i="13" s="1"/>
  <c r="D214" i="13"/>
  <c r="E214" i="13" s="1"/>
  <c r="F214" i="13" s="1"/>
  <c r="D614" i="13"/>
  <c r="E614" i="13" s="1"/>
  <c r="F614" i="13" s="1"/>
  <c r="D635" i="13"/>
  <c r="E635" i="13" s="1"/>
  <c r="F635" i="13" s="1"/>
  <c r="D16" i="13"/>
  <c r="E16" i="13" s="1"/>
  <c r="F16" i="13" s="1"/>
  <c r="D935" i="13"/>
  <c r="E935" i="13" s="1"/>
  <c r="F935" i="13" s="1"/>
  <c r="D811" i="13"/>
  <c r="E811" i="13" s="1"/>
  <c r="F811" i="13" s="1"/>
  <c r="D70" i="13"/>
  <c r="E70" i="13" s="1"/>
  <c r="F70" i="13" s="1"/>
  <c r="D562" i="13"/>
  <c r="E562" i="13" s="1"/>
  <c r="F562" i="13" s="1"/>
  <c r="D863" i="13"/>
  <c r="E863" i="13" s="1"/>
  <c r="F863" i="13" s="1"/>
  <c r="D213" i="13"/>
  <c r="E213" i="13" s="1"/>
  <c r="F213" i="13" s="1"/>
  <c r="D161" i="13"/>
  <c r="E161" i="13" s="1"/>
  <c r="F161" i="13" s="1"/>
  <c r="D293" i="13"/>
  <c r="E293" i="13" s="1"/>
  <c r="F293" i="13" s="1"/>
  <c r="D947" i="13"/>
  <c r="E947" i="13" s="1"/>
  <c r="F947" i="13" s="1"/>
  <c r="D880" i="13"/>
  <c r="E880" i="13" s="1"/>
  <c r="F880" i="13" s="1"/>
  <c r="D546" i="13"/>
  <c r="E546" i="13" s="1"/>
  <c r="F546" i="13" s="1"/>
  <c r="D91" i="13"/>
  <c r="E91" i="13" s="1"/>
  <c r="F91" i="13" s="1"/>
  <c r="D15" i="13"/>
  <c r="E15" i="13" s="1"/>
  <c r="F15" i="13" s="1"/>
  <c r="D217" i="13"/>
  <c r="E217" i="13" s="1"/>
  <c r="F217" i="13" s="1"/>
  <c r="D545" i="13"/>
  <c r="D850" i="13"/>
  <c r="E850" i="13" s="1"/>
  <c r="F850" i="13" s="1"/>
  <c r="D796" i="13"/>
  <c r="E796" i="13" s="1"/>
  <c r="F796" i="13" s="1"/>
  <c r="D738" i="13"/>
  <c r="E738" i="13" s="1"/>
  <c r="F738" i="13" s="1"/>
  <c r="D1027" i="13"/>
  <c r="D231" i="13"/>
  <c r="E231" i="13" s="1"/>
  <c r="F231" i="13" s="1"/>
  <c r="D761" i="13"/>
  <c r="E761" i="13" s="1"/>
  <c r="F761" i="13" s="1"/>
  <c r="D695" i="13"/>
  <c r="E695" i="13" s="1"/>
  <c r="F695" i="13" s="1"/>
  <c r="D324" i="13"/>
  <c r="D325" i="13"/>
  <c r="E325" i="13" s="1"/>
  <c r="F325" i="13" s="1"/>
  <c r="D646" i="13"/>
  <c r="E646" i="13" s="1"/>
  <c r="F646" i="13" s="1"/>
  <c r="D1005" i="13"/>
  <c r="E1005" i="13" s="1"/>
  <c r="F1005" i="13" s="1"/>
  <c r="D859" i="13"/>
  <c r="E859" i="13" s="1"/>
  <c r="F859" i="13" s="1"/>
  <c r="D967" i="13"/>
  <c r="E967" i="13" s="1"/>
  <c r="F967" i="13" s="1"/>
  <c r="D463" i="13"/>
  <c r="E463" i="13" s="1"/>
  <c r="F463" i="13" s="1"/>
  <c r="D665" i="13"/>
  <c r="E665" i="13" s="1"/>
  <c r="F665" i="13" s="1"/>
  <c r="D779" i="13"/>
  <c r="E779" i="13" s="1"/>
  <c r="F779" i="13" s="1"/>
  <c r="D960" i="13"/>
  <c r="E960" i="13" s="1"/>
  <c r="F960" i="13" s="1"/>
  <c r="D199" i="13"/>
  <c r="E199" i="13" s="1"/>
  <c r="F199" i="13" s="1"/>
  <c r="D118" i="13"/>
  <c r="E118" i="13" s="1"/>
  <c r="F118" i="13" s="1"/>
  <c r="E802" i="13"/>
  <c r="F802" i="13" s="1"/>
  <c r="D719" i="13"/>
  <c r="E719" i="13" s="1"/>
  <c r="F719" i="13" s="1"/>
  <c r="D155" i="13"/>
  <c r="E155" i="13" s="1"/>
  <c r="F155" i="13" s="1"/>
  <c r="D312" i="13"/>
  <c r="E312" i="13" s="1"/>
  <c r="F312" i="13" s="1"/>
  <c r="D1006" i="13"/>
  <c r="E1006" i="13" s="1"/>
  <c r="F1006" i="13" s="1"/>
  <c r="D428" i="13"/>
  <c r="E428" i="13" s="1"/>
  <c r="F428" i="13" s="1"/>
  <c r="D405" i="13"/>
  <c r="E405" i="13" s="1"/>
  <c r="F405" i="13" s="1"/>
  <c r="D553" i="13"/>
  <c r="E553" i="13" s="1"/>
  <c r="F553" i="13" s="1"/>
  <c r="D189" i="13"/>
  <c r="E189" i="13" s="1"/>
  <c r="F189" i="13" s="1"/>
  <c r="D311" i="13"/>
  <c r="E311" i="13" s="1"/>
  <c r="F311" i="13" s="1"/>
  <c r="D606" i="13"/>
  <c r="E606" i="13" s="1"/>
  <c r="F606" i="13" s="1"/>
  <c r="D212" i="13"/>
  <c r="E212" i="13" s="1"/>
  <c r="F212" i="13" s="1"/>
  <c r="D611" i="13"/>
  <c r="E611" i="13" s="1"/>
  <c r="F611" i="13" s="1"/>
  <c r="D822" i="13"/>
  <c r="E822" i="13" s="1"/>
  <c r="F822" i="13" s="1"/>
  <c r="D584" i="13"/>
  <c r="E584" i="13" s="1"/>
  <c r="F584" i="13" s="1"/>
  <c r="D660" i="13"/>
  <c r="E660" i="13" s="1"/>
  <c r="F660" i="13" s="1"/>
  <c r="D609" i="13"/>
  <c r="E609" i="13" s="1"/>
  <c r="F609" i="13" s="1"/>
  <c r="D85" i="13"/>
  <c r="E85" i="13" s="1"/>
  <c r="F85" i="13" s="1"/>
  <c r="D228" i="13"/>
  <c r="E228" i="13" s="1"/>
  <c r="F228" i="13" s="1"/>
  <c r="D533" i="13"/>
  <c r="E533" i="13" s="1"/>
  <c r="F533" i="13" s="1"/>
  <c r="D823" i="13"/>
  <c r="E823" i="13" s="1"/>
  <c r="F823" i="13" s="1"/>
  <c r="D624" i="13"/>
  <c r="E624" i="13" s="1"/>
  <c r="F624" i="13" s="1"/>
  <c r="D783" i="13"/>
  <c r="E783" i="13" s="1"/>
  <c r="F783" i="13" s="1"/>
  <c r="D523" i="13"/>
  <c r="E523" i="13" s="1"/>
  <c r="F523" i="13" s="1"/>
  <c r="D334" i="13"/>
  <c r="E334" i="13" s="1"/>
  <c r="F334" i="13" s="1"/>
  <c r="D502" i="13"/>
  <c r="E502" i="13" s="1"/>
  <c r="F502" i="13" s="1"/>
  <c r="D876" i="13"/>
  <c r="E876" i="13" s="1"/>
  <c r="F876" i="13" s="1"/>
  <c r="D55" i="13"/>
  <c r="E55" i="13" s="1"/>
  <c r="F55" i="13" s="1"/>
  <c r="D3" i="13"/>
  <c r="E3" i="13" s="1"/>
  <c r="F3" i="13" s="1"/>
  <c r="D392" i="13"/>
  <c r="E392" i="13" s="1"/>
  <c r="F392" i="13" s="1"/>
  <c r="D223" i="13"/>
  <c r="E223" i="13" s="1"/>
  <c r="F223" i="13" s="1"/>
  <c r="D138" i="13"/>
  <c r="E138" i="13" s="1"/>
  <c r="F138" i="13" s="1"/>
  <c r="D272" i="13"/>
  <c r="E272" i="13" s="1"/>
  <c r="F272" i="13" s="1"/>
  <c r="D1032" i="13"/>
  <c r="E1032" i="13" s="1"/>
  <c r="F1032" i="13" s="1"/>
  <c r="D551" i="13"/>
  <c r="E551" i="13" s="1"/>
  <c r="F551" i="13" s="1"/>
  <c r="D340" i="13"/>
  <c r="E340" i="13" s="1"/>
  <c r="F340" i="13" s="1"/>
  <c r="D25" i="13"/>
  <c r="E25" i="13" s="1"/>
  <c r="F25" i="13" s="1"/>
  <c r="D909" i="13"/>
  <c r="E909" i="13" s="1"/>
  <c r="F909" i="13" s="1"/>
  <c r="D693" i="13"/>
  <c r="E693" i="13" s="1"/>
  <c r="F693" i="13" s="1"/>
  <c r="D103" i="13"/>
  <c r="E103" i="13" s="1"/>
  <c r="F103" i="13" s="1"/>
  <c r="D174" i="13"/>
  <c r="E174" i="13" s="1"/>
  <c r="F174" i="13" s="1"/>
  <c r="D725" i="13"/>
  <c r="E725" i="13" s="1"/>
  <c r="F725" i="13" s="1"/>
  <c r="D421" i="13"/>
  <c r="E421" i="13" s="1"/>
  <c r="F421" i="13" s="1"/>
  <c r="D357" i="13"/>
  <c r="E357" i="13" s="1"/>
  <c r="F357" i="13" s="1"/>
  <c r="D305" i="13"/>
  <c r="E305" i="13" s="1"/>
  <c r="F305" i="13" s="1"/>
  <c r="D359" i="13"/>
  <c r="E359" i="13" s="1"/>
  <c r="F359" i="13" s="1"/>
  <c r="D205" i="13"/>
  <c r="E205" i="13" s="1"/>
  <c r="F205" i="13" s="1"/>
  <c r="D376" i="13"/>
  <c r="E376" i="13" s="1"/>
  <c r="F376" i="13" s="1"/>
  <c r="D157" i="13"/>
  <c r="E157" i="13" s="1"/>
  <c r="F157" i="13" s="1"/>
  <c r="D936" i="13"/>
  <c r="E936" i="13" s="1"/>
  <c r="F936" i="13" s="1"/>
  <c r="D422" i="13"/>
  <c r="E422" i="13" s="1"/>
  <c r="F422" i="13" s="1"/>
  <c r="D426" i="13"/>
  <c r="E426" i="13" s="1"/>
  <c r="F426" i="13" s="1"/>
  <c r="D806" i="13"/>
  <c r="E806" i="13" s="1"/>
  <c r="F806" i="13" s="1"/>
  <c r="D752" i="13"/>
  <c r="E752" i="13" s="1"/>
  <c r="F752" i="13" s="1"/>
  <c r="D573" i="13"/>
  <c r="E573" i="13" s="1"/>
  <c r="F573" i="13" s="1"/>
  <c r="D618" i="13"/>
  <c r="E618" i="13" s="1"/>
  <c r="F618" i="13" s="1"/>
  <c r="D508" i="13"/>
  <c r="E508" i="13" s="1"/>
  <c r="F508" i="13" s="1"/>
  <c r="D884" i="13"/>
  <c r="E884" i="13" s="1"/>
  <c r="F884" i="13" s="1"/>
  <c r="D29" i="13"/>
  <c r="E29" i="13" s="1"/>
  <c r="F29" i="13" s="1"/>
  <c r="D645" i="13"/>
  <c r="E645" i="13" s="1"/>
  <c r="F645" i="13" s="1"/>
  <c r="D732" i="13"/>
  <c r="E732" i="13" s="1"/>
  <c r="F732" i="13" s="1"/>
  <c r="D860" i="13"/>
  <c r="E860" i="13" s="1"/>
  <c r="F860" i="13" s="1"/>
  <c r="D17" i="13"/>
  <c r="E17" i="13" s="1"/>
  <c r="F17" i="13" s="1"/>
  <c r="D68" i="13"/>
  <c r="E68" i="13" s="1"/>
  <c r="F68" i="13" s="1"/>
  <c r="D819" i="13"/>
  <c r="E819" i="13" s="1"/>
  <c r="F819" i="13" s="1"/>
  <c r="D164" i="13"/>
  <c r="E164" i="13" s="1"/>
  <c r="F164" i="13" s="1"/>
  <c r="D699" i="13"/>
  <c r="E699" i="13" s="1"/>
  <c r="F699" i="13" s="1"/>
  <c r="D722" i="13"/>
  <c r="E722" i="13" s="1"/>
  <c r="F722" i="13" s="1"/>
  <c r="D924" i="13"/>
  <c r="E924" i="13" s="1"/>
  <c r="F924" i="13" s="1"/>
  <c r="D383" i="13"/>
  <c r="E383" i="13" s="1"/>
  <c r="F383" i="13" s="1"/>
  <c r="D409" i="13"/>
  <c r="E409" i="13" s="1"/>
  <c r="F409" i="13" s="1"/>
  <c r="D875" i="13"/>
  <c r="E875" i="13" s="1"/>
  <c r="F875" i="13" s="1"/>
  <c r="D20" i="13"/>
  <c r="E20" i="13" s="1"/>
  <c r="F20" i="13" s="1"/>
  <c r="D757" i="13"/>
  <c r="E757" i="13" s="1"/>
  <c r="F757" i="13" s="1"/>
  <c r="D1014" i="13"/>
  <c r="E1014" i="13" s="1"/>
  <c r="F1014" i="13" s="1"/>
  <c r="D227" i="13"/>
  <c r="E227" i="13" s="1"/>
  <c r="F227" i="13" s="1"/>
  <c r="D594" i="13"/>
  <c r="E594" i="13" s="1"/>
  <c r="F594" i="13" s="1"/>
  <c r="D32" i="13"/>
  <c r="E32" i="13" s="1"/>
  <c r="F32" i="13" s="1"/>
  <c r="D778" i="13"/>
  <c r="E778" i="13" s="1"/>
  <c r="F778" i="13" s="1"/>
  <c r="D119" i="13"/>
  <c r="E119" i="13" s="1"/>
  <c r="F119" i="13" s="1"/>
  <c r="D816" i="13"/>
  <c r="E816" i="13" s="1"/>
  <c r="F816" i="13" s="1"/>
  <c r="D500" i="13"/>
  <c r="E500" i="13" s="1"/>
  <c r="F500" i="13" s="1"/>
  <c r="D400" i="13"/>
  <c r="E400" i="13" s="1"/>
  <c r="F400" i="13" s="1"/>
  <c r="D797" i="13"/>
  <c r="E797" i="13" s="1"/>
  <c r="F797" i="13" s="1"/>
  <c r="D552" i="13"/>
  <c r="E552" i="13" s="1"/>
  <c r="F552" i="13" s="1"/>
  <c r="D159" i="13"/>
  <c r="E159" i="13" s="1"/>
  <c r="F159" i="13" s="1"/>
  <c r="D27" i="13"/>
  <c r="E27" i="13" s="1"/>
  <c r="F27" i="13" s="1"/>
  <c r="D273" i="13"/>
  <c r="E273" i="13" s="1"/>
  <c r="F273" i="13" s="1"/>
  <c r="D905" i="13"/>
  <c r="E905" i="13" s="1"/>
  <c r="F905" i="13" s="1"/>
  <c r="D456" i="13"/>
  <c r="E456" i="13" s="1"/>
  <c r="F456" i="13" s="1"/>
  <c r="D371" i="13"/>
  <c r="E371" i="13" s="1"/>
  <c r="F371" i="13" s="1"/>
  <c r="D256" i="13"/>
  <c r="E256" i="13" s="1"/>
  <c r="F256" i="13" s="1"/>
  <c r="D598" i="13"/>
  <c r="E598" i="13" s="1"/>
  <c r="F598" i="13" s="1"/>
  <c r="D130" i="13"/>
  <c r="E130" i="13" s="1"/>
  <c r="F130" i="13" s="1"/>
  <c r="D571" i="13"/>
  <c r="E571" i="13" s="1"/>
  <c r="F571" i="13" s="1"/>
  <c r="D694" i="13"/>
  <c r="E694" i="13" s="1"/>
  <c r="F694" i="13" s="1"/>
  <c r="D240" i="13"/>
  <c r="D415" i="13"/>
  <c r="E415" i="13" s="1"/>
  <c r="F415" i="13" s="1"/>
  <c r="D209" i="13"/>
  <c r="E209" i="13" s="1"/>
  <c r="F209" i="13" s="1"/>
  <c r="D861" i="13"/>
  <c r="E861" i="13" s="1"/>
  <c r="F861" i="13" s="1"/>
  <c r="D518" i="13"/>
  <c r="E518" i="13" s="1"/>
  <c r="F518" i="13" s="1"/>
  <c r="D535" i="13"/>
  <c r="E535" i="13" s="1"/>
  <c r="F535" i="13" s="1"/>
  <c r="D673" i="13"/>
  <c r="E673" i="13" s="1"/>
  <c r="F673" i="13" s="1"/>
  <c r="D579" i="13"/>
  <c r="E579" i="13" s="1"/>
  <c r="F579" i="13" s="1"/>
  <c r="D996" i="13"/>
  <c r="E996" i="13" s="1"/>
  <c r="F996" i="13" s="1"/>
  <c r="D98" i="13"/>
  <c r="E98" i="13" s="1"/>
  <c r="F98" i="13" s="1"/>
  <c r="D691" i="13"/>
  <c r="E691" i="13" s="1"/>
  <c r="F691" i="13" s="1"/>
  <c r="D642" i="13"/>
  <c r="E642" i="13" s="1"/>
  <c r="F642" i="13" s="1"/>
  <c r="D559" i="13"/>
  <c r="E559" i="13" s="1"/>
  <c r="F559" i="13" s="1"/>
  <c r="D768" i="13"/>
  <c r="E768" i="13" s="1"/>
  <c r="F768" i="13" s="1"/>
  <c r="D108" i="13"/>
  <c r="D89" i="13"/>
  <c r="E89" i="13" s="1"/>
  <c r="F89" i="13" s="1"/>
  <c r="D881" i="13"/>
  <c r="E881" i="13" s="1"/>
  <c r="F881" i="13" s="1"/>
  <c r="D739" i="13"/>
  <c r="E739" i="13" s="1"/>
  <c r="F739" i="13" s="1"/>
  <c r="D987" i="13"/>
  <c r="E987" i="13" s="1"/>
  <c r="F987" i="13" s="1"/>
  <c r="D763" i="13"/>
  <c r="E763" i="13" s="1"/>
  <c r="F763" i="13" s="1"/>
  <c r="D747" i="13"/>
  <c r="E747" i="13" s="1"/>
  <c r="F747" i="13" s="1"/>
  <c r="D42" i="13"/>
  <c r="E42" i="13" s="1"/>
  <c r="F42" i="13" s="1"/>
  <c r="D966" i="13"/>
  <c r="E966" i="13" s="1"/>
  <c r="F966" i="13" s="1"/>
  <c r="D434" i="13"/>
  <c r="E434" i="13" s="1"/>
  <c r="F434" i="13" s="1"/>
  <c r="D686" i="13"/>
  <c r="D314" i="13"/>
  <c r="E314" i="13" s="1"/>
  <c r="F314" i="13" s="1"/>
  <c r="D353" i="13"/>
  <c r="E353" i="13" s="1"/>
  <c r="F353" i="13" s="1"/>
  <c r="D959" i="13"/>
  <c r="E959" i="13" s="1"/>
  <c r="F959" i="13" s="1"/>
  <c r="D396" i="13"/>
  <c r="E396" i="13" s="1"/>
  <c r="F396" i="13" s="1"/>
  <c r="D759" i="13"/>
  <c r="E759" i="13" s="1"/>
  <c r="F759" i="13" s="1"/>
  <c r="D868" i="13"/>
  <c r="E868" i="13" s="1"/>
  <c r="F868" i="13" s="1"/>
  <c r="D290" i="13"/>
  <c r="E290" i="13" s="1"/>
  <c r="F290" i="13" s="1"/>
  <c r="D211" i="13"/>
  <c r="D621" i="13"/>
  <c r="E621" i="13" s="1"/>
  <c r="F621" i="13" s="1"/>
  <c r="D1000" i="13"/>
  <c r="E1000" i="13" s="1"/>
  <c r="F1000" i="13" s="1"/>
  <c r="D749" i="13"/>
  <c r="E749" i="13" s="1"/>
  <c r="F749" i="13" s="1"/>
  <c r="D517" i="13"/>
  <c r="E517" i="13" s="1"/>
  <c r="F517" i="13" s="1"/>
  <c r="D872" i="13"/>
  <c r="E872" i="13" s="1"/>
  <c r="F872" i="13" s="1"/>
  <c r="D848" i="13"/>
  <c r="E848" i="13" s="1"/>
  <c r="F848" i="13" s="1"/>
  <c r="D378" i="13"/>
  <c r="E378" i="13" s="1"/>
  <c r="F378" i="13" s="1"/>
  <c r="D94" i="13"/>
  <c r="E94" i="13" s="1"/>
  <c r="F94" i="13" s="1"/>
  <c r="D301" i="13"/>
  <c r="E301" i="13" s="1"/>
  <c r="F301" i="13" s="1"/>
  <c r="D524" i="13"/>
  <c r="E524" i="13" s="1"/>
  <c r="F524" i="13" s="1"/>
  <c r="D5" i="13"/>
  <c r="E5" i="13" s="1"/>
  <c r="F5" i="13" s="1"/>
  <c r="D689" i="13"/>
  <c r="E689" i="13" s="1"/>
  <c r="F689" i="13" s="1"/>
  <c r="D885" i="13"/>
  <c r="E885" i="13" s="1"/>
  <c r="F885" i="13" s="1"/>
  <c r="D380" i="13"/>
  <c r="E380" i="13" s="1"/>
  <c r="F380" i="13" s="1"/>
  <c r="D268" i="13"/>
  <c r="E268" i="13" s="1"/>
  <c r="F268" i="13" s="1"/>
  <c r="D919" i="13"/>
  <c r="E919" i="13" s="1"/>
  <c r="F919" i="13" s="1"/>
  <c r="D386" i="13"/>
  <c r="E386" i="13" s="1"/>
  <c r="F386" i="13" s="1"/>
  <c r="D921" i="13"/>
  <c r="E921" i="13" s="1"/>
  <c r="F921" i="13" s="1"/>
  <c r="D627" i="13"/>
  <c r="E627" i="13" s="1"/>
  <c r="F627" i="13" s="1"/>
  <c r="D410" i="13"/>
  <c r="E410" i="13" s="1"/>
  <c r="F410" i="13" s="1"/>
  <c r="D77" i="13"/>
  <c r="E77" i="13" s="1"/>
  <c r="F77" i="13" s="1"/>
  <c r="D401" i="13"/>
  <c r="E401" i="13" s="1"/>
  <c r="F401" i="13" s="1"/>
  <c r="D126" i="13"/>
  <c r="E126" i="13" s="1"/>
  <c r="F126" i="13" s="1"/>
  <c r="D163" i="13"/>
  <c r="E163" i="13" s="1"/>
  <c r="F163" i="13" s="1"/>
  <c r="D920" i="13"/>
  <c r="E920" i="13" s="1"/>
  <c r="F920" i="13" s="1"/>
  <c r="D216" i="13"/>
  <c r="E216" i="13" s="1"/>
  <c r="F216" i="13" s="1"/>
  <c r="D148" i="13"/>
  <c r="E148" i="13" s="1"/>
  <c r="F148" i="13" s="1"/>
  <c r="D901" i="13"/>
  <c r="E901" i="13" s="1"/>
  <c r="F901" i="13" s="1"/>
  <c r="D10" i="13"/>
  <c r="E10" i="13" s="1"/>
  <c r="F10" i="13" s="1"/>
  <c r="D544" i="13"/>
  <c r="E544" i="13" s="1"/>
  <c r="F544" i="13" s="1"/>
  <c r="D64" i="13"/>
  <c r="E64" i="13" s="1"/>
  <c r="F64" i="13" s="1"/>
  <c r="D795" i="13"/>
  <c r="D720" i="13"/>
  <c r="E720" i="13" s="1"/>
  <c r="F720" i="13" s="1"/>
  <c r="D69" i="13"/>
  <c r="E69" i="13" s="1"/>
  <c r="F69" i="13" s="1"/>
  <c r="D332" i="13"/>
  <c r="E332" i="13" s="1"/>
  <c r="F332" i="13" s="1"/>
  <c r="D654" i="13"/>
  <c r="E654" i="13" s="1"/>
  <c r="F654" i="13" s="1"/>
  <c r="D838" i="13"/>
  <c r="E838" i="13" s="1"/>
  <c r="F838" i="13" s="1"/>
  <c r="D638" i="13"/>
  <c r="E638" i="13" s="1"/>
  <c r="F638" i="13" s="1"/>
  <c r="D856" i="13"/>
  <c r="E856" i="13" s="1"/>
  <c r="F856" i="13" s="1"/>
  <c r="D479" i="13"/>
  <c r="E479" i="13" s="1"/>
  <c r="F479" i="13" s="1"/>
  <c r="D252" i="13"/>
  <c r="E252" i="13" s="1"/>
  <c r="F252" i="13" s="1"/>
  <c r="D547" i="13"/>
  <c r="E547" i="13" s="1"/>
  <c r="F547" i="13" s="1"/>
  <c r="D706" i="13"/>
  <c r="E706" i="13" s="1"/>
  <c r="F706" i="13" s="1"/>
  <c r="D313" i="13"/>
  <c r="E313" i="13" s="1"/>
  <c r="F313" i="13" s="1"/>
  <c r="D397" i="13"/>
  <c r="E397" i="13" s="1"/>
  <c r="F397" i="13" s="1"/>
  <c r="D104" i="13"/>
  <c r="E104" i="13" s="1"/>
  <c r="F104" i="13" s="1"/>
  <c r="D916" i="13"/>
  <c r="E916" i="13" s="1"/>
  <c r="F916" i="13" s="1"/>
  <c r="D636" i="13"/>
  <c r="E636" i="13" s="1"/>
  <c r="F636" i="13" s="1"/>
  <c r="D585" i="13"/>
  <c r="E585" i="13" s="1"/>
  <c r="F585" i="13" s="1"/>
  <c r="D385" i="13"/>
  <c r="E385" i="13" s="1"/>
  <c r="F385" i="13" s="1"/>
  <c r="D928" i="13"/>
  <c r="E928" i="13" s="1"/>
  <c r="F928" i="13" s="1"/>
  <c r="D734" i="13"/>
  <c r="E734" i="13" s="1"/>
  <c r="F734" i="13" s="1"/>
  <c r="D561" i="13"/>
  <c r="E561" i="13" s="1"/>
  <c r="F561" i="13" s="1"/>
  <c r="D792" i="13"/>
  <c r="E792" i="13" s="1"/>
  <c r="F792" i="13" s="1"/>
  <c r="D418" i="13"/>
  <c r="E418" i="13" s="1"/>
  <c r="F418" i="13" s="1"/>
  <c r="D723" i="13"/>
  <c r="E723" i="13" s="1"/>
  <c r="F723" i="13" s="1"/>
  <c r="D602" i="13"/>
  <c r="E602" i="13" s="1"/>
  <c r="F602" i="13" s="1"/>
  <c r="D62" i="13"/>
  <c r="D80" i="13"/>
  <c r="E80" i="13" s="1"/>
  <c r="F80" i="13" s="1"/>
  <c r="D945" i="13"/>
  <c r="E945" i="13" s="1"/>
  <c r="F945" i="13" s="1"/>
  <c r="D362" i="13"/>
  <c r="E362" i="13" s="1"/>
  <c r="F362" i="13" s="1"/>
  <c r="D235" i="13"/>
  <c r="E235" i="13" s="1"/>
  <c r="F235" i="13" s="1"/>
  <c r="D291" i="13"/>
  <c r="E291" i="13" s="1"/>
  <c r="F291" i="13" s="1"/>
  <c r="D525" i="13"/>
  <c r="E525" i="13" s="1"/>
  <c r="F525" i="13" s="1"/>
  <c r="D475" i="13"/>
  <c r="E475" i="13" s="1"/>
  <c r="F475" i="13" s="1"/>
  <c r="D817" i="13"/>
  <c r="E817" i="13" s="1"/>
  <c r="F817" i="13" s="1"/>
  <c r="D560" i="13"/>
  <c r="E560" i="13" s="1"/>
  <c r="F560" i="13" s="1"/>
  <c r="D681" i="13"/>
  <c r="E681" i="13" s="1"/>
  <c r="F681" i="13" s="1"/>
  <c r="D869" i="13"/>
  <c r="E869" i="13" s="1"/>
  <c r="F869" i="13" s="1"/>
  <c r="D983" i="13"/>
  <c r="E983" i="13" s="1"/>
  <c r="F983" i="13" s="1"/>
  <c r="D626" i="13"/>
  <c r="E626" i="13" s="1"/>
  <c r="F626" i="13" s="1"/>
  <c r="D351" i="13"/>
  <c r="E351" i="13" s="1"/>
  <c r="F351" i="13" s="1"/>
  <c r="D266" i="13"/>
  <c r="E266" i="13" s="1"/>
  <c r="F266" i="13" s="1"/>
  <c r="D938" i="13"/>
  <c r="E938" i="13" s="1"/>
  <c r="F938" i="13" s="1"/>
  <c r="D146" i="13"/>
  <c r="E146" i="13" s="1"/>
  <c r="F146" i="13" s="1"/>
  <c r="D913" i="13"/>
  <c r="E913" i="13" s="1"/>
  <c r="F913" i="13" s="1"/>
  <c r="D705" i="13"/>
  <c r="E705" i="13" s="1"/>
  <c r="F705" i="13" s="1"/>
  <c r="D799" i="13"/>
  <c r="E799" i="13" s="1"/>
  <c r="F799" i="13" s="1"/>
  <c r="D319" i="13"/>
  <c r="E319" i="13" s="1"/>
  <c r="F319" i="13" s="1"/>
  <c r="D8" i="13"/>
  <c r="E8" i="13" s="1"/>
  <c r="F8" i="13" s="1"/>
  <c r="D38" i="13"/>
  <c r="E38" i="13" s="1"/>
  <c r="F38" i="13" s="1"/>
  <c r="D644" i="13"/>
  <c r="E644" i="13" s="1"/>
  <c r="F644" i="13" s="1"/>
  <c r="D169" i="13"/>
  <c r="E169" i="13" s="1"/>
  <c r="F169" i="13" s="1"/>
  <c r="D1017" i="13"/>
  <c r="E1017" i="13" s="1"/>
  <c r="F1017" i="13" s="1"/>
  <c r="D979" i="13"/>
  <c r="E979" i="13" s="1"/>
  <c r="F979" i="13" s="1"/>
  <c r="D304" i="13"/>
  <c r="E304" i="13" s="1"/>
  <c r="F304" i="13" s="1"/>
  <c r="D954" i="13"/>
  <c r="E954" i="13" s="1"/>
  <c r="F954" i="13" s="1"/>
  <c r="D50" i="13"/>
  <c r="E50" i="13" s="1"/>
  <c r="F50" i="13" s="1"/>
  <c r="D629" i="13"/>
  <c r="E629" i="13" s="1"/>
  <c r="F629" i="13" s="1"/>
  <c r="D776" i="13"/>
  <c r="E776" i="13" s="1"/>
  <c r="F776" i="13" s="1"/>
  <c r="D204" i="13"/>
  <c r="E204" i="13" s="1"/>
  <c r="F204" i="13" s="1"/>
  <c r="D841" i="13"/>
  <c r="E841" i="13" s="1"/>
  <c r="F841" i="13" s="1"/>
  <c r="D417" i="13"/>
  <c r="E417" i="13" s="1"/>
  <c r="F417" i="13" s="1"/>
  <c r="D281" i="13"/>
  <c r="E281" i="13" s="1"/>
  <c r="F281" i="13" s="1"/>
  <c r="D498" i="13"/>
  <c r="E498" i="13" s="1"/>
  <c r="F498" i="13" s="1"/>
  <c r="D477" i="13"/>
  <c r="E477" i="13" s="1"/>
  <c r="F477" i="13" s="1"/>
  <c r="D692" i="13"/>
  <c r="E692" i="13" s="1"/>
  <c r="F692" i="13" s="1"/>
  <c r="D253" i="13"/>
  <c r="E253" i="13" s="1"/>
  <c r="F253" i="13" s="1"/>
  <c r="D183" i="13"/>
  <c r="E183" i="13" s="1"/>
  <c r="F183" i="13" s="1"/>
  <c r="D589" i="13"/>
  <c r="E589" i="13" s="1"/>
  <c r="F589" i="13" s="1"/>
  <c r="D110" i="13"/>
  <c r="E110" i="13" s="1"/>
  <c r="F110" i="13" s="1"/>
  <c r="D858" i="13"/>
  <c r="E858" i="13" s="1"/>
  <c r="F858" i="13" s="1"/>
  <c r="D179" i="13"/>
  <c r="E179" i="13" s="1"/>
  <c r="F179" i="13" s="1"/>
  <c r="D346" i="13"/>
  <c r="E346" i="13" s="1"/>
  <c r="F346" i="13" s="1"/>
  <c r="D997" i="13"/>
  <c r="E997" i="13" s="1"/>
  <c r="F997" i="13" s="1"/>
  <c r="D444" i="13"/>
  <c r="E444" i="13" s="1"/>
  <c r="F444" i="13" s="1"/>
  <c r="D1009" i="13"/>
  <c r="E1009" i="13" s="1"/>
  <c r="F1009" i="13" s="1"/>
  <c r="D844" i="13"/>
  <c r="E844" i="13" s="1"/>
  <c r="F844" i="13" s="1"/>
  <c r="D369" i="13"/>
  <c r="E369" i="13" s="1"/>
  <c r="F369" i="13" s="1"/>
  <c r="D712" i="13"/>
  <c r="E712" i="13" s="1"/>
  <c r="F712" i="13" s="1"/>
  <c r="D107" i="13"/>
  <c r="E107" i="13" s="1"/>
  <c r="F107" i="13" s="1"/>
  <c r="D124" i="13"/>
  <c r="E124" i="13" s="1"/>
  <c r="F124" i="13" s="1"/>
  <c r="D356" i="13"/>
  <c r="E356" i="13" s="1"/>
  <c r="F356" i="13" s="1"/>
  <c r="D613" i="13"/>
  <c r="E613" i="13" s="1"/>
  <c r="F613" i="13" s="1"/>
  <c r="D834" i="13"/>
  <c r="E834" i="13" s="1"/>
  <c r="F834" i="13" s="1"/>
  <c r="D372" i="13"/>
  <c r="E372" i="13" s="1"/>
  <c r="F372" i="13" s="1"/>
  <c r="D120" i="13"/>
  <c r="E120" i="13" s="1"/>
  <c r="F120" i="13" s="1"/>
  <c r="D773" i="13"/>
  <c r="E773" i="13" s="1"/>
  <c r="F773" i="13" s="1"/>
  <c r="D658" i="13"/>
  <c r="E658" i="13" s="1"/>
  <c r="F658" i="13" s="1"/>
  <c r="D127" i="13"/>
  <c r="E127" i="13" s="1"/>
  <c r="F127" i="13" s="1"/>
  <c r="D764" i="13"/>
  <c r="E764" i="13" s="1"/>
  <c r="F764" i="13" s="1"/>
  <c r="D836" i="13"/>
  <c r="E836" i="13" s="1"/>
  <c r="F836" i="13" s="1"/>
  <c r="D394" i="13"/>
  <c r="E394" i="13" s="1"/>
  <c r="F394" i="13" s="1"/>
  <c r="D835" i="13"/>
  <c r="E835" i="13" s="1"/>
  <c r="F835" i="13" s="1"/>
  <c r="D438" i="13"/>
  <c r="E438" i="13" s="1"/>
  <c r="F438" i="13" s="1"/>
  <c r="D536" i="13"/>
  <c r="E536" i="13" s="1"/>
  <c r="F536" i="13" s="1"/>
  <c r="D222" i="13"/>
  <c r="E222" i="13" s="1"/>
  <c r="F222" i="13" s="1"/>
  <c r="D623" i="13"/>
  <c r="E623" i="13" s="1"/>
  <c r="F623" i="13" s="1"/>
  <c r="D877" i="13"/>
  <c r="E877" i="13" s="1"/>
  <c r="F877" i="13" s="1"/>
  <c r="D541" i="13"/>
  <c r="E541" i="13" s="1"/>
  <c r="F541" i="13" s="1"/>
  <c r="D186" i="13"/>
  <c r="E186" i="13" s="1"/>
  <c r="F186" i="13" s="1"/>
  <c r="D942" i="13"/>
  <c r="E942" i="13" s="1"/>
  <c r="F942" i="13" s="1"/>
  <c r="D1001" i="13"/>
  <c r="E1001" i="13" s="1"/>
  <c r="F1001" i="13" s="1"/>
  <c r="D703" i="13"/>
  <c r="E703" i="13" s="1"/>
  <c r="F703" i="13" s="1"/>
  <c r="D586" i="13"/>
  <c r="E586" i="13" s="1"/>
  <c r="F586" i="13" s="1"/>
  <c r="D862" i="13"/>
  <c r="E862" i="13" s="1"/>
  <c r="F862" i="13" s="1"/>
  <c r="D100" i="13"/>
  <c r="E100" i="13" s="1"/>
  <c r="F100" i="13" s="1"/>
  <c r="D762" i="13"/>
  <c r="E762" i="13" s="1"/>
  <c r="F762" i="13" s="1"/>
  <c r="D354" i="13"/>
  <c r="E354" i="13" s="1"/>
  <c r="F354" i="13" s="1"/>
  <c r="D687" i="13"/>
  <c r="E687" i="13" s="1"/>
  <c r="F687" i="13" s="1"/>
  <c r="D597" i="13"/>
  <c r="E597" i="13" s="1"/>
  <c r="F597" i="13" s="1"/>
  <c r="D650" i="13"/>
  <c r="E650" i="13" s="1"/>
  <c r="F650" i="13" s="1"/>
  <c r="D801" i="13"/>
  <c r="E801" i="13" s="1"/>
  <c r="F801" i="13" s="1"/>
  <c r="D974" i="13"/>
  <c r="E974" i="13" s="1"/>
  <c r="F974" i="13" s="1"/>
  <c r="D49" i="13"/>
  <c r="E49" i="13" s="1"/>
  <c r="F49" i="13" s="1"/>
  <c r="D322" i="13"/>
  <c r="E322" i="13" s="1"/>
  <c r="F322" i="13" s="1"/>
  <c r="D365" i="13"/>
  <c r="E365" i="13" s="1"/>
  <c r="F365" i="13" s="1"/>
  <c r="D36" i="13"/>
  <c r="E36" i="13" s="1"/>
  <c r="F36" i="13" s="1"/>
  <c r="D539" i="13"/>
  <c r="E539" i="13" s="1"/>
  <c r="F539" i="13" s="1"/>
  <c r="D565" i="13"/>
  <c r="E565" i="13" s="1"/>
  <c r="F565" i="13" s="1"/>
  <c r="D1003" i="13"/>
  <c r="E1003" i="13" s="1"/>
  <c r="F1003" i="13" s="1"/>
  <c r="D891" i="13"/>
  <c r="E891" i="13" s="1"/>
  <c r="F891" i="13" s="1"/>
  <c r="D403" i="13"/>
  <c r="E403" i="13" s="1"/>
  <c r="F403" i="13" s="1"/>
  <c r="D668" i="13"/>
  <c r="E668" i="13" s="1"/>
  <c r="F668" i="13" s="1"/>
  <c r="D1029" i="13"/>
  <c r="E1029" i="13" s="1"/>
  <c r="F1029" i="13" s="1"/>
  <c r="D907" i="13"/>
  <c r="E907" i="13" s="1"/>
  <c r="F907" i="13" s="1"/>
  <c r="D855" i="13"/>
  <c r="E855" i="13" s="1"/>
  <c r="F855" i="13" s="1"/>
  <c r="D82" i="13"/>
  <c r="E82" i="13" s="1"/>
  <c r="F82" i="13" s="1"/>
  <c r="D878" i="13"/>
  <c r="E878" i="13" s="1"/>
  <c r="F878" i="13" s="1"/>
  <c r="D315" i="13"/>
  <c r="E315" i="13" s="1"/>
  <c r="F315" i="13" s="1"/>
  <c r="D587" i="13"/>
  <c r="E587" i="13" s="1"/>
  <c r="F587" i="13" s="1"/>
  <c r="D339" i="13"/>
  <c r="E339" i="13" s="1"/>
  <c r="F339" i="13" s="1"/>
  <c r="D299" i="13"/>
  <c r="E299" i="13" s="1"/>
  <c r="F299" i="13" s="1"/>
  <c r="D430" i="13"/>
  <c r="E430" i="13" s="1"/>
  <c r="F430" i="13" s="1"/>
  <c r="D666" i="13"/>
  <c r="E666" i="13" s="1"/>
  <c r="F666" i="13" s="1"/>
  <c r="D171" i="13"/>
  <c r="E171" i="13" s="1"/>
  <c r="F171" i="13" s="1"/>
  <c r="D180" i="13"/>
  <c r="E180" i="13" s="1"/>
  <c r="F180" i="13" s="1"/>
  <c r="D671" i="13"/>
  <c r="E671" i="13" s="1"/>
  <c r="F671" i="13" s="1"/>
  <c r="D567" i="13"/>
  <c r="E567" i="13" s="1"/>
  <c r="F567" i="13" s="1"/>
  <c r="D899" i="13"/>
  <c r="E899" i="13" s="1"/>
  <c r="F899" i="13" s="1"/>
  <c r="D298" i="13"/>
  <c r="E298" i="13" s="1"/>
  <c r="F298" i="13" s="1"/>
  <c r="D109" i="13"/>
  <c r="E109" i="13" s="1"/>
  <c r="F109" i="13" s="1"/>
  <c r="D652" i="13"/>
  <c r="E652" i="13" s="1"/>
  <c r="F652" i="13" s="1"/>
  <c r="D26" i="13"/>
  <c r="E26" i="13" s="1"/>
  <c r="F26" i="13" s="1"/>
  <c r="D549" i="13"/>
  <c r="E549" i="13" s="1"/>
  <c r="F549" i="13" s="1"/>
  <c r="D963" i="13"/>
  <c r="E963" i="13" s="1"/>
  <c r="F963" i="13" s="1"/>
  <c r="D149" i="13"/>
  <c r="E149" i="13" s="1"/>
  <c r="F149" i="13" s="1"/>
  <c r="D944" i="13"/>
  <c r="E944" i="13" s="1"/>
  <c r="F944" i="13" s="1"/>
  <c r="D786" i="13"/>
  <c r="E786" i="13" s="1"/>
  <c r="F786" i="13" s="1"/>
  <c r="D144" i="13"/>
  <c r="E144" i="13" s="1"/>
  <c r="F144" i="13" s="1"/>
  <c r="D37" i="13"/>
  <c r="E37" i="13" s="1"/>
  <c r="F37" i="13" s="1"/>
  <c r="D45" i="13"/>
  <c r="E45" i="13" s="1"/>
  <c r="F45" i="13" s="1"/>
  <c r="D540" i="13"/>
  <c r="E540" i="13" s="1"/>
  <c r="F540" i="13" s="1"/>
  <c r="D112" i="13"/>
  <c r="E112" i="13" s="1"/>
  <c r="F112" i="13" s="1"/>
  <c r="D160" i="13"/>
  <c r="E160" i="13" s="1"/>
  <c r="F160" i="13" s="1"/>
  <c r="D837" i="13"/>
  <c r="E837" i="13" s="1"/>
  <c r="F837" i="13" s="1"/>
  <c r="D700" i="13"/>
  <c r="E700" i="13" s="1"/>
  <c r="F700" i="13" s="1"/>
  <c r="D958" i="13"/>
  <c r="E958" i="13" s="1"/>
  <c r="F958" i="13" s="1"/>
  <c r="D532" i="13"/>
  <c r="E532" i="13" s="1"/>
  <c r="F532" i="13" s="1"/>
  <c r="D128" i="13"/>
  <c r="E128" i="13" s="1"/>
  <c r="F128" i="13" s="1"/>
  <c r="D583" i="13"/>
  <c r="E583" i="13" s="1"/>
  <c r="F583" i="13" s="1"/>
  <c r="D87" i="13"/>
  <c r="E87" i="13" s="1"/>
  <c r="F87" i="13" s="1"/>
  <c r="D962" i="13"/>
  <c r="E962" i="13" s="1"/>
  <c r="F962" i="13" s="1"/>
  <c r="D923" i="13"/>
  <c r="E923" i="13" s="1"/>
  <c r="F923" i="13" s="1"/>
  <c r="D302" i="13"/>
  <c r="E302" i="13" s="1"/>
  <c r="F302" i="13" s="1"/>
  <c r="D486" i="13"/>
  <c r="E486" i="13" s="1"/>
  <c r="F486" i="13" s="1"/>
  <c r="D18" i="13"/>
  <c r="E18" i="13" s="1"/>
  <c r="F18" i="13" s="1"/>
  <c r="D230" i="13"/>
  <c r="E230" i="13" s="1"/>
  <c r="F230" i="13" s="1"/>
  <c r="D684" i="13"/>
  <c r="E684" i="13" s="1"/>
  <c r="F684" i="13" s="1"/>
  <c r="D538" i="13"/>
  <c r="E538" i="13" s="1"/>
  <c r="F538" i="13" s="1"/>
  <c r="D1018" i="13"/>
  <c r="E1018" i="13" s="1"/>
  <c r="F1018" i="13" s="1"/>
  <c r="D812" i="13"/>
  <c r="E812" i="13" s="1"/>
  <c r="F812" i="13" s="1"/>
  <c r="D787" i="13"/>
  <c r="E787" i="13" s="1"/>
  <c r="F787" i="13" s="1"/>
  <c r="D448" i="13"/>
  <c r="E448" i="13" s="1"/>
  <c r="F448" i="13" s="1"/>
  <c r="D972" i="13"/>
  <c r="E972" i="13" s="1"/>
  <c r="F972" i="13" s="1"/>
  <c r="D577" i="13"/>
  <c r="E577" i="13" s="1"/>
  <c r="F577" i="13" s="1"/>
  <c r="D910" i="13"/>
  <c r="E910" i="13" s="1"/>
  <c r="F910" i="13" s="1"/>
  <c r="D889" i="13"/>
  <c r="E889" i="13" s="1"/>
  <c r="F889" i="13" s="1"/>
  <c r="D158" i="13"/>
  <c r="E158" i="13" s="1"/>
  <c r="F158" i="13" s="1"/>
  <c r="D969" i="13"/>
  <c r="E969" i="13" s="1"/>
  <c r="F969" i="13" s="1"/>
  <c r="D363" i="13"/>
  <c r="E363" i="13" s="1"/>
  <c r="F363" i="13" s="1"/>
  <c r="D710" i="13"/>
  <c r="E710" i="13" s="1"/>
  <c r="F710" i="13" s="1"/>
  <c r="D352" i="13"/>
  <c r="E352" i="13" s="1"/>
  <c r="F352" i="13" s="1"/>
  <c r="D427" i="13"/>
  <c r="E427" i="13" s="1"/>
  <c r="F427" i="13" s="1"/>
  <c r="D888" i="13"/>
  <c r="E888" i="13" s="1"/>
  <c r="F888" i="13" s="1"/>
  <c r="D661" i="13"/>
  <c r="E661" i="13" s="1"/>
  <c r="F661" i="13" s="1"/>
  <c r="D678" i="13"/>
  <c r="E678" i="13" s="1"/>
  <c r="F678" i="13" s="1"/>
  <c r="D943" i="13"/>
  <c r="E943" i="13" s="1"/>
  <c r="F943" i="13" s="1"/>
  <c r="D793" i="13"/>
  <c r="E793" i="13" s="1"/>
  <c r="F793" i="13" s="1"/>
  <c r="D131" i="13"/>
  <c r="E131" i="13" s="1"/>
  <c r="F131" i="13" s="1"/>
  <c r="D67" i="13"/>
  <c r="E67" i="13" s="1"/>
  <c r="F67" i="13" s="1"/>
  <c r="D949" i="13"/>
  <c r="E949" i="13" s="1"/>
  <c r="F949" i="13" s="1"/>
  <c r="D278" i="13"/>
  <c r="E278" i="13" s="1"/>
  <c r="F278" i="13" s="1"/>
  <c r="D527" i="13"/>
  <c r="E527" i="13" s="1"/>
  <c r="F527" i="13" s="1"/>
  <c r="D882" i="13"/>
  <c r="E882" i="13" s="1"/>
  <c r="F882" i="13" s="1"/>
  <c r="D563" i="13"/>
  <c r="E563" i="13" s="1"/>
  <c r="F563" i="13" s="1"/>
  <c r="D653" i="13"/>
  <c r="E653" i="13" s="1"/>
  <c r="F653" i="13" s="1"/>
  <c r="D249" i="13"/>
  <c r="E249" i="13" s="1"/>
  <c r="F249" i="13" s="1"/>
  <c r="D59" i="13"/>
  <c r="E59" i="13" s="1"/>
  <c r="F59" i="13" s="1"/>
  <c r="D210" i="13"/>
  <c r="E210" i="13" s="1"/>
  <c r="F210" i="13" s="1"/>
  <c r="D501" i="13"/>
  <c r="E501" i="13" s="1"/>
  <c r="F501" i="13" s="1"/>
  <c r="D530" i="13"/>
  <c r="E530" i="13" s="1"/>
  <c r="F530" i="13" s="1"/>
  <c r="D750" i="13"/>
  <c r="E750" i="13" s="1"/>
  <c r="F750" i="13" s="1"/>
  <c r="D616" i="13"/>
  <c r="E616" i="13" s="1"/>
  <c r="F616" i="13" s="1"/>
  <c r="D953" i="13"/>
  <c r="E953" i="13" s="1"/>
  <c r="F953" i="13" s="1"/>
  <c r="D150" i="13"/>
  <c r="E150" i="13" s="1"/>
  <c r="F150" i="13" s="1"/>
  <c r="D1033" i="13"/>
  <c r="E1033" i="13" s="1"/>
  <c r="F1033" i="13" s="1"/>
  <c r="D11" i="13"/>
  <c r="E11" i="13" s="1"/>
  <c r="F11" i="13" s="1"/>
  <c r="D261" i="13"/>
  <c r="E261" i="13" s="1"/>
  <c r="F261" i="13" s="1"/>
  <c r="D794" i="13"/>
  <c r="E794" i="13" s="1"/>
  <c r="F794" i="13" s="1"/>
  <c r="D96" i="13"/>
  <c r="E96" i="13" s="1"/>
  <c r="F96" i="13" s="1"/>
  <c r="D347" i="13"/>
  <c r="E347" i="13" s="1"/>
  <c r="F347" i="13" s="1"/>
  <c r="D454" i="13"/>
  <c r="D989" i="13"/>
  <c r="E989" i="13" s="1"/>
  <c r="F989" i="13" s="1"/>
  <c r="D690" i="13"/>
  <c r="E690" i="13" s="1"/>
  <c r="F690" i="13" s="1"/>
  <c r="D489" i="13"/>
  <c r="E489" i="13" s="1"/>
  <c r="F489" i="13" s="1"/>
  <c r="D122" i="13"/>
  <c r="E122" i="13" s="1"/>
  <c r="F122" i="13" s="1"/>
  <c r="D316" i="13"/>
  <c r="E316" i="13" s="1"/>
  <c r="F316" i="13" s="1"/>
  <c r="D769" i="13"/>
  <c r="E769" i="13" s="1"/>
  <c r="F769" i="13" s="1"/>
  <c r="D612" i="13"/>
  <c r="E612" i="13" s="1"/>
  <c r="F612" i="13" s="1"/>
  <c r="D904" i="13"/>
  <c r="E904" i="13" s="1"/>
  <c r="F904" i="13" s="1"/>
  <c r="D1016" i="13"/>
  <c r="E1016" i="13" s="1"/>
  <c r="F1016" i="13" s="1"/>
  <c r="D467" i="13"/>
  <c r="E467" i="13" s="1"/>
  <c r="F467" i="13" s="1"/>
  <c r="D224" i="13"/>
  <c r="E224" i="13" s="1"/>
  <c r="F224" i="13" s="1"/>
  <c r="D225" i="13"/>
  <c r="E225" i="13" s="1"/>
  <c r="F225" i="13" s="1"/>
  <c r="D459" i="13"/>
  <c r="E459" i="13" s="1"/>
  <c r="F459" i="13" s="1"/>
  <c r="D737" i="13"/>
  <c r="E737" i="13" s="1"/>
  <c r="F737" i="13" s="1"/>
  <c r="D277" i="13"/>
  <c r="E277" i="13" s="1"/>
  <c r="F277" i="13" s="1"/>
  <c r="D458" i="13"/>
  <c r="E458" i="13" s="1"/>
  <c r="F458" i="13" s="1"/>
  <c r="D647" i="13"/>
  <c r="E647" i="13" s="1"/>
  <c r="F647" i="13" s="1"/>
  <c r="D264" i="13"/>
  <c r="E264" i="13" s="1"/>
  <c r="F264" i="13" s="1"/>
  <c r="D826" i="13"/>
  <c r="E826" i="13" s="1"/>
  <c r="F826" i="13" s="1"/>
  <c r="D436" i="13"/>
  <c r="E436" i="13" s="1"/>
  <c r="F436" i="13" s="1"/>
  <c r="D993" i="13"/>
  <c r="E993" i="13" s="1"/>
  <c r="F993" i="13" s="1"/>
  <c r="D485" i="13"/>
  <c r="E485" i="13" s="1"/>
  <c r="F485" i="13" s="1"/>
  <c r="D971" i="13"/>
  <c r="E971" i="13" s="1"/>
  <c r="F971" i="13" s="1"/>
  <c r="D90" i="13"/>
  <c r="E90" i="13" s="1"/>
  <c r="F90" i="13" s="1"/>
  <c r="D682" i="13"/>
  <c r="E682" i="13" s="1"/>
  <c r="F682" i="13" s="1"/>
  <c r="D141" i="13"/>
  <c r="E141" i="13" s="1"/>
  <c r="F141" i="13" s="1"/>
  <c r="D79" i="13"/>
  <c r="E79" i="13" s="1"/>
  <c r="F79" i="13" s="1"/>
  <c r="D147" i="13"/>
  <c r="E147" i="13" s="1"/>
  <c r="F147" i="13" s="1"/>
  <c r="D534" i="13"/>
  <c r="E534" i="13" s="1"/>
  <c r="F534" i="13" s="1"/>
  <c r="D457" i="13"/>
  <c r="E457" i="13" s="1"/>
  <c r="F457" i="13" s="1"/>
  <c r="D276" i="13"/>
  <c r="E276" i="13" s="1"/>
  <c r="F276" i="13" s="1"/>
  <c r="D139" i="13"/>
  <c r="E139" i="13" s="1"/>
  <c r="F139" i="13" s="1"/>
  <c r="D649" i="13"/>
  <c r="E649" i="13" s="1"/>
  <c r="F649" i="13" s="1"/>
  <c r="D142" i="13"/>
  <c r="E142" i="13" s="1"/>
  <c r="F142" i="13" s="1"/>
  <c r="D927" i="13"/>
  <c r="E927" i="13" s="1"/>
  <c r="F927" i="13" s="1"/>
  <c r="D443" i="13"/>
  <c r="E443" i="13" s="1"/>
  <c r="F443" i="13" s="1"/>
  <c r="D1013" i="13"/>
  <c r="E1013" i="13" s="1"/>
  <c r="F1013" i="13" s="1"/>
  <c r="D590" i="13"/>
  <c r="E590" i="13" s="1"/>
  <c r="F590" i="13" s="1"/>
  <c r="D847" i="13"/>
  <c r="E847" i="13" s="1"/>
  <c r="F847" i="13" s="1"/>
  <c r="D898" i="13"/>
  <c r="E898" i="13" s="1"/>
  <c r="F898" i="13" s="1"/>
  <c r="D275" i="13"/>
  <c r="E275" i="13" s="1"/>
  <c r="F275" i="13" s="1"/>
  <c r="D915" i="13"/>
  <c r="E915" i="13" s="1"/>
  <c r="F915" i="13" s="1"/>
  <c r="D633" i="13"/>
  <c r="E633" i="13" s="1"/>
  <c r="F633" i="13" s="1"/>
  <c r="D384" i="13"/>
  <c r="E384" i="13" s="1"/>
  <c r="F384" i="13" s="1"/>
  <c r="D464" i="13"/>
  <c r="E464" i="13" s="1"/>
  <c r="F464" i="13" s="1"/>
  <c r="D22" i="13"/>
  <c r="E22" i="13" s="1"/>
  <c r="F22" i="13" s="1"/>
  <c r="D851" i="13"/>
  <c r="E851" i="13" s="1"/>
  <c r="F851" i="13" s="1"/>
  <c r="D201" i="13"/>
  <c r="E201" i="13" s="1"/>
  <c r="F201" i="13" s="1"/>
  <c r="D177" i="13"/>
  <c r="E177" i="13" s="1"/>
  <c r="F177" i="13" s="1"/>
  <c r="D282" i="13"/>
  <c r="E282" i="13" s="1"/>
  <c r="F282" i="13" s="1"/>
  <c r="D893" i="13"/>
  <c r="E893" i="13" s="1"/>
  <c r="F893" i="13" s="1"/>
  <c r="D782" i="13"/>
  <c r="E782" i="13" s="1"/>
  <c r="F782" i="13" s="1"/>
  <c r="D879" i="13"/>
  <c r="E879" i="13" s="1"/>
  <c r="F879" i="13" s="1"/>
  <c r="D289" i="13"/>
  <c r="E289" i="13" s="1"/>
  <c r="F289" i="13" s="1"/>
  <c r="D342" i="13"/>
  <c r="E342" i="13" s="1"/>
  <c r="F342" i="13" s="1"/>
  <c r="D143" i="13"/>
  <c r="E143" i="13" s="1"/>
  <c r="F143" i="13" s="1"/>
  <c r="D593" i="13"/>
  <c r="E593" i="13" s="1"/>
  <c r="F593" i="13" s="1"/>
  <c r="D248" i="13"/>
  <c r="D153" i="13"/>
  <c r="E153" i="13" s="1"/>
  <c r="F153" i="13" s="1"/>
  <c r="D887" i="13"/>
  <c r="E887" i="13" s="1"/>
  <c r="F887" i="13" s="1"/>
  <c r="D23" i="13"/>
  <c r="E23" i="13" s="1"/>
  <c r="F23" i="13" s="1"/>
  <c r="D429" i="13"/>
  <c r="E429" i="13" s="1"/>
  <c r="F429" i="13" s="1"/>
  <c r="D804" i="13"/>
  <c r="E804" i="13" s="1"/>
  <c r="F804" i="13" s="1"/>
  <c r="D40" i="13"/>
  <c r="E40" i="13" s="1"/>
  <c r="F40" i="13" s="1"/>
  <c r="D900" i="13"/>
  <c r="E900" i="13" s="1"/>
  <c r="F900" i="13" s="1"/>
  <c r="D1012" i="13"/>
  <c r="E1012" i="13" s="1"/>
  <c r="F1012" i="13" s="1"/>
  <c r="D390" i="13"/>
  <c r="E390" i="13" s="1"/>
  <c r="F390" i="13" s="1"/>
  <c r="D129" i="13"/>
  <c r="E129" i="13" s="1"/>
  <c r="F129" i="13" s="1"/>
  <c r="D728" i="13"/>
  <c r="E728" i="13" s="1"/>
  <c r="F728" i="13" s="1"/>
  <c r="D172" i="13"/>
  <c r="D65" i="13"/>
  <c r="E65" i="13" s="1"/>
  <c r="F65" i="13" s="1"/>
  <c r="D254" i="13"/>
  <c r="E254" i="13" s="1"/>
  <c r="F254" i="13" s="1"/>
  <c r="D516" i="13"/>
  <c r="E516" i="13" s="1"/>
  <c r="F516" i="13" s="1"/>
  <c r="D450" i="13"/>
  <c r="E450" i="13" s="1"/>
  <c r="F450" i="13" s="1"/>
  <c r="D13" i="13"/>
  <c r="E13" i="13" s="1"/>
  <c r="F13" i="13" s="1"/>
  <c r="D748" i="13"/>
  <c r="E748" i="13" s="1"/>
  <c r="F748" i="13" s="1"/>
  <c r="D226" i="13"/>
  <c r="E226" i="13" s="1"/>
  <c r="F226" i="13" s="1"/>
  <c r="D676" i="13"/>
  <c r="E676" i="13" s="1"/>
  <c r="F676" i="13" s="1"/>
  <c r="D788" i="13"/>
  <c r="E788" i="13" s="1"/>
  <c r="F788" i="13" s="1"/>
  <c r="D531" i="13"/>
  <c r="E531" i="13" s="1"/>
  <c r="F531" i="13" s="1"/>
  <c r="D93" i="13"/>
  <c r="E93" i="13" s="1"/>
  <c r="F93" i="13" s="1"/>
  <c r="D832" i="13"/>
  <c r="E832" i="13" s="1"/>
  <c r="F832" i="13" s="1"/>
  <c r="D469" i="13"/>
  <c r="E469" i="13" s="1"/>
  <c r="F469" i="13" s="1"/>
  <c r="D596" i="13"/>
  <c r="E596" i="13" s="1"/>
  <c r="F596" i="13" s="1"/>
  <c r="D306" i="13"/>
  <c r="E306" i="13" s="1"/>
  <c r="F306" i="13" s="1"/>
  <c r="D136" i="13"/>
  <c r="E136" i="13" s="1"/>
  <c r="F136" i="13" s="1"/>
  <c r="D833" i="13"/>
  <c r="E833" i="13" s="1"/>
  <c r="F833" i="13" s="1"/>
  <c r="D60" i="13"/>
  <c r="E60" i="13" s="1"/>
  <c r="F60" i="13" s="1"/>
  <c r="D634" i="13"/>
  <c r="E634" i="13" s="1"/>
  <c r="F634" i="13" s="1"/>
  <c r="D166" i="13"/>
  <c r="E166" i="13" s="1"/>
  <c r="F166" i="13" s="1"/>
  <c r="D772" i="13"/>
  <c r="E772" i="13" s="1"/>
  <c r="F772" i="13" s="1"/>
  <c r="D381" i="13"/>
  <c r="E381" i="13" s="1"/>
  <c r="F381" i="13" s="1"/>
  <c r="D496" i="13"/>
  <c r="E496" i="13" s="1"/>
  <c r="F496" i="13" s="1"/>
  <c r="D370" i="13"/>
  <c r="E370" i="13" s="1"/>
  <c r="F370" i="13" s="1"/>
  <c r="D991" i="13"/>
  <c r="E991" i="13" s="1"/>
  <c r="F991" i="13" s="1"/>
  <c r="D603" i="13"/>
  <c r="E603" i="13" s="1"/>
  <c r="F603" i="13" s="1"/>
  <c r="D970" i="13"/>
  <c r="E970" i="13" s="1"/>
  <c r="F970" i="13" s="1"/>
  <c r="D173" i="13"/>
  <c r="E173" i="13" s="1"/>
  <c r="F173" i="13" s="1"/>
  <c r="D373" i="13"/>
  <c r="E373" i="13" s="1"/>
  <c r="F373" i="13" s="1"/>
  <c r="D513" i="13"/>
  <c r="E513" i="13" s="1"/>
  <c r="F513" i="13" s="1"/>
  <c r="D918" i="13"/>
  <c r="E918" i="13" s="1"/>
  <c r="F918" i="13" s="1"/>
  <c r="D554" i="13"/>
  <c r="E554" i="13" s="1"/>
  <c r="F554" i="13" s="1"/>
  <c r="D288" i="13"/>
  <c r="E288" i="13" s="1"/>
  <c r="F288" i="13" s="1"/>
  <c r="D605" i="13"/>
  <c r="E605" i="13" s="1"/>
  <c r="F605" i="13" s="1"/>
  <c r="D328" i="13"/>
  <c r="E328" i="13" s="1"/>
  <c r="F328" i="13" s="1"/>
  <c r="D617" i="13"/>
  <c r="E617" i="13" s="1"/>
  <c r="F617" i="13" s="1"/>
  <c r="D206" i="13"/>
  <c r="E206" i="13" s="1"/>
  <c r="F206" i="13" s="1"/>
  <c r="D865" i="13"/>
  <c r="E865" i="13" s="1"/>
  <c r="F865" i="13" s="1"/>
  <c r="D756" i="13"/>
  <c r="E756" i="13" s="1"/>
  <c r="F756" i="13" s="1"/>
  <c r="D379" i="13"/>
  <c r="E379" i="13" s="1"/>
  <c r="F379" i="13" s="1"/>
  <c r="D19" i="13"/>
  <c r="E19" i="13" s="1"/>
  <c r="F19" i="13" s="1"/>
  <c r="D295" i="13"/>
  <c r="E295" i="13" s="1"/>
  <c r="F295" i="13" s="1"/>
  <c r="D937" i="13"/>
  <c r="E937" i="13" s="1"/>
  <c r="F937" i="13" s="1"/>
  <c r="D557" i="13"/>
  <c r="E557" i="13" s="1"/>
  <c r="F557" i="13" s="1"/>
  <c r="D265" i="13"/>
  <c r="E265" i="13" s="1"/>
  <c r="F265" i="13" s="1"/>
  <c r="D274" i="13"/>
  <c r="E274" i="13" s="1"/>
  <c r="F274" i="13" s="1"/>
  <c r="D195" i="13"/>
  <c r="E195" i="13" s="1"/>
  <c r="F195" i="13" s="1"/>
  <c r="D709" i="13"/>
  <c r="E709" i="13" s="1"/>
  <c r="F709" i="13" s="1"/>
  <c r="D184" i="13"/>
  <c r="E184" i="13" s="1"/>
  <c r="F184" i="13" s="1"/>
  <c r="D578" i="13"/>
  <c r="E578" i="13" s="1"/>
  <c r="F578" i="13" s="1"/>
  <c r="D675" i="13"/>
  <c r="E675" i="13" s="1"/>
  <c r="F675" i="13" s="1"/>
  <c r="D255" i="13"/>
  <c r="E255" i="13" s="1"/>
  <c r="F255" i="13" s="1"/>
  <c r="D236" i="13"/>
  <c r="E236" i="13" s="1"/>
  <c r="F236" i="13" s="1"/>
  <c r="D495" i="13"/>
  <c r="E495" i="13" s="1"/>
  <c r="F495" i="13" s="1"/>
  <c r="D439" i="13"/>
  <c r="E439" i="13" s="1"/>
  <c r="F439" i="13" s="1"/>
  <c r="D754" i="13"/>
  <c r="E754" i="13" s="1"/>
  <c r="F754" i="13" s="1"/>
  <c r="D698" i="13"/>
  <c r="E698" i="13" s="1"/>
  <c r="F698" i="13" s="1"/>
  <c r="D656" i="13"/>
  <c r="E656" i="13" s="1"/>
  <c r="F656" i="13" s="1"/>
  <c r="D280" i="13"/>
  <c r="E280" i="13" s="1"/>
  <c r="F280" i="13" s="1"/>
  <c r="D308" i="13"/>
  <c r="E308" i="13" s="1"/>
  <c r="F308" i="13" s="1"/>
  <c r="D751" i="13"/>
  <c r="E751" i="13" s="1"/>
  <c r="F751" i="13" s="1"/>
  <c r="D449" i="13"/>
  <c r="E449" i="13" s="1"/>
  <c r="F449" i="13" s="1"/>
  <c r="D193" i="13"/>
  <c r="E193" i="13" s="1"/>
  <c r="F193" i="13" s="1"/>
  <c r="D66" i="13"/>
  <c r="E66" i="13" s="1"/>
  <c r="F66" i="13" s="1"/>
  <c r="D931" i="13"/>
  <c r="E931" i="13" s="1"/>
  <c r="F931" i="13" s="1"/>
  <c r="D659" i="13"/>
  <c r="E659" i="13" s="1"/>
  <c r="F659" i="13" s="1"/>
  <c r="D1024" i="13"/>
  <c r="E1024" i="13" s="1"/>
  <c r="F1024" i="13" s="1"/>
  <c r="D1015" i="13"/>
  <c r="E1015" i="13" s="1"/>
  <c r="F1015" i="13" s="1"/>
  <c r="D556" i="13"/>
  <c r="E556" i="13" s="1"/>
  <c r="F556" i="13" s="1"/>
  <c r="D292" i="13"/>
  <c r="E292" i="13" s="1"/>
  <c r="F292" i="13" s="1"/>
  <c r="D685" i="13"/>
  <c r="E685" i="13" s="1"/>
  <c r="F685" i="13" s="1"/>
  <c r="D655" i="13"/>
  <c r="E655" i="13" s="1"/>
  <c r="F655" i="13" s="1"/>
  <c r="D906" i="13"/>
  <c r="E906" i="13" s="1"/>
  <c r="F906" i="13" s="1"/>
  <c r="D360" i="13"/>
  <c r="E360" i="13" s="1"/>
  <c r="F360" i="13" s="1"/>
  <c r="D435" i="13"/>
  <c r="E435" i="13" s="1"/>
  <c r="F435" i="13" s="1"/>
  <c r="D78" i="13"/>
  <c r="E78" i="13" s="1"/>
  <c r="F78" i="13" s="1"/>
  <c r="D451" i="13"/>
  <c r="E451" i="13" s="1"/>
  <c r="F451" i="13" s="1"/>
  <c r="D412" i="13"/>
  <c r="E412" i="13" s="1"/>
  <c r="F412" i="13" s="1"/>
  <c r="D714" i="13"/>
  <c r="E714" i="13" s="1"/>
  <c r="F714" i="13" s="1"/>
  <c r="D335" i="13"/>
  <c r="E335" i="13" s="1"/>
  <c r="F335" i="13" s="1"/>
  <c r="D47" i="13"/>
  <c r="E47" i="13" s="1"/>
  <c r="F47" i="13" s="1"/>
  <c r="D780" i="13"/>
  <c r="E780" i="13" s="1"/>
  <c r="F780" i="13" s="1"/>
  <c r="D619" i="13"/>
  <c r="E619" i="13" s="1"/>
  <c r="F619" i="13" s="1"/>
  <c r="D663" i="13"/>
  <c r="D505" i="13"/>
  <c r="E505" i="13" s="1"/>
  <c r="F505" i="13" s="1"/>
  <c r="D592" i="13"/>
  <c r="E592" i="13" s="1"/>
  <c r="F592" i="13" s="1"/>
  <c r="D191" i="13"/>
  <c r="E191" i="13" s="1"/>
  <c r="F191" i="13" s="1"/>
  <c r="D615" i="13"/>
  <c r="E615" i="13" s="1"/>
  <c r="F615" i="13" s="1"/>
  <c r="D494" i="13"/>
  <c r="E494" i="13" s="1"/>
  <c r="F494" i="13" s="1"/>
  <c r="D843" i="13"/>
  <c r="E843" i="13" s="1"/>
  <c r="F843" i="13" s="1"/>
  <c r="D367" i="13"/>
  <c r="E367" i="13" s="1"/>
  <c r="F367" i="13" s="1"/>
  <c r="D488" i="13"/>
  <c r="E488" i="13" s="1"/>
  <c r="F488" i="13" s="1"/>
  <c r="D151" i="13"/>
  <c r="E151" i="13" s="1"/>
  <c r="F151" i="13" s="1"/>
  <c r="D902" i="13"/>
  <c r="E902" i="13" s="1"/>
  <c r="F902" i="13" s="1"/>
  <c r="D976" i="13"/>
  <c r="E976" i="13" s="1"/>
  <c r="F976" i="13" s="1"/>
  <c r="D985" i="13"/>
  <c r="E985" i="13" s="1"/>
  <c r="F985" i="13" s="1"/>
  <c r="D569" i="13"/>
  <c r="D320" i="13"/>
  <c r="E320" i="13" s="1"/>
  <c r="F320" i="13" s="1"/>
  <c r="D550" i="13"/>
  <c r="E550" i="13" s="1"/>
  <c r="F550" i="13" s="1"/>
  <c r="D873" i="13"/>
  <c r="E873" i="13" s="1"/>
  <c r="F873" i="13" s="1"/>
  <c r="D75" i="13"/>
  <c r="E75" i="13" s="1"/>
  <c r="F75" i="13" s="1"/>
  <c r="D810" i="13"/>
  <c r="E810" i="13" s="1"/>
  <c r="F810" i="13" s="1"/>
  <c r="D952" i="13"/>
  <c r="E952" i="13" s="1"/>
  <c r="F952" i="13" s="1"/>
  <c r="D345" i="13"/>
  <c r="E345" i="13" s="1"/>
  <c r="F345" i="13" s="1"/>
  <c r="D857" i="13"/>
  <c r="E857" i="13" s="1"/>
  <c r="F857" i="13" s="1"/>
  <c r="D404" i="13"/>
  <c r="E404" i="13" s="1"/>
  <c r="F404" i="13" s="1"/>
  <c r="D1007" i="13"/>
  <c r="D246" i="13"/>
  <c r="E246" i="13" s="1"/>
  <c r="F246" i="13" s="1"/>
  <c r="D425" i="13"/>
  <c r="E425" i="13" s="1"/>
  <c r="F425" i="13" s="1"/>
  <c r="D818" i="13"/>
  <c r="E818" i="13" s="1"/>
  <c r="F818" i="13" s="1"/>
  <c r="D202" i="13"/>
  <c r="D821" i="13"/>
  <c r="E821" i="13" s="1"/>
  <c r="F821" i="13" s="1"/>
  <c r="D433" i="13"/>
  <c r="E433" i="13" s="1"/>
  <c r="F433" i="13" s="1"/>
  <c r="D258" i="13"/>
  <c r="E258" i="13" s="1"/>
  <c r="F258" i="13" s="1"/>
  <c r="D892" i="13"/>
  <c r="E892" i="13" s="1"/>
  <c r="F892" i="13" s="1"/>
  <c r="D327" i="13"/>
  <c r="E327" i="13" s="1"/>
  <c r="F327" i="13" s="1"/>
  <c r="D326" i="13"/>
  <c r="D702" i="13"/>
  <c r="E702" i="13" s="1"/>
  <c r="F702" i="13" s="1"/>
  <c r="D455" i="13"/>
  <c r="E455" i="13" s="1"/>
  <c r="F455" i="13" s="1"/>
  <c r="D178" i="13"/>
  <c r="E178" i="13" s="1"/>
  <c r="F178" i="13" s="1"/>
  <c r="D279" i="13"/>
  <c r="E279" i="13" s="1"/>
  <c r="F279" i="13" s="1"/>
  <c r="D980" i="13"/>
  <c r="E980" i="13" s="1"/>
  <c r="F980" i="13" s="1"/>
  <c r="D622" i="13"/>
  <c r="E622" i="13" s="1"/>
  <c r="F622" i="13" s="1"/>
  <c r="D939" i="13"/>
  <c r="E939" i="13" s="1"/>
  <c r="F939" i="13" s="1"/>
  <c r="D271" i="13"/>
  <c r="E271" i="13" s="1"/>
  <c r="F271" i="13" s="1"/>
  <c r="D632" i="13"/>
  <c r="E632" i="13" s="1"/>
  <c r="F632" i="13" s="1"/>
  <c r="D377" i="13"/>
  <c r="E377" i="13" s="1"/>
  <c r="F377" i="13" s="1"/>
  <c r="D998" i="13"/>
  <c r="E998" i="13" s="1"/>
  <c r="F998" i="13" s="1"/>
  <c r="D994" i="13"/>
  <c r="E994" i="13" s="1"/>
  <c r="F994" i="13" s="1"/>
  <c r="D101" i="13"/>
  <c r="E101" i="13" s="1"/>
  <c r="F101" i="13" s="1"/>
  <c r="D424" i="13"/>
  <c r="E424" i="13" s="1"/>
  <c r="F424" i="13" s="1"/>
  <c r="D95" i="13"/>
  <c r="E95" i="13" s="1"/>
  <c r="F95" i="13" s="1"/>
  <c r="D701" i="13"/>
  <c r="E701" i="13" s="1"/>
  <c r="F701" i="13" s="1"/>
  <c r="D883" i="13"/>
  <c r="E883" i="13" s="1"/>
  <c r="F883" i="13" s="1"/>
  <c r="D309" i="13"/>
  <c r="E309" i="13" s="1"/>
  <c r="F309" i="13" s="1"/>
  <c r="D724" i="13"/>
  <c r="E724" i="13" s="1"/>
  <c r="F724" i="13" s="1"/>
  <c r="D343" i="13"/>
  <c r="D515" i="13"/>
  <c r="E515" i="13" s="1"/>
  <c r="F515" i="13" s="1"/>
  <c r="D829" i="13"/>
  <c r="E829" i="13" s="1"/>
  <c r="F829" i="13" s="1"/>
  <c r="D839" i="13"/>
  <c r="E839" i="13" s="1"/>
  <c r="F839" i="13" s="1"/>
  <c r="D849" i="13"/>
  <c r="E849" i="13" s="1"/>
  <c r="F849" i="13" s="1"/>
  <c r="D133" i="13"/>
  <c r="E133" i="13" s="1"/>
  <c r="F133" i="13" s="1"/>
  <c r="D664" i="13"/>
  <c r="E664" i="13" s="1"/>
  <c r="F664" i="13" s="1"/>
  <c r="D715" i="13"/>
  <c r="E715" i="13" s="1"/>
  <c r="F715" i="13" s="1"/>
  <c r="D925" i="13"/>
  <c r="E925" i="13" s="1"/>
  <c r="F925" i="13" s="1"/>
  <c r="D162" i="13"/>
  <c r="E162" i="13" s="1"/>
  <c r="F162" i="13" s="1"/>
  <c r="D870" i="13"/>
  <c r="E870" i="13" s="1"/>
  <c r="F870" i="13" s="1"/>
  <c r="D729" i="13"/>
  <c r="E729" i="13" s="1"/>
  <c r="F729" i="13" s="1"/>
  <c r="D207" i="13"/>
  <c r="E207" i="13" s="1"/>
  <c r="F207" i="13" s="1"/>
  <c r="D760" i="13"/>
  <c r="E760" i="13" s="1"/>
  <c r="F760" i="13" s="1"/>
  <c r="D317" i="13"/>
  <c r="E317" i="13" s="1"/>
  <c r="F317" i="13" s="1"/>
  <c r="D348" i="13"/>
  <c r="E348" i="13" s="1"/>
  <c r="F348" i="13" s="1"/>
  <c r="D929" i="13"/>
  <c r="E929" i="13" s="1"/>
  <c r="F929" i="13" s="1"/>
  <c r="D771" i="13"/>
  <c r="E771" i="13" s="1"/>
  <c r="F771" i="13" s="1"/>
  <c r="D472" i="13"/>
  <c r="E472" i="13" s="1"/>
  <c r="F472" i="13" s="1"/>
  <c r="D670" i="13"/>
  <c r="E670" i="13" s="1"/>
  <c r="F670" i="13" s="1"/>
  <c r="D270" i="13"/>
  <c r="E270" i="13" s="1"/>
  <c r="F270" i="13" s="1"/>
  <c r="D765" i="13"/>
  <c r="E765" i="13" s="1"/>
  <c r="F765" i="13" s="1"/>
  <c r="D168" i="13"/>
  <c r="E168" i="13" s="1"/>
  <c r="F168" i="13" s="1"/>
  <c r="D610" i="13"/>
  <c r="E610" i="13" s="1"/>
  <c r="F610" i="13" s="1"/>
  <c r="D323" i="13"/>
  <c r="E323" i="13" s="1"/>
  <c r="F323" i="13" s="1"/>
  <c r="D800" i="13"/>
  <c r="E800" i="13" s="1"/>
  <c r="F800" i="13" s="1"/>
  <c r="D350" i="13"/>
  <c r="E350" i="13" s="1"/>
  <c r="F350" i="13" s="1"/>
  <c r="D181" i="13"/>
  <c r="E181" i="13" s="1"/>
  <c r="F181" i="13" s="1"/>
  <c r="D986" i="13"/>
  <c r="E986" i="13" s="1"/>
  <c r="F986" i="13" s="1"/>
  <c r="G637" i="13"/>
  <c r="G648" i="13"/>
  <c r="G474" i="13"/>
  <c r="G672" i="13"/>
  <c r="G802" i="13"/>
  <c r="G711" i="13"/>
  <c r="G542" i="13"/>
  <c r="H542" i="13" s="1"/>
  <c r="G682" i="13"/>
  <c r="G31" i="13"/>
  <c r="G607" i="13"/>
  <c r="G526" i="13"/>
  <c r="G377" i="13"/>
  <c r="G528" i="13"/>
  <c r="G387" i="13"/>
  <c r="G177" i="13"/>
  <c r="G113" i="13"/>
  <c r="G828" i="13"/>
  <c r="G309" i="13"/>
  <c r="G446" i="13"/>
  <c r="G413" i="13"/>
  <c r="G740" i="13"/>
  <c r="G140" i="13"/>
  <c r="G871" i="13"/>
  <c r="G114" i="13"/>
  <c r="G1004" i="13"/>
  <c r="G982" i="13"/>
  <c r="G333" i="13"/>
  <c r="G744" i="13"/>
  <c r="G52" i="13"/>
  <c r="G773" i="13"/>
  <c r="G394" i="13"/>
  <c r="G877" i="13"/>
  <c r="G703" i="13"/>
  <c r="G687" i="13"/>
  <c r="G322" i="13"/>
  <c r="G565" i="13"/>
  <c r="G2" i="13"/>
  <c r="G840" i="13"/>
  <c r="G468" i="13"/>
  <c r="G245" i="13"/>
  <c r="G366" i="13"/>
  <c r="G214" i="13"/>
  <c r="G70" i="13"/>
  <c r="G293" i="13"/>
  <c r="G45" i="13"/>
  <c r="G532" i="13"/>
  <c r="G923" i="13"/>
  <c r="G538" i="13"/>
  <c r="G577" i="13"/>
  <c r="G363" i="13"/>
  <c r="G678" i="13"/>
  <c r="G278" i="13"/>
  <c r="G653" i="13"/>
  <c r="G750" i="13"/>
  <c r="G1033" i="13"/>
  <c r="G96" i="13"/>
  <c r="G454" i="13"/>
  <c r="G989" i="13"/>
  <c r="G690" i="13"/>
  <c r="G489" i="13"/>
  <c r="G122" i="13"/>
  <c r="G316" i="13"/>
  <c r="G769" i="13"/>
  <c r="G612" i="13"/>
  <c r="G904" i="13"/>
  <c r="G324" i="13"/>
  <c r="G334" i="13"/>
  <c r="G502" i="13"/>
  <c r="G876" i="13"/>
  <c r="G55" i="13"/>
  <c r="G3" i="13"/>
  <c r="G392" i="13"/>
  <c r="G223" i="13"/>
  <c r="G138" i="13"/>
  <c r="G272" i="13"/>
  <c r="G1032" i="13"/>
  <c r="G551" i="13"/>
  <c r="G340" i="13"/>
  <c r="G25" i="13"/>
  <c r="G909" i="13"/>
  <c r="G693" i="13"/>
  <c r="G103" i="13"/>
  <c r="G174" i="13"/>
  <c r="G725" i="13"/>
  <c r="G421" i="13"/>
  <c r="G357" i="13"/>
  <c r="G305" i="13"/>
  <c r="G359" i="13"/>
  <c r="G205" i="13"/>
  <c r="G376" i="13"/>
  <c r="G157" i="13"/>
  <c r="G936" i="13"/>
  <c r="G422" i="13"/>
  <c r="G426" i="13"/>
  <c r="G806" i="13"/>
  <c r="G752" i="13"/>
  <c r="G573" i="13"/>
  <c r="G618" i="13"/>
  <c r="G508" i="13"/>
  <c r="G884" i="13"/>
  <c r="G29" i="13"/>
  <c r="G645" i="13"/>
  <c r="G732" i="13"/>
  <c r="G860" i="13"/>
  <c r="G17" i="13"/>
  <c r="G68" i="13"/>
  <c r="G819" i="13"/>
  <c r="G164" i="13"/>
  <c r="G699" i="13"/>
  <c r="G722" i="13"/>
  <c r="G924" i="13"/>
  <c r="G383" i="13"/>
  <c r="G409" i="13"/>
  <c r="G875" i="13"/>
  <c r="G20" i="13"/>
  <c r="G757" i="13"/>
  <c r="G1014" i="13"/>
  <c r="G227" i="13"/>
  <c r="G594" i="13"/>
  <c r="G32" i="13"/>
  <c r="G778" i="13"/>
  <c r="G119" i="13"/>
  <c r="G225" i="13"/>
  <c r="G459" i="13"/>
  <c r="G737" i="13"/>
  <c r="G277" i="13"/>
  <c r="G458" i="13"/>
  <c r="G647" i="13"/>
  <c r="G264" i="13"/>
  <c r="G826" i="13"/>
  <c r="G436" i="13"/>
  <c r="G993" i="13"/>
  <c r="G485" i="13"/>
  <c r="G971" i="13"/>
  <c r="G90" i="13"/>
  <c r="G141" i="13"/>
  <c r="G79" i="13"/>
  <c r="G147" i="13"/>
  <c r="G534" i="13"/>
  <c r="G457" i="13"/>
  <c r="G276" i="13"/>
  <c r="G139" i="13"/>
  <c r="G142" i="13"/>
  <c r="G927" i="13"/>
  <c r="G443" i="13"/>
  <c r="G1013" i="13"/>
  <c r="G590" i="13"/>
  <c r="G847" i="13"/>
  <c r="G898" i="13"/>
  <c r="G915" i="13"/>
  <c r="G633" i="13"/>
  <c r="G384" i="13"/>
  <c r="G464" i="13"/>
  <c r="G22" i="13"/>
  <c r="G851" i="13"/>
  <c r="G201" i="13"/>
  <c r="G282" i="13"/>
  <c r="G893" i="13"/>
  <c r="G782" i="13"/>
  <c r="G879" i="13"/>
  <c r="G289" i="13"/>
  <c r="G342" i="13"/>
  <c r="G143" i="13"/>
  <c r="G248" i="13"/>
  <c r="G153" i="13"/>
  <c r="G887" i="13"/>
  <c r="G23" i="13"/>
  <c r="G429" i="13"/>
  <c r="G134" i="13"/>
  <c r="G707" i="13"/>
  <c r="G558" i="13"/>
  <c r="G514" i="13"/>
  <c r="G284" i="13"/>
  <c r="G861" i="13"/>
  <c r="G286" i="13"/>
  <c r="G202" i="13"/>
  <c r="G98" i="13"/>
  <c r="G781" i="13"/>
  <c r="G399" i="13"/>
  <c r="G846" i="13"/>
  <c r="G175" i="13"/>
  <c r="G717" i="13"/>
  <c r="G608" i="13"/>
  <c r="G688" i="13"/>
  <c r="G507" i="13"/>
  <c r="G820" i="13"/>
  <c r="G834" i="13"/>
  <c r="G127" i="13"/>
  <c r="G438" i="13"/>
  <c r="G541" i="13"/>
  <c r="G586" i="13"/>
  <c r="G762" i="13"/>
  <c r="G801" i="13"/>
  <c r="G539" i="13"/>
  <c r="G283" i="13"/>
  <c r="G125" i="13"/>
  <c r="G63" i="13"/>
  <c r="G630" i="13"/>
  <c r="G330" i="13"/>
  <c r="G16" i="13"/>
  <c r="G863" i="13"/>
  <c r="G947" i="13"/>
  <c r="G91" i="13"/>
  <c r="G796" i="13"/>
  <c r="G695" i="13"/>
  <c r="G112" i="13"/>
  <c r="G128" i="13"/>
  <c r="G486" i="13"/>
  <c r="G448" i="13"/>
  <c r="G427" i="13"/>
  <c r="G793" i="13"/>
  <c r="G882" i="13"/>
  <c r="G530" i="13"/>
  <c r="G11" i="13"/>
  <c r="G739" i="13"/>
  <c r="G966" i="13"/>
  <c r="G396" i="13"/>
  <c r="G211" i="13"/>
  <c r="G872" i="13"/>
  <c r="G5" i="13"/>
  <c r="G268" i="13"/>
  <c r="G410" i="13"/>
  <c r="G920" i="13"/>
  <c r="G544" i="13"/>
  <c r="G69" i="13"/>
  <c r="G136" i="13"/>
  <c r="G772" i="13"/>
  <c r="G970" i="13"/>
  <c r="G554" i="13"/>
  <c r="G206" i="13"/>
  <c r="G265" i="13"/>
  <c r="G184" i="13"/>
  <c r="G439" i="13"/>
  <c r="G751" i="13"/>
  <c r="G659" i="13"/>
  <c r="G685" i="13"/>
  <c r="G78" i="13"/>
  <c r="G335" i="13"/>
  <c r="G505" i="13"/>
  <c r="G494" i="13"/>
  <c r="G487" i="13"/>
  <c r="G992" i="13"/>
  <c r="G237" i="13"/>
  <c r="G575" i="13"/>
  <c r="G604" i="13"/>
  <c r="G545" i="13"/>
  <c r="G712" i="13"/>
  <c r="G649" i="13"/>
  <c r="G447" i="13"/>
  <c r="G537" i="13"/>
  <c r="G704" i="13"/>
  <c r="G767" i="13"/>
  <c r="G867" i="13"/>
  <c r="G917" i="13"/>
  <c r="G242" i="13"/>
  <c r="G964" i="13"/>
  <c r="E358" i="13"/>
  <c r="F358" i="13" s="1"/>
  <c r="G358" i="13"/>
  <c r="G1026" i="13"/>
  <c r="G764" i="13"/>
  <c r="G536" i="13"/>
  <c r="G186" i="13"/>
  <c r="G862" i="13"/>
  <c r="G597" i="13"/>
  <c r="G974" i="13"/>
  <c r="G365" i="13"/>
  <c r="G981" i="13"/>
  <c r="G520" i="13"/>
  <c r="G419" i="13"/>
  <c r="G215" i="13"/>
  <c r="G961" i="13"/>
  <c r="G935" i="13"/>
  <c r="G213" i="13"/>
  <c r="G546" i="13"/>
  <c r="G15" i="13"/>
  <c r="G850" i="13"/>
  <c r="G761" i="13"/>
  <c r="G160" i="13"/>
  <c r="G583" i="13"/>
  <c r="G230" i="13"/>
  <c r="G787" i="13"/>
  <c r="G889" i="13"/>
  <c r="G710" i="13"/>
  <c r="G943" i="13"/>
  <c r="G527" i="13"/>
  <c r="G501" i="13"/>
  <c r="G794" i="13"/>
  <c r="G987" i="13"/>
  <c r="G434" i="13"/>
  <c r="G959" i="13"/>
  <c r="G621" i="13"/>
  <c r="G848" i="13"/>
  <c r="G524" i="13"/>
  <c r="G380" i="13"/>
  <c r="G627" i="13"/>
  <c r="G163" i="13"/>
  <c r="G901" i="13"/>
  <c r="G720" i="13"/>
  <c r="G838" i="13"/>
  <c r="G60" i="13"/>
  <c r="G496" i="13"/>
  <c r="G603" i="13"/>
  <c r="G918" i="13"/>
  <c r="G617" i="13"/>
  <c r="G19" i="13"/>
  <c r="G557" i="13"/>
  <c r="G578" i="13"/>
  <c r="G495" i="13"/>
  <c r="G656" i="13"/>
  <c r="G449" i="13"/>
  <c r="G1024" i="13"/>
  <c r="G655" i="13"/>
  <c r="G451" i="13"/>
  <c r="G780" i="13"/>
  <c r="G592" i="13"/>
  <c r="G615" i="13"/>
  <c r="G44" i="13"/>
  <c r="G200" i="13"/>
  <c r="G570" i="13"/>
  <c r="G355" i="13"/>
  <c r="G784" i="13"/>
  <c r="G1021" i="13"/>
  <c r="G391" i="13"/>
  <c r="G843" i="13"/>
  <c r="G367" i="13"/>
  <c r="G488" i="13"/>
  <c r="G151" i="13"/>
  <c r="G902" i="13"/>
  <c r="G976" i="13"/>
  <c r="G985" i="13"/>
  <c r="G569" i="13"/>
  <c r="G320" i="13"/>
  <c r="G550" i="13"/>
  <c r="G873" i="13"/>
  <c r="G75" i="13"/>
  <c r="G810" i="13"/>
  <c r="G345" i="13"/>
  <c r="G857" i="13"/>
  <c r="G404" i="13"/>
  <c r="G1007" i="13"/>
  <c r="G246" i="13"/>
  <c r="G425" i="13"/>
  <c r="G818" i="13"/>
  <c r="G821" i="13"/>
  <c r="G433" i="13"/>
  <c r="G258" i="13"/>
  <c r="G892" i="13"/>
  <c r="G327" i="13"/>
  <c r="G326" i="13"/>
  <c r="G702" i="13"/>
  <c r="G178" i="13"/>
  <c r="G279" i="13"/>
  <c r="G980" i="13"/>
  <c r="G622" i="13"/>
  <c r="G939" i="13"/>
  <c r="G271" i="13"/>
  <c r="G632" i="13"/>
  <c r="G998" i="13"/>
  <c r="G994" i="13"/>
  <c r="G101" i="13"/>
  <c r="G424" i="13"/>
  <c r="G95" i="13"/>
  <c r="G701" i="13"/>
  <c r="G883" i="13"/>
  <c r="G724" i="13"/>
  <c r="G343" i="13"/>
  <c r="G515" i="13"/>
  <c r="G829" i="13"/>
  <c r="G839" i="13"/>
  <c r="G849" i="13"/>
  <c r="G133" i="13"/>
  <c r="G664" i="13"/>
  <c r="G715" i="13"/>
  <c r="G925" i="13"/>
  <c r="G162" i="13"/>
  <c r="G870" i="13"/>
  <c r="G729" i="13"/>
  <c r="G207" i="13"/>
  <c r="G407" i="13"/>
  <c r="G297" i="13"/>
  <c r="G950" i="13"/>
  <c r="G669" i="13"/>
  <c r="G331" i="13"/>
  <c r="G965" i="13"/>
  <c r="G124" i="13"/>
  <c r="G39" i="13"/>
  <c r="G593" i="13"/>
  <c r="G241" i="13"/>
  <c r="G33" i="13"/>
  <c r="G21" i="13"/>
  <c r="G420" i="13"/>
  <c r="G156" i="13"/>
  <c r="G198" i="13"/>
  <c r="G121" i="13"/>
  <c r="G504" i="13"/>
  <c r="G337" i="13"/>
  <c r="G894" i="13"/>
  <c r="G940" i="13"/>
  <c r="G658" i="13"/>
  <c r="G835" i="13"/>
  <c r="G623" i="13"/>
  <c r="G1001" i="13"/>
  <c r="G354" i="13"/>
  <c r="G49" i="13"/>
  <c r="G1003" i="13"/>
  <c r="G510" i="13"/>
  <c r="G803" i="13"/>
  <c r="G628" i="13"/>
  <c r="G680" i="13"/>
  <c r="G197" i="13"/>
  <c r="G811" i="13"/>
  <c r="G231" i="13"/>
  <c r="G540" i="13"/>
  <c r="G958" i="13"/>
  <c r="G962" i="13"/>
  <c r="G684" i="13"/>
  <c r="G972" i="13"/>
  <c r="G969" i="13"/>
  <c r="G661" i="13"/>
  <c r="G67" i="13"/>
  <c r="G563" i="13"/>
  <c r="G210" i="13"/>
  <c r="G150" i="13"/>
  <c r="G347" i="13"/>
  <c r="G467" i="13"/>
  <c r="G763" i="13"/>
  <c r="G686" i="13"/>
  <c r="G759" i="13"/>
  <c r="G1000" i="13"/>
  <c r="G378" i="13"/>
  <c r="G885" i="13"/>
  <c r="G386" i="13"/>
  <c r="G401" i="13"/>
  <c r="G148" i="13"/>
  <c r="G64" i="13"/>
  <c r="G654" i="13"/>
  <c r="G634" i="13"/>
  <c r="G370" i="13"/>
  <c r="G513" i="13"/>
  <c r="G328" i="13"/>
  <c r="G379" i="13"/>
  <c r="G937" i="13"/>
  <c r="G709" i="13"/>
  <c r="G236" i="13"/>
  <c r="G280" i="13"/>
  <c r="G66" i="13"/>
  <c r="G1015" i="13"/>
  <c r="G906" i="13"/>
  <c r="G412" i="13"/>
  <c r="G619" i="13"/>
  <c r="G191" i="13"/>
  <c r="G852" i="13"/>
  <c r="G816" i="13"/>
  <c r="G325" i="13"/>
  <c r="G244" i="13"/>
  <c r="G81" i="13"/>
  <c r="G500" i="13"/>
  <c r="G646" i="13"/>
  <c r="G461" i="13"/>
  <c r="G651" i="13"/>
  <c r="G440" i="13"/>
  <c r="G400" i="13"/>
  <c r="G1005" i="13"/>
  <c r="G145" i="13"/>
  <c r="G564" i="13"/>
  <c r="G908" i="13"/>
  <c r="G1022" i="13"/>
  <c r="G797" i="13"/>
  <c r="G859" i="13"/>
  <c r="G566" i="13"/>
  <c r="G999" i="13"/>
  <c r="G267" i="13"/>
  <c r="G414" i="13"/>
  <c r="G552" i="13"/>
  <c r="G967" i="13"/>
  <c r="G591" i="13"/>
  <c r="G733" i="13"/>
  <c r="G34" i="13"/>
  <c r="G463" i="13"/>
  <c r="G159" i="13"/>
  <c r="E827" i="13"/>
  <c r="F827" i="13" s="1"/>
  <c r="G827" i="13"/>
  <c r="G933" i="13"/>
  <c r="G522" i="13"/>
  <c r="G665" i="13"/>
  <c r="G27" i="13"/>
  <c r="G259" i="13"/>
  <c r="G185" i="13"/>
  <c r="G808" i="13"/>
  <c r="G779" i="13"/>
  <c r="G273" i="13"/>
  <c r="G56" i="13"/>
  <c r="G758" i="13"/>
  <c r="G770" i="13"/>
  <c r="G960" i="13"/>
  <c r="G905" i="13"/>
  <c r="G338" i="13"/>
  <c r="G521" i="13"/>
  <c r="G303" i="13"/>
  <c r="G1011" i="13"/>
  <c r="G199" i="13"/>
  <c r="G456" i="13"/>
  <c r="G708" i="13"/>
  <c r="G745" i="13"/>
  <c r="G318" i="13"/>
  <c r="G478" i="13"/>
  <c r="G118" i="13"/>
  <c r="G371" i="13"/>
  <c r="G257" i="13"/>
  <c r="G406" i="13"/>
  <c r="G638" i="13"/>
  <c r="G856" i="13"/>
  <c r="G479" i="13"/>
  <c r="G252" i="13"/>
  <c r="G547" i="13"/>
  <c r="G706" i="13"/>
  <c r="G313" i="13"/>
  <c r="G397" i="13"/>
  <c r="G104" i="13"/>
  <c r="G916" i="13"/>
  <c r="G636" i="13"/>
  <c r="G585" i="13"/>
  <c r="G385" i="13"/>
  <c r="G928" i="13"/>
  <c r="G734" i="13"/>
  <c r="G561" i="13"/>
  <c r="G792" i="13"/>
  <c r="G418" i="13"/>
  <c r="G723" i="13"/>
  <c r="G602" i="13"/>
  <c r="G62" i="13"/>
  <c r="G80" i="13"/>
  <c r="G945" i="13"/>
  <c r="G362" i="13"/>
  <c r="G235" i="13"/>
  <c r="G291" i="13"/>
  <c r="G525" i="13"/>
  <c r="G475" i="13"/>
  <c r="G817" i="13"/>
  <c r="G560" i="13"/>
  <c r="G681" i="13"/>
  <c r="G869" i="13"/>
  <c r="G983" i="13"/>
  <c r="G626" i="13"/>
  <c r="G351" i="13"/>
  <c r="G266" i="13"/>
  <c r="G938" i="13"/>
  <c r="G146" i="13"/>
  <c r="G913" i="13"/>
  <c r="G705" i="13"/>
  <c r="G799" i="13"/>
  <c r="G492" i="13"/>
  <c r="G731" i="13"/>
  <c r="G601" i="13"/>
  <c r="G805" i="13"/>
  <c r="G408" i="13"/>
  <c r="G755" i="13"/>
  <c r="G613" i="13"/>
  <c r="G455" i="13"/>
  <c r="G642" i="13"/>
  <c r="G73" i="13"/>
  <c r="G58" i="13"/>
  <c r="G753" i="13"/>
  <c r="G285" i="13"/>
  <c r="G1028" i="13"/>
  <c r="G741" i="13"/>
  <c r="G548" i="13"/>
  <c r="G369" i="13"/>
  <c r="G107" i="13"/>
  <c r="G120" i="13"/>
  <c r="G836" i="13"/>
  <c r="G222" i="13"/>
  <c r="G942" i="13"/>
  <c r="G100" i="13"/>
  <c r="G650" i="13"/>
  <c r="G36" i="13"/>
  <c r="G481" i="13"/>
  <c r="G432" i="13"/>
  <c r="G219" i="13"/>
  <c r="G727" i="13"/>
  <c r="G635" i="13"/>
  <c r="G161" i="13"/>
  <c r="G837" i="13"/>
  <c r="G87" i="13"/>
  <c r="G18" i="13"/>
  <c r="G812" i="13"/>
  <c r="G910" i="13"/>
  <c r="G352" i="13"/>
  <c r="G131" i="13"/>
  <c r="G249" i="13"/>
  <c r="G616" i="13"/>
  <c r="G261" i="13"/>
  <c r="G224" i="13"/>
  <c r="G881" i="13"/>
  <c r="G747" i="13"/>
  <c r="G314" i="13"/>
  <c r="G868" i="13"/>
  <c r="G749" i="13"/>
  <c r="G94" i="13"/>
  <c r="G689" i="13"/>
  <c r="G921" i="13"/>
  <c r="G77" i="13"/>
  <c r="G216" i="13"/>
  <c r="G795" i="13"/>
  <c r="G306" i="13"/>
  <c r="G166" i="13"/>
  <c r="G991" i="13"/>
  <c r="G373" i="13"/>
  <c r="G605" i="13"/>
  <c r="G865" i="13"/>
  <c r="G295" i="13"/>
  <c r="G195" i="13"/>
  <c r="G675" i="13"/>
  <c r="G754" i="13"/>
  <c r="G308" i="13"/>
  <c r="G931" i="13"/>
  <c r="G292" i="13"/>
  <c r="G360" i="13"/>
  <c r="G714" i="13"/>
  <c r="G663" i="13"/>
  <c r="G625" i="13"/>
  <c r="G30" i="13"/>
  <c r="G719" i="13"/>
  <c r="G1019" i="13"/>
  <c r="E1023" i="13"/>
  <c r="F1023" i="13" s="1"/>
  <c r="G1023" i="13"/>
  <c r="G598" i="13"/>
  <c r="G824" i="13"/>
  <c r="G130" i="13"/>
  <c r="G312" i="13"/>
  <c r="G192" i="13"/>
  <c r="G1006" i="13"/>
  <c r="G957" i="13"/>
  <c r="G726" i="13"/>
  <c r="G694" i="13"/>
  <c r="G71" i="13"/>
  <c r="G349" i="13"/>
  <c r="E240" i="13"/>
  <c r="F240" i="13" s="1"/>
  <c r="G240" i="13"/>
  <c r="G926" i="13"/>
  <c r="G667" i="13"/>
  <c r="G553" i="13"/>
  <c r="G975" i="13"/>
  <c r="G470" i="13"/>
  <c r="G791" i="13"/>
  <c r="G189" i="13"/>
  <c r="G209" i="13"/>
  <c r="G218" i="13"/>
  <c r="G165" i="13"/>
  <c r="E188" i="13"/>
  <c r="F188" i="13" s="1"/>
  <c r="G188" i="13"/>
  <c r="G233" i="13"/>
  <c r="G518" i="13"/>
  <c r="G1008" i="13"/>
  <c r="G606" i="13"/>
  <c r="G535" i="13"/>
  <c r="E1025" i="13"/>
  <c r="F1025" i="13" s="1"/>
  <c r="G1025" i="13"/>
  <c r="G402" i="13"/>
  <c r="G673" i="13"/>
  <c r="G375" i="13"/>
  <c r="E978" i="13"/>
  <c r="F978" i="13" s="1"/>
  <c r="G978" i="13"/>
  <c r="G903" i="13"/>
  <c r="G579" i="13"/>
  <c r="G641" i="13"/>
  <c r="E730" i="13"/>
  <c r="F730" i="13" s="1"/>
  <c r="G730" i="13"/>
  <c r="G599" i="13"/>
  <c r="E137" i="13"/>
  <c r="F137" i="13" s="1"/>
  <c r="G137" i="13"/>
  <c r="G382" i="13"/>
  <c r="E988" i="13"/>
  <c r="F988" i="13" s="1"/>
  <c r="G988" i="13"/>
  <c r="G473" i="13"/>
  <c r="G697" i="13"/>
  <c r="G212" i="13"/>
  <c r="E807" i="13"/>
  <c r="F807" i="13" s="1"/>
  <c r="G807" i="13"/>
  <c r="G506" i="13"/>
  <c r="G611" i="13"/>
  <c r="E951" i="13"/>
  <c r="F951" i="13" s="1"/>
  <c r="G951" i="13"/>
  <c r="G996" i="13"/>
  <c r="G822" i="13"/>
  <c r="G35" i="13"/>
  <c r="E445" i="13"/>
  <c r="F445" i="13" s="1"/>
  <c r="G445" i="13"/>
  <c r="G584" i="13"/>
  <c r="G790" i="13"/>
  <c r="E713" i="13"/>
  <c r="F713" i="13" s="1"/>
  <c r="G713" i="13"/>
  <c r="G660" i="13"/>
  <c r="G956" i="13"/>
  <c r="G483" i="13"/>
  <c r="E1030" i="13"/>
  <c r="F1030" i="13" s="1"/>
  <c r="G1030" i="13"/>
  <c r="G743" i="13"/>
  <c r="G176" i="13"/>
  <c r="E92" i="13"/>
  <c r="F92" i="13" s="1"/>
  <c r="G92" i="13"/>
  <c r="G7" i="13"/>
  <c r="G825" i="13"/>
  <c r="G85" i="13"/>
  <c r="G437" i="13"/>
  <c r="G416" i="13"/>
  <c r="G679" i="13"/>
  <c r="G228" i="13"/>
  <c r="G691" i="13"/>
  <c r="G269" i="13"/>
  <c r="G388" i="13"/>
  <c r="G51" i="13"/>
  <c r="G497" i="13"/>
  <c r="G533" i="13"/>
  <c r="G398" i="13"/>
  <c r="G736" i="13"/>
  <c r="G1020" i="13"/>
  <c r="G262" i="13"/>
  <c r="G559" i="13"/>
  <c r="G823" i="13"/>
  <c r="G948" i="13"/>
  <c r="G657" i="13"/>
  <c r="G624" i="13"/>
  <c r="G768" i="13"/>
  <c r="G167" i="13"/>
  <c r="G152" i="13"/>
  <c r="G845" i="13"/>
  <c r="G74" i="13"/>
  <c r="G783" i="13"/>
  <c r="G196" i="13"/>
  <c r="G441" i="13"/>
  <c r="G86" i="13"/>
  <c r="G89" i="13"/>
  <c r="G523" i="13"/>
  <c r="G393" i="13"/>
  <c r="G886" i="13"/>
  <c r="G774" i="13"/>
  <c r="G1010" i="13"/>
  <c r="G503" i="13"/>
  <c r="G482" i="13"/>
  <c r="G1027" i="13"/>
  <c r="G372" i="13"/>
  <c r="G275" i="13"/>
  <c r="G132" i="13"/>
  <c r="G864" i="13"/>
  <c r="G287" i="13"/>
  <c r="G170" i="13"/>
  <c r="G46" i="13"/>
  <c r="G922" i="13"/>
  <c r="G54" i="13"/>
  <c r="G491" i="13"/>
  <c r="G194" i="13"/>
  <c r="G356" i="13"/>
  <c r="G911" i="13"/>
  <c r="G766" i="13"/>
  <c r="G842" i="13"/>
  <c r="G866" i="13"/>
  <c r="G614" i="13"/>
  <c r="G562" i="13"/>
  <c r="G880" i="13"/>
  <c r="G217" i="13"/>
  <c r="G738" i="13"/>
  <c r="G37" i="13"/>
  <c r="G700" i="13"/>
  <c r="G302" i="13"/>
  <c r="G1018" i="13"/>
  <c r="G158" i="13"/>
  <c r="G888" i="13"/>
  <c r="G949" i="13"/>
  <c r="G59" i="13"/>
  <c r="G953" i="13"/>
  <c r="G1016" i="13"/>
  <c r="G42" i="13"/>
  <c r="G353" i="13"/>
  <c r="G290" i="13"/>
  <c r="G517" i="13"/>
  <c r="G301" i="13"/>
  <c r="G919" i="13"/>
  <c r="G126" i="13"/>
  <c r="G10" i="13"/>
  <c r="G332" i="13"/>
  <c r="G833" i="13"/>
  <c r="G381" i="13"/>
  <c r="G173" i="13"/>
  <c r="G288" i="13"/>
  <c r="G756" i="13"/>
  <c r="G274" i="13"/>
  <c r="G255" i="13"/>
  <c r="G698" i="13"/>
  <c r="G193" i="13"/>
  <c r="G556" i="13"/>
  <c r="G435" i="13"/>
  <c r="G47" i="13"/>
  <c r="G154" i="13"/>
  <c r="G263" i="13"/>
  <c r="G256" i="13"/>
  <c r="G476" i="13"/>
  <c r="G57" i="13"/>
  <c r="G155" i="13"/>
  <c r="G460" i="13"/>
  <c r="E260" i="13"/>
  <c r="F260" i="13" s="1"/>
  <c r="G260" i="13"/>
  <c r="G135" i="13"/>
  <c r="G571" i="13"/>
  <c r="G990" i="13"/>
  <c r="G111" i="13"/>
  <c r="G428" i="13"/>
  <c r="G102" i="13"/>
  <c r="G543" i="13"/>
  <c r="G405" i="13"/>
  <c r="G415" i="13"/>
  <c r="G311" i="13"/>
  <c r="E798" i="13"/>
  <c r="F798" i="13" s="1"/>
  <c r="G798" i="13"/>
  <c r="E582" i="13"/>
  <c r="F582" i="13" s="1"/>
  <c r="G582" i="13"/>
  <c r="E912" i="13"/>
  <c r="F912" i="13" s="1"/>
  <c r="G912" i="13"/>
  <c r="E934" i="13"/>
  <c r="F934" i="13" s="1"/>
  <c r="G934" i="13"/>
  <c r="E296" i="13"/>
  <c r="F296" i="13" s="1"/>
  <c r="G296" i="13"/>
  <c r="E336" i="13"/>
  <c r="F336" i="13" s="1"/>
  <c r="G336" i="13"/>
  <c r="E9" i="13"/>
  <c r="F9" i="13" s="1"/>
  <c r="G9" i="13"/>
  <c r="E368" i="13"/>
  <c r="F368" i="13" s="1"/>
  <c r="G368" i="13"/>
  <c r="E775" i="13"/>
  <c r="F775" i="13" s="1"/>
  <c r="G775" i="13"/>
  <c r="E930" i="13"/>
  <c r="F930" i="13" s="1"/>
  <c r="G930" i="13"/>
  <c r="E716" i="13"/>
  <c r="F716" i="13" s="1"/>
  <c r="G716" i="13"/>
  <c r="E442" i="13"/>
  <c r="F442" i="13" s="1"/>
  <c r="G442" i="13"/>
  <c r="E84" i="13"/>
  <c r="F84" i="13" s="1"/>
  <c r="G84" i="13"/>
  <c r="E897" i="13"/>
  <c r="F897" i="13" s="1"/>
  <c r="G897" i="13"/>
  <c r="E61" i="13"/>
  <c r="F61" i="13" s="1"/>
  <c r="G61" i="13"/>
  <c r="E294" i="13"/>
  <c r="F294" i="13" s="1"/>
  <c r="G294" i="13"/>
  <c r="E777" i="13"/>
  <c r="F777" i="13" s="1"/>
  <c r="G777" i="13"/>
  <c r="E984" i="13"/>
  <c r="F984" i="13" s="1"/>
  <c r="G984" i="13"/>
  <c r="E28" i="13"/>
  <c r="F28" i="13" s="1"/>
  <c r="G28" i="13"/>
  <c r="E465" i="13"/>
  <c r="F465" i="13" s="1"/>
  <c r="G465" i="13"/>
  <c r="E674" i="13"/>
  <c r="F674" i="13" s="1"/>
  <c r="G674" i="13"/>
  <c r="E250" i="13"/>
  <c r="F250" i="13" s="1"/>
  <c r="G250" i="13"/>
  <c r="E830" i="13"/>
  <c r="F830" i="13" s="1"/>
  <c r="G830" i="13"/>
  <c r="E220" i="13"/>
  <c r="F220" i="13" s="1"/>
  <c r="G220" i="13"/>
  <c r="E696" i="13"/>
  <c r="F696" i="13" s="1"/>
  <c r="G696" i="13"/>
  <c r="E815" i="13"/>
  <c r="F815" i="13" s="1"/>
  <c r="G815" i="13"/>
  <c r="E4" i="13"/>
  <c r="F4" i="13" s="1"/>
  <c r="G4" i="13"/>
  <c r="E995" i="13"/>
  <c r="F995" i="13" s="1"/>
  <c r="G995" i="13"/>
  <c r="E24" i="13"/>
  <c r="F24" i="13" s="1"/>
  <c r="G24" i="13"/>
  <c r="E243" i="13"/>
  <c r="F243" i="13" s="1"/>
  <c r="G243" i="13"/>
  <c r="E721" i="13"/>
  <c r="F721" i="13" s="1"/>
  <c r="G721" i="13"/>
  <c r="E471" i="13"/>
  <c r="F471" i="13" s="1"/>
  <c r="G471" i="13"/>
  <c r="E789" i="13"/>
  <c r="F789" i="13" s="1"/>
  <c r="G789" i="13"/>
  <c r="E718" i="13"/>
  <c r="F718" i="13" s="1"/>
  <c r="G718" i="13"/>
  <c r="E310" i="13"/>
  <c r="F310" i="13" s="1"/>
  <c r="G310" i="13"/>
  <c r="E361" i="13"/>
  <c r="F361" i="13" s="1"/>
  <c r="G361" i="13"/>
  <c r="E643" i="13"/>
  <c r="F643" i="13" s="1"/>
  <c r="G643" i="13"/>
  <c r="E890" i="13"/>
  <c r="F890" i="13" s="1"/>
  <c r="G890" i="13"/>
  <c r="E1031" i="13"/>
  <c r="F1031" i="13" s="1"/>
  <c r="G1031" i="13"/>
  <c r="E115" i="13"/>
  <c r="F115" i="13" s="1"/>
  <c r="G115" i="13"/>
  <c r="E588" i="13"/>
  <c r="F588" i="13" s="1"/>
  <c r="G588" i="13"/>
  <c r="E631" i="13"/>
  <c r="F631" i="13" s="1"/>
  <c r="G631" i="13"/>
  <c r="E490" i="13"/>
  <c r="F490" i="13" s="1"/>
  <c r="G490" i="13"/>
  <c r="E83" i="13"/>
  <c r="F83" i="13" s="1"/>
  <c r="G83" i="13"/>
  <c r="E813" i="13"/>
  <c r="F813" i="13" s="1"/>
  <c r="G813" i="13"/>
  <c r="G53" i="13"/>
  <c r="G12" i="13"/>
  <c r="G742" i="13"/>
  <c r="G620" i="13"/>
  <c r="G511" i="13"/>
  <c r="G683" i="13"/>
  <c r="G484" i="13"/>
  <c r="E431" i="13"/>
  <c r="F431" i="13" s="1"/>
  <c r="G431" i="13"/>
  <c r="G462" i="13"/>
  <c r="G43" i="13"/>
  <c r="G529" i="13"/>
  <c r="G973" i="13"/>
  <c r="G99" i="13"/>
  <c r="G509" i="13"/>
  <c r="G946" i="13"/>
  <c r="G914" i="13"/>
  <c r="G41" i="13"/>
  <c r="G88" i="13"/>
  <c r="G853" i="13"/>
  <c r="G955" i="13"/>
  <c r="G480" i="13"/>
  <c r="G251" i="13"/>
  <c r="G116" i="13"/>
  <c r="G581" i="13"/>
  <c r="G895" i="13"/>
  <c r="G1002" i="13"/>
  <c r="G300" i="13"/>
  <c r="G234" i="13"/>
  <c r="G321" i="13"/>
  <c r="G411" i="13"/>
  <c r="G854" i="13"/>
  <c r="G746" i="13"/>
  <c r="G341" i="13"/>
  <c r="E677" i="13"/>
  <c r="F677" i="13" s="1"/>
  <c r="G677" i="13"/>
  <c r="G662" i="13"/>
  <c r="G238" i="13"/>
  <c r="G512" i="13"/>
  <c r="G874" i="13"/>
  <c r="G203" i="13"/>
  <c r="G229" i="13"/>
  <c r="G105" i="13"/>
  <c r="E423" i="13"/>
  <c r="F423" i="13" s="1"/>
  <c r="G423" i="13"/>
  <c r="G106" i="13"/>
  <c r="G941" i="13"/>
  <c r="G232" i="13"/>
  <c r="G187" i="13"/>
  <c r="G968" i="13"/>
  <c r="G519" i="13"/>
  <c r="G555" i="13"/>
  <c r="G389" i="13"/>
  <c r="G735" i="13"/>
  <c r="G221" i="13"/>
  <c r="G239" i="13"/>
  <c r="E395" i="13"/>
  <c r="F395" i="13" s="1"/>
  <c r="G395" i="13"/>
  <c r="G76" i="13"/>
  <c r="G809" i="13"/>
  <c r="G932" i="13"/>
  <c r="G466" i="13"/>
  <c r="G896" i="13"/>
  <c r="G374" i="13"/>
  <c r="G247" i="13"/>
  <c r="G952" i="13"/>
  <c r="G609" i="13"/>
  <c r="G108" i="13"/>
  <c r="G804" i="13"/>
  <c r="G40" i="13"/>
  <c r="G900" i="13"/>
  <c r="G1012" i="13"/>
  <c r="G390" i="13"/>
  <c r="G129" i="13"/>
  <c r="G728" i="13"/>
  <c r="G172" i="13"/>
  <c r="G65" i="13"/>
  <c r="G254" i="13"/>
  <c r="G516" i="13"/>
  <c r="G450" i="13"/>
  <c r="G13" i="13"/>
  <c r="G748" i="13"/>
  <c r="G226" i="13"/>
  <c r="G676" i="13"/>
  <c r="G788" i="13"/>
  <c r="G531" i="13"/>
  <c r="G93" i="13"/>
  <c r="G832" i="13"/>
  <c r="G469" i="13"/>
  <c r="G596" i="13"/>
  <c r="G760" i="13"/>
  <c r="G317" i="13"/>
  <c r="G348" i="13"/>
  <c r="G929" i="13"/>
  <c r="G771" i="13"/>
  <c r="G472" i="13"/>
  <c r="G670" i="13"/>
  <c r="G270" i="13"/>
  <c r="G765" i="13"/>
  <c r="G168" i="13"/>
  <c r="G610" i="13"/>
  <c r="G323" i="13"/>
  <c r="G800" i="13"/>
  <c r="G350" i="13"/>
  <c r="G181" i="13"/>
  <c r="G986" i="13"/>
  <c r="G319" i="13"/>
  <c r="G8" i="13"/>
  <c r="G38" i="13"/>
  <c r="G644" i="13"/>
  <c r="G169" i="13"/>
  <c r="G1017" i="13"/>
  <c r="G979" i="13"/>
  <c r="G304" i="13"/>
  <c r="G954" i="13"/>
  <c r="G50" i="13"/>
  <c r="G629" i="13"/>
  <c r="G776" i="13"/>
  <c r="G204" i="13"/>
  <c r="G841" i="13"/>
  <c r="G417" i="13"/>
  <c r="G281" i="13"/>
  <c r="G498" i="13"/>
  <c r="G477" i="13"/>
  <c r="G692" i="13"/>
  <c r="G253" i="13"/>
  <c r="G183" i="13"/>
  <c r="G589" i="13"/>
  <c r="G110" i="13"/>
  <c r="G858" i="13"/>
  <c r="G179" i="13"/>
  <c r="G346" i="13"/>
  <c r="G997" i="13"/>
  <c r="G444" i="13"/>
  <c r="G1009" i="13"/>
  <c r="G844" i="13"/>
  <c r="G72" i="13"/>
  <c r="G640" i="13"/>
  <c r="G364" i="13"/>
  <c r="G814" i="13"/>
  <c r="E453" i="13"/>
  <c r="F453" i="13" s="1"/>
  <c r="G453" i="13"/>
  <c r="G595" i="13"/>
  <c r="G785" i="13"/>
  <c r="E452" i="13"/>
  <c r="F452" i="13" s="1"/>
  <c r="G452" i="13"/>
  <c r="G568" i="13"/>
  <c r="G574" i="13"/>
  <c r="G572" i="13"/>
  <c r="G576" i="13"/>
  <c r="E182" i="13"/>
  <c r="F182" i="13" s="1"/>
  <c r="G182" i="13"/>
  <c r="E48" i="13"/>
  <c r="F48" i="13" s="1"/>
  <c r="G48" i="13"/>
  <c r="E190" i="13"/>
  <c r="F190" i="13" s="1"/>
  <c r="G190" i="13"/>
  <c r="E6" i="13"/>
  <c r="F6" i="13" s="1"/>
  <c r="G6" i="13"/>
  <c r="E831" i="13"/>
  <c r="F831" i="13" s="1"/>
  <c r="G831" i="13"/>
  <c r="E600" i="13"/>
  <c r="F600" i="13" s="1"/>
  <c r="G600" i="13"/>
  <c r="E117" i="13"/>
  <c r="F117" i="13" s="1"/>
  <c r="G117" i="13"/>
  <c r="E977" i="13"/>
  <c r="F977" i="13" s="1"/>
  <c r="G977" i="13"/>
  <c r="E493" i="13"/>
  <c r="F493" i="13" s="1"/>
  <c r="G493" i="13"/>
  <c r="E499" i="13"/>
  <c r="F499" i="13" s="1"/>
  <c r="G499" i="13"/>
  <c r="E123" i="13"/>
  <c r="F123" i="13" s="1"/>
  <c r="G123" i="13"/>
  <c r="E329" i="13"/>
  <c r="F329" i="13" s="1"/>
  <c r="G329" i="13"/>
  <c r="E97" i="13"/>
  <c r="F97" i="13" s="1"/>
  <c r="G97" i="13"/>
  <c r="E307" i="13"/>
  <c r="F307" i="13" s="1"/>
  <c r="G307" i="13"/>
  <c r="E344" i="13"/>
  <c r="F344" i="13" s="1"/>
  <c r="G344" i="13"/>
  <c r="E14" i="13"/>
  <c r="F14" i="13" s="1"/>
  <c r="G14" i="13"/>
  <c r="E639" i="13"/>
  <c r="F639" i="13" s="1"/>
  <c r="G639" i="13"/>
  <c r="E208" i="13"/>
  <c r="F208" i="13" s="1"/>
  <c r="G208" i="13"/>
  <c r="G891" i="13"/>
  <c r="G403" i="13"/>
  <c r="G668" i="13"/>
  <c r="G1029" i="13"/>
  <c r="G907" i="13"/>
  <c r="G855" i="13"/>
  <c r="G82" i="13"/>
  <c r="G878" i="13"/>
  <c r="G315" i="13"/>
  <c r="G587" i="13"/>
  <c r="G339" i="13"/>
  <c r="G299" i="13"/>
  <c r="G430" i="13"/>
  <c r="G666" i="13"/>
  <c r="G171" i="13"/>
  <c r="G180" i="13"/>
  <c r="G671" i="13"/>
  <c r="G567" i="13"/>
  <c r="G899" i="13"/>
  <c r="G298" i="13"/>
  <c r="G109" i="13"/>
  <c r="G652" i="13"/>
  <c r="G26" i="13"/>
  <c r="G549" i="13"/>
  <c r="G963" i="13"/>
  <c r="G149" i="13"/>
  <c r="G944" i="13"/>
  <c r="G786" i="13"/>
  <c r="G144" i="13"/>
  <c r="G580" i="13"/>
  <c r="H580" i="13" s="1"/>
  <c r="G9" i="10"/>
  <c r="H9" i="10"/>
  <c r="E9" i="10"/>
  <c r="D9" i="10"/>
  <c r="C9" i="10"/>
  <c r="K4" i="10"/>
  <c r="K3" i="10"/>
  <c r="G4" i="10"/>
  <c r="G3" i="10"/>
  <c r="C4" i="10"/>
  <c r="C3" i="10"/>
  <c r="O8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S7" i="6"/>
  <c r="H10" i="10" s="1"/>
  <c r="R7" i="6"/>
  <c r="G10" i="10" s="1"/>
  <c r="V11" i="6"/>
  <c r="V10" i="6"/>
  <c r="V9" i="6"/>
  <c r="V8" i="6"/>
  <c r="V7" i="6"/>
  <c r="V6" i="6"/>
  <c r="S6" i="6"/>
  <c r="H4" i="10" s="1"/>
  <c r="F10" i="10" s="1"/>
  <c r="R6" i="6"/>
  <c r="H3" i="10" s="1"/>
  <c r="V5" i="6"/>
  <c r="S5" i="6"/>
  <c r="D4" i="10" s="1"/>
  <c r="D10" i="10" s="1"/>
  <c r="R5" i="6"/>
  <c r="D3" i="10" s="1"/>
  <c r="C10" i="10" s="1"/>
  <c r="P6" i="2"/>
  <c r="O6" i="2"/>
  <c r="R4" i="6"/>
  <c r="H247" i="13" l="1"/>
  <c r="H134" i="13"/>
  <c r="H682" i="13"/>
  <c r="H44" i="13"/>
  <c r="H503" i="13"/>
  <c r="H886" i="13"/>
  <c r="H393" i="13"/>
  <c r="H482" i="13"/>
  <c r="H455" i="13"/>
  <c r="H160" i="13"/>
  <c r="H656" i="13"/>
  <c r="H441" i="13"/>
  <c r="H547" i="13"/>
  <c r="H412" i="13"/>
  <c r="H715" i="13"/>
  <c r="H149" i="13"/>
  <c r="H587" i="13"/>
  <c r="H403" i="13"/>
  <c r="H548" i="13"/>
  <c r="H114" i="13"/>
  <c r="H194" i="13"/>
  <c r="H287" i="13"/>
  <c r="H71" i="13"/>
  <c r="H1013" i="13"/>
  <c r="H39" i="13"/>
  <c r="H732" i="13"/>
  <c r="H769" i="13"/>
  <c r="H773" i="13"/>
  <c r="H56" i="13"/>
  <c r="H567" i="13"/>
  <c r="H464" i="13"/>
  <c r="H753" i="13"/>
  <c r="H559" i="13"/>
  <c r="H398" i="13"/>
  <c r="H459" i="13"/>
  <c r="H964" i="13"/>
  <c r="H743" i="13"/>
  <c r="H54" i="13"/>
  <c r="H713" i="13"/>
  <c r="H729" i="13"/>
  <c r="H889" i="13"/>
  <c r="H565" i="13"/>
  <c r="H690" i="13"/>
  <c r="H333" i="13"/>
  <c r="H839" i="13"/>
  <c r="H1006" i="13"/>
  <c r="H598" i="13"/>
  <c r="H980" i="13"/>
  <c r="H1026" i="13"/>
  <c r="H96" i="13"/>
  <c r="H445" i="13"/>
  <c r="H951" i="13"/>
  <c r="H212" i="13"/>
  <c r="H240" i="13"/>
  <c r="H632" i="13"/>
  <c r="H664" i="13"/>
  <c r="H46" i="13"/>
  <c r="H360" i="13"/>
  <c r="H734" i="13"/>
  <c r="H892" i="13"/>
  <c r="H537" i="13"/>
  <c r="H541" i="13"/>
  <c r="H89" i="13"/>
  <c r="H382" i="13"/>
  <c r="H744" i="13"/>
  <c r="H198" i="13"/>
  <c r="H3" i="13"/>
  <c r="H26" i="13"/>
  <c r="H171" i="13"/>
  <c r="H82" i="13"/>
  <c r="H650" i="13"/>
  <c r="H703" i="13"/>
  <c r="H536" i="13"/>
  <c r="H638" i="13"/>
  <c r="H660" i="13"/>
  <c r="H437" i="13"/>
  <c r="H641" i="13"/>
  <c r="H246" i="13"/>
  <c r="H1033" i="13"/>
  <c r="H67" i="13"/>
  <c r="H18" i="13"/>
  <c r="H532" i="13"/>
  <c r="H652" i="13"/>
  <c r="H666" i="13"/>
  <c r="H855" i="13"/>
  <c r="H539" i="13"/>
  <c r="H395" i="13"/>
  <c r="H783" i="13"/>
  <c r="H14" i="13"/>
  <c r="H977" i="13"/>
  <c r="H452" i="13"/>
  <c r="H1030" i="13"/>
  <c r="H535" i="13"/>
  <c r="H883" i="13"/>
  <c r="H829" i="13"/>
  <c r="H424" i="13"/>
  <c r="H622" i="13"/>
  <c r="H550" i="13"/>
  <c r="H367" i="13"/>
  <c r="H900" i="13"/>
  <c r="H167" i="13"/>
  <c r="H329" i="13"/>
  <c r="H6" i="13"/>
  <c r="H728" i="13"/>
  <c r="H83" i="13"/>
  <c r="H115" i="13"/>
  <c r="H361" i="13"/>
  <c r="H471" i="13"/>
  <c r="H995" i="13"/>
  <c r="H220" i="13"/>
  <c r="H465" i="13"/>
  <c r="H294" i="13"/>
  <c r="H442" i="13"/>
  <c r="H368" i="13"/>
  <c r="H934" i="13"/>
  <c r="H1022" i="13"/>
  <c r="H958" i="13"/>
  <c r="H101" i="13"/>
  <c r="H322" i="13"/>
  <c r="H413" i="13"/>
  <c r="H899" i="13"/>
  <c r="H639" i="13"/>
  <c r="H831" i="13"/>
  <c r="H431" i="13"/>
  <c r="H813" i="13"/>
  <c r="H24" i="13"/>
  <c r="H84" i="13"/>
  <c r="H92" i="13"/>
  <c r="H97" i="13"/>
  <c r="H588" i="13"/>
  <c r="H844" i="13"/>
  <c r="H346" i="13"/>
  <c r="H589" i="13"/>
  <c r="H841" i="13"/>
  <c r="H50" i="13"/>
  <c r="H8" i="13"/>
  <c r="H472" i="13"/>
  <c r="H317" i="13"/>
  <c r="H57" i="13"/>
  <c r="H154" i="13"/>
  <c r="H976" i="13"/>
  <c r="H794" i="13"/>
  <c r="H710" i="13"/>
  <c r="H358" i="13"/>
  <c r="H23" i="13"/>
  <c r="H538" i="13"/>
  <c r="H320" i="13"/>
  <c r="H843" i="13"/>
  <c r="H603" i="13"/>
  <c r="H836" i="13"/>
  <c r="H731" i="13"/>
  <c r="H810" i="13"/>
  <c r="H309" i="13"/>
  <c r="H345" i="13"/>
  <c r="H526" i="13"/>
  <c r="H113" i="13"/>
  <c r="H944" i="13"/>
  <c r="H339" i="13"/>
  <c r="H493" i="13"/>
  <c r="H182" i="13"/>
  <c r="H789" i="13"/>
  <c r="H777" i="13"/>
  <c r="H112" i="13"/>
  <c r="H117" i="13"/>
  <c r="H1031" i="13"/>
  <c r="H721" i="13"/>
  <c r="H28" i="13"/>
  <c r="H716" i="13"/>
  <c r="H1021" i="13"/>
  <c r="H637" i="13"/>
  <c r="H387" i="13"/>
  <c r="H711" i="13"/>
  <c r="H696" i="13"/>
  <c r="H805" i="13"/>
  <c r="H877" i="13"/>
  <c r="H344" i="13"/>
  <c r="H190" i="13"/>
  <c r="H490" i="13"/>
  <c r="H310" i="13"/>
  <c r="H4" i="13"/>
  <c r="H830" i="13"/>
  <c r="H61" i="13"/>
  <c r="H9" i="13"/>
  <c r="H35" i="13"/>
  <c r="H611" i="13"/>
  <c r="H131" i="13"/>
  <c r="H724" i="13"/>
  <c r="E1007" i="13"/>
  <c r="F1007" i="13" s="1"/>
  <c r="H1007" i="13" s="1"/>
  <c r="H527" i="13"/>
  <c r="H717" i="13"/>
  <c r="H678" i="13"/>
  <c r="H177" i="13"/>
  <c r="H292" i="13"/>
  <c r="H643" i="13"/>
  <c r="H674" i="13"/>
  <c r="H775" i="13"/>
  <c r="H972" i="13"/>
  <c r="H750" i="13"/>
  <c r="H123" i="13"/>
  <c r="H870" i="13"/>
  <c r="H151" i="13"/>
  <c r="H525" i="13"/>
  <c r="H820" i="13"/>
  <c r="H1004" i="13"/>
  <c r="H420" i="13"/>
  <c r="H73" i="13"/>
  <c r="H499" i="13"/>
  <c r="H890" i="13"/>
  <c r="H59" i="13"/>
  <c r="H1018" i="13"/>
  <c r="H168" i="13"/>
  <c r="E569" i="13"/>
  <c r="F569" i="13" s="1"/>
  <c r="H569" i="13" s="1"/>
  <c r="E454" i="13"/>
  <c r="F454" i="13" s="1"/>
  <c r="H454" i="13" s="1"/>
  <c r="H1017" i="13"/>
  <c r="H32" i="13"/>
  <c r="H383" i="13"/>
  <c r="H860" i="13"/>
  <c r="H752" i="13"/>
  <c r="H528" i="13"/>
  <c r="H718" i="13"/>
  <c r="H256" i="13"/>
  <c r="H417" i="13"/>
  <c r="H629" i="13"/>
  <c r="H979" i="13"/>
  <c r="H38" i="13"/>
  <c r="H181" i="13"/>
  <c r="H610" i="13"/>
  <c r="H670" i="13"/>
  <c r="H348" i="13"/>
  <c r="H668" i="13"/>
  <c r="E343" i="13"/>
  <c r="F343" i="13" s="1"/>
  <c r="H343" i="13" s="1"/>
  <c r="E202" i="13"/>
  <c r="F202" i="13" s="1"/>
  <c r="H202" i="13" s="1"/>
  <c r="H879" i="13"/>
  <c r="E62" i="13"/>
  <c r="F62" i="13" s="1"/>
  <c r="H62" i="13" s="1"/>
  <c r="H312" i="13"/>
  <c r="E828" i="13"/>
  <c r="F828" i="13" s="1"/>
  <c r="H828" i="13" s="1"/>
  <c r="H381" i="13"/>
  <c r="H596" i="13"/>
  <c r="H350" i="13"/>
  <c r="E326" i="13"/>
  <c r="F326" i="13" s="1"/>
  <c r="H326" i="13" s="1"/>
  <c r="H477" i="13"/>
  <c r="H1009" i="13"/>
  <c r="H179" i="13"/>
  <c r="H183" i="13"/>
  <c r="H498" i="13"/>
  <c r="H204" i="13"/>
  <c r="H954" i="13"/>
  <c r="H169" i="13"/>
  <c r="H319" i="13"/>
  <c r="H800" i="13"/>
  <c r="H765" i="13"/>
  <c r="H771" i="13"/>
  <c r="H760" i="13"/>
  <c r="H93" i="13"/>
  <c r="H226" i="13"/>
  <c r="H516" i="13"/>
  <c r="H1016" i="13"/>
  <c r="H269" i="13"/>
  <c r="H912" i="13"/>
  <c r="H415" i="13"/>
  <c r="H774" i="13"/>
  <c r="H327" i="13"/>
  <c r="H821" i="13"/>
  <c r="H902" i="13"/>
  <c r="H495" i="13"/>
  <c r="H60" i="13"/>
  <c r="H707" i="13"/>
  <c r="H270" i="13"/>
  <c r="H847" i="13"/>
  <c r="H586" i="13"/>
  <c r="H573" i="13"/>
  <c r="H474" i="13"/>
  <c r="H162" i="13"/>
  <c r="H133" i="13"/>
  <c r="H515" i="13"/>
  <c r="H939" i="13"/>
  <c r="H178" i="13"/>
  <c r="H818" i="13"/>
  <c r="H404" i="13"/>
  <c r="H75" i="13"/>
  <c r="H391" i="13"/>
  <c r="H570" i="13"/>
  <c r="H592" i="13"/>
  <c r="H578" i="13"/>
  <c r="H530" i="13"/>
  <c r="H448" i="13"/>
  <c r="H438" i="13"/>
  <c r="H993" i="13"/>
  <c r="H647" i="13"/>
  <c r="H757" i="13"/>
  <c r="H164" i="13"/>
  <c r="H884" i="13"/>
  <c r="H207" i="13"/>
  <c r="H994" i="13"/>
  <c r="H952" i="13"/>
  <c r="H255" i="13"/>
  <c r="H469" i="13"/>
  <c r="H612" i="13"/>
  <c r="H943" i="13"/>
  <c r="H712" i="13"/>
  <c r="H648" i="13"/>
  <c r="H957" i="13"/>
  <c r="H697" i="13"/>
  <c r="H579" i="13"/>
  <c r="H606" i="13"/>
  <c r="H188" i="13"/>
  <c r="H189" i="13"/>
  <c r="H553" i="13"/>
  <c r="H349" i="13"/>
  <c r="H130" i="13"/>
  <c r="H295" i="13"/>
  <c r="H962" i="13"/>
  <c r="H867" i="13"/>
  <c r="H447" i="13"/>
  <c r="H286" i="13"/>
  <c r="H871" i="13"/>
  <c r="H446" i="13"/>
  <c r="H323" i="13"/>
  <c r="H166" i="13"/>
  <c r="H893" i="13"/>
  <c r="H36" i="13"/>
  <c r="H720" i="13"/>
  <c r="H920" i="13"/>
  <c r="H386" i="13"/>
  <c r="H301" i="13"/>
  <c r="H621" i="13"/>
  <c r="H314" i="13"/>
  <c r="H739" i="13"/>
  <c r="H98" i="13"/>
  <c r="H880" i="13"/>
  <c r="H811" i="13"/>
  <c r="H197" i="13"/>
  <c r="H245" i="13"/>
  <c r="H2" i="13"/>
  <c r="H156" i="13"/>
  <c r="H607" i="13"/>
  <c r="H296" i="13"/>
  <c r="H798" i="13"/>
  <c r="H155" i="13"/>
  <c r="H274" i="13"/>
  <c r="H158" i="13"/>
  <c r="H37" i="13"/>
  <c r="H491" i="13"/>
  <c r="H170" i="13"/>
  <c r="H523" i="13"/>
  <c r="H152" i="13"/>
  <c r="H533" i="13"/>
  <c r="H865" i="13"/>
  <c r="H913" i="13"/>
  <c r="H351" i="13"/>
  <c r="H681" i="13"/>
  <c r="H945" i="13"/>
  <c r="H723" i="13"/>
  <c r="H636" i="13"/>
  <c r="H313" i="13"/>
  <c r="H479" i="13"/>
  <c r="H513" i="13"/>
  <c r="H95" i="13"/>
  <c r="H998" i="13"/>
  <c r="H702" i="13"/>
  <c r="H258" i="13"/>
  <c r="H425" i="13"/>
  <c r="H857" i="13"/>
  <c r="H873" i="13"/>
  <c r="H985" i="13"/>
  <c r="H488" i="13"/>
  <c r="H780" i="13"/>
  <c r="H449" i="13"/>
  <c r="H882" i="13"/>
  <c r="H486" i="13"/>
  <c r="H762" i="13"/>
  <c r="H688" i="13"/>
  <c r="H534" i="13"/>
  <c r="H594" i="13"/>
  <c r="H20" i="13"/>
  <c r="H924" i="13"/>
  <c r="H819" i="13"/>
  <c r="H508" i="13"/>
  <c r="H806" i="13"/>
  <c r="H157" i="13"/>
  <c r="H305" i="13"/>
  <c r="H174" i="13"/>
  <c r="H25" i="13"/>
  <c r="H272" i="13"/>
  <c r="H334" i="13"/>
  <c r="H849" i="13"/>
  <c r="H377" i="13"/>
  <c r="H279" i="13"/>
  <c r="H593" i="13"/>
  <c r="H365" i="13"/>
  <c r="H799" i="13"/>
  <c r="H699" i="13"/>
  <c r="H551" i="13"/>
  <c r="H199" i="13"/>
  <c r="H646" i="13"/>
  <c r="H947" i="13"/>
  <c r="H727" i="13"/>
  <c r="H63" i="13"/>
  <c r="H766" i="13"/>
  <c r="H566" i="13"/>
  <c r="H408" i="13"/>
  <c r="H965" i="13"/>
  <c r="H399" i="13"/>
  <c r="H284" i="13"/>
  <c r="H929" i="13"/>
  <c r="H931" i="13"/>
  <c r="H288" i="13"/>
  <c r="H141" i="13"/>
  <c r="H826" i="13"/>
  <c r="H501" i="13"/>
  <c r="H684" i="13"/>
  <c r="H960" i="13"/>
  <c r="H325" i="13"/>
  <c r="H233" i="13"/>
  <c r="H625" i="13"/>
  <c r="H453" i="13"/>
  <c r="H802" i="13"/>
  <c r="H1019" i="13"/>
  <c r="H601" i="13"/>
  <c r="H514" i="13"/>
  <c r="H986" i="13"/>
  <c r="H701" i="13"/>
  <c r="H433" i="13"/>
  <c r="H554" i="13"/>
  <c r="H65" i="13"/>
  <c r="H275" i="13"/>
  <c r="H649" i="13"/>
  <c r="H210" i="13"/>
  <c r="H180" i="13"/>
  <c r="H613" i="13"/>
  <c r="H104" i="13"/>
  <c r="H273" i="13"/>
  <c r="H609" i="13"/>
  <c r="H311" i="13"/>
  <c r="H196" i="13"/>
  <c r="H461" i="13"/>
  <c r="H669" i="13"/>
  <c r="H492" i="13"/>
  <c r="H1010" i="13"/>
  <c r="H996" i="13"/>
  <c r="H988" i="13"/>
  <c r="H518" i="13"/>
  <c r="H30" i="13"/>
  <c r="H605" i="13"/>
  <c r="H352" i="13"/>
  <c r="H87" i="13"/>
  <c r="H369" i="13"/>
  <c r="H285" i="13"/>
  <c r="H467" i="13"/>
  <c r="H33" i="13"/>
  <c r="H704" i="13"/>
  <c r="H659" i="13"/>
  <c r="H558" i="13"/>
  <c r="H52" i="13"/>
  <c r="H740" i="13"/>
  <c r="H925" i="13"/>
  <c r="H271" i="13"/>
  <c r="H139" i="13"/>
  <c r="H692" i="13"/>
  <c r="H781" i="13"/>
  <c r="H705" i="13"/>
  <c r="H397" i="13"/>
  <c r="H225" i="13"/>
  <c r="H315" i="13"/>
  <c r="H741" i="13"/>
  <c r="H1001" i="13"/>
  <c r="H121" i="13"/>
  <c r="E248" i="13"/>
  <c r="F248" i="13" s="1"/>
  <c r="H248" i="13" s="1"/>
  <c r="H936" i="13"/>
  <c r="H359" i="13"/>
  <c r="H725" i="13"/>
  <c r="H909" i="13"/>
  <c r="H1032" i="13"/>
  <c r="H392" i="13"/>
  <c r="H502" i="13"/>
  <c r="H505" i="13"/>
  <c r="H655" i="13"/>
  <c r="H280" i="13"/>
  <c r="H236" i="13"/>
  <c r="H379" i="13"/>
  <c r="H970" i="13"/>
  <c r="H772" i="13"/>
  <c r="H676" i="13"/>
  <c r="H254" i="13"/>
  <c r="H153" i="13"/>
  <c r="H22" i="13"/>
  <c r="H898" i="13"/>
  <c r="H79" i="13"/>
  <c r="H737" i="13"/>
  <c r="H904" i="13"/>
  <c r="H11" i="13"/>
  <c r="H793" i="13"/>
  <c r="H577" i="13"/>
  <c r="H700" i="13"/>
  <c r="H671" i="13"/>
  <c r="H1029" i="13"/>
  <c r="H862" i="13"/>
  <c r="H394" i="13"/>
  <c r="H253" i="13"/>
  <c r="H817" i="13"/>
  <c r="H69" i="13"/>
  <c r="H216" i="13"/>
  <c r="H921" i="13"/>
  <c r="H524" i="13"/>
  <c r="H1000" i="13"/>
  <c r="H353" i="13"/>
  <c r="H987" i="13"/>
  <c r="H642" i="13"/>
  <c r="H571" i="13"/>
  <c r="H905" i="13"/>
  <c r="H816" i="13"/>
  <c r="H1014" i="13"/>
  <c r="H421" i="13"/>
  <c r="H85" i="13"/>
  <c r="H118" i="13"/>
  <c r="H1005" i="13"/>
  <c r="E1027" i="13"/>
  <c r="F1027" i="13" s="1"/>
  <c r="H1027" i="13" s="1"/>
  <c r="H546" i="13"/>
  <c r="H70" i="13"/>
  <c r="H961" i="13"/>
  <c r="H219" i="13"/>
  <c r="H803" i="13"/>
  <c r="H283" i="13"/>
  <c r="H506" i="13"/>
  <c r="H244" i="13"/>
  <c r="H507" i="13"/>
  <c r="H21" i="13"/>
  <c r="H599" i="13"/>
  <c r="H476" i="13"/>
  <c r="H999" i="13"/>
  <c r="H785" i="13"/>
  <c r="H221" i="13"/>
  <c r="H941" i="13"/>
  <c r="H238" i="13"/>
  <c r="H234" i="13"/>
  <c r="H955" i="13"/>
  <c r="H973" i="13"/>
  <c r="H742" i="13"/>
  <c r="H990" i="13"/>
  <c r="H591" i="13"/>
  <c r="H31" i="13"/>
  <c r="H679" i="13"/>
  <c r="H667" i="13"/>
  <c r="H303" i="13"/>
  <c r="H300" i="13"/>
  <c r="H869" i="13"/>
  <c r="H252" i="13"/>
  <c r="H619" i="13"/>
  <c r="H27" i="13"/>
  <c r="H677" i="13"/>
  <c r="H43" i="13"/>
  <c r="H483" i="13"/>
  <c r="H631" i="13"/>
  <c r="H815" i="13"/>
  <c r="H984" i="13"/>
  <c r="H930" i="13"/>
  <c r="H582" i="13"/>
  <c r="H111" i="13"/>
  <c r="H922" i="13"/>
  <c r="H768" i="13"/>
  <c r="H823" i="13"/>
  <c r="H228" i="13"/>
  <c r="H956" i="13"/>
  <c r="H584" i="13"/>
  <c r="H807" i="13"/>
  <c r="H730" i="13"/>
  <c r="H978" i="13"/>
  <c r="H1025" i="13"/>
  <c r="H470" i="13"/>
  <c r="H694" i="13"/>
  <c r="H249" i="13"/>
  <c r="H100" i="13"/>
  <c r="H120" i="13"/>
  <c r="H355" i="13"/>
  <c r="H597" i="13"/>
  <c r="H764" i="13"/>
  <c r="H242" i="13"/>
  <c r="H608" i="13"/>
  <c r="H316" i="13"/>
  <c r="H989" i="13"/>
  <c r="H982" i="13"/>
  <c r="H140" i="13"/>
  <c r="H494" i="13"/>
  <c r="H78" i="13"/>
  <c r="H193" i="13"/>
  <c r="H698" i="13"/>
  <c r="H557" i="13"/>
  <c r="H918" i="13"/>
  <c r="H991" i="13"/>
  <c r="H832" i="13"/>
  <c r="H748" i="13"/>
  <c r="H804" i="13"/>
  <c r="H282" i="13"/>
  <c r="H384" i="13"/>
  <c r="H276" i="13"/>
  <c r="H264" i="13"/>
  <c r="H347" i="13"/>
  <c r="H278" i="13"/>
  <c r="H969" i="13"/>
  <c r="H583" i="13"/>
  <c r="H109" i="13"/>
  <c r="H878" i="13"/>
  <c r="H687" i="13"/>
  <c r="H222" i="13"/>
  <c r="H858" i="13"/>
  <c r="H983" i="13"/>
  <c r="H64" i="13"/>
  <c r="H126" i="13"/>
  <c r="H268" i="13"/>
  <c r="H378" i="13"/>
  <c r="H290" i="13"/>
  <c r="H434" i="13"/>
  <c r="H209" i="13"/>
  <c r="H159" i="13"/>
  <c r="H778" i="13"/>
  <c r="H205" i="13"/>
  <c r="H624" i="13"/>
  <c r="H779" i="13"/>
  <c r="H850" i="13"/>
  <c r="H293" i="13"/>
  <c r="H16" i="13"/>
  <c r="H366" i="13"/>
  <c r="H628" i="13"/>
  <c r="H520" i="13"/>
  <c r="H176" i="13"/>
  <c r="H733" i="13"/>
  <c r="H894" i="13"/>
  <c r="H846" i="13"/>
  <c r="H74" i="13"/>
  <c r="H975" i="13"/>
  <c r="H745" i="13"/>
  <c r="H814" i="13"/>
  <c r="H555" i="13"/>
  <c r="H105" i="13"/>
  <c r="H341" i="13"/>
  <c r="H895" i="13"/>
  <c r="H41" i="13"/>
  <c r="H462" i="13"/>
  <c r="H755" i="13"/>
  <c r="H81" i="13"/>
  <c r="H950" i="13"/>
  <c r="H672" i="13"/>
  <c r="H86" i="13"/>
  <c r="H790" i="13"/>
  <c r="H260" i="13"/>
  <c r="H827" i="13"/>
  <c r="H144" i="13"/>
  <c r="H529" i="13"/>
  <c r="H362" i="13"/>
  <c r="H458" i="13"/>
  <c r="H230" i="13"/>
  <c r="H786" i="13"/>
  <c r="H881" i="13"/>
  <c r="H218" i="13"/>
  <c r="H389" i="13"/>
  <c r="H600" i="13"/>
  <c r="H243" i="13"/>
  <c r="H250" i="13"/>
  <c r="H897" i="13"/>
  <c r="H336" i="13"/>
  <c r="H405" i="13"/>
  <c r="H356" i="13"/>
  <c r="H864" i="13"/>
  <c r="H257" i="13"/>
  <c r="H808" i="13"/>
  <c r="H267" i="13"/>
  <c r="H145" i="13"/>
  <c r="H651" i="13"/>
  <c r="H49" i="13"/>
  <c r="H337" i="13"/>
  <c r="H241" i="13"/>
  <c r="H119" i="13"/>
  <c r="H227" i="13"/>
  <c r="H875" i="13"/>
  <c r="H722" i="13"/>
  <c r="H68" i="13"/>
  <c r="H645" i="13"/>
  <c r="H618" i="13"/>
  <c r="H426" i="13"/>
  <c r="H376" i="13"/>
  <c r="H357" i="13"/>
  <c r="H103" i="13"/>
  <c r="H340" i="13"/>
  <c r="H138" i="13"/>
  <c r="H55" i="13"/>
  <c r="H615" i="13"/>
  <c r="H435" i="13"/>
  <c r="H556" i="13"/>
  <c r="H754" i="13"/>
  <c r="H937" i="13"/>
  <c r="H206" i="13"/>
  <c r="H370" i="13"/>
  <c r="H13" i="13"/>
  <c r="H429" i="13"/>
  <c r="H143" i="13"/>
  <c r="H633" i="13"/>
  <c r="H457" i="13"/>
  <c r="H224" i="13"/>
  <c r="H953" i="13"/>
  <c r="H949" i="13"/>
  <c r="H787" i="13"/>
  <c r="H128" i="13"/>
  <c r="H298" i="13"/>
  <c r="H891" i="13"/>
  <c r="H354" i="13"/>
  <c r="H127" i="13"/>
  <c r="H110" i="13"/>
  <c r="H644" i="13"/>
  <c r="H385" i="13"/>
  <c r="H544" i="13"/>
  <c r="H401" i="13"/>
  <c r="H380" i="13"/>
  <c r="H848" i="13"/>
  <c r="H868" i="13"/>
  <c r="H966" i="13"/>
  <c r="H552" i="13"/>
  <c r="H29" i="13"/>
  <c r="H876" i="13"/>
  <c r="H719" i="13"/>
  <c r="H665" i="13"/>
  <c r="E324" i="13"/>
  <c r="F324" i="13" s="1"/>
  <c r="H324" i="13" s="1"/>
  <c r="E545" i="13"/>
  <c r="F545" i="13" s="1"/>
  <c r="H545" i="13" s="1"/>
  <c r="H161" i="13"/>
  <c r="H635" i="13"/>
  <c r="H866" i="13"/>
  <c r="H842" i="13"/>
  <c r="H840" i="13"/>
  <c r="H1028" i="13"/>
  <c r="H657" i="13"/>
  <c r="H543" i="13"/>
  <c r="H1011" i="13"/>
  <c r="H576" i="13"/>
  <c r="H364" i="13"/>
  <c r="H519" i="13"/>
  <c r="H229" i="13"/>
  <c r="H746" i="13"/>
  <c r="H581" i="13"/>
  <c r="H914" i="13"/>
  <c r="H484" i="13"/>
  <c r="H262" i="13"/>
  <c r="H165" i="13"/>
  <c r="H478" i="13"/>
  <c r="H845" i="13"/>
  <c r="H137" i="13"/>
  <c r="H1023" i="13"/>
  <c r="H414" i="13"/>
  <c r="H602" i="13"/>
  <c r="H436" i="13"/>
  <c r="H451" i="13"/>
  <c r="H363" i="13"/>
  <c r="H776" i="13"/>
  <c r="H919" i="13"/>
  <c r="H307" i="13"/>
  <c r="E595" i="13"/>
  <c r="F595" i="13" s="1"/>
  <c r="H595" i="13" s="1"/>
  <c r="E211" i="13"/>
  <c r="F211" i="13" s="1"/>
  <c r="H211" i="13" s="1"/>
  <c r="H191" i="13"/>
  <c r="H47" i="13"/>
  <c r="H1015" i="13"/>
  <c r="H439" i="13"/>
  <c r="H184" i="13"/>
  <c r="H617" i="13"/>
  <c r="H496" i="13"/>
  <c r="H833" i="13"/>
  <c r="H450" i="13"/>
  <c r="H129" i="13"/>
  <c r="H342" i="13"/>
  <c r="H915" i="13"/>
  <c r="H443" i="13"/>
  <c r="H971" i="13"/>
  <c r="H122" i="13"/>
  <c r="H616" i="13"/>
  <c r="H888" i="13"/>
  <c r="H812" i="13"/>
  <c r="H540" i="13"/>
  <c r="H430" i="13"/>
  <c r="H1003" i="13"/>
  <c r="H942" i="13"/>
  <c r="H658" i="13"/>
  <c r="H281" i="13"/>
  <c r="H235" i="13"/>
  <c r="H838" i="13"/>
  <c r="H10" i="13"/>
  <c r="H77" i="13"/>
  <c r="H885" i="13"/>
  <c r="H872" i="13"/>
  <c r="H759" i="13"/>
  <c r="H42" i="13"/>
  <c r="H797" i="13"/>
  <c r="H409" i="13"/>
  <c r="H693" i="13"/>
  <c r="H822" i="13"/>
  <c r="H463" i="13"/>
  <c r="H695" i="13"/>
  <c r="H217" i="13"/>
  <c r="H213" i="13"/>
  <c r="H614" i="13"/>
  <c r="H630" i="13"/>
  <c r="H419" i="13"/>
  <c r="H481" i="13"/>
  <c r="H375" i="13"/>
  <c r="H504" i="13"/>
  <c r="H58" i="13"/>
  <c r="H1020" i="13"/>
  <c r="H726" i="13"/>
  <c r="H758" i="13"/>
  <c r="H572" i="13"/>
  <c r="H640" i="13"/>
  <c r="H968" i="13"/>
  <c r="H203" i="13"/>
  <c r="H854" i="13"/>
  <c r="H116" i="13"/>
  <c r="H946" i="13"/>
  <c r="H683" i="13"/>
  <c r="H51" i="13"/>
  <c r="H791" i="13"/>
  <c r="H338" i="13"/>
  <c r="H297" i="13"/>
  <c r="E132" i="13"/>
  <c r="F132" i="13" s="1"/>
  <c r="H132" i="13" s="1"/>
  <c r="H903" i="13"/>
  <c r="H263" i="13"/>
  <c r="H908" i="13"/>
  <c r="H837" i="13"/>
  <c r="H125" i="13"/>
  <c r="H473" i="13"/>
  <c r="H475" i="13"/>
  <c r="H585" i="13"/>
  <c r="H521" i="13"/>
  <c r="H90" i="13"/>
  <c r="H66" i="13"/>
  <c r="H634" i="13"/>
  <c r="H40" i="13"/>
  <c r="H163" i="13"/>
  <c r="H935" i="13"/>
  <c r="H423" i="13"/>
  <c r="H1002" i="13"/>
  <c r="H88" i="13"/>
  <c r="H53" i="13"/>
  <c r="H208" i="13"/>
  <c r="H48" i="13"/>
  <c r="E460" i="13"/>
  <c r="F460" i="13" s="1"/>
  <c r="H460" i="13" s="1"/>
  <c r="H146" i="13"/>
  <c r="H626" i="13"/>
  <c r="H560" i="13"/>
  <c r="H291" i="13"/>
  <c r="H80" i="13"/>
  <c r="H418" i="13"/>
  <c r="H928" i="13"/>
  <c r="H916" i="13"/>
  <c r="H706" i="13"/>
  <c r="H856" i="13"/>
  <c r="H185" i="13"/>
  <c r="H522" i="13"/>
  <c r="E686" i="13"/>
  <c r="F686" i="13" s="1"/>
  <c r="H686" i="13" s="1"/>
  <c r="H150" i="13"/>
  <c r="H661" i="13"/>
  <c r="H335" i="13"/>
  <c r="H1024" i="13"/>
  <c r="H751" i="13"/>
  <c r="H709" i="13"/>
  <c r="H328" i="13"/>
  <c r="H373" i="13"/>
  <c r="H136" i="13"/>
  <c r="H531" i="13"/>
  <c r="H390" i="13"/>
  <c r="H289" i="13"/>
  <c r="H201" i="13"/>
  <c r="H927" i="13"/>
  <c r="H485" i="13"/>
  <c r="H489" i="13"/>
  <c r="H653" i="13"/>
  <c r="H427" i="13"/>
  <c r="H302" i="13"/>
  <c r="H45" i="13"/>
  <c r="H963" i="13"/>
  <c r="H299" i="13"/>
  <c r="H974" i="13"/>
  <c r="H186" i="13"/>
  <c r="H124" i="13"/>
  <c r="H444" i="13"/>
  <c r="H938" i="13"/>
  <c r="H654" i="13"/>
  <c r="H901" i="13"/>
  <c r="H410" i="13"/>
  <c r="H689" i="13"/>
  <c r="H517" i="13"/>
  <c r="H396" i="13"/>
  <c r="H747" i="13"/>
  <c r="H673" i="13"/>
  <c r="H371" i="13"/>
  <c r="H400" i="13"/>
  <c r="H422" i="13"/>
  <c r="H967" i="13"/>
  <c r="H761" i="13"/>
  <c r="H15" i="13"/>
  <c r="H863" i="13"/>
  <c r="H214" i="13"/>
  <c r="H680" i="13"/>
  <c r="H432" i="13"/>
  <c r="H510" i="13"/>
  <c r="H948" i="13"/>
  <c r="H318" i="13"/>
  <c r="H940" i="13"/>
  <c r="H767" i="13"/>
  <c r="H388" i="13"/>
  <c r="H192" i="13"/>
  <c r="H259" i="13"/>
  <c r="H574" i="13"/>
  <c r="H72" i="13"/>
  <c r="H187" i="13"/>
  <c r="H874" i="13"/>
  <c r="H411" i="13"/>
  <c r="H251" i="13"/>
  <c r="H509" i="13"/>
  <c r="H511" i="13"/>
  <c r="H416" i="13"/>
  <c r="H926" i="13"/>
  <c r="H200" i="13"/>
  <c r="H736" i="13"/>
  <c r="H402" i="13"/>
  <c r="H685" i="13"/>
  <c r="H756" i="13"/>
  <c r="H782" i="13"/>
  <c r="H691" i="13"/>
  <c r="H738" i="13"/>
  <c r="H564" i="13"/>
  <c r="H106" i="13"/>
  <c r="H12" i="13"/>
  <c r="H784" i="13"/>
  <c r="H770" i="13"/>
  <c r="H266" i="13"/>
  <c r="H561" i="13"/>
  <c r="H440" i="13"/>
  <c r="H675" i="13"/>
  <c r="H265" i="13"/>
  <c r="H590" i="13"/>
  <c r="H623" i="13"/>
  <c r="H834" i="13"/>
  <c r="H94" i="13"/>
  <c r="H796" i="13"/>
  <c r="H911" i="13"/>
  <c r="H135" i="13"/>
  <c r="H406" i="13"/>
  <c r="E172" i="13"/>
  <c r="F172" i="13" s="1"/>
  <c r="H172" i="13" s="1"/>
  <c r="E735" i="13"/>
  <c r="F735" i="13" s="1"/>
  <c r="H735" i="13" s="1"/>
  <c r="E662" i="13"/>
  <c r="F662" i="13" s="1"/>
  <c r="H662" i="13" s="1"/>
  <c r="E853" i="13"/>
  <c r="F853" i="13" s="1"/>
  <c r="H853" i="13" s="1"/>
  <c r="E102" i="13"/>
  <c r="F102" i="13" s="1"/>
  <c r="H102" i="13" s="1"/>
  <c r="E7" i="13"/>
  <c r="F7" i="13" s="1"/>
  <c r="H7" i="13" s="1"/>
  <c r="E663" i="13"/>
  <c r="F663" i="13" s="1"/>
  <c r="H663" i="13" s="1"/>
  <c r="E795" i="13"/>
  <c r="F795" i="13" s="1"/>
  <c r="H795" i="13" s="1"/>
  <c r="H175" i="13"/>
  <c r="H714" i="13"/>
  <c r="H906" i="13"/>
  <c r="H308" i="13"/>
  <c r="H195" i="13"/>
  <c r="H19" i="13"/>
  <c r="H173" i="13"/>
  <c r="H306" i="13"/>
  <c r="H788" i="13"/>
  <c r="H1012" i="13"/>
  <c r="H887" i="13"/>
  <c r="H851" i="13"/>
  <c r="H142" i="13"/>
  <c r="H147" i="13"/>
  <c r="H277" i="13"/>
  <c r="H261" i="13"/>
  <c r="H563" i="13"/>
  <c r="H910" i="13"/>
  <c r="H923" i="13"/>
  <c r="H549" i="13"/>
  <c r="H907" i="13"/>
  <c r="H801" i="13"/>
  <c r="H835" i="13"/>
  <c r="H107" i="13"/>
  <c r="H997" i="13"/>
  <c r="H304" i="13"/>
  <c r="H792" i="13"/>
  <c r="H332" i="13"/>
  <c r="H148" i="13"/>
  <c r="H627" i="13"/>
  <c r="H5" i="13"/>
  <c r="H749" i="13"/>
  <c r="H959" i="13"/>
  <c r="H763" i="13"/>
  <c r="H456" i="13"/>
  <c r="H500" i="13"/>
  <c r="H17" i="13"/>
  <c r="H223" i="13"/>
  <c r="H428" i="13"/>
  <c r="H861" i="13"/>
  <c r="H859" i="13"/>
  <c r="H231" i="13"/>
  <c r="H91" i="13"/>
  <c r="H562" i="13"/>
  <c r="H330" i="13"/>
  <c r="H215" i="13"/>
  <c r="H468" i="13"/>
  <c r="H981" i="13"/>
  <c r="H917" i="13"/>
  <c r="H825" i="13"/>
  <c r="H824" i="13"/>
  <c r="H34" i="13"/>
  <c r="H568" i="13"/>
  <c r="H239" i="13"/>
  <c r="H232" i="13"/>
  <c r="H512" i="13"/>
  <c r="H321" i="13"/>
  <c r="H480" i="13"/>
  <c r="H99" i="13"/>
  <c r="H620" i="13"/>
  <c r="H933" i="13"/>
  <c r="H331" i="13"/>
  <c r="H407" i="13"/>
  <c r="H497" i="13"/>
  <c r="H1008" i="13"/>
  <c r="H708" i="13"/>
  <c r="H852" i="13"/>
  <c r="E374" i="13"/>
  <c r="F374" i="13" s="1"/>
  <c r="H374" i="13" s="1"/>
  <c r="E896" i="13"/>
  <c r="F896" i="13" s="1"/>
  <c r="H896" i="13" s="1"/>
  <c r="E466" i="13"/>
  <c r="F466" i="13" s="1"/>
  <c r="H466" i="13" s="1"/>
  <c r="E932" i="13"/>
  <c r="F932" i="13" s="1"/>
  <c r="H932" i="13" s="1"/>
  <c r="E809" i="13"/>
  <c r="F809" i="13" s="1"/>
  <c r="H809" i="13" s="1"/>
  <c r="E76" i="13"/>
  <c r="F76" i="13" s="1"/>
  <c r="H76" i="13" s="1"/>
  <c r="E108" i="13"/>
  <c r="F108" i="13" s="1"/>
  <c r="H108" i="13" s="1"/>
  <c r="H372" i="13"/>
  <c r="H604" i="13"/>
  <c r="H575" i="13"/>
  <c r="H237" i="13"/>
  <c r="H992" i="13"/>
  <c r="H487" i="13"/>
  <c r="S8" i="6"/>
  <c r="R8" i="6"/>
  <c r="F9" i="10"/>
  <c r="E10" i="10"/>
  <c r="L3" i="10"/>
  <c r="L4" i="10"/>
  <c r="T7" i="6"/>
  <c r="T5" i="6"/>
  <c r="T6" i="6"/>
  <c r="T8" i="6" l="1"/>
  <c r="X12" i="6"/>
  <c r="X26" i="6"/>
  <c r="X28" i="6"/>
  <c r="X34" i="6"/>
  <c r="X36" i="6"/>
  <c r="X42" i="6"/>
  <c r="X44" i="6"/>
  <c r="X50" i="6"/>
  <c r="X52" i="6"/>
  <c r="X66" i="6"/>
  <c r="X76" i="6"/>
  <c r="X82" i="6"/>
  <c r="X84" i="6"/>
  <c r="X92" i="6"/>
  <c r="X98" i="6"/>
  <c r="X100" i="6"/>
  <c r="X108" i="6"/>
  <c r="X114" i="6"/>
  <c r="X116" i="6"/>
  <c r="X124" i="6"/>
  <c r="X130" i="6"/>
  <c r="X138" i="6"/>
  <c r="X140" i="6"/>
  <c r="X146" i="6"/>
  <c r="X154" i="6"/>
  <c r="X156" i="6"/>
  <c r="X158" i="6"/>
  <c r="X162" i="6"/>
  <c r="X170" i="6"/>
  <c r="X176" i="6"/>
  <c r="X177" i="6"/>
  <c r="X178" i="6"/>
  <c r="X188" i="6"/>
  <c r="X192" i="6"/>
  <c r="X193" i="6"/>
  <c r="X194" i="6"/>
  <c r="X198" i="6"/>
  <c r="X202" i="6"/>
  <c r="X204" i="6"/>
  <c r="Y10" i="6"/>
  <c r="Y12" i="6"/>
  <c r="Y18" i="6"/>
  <c r="Y20" i="6"/>
  <c r="Y32" i="6"/>
  <c r="Y34" i="6"/>
  <c r="Y36" i="6"/>
  <c r="Y48" i="6"/>
  <c r="Y49" i="6"/>
  <c r="Y50" i="6"/>
  <c r="Y52" i="6"/>
  <c r="Y58" i="6"/>
  <c r="Y60" i="6"/>
  <c r="Y68" i="6"/>
  <c r="Y74" i="6"/>
  <c r="Y82" i="6"/>
  <c r="Y88" i="6"/>
  <c r="Y89" i="6"/>
  <c r="Y90" i="6"/>
  <c r="Y98" i="6"/>
  <c r="Y100" i="6"/>
  <c r="Y106" i="6"/>
  <c r="Y110" i="6"/>
  <c r="Y114" i="6"/>
  <c r="Y116" i="6"/>
  <c r="Y122" i="6"/>
  <c r="Y128" i="6"/>
  <c r="Y129" i="6"/>
  <c r="Y130" i="6"/>
  <c r="Y132" i="6"/>
  <c r="Y134" i="6"/>
  <c r="Y136" i="6"/>
  <c r="Y137" i="6"/>
  <c r="Y138" i="6"/>
  <c r="Y139" i="6"/>
  <c r="Y140" i="6"/>
  <c r="Y142" i="6"/>
  <c r="Y144" i="6"/>
  <c r="Y148" i="6"/>
  <c r="Y152" i="6"/>
  <c r="Y153" i="6"/>
  <c r="Y154" i="6"/>
  <c r="Y155" i="6"/>
  <c r="Y156" i="6"/>
  <c r="Y164" i="6"/>
  <c r="Y168" i="6"/>
  <c r="Y169" i="6"/>
  <c r="Y170" i="6"/>
  <c r="Y172" i="6"/>
  <c r="Y174" i="6"/>
  <c r="Y178" i="6"/>
  <c r="Y180" i="6"/>
  <c r="Y182" i="6"/>
  <c r="Y184" i="6"/>
  <c r="Y186" i="6"/>
  <c r="Y192" i="6"/>
  <c r="Y194" i="6"/>
  <c r="Y196" i="6"/>
  <c r="Y200" i="6"/>
  <c r="Y202" i="6"/>
  <c r="Y204" i="6"/>
  <c r="X13" i="6"/>
  <c r="X21" i="6"/>
  <c r="X29" i="6"/>
  <c r="X37" i="6"/>
  <c r="X45" i="6"/>
  <c r="X53" i="6"/>
  <c r="X61" i="6"/>
  <c r="X69" i="6"/>
  <c r="X77" i="6"/>
  <c r="X85" i="6"/>
  <c r="X93" i="6"/>
  <c r="X101" i="6"/>
  <c r="X117" i="6"/>
  <c r="X125" i="6"/>
  <c r="X149" i="6"/>
  <c r="X157" i="6"/>
  <c r="X165" i="6"/>
  <c r="X181" i="6"/>
  <c r="X189" i="6"/>
  <c r="X197" i="6"/>
  <c r="Y5" i="6"/>
  <c r="Y13" i="6"/>
  <c r="Y21" i="6"/>
  <c r="Y29" i="6"/>
  <c r="Y37" i="6"/>
  <c r="Y53" i="6"/>
  <c r="Y61" i="6"/>
  <c r="Y69" i="6"/>
  <c r="Y77" i="6"/>
  <c r="Y85" i="6"/>
  <c r="Y93" i="6"/>
  <c r="Y101" i="6"/>
  <c r="Y109" i="6"/>
  <c r="Y117" i="6"/>
  <c r="Y125" i="6"/>
  <c r="Y133" i="6"/>
  <c r="Y141" i="6"/>
  <c r="Y149" i="6"/>
  <c r="Y157" i="6"/>
  <c r="Y165" i="6"/>
  <c r="Y173" i="6"/>
  <c r="Y181" i="6"/>
  <c r="Y189" i="6"/>
  <c r="Y190" i="6"/>
  <c r="Y197" i="6"/>
  <c r="Y198" i="6"/>
  <c r="X5" i="6"/>
  <c r="V90" i="6"/>
  <c r="V122" i="6"/>
  <c r="V130" i="6"/>
  <c r="V138" i="6"/>
  <c r="V154" i="6"/>
  <c r="V162" i="6"/>
  <c r="V178" i="6"/>
  <c r="V186" i="6"/>
  <c r="V194" i="6"/>
  <c r="V202" i="6"/>
  <c r="W10" i="6"/>
  <c r="W18" i="6"/>
  <c r="W26" i="6"/>
  <c r="W34" i="6"/>
  <c r="W42" i="6"/>
  <c r="W50" i="6"/>
  <c r="W58" i="6"/>
  <c r="W74" i="6"/>
  <c r="W82" i="6"/>
  <c r="W90" i="6"/>
  <c r="W94" i="6"/>
  <c r="W98" i="6"/>
  <c r="W102" i="6"/>
  <c r="W106" i="6"/>
  <c r="W114" i="6"/>
  <c r="W118" i="6"/>
  <c r="W126" i="6"/>
  <c r="W138" i="6"/>
  <c r="W142" i="6"/>
  <c r="W146" i="6"/>
  <c r="W150" i="6"/>
  <c r="W154" i="6"/>
  <c r="W158" i="6"/>
  <c r="W162" i="6"/>
  <c r="W170" i="6"/>
  <c r="W174" i="6"/>
  <c r="W178" i="6"/>
  <c r="W186" i="6"/>
  <c r="W190" i="6"/>
  <c r="W194" i="6"/>
  <c r="W202" i="6"/>
  <c r="V13" i="6"/>
  <c r="V14" i="6"/>
  <c r="V15" i="6"/>
  <c r="V16" i="6"/>
  <c r="V21" i="6"/>
  <c r="V22" i="6"/>
  <c r="V23" i="6"/>
  <c r="V24" i="6"/>
  <c r="V29" i="6"/>
  <c r="V31" i="6"/>
  <c r="V32" i="6"/>
  <c r="V37" i="6"/>
  <c r="V45" i="6"/>
  <c r="V46" i="6"/>
  <c r="V47" i="6"/>
  <c r="V48" i="6"/>
  <c r="V53" i="6"/>
  <c r="V54" i="6"/>
  <c r="V55" i="6"/>
  <c r="V56" i="6"/>
  <c r="V61" i="6"/>
  <c r="V63" i="6"/>
  <c r="V64" i="6"/>
  <c r="V69" i="6"/>
  <c r="V70" i="6"/>
  <c r="V71" i="6"/>
  <c r="V72" i="6"/>
  <c r="V77" i="6"/>
  <c r="V78" i="6"/>
  <c r="V79" i="6"/>
  <c r="V80" i="6"/>
  <c r="V85" i="6"/>
  <c r="V88" i="6"/>
  <c r="V93" i="6"/>
  <c r="V94" i="6"/>
  <c r="V95" i="6"/>
  <c r="V96" i="6"/>
  <c r="V101" i="6"/>
  <c r="V102" i="6"/>
  <c r="V103" i="6"/>
  <c r="V104" i="6"/>
  <c r="V109" i="6"/>
  <c r="V117" i="6"/>
  <c r="V118" i="6"/>
  <c r="V119" i="6"/>
  <c r="V120" i="6"/>
  <c r="V125" i="6"/>
  <c r="V127" i="6"/>
  <c r="V128" i="6"/>
  <c r="V133" i="6"/>
  <c r="V134" i="6"/>
  <c r="V135" i="6"/>
  <c r="V136" i="6"/>
  <c r="V141" i="6"/>
  <c r="V142" i="6"/>
  <c r="V143" i="6"/>
  <c r="V144" i="6"/>
  <c r="V149" i="6"/>
  <c r="V152" i="6"/>
  <c r="V157" i="6"/>
  <c r="V158" i="6"/>
  <c r="V159" i="6"/>
  <c r="V160" i="6"/>
  <c r="V165" i="6"/>
  <c r="V166" i="6"/>
  <c r="V167" i="6"/>
  <c r="V168" i="6"/>
  <c r="V173" i="6"/>
  <c r="V181" i="6"/>
  <c r="V182" i="6"/>
  <c r="V183" i="6"/>
  <c r="V184" i="6"/>
  <c r="V189" i="6"/>
  <c r="V191" i="6"/>
  <c r="V192" i="6"/>
  <c r="V197" i="6"/>
  <c r="V198" i="6"/>
  <c r="V199" i="6"/>
  <c r="V200" i="6"/>
  <c r="V204" i="6"/>
  <c r="W7" i="6"/>
  <c r="W8" i="6"/>
  <c r="W13" i="6"/>
  <c r="W14" i="6"/>
  <c r="W15" i="6"/>
  <c r="W16" i="6"/>
  <c r="W21" i="6"/>
  <c r="W22" i="6"/>
  <c r="W23" i="6"/>
  <c r="W24" i="6"/>
  <c r="W29" i="6"/>
  <c r="W30" i="6"/>
  <c r="W31" i="6"/>
  <c r="W32" i="6"/>
  <c r="W37" i="6"/>
  <c r="W40" i="6"/>
  <c r="W45" i="6"/>
  <c r="W46" i="6"/>
  <c r="W47" i="6"/>
  <c r="W48" i="6"/>
  <c r="W53" i="6"/>
  <c r="W54" i="6"/>
  <c r="W55" i="6"/>
  <c r="W56" i="6"/>
  <c r="W61" i="6"/>
  <c r="W62" i="6"/>
  <c r="W63" i="6"/>
  <c r="W64" i="6"/>
  <c r="W68" i="6"/>
  <c r="W69" i="6"/>
  <c r="W76" i="6"/>
  <c r="W77" i="6"/>
  <c r="W78" i="6"/>
  <c r="W79" i="6"/>
  <c r="W80" i="6"/>
  <c r="W84" i="6"/>
  <c r="W85" i="6"/>
  <c r="W87" i="6"/>
  <c r="W88" i="6"/>
  <c r="W92" i="6"/>
  <c r="W93" i="6"/>
  <c r="W95" i="6"/>
  <c r="W96" i="6"/>
  <c r="W100" i="6"/>
  <c r="W101" i="6"/>
  <c r="W103" i="6"/>
  <c r="W104" i="6"/>
  <c r="W108" i="6"/>
  <c r="W109" i="6"/>
  <c r="W112" i="6"/>
  <c r="W116" i="6"/>
  <c r="W117" i="6"/>
  <c r="W119" i="6"/>
  <c r="W120" i="6"/>
  <c r="W124" i="6"/>
  <c r="W125" i="6"/>
  <c r="W127" i="6"/>
  <c r="W128" i="6"/>
  <c r="W132" i="6"/>
  <c r="W133" i="6"/>
  <c r="W140" i="6"/>
  <c r="W141" i="6"/>
  <c r="W143" i="6"/>
  <c r="W144" i="6"/>
  <c r="W148" i="6"/>
  <c r="W149" i="6"/>
  <c r="W151" i="6"/>
  <c r="W152" i="6"/>
  <c r="W156" i="6"/>
  <c r="W157" i="6"/>
  <c r="W159" i="6"/>
  <c r="W160" i="6"/>
  <c r="W164" i="6"/>
  <c r="W165" i="6"/>
  <c r="W166" i="6"/>
  <c r="W167" i="6"/>
  <c r="W168" i="6"/>
  <c r="W172" i="6"/>
  <c r="W173" i="6"/>
  <c r="W176" i="6"/>
  <c r="W180" i="6"/>
  <c r="W181" i="6"/>
  <c r="W182" i="6"/>
  <c r="W183" i="6"/>
  <c r="W184" i="6"/>
  <c r="W188" i="6"/>
  <c r="W189" i="6"/>
  <c r="W191" i="6"/>
  <c r="W192" i="6"/>
  <c r="W196" i="6"/>
  <c r="W197" i="6"/>
  <c r="W204" i="6"/>
  <c r="V405" i="6"/>
  <c r="V404" i="6"/>
  <c r="V403" i="6"/>
  <c r="V402" i="6"/>
  <c r="V401" i="6"/>
  <c r="V400" i="6"/>
  <c r="V399" i="6"/>
  <c r="V398" i="6"/>
  <c r="V397" i="6"/>
  <c r="V396" i="6"/>
  <c r="V395" i="6"/>
  <c r="V394" i="6"/>
  <c r="V393" i="6"/>
  <c r="V392" i="6"/>
  <c r="V391" i="6"/>
  <c r="V390" i="6"/>
  <c r="V389" i="6"/>
  <c r="V388" i="6"/>
  <c r="V387" i="6"/>
  <c r="V386" i="6"/>
  <c r="V385" i="6"/>
  <c r="V384" i="6"/>
  <c r="V383" i="6"/>
  <c r="V382" i="6"/>
  <c r="V381" i="6"/>
  <c r="V380" i="6"/>
  <c r="V379" i="6"/>
  <c r="V378" i="6"/>
  <c r="V377" i="6"/>
  <c r="V376" i="6"/>
  <c r="V375" i="6"/>
  <c r="V374" i="6"/>
  <c r="V373" i="6"/>
  <c r="V372" i="6"/>
  <c r="V371" i="6"/>
  <c r="V370" i="6"/>
  <c r="V369" i="6"/>
  <c r="V368" i="6"/>
  <c r="V367" i="6"/>
  <c r="V366" i="6"/>
  <c r="V365" i="6"/>
  <c r="V364" i="6"/>
  <c r="V363" i="6"/>
  <c r="V362" i="6"/>
  <c r="V361" i="6"/>
  <c r="V360" i="6"/>
  <c r="V359" i="6"/>
  <c r="V358" i="6"/>
  <c r="V357" i="6"/>
  <c r="V356" i="6"/>
  <c r="V355" i="6"/>
  <c r="V354" i="6"/>
  <c r="V353" i="6"/>
  <c r="V352" i="6"/>
  <c r="V351" i="6"/>
  <c r="V350" i="6"/>
  <c r="V349" i="6"/>
  <c r="V348" i="6"/>
  <c r="V347" i="6"/>
  <c r="V346" i="6"/>
  <c r="V345" i="6"/>
  <c r="V344" i="6"/>
  <c r="V343" i="6"/>
  <c r="V342" i="6"/>
  <c r="V341" i="6"/>
  <c r="V340" i="6"/>
  <c r="V339" i="6"/>
  <c r="V338" i="6"/>
  <c r="V337" i="6"/>
  <c r="V336" i="6"/>
  <c r="V335" i="6"/>
  <c r="V334" i="6"/>
  <c r="V333" i="6"/>
  <c r="V332" i="6"/>
  <c r="V331" i="6"/>
  <c r="V330" i="6"/>
  <c r="V329" i="6"/>
  <c r="V328" i="6"/>
  <c r="V327" i="6"/>
  <c r="V326" i="6"/>
  <c r="V325" i="6"/>
  <c r="V324" i="6"/>
  <c r="V323" i="6"/>
  <c r="V322" i="6"/>
  <c r="V321" i="6"/>
  <c r="V320" i="6"/>
  <c r="V319" i="6"/>
  <c r="V318" i="6"/>
  <c r="V317" i="6"/>
  <c r="V316" i="6"/>
  <c r="V315" i="6"/>
  <c r="V314" i="6"/>
  <c r="V313" i="6"/>
  <c r="V312" i="6"/>
  <c r="V311" i="6"/>
  <c r="V310" i="6"/>
  <c r="V309" i="6"/>
  <c r="V308" i="6"/>
  <c r="V307" i="6"/>
  <c r="V306" i="6"/>
  <c r="V305" i="6"/>
  <c r="V304" i="6"/>
  <c r="V303" i="6"/>
  <c r="V302" i="6"/>
  <c r="V301" i="6"/>
  <c r="V300" i="6"/>
  <c r="V299" i="6"/>
  <c r="V298" i="6"/>
  <c r="V297" i="6"/>
  <c r="V296" i="6"/>
  <c r="V295" i="6"/>
  <c r="V294" i="6"/>
  <c r="V293" i="6"/>
  <c r="V292" i="6"/>
  <c r="V291" i="6"/>
  <c r="V290" i="6"/>
  <c r="V289" i="6"/>
  <c r="V288" i="6"/>
  <c r="V287" i="6"/>
  <c r="V286" i="6"/>
  <c r="V285" i="6"/>
  <c r="V284" i="6"/>
  <c r="V283" i="6"/>
  <c r="V282" i="6"/>
  <c r="V281" i="6"/>
  <c r="V280" i="6"/>
  <c r="V279" i="6"/>
  <c r="V278" i="6"/>
  <c r="V277" i="6"/>
  <c r="V276" i="6"/>
  <c r="V275" i="6"/>
  <c r="V274" i="6"/>
  <c r="V273" i="6"/>
  <c r="V272" i="6"/>
  <c r="V271" i="6"/>
  <c r="V270" i="6"/>
  <c r="V269" i="6"/>
  <c r="V268" i="6"/>
  <c r="V267" i="6"/>
  <c r="V266" i="6"/>
  <c r="V265" i="6"/>
  <c r="V264" i="6"/>
  <c r="V263" i="6"/>
  <c r="V262" i="6"/>
  <c r="V261" i="6"/>
  <c r="V260" i="6"/>
  <c r="V259" i="6"/>
  <c r="V258" i="6"/>
  <c r="V257" i="6"/>
  <c r="V256" i="6"/>
  <c r="V255" i="6"/>
  <c r="V254" i="6"/>
  <c r="V253" i="6"/>
  <c r="V252" i="6"/>
  <c r="V251" i="6"/>
  <c r="V250" i="6"/>
  <c r="V249" i="6"/>
  <c r="V248" i="6"/>
  <c r="V247" i="6"/>
  <c r="V246" i="6"/>
  <c r="V245" i="6"/>
  <c r="V244" i="6"/>
  <c r="V243" i="6"/>
  <c r="V242" i="6"/>
  <c r="V241" i="6"/>
  <c r="V240" i="6"/>
  <c r="V239" i="6"/>
  <c r="V238" i="6"/>
  <c r="V237" i="6"/>
  <c r="V236" i="6"/>
  <c r="V235" i="6"/>
  <c r="V234" i="6"/>
  <c r="V233" i="6"/>
  <c r="V232" i="6"/>
  <c r="X208" i="6"/>
  <c r="V208" i="6"/>
  <c r="X207" i="6"/>
  <c r="V207" i="6"/>
  <c r="X206" i="6"/>
  <c r="AC204" i="6"/>
  <c r="AB204" i="6"/>
  <c r="AA204" i="6"/>
  <c r="Z204" i="6"/>
  <c r="AC203" i="6"/>
  <c r="AB203" i="6"/>
  <c r="AA203" i="6"/>
  <c r="Z203" i="6"/>
  <c r="Y203" i="6"/>
  <c r="X203" i="6"/>
  <c r="W203" i="6"/>
  <c r="V203" i="6"/>
  <c r="AC202" i="6"/>
  <c r="AB202" i="6"/>
  <c r="AA202" i="6"/>
  <c r="Z202" i="6"/>
  <c r="AC201" i="6"/>
  <c r="AB201" i="6"/>
  <c r="AA201" i="6"/>
  <c r="Z201" i="6"/>
  <c r="Y201" i="6"/>
  <c r="X201" i="6"/>
  <c r="W201" i="6"/>
  <c r="V201" i="6"/>
  <c r="AC200" i="6"/>
  <c r="AB200" i="6"/>
  <c r="AA200" i="6"/>
  <c r="Z200" i="6"/>
  <c r="X200" i="6"/>
  <c r="W200" i="6"/>
  <c r="AC199" i="6"/>
  <c r="AB199" i="6"/>
  <c r="AA199" i="6"/>
  <c r="Z199" i="6"/>
  <c r="Y199" i="6"/>
  <c r="X199" i="6"/>
  <c r="W199" i="6"/>
  <c r="AC198" i="6"/>
  <c r="AB198" i="6"/>
  <c r="AA198" i="6"/>
  <c r="Z198" i="6"/>
  <c r="W198" i="6"/>
  <c r="AC197" i="6"/>
  <c r="AB197" i="6"/>
  <c r="AA197" i="6"/>
  <c r="Z197" i="6"/>
  <c r="AC196" i="6"/>
  <c r="AB196" i="6"/>
  <c r="AA196" i="6"/>
  <c r="Z196" i="6"/>
  <c r="X196" i="6"/>
  <c r="V196" i="6"/>
  <c r="AC195" i="6"/>
  <c r="AB195" i="6"/>
  <c r="AA195" i="6"/>
  <c r="Z195" i="6"/>
  <c r="Y195" i="6"/>
  <c r="X195" i="6"/>
  <c r="W195" i="6"/>
  <c r="V195" i="6"/>
  <c r="AC194" i="6"/>
  <c r="AB194" i="6"/>
  <c r="AA194" i="6"/>
  <c r="Z194" i="6"/>
  <c r="AC193" i="6"/>
  <c r="AB193" i="6"/>
  <c r="AA193" i="6"/>
  <c r="Z193" i="6"/>
  <c r="Y193" i="6"/>
  <c r="W193" i="6"/>
  <c r="V193" i="6"/>
  <c r="AC192" i="6"/>
  <c r="AB192" i="6"/>
  <c r="AA192" i="6"/>
  <c r="Z192" i="6"/>
  <c r="AC191" i="6"/>
  <c r="AB191" i="6"/>
  <c r="AA191" i="6"/>
  <c r="Z191" i="6"/>
  <c r="Y191" i="6"/>
  <c r="X191" i="6"/>
  <c r="AC190" i="6"/>
  <c r="AB190" i="6"/>
  <c r="AA190" i="6"/>
  <c r="Z190" i="6"/>
  <c r="X190" i="6"/>
  <c r="V190" i="6"/>
  <c r="AC189" i="6"/>
  <c r="AB189" i="6"/>
  <c r="AA189" i="6"/>
  <c r="Z189" i="6"/>
  <c r="AC188" i="6"/>
  <c r="AB188" i="6"/>
  <c r="AA188" i="6"/>
  <c r="Z188" i="6"/>
  <c r="Y188" i="6"/>
  <c r="V188" i="6"/>
  <c r="AC187" i="6"/>
  <c r="AB187" i="6"/>
  <c r="AA187" i="6"/>
  <c r="Z187" i="6"/>
  <c r="Y187" i="6"/>
  <c r="X187" i="6"/>
  <c r="W187" i="6"/>
  <c r="V187" i="6"/>
  <c r="AC186" i="6"/>
  <c r="AB186" i="6"/>
  <c r="AA186" i="6"/>
  <c r="Z186" i="6"/>
  <c r="X186" i="6"/>
  <c r="AC185" i="6"/>
  <c r="AB185" i="6"/>
  <c r="AA185" i="6"/>
  <c r="Z185" i="6"/>
  <c r="Y185" i="6"/>
  <c r="X185" i="6"/>
  <c r="W185" i="6"/>
  <c r="V185" i="6"/>
  <c r="AC184" i="6"/>
  <c r="AB184" i="6"/>
  <c r="AA184" i="6"/>
  <c r="Z184" i="6"/>
  <c r="X184" i="6"/>
  <c r="AC183" i="6"/>
  <c r="AB183" i="6"/>
  <c r="AA183" i="6"/>
  <c r="Z183" i="6"/>
  <c r="Y183" i="6"/>
  <c r="X183" i="6"/>
  <c r="AC182" i="6"/>
  <c r="AB182" i="6"/>
  <c r="AA182" i="6"/>
  <c r="Z182" i="6"/>
  <c r="X182" i="6"/>
  <c r="AC181" i="6"/>
  <c r="AB181" i="6"/>
  <c r="AA181" i="6"/>
  <c r="Z181" i="6"/>
  <c r="AC180" i="6"/>
  <c r="AB180" i="6"/>
  <c r="AA180" i="6"/>
  <c r="Z180" i="6"/>
  <c r="X180" i="6"/>
  <c r="V180" i="6"/>
  <c r="AC179" i="6"/>
  <c r="AB179" i="6"/>
  <c r="AA179" i="6"/>
  <c r="Z179" i="6"/>
  <c r="Y179" i="6"/>
  <c r="X179" i="6"/>
  <c r="W179" i="6"/>
  <c r="V179" i="6"/>
  <c r="AC178" i="6"/>
  <c r="AB178" i="6"/>
  <c r="AA178" i="6"/>
  <c r="Z178" i="6"/>
  <c r="AC177" i="6"/>
  <c r="AB177" i="6"/>
  <c r="AA177" i="6"/>
  <c r="Z177" i="6"/>
  <c r="Y177" i="6"/>
  <c r="W177" i="6"/>
  <c r="V177" i="6"/>
  <c r="AC176" i="6"/>
  <c r="AB176" i="6"/>
  <c r="AA176" i="6"/>
  <c r="Z176" i="6"/>
  <c r="Y176" i="6"/>
  <c r="V176" i="6"/>
  <c r="AC175" i="6"/>
  <c r="AB175" i="6"/>
  <c r="AA175" i="6"/>
  <c r="Z175" i="6"/>
  <c r="Y175" i="6"/>
  <c r="X175" i="6"/>
  <c r="W175" i="6"/>
  <c r="V175" i="6"/>
  <c r="AC174" i="6"/>
  <c r="AB174" i="6"/>
  <c r="AA174" i="6"/>
  <c r="Z174" i="6"/>
  <c r="X174" i="6"/>
  <c r="V174" i="6"/>
  <c r="AC173" i="6"/>
  <c r="AB173" i="6"/>
  <c r="AA173" i="6"/>
  <c r="Z173" i="6"/>
  <c r="X173" i="6"/>
  <c r="AC172" i="6"/>
  <c r="AB172" i="6"/>
  <c r="AA172" i="6"/>
  <c r="Z172" i="6"/>
  <c r="X172" i="6"/>
  <c r="V172" i="6"/>
  <c r="AC171" i="6"/>
  <c r="AB171" i="6"/>
  <c r="AA171" i="6"/>
  <c r="Z171" i="6"/>
  <c r="Y171" i="6"/>
  <c r="X171" i="6"/>
  <c r="W171" i="6"/>
  <c r="V171" i="6"/>
  <c r="AC170" i="6"/>
  <c r="AB170" i="6"/>
  <c r="AA170" i="6"/>
  <c r="Z170" i="6"/>
  <c r="V170" i="6"/>
  <c r="AC169" i="6"/>
  <c r="AB169" i="6"/>
  <c r="AA169" i="6"/>
  <c r="Z169" i="6"/>
  <c r="X169" i="6"/>
  <c r="W169" i="6"/>
  <c r="V169" i="6"/>
  <c r="AC168" i="6"/>
  <c r="AB168" i="6"/>
  <c r="AA168" i="6"/>
  <c r="Z168" i="6"/>
  <c r="X168" i="6"/>
  <c r="AC167" i="6"/>
  <c r="AB167" i="6"/>
  <c r="AA167" i="6"/>
  <c r="Z167" i="6"/>
  <c r="Y167" i="6"/>
  <c r="X167" i="6"/>
  <c r="AC166" i="6"/>
  <c r="AB166" i="6"/>
  <c r="AA166" i="6"/>
  <c r="Z166" i="6"/>
  <c r="Y166" i="6"/>
  <c r="X166" i="6"/>
  <c r="AC165" i="6"/>
  <c r="AB165" i="6"/>
  <c r="AA165" i="6"/>
  <c r="Z165" i="6"/>
  <c r="AC164" i="6"/>
  <c r="AB164" i="6"/>
  <c r="AA164" i="6"/>
  <c r="Z164" i="6"/>
  <c r="X164" i="6"/>
  <c r="V164" i="6"/>
  <c r="AC163" i="6"/>
  <c r="AB163" i="6"/>
  <c r="AA163" i="6"/>
  <c r="Z163" i="6"/>
  <c r="Y163" i="6"/>
  <c r="X163" i="6"/>
  <c r="W163" i="6"/>
  <c r="V163" i="6"/>
  <c r="AC162" i="6"/>
  <c r="AB162" i="6"/>
  <c r="AA162" i="6"/>
  <c r="Z162" i="6"/>
  <c r="Y162" i="6"/>
  <c r="AC161" i="6"/>
  <c r="AB161" i="6"/>
  <c r="AA161" i="6"/>
  <c r="Z161" i="6"/>
  <c r="Y161" i="6"/>
  <c r="X161" i="6"/>
  <c r="W161" i="6"/>
  <c r="V161" i="6"/>
  <c r="AC160" i="6"/>
  <c r="AB160" i="6"/>
  <c r="AA160" i="6"/>
  <c r="Z160" i="6"/>
  <c r="Y160" i="6"/>
  <c r="X160" i="6"/>
  <c r="AC159" i="6"/>
  <c r="AB159" i="6"/>
  <c r="AA159" i="6"/>
  <c r="Z159" i="6"/>
  <c r="Y159" i="6"/>
  <c r="X159" i="6"/>
  <c r="AC158" i="6"/>
  <c r="AB158" i="6"/>
  <c r="AA158" i="6"/>
  <c r="Z158" i="6"/>
  <c r="Y158" i="6"/>
  <c r="AC157" i="6"/>
  <c r="AB157" i="6"/>
  <c r="AA157" i="6"/>
  <c r="Z157" i="6"/>
  <c r="AC156" i="6"/>
  <c r="AB156" i="6"/>
  <c r="AA156" i="6"/>
  <c r="Z156" i="6"/>
  <c r="V156" i="6"/>
  <c r="AC155" i="6"/>
  <c r="AB155" i="6"/>
  <c r="AA155" i="6"/>
  <c r="Z155" i="6"/>
  <c r="X155" i="6"/>
  <c r="W155" i="6"/>
  <c r="V155" i="6"/>
  <c r="AC154" i="6"/>
  <c r="AB154" i="6"/>
  <c r="AA154" i="6"/>
  <c r="Z154" i="6"/>
  <c r="AC153" i="6"/>
  <c r="AB153" i="6"/>
  <c r="AA153" i="6"/>
  <c r="Z153" i="6"/>
  <c r="X153" i="6"/>
  <c r="W153" i="6"/>
  <c r="V153" i="6"/>
  <c r="AC152" i="6"/>
  <c r="AB152" i="6"/>
  <c r="AA152" i="6"/>
  <c r="Z152" i="6"/>
  <c r="X152" i="6"/>
  <c r="AC151" i="6"/>
  <c r="AB151" i="6"/>
  <c r="AA151" i="6"/>
  <c r="Z151" i="6"/>
  <c r="Y151" i="6"/>
  <c r="X151" i="6"/>
  <c r="V151" i="6"/>
  <c r="AC150" i="6"/>
  <c r="AB150" i="6"/>
  <c r="AA150" i="6"/>
  <c r="Z150" i="6"/>
  <c r="Y150" i="6"/>
  <c r="X150" i="6"/>
  <c r="V150" i="6"/>
  <c r="AC149" i="6"/>
  <c r="AB149" i="6"/>
  <c r="AA149" i="6"/>
  <c r="Z149" i="6"/>
  <c r="AC148" i="6"/>
  <c r="AB148" i="6"/>
  <c r="AA148" i="6"/>
  <c r="Z148" i="6"/>
  <c r="X148" i="6"/>
  <c r="V148" i="6"/>
  <c r="AC147" i="6"/>
  <c r="AB147" i="6"/>
  <c r="AA147" i="6"/>
  <c r="Z147" i="6"/>
  <c r="Y147" i="6"/>
  <c r="X147" i="6"/>
  <c r="W147" i="6"/>
  <c r="V147" i="6"/>
  <c r="AC146" i="6"/>
  <c r="AB146" i="6"/>
  <c r="AA146" i="6"/>
  <c r="Z146" i="6"/>
  <c r="Y146" i="6"/>
  <c r="V146" i="6"/>
  <c r="AC145" i="6"/>
  <c r="AB145" i="6"/>
  <c r="AA145" i="6"/>
  <c r="Z145" i="6"/>
  <c r="Y145" i="6"/>
  <c r="X145" i="6"/>
  <c r="W145" i="6"/>
  <c r="V145" i="6"/>
  <c r="AC144" i="6"/>
  <c r="AB144" i="6"/>
  <c r="AA144" i="6"/>
  <c r="Z144" i="6"/>
  <c r="X144" i="6"/>
  <c r="AC143" i="6"/>
  <c r="AB143" i="6"/>
  <c r="AA143" i="6"/>
  <c r="Z143" i="6"/>
  <c r="Y143" i="6"/>
  <c r="X143" i="6"/>
  <c r="AC142" i="6"/>
  <c r="AB142" i="6"/>
  <c r="AA142" i="6"/>
  <c r="Z142" i="6"/>
  <c r="X142" i="6"/>
  <c r="AC141" i="6"/>
  <c r="AB141" i="6"/>
  <c r="AA141" i="6"/>
  <c r="Z141" i="6"/>
  <c r="X141" i="6"/>
  <c r="AC140" i="6"/>
  <c r="AB140" i="6"/>
  <c r="AA140" i="6"/>
  <c r="Z140" i="6"/>
  <c r="V140" i="6"/>
  <c r="AC139" i="6"/>
  <c r="AB139" i="6"/>
  <c r="AA139" i="6"/>
  <c r="Z139" i="6"/>
  <c r="X139" i="6"/>
  <c r="W139" i="6"/>
  <c r="V139" i="6"/>
  <c r="AC138" i="6"/>
  <c r="AB138" i="6"/>
  <c r="AA138" i="6"/>
  <c r="Z138" i="6"/>
  <c r="AC137" i="6"/>
  <c r="AB137" i="6"/>
  <c r="AA137" i="6"/>
  <c r="Z137" i="6"/>
  <c r="X137" i="6"/>
  <c r="W137" i="6"/>
  <c r="V137" i="6"/>
  <c r="AC136" i="6"/>
  <c r="AB136" i="6"/>
  <c r="AA136" i="6"/>
  <c r="Z136" i="6"/>
  <c r="X136" i="6"/>
  <c r="W136" i="6"/>
  <c r="AC135" i="6"/>
  <c r="AB135" i="6"/>
  <c r="AA135" i="6"/>
  <c r="Z135" i="6"/>
  <c r="Y135" i="6"/>
  <c r="X135" i="6"/>
  <c r="W135" i="6"/>
  <c r="AC134" i="6"/>
  <c r="AB134" i="6"/>
  <c r="AA134" i="6"/>
  <c r="Z134" i="6"/>
  <c r="X134" i="6"/>
  <c r="W134" i="6"/>
  <c r="AC133" i="6"/>
  <c r="AB133" i="6"/>
  <c r="AA133" i="6"/>
  <c r="Z133" i="6"/>
  <c r="X133" i="6"/>
  <c r="AC132" i="6"/>
  <c r="AB132" i="6"/>
  <c r="AA132" i="6"/>
  <c r="Z132" i="6"/>
  <c r="X132" i="6"/>
  <c r="V132" i="6"/>
  <c r="AC131" i="6"/>
  <c r="AB131" i="6"/>
  <c r="AA131" i="6"/>
  <c r="Z131" i="6"/>
  <c r="Y131" i="6"/>
  <c r="X131" i="6"/>
  <c r="W131" i="6"/>
  <c r="V131" i="6"/>
  <c r="AC130" i="6"/>
  <c r="AB130" i="6"/>
  <c r="AA130" i="6"/>
  <c r="Z130" i="6"/>
  <c r="W130" i="6"/>
  <c r="AC129" i="6"/>
  <c r="AB129" i="6"/>
  <c r="AA129" i="6"/>
  <c r="Z129" i="6"/>
  <c r="X129" i="6"/>
  <c r="W129" i="6"/>
  <c r="V129" i="6"/>
  <c r="AC128" i="6"/>
  <c r="AB128" i="6"/>
  <c r="AA128" i="6"/>
  <c r="Z128" i="6"/>
  <c r="X128" i="6"/>
  <c r="AC127" i="6"/>
  <c r="AB127" i="6"/>
  <c r="AA127" i="6"/>
  <c r="Z127" i="6"/>
  <c r="Y127" i="6"/>
  <c r="X127" i="6"/>
  <c r="AC126" i="6"/>
  <c r="AB126" i="6"/>
  <c r="AA126" i="6"/>
  <c r="Z126" i="6"/>
  <c r="Y126" i="6"/>
  <c r="X126" i="6"/>
  <c r="V126" i="6"/>
  <c r="AC125" i="6"/>
  <c r="AB125" i="6"/>
  <c r="AA125" i="6"/>
  <c r="Z125" i="6"/>
  <c r="AC124" i="6"/>
  <c r="AB124" i="6"/>
  <c r="AA124" i="6"/>
  <c r="Z124" i="6"/>
  <c r="Y124" i="6"/>
  <c r="V124" i="6"/>
  <c r="AC123" i="6"/>
  <c r="AB123" i="6"/>
  <c r="AA123" i="6"/>
  <c r="Z123" i="6"/>
  <c r="Y123" i="6"/>
  <c r="X123" i="6"/>
  <c r="W123" i="6"/>
  <c r="V123" i="6"/>
  <c r="AC122" i="6"/>
  <c r="AB122" i="6"/>
  <c r="AA122" i="6"/>
  <c r="Z122" i="6"/>
  <c r="X122" i="6"/>
  <c r="W122" i="6"/>
  <c r="AC121" i="6"/>
  <c r="AB121" i="6"/>
  <c r="AA121" i="6"/>
  <c r="Z121" i="6"/>
  <c r="Y121" i="6"/>
  <c r="X121" i="6"/>
  <c r="W121" i="6"/>
  <c r="V121" i="6"/>
  <c r="AC120" i="6"/>
  <c r="AB120" i="6"/>
  <c r="AA120" i="6"/>
  <c r="Z120" i="6"/>
  <c r="Y120" i="6"/>
  <c r="X120" i="6"/>
  <c r="AC119" i="6"/>
  <c r="AB119" i="6"/>
  <c r="AA119" i="6"/>
  <c r="Z119" i="6"/>
  <c r="Y119" i="6"/>
  <c r="X119" i="6"/>
  <c r="AC118" i="6"/>
  <c r="AB118" i="6"/>
  <c r="AA118" i="6"/>
  <c r="Z118" i="6"/>
  <c r="Y118" i="6"/>
  <c r="X118" i="6"/>
  <c r="AC117" i="6"/>
  <c r="AB117" i="6"/>
  <c r="AA117" i="6"/>
  <c r="Z117" i="6"/>
  <c r="AC116" i="6"/>
  <c r="AB116" i="6"/>
  <c r="AA116" i="6"/>
  <c r="Z116" i="6"/>
  <c r="V116" i="6"/>
  <c r="AC115" i="6"/>
  <c r="AB115" i="6"/>
  <c r="AA115" i="6"/>
  <c r="Z115" i="6"/>
  <c r="Y115" i="6"/>
  <c r="X115" i="6"/>
  <c r="W115" i="6"/>
  <c r="V115" i="6"/>
  <c r="AC114" i="6"/>
  <c r="AB114" i="6"/>
  <c r="AA114" i="6"/>
  <c r="Z114" i="6"/>
  <c r="V114" i="6"/>
  <c r="AC113" i="6"/>
  <c r="AB113" i="6"/>
  <c r="AA113" i="6"/>
  <c r="Z113" i="6"/>
  <c r="Y113" i="6"/>
  <c r="X113" i="6"/>
  <c r="W113" i="6"/>
  <c r="V113" i="6"/>
  <c r="AC112" i="6"/>
  <c r="AB112" i="6"/>
  <c r="AA112" i="6"/>
  <c r="Z112" i="6"/>
  <c r="Y112" i="6"/>
  <c r="X112" i="6"/>
  <c r="V112" i="6"/>
  <c r="AC111" i="6"/>
  <c r="AB111" i="6"/>
  <c r="AA111" i="6"/>
  <c r="Z111" i="6"/>
  <c r="Y111" i="6"/>
  <c r="X111" i="6"/>
  <c r="W111" i="6"/>
  <c r="V111" i="6"/>
  <c r="AC110" i="6"/>
  <c r="AB110" i="6"/>
  <c r="AA110" i="6"/>
  <c r="Z110" i="6"/>
  <c r="X110" i="6"/>
  <c r="W110" i="6"/>
  <c r="V110" i="6"/>
  <c r="AC109" i="6"/>
  <c r="AB109" i="6"/>
  <c r="AA109" i="6"/>
  <c r="Z109" i="6"/>
  <c r="X109" i="6"/>
  <c r="AC108" i="6"/>
  <c r="AB108" i="6"/>
  <c r="AA108" i="6"/>
  <c r="Z108" i="6"/>
  <c r="Y108" i="6"/>
  <c r="V108" i="6"/>
  <c r="AC107" i="6"/>
  <c r="AB107" i="6"/>
  <c r="AA107" i="6"/>
  <c r="Z107" i="6"/>
  <c r="Y107" i="6"/>
  <c r="X107" i="6"/>
  <c r="W107" i="6"/>
  <c r="V107" i="6"/>
  <c r="AC106" i="6"/>
  <c r="AB106" i="6"/>
  <c r="AA106" i="6"/>
  <c r="Z106" i="6"/>
  <c r="X106" i="6"/>
  <c r="V106" i="6"/>
  <c r="AC105" i="6"/>
  <c r="AB105" i="6"/>
  <c r="AA105" i="6"/>
  <c r="Z105" i="6"/>
  <c r="Y105" i="6"/>
  <c r="X105" i="6"/>
  <c r="W105" i="6"/>
  <c r="V105" i="6"/>
  <c r="AC104" i="6"/>
  <c r="AB104" i="6"/>
  <c r="AA104" i="6"/>
  <c r="Z104" i="6"/>
  <c r="Y104" i="6"/>
  <c r="X104" i="6"/>
  <c r="AC103" i="6"/>
  <c r="AB103" i="6"/>
  <c r="AA103" i="6"/>
  <c r="Z103" i="6"/>
  <c r="Y103" i="6"/>
  <c r="X103" i="6"/>
  <c r="AC102" i="6"/>
  <c r="AB102" i="6"/>
  <c r="AA102" i="6"/>
  <c r="Z102" i="6"/>
  <c r="Y102" i="6"/>
  <c r="X102" i="6"/>
  <c r="AC101" i="6"/>
  <c r="AB101" i="6"/>
  <c r="AA101" i="6"/>
  <c r="Z101" i="6"/>
  <c r="AC100" i="6"/>
  <c r="AB100" i="6"/>
  <c r="AA100" i="6"/>
  <c r="Z100" i="6"/>
  <c r="V100" i="6"/>
  <c r="AC99" i="6"/>
  <c r="AB99" i="6"/>
  <c r="AA99" i="6"/>
  <c r="Z99" i="6"/>
  <c r="Y99" i="6"/>
  <c r="X99" i="6"/>
  <c r="W99" i="6"/>
  <c r="V99" i="6"/>
  <c r="AC98" i="6"/>
  <c r="AB98" i="6"/>
  <c r="AA98" i="6"/>
  <c r="Z98" i="6"/>
  <c r="V98" i="6"/>
  <c r="AC97" i="6"/>
  <c r="AB97" i="6"/>
  <c r="AA97" i="6"/>
  <c r="Z97" i="6"/>
  <c r="Y97" i="6"/>
  <c r="X97" i="6"/>
  <c r="W97" i="6"/>
  <c r="V97" i="6"/>
  <c r="AC96" i="6"/>
  <c r="AB96" i="6"/>
  <c r="AA96" i="6"/>
  <c r="Z96" i="6"/>
  <c r="Y96" i="6"/>
  <c r="X96" i="6"/>
  <c r="AC95" i="6"/>
  <c r="AB95" i="6"/>
  <c r="AA95" i="6"/>
  <c r="Z95" i="6"/>
  <c r="Y95" i="6"/>
  <c r="X95" i="6"/>
  <c r="AC94" i="6"/>
  <c r="AB94" i="6"/>
  <c r="AA94" i="6"/>
  <c r="Z94" i="6"/>
  <c r="Y94" i="6"/>
  <c r="X94" i="6"/>
  <c r="AC93" i="6"/>
  <c r="AB93" i="6"/>
  <c r="AA93" i="6"/>
  <c r="Z93" i="6"/>
  <c r="AC92" i="6"/>
  <c r="AB92" i="6"/>
  <c r="AA92" i="6"/>
  <c r="Z92" i="6"/>
  <c r="Y92" i="6"/>
  <c r="V92" i="6"/>
  <c r="AC91" i="6"/>
  <c r="AB91" i="6"/>
  <c r="AA91" i="6"/>
  <c r="Z91" i="6"/>
  <c r="Y91" i="6"/>
  <c r="X91" i="6"/>
  <c r="W91" i="6"/>
  <c r="V91" i="6"/>
  <c r="AC90" i="6"/>
  <c r="AB90" i="6"/>
  <c r="AA90" i="6"/>
  <c r="Z90" i="6"/>
  <c r="X90" i="6"/>
  <c r="AC89" i="6"/>
  <c r="AB89" i="6"/>
  <c r="AA89" i="6"/>
  <c r="Z89" i="6"/>
  <c r="X89" i="6"/>
  <c r="W89" i="6"/>
  <c r="V89" i="6"/>
  <c r="AC88" i="6"/>
  <c r="AB88" i="6"/>
  <c r="AA88" i="6"/>
  <c r="Z88" i="6"/>
  <c r="X88" i="6"/>
  <c r="AC87" i="6"/>
  <c r="AB87" i="6"/>
  <c r="AA87" i="6"/>
  <c r="Z87" i="6"/>
  <c r="Y87" i="6"/>
  <c r="X87" i="6"/>
  <c r="V87" i="6"/>
  <c r="AC86" i="6"/>
  <c r="AB86" i="6"/>
  <c r="AA86" i="6"/>
  <c r="Z86" i="6"/>
  <c r="Y86" i="6"/>
  <c r="X86" i="6"/>
  <c r="W86" i="6"/>
  <c r="V86" i="6"/>
  <c r="AC85" i="6"/>
  <c r="AB85" i="6"/>
  <c r="AA85" i="6"/>
  <c r="Z85" i="6"/>
  <c r="AC84" i="6"/>
  <c r="AB84" i="6"/>
  <c r="AA84" i="6"/>
  <c r="Z84" i="6"/>
  <c r="Y84" i="6"/>
  <c r="V84" i="6"/>
  <c r="AC83" i="6"/>
  <c r="AB83" i="6"/>
  <c r="AA83" i="6"/>
  <c r="Z83" i="6"/>
  <c r="Y83" i="6"/>
  <c r="X83" i="6"/>
  <c r="W83" i="6"/>
  <c r="V83" i="6"/>
  <c r="AC82" i="6"/>
  <c r="AB82" i="6"/>
  <c r="AA82" i="6"/>
  <c r="Z82" i="6"/>
  <c r="V82" i="6"/>
  <c r="AC81" i="6"/>
  <c r="AB81" i="6"/>
  <c r="AA81" i="6"/>
  <c r="Z81" i="6"/>
  <c r="Y81" i="6"/>
  <c r="X81" i="6"/>
  <c r="W81" i="6"/>
  <c r="V81" i="6"/>
  <c r="AC80" i="6"/>
  <c r="AB80" i="6"/>
  <c r="AA80" i="6"/>
  <c r="Z80" i="6"/>
  <c r="Y80" i="6"/>
  <c r="X80" i="6"/>
  <c r="AC79" i="6"/>
  <c r="AB79" i="6"/>
  <c r="AA79" i="6"/>
  <c r="Z79" i="6"/>
  <c r="Y79" i="6"/>
  <c r="X79" i="6"/>
  <c r="AC78" i="6"/>
  <c r="AB78" i="6"/>
  <c r="AA78" i="6"/>
  <c r="Z78" i="6"/>
  <c r="Y78" i="6"/>
  <c r="X78" i="6"/>
  <c r="AC77" i="6"/>
  <c r="AB77" i="6"/>
  <c r="AA77" i="6"/>
  <c r="Z77" i="6"/>
  <c r="AC76" i="6"/>
  <c r="AB76" i="6"/>
  <c r="AA76" i="6"/>
  <c r="Z76" i="6"/>
  <c r="Y76" i="6"/>
  <c r="V76" i="6"/>
  <c r="AC75" i="6"/>
  <c r="AB75" i="6"/>
  <c r="AA75" i="6"/>
  <c r="Z75" i="6"/>
  <c r="Y75" i="6"/>
  <c r="X75" i="6"/>
  <c r="W75" i="6"/>
  <c r="V75" i="6"/>
  <c r="AC74" i="6"/>
  <c r="AB74" i="6"/>
  <c r="AA74" i="6"/>
  <c r="Z74" i="6"/>
  <c r="X74" i="6"/>
  <c r="V74" i="6"/>
  <c r="AC73" i="6"/>
  <c r="AB73" i="6"/>
  <c r="AA73" i="6"/>
  <c r="Z73" i="6"/>
  <c r="Y73" i="6"/>
  <c r="X73" i="6"/>
  <c r="W73" i="6"/>
  <c r="V73" i="6"/>
  <c r="AC72" i="6"/>
  <c r="AB72" i="6"/>
  <c r="AA72" i="6"/>
  <c r="Z72" i="6"/>
  <c r="Y72" i="6"/>
  <c r="X72" i="6"/>
  <c r="W72" i="6"/>
  <c r="AC71" i="6"/>
  <c r="AB71" i="6"/>
  <c r="AA71" i="6"/>
  <c r="Z71" i="6"/>
  <c r="Y71" i="6"/>
  <c r="X71" i="6"/>
  <c r="W71" i="6"/>
  <c r="AC70" i="6"/>
  <c r="AB70" i="6"/>
  <c r="AA70" i="6"/>
  <c r="Z70" i="6"/>
  <c r="Y70" i="6"/>
  <c r="X70" i="6"/>
  <c r="W70" i="6"/>
  <c r="AC69" i="6"/>
  <c r="AB69" i="6"/>
  <c r="AA69" i="6"/>
  <c r="Z69" i="6"/>
  <c r="AC68" i="6"/>
  <c r="AB68" i="6"/>
  <c r="AA68" i="6"/>
  <c r="Z68" i="6"/>
  <c r="X68" i="6"/>
  <c r="V68" i="6"/>
  <c r="AC67" i="6"/>
  <c r="AB67" i="6"/>
  <c r="AA67" i="6"/>
  <c r="Z67" i="6"/>
  <c r="Y67" i="6"/>
  <c r="X67" i="6"/>
  <c r="W67" i="6"/>
  <c r="V67" i="6"/>
  <c r="AC66" i="6"/>
  <c r="AB66" i="6"/>
  <c r="AA66" i="6"/>
  <c r="Z66" i="6"/>
  <c r="Y66" i="6"/>
  <c r="W66" i="6"/>
  <c r="V66" i="6"/>
  <c r="AC65" i="6"/>
  <c r="AB65" i="6"/>
  <c r="AA65" i="6"/>
  <c r="Z65" i="6"/>
  <c r="Y65" i="6"/>
  <c r="X65" i="6"/>
  <c r="W65" i="6"/>
  <c r="V65" i="6"/>
  <c r="AC64" i="6"/>
  <c r="AB64" i="6"/>
  <c r="AA64" i="6"/>
  <c r="Z64" i="6"/>
  <c r="Y64" i="6"/>
  <c r="X64" i="6"/>
  <c r="AC63" i="6"/>
  <c r="AB63" i="6"/>
  <c r="AA63" i="6"/>
  <c r="Z63" i="6"/>
  <c r="Y63" i="6"/>
  <c r="X63" i="6"/>
  <c r="AC62" i="6"/>
  <c r="AB62" i="6"/>
  <c r="AA62" i="6"/>
  <c r="Z62" i="6"/>
  <c r="Y62" i="6"/>
  <c r="X62" i="6"/>
  <c r="V62" i="6"/>
  <c r="AC61" i="6"/>
  <c r="AB61" i="6"/>
  <c r="AA61" i="6"/>
  <c r="Z61" i="6"/>
  <c r="AC60" i="6"/>
  <c r="AB60" i="6"/>
  <c r="AA60" i="6"/>
  <c r="Z60" i="6"/>
  <c r="X60" i="6"/>
  <c r="W60" i="6"/>
  <c r="V60" i="6"/>
  <c r="AC59" i="6"/>
  <c r="AB59" i="6"/>
  <c r="AA59" i="6"/>
  <c r="Z59" i="6"/>
  <c r="Y59" i="6"/>
  <c r="X59" i="6"/>
  <c r="W59" i="6"/>
  <c r="V59" i="6"/>
  <c r="AC58" i="6"/>
  <c r="AB58" i="6"/>
  <c r="AA58" i="6"/>
  <c r="Z58" i="6"/>
  <c r="X58" i="6"/>
  <c r="V58" i="6"/>
  <c r="AC57" i="6"/>
  <c r="AB57" i="6"/>
  <c r="AA57" i="6"/>
  <c r="Z57" i="6"/>
  <c r="Y57" i="6"/>
  <c r="X57" i="6"/>
  <c r="W57" i="6"/>
  <c r="V57" i="6"/>
  <c r="AC56" i="6"/>
  <c r="AB56" i="6"/>
  <c r="AA56" i="6"/>
  <c r="Z56" i="6"/>
  <c r="Y56" i="6"/>
  <c r="X56" i="6"/>
  <c r="AC55" i="6"/>
  <c r="AB55" i="6"/>
  <c r="AA55" i="6"/>
  <c r="Z55" i="6"/>
  <c r="Y55" i="6"/>
  <c r="X55" i="6"/>
  <c r="AC54" i="6"/>
  <c r="AB54" i="6"/>
  <c r="AA54" i="6"/>
  <c r="Z54" i="6"/>
  <c r="Y54" i="6"/>
  <c r="X54" i="6"/>
  <c r="AC53" i="6"/>
  <c r="AB53" i="6"/>
  <c r="AA53" i="6"/>
  <c r="Z53" i="6"/>
  <c r="AC52" i="6"/>
  <c r="AB52" i="6"/>
  <c r="AA52" i="6"/>
  <c r="Z52" i="6"/>
  <c r="W52" i="6"/>
  <c r="V52" i="6"/>
  <c r="AC51" i="6"/>
  <c r="AB51" i="6"/>
  <c r="AA51" i="6"/>
  <c r="Z51" i="6"/>
  <c r="Y51" i="6"/>
  <c r="X51" i="6"/>
  <c r="W51" i="6"/>
  <c r="V51" i="6"/>
  <c r="AC50" i="6"/>
  <c r="AB50" i="6"/>
  <c r="AA50" i="6"/>
  <c r="Z50" i="6"/>
  <c r="V50" i="6"/>
  <c r="AC49" i="6"/>
  <c r="AB49" i="6"/>
  <c r="AA49" i="6"/>
  <c r="Z49" i="6"/>
  <c r="X49" i="6"/>
  <c r="W49" i="6"/>
  <c r="V49" i="6"/>
  <c r="AC48" i="6"/>
  <c r="AB48" i="6"/>
  <c r="AA48" i="6"/>
  <c r="Z48" i="6"/>
  <c r="X48" i="6"/>
  <c r="AC47" i="6"/>
  <c r="AB47" i="6"/>
  <c r="AA47" i="6"/>
  <c r="Z47" i="6"/>
  <c r="Y47" i="6"/>
  <c r="X47" i="6"/>
  <c r="AC46" i="6"/>
  <c r="AB46" i="6"/>
  <c r="AA46" i="6"/>
  <c r="Z46" i="6"/>
  <c r="Y46" i="6"/>
  <c r="X46" i="6"/>
  <c r="AC45" i="6"/>
  <c r="AB45" i="6"/>
  <c r="AA45" i="6"/>
  <c r="Z45" i="6"/>
  <c r="Y45" i="6"/>
  <c r="AC44" i="6"/>
  <c r="AB44" i="6"/>
  <c r="AA44" i="6"/>
  <c r="Z44" i="6"/>
  <c r="Y44" i="6"/>
  <c r="W44" i="6"/>
  <c r="V44" i="6"/>
  <c r="AC43" i="6"/>
  <c r="AB43" i="6"/>
  <c r="AA43" i="6"/>
  <c r="Z43" i="6"/>
  <c r="Y43" i="6"/>
  <c r="X43" i="6"/>
  <c r="W43" i="6"/>
  <c r="V43" i="6"/>
  <c r="AC42" i="6"/>
  <c r="AB42" i="6"/>
  <c r="AA42" i="6"/>
  <c r="Z42" i="6"/>
  <c r="Y42" i="6"/>
  <c r="V42" i="6"/>
  <c r="AC41" i="6"/>
  <c r="AB41" i="6"/>
  <c r="AA41" i="6"/>
  <c r="Z41" i="6"/>
  <c r="Y41" i="6"/>
  <c r="X41" i="6"/>
  <c r="W41" i="6"/>
  <c r="V41" i="6"/>
  <c r="AC40" i="6"/>
  <c r="AB40" i="6"/>
  <c r="AA40" i="6"/>
  <c r="Z40" i="6"/>
  <c r="Y40" i="6"/>
  <c r="X40" i="6"/>
  <c r="V40" i="6"/>
  <c r="AC39" i="6"/>
  <c r="AB39" i="6"/>
  <c r="AA39" i="6"/>
  <c r="Z39" i="6"/>
  <c r="Y39" i="6"/>
  <c r="X39" i="6"/>
  <c r="W39" i="6"/>
  <c r="V39" i="6"/>
  <c r="AC38" i="6"/>
  <c r="AB38" i="6"/>
  <c r="AA38" i="6"/>
  <c r="Z38" i="6"/>
  <c r="Y38" i="6"/>
  <c r="X38" i="6"/>
  <c r="W38" i="6"/>
  <c r="V38" i="6"/>
  <c r="AC37" i="6"/>
  <c r="AB37" i="6"/>
  <c r="AA37" i="6"/>
  <c r="Z37" i="6"/>
  <c r="AC36" i="6"/>
  <c r="AB36" i="6"/>
  <c r="AA36" i="6"/>
  <c r="Z36" i="6"/>
  <c r="W36" i="6"/>
  <c r="V36" i="6"/>
  <c r="AC35" i="6"/>
  <c r="AB35" i="6"/>
  <c r="AA35" i="6"/>
  <c r="Z35" i="6"/>
  <c r="Y35" i="6"/>
  <c r="X35" i="6"/>
  <c r="W35" i="6"/>
  <c r="V35" i="6"/>
  <c r="AC34" i="6"/>
  <c r="AB34" i="6"/>
  <c r="AA34" i="6"/>
  <c r="Z34" i="6"/>
  <c r="V34" i="6"/>
  <c r="AC33" i="6"/>
  <c r="AB33" i="6"/>
  <c r="AA33" i="6"/>
  <c r="Z33" i="6"/>
  <c r="Y33" i="6"/>
  <c r="X33" i="6"/>
  <c r="W33" i="6"/>
  <c r="V33" i="6"/>
  <c r="AC32" i="6"/>
  <c r="AB32" i="6"/>
  <c r="AA32" i="6"/>
  <c r="Z32" i="6"/>
  <c r="X32" i="6"/>
  <c r="AC31" i="6"/>
  <c r="AB31" i="6"/>
  <c r="AA31" i="6"/>
  <c r="Z31" i="6"/>
  <c r="Y31" i="6"/>
  <c r="X31" i="6"/>
  <c r="AC30" i="6"/>
  <c r="AB30" i="6"/>
  <c r="AA30" i="6"/>
  <c r="Z30" i="6"/>
  <c r="Y30" i="6"/>
  <c r="X30" i="6"/>
  <c r="V30" i="6"/>
  <c r="AC29" i="6"/>
  <c r="AB29" i="6"/>
  <c r="AA29" i="6"/>
  <c r="Z29" i="6"/>
  <c r="AC28" i="6"/>
  <c r="AB28" i="6"/>
  <c r="AA28" i="6"/>
  <c r="Z28" i="6"/>
  <c r="Y28" i="6"/>
  <c r="W28" i="6"/>
  <c r="V28" i="6"/>
  <c r="AC27" i="6"/>
  <c r="AB27" i="6"/>
  <c r="AA27" i="6"/>
  <c r="Z27" i="6"/>
  <c r="Y27" i="6"/>
  <c r="X27" i="6"/>
  <c r="W27" i="6"/>
  <c r="V27" i="6"/>
  <c r="AC26" i="6"/>
  <c r="AB26" i="6"/>
  <c r="AA26" i="6"/>
  <c r="Z26" i="6"/>
  <c r="Y26" i="6"/>
  <c r="V26" i="6"/>
  <c r="AC25" i="6"/>
  <c r="AB25" i="6"/>
  <c r="AA25" i="6"/>
  <c r="Z25" i="6"/>
  <c r="Y25" i="6"/>
  <c r="X25" i="6"/>
  <c r="W25" i="6"/>
  <c r="V25" i="6"/>
  <c r="AC24" i="6"/>
  <c r="AB24" i="6"/>
  <c r="AA24" i="6"/>
  <c r="Z24" i="6"/>
  <c r="Y24" i="6"/>
  <c r="X24" i="6"/>
  <c r="AC23" i="6"/>
  <c r="AB23" i="6"/>
  <c r="AA23" i="6"/>
  <c r="Z23" i="6"/>
  <c r="Y23" i="6"/>
  <c r="X23" i="6"/>
  <c r="AC22" i="6"/>
  <c r="AB22" i="6"/>
  <c r="AA22" i="6"/>
  <c r="Z22" i="6"/>
  <c r="Y22" i="6"/>
  <c r="X22" i="6"/>
  <c r="AC21" i="6"/>
  <c r="AB21" i="6"/>
  <c r="AA21" i="6"/>
  <c r="Z21" i="6"/>
  <c r="AC20" i="6"/>
  <c r="AB20" i="6"/>
  <c r="AA20" i="6"/>
  <c r="Z20" i="6"/>
  <c r="X20" i="6"/>
  <c r="W20" i="6"/>
  <c r="V20" i="6"/>
  <c r="AC19" i="6"/>
  <c r="AB19" i="6"/>
  <c r="AA19" i="6"/>
  <c r="Z19" i="6"/>
  <c r="Y19" i="6"/>
  <c r="X19" i="6"/>
  <c r="W19" i="6"/>
  <c r="V19" i="6"/>
  <c r="AC18" i="6"/>
  <c r="AB18" i="6"/>
  <c r="AA18" i="6"/>
  <c r="Z18" i="6"/>
  <c r="X18" i="6"/>
  <c r="V18" i="6"/>
  <c r="AC17" i="6"/>
  <c r="AB17" i="6"/>
  <c r="AA17" i="6"/>
  <c r="Z17" i="6"/>
  <c r="Y17" i="6"/>
  <c r="X17" i="6"/>
  <c r="W17" i="6"/>
  <c r="V17" i="6"/>
  <c r="AC16" i="6"/>
  <c r="AB16" i="6"/>
  <c r="AA16" i="6"/>
  <c r="Z16" i="6"/>
  <c r="Y16" i="6"/>
  <c r="X16" i="6"/>
  <c r="AC15" i="6"/>
  <c r="AB15" i="6"/>
  <c r="AA15" i="6"/>
  <c r="Z15" i="6"/>
  <c r="Y15" i="6"/>
  <c r="X15" i="6"/>
  <c r="AC14" i="6"/>
  <c r="AB14" i="6"/>
  <c r="AA14" i="6"/>
  <c r="Z14" i="6"/>
  <c r="Y14" i="6"/>
  <c r="X14" i="6"/>
  <c r="AC13" i="6"/>
  <c r="AB13" i="6"/>
  <c r="AA13" i="6"/>
  <c r="Z13" i="6"/>
  <c r="AC12" i="6"/>
  <c r="AB12" i="6"/>
  <c r="AA12" i="6"/>
  <c r="Z12" i="6"/>
  <c r="W12" i="6"/>
  <c r="V12" i="6"/>
  <c r="AC11" i="6"/>
  <c r="AB11" i="6"/>
  <c r="AA11" i="6"/>
  <c r="Z11" i="6"/>
  <c r="Y11" i="6"/>
  <c r="X11" i="6"/>
  <c r="W11" i="6"/>
  <c r="AC10" i="6"/>
  <c r="AB10" i="6"/>
  <c r="AA10" i="6"/>
  <c r="Z10" i="6"/>
  <c r="AC9" i="6"/>
  <c r="AB9" i="6"/>
  <c r="AA9" i="6"/>
  <c r="Z9" i="6"/>
  <c r="Y9" i="6"/>
  <c r="X9" i="6"/>
  <c r="W9" i="6"/>
  <c r="AC8" i="6"/>
  <c r="AB8" i="6"/>
  <c r="AA8" i="6"/>
  <c r="Z8" i="6"/>
  <c r="Y8" i="6"/>
  <c r="X8" i="6"/>
  <c r="AC7" i="6"/>
  <c r="AB7" i="6"/>
  <c r="AA7" i="6"/>
  <c r="Z7" i="6"/>
  <c r="Y7" i="6"/>
  <c r="X7" i="6"/>
  <c r="O7" i="6"/>
  <c r="AC6" i="6"/>
  <c r="AB6" i="6"/>
  <c r="AA6" i="6"/>
  <c r="Z6" i="6"/>
  <c r="Y6" i="6"/>
  <c r="X6" i="6"/>
  <c r="W6" i="6"/>
  <c r="O6" i="6"/>
  <c r="AC5" i="6"/>
  <c r="AB5" i="6"/>
  <c r="AA5" i="6"/>
  <c r="Z5" i="6"/>
  <c r="W5" i="6"/>
  <c r="O5" i="6"/>
  <c r="S4" i="6"/>
  <c r="T4" i="6" s="1"/>
  <c r="O4" i="6"/>
  <c r="S9" i="2"/>
  <c r="S7" i="2"/>
  <c r="S6" i="2"/>
  <c r="AB205" i="6" l="1"/>
  <c r="V205" i="6"/>
  <c r="Y205" i="6"/>
  <c r="AC205" i="6"/>
  <c r="W205" i="6"/>
  <c r="Z205" i="6"/>
  <c r="AA205" i="6"/>
  <c r="X10" i="6"/>
  <c r="X205" i="6" s="1"/>
  <c r="AC206" i="6" l="1"/>
  <c r="AA206" i="6"/>
  <c r="Y206" i="6"/>
  <c r="W206" i="6"/>
  <c r="U206" i="2" l="1"/>
  <c r="U207" i="2"/>
  <c r="U208" i="2"/>
  <c r="U209" i="2"/>
  <c r="S206" i="2"/>
  <c r="S207" i="2"/>
  <c r="S208" i="2"/>
  <c r="S209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L9" i="2" l="1"/>
  <c r="L8" i="2"/>
  <c r="L7" i="2"/>
  <c r="L5" i="2"/>
  <c r="L6" i="2"/>
  <c r="Z94" i="2"/>
  <c r="Y35" i="2"/>
  <c r="Y99" i="2"/>
  <c r="Z37" i="2"/>
  <c r="Y204" i="2"/>
  <c r="Z156" i="2"/>
  <c r="Y74" i="2"/>
  <c r="Y20" i="2"/>
  <c r="Z199" i="2"/>
  <c r="Y45" i="2"/>
  <c r="Z171" i="2"/>
  <c r="Z12" i="2"/>
  <c r="Z147" i="2"/>
  <c r="Z107" i="2"/>
  <c r="Y55" i="2"/>
  <c r="Z180" i="2"/>
  <c r="Z175" i="2"/>
  <c r="Y129" i="2"/>
  <c r="Z83" i="2"/>
  <c r="Y83" i="2"/>
  <c r="Z64" i="2"/>
  <c r="Y112" i="2"/>
  <c r="Z184" i="2"/>
  <c r="Z7" i="2"/>
  <c r="Y97" i="2"/>
  <c r="Y58" i="2"/>
  <c r="Y160" i="2"/>
  <c r="Z113" i="2"/>
  <c r="Y159" i="2"/>
  <c r="Z124" i="2"/>
  <c r="Z23" i="2"/>
  <c r="Z8" i="2"/>
  <c r="Y88" i="2"/>
  <c r="Z100" i="2"/>
  <c r="Y30" i="2"/>
  <c r="Z181" i="2"/>
  <c r="Z26" i="2"/>
  <c r="Z82" i="2"/>
  <c r="Z59" i="2"/>
  <c r="Y193" i="2"/>
  <c r="Z39" i="2"/>
  <c r="Z74" i="2"/>
  <c r="Y106" i="2"/>
  <c r="Z193" i="2"/>
  <c r="Z191" i="2"/>
  <c r="Z176" i="2"/>
  <c r="Z139" i="2"/>
  <c r="Y117" i="2"/>
  <c r="Z205" i="2"/>
  <c r="Y192" i="2"/>
  <c r="Z194" i="2"/>
  <c r="Y86" i="2"/>
  <c r="Z158" i="2"/>
  <c r="Z121" i="2"/>
  <c r="Y113" i="2"/>
  <c r="Z31" i="2"/>
  <c r="Z157" i="2"/>
  <c r="Y150" i="2"/>
  <c r="Z130" i="2"/>
  <c r="Y19" i="2"/>
  <c r="Y120" i="2"/>
  <c r="Y183" i="2"/>
  <c r="Z92" i="2"/>
  <c r="Z36" i="2"/>
  <c r="Y131" i="2"/>
  <c r="Y176" i="2"/>
  <c r="Y8" i="2"/>
  <c r="Z110" i="2"/>
  <c r="Y37" i="2"/>
  <c r="Z189" i="2"/>
  <c r="Z143" i="2"/>
  <c r="Z98" i="2"/>
  <c r="Z173" i="2"/>
  <c r="Z43" i="2"/>
  <c r="Y24" i="2"/>
  <c r="Y166" i="2"/>
  <c r="Y108" i="2"/>
  <c r="Z192" i="2"/>
  <c r="Z73" i="2"/>
  <c r="Y133" i="2"/>
  <c r="Y199" i="2"/>
  <c r="Y56" i="2"/>
  <c r="Y177" i="2"/>
  <c r="Y155" i="2"/>
  <c r="Z78" i="2"/>
  <c r="Z160" i="2"/>
  <c r="Z86" i="2"/>
  <c r="Y185" i="2"/>
  <c r="Z187" i="2"/>
  <c r="Z159" i="2"/>
  <c r="Z63" i="2"/>
  <c r="Y114" i="2"/>
  <c r="Z138" i="2"/>
  <c r="Z20" i="2"/>
  <c r="Z99" i="2"/>
  <c r="Z6" i="2"/>
  <c r="Y27" i="2"/>
  <c r="Z142" i="2"/>
  <c r="Z15" i="2"/>
  <c r="Y169" i="2"/>
  <c r="Y10" i="2"/>
  <c r="Z126" i="2"/>
  <c r="Y151" i="2"/>
  <c r="Y39" i="2"/>
  <c r="Z87" i="2"/>
  <c r="Z182" i="2"/>
  <c r="Z141" i="2"/>
  <c r="Y175" i="2"/>
  <c r="Y80" i="2"/>
  <c r="Z85" i="2"/>
  <c r="Z150" i="2"/>
  <c r="Y142" i="2"/>
  <c r="Z89" i="2"/>
  <c r="Y54" i="2"/>
  <c r="Y172" i="2"/>
  <c r="Z16" i="2"/>
  <c r="Y119" i="2"/>
  <c r="Y188" i="2"/>
  <c r="Y75" i="2"/>
  <c r="Y57" i="2"/>
  <c r="Z188" i="2"/>
  <c r="Y14" i="2"/>
  <c r="Z152" i="2"/>
  <c r="Y109" i="2"/>
  <c r="Z134" i="2"/>
  <c r="Y154" i="2"/>
  <c r="Y22" i="2"/>
  <c r="Z34" i="2"/>
  <c r="Z48" i="2"/>
  <c r="Z10" i="2"/>
  <c r="Z106" i="2"/>
  <c r="Y87" i="2"/>
  <c r="Z164" i="2"/>
  <c r="Y111" i="2"/>
  <c r="Y101" i="2"/>
  <c r="Z177" i="2"/>
  <c r="Z24" i="2"/>
  <c r="Y9" i="2"/>
  <c r="Y181" i="2"/>
  <c r="Y191" i="2"/>
  <c r="Z71" i="2"/>
  <c r="Y16" i="2"/>
  <c r="Z149" i="2"/>
  <c r="Z49" i="2"/>
  <c r="Z200" i="2"/>
  <c r="Y163" i="2"/>
  <c r="Z68" i="2"/>
  <c r="Y140" i="2"/>
  <c r="Y85" i="2"/>
  <c r="Z55" i="2"/>
  <c r="Y165" i="2"/>
  <c r="Y42" i="2"/>
  <c r="Y49" i="2"/>
  <c r="Z80" i="2"/>
  <c r="Z163" i="2"/>
  <c r="Y28" i="2"/>
  <c r="Y38" i="2"/>
  <c r="Y194" i="2"/>
  <c r="Z47" i="2"/>
  <c r="Y195" i="2"/>
  <c r="Z53" i="2"/>
  <c r="Z9" i="2"/>
  <c r="Z96" i="2"/>
  <c r="Y115" i="2"/>
  <c r="Z51" i="2"/>
  <c r="Y203" i="2"/>
  <c r="Y171" i="2"/>
  <c r="Y167" i="2"/>
  <c r="Y162" i="2"/>
  <c r="Y31" i="2"/>
  <c r="Z40" i="2"/>
  <c r="Y67" i="2"/>
  <c r="Y73" i="2"/>
  <c r="Z195" i="2"/>
  <c r="Y126" i="2"/>
  <c r="Z61" i="2"/>
  <c r="Z102" i="2"/>
  <c r="Z204" i="2"/>
  <c r="Z154" i="2"/>
  <c r="Z14" i="2"/>
  <c r="Z201" i="2"/>
  <c r="Z13" i="2"/>
  <c r="Y23" i="2"/>
  <c r="Z62" i="2"/>
  <c r="Z128" i="2"/>
  <c r="Z190" i="2"/>
  <c r="Z105" i="2"/>
  <c r="Y174" i="2"/>
  <c r="Y63" i="2"/>
  <c r="Y66" i="2"/>
  <c r="Z125" i="2"/>
  <c r="Y141" i="2"/>
  <c r="Z79" i="2"/>
  <c r="Y134" i="2"/>
  <c r="Z203" i="2"/>
  <c r="Z75" i="2"/>
  <c r="Y118" i="2"/>
  <c r="Z169" i="2"/>
  <c r="Z165" i="2"/>
  <c r="Y198" i="2"/>
  <c r="Z103" i="2"/>
  <c r="Y94" i="2"/>
  <c r="Z183" i="2"/>
  <c r="Y200" i="2"/>
  <c r="Y116" i="2"/>
  <c r="Y137" i="2"/>
  <c r="Y44" i="2"/>
  <c r="Z54" i="2"/>
  <c r="Z35" i="2"/>
  <c r="Y196" i="2"/>
  <c r="Y173" i="2"/>
  <c r="Z50" i="2"/>
  <c r="Z198" i="2"/>
  <c r="Y186" i="2"/>
  <c r="Z178" i="2"/>
  <c r="Z22" i="2"/>
  <c r="Y161" i="2"/>
  <c r="Z170" i="2"/>
  <c r="Y48" i="2"/>
  <c r="Z77" i="2"/>
  <c r="Y187" i="2"/>
  <c r="Z45" i="2"/>
  <c r="Y105" i="2"/>
  <c r="Z144" i="2"/>
  <c r="Z114" i="2"/>
  <c r="Z123" i="2"/>
  <c r="Z19" i="2"/>
  <c r="Z91" i="2"/>
  <c r="Y60" i="2"/>
  <c r="Y190" i="2"/>
  <c r="Z186" i="2"/>
  <c r="Y202" i="2"/>
  <c r="Z196" i="2"/>
  <c r="Y91" i="2"/>
  <c r="Z60" i="2"/>
  <c r="Y152" i="2"/>
  <c r="Z140" i="2"/>
  <c r="Y179" i="2"/>
  <c r="Z197" i="2"/>
  <c r="Z145" i="2"/>
  <c r="Z161" i="2"/>
  <c r="Y25" i="2"/>
  <c r="Y182" i="2"/>
  <c r="Z108" i="2"/>
  <c r="Z21" i="2"/>
  <c r="Y61" i="2"/>
  <c r="Z118" i="2"/>
  <c r="Z29" i="2"/>
  <c r="Y158" i="2"/>
  <c r="Y64" i="2"/>
  <c r="Y62" i="2"/>
  <c r="Z174" i="2"/>
  <c r="Y100" i="2"/>
  <c r="Z46" i="2"/>
  <c r="Z129" i="2"/>
  <c r="Z66" i="2"/>
  <c r="Y93" i="2"/>
  <c r="Z18" i="2"/>
  <c r="Z33" i="2"/>
  <c r="Z185" i="2"/>
  <c r="Z127" i="2"/>
  <c r="Y143" i="2"/>
  <c r="Z104" i="2"/>
  <c r="Z112" i="2"/>
  <c r="Y43" i="2"/>
  <c r="Y121" i="2"/>
  <c r="Y98" i="2"/>
  <c r="Z148" i="2"/>
  <c r="Y50" i="2"/>
  <c r="Z146" i="2"/>
  <c r="Y40" i="2"/>
  <c r="Y157" i="2"/>
  <c r="Z166" i="2"/>
  <c r="Z122" i="2"/>
  <c r="Z115" i="2"/>
  <c r="Z84" i="2"/>
  <c r="Y18" i="2"/>
  <c r="Z136" i="2"/>
  <c r="Y72" i="2"/>
  <c r="Z32" i="2"/>
  <c r="Y47" i="2"/>
  <c r="Y34" i="2"/>
  <c r="Z131" i="2"/>
  <c r="Z28" i="2"/>
  <c r="Z65" i="2"/>
  <c r="Z81" i="2"/>
  <c r="Y7" i="2"/>
  <c r="Z116" i="2"/>
  <c r="Y90" i="2"/>
  <c r="Z120" i="2"/>
  <c r="Y164" i="2"/>
  <c r="Y79" i="2"/>
  <c r="Y52" i="2"/>
  <c r="Z93" i="2"/>
  <c r="Y136" i="2"/>
  <c r="Y21" i="2"/>
  <c r="Y69" i="2"/>
  <c r="Y32" i="2"/>
  <c r="Z172" i="2"/>
  <c r="Y82" i="2"/>
  <c r="Z137" i="2"/>
  <c r="Y84" i="2"/>
  <c r="Y139" i="2"/>
  <c r="Y135" i="2"/>
  <c r="Z69" i="2"/>
  <c r="Z97" i="2"/>
  <c r="Y12" i="2"/>
  <c r="Y180" i="2"/>
  <c r="Y81" i="2"/>
  <c r="Y95" i="2"/>
  <c r="Z57" i="2"/>
  <c r="Z41" i="2"/>
  <c r="Y13" i="2"/>
  <c r="Y122" i="2"/>
  <c r="Y104" i="2"/>
  <c r="Z132" i="2"/>
  <c r="Y132" i="2"/>
  <c r="Z76" i="2"/>
  <c r="Y205" i="2"/>
  <c r="Y41" i="2"/>
  <c r="Y77" i="2"/>
  <c r="Y70" i="2"/>
  <c r="Z38" i="2"/>
  <c r="Z151" i="2"/>
  <c r="Y6" i="2"/>
  <c r="Y130" i="2"/>
  <c r="Z70" i="2"/>
  <c r="Z111" i="2"/>
  <c r="Z58" i="2"/>
  <c r="Z17" i="2"/>
  <c r="Z88" i="2"/>
  <c r="Y68" i="2"/>
  <c r="Y26" i="2"/>
  <c r="Z101" i="2"/>
  <c r="Z90" i="2"/>
  <c r="Y76" i="2"/>
  <c r="Y124" i="2"/>
  <c r="Y170" i="2"/>
  <c r="Y201" i="2"/>
  <c r="Y29" i="2"/>
  <c r="Y144" i="2"/>
  <c r="Z27" i="2"/>
  <c r="Z162" i="2"/>
  <c r="Y53" i="2"/>
  <c r="Y110" i="2"/>
  <c r="Z133" i="2"/>
  <c r="Y138" i="2"/>
  <c r="Y78" i="2"/>
  <c r="Z67" i="2"/>
  <c r="Y156" i="2"/>
  <c r="Z52" i="2"/>
  <c r="Y148" i="2"/>
  <c r="Z25" i="2"/>
  <c r="Z202" i="2"/>
  <c r="Y189" i="2"/>
  <c r="Y36" i="2"/>
  <c r="Y92" i="2"/>
  <c r="Z135" i="2"/>
  <c r="Y168" i="2"/>
  <c r="Y46" i="2"/>
  <c r="Y59" i="2"/>
  <c r="Y178" i="2"/>
  <c r="Y127" i="2"/>
  <c r="Y51" i="2"/>
  <c r="Y145" i="2"/>
  <c r="Z153" i="2"/>
  <c r="Y96" i="2"/>
  <c r="Z168" i="2"/>
  <c r="Z119" i="2"/>
  <c r="Y15" i="2"/>
  <c r="Y197" i="2"/>
  <c r="Y147" i="2"/>
  <c r="Y17" i="2"/>
  <c r="Y103" i="2"/>
  <c r="Y65" i="2"/>
  <c r="Y71" i="2"/>
  <c r="Y149" i="2"/>
  <c r="Z179" i="2"/>
  <c r="Y128" i="2"/>
  <c r="Y33" i="2"/>
  <c r="Z11" i="2"/>
  <c r="Y89" i="2"/>
  <c r="Z109" i="2"/>
  <c r="Y11" i="2"/>
  <c r="Z155" i="2"/>
  <c r="Y125" i="2"/>
  <c r="Z44" i="2"/>
  <c r="Z56" i="2"/>
  <c r="Y107" i="2"/>
  <c r="Y123" i="2"/>
  <c r="Z167" i="2"/>
  <c r="Y146" i="2"/>
  <c r="Z30" i="2"/>
  <c r="Y102" i="2"/>
  <c r="Z95" i="2"/>
  <c r="Z72" i="2"/>
  <c r="Y153" i="2"/>
  <c r="Z117" i="2"/>
  <c r="Y184" i="2"/>
  <c r="Z42" i="2"/>
  <c r="X94" i="2"/>
  <c r="W35" i="2"/>
  <c r="W99" i="2"/>
  <c r="X37" i="2"/>
  <c r="W204" i="2"/>
  <c r="X156" i="2"/>
  <c r="W74" i="2"/>
  <c r="W20" i="2"/>
  <c r="X199" i="2"/>
  <c r="W45" i="2"/>
  <c r="X171" i="2"/>
  <c r="X12" i="2"/>
  <c r="X147" i="2"/>
  <c r="X107" i="2"/>
  <c r="W55" i="2"/>
  <c r="X180" i="2"/>
  <c r="X175" i="2"/>
  <c r="W129" i="2"/>
  <c r="X83" i="2"/>
  <c r="W83" i="2"/>
  <c r="X64" i="2"/>
  <c r="W112" i="2"/>
  <c r="X184" i="2"/>
  <c r="X7" i="2"/>
  <c r="W97" i="2"/>
  <c r="W58" i="2"/>
  <c r="W160" i="2"/>
  <c r="X113" i="2"/>
  <c r="W159" i="2"/>
  <c r="X124" i="2"/>
  <c r="X23" i="2"/>
  <c r="X8" i="2"/>
  <c r="W88" i="2"/>
  <c r="X100" i="2"/>
  <c r="W30" i="2"/>
  <c r="X181" i="2"/>
  <c r="X26" i="2"/>
  <c r="X82" i="2"/>
  <c r="X59" i="2"/>
  <c r="W193" i="2"/>
  <c r="X39" i="2"/>
  <c r="X74" i="2"/>
  <c r="W106" i="2"/>
  <c r="X193" i="2"/>
  <c r="X191" i="2"/>
  <c r="X176" i="2"/>
  <c r="X139" i="2"/>
  <c r="W117" i="2"/>
  <c r="X205" i="2"/>
  <c r="W192" i="2"/>
  <c r="X194" i="2"/>
  <c r="W86" i="2"/>
  <c r="X158" i="2"/>
  <c r="X121" i="2"/>
  <c r="W113" i="2"/>
  <c r="X31" i="2"/>
  <c r="X157" i="2"/>
  <c r="W150" i="2"/>
  <c r="X130" i="2"/>
  <c r="W19" i="2"/>
  <c r="W120" i="2"/>
  <c r="W183" i="2"/>
  <c r="X92" i="2"/>
  <c r="X36" i="2"/>
  <c r="W131" i="2"/>
  <c r="W176" i="2"/>
  <c r="W8" i="2"/>
  <c r="X110" i="2"/>
  <c r="W37" i="2"/>
  <c r="X189" i="2"/>
  <c r="X143" i="2"/>
  <c r="X98" i="2"/>
  <c r="X173" i="2"/>
  <c r="X43" i="2"/>
  <c r="W24" i="2"/>
  <c r="W166" i="2"/>
  <c r="W108" i="2"/>
  <c r="X192" i="2"/>
  <c r="X73" i="2"/>
  <c r="W133" i="2"/>
  <c r="W199" i="2"/>
  <c r="W56" i="2"/>
  <c r="W177" i="2"/>
  <c r="W155" i="2"/>
  <c r="X78" i="2"/>
  <c r="X160" i="2"/>
  <c r="X86" i="2"/>
  <c r="W185" i="2"/>
  <c r="X187" i="2"/>
  <c r="X159" i="2"/>
  <c r="X63" i="2"/>
  <c r="W114" i="2"/>
  <c r="X138" i="2"/>
  <c r="X20" i="2"/>
  <c r="X99" i="2"/>
  <c r="X6" i="2"/>
  <c r="W27" i="2"/>
  <c r="X142" i="2"/>
  <c r="X15" i="2"/>
  <c r="W169" i="2"/>
  <c r="W10" i="2"/>
  <c r="X126" i="2"/>
  <c r="W151" i="2"/>
  <c r="W39" i="2"/>
  <c r="X87" i="2"/>
  <c r="X182" i="2"/>
  <c r="X141" i="2"/>
  <c r="W175" i="2"/>
  <c r="W80" i="2"/>
  <c r="X85" i="2"/>
  <c r="X150" i="2"/>
  <c r="W142" i="2"/>
  <c r="X89" i="2"/>
  <c r="W54" i="2"/>
  <c r="W172" i="2"/>
  <c r="X16" i="2"/>
  <c r="W119" i="2"/>
  <c r="W188" i="2"/>
  <c r="W75" i="2"/>
  <c r="W57" i="2"/>
  <c r="X188" i="2"/>
  <c r="W14" i="2"/>
  <c r="X152" i="2"/>
  <c r="W109" i="2"/>
  <c r="X134" i="2"/>
  <c r="W154" i="2"/>
  <c r="W22" i="2"/>
  <c r="X34" i="2"/>
  <c r="X48" i="2"/>
  <c r="X10" i="2"/>
  <c r="X106" i="2"/>
  <c r="W87" i="2"/>
  <c r="X164" i="2"/>
  <c r="W111" i="2"/>
  <c r="W101" i="2"/>
  <c r="X177" i="2"/>
  <c r="X24" i="2"/>
  <c r="W9" i="2"/>
  <c r="W181" i="2"/>
  <c r="W191" i="2"/>
  <c r="X71" i="2"/>
  <c r="W16" i="2"/>
  <c r="X149" i="2"/>
  <c r="X49" i="2"/>
  <c r="X200" i="2"/>
  <c r="W163" i="2"/>
  <c r="X68" i="2"/>
  <c r="W140" i="2"/>
  <c r="W85" i="2"/>
  <c r="X55" i="2"/>
  <c r="W165" i="2"/>
  <c r="W42" i="2"/>
  <c r="W49" i="2"/>
  <c r="X80" i="2"/>
  <c r="X163" i="2"/>
  <c r="W28" i="2"/>
  <c r="W38" i="2"/>
  <c r="W194" i="2"/>
  <c r="X47" i="2"/>
  <c r="W195" i="2"/>
  <c r="X53" i="2"/>
  <c r="X9" i="2"/>
  <c r="X96" i="2"/>
  <c r="W115" i="2"/>
  <c r="X51" i="2"/>
  <c r="W203" i="2"/>
  <c r="W171" i="2"/>
  <c r="W167" i="2"/>
  <c r="W162" i="2"/>
  <c r="W31" i="2"/>
  <c r="X40" i="2"/>
  <c r="W67" i="2"/>
  <c r="W73" i="2"/>
  <c r="X195" i="2"/>
  <c r="W126" i="2"/>
  <c r="X61" i="2"/>
  <c r="X102" i="2"/>
  <c r="X204" i="2"/>
  <c r="X154" i="2"/>
  <c r="X14" i="2"/>
  <c r="X201" i="2"/>
  <c r="X13" i="2"/>
  <c r="W23" i="2"/>
  <c r="X62" i="2"/>
  <c r="X128" i="2"/>
  <c r="X190" i="2"/>
  <c r="X105" i="2"/>
  <c r="W174" i="2"/>
  <c r="W63" i="2"/>
  <c r="W66" i="2"/>
  <c r="X125" i="2"/>
  <c r="W141" i="2"/>
  <c r="X79" i="2"/>
  <c r="W134" i="2"/>
  <c r="X203" i="2"/>
  <c r="X75" i="2"/>
  <c r="W118" i="2"/>
  <c r="X169" i="2"/>
  <c r="X165" i="2"/>
  <c r="W198" i="2"/>
  <c r="X103" i="2"/>
  <c r="W94" i="2"/>
  <c r="X183" i="2"/>
  <c r="W200" i="2"/>
  <c r="W116" i="2"/>
  <c r="W137" i="2"/>
  <c r="W44" i="2"/>
  <c r="X54" i="2"/>
  <c r="X35" i="2"/>
  <c r="W196" i="2"/>
  <c r="W173" i="2"/>
  <c r="X50" i="2"/>
  <c r="X198" i="2"/>
  <c r="W186" i="2"/>
  <c r="X178" i="2"/>
  <c r="X22" i="2"/>
  <c r="W161" i="2"/>
  <c r="X170" i="2"/>
  <c r="W48" i="2"/>
  <c r="X77" i="2"/>
  <c r="W187" i="2"/>
  <c r="X45" i="2"/>
  <c r="W105" i="2"/>
  <c r="X144" i="2"/>
  <c r="X114" i="2"/>
  <c r="X123" i="2"/>
  <c r="X19" i="2"/>
  <c r="X91" i="2"/>
  <c r="W60" i="2"/>
  <c r="W190" i="2"/>
  <c r="X186" i="2"/>
  <c r="W202" i="2"/>
  <c r="X196" i="2"/>
  <c r="W91" i="2"/>
  <c r="X60" i="2"/>
  <c r="W152" i="2"/>
  <c r="X140" i="2"/>
  <c r="W179" i="2"/>
  <c r="X197" i="2"/>
  <c r="X145" i="2"/>
  <c r="X161" i="2"/>
  <c r="W25" i="2"/>
  <c r="W182" i="2"/>
  <c r="X108" i="2"/>
  <c r="X21" i="2"/>
  <c r="W61" i="2"/>
  <c r="X118" i="2"/>
  <c r="X29" i="2"/>
  <c r="W158" i="2"/>
  <c r="W64" i="2"/>
  <c r="W62" i="2"/>
  <c r="X174" i="2"/>
  <c r="W100" i="2"/>
  <c r="X46" i="2"/>
  <c r="X129" i="2"/>
  <c r="X66" i="2"/>
  <c r="W93" i="2"/>
  <c r="X18" i="2"/>
  <c r="X33" i="2"/>
  <c r="X185" i="2"/>
  <c r="X127" i="2"/>
  <c r="W143" i="2"/>
  <c r="X104" i="2"/>
  <c r="X112" i="2"/>
  <c r="W43" i="2"/>
  <c r="W121" i="2"/>
  <c r="W98" i="2"/>
  <c r="X148" i="2"/>
  <c r="W50" i="2"/>
  <c r="X146" i="2"/>
  <c r="W40" i="2"/>
  <c r="W157" i="2"/>
  <c r="X166" i="2"/>
  <c r="X122" i="2"/>
  <c r="X115" i="2"/>
  <c r="X84" i="2"/>
  <c r="W18" i="2"/>
  <c r="X136" i="2"/>
  <c r="W72" i="2"/>
  <c r="X32" i="2"/>
  <c r="W47" i="2"/>
  <c r="W34" i="2"/>
  <c r="X131" i="2"/>
  <c r="X28" i="2"/>
  <c r="X65" i="2"/>
  <c r="X81" i="2"/>
  <c r="W7" i="2"/>
  <c r="X116" i="2"/>
  <c r="W90" i="2"/>
  <c r="X120" i="2"/>
  <c r="W164" i="2"/>
  <c r="W79" i="2"/>
  <c r="W52" i="2"/>
  <c r="X93" i="2"/>
  <c r="W136" i="2"/>
  <c r="W21" i="2"/>
  <c r="W69" i="2"/>
  <c r="W32" i="2"/>
  <c r="X172" i="2"/>
  <c r="W82" i="2"/>
  <c r="X137" i="2"/>
  <c r="W84" i="2"/>
  <c r="W139" i="2"/>
  <c r="W135" i="2"/>
  <c r="X69" i="2"/>
  <c r="X97" i="2"/>
  <c r="W12" i="2"/>
  <c r="W180" i="2"/>
  <c r="W81" i="2"/>
  <c r="W95" i="2"/>
  <c r="X57" i="2"/>
  <c r="X41" i="2"/>
  <c r="W13" i="2"/>
  <c r="W122" i="2"/>
  <c r="W104" i="2"/>
  <c r="X132" i="2"/>
  <c r="W132" i="2"/>
  <c r="X76" i="2"/>
  <c r="W205" i="2"/>
  <c r="W41" i="2"/>
  <c r="W77" i="2"/>
  <c r="W70" i="2"/>
  <c r="X38" i="2"/>
  <c r="X151" i="2"/>
  <c r="W6" i="2"/>
  <c r="W130" i="2"/>
  <c r="X70" i="2"/>
  <c r="X111" i="2"/>
  <c r="X58" i="2"/>
  <c r="X17" i="2"/>
  <c r="X88" i="2"/>
  <c r="W68" i="2"/>
  <c r="W26" i="2"/>
  <c r="X101" i="2"/>
  <c r="X90" i="2"/>
  <c r="W76" i="2"/>
  <c r="W124" i="2"/>
  <c r="W170" i="2"/>
  <c r="W201" i="2"/>
  <c r="W29" i="2"/>
  <c r="W144" i="2"/>
  <c r="X27" i="2"/>
  <c r="X162" i="2"/>
  <c r="W53" i="2"/>
  <c r="W110" i="2"/>
  <c r="X133" i="2"/>
  <c r="W138" i="2"/>
  <c r="W78" i="2"/>
  <c r="X67" i="2"/>
  <c r="W156" i="2"/>
  <c r="X52" i="2"/>
  <c r="W148" i="2"/>
  <c r="X25" i="2"/>
  <c r="X202" i="2"/>
  <c r="W189" i="2"/>
  <c r="W36" i="2"/>
  <c r="W92" i="2"/>
  <c r="X135" i="2"/>
  <c r="W168" i="2"/>
  <c r="W46" i="2"/>
  <c r="W59" i="2"/>
  <c r="W178" i="2"/>
  <c r="W127" i="2"/>
  <c r="W51" i="2"/>
  <c r="W145" i="2"/>
  <c r="X153" i="2"/>
  <c r="W96" i="2"/>
  <c r="X168" i="2"/>
  <c r="X119" i="2"/>
  <c r="W15" i="2"/>
  <c r="W197" i="2"/>
  <c r="W147" i="2"/>
  <c r="W17" i="2"/>
  <c r="W103" i="2"/>
  <c r="W65" i="2"/>
  <c r="W71" i="2"/>
  <c r="W149" i="2"/>
  <c r="X179" i="2"/>
  <c r="W128" i="2"/>
  <c r="W33" i="2"/>
  <c r="X11" i="2"/>
  <c r="W89" i="2"/>
  <c r="X109" i="2"/>
  <c r="W11" i="2"/>
  <c r="X155" i="2"/>
  <c r="W125" i="2"/>
  <c r="X44" i="2"/>
  <c r="X56" i="2"/>
  <c r="W107" i="2"/>
  <c r="W123" i="2"/>
  <c r="X167" i="2"/>
  <c r="W146" i="2"/>
  <c r="X30" i="2"/>
  <c r="W102" i="2"/>
  <c r="X95" i="2"/>
  <c r="X72" i="2"/>
  <c r="W153" i="2"/>
  <c r="X117" i="2"/>
  <c r="W184" i="2"/>
  <c r="X42" i="2"/>
  <c r="V94" i="2"/>
  <c r="U35" i="2"/>
  <c r="U99" i="2"/>
  <c r="V37" i="2"/>
  <c r="U204" i="2"/>
  <c r="V156" i="2"/>
  <c r="U74" i="2"/>
  <c r="U20" i="2"/>
  <c r="V199" i="2"/>
  <c r="U45" i="2"/>
  <c r="V171" i="2"/>
  <c r="V12" i="2"/>
  <c r="V147" i="2"/>
  <c r="V107" i="2"/>
  <c r="U55" i="2"/>
  <c r="V180" i="2"/>
  <c r="V175" i="2"/>
  <c r="U129" i="2"/>
  <c r="V83" i="2"/>
  <c r="U83" i="2"/>
  <c r="V64" i="2"/>
  <c r="U112" i="2"/>
  <c r="V184" i="2"/>
  <c r="V7" i="2"/>
  <c r="U97" i="2"/>
  <c r="U58" i="2"/>
  <c r="U160" i="2"/>
  <c r="V113" i="2"/>
  <c r="U159" i="2"/>
  <c r="V124" i="2"/>
  <c r="V23" i="2"/>
  <c r="V8" i="2"/>
  <c r="U88" i="2"/>
  <c r="V100" i="2"/>
  <c r="U30" i="2"/>
  <c r="V181" i="2"/>
  <c r="V26" i="2"/>
  <c r="V82" i="2"/>
  <c r="V59" i="2"/>
  <c r="U193" i="2"/>
  <c r="V39" i="2"/>
  <c r="V74" i="2"/>
  <c r="U106" i="2"/>
  <c r="V193" i="2"/>
  <c r="V191" i="2"/>
  <c r="V176" i="2"/>
  <c r="V139" i="2"/>
  <c r="U117" i="2"/>
  <c r="V205" i="2"/>
  <c r="U192" i="2"/>
  <c r="V194" i="2"/>
  <c r="U86" i="2"/>
  <c r="V158" i="2"/>
  <c r="V121" i="2"/>
  <c r="U113" i="2"/>
  <c r="V31" i="2"/>
  <c r="V157" i="2"/>
  <c r="U150" i="2"/>
  <c r="V130" i="2"/>
  <c r="U19" i="2"/>
  <c r="U120" i="2"/>
  <c r="U183" i="2"/>
  <c r="V92" i="2"/>
  <c r="V36" i="2"/>
  <c r="U131" i="2"/>
  <c r="U176" i="2"/>
  <c r="U8" i="2"/>
  <c r="V110" i="2"/>
  <c r="U37" i="2"/>
  <c r="V189" i="2"/>
  <c r="V143" i="2"/>
  <c r="V98" i="2"/>
  <c r="V173" i="2"/>
  <c r="V43" i="2"/>
  <c r="U24" i="2"/>
  <c r="U166" i="2"/>
  <c r="U108" i="2"/>
  <c r="V192" i="2"/>
  <c r="V73" i="2"/>
  <c r="U133" i="2"/>
  <c r="U199" i="2"/>
  <c r="U56" i="2"/>
  <c r="U177" i="2"/>
  <c r="U155" i="2"/>
  <c r="V78" i="2"/>
  <c r="V160" i="2"/>
  <c r="V86" i="2"/>
  <c r="U185" i="2"/>
  <c r="V187" i="2"/>
  <c r="V159" i="2"/>
  <c r="V63" i="2"/>
  <c r="U114" i="2"/>
  <c r="V138" i="2"/>
  <c r="V20" i="2"/>
  <c r="V99" i="2"/>
  <c r="V6" i="2"/>
  <c r="U27" i="2"/>
  <c r="V142" i="2"/>
  <c r="V15" i="2"/>
  <c r="U169" i="2"/>
  <c r="U10" i="2"/>
  <c r="V126" i="2"/>
  <c r="U151" i="2"/>
  <c r="U39" i="2"/>
  <c r="V87" i="2"/>
  <c r="V182" i="2"/>
  <c r="V141" i="2"/>
  <c r="U175" i="2"/>
  <c r="U80" i="2"/>
  <c r="V85" i="2"/>
  <c r="V150" i="2"/>
  <c r="U142" i="2"/>
  <c r="V89" i="2"/>
  <c r="U54" i="2"/>
  <c r="U172" i="2"/>
  <c r="V16" i="2"/>
  <c r="U119" i="2"/>
  <c r="U188" i="2"/>
  <c r="U75" i="2"/>
  <c r="U57" i="2"/>
  <c r="V188" i="2"/>
  <c r="U14" i="2"/>
  <c r="V152" i="2"/>
  <c r="U109" i="2"/>
  <c r="V134" i="2"/>
  <c r="U154" i="2"/>
  <c r="U22" i="2"/>
  <c r="V34" i="2"/>
  <c r="V48" i="2"/>
  <c r="V10" i="2"/>
  <c r="V106" i="2"/>
  <c r="U87" i="2"/>
  <c r="V164" i="2"/>
  <c r="U111" i="2"/>
  <c r="U101" i="2"/>
  <c r="V177" i="2"/>
  <c r="V24" i="2"/>
  <c r="U9" i="2"/>
  <c r="U181" i="2"/>
  <c r="U191" i="2"/>
  <c r="V71" i="2"/>
  <c r="U16" i="2"/>
  <c r="V149" i="2"/>
  <c r="V49" i="2"/>
  <c r="V200" i="2"/>
  <c r="U163" i="2"/>
  <c r="V68" i="2"/>
  <c r="U140" i="2"/>
  <c r="U85" i="2"/>
  <c r="V55" i="2"/>
  <c r="U165" i="2"/>
  <c r="U42" i="2"/>
  <c r="U49" i="2"/>
  <c r="V80" i="2"/>
  <c r="V163" i="2"/>
  <c r="U28" i="2"/>
  <c r="U38" i="2"/>
  <c r="U194" i="2"/>
  <c r="V47" i="2"/>
  <c r="U195" i="2"/>
  <c r="V53" i="2"/>
  <c r="V9" i="2"/>
  <c r="V96" i="2"/>
  <c r="U115" i="2"/>
  <c r="V51" i="2"/>
  <c r="U203" i="2"/>
  <c r="U171" i="2"/>
  <c r="U167" i="2"/>
  <c r="U162" i="2"/>
  <c r="U31" i="2"/>
  <c r="V40" i="2"/>
  <c r="U67" i="2"/>
  <c r="U73" i="2"/>
  <c r="V195" i="2"/>
  <c r="U126" i="2"/>
  <c r="V61" i="2"/>
  <c r="V102" i="2"/>
  <c r="V204" i="2"/>
  <c r="V154" i="2"/>
  <c r="V14" i="2"/>
  <c r="V201" i="2"/>
  <c r="V13" i="2"/>
  <c r="U23" i="2"/>
  <c r="V62" i="2"/>
  <c r="V128" i="2"/>
  <c r="V190" i="2"/>
  <c r="V105" i="2"/>
  <c r="U174" i="2"/>
  <c r="U63" i="2"/>
  <c r="U66" i="2"/>
  <c r="V125" i="2"/>
  <c r="U141" i="2"/>
  <c r="V79" i="2"/>
  <c r="U134" i="2"/>
  <c r="V203" i="2"/>
  <c r="V75" i="2"/>
  <c r="U118" i="2"/>
  <c r="V169" i="2"/>
  <c r="V165" i="2"/>
  <c r="U198" i="2"/>
  <c r="V103" i="2"/>
  <c r="U94" i="2"/>
  <c r="V183" i="2"/>
  <c r="U200" i="2"/>
  <c r="U116" i="2"/>
  <c r="U137" i="2"/>
  <c r="U44" i="2"/>
  <c r="V54" i="2"/>
  <c r="V35" i="2"/>
  <c r="U196" i="2"/>
  <c r="U173" i="2"/>
  <c r="V50" i="2"/>
  <c r="V198" i="2"/>
  <c r="U186" i="2"/>
  <c r="V178" i="2"/>
  <c r="V22" i="2"/>
  <c r="U161" i="2"/>
  <c r="V170" i="2"/>
  <c r="U48" i="2"/>
  <c r="V77" i="2"/>
  <c r="U187" i="2"/>
  <c r="V45" i="2"/>
  <c r="U105" i="2"/>
  <c r="V144" i="2"/>
  <c r="V114" i="2"/>
  <c r="V123" i="2"/>
  <c r="V19" i="2"/>
  <c r="V91" i="2"/>
  <c r="U60" i="2"/>
  <c r="U190" i="2"/>
  <c r="V186" i="2"/>
  <c r="U202" i="2"/>
  <c r="V196" i="2"/>
  <c r="U91" i="2"/>
  <c r="V60" i="2"/>
  <c r="U152" i="2"/>
  <c r="V140" i="2"/>
  <c r="U179" i="2"/>
  <c r="V197" i="2"/>
  <c r="V145" i="2"/>
  <c r="V161" i="2"/>
  <c r="U25" i="2"/>
  <c r="U182" i="2"/>
  <c r="V108" i="2"/>
  <c r="V21" i="2"/>
  <c r="U61" i="2"/>
  <c r="V118" i="2"/>
  <c r="V29" i="2"/>
  <c r="U158" i="2"/>
  <c r="U64" i="2"/>
  <c r="U62" i="2"/>
  <c r="V174" i="2"/>
  <c r="U100" i="2"/>
  <c r="V46" i="2"/>
  <c r="V129" i="2"/>
  <c r="V66" i="2"/>
  <c r="U93" i="2"/>
  <c r="V18" i="2"/>
  <c r="V33" i="2"/>
  <c r="V185" i="2"/>
  <c r="V127" i="2"/>
  <c r="U143" i="2"/>
  <c r="V104" i="2"/>
  <c r="V112" i="2"/>
  <c r="U43" i="2"/>
  <c r="U121" i="2"/>
  <c r="U98" i="2"/>
  <c r="V148" i="2"/>
  <c r="U50" i="2"/>
  <c r="V146" i="2"/>
  <c r="U40" i="2"/>
  <c r="U157" i="2"/>
  <c r="V166" i="2"/>
  <c r="V122" i="2"/>
  <c r="V115" i="2"/>
  <c r="V84" i="2"/>
  <c r="U18" i="2"/>
  <c r="V136" i="2"/>
  <c r="U72" i="2"/>
  <c r="V32" i="2"/>
  <c r="U47" i="2"/>
  <c r="U34" i="2"/>
  <c r="V131" i="2"/>
  <c r="V28" i="2"/>
  <c r="V65" i="2"/>
  <c r="V81" i="2"/>
  <c r="U7" i="2"/>
  <c r="V116" i="2"/>
  <c r="U90" i="2"/>
  <c r="V120" i="2"/>
  <c r="U164" i="2"/>
  <c r="U79" i="2"/>
  <c r="U52" i="2"/>
  <c r="V93" i="2"/>
  <c r="U136" i="2"/>
  <c r="U21" i="2"/>
  <c r="U69" i="2"/>
  <c r="U32" i="2"/>
  <c r="V172" i="2"/>
  <c r="U82" i="2"/>
  <c r="V137" i="2"/>
  <c r="U84" i="2"/>
  <c r="U139" i="2"/>
  <c r="U135" i="2"/>
  <c r="V69" i="2"/>
  <c r="V97" i="2"/>
  <c r="U12" i="2"/>
  <c r="U180" i="2"/>
  <c r="U81" i="2"/>
  <c r="U95" i="2"/>
  <c r="V57" i="2"/>
  <c r="V41" i="2"/>
  <c r="U13" i="2"/>
  <c r="U122" i="2"/>
  <c r="U104" i="2"/>
  <c r="V132" i="2"/>
  <c r="U132" i="2"/>
  <c r="V76" i="2"/>
  <c r="U205" i="2"/>
  <c r="U41" i="2"/>
  <c r="U77" i="2"/>
  <c r="U70" i="2"/>
  <c r="V38" i="2"/>
  <c r="V151" i="2"/>
  <c r="U6" i="2"/>
  <c r="U130" i="2"/>
  <c r="V70" i="2"/>
  <c r="V111" i="2"/>
  <c r="V58" i="2"/>
  <c r="V17" i="2"/>
  <c r="V88" i="2"/>
  <c r="U68" i="2"/>
  <c r="U26" i="2"/>
  <c r="V101" i="2"/>
  <c r="V90" i="2"/>
  <c r="U76" i="2"/>
  <c r="U124" i="2"/>
  <c r="U170" i="2"/>
  <c r="U201" i="2"/>
  <c r="U29" i="2"/>
  <c r="U144" i="2"/>
  <c r="V27" i="2"/>
  <c r="V162" i="2"/>
  <c r="U53" i="2"/>
  <c r="U110" i="2"/>
  <c r="V133" i="2"/>
  <c r="U138" i="2"/>
  <c r="U78" i="2"/>
  <c r="V67" i="2"/>
  <c r="U156" i="2"/>
  <c r="V52" i="2"/>
  <c r="U148" i="2"/>
  <c r="V25" i="2"/>
  <c r="V202" i="2"/>
  <c r="U189" i="2"/>
  <c r="U36" i="2"/>
  <c r="U92" i="2"/>
  <c r="V135" i="2"/>
  <c r="U168" i="2"/>
  <c r="U46" i="2"/>
  <c r="U59" i="2"/>
  <c r="U178" i="2"/>
  <c r="U127" i="2"/>
  <c r="U51" i="2"/>
  <c r="U145" i="2"/>
  <c r="V153" i="2"/>
  <c r="U96" i="2"/>
  <c r="V168" i="2"/>
  <c r="V119" i="2"/>
  <c r="U15" i="2"/>
  <c r="U197" i="2"/>
  <c r="U147" i="2"/>
  <c r="U17" i="2"/>
  <c r="U103" i="2"/>
  <c r="U65" i="2"/>
  <c r="U71" i="2"/>
  <c r="U149" i="2"/>
  <c r="V179" i="2"/>
  <c r="U128" i="2"/>
  <c r="U33" i="2"/>
  <c r="V11" i="2"/>
  <c r="U89" i="2"/>
  <c r="V109" i="2"/>
  <c r="U11" i="2"/>
  <c r="V155" i="2"/>
  <c r="U125" i="2"/>
  <c r="V44" i="2"/>
  <c r="V56" i="2"/>
  <c r="U107" i="2"/>
  <c r="U123" i="2"/>
  <c r="V167" i="2"/>
  <c r="U146" i="2"/>
  <c r="V30" i="2"/>
  <c r="U102" i="2"/>
  <c r="V95" i="2"/>
  <c r="V72" i="2"/>
  <c r="U153" i="2"/>
  <c r="V117" i="2"/>
  <c r="U184" i="2"/>
  <c r="V42" i="2"/>
  <c r="T202" i="2" l="1"/>
  <c r="T120" i="2"/>
  <c r="T123" i="2"/>
  <c r="T204" i="2"/>
  <c r="S14" i="2"/>
  <c r="S176" i="2"/>
  <c r="S45" i="2"/>
  <c r="S110" i="2"/>
  <c r="S90" i="2"/>
  <c r="T161" i="2"/>
  <c r="T128" i="2"/>
  <c r="T24" i="2"/>
  <c r="T173" i="2"/>
  <c r="T199" i="2"/>
  <c r="T17" i="2"/>
  <c r="T122" i="2"/>
  <c r="S94" i="2"/>
  <c r="S192" i="2"/>
  <c r="T119" i="2"/>
  <c r="S69" i="2"/>
  <c r="T79" i="2"/>
  <c r="T48" i="2"/>
  <c r="S88" i="2"/>
  <c r="S146" i="2"/>
  <c r="S11" i="2"/>
  <c r="S71" i="2"/>
  <c r="T168" i="2"/>
  <c r="S46" i="2"/>
  <c r="S148" i="2"/>
  <c r="S53" i="2"/>
  <c r="S76" i="2"/>
  <c r="T111" i="2"/>
  <c r="S41" i="2"/>
  <c r="T41" i="2"/>
  <c r="S135" i="2"/>
  <c r="S21" i="2"/>
  <c r="T116" i="2"/>
  <c r="T32" i="2"/>
  <c r="S157" i="2"/>
  <c r="T112" i="2"/>
  <c r="T66" i="2"/>
  <c r="T29" i="2"/>
  <c r="T145" i="2"/>
  <c r="S202" i="2"/>
  <c r="T144" i="2"/>
  <c r="T22" i="2"/>
  <c r="T54" i="2"/>
  <c r="S198" i="2"/>
  <c r="S141" i="2"/>
  <c r="T62" i="2"/>
  <c r="T61" i="2"/>
  <c r="S167" i="2"/>
  <c r="S195" i="2"/>
  <c r="S42" i="2"/>
  <c r="T49" i="2"/>
  <c r="T177" i="2"/>
  <c r="T34" i="2"/>
  <c r="S57" i="2"/>
  <c r="S142" i="2"/>
  <c r="S39" i="2"/>
  <c r="T6" i="2"/>
  <c r="S185" i="2"/>
  <c r="S133" i="2"/>
  <c r="T98" i="2"/>
  <c r="T36" i="2"/>
  <c r="T31" i="2"/>
  <c r="S117" i="2"/>
  <c r="S193" i="2"/>
  <c r="T8" i="2"/>
  <c r="T7" i="2"/>
  <c r="T180" i="2"/>
  <c r="S20" i="2"/>
  <c r="T42" i="2"/>
  <c r="T179" i="2"/>
  <c r="T133" i="2"/>
  <c r="T97" i="2"/>
  <c r="T18" i="2"/>
  <c r="T170" i="2"/>
  <c r="S31" i="2"/>
  <c r="T10" i="2"/>
  <c r="S56" i="2"/>
  <c r="S58" i="2"/>
  <c r="T30" i="2"/>
  <c r="S124" i="2"/>
  <c r="T166" i="2"/>
  <c r="T114" i="2"/>
  <c r="T102" i="2"/>
  <c r="T188" i="2"/>
  <c r="S199" i="2"/>
  <c r="S97" i="2"/>
  <c r="S184" i="2"/>
  <c r="T167" i="2"/>
  <c r="T109" i="2"/>
  <c r="S65" i="2"/>
  <c r="S96" i="2"/>
  <c r="S168" i="2"/>
  <c r="T52" i="2"/>
  <c r="T162" i="2"/>
  <c r="T90" i="2"/>
  <c r="T70" i="2"/>
  <c r="S205" i="2"/>
  <c r="T57" i="2"/>
  <c r="S139" i="2"/>
  <c r="S136" i="2"/>
  <c r="S72" i="2"/>
  <c r="S40" i="2"/>
  <c r="T104" i="2"/>
  <c r="T129" i="2"/>
  <c r="T118" i="2"/>
  <c r="T197" i="2"/>
  <c r="T186" i="2"/>
  <c r="S105" i="2"/>
  <c r="T178" i="2"/>
  <c r="S44" i="2"/>
  <c r="T165" i="2"/>
  <c r="T125" i="2"/>
  <c r="S23" i="2"/>
  <c r="S126" i="2"/>
  <c r="S171" i="2"/>
  <c r="T47" i="2"/>
  <c r="S165" i="2"/>
  <c r="T149" i="2"/>
  <c r="S101" i="2"/>
  <c r="S22" i="2"/>
  <c r="S75" i="2"/>
  <c r="T150" i="2"/>
  <c r="S151" i="2"/>
  <c r="T99" i="2"/>
  <c r="T86" i="2"/>
  <c r="T73" i="2"/>
  <c r="T143" i="2"/>
  <c r="T92" i="2"/>
  <c r="S113" i="2"/>
  <c r="T139" i="2"/>
  <c r="T59" i="2"/>
  <c r="T23" i="2"/>
  <c r="T184" i="2"/>
  <c r="S55" i="2"/>
  <c r="S74" i="2"/>
  <c r="S15" i="2"/>
  <c r="S70" i="2"/>
  <c r="S34" i="2"/>
  <c r="S25" i="2"/>
  <c r="S134" i="2"/>
  <c r="T80" i="2"/>
  <c r="T159" i="2"/>
  <c r="T74" i="2"/>
  <c r="S59" i="2"/>
  <c r="S13" i="2"/>
  <c r="S93" i="2"/>
  <c r="T35" i="2"/>
  <c r="S49" i="2"/>
  <c r="S27" i="2"/>
  <c r="T205" i="2"/>
  <c r="T117" i="2"/>
  <c r="S123" i="2"/>
  <c r="S89" i="2"/>
  <c r="S103" i="2"/>
  <c r="T153" i="2"/>
  <c r="T135" i="2"/>
  <c r="S156" i="2"/>
  <c r="T27" i="2"/>
  <c r="T101" i="2"/>
  <c r="S130" i="2"/>
  <c r="T76" i="2"/>
  <c r="S95" i="2"/>
  <c r="S84" i="2"/>
  <c r="T93" i="2"/>
  <c r="T81" i="2"/>
  <c r="T136" i="2"/>
  <c r="T146" i="2"/>
  <c r="S143" i="2"/>
  <c r="T46" i="2"/>
  <c r="S61" i="2"/>
  <c r="S179" i="2"/>
  <c r="S190" i="2"/>
  <c r="T45" i="2"/>
  <c r="S186" i="2"/>
  <c r="S137" i="2"/>
  <c r="T169" i="2"/>
  <c r="S66" i="2"/>
  <c r="T13" i="2"/>
  <c r="T195" i="2"/>
  <c r="S203" i="2"/>
  <c r="S194" i="2"/>
  <c r="T55" i="2"/>
  <c r="S16" i="2"/>
  <c r="S111" i="2"/>
  <c r="S154" i="2"/>
  <c r="S188" i="2"/>
  <c r="T85" i="2"/>
  <c r="T126" i="2"/>
  <c r="T20" i="2"/>
  <c r="T160" i="2"/>
  <c r="T192" i="2"/>
  <c r="T189" i="2"/>
  <c r="S183" i="2"/>
  <c r="T121" i="2"/>
  <c r="T176" i="2"/>
  <c r="T82" i="2"/>
  <c r="T124" i="2"/>
  <c r="S112" i="2"/>
  <c r="T107" i="2"/>
  <c r="T156" i="2"/>
  <c r="T182" i="2"/>
  <c r="S150" i="2"/>
  <c r="S35" i="2"/>
  <c r="S149" i="2"/>
  <c r="S77" i="2"/>
  <c r="S47" i="2"/>
  <c r="T196" i="2"/>
  <c r="S162" i="2"/>
  <c r="T89" i="2"/>
  <c r="T157" i="2"/>
  <c r="T94" i="2"/>
  <c r="S153" i="2"/>
  <c r="S107" i="2"/>
  <c r="T11" i="2"/>
  <c r="S17" i="2"/>
  <c r="S145" i="2"/>
  <c r="S92" i="2"/>
  <c r="T67" i="2"/>
  <c r="S144" i="2"/>
  <c r="S26" i="2"/>
  <c r="S132" i="2"/>
  <c r="S81" i="2"/>
  <c r="T137" i="2"/>
  <c r="S52" i="2"/>
  <c r="T65" i="2"/>
  <c r="S18" i="2"/>
  <c r="S50" i="2"/>
  <c r="T127" i="2"/>
  <c r="S100" i="2"/>
  <c r="T21" i="2"/>
  <c r="T140" i="2"/>
  <c r="S60" i="2"/>
  <c r="S187" i="2"/>
  <c r="T198" i="2"/>
  <c r="S116" i="2"/>
  <c r="S118" i="2"/>
  <c r="S63" i="2"/>
  <c r="T201" i="2"/>
  <c r="S73" i="2"/>
  <c r="T51" i="2"/>
  <c r="S38" i="2"/>
  <c r="S85" i="2"/>
  <c r="T71" i="2"/>
  <c r="T164" i="2"/>
  <c r="T134" i="2"/>
  <c r="S119" i="2"/>
  <c r="S80" i="2"/>
  <c r="S10" i="2"/>
  <c r="T138" i="2"/>
  <c r="T78" i="2"/>
  <c r="S108" i="2"/>
  <c r="S37" i="2"/>
  <c r="S120" i="2"/>
  <c r="T158" i="2"/>
  <c r="T191" i="2"/>
  <c r="T26" i="2"/>
  <c r="S159" i="2"/>
  <c r="T64" i="2"/>
  <c r="T147" i="2"/>
  <c r="S204" i="2"/>
  <c r="S102" i="2"/>
  <c r="S170" i="2"/>
  <c r="S32" i="2"/>
  <c r="S64" i="2"/>
  <c r="S196" i="2"/>
  <c r="T9" i="2"/>
  <c r="T142" i="2"/>
  <c r="T100" i="2"/>
  <c r="T25" i="2"/>
  <c r="T69" i="2"/>
  <c r="S158" i="2"/>
  <c r="T103" i="2"/>
  <c r="T200" i="2"/>
  <c r="T187" i="2"/>
  <c r="T39" i="2"/>
  <c r="T72" i="2"/>
  <c r="S147" i="2"/>
  <c r="S36" i="2"/>
  <c r="S29" i="2"/>
  <c r="T151" i="2"/>
  <c r="S82" i="2"/>
  <c r="T28" i="2"/>
  <c r="T148" i="2"/>
  <c r="T174" i="2"/>
  <c r="S152" i="2"/>
  <c r="T50" i="2"/>
  <c r="T75" i="2"/>
  <c r="T14" i="2"/>
  <c r="S115" i="2"/>
  <c r="S28" i="2"/>
  <c r="S191" i="2"/>
  <c r="S87" i="2"/>
  <c r="S109" i="2"/>
  <c r="T16" i="2"/>
  <c r="S175" i="2"/>
  <c r="S169" i="2"/>
  <c r="S155" i="2"/>
  <c r="S166" i="2"/>
  <c r="T110" i="2"/>
  <c r="S19" i="2"/>
  <c r="S86" i="2"/>
  <c r="T193" i="2"/>
  <c r="T181" i="2"/>
  <c r="T113" i="2"/>
  <c r="S83" i="2"/>
  <c r="T12" i="2"/>
  <c r="T37" i="2"/>
  <c r="S125" i="2"/>
  <c r="S178" i="2"/>
  <c r="S122" i="2"/>
  <c r="S121" i="2"/>
  <c r="S91" i="2"/>
  <c r="T190" i="2"/>
  <c r="S163" i="2"/>
  <c r="S54" i="2"/>
  <c r="T43" i="2"/>
  <c r="S129" i="2"/>
  <c r="T155" i="2"/>
  <c r="T58" i="2"/>
  <c r="S43" i="2"/>
  <c r="S161" i="2"/>
  <c r="T53" i="2"/>
  <c r="T87" i="2"/>
  <c r="S131" i="2"/>
  <c r="T175" i="2"/>
  <c r="T56" i="2"/>
  <c r="S33" i="2"/>
  <c r="S51" i="2"/>
  <c r="S78" i="2"/>
  <c r="S68" i="2"/>
  <c r="T132" i="2"/>
  <c r="S180" i="2"/>
  <c r="S79" i="2"/>
  <c r="T84" i="2"/>
  <c r="T185" i="2"/>
  <c r="T108" i="2"/>
  <c r="T91" i="2"/>
  <c r="T77" i="2"/>
  <c r="S200" i="2"/>
  <c r="S174" i="2"/>
  <c r="S67" i="2"/>
  <c r="S140" i="2"/>
  <c r="S114" i="2"/>
  <c r="T95" i="2"/>
  <c r="T44" i="2"/>
  <c r="S128" i="2"/>
  <c r="S197" i="2"/>
  <c r="S127" i="2"/>
  <c r="S189" i="2"/>
  <c r="S138" i="2"/>
  <c r="S201" i="2"/>
  <c r="T88" i="2"/>
  <c r="T38" i="2"/>
  <c r="S104" i="2"/>
  <c r="S12" i="2"/>
  <c r="T172" i="2"/>
  <c r="S164" i="2"/>
  <c r="T131" i="2"/>
  <c r="T115" i="2"/>
  <c r="S98" i="2"/>
  <c r="T33" i="2"/>
  <c r="S62" i="2"/>
  <c r="S182" i="2"/>
  <c r="T60" i="2"/>
  <c r="T19" i="2"/>
  <c r="S48" i="2"/>
  <c r="S173" i="2"/>
  <c r="T183" i="2"/>
  <c r="T203" i="2"/>
  <c r="T105" i="2"/>
  <c r="T154" i="2"/>
  <c r="T40" i="2"/>
  <c r="T96" i="2"/>
  <c r="T163" i="2"/>
  <c r="T68" i="2"/>
  <c r="S181" i="2"/>
  <c r="T106" i="2"/>
  <c r="T152" i="2"/>
  <c r="S172" i="2"/>
  <c r="T141" i="2"/>
  <c r="T15" i="2"/>
  <c r="T63" i="2"/>
  <c r="S177" i="2"/>
  <c r="S24" i="2"/>
  <c r="S8" i="2"/>
  <c r="T130" i="2"/>
  <c r="T194" i="2"/>
  <c r="S106" i="2"/>
  <c r="S30" i="2"/>
  <c r="S160" i="2"/>
  <c r="T83" i="2"/>
  <c r="T171" i="2"/>
  <c r="S99" i="2"/>
  <c r="P8" i="2"/>
  <c r="P9" i="2"/>
  <c r="P7" i="2"/>
  <c r="P5" i="2"/>
  <c r="O9" i="2"/>
  <c r="O8" i="2"/>
  <c r="O7" i="2"/>
  <c r="O5" i="2"/>
  <c r="Q8" i="2" l="1"/>
  <c r="Q6" i="2"/>
  <c r="Q9" i="2"/>
  <c r="Q7" i="2"/>
  <c r="Q5" i="2"/>
  <c r="C130" i="15" l="1"/>
  <c r="C418" i="15"/>
  <c r="C662" i="15"/>
  <c r="C944" i="15"/>
  <c r="C392" i="15"/>
  <c r="C689" i="15"/>
  <c r="C134" i="15"/>
  <c r="C697" i="15"/>
  <c r="C1009" i="15"/>
  <c r="C1021" i="15"/>
  <c r="C244" i="15"/>
  <c r="C906" i="15"/>
  <c r="C760" i="15"/>
  <c r="C274" i="15"/>
  <c r="C641" i="15"/>
  <c r="C748" i="15"/>
  <c r="C100" i="15"/>
  <c r="C1020" i="15"/>
  <c r="C628" i="15"/>
  <c r="C1012" i="15"/>
  <c r="C771" i="15"/>
  <c r="C577" i="15"/>
  <c r="C606" i="15"/>
  <c r="C952" i="15"/>
  <c r="C1002" i="15"/>
  <c r="C1008" i="15" l="1"/>
  <c r="C971" i="15"/>
  <c r="C323" i="15"/>
  <c r="C60" i="15"/>
  <c r="C818" i="15"/>
  <c r="C77" i="15"/>
  <c r="C243" i="15"/>
  <c r="C807" i="15"/>
  <c r="C126" i="15"/>
  <c r="C893" i="15"/>
  <c r="C443" i="15"/>
  <c r="C210" i="15"/>
  <c r="C866" i="15"/>
  <c r="C257" i="15"/>
  <c r="C281" i="15"/>
  <c r="C991" i="15"/>
  <c r="C824" i="15"/>
  <c r="C969" i="15"/>
  <c r="C234" i="15"/>
  <c r="C792" i="15"/>
  <c r="C910" i="15"/>
  <c r="C544" i="15"/>
  <c r="C316" i="15"/>
  <c r="C328" i="15"/>
  <c r="C36" i="15"/>
  <c r="C1026" i="15"/>
  <c r="C359" i="15"/>
  <c r="C1000" i="15"/>
  <c r="C13" i="15"/>
  <c r="C65" i="15"/>
  <c r="C594" i="15"/>
  <c r="C757" i="15"/>
  <c r="C822" i="15"/>
  <c r="C735" i="15"/>
  <c r="C206" i="15"/>
  <c r="C787" i="15"/>
  <c r="C957" i="15"/>
  <c r="C287" i="15"/>
  <c r="C664" i="15"/>
  <c r="C360" i="15"/>
  <c r="C756" i="15"/>
  <c r="C142" i="15"/>
  <c r="C272" i="15"/>
  <c r="C83" i="15"/>
  <c r="C784" i="15"/>
  <c r="C763" i="15"/>
  <c r="C941" i="15"/>
  <c r="C289" i="15"/>
  <c r="C27" i="15"/>
  <c r="C983" i="15"/>
  <c r="C123" i="15"/>
  <c r="C420" i="15"/>
  <c r="C20" i="15"/>
  <c r="C185" i="15"/>
  <c r="C639" i="15"/>
  <c r="C35" i="15"/>
  <c r="C715" i="15"/>
  <c r="C522" i="15"/>
  <c r="C816" i="15"/>
  <c r="C238" i="15"/>
  <c r="C537" i="15"/>
  <c r="C50" i="15"/>
  <c r="C303" i="15"/>
  <c r="C84" i="15"/>
  <c r="C559" i="15"/>
  <c r="C880" i="15"/>
  <c r="C640" i="15"/>
  <c r="C711" i="15"/>
  <c r="C751" i="15"/>
  <c r="C446" i="15"/>
  <c r="C891" i="15"/>
  <c r="C583" i="15"/>
  <c r="C799" i="15"/>
  <c r="C660" i="15"/>
  <c r="C61" i="15"/>
  <c r="C43" i="15"/>
  <c r="C173" i="15"/>
  <c r="C963" i="15"/>
  <c r="C200" i="15"/>
  <c r="C261" i="15"/>
  <c r="C812" i="15"/>
  <c r="C81" i="15"/>
  <c r="C494" i="15"/>
  <c r="C37" i="15"/>
  <c r="C271" i="15"/>
  <c r="C529" i="15"/>
  <c r="C796" i="15"/>
  <c r="C44" i="15"/>
  <c r="C1003" i="15"/>
  <c r="C391" i="15"/>
  <c r="C398" i="15"/>
  <c r="C547" i="15"/>
  <c r="C840" i="15"/>
  <c r="C24" i="15"/>
  <c r="C488" i="15"/>
  <c r="C775" i="15"/>
  <c r="C557" i="15"/>
  <c r="C128" i="15"/>
  <c r="C304" i="15"/>
  <c r="C158" i="15"/>
  <c r="C425" i="15"/>
  <c r="C172" i="15"/>
  <c r="C454" i="15"/>
  <c r="C186" i="15"/>
  <c r="C347" i="15"/>
  <c r="C974" i="15"/>
  <c r="C829" i="15"/>
  <c r="C1018" i="15"/>
  <c r="C231" i="15"/>
  <c r="C177" i="15"/>
  <c r="C788" i="15"/>
  <c r="C987" i="15"/>
  <c r="C953" i="15"/>
  <c r="C26" i="15"/>
  <c r="C592" i="15"/>
  <c r="C300" i="15"/>
  <c r="C309" i="15"/>
  <c r="C782" i="15"/>
  <c r="C830" i="15"/>
  <c r="C651" i="15"/>
  <c r="C30" i="15"/>
  <c r="C356" i="15"/>
  <c r="C854" i="15"/>
  <c r="C118" i="15"/>
  <c r="C979" i="15"/>
  <c r="C382" i="15"/>
  <c r="C993" i="15"/>
  <c r="C572" i="15"/>
  <c r="C876" i="15"/>
  <c r="C321" i="15"/>
  <c r="C913" i="15"/>
  <c r="C863" i="15"/>
  <c r="C904" i="15"/>
  <c r="C817" i="15"/>
  <c r="C754" i="15"/>
  <c r="C1013" i="15"/>
  <c r="C34" i="15"/>
  <c r="C1025" i="15"/>
  <c r="C998" i="15"/>
  <c r="C10" i="15"/>
  <c r="C242" i="15"/>
  <c r="C882" i="15"/>
  <c r="C325" i="15"/>
  <c r="C381" i="15"/>
  <c r="C170" i="15"/>
  <c r="C843" i="15"/>
  <c r="C649" i="15"/>
  <c r="C778" i="15"/>
  <c r="C492" i="15"/>
  <c r="C699" i="15"/>
  <c r="C517" i="15"/>
  <c r="C721" i="15"/>
  <c r="C491" i="15"/>
  <c r="C894" i="15"/>
  <c r="C671" i="15"/>
  <c r="C438" i="15"/>
  <c r="C892" i="15"/>
  <c r="C723" i="15"/>
  <c r="C642" i="15"/>
  <c r="C179" i="15"/>
  <c r="C445" i="15"/>
  <c r="C604" i="15"/>
  <c r="C658" i="15"/>
  <c r="C982" i="15"/>
  <c r="C805" i="15"/>
  <c r="C212" i="15"/>
  <c r="C563" i="15"/>
  <c r="C338" i="15"/>
  <c r="C373" i="15"/>
  <c r="C226" i="15"/>
  <c r="C842" i="15"/>
  <c r="C1031" i="15"/>
  <c r="C815" i="15"/>
  <c r="C324" i="15"/>
  <c r="C480" i="15"/>
  <c r="C806" i="15"/>
  <c r="C596" i="15"/>
  <c r="C345" i="15"/>
  <c r="C999" i="15"/>
  <c r="C564" i="15"/>
  <c r="C216" i="15"/>
  <c r="C477" i="15"/>
  <c r="C182" i="15"/>
  <c r="C144" i="15"/>
  <c r="C479" i="15"/>
  <c r="C326" i="15"/>
  <c r="C296" i="15"/>
  <c r="C680" i="15"/>
  <c r="C836" i="15"/>
  <c r="C605" i="15"/>
  <c r="C197" i="15"/>
  <c r="C801" i="15"/>
  <c r="C305" i="15"/>
  <c r="C962" i="15"/>
  <c r="C888" i="15"/>
  <c r="C145" i="15"/>
  <c r="C266" i="15"/>
  <c r="C638" i="15"/>
  <c r="C350" i="15"/>
  <c r="C230" i="15"/>
  <c r="C299" i="15"/>
  <c r="C878" i="15"/>
  <c r="C765" i="15"/>
  <c r="C314" i="15"/>
  <c r="C581" i="15"/>
  <c r="C1024" i="15"/>
  <c r="C78" i="15"/>
  <c r="C935" i="15"/>
  <c r="C164" i="15"/>
  <c r="C80" i="15"/>
  <c r="C424" i="15"/>
  <c r="C619" i="15"/>
  <c r="C653" i="15"/>
  <c r="C561" i="15"/>
  <c r="C190" i="15"/>
  <c r="C335" i="15"/>
  <c r="C608" i="15"/>
  <c r="C319" i="15"/>
  <c r="C9" i="15"/>
  <c r="C554" i="15"/>
  <c r="C1015" i="15"/>
  <c r="C943" i="15"/>
  <c r="C240" i="15"/>
  <c r="C826" i="15"/>
  <c r="C148" i="15"/>
  <c r="C552" i="15"/>
  <c r="C865" i="15"/>
  <c r="C864" i="15"/>
  <c r="C560" i="15"/>
  <c r="C509" i="15"/>
  <c r="C668" i="15"/>
  <c r="C643" i="15"/>
  <c r="C337" i="15"/>
  <c r="C611" i="15"/>
  <c r="C343" i="15"/>
  <c r="C558" i="15"/>
  <c r="C162" i="15"/>
  <c r="C622" i="15"/>
  <c r="C283" i="15"/>
  <c r="C704" i="15"/>
  <c r="C579" i="15"/>
  <c r="C598" i="15"/>
  <c r="C538" i="15"/>
  <c r="C833" i="15"/>
  <c r="C747" i="15"/>
  <c r="C589" i="15"/>
  <c r="C140" i="15"/>
  <c r="C315" i="15"/>
  <c r="C887" i="15"/>
  <c r="C302" i="15"/>
  <c r="C374" i="15"/>
  <c r="C461" i="15"/>
  <c r="C421" i="15"/>
  <c r="C442" i="15"/>
  <c r="C617" i="15"/>
  <c r="C141" i="15"/>
  <c r="C667" i="15"/>
  <c r="C853" i="15"/>
  <c r="C986" i="15"/>
  <c r="C15" i="15"/>
  <c r="C600" i="15"/>
  <c r="C428" i="15"/>
  <c r="C951" i="15"/>
  <c r="C201" i="15"/>
  <c r="C726" i="15"/>
  <c r="C250" i="15"/>
  <c r="C676" i="15"/>
  <c r="C742" i="15"/>
  <c r="C133" i="15"/>
  <c r="C22" i="15"/>
  <c r="C741" i="15"/>
  <c r="C657" i="15"/>
  <c r="C967" i="15"/>
  <c r="C298" i="15"/>
  <c r="C372" i="15"/>
  <c r="C120" i="15"/>
  <c r="C407" i="15"/>
  <c r="C357" i="15"/>
  <c r="C961" i="15"/>
  <c r="C353" i="15"/>
  <c r="C766" i="15"/>
  <c r="C539" i="15"/>
  <c r="C41" i="15"/>
  <c r="C416" i="15"/>
  <c r="C808" i="15"/>
  <c r="C615" i="15"/>
  <c r="C136" i="15"/>
  <c r="C901" i="15"/>
  <c r="C994" i="15"/>
  <c r="C56" i="15"/>
  <c r="C777" i="15"/>
  <c r="C390" i="15"/>
  <c r="C533" i="15"/>
  <c r="C399" i="15"/>
  <c r="C950" i="15"/>
  <c r="C227" i="15"/>
  <c r="C852" i="15"/>
  <c r="C567" i="15"/>
  <c r="C415" i="15"/>
  <c r="C545" i="15"/>
  <c r="C755" i="15"/>
  <c r="C87" i="15"/>
  <c r="C916" i="15"/>
  <c r="C4" i="15"/>
  <c r="C933" i="15"/>
  <c r="C194" i="15"/>
  <c r="C727" i="15"/>
  <c r="C38" i="15"/>
  <c r="C72" i="15"/>
  <c r="C458" i="15"/>
  <c r="C1030" i="15"/>
  <c r="C834" i="15"/>
  <c r="C340" i="15"/>
  <c r="C984" i="15"/>
  <c r="C513" i="15"/>
  <c r="C597" i="15"/>
  <c r="C437" i="15"/>
  <c r="C827" i="15"/>
  <c r="C980" i="15"/>
  <c r="C277" i="15"/>
  <c r="C1004" i="15"/>
  <c r="C33" i="15"/>
  <c r="C79" i="15"/>
  <c r="C687" i="15"/>
  <c r="C919" i="15"/>
  <c r="C988" i="15"/>
  <c r="C510" i="15"/>
  <c r="C542" i="15"/>
  <c r="C942" i="15"/>
  <c r="C813" i="15"/>
  <c r="C57" i="15"/>
  <c r="C507" i="15"/>
  <c r="C253" i="15"/>
  <c r="C859" i="15"/>
  <c r="C695" i="15"/>
  <c r="C67" i="15"/>
  <c r="C873" i="15"/>
  <c r="C692" i="15"/>
  <c r="C703" i="15"/>
  <c r="C355" i="15"/>
  <c r="C393" i="15"/>
  <c r="C845" i="15"/>
  <c r="C478" i="15"/>
  <c r="C256" i="15"/>
  <c r="C710" i="15"/>
  <c r="C959" i="15"/>
  <c r="C125" i="15"/>
  <c r="C531" i="15"/>
  <c r="C541" i="15"/>
  <c r="C772" i="15"/>
  <c r="C51" i="15"/>
  <c r="C138" i="15"/>
  <c r="C936" i="15"/>
  <c r="C607" i="15"/>
  <c r="C235" i="15"/>
  <c r="C450" i="15"/>
  <c r="C69" i="15"/>
  <c r="C780" i="15"/>
  <c r="C976" i="15"/>
  <c r="C902" i="15"/>
  <c r="C354" i="15"/>
  <c r="C562" i="15"/>
  <c r="C535" i="15"/>
  <c r="C768" i="15"/>
  <c r="C414" i="15"/>
  <c r="C571" i="15"/>
  <c r="C117" i="15"/>
  <c r="C452" i="15"/>
  <c r="C990" i="15"/>
  <c r="C348" i="15"/>
  <c r="C412" i="15"/>
  <c r="C556" i="15"/>
  <c r="C351" i="15"/>
  <c r="C76" i="15"/>
  <c r="C790" i="15"/>
  <c r="C519" i="15"/>
  <c r="C169" i="15"/>
  <c r="C937" i="15"/>
  <c r="C972" i="15"/>
  <c r="C229" i="15"/>
  <c r="C569" i="15"/>
  <c r="C613" i="15"/>
  <c r="C463" i="15"/>
  <c r="C464" i="15"/>
  <c r="C860" i="15"/>
  <c r="C835" i="15"/>
  <c r="C98" i="15"/>
  <c r="C18" i="15"/>
  <c r="C19" i="15"/>
  <c r="C753" i="15"/>
  <c r="C497" i="15"/>
  <c r="C52" i="15"/>
  <c r="C520" i="15"/>
  <c r="C749" i="15"/>
  <c r="C966" i="15"/>
  <c r="C948" i="15"/>
  <c r="C677" i="15"/>
  <c r="C650" i="15"/>
  <c r="C745" i="15"/>
  <c r="C413" i="15"/>
  <c r="C440" i="15"/>
  <c r="C327" i="15"/>
  <c r="C958" i="15"/>
  <c r="C21" i="15"/>
  <c r="C344" i="15"/>
  <c r="C423" i="15"/>
  <c r="C632" i="15"/>
  <c r="C534" i="15"/>
  <c r="C934" i="15"/>
  <c r="C696" i="15"/>
  <c r="C498" i="15"/>
  <c r="C909" i="15"/>
  <c r="C95" i="15"/>
  <c r="C795" i="15"/>
  <c r="C139" i="15"/>
  <c r="C233" i="15"/>
  <c r="C90" i="15"/>
  <c r="C823" i="15"/>
  <c r="C260" i="15"/>
  <c r="C655" i="15"/>
  <c r="C897" i="15"/>
  <c r="C297" i="15"/>
  <c r="C644" i="15"/>
  <c r="C330" i="15"/>
  <c r="C111" i="15"/>
  <c r="C208" i="15"/>
  <c r="C877" i="15"/>
  <c r="C166" i="15"/>
  <c r="C927" i="15"/>
  <c r="C417" i="15"/>
  <c r="C131" i="15"/>
  <c r="C574" i="15"/>
  <c r="C160" i="15"/>
  <c r="C269" i="15"/>
  <c r="C634" i="15"/>
  <c r="C331" i="15"/>
  <c r="C666" i="15"/>
  <c r="C178" i="15"/>
  <c r="C949" i="15"/>
  <c r="C938" i="15"/>
  <c r="C151" i="15"/>
  <c r="C471" i="15"/>
  <c r="C113" i="15"/>
  <c r="C804" i="15"/>
  <c r="C292" i="15"/>
  <c r="C222" i="15"/>
  <c r="C1007" i="15"/>
  <c r="C470" i="15"/>
  <c r="C332" i="15"/>
  <c r="C259" i="15"/>
  <c r="C922" i="15"/>
  <c r="C228" i="15"/>
  <c r="C907" i="15"/>
  <c r="C53" i="15"/>
  <c r="C770" i="15"/>
  <c r="C850" i="15"/>
  <c r="C996" i="15"/>
  <c r="C737" i="15"/>
  <c r="C837" i="15"/>
  <c r="C896" i="15"/>
  <c r="C956" i="15"/>
  <c r="C114" i="15"/>
  <c r="C968" i="15"/>
  <c r="C346" i="15"/>
  <c r="C155" i="15"/>
  <c r="C750" i="15"/>
  <c r="C377" i="15"/>
  <c r="C514" i="15"/>
  <c r="C841" i="15"/>
  <c r="C861" i="15"/>
  <c r="C489" i="15"/>
  <c r="C411" i="15"/>
  <c r="C849" i="15"/>
  <c r="C618" i="15"/>
  <c r="C204" i="15"/>
  <c r="C439" i="15"/>
  <c r="C785" i="15"/>
  <c r="C898" i="15"/>
  <c r="C40" i="15"/>
  <c r="C17" i="15"/>
  <c r="C1014" i="15"/>
  <c r="C3" i="15"/>
  <c r="C278" i="15"/>
  <c r="C389" i="15"/>
  <c r="C688" i="15"/>
  <c r="C174" i="15"/>
  <c r="C681" i="15"/>
  <c r="C714" i="15"/>
  <c r="C363" i="15"/>
  <c r="C49" i="15"/>
  <c r="C885" i="15"/>
  <c r="C408" i="15"/>
  <c r="C773" i="15"/>
  <c r="C739" i="15"/>
  <c r="C42" i="15"/>
  <c r="C965" i="15"/>
  <c r="C149" i="15"/>
  <c r="C791" i="15"/>
  <c r="C181" i="15"/>
  <c r="C188" i="15"/>
  <c r="C920" i="15"/>
  <c r="C453" i="15"/>
  <c r="C217" i="15"/>
  <c r="C364" i="15"/>
  <c r="C712" i="15"/>
  <c r="C626" i="15"/>
  <c r="C191" i="15"/>
  <c r="C146" i="15"/>
  <c r="C821" i="15"/>
  <c r="C6" i="15"/>
  <c r="C573" i="15"/>
  <c r="C669" i="15"/>
  <c r="C678" i="15"/>
  <c r="C466" i="15"/>
  <c r="C401" i="15"/>
  <c r="C746" i="15"/>
  <c r="C1011" i="15"/>
  <c r="C153" i="15"/>
  <c r="C731" i="15"/>
  <c r="C665" i="15"/>
  <c r="C627" i="15"/>
  <c r="C553" i="15"/>
  <c r="C565" i="15"/>
  <c r="C636" i="15"/>
  <c r="C575" i="15"/>
  <c r="C693" i="15"/>
  <c r="C221" i="15"/>
  <c r="C264" i="15"/>
  <c r="C645" i="15"/>
  <c r="C317" i="15"/>
  <c r="C610" i="15"/>
  <c r="C629" i="15"/>
  <c r="C252" i="15"/>
  <c r="C500" i="15"/>
  <c r="C273" i="15"/>
  <c r="C460" i="15"/>
  <c r="C255" i="15"/>
  <c r="C150" i="15"/>
  <c r="C157" i="15"/>
  <c r="C104" i="15"/>
  <c r="C690" i="15"/>
  <c r="C400" i="15"/>
  <c r="C180" i="15"/>
  <c r="C107" i="15"/>
  <c r="C725" i="15"/>
  <c r="C886" i="15"/>
  <c r="C685" i="15"/>
  <c r="C16" i="15"/>
  <c r="C914" i="15"/>
  <c r="C675" i="15"/>
  <c r="C691" i="15"/>
  <c r="C803" i="15"/>
  <c r="C154" i="15"/>
  <c r="C362" i="15"/>
  <c r="C45" i="15"/>
  <c r="C590" i="15"/>
  <c r="C465" i="15"/>
  <c r="C551" i="15"/>
  <c r="C900" i="15"/>
  <c r="C115" i="15"/>
  <c r="C584" i="15"/>
  <c r="C486" i="15"/>
  <c r="C578" i="15"/>
  <c r="C262" i="15"/>
  <c r="C291" i="15"/>
  <c r="C404" i="15"/>
  <c r="C384" i="15"/>
  <c r="C543" i="15"/>
  <c r="C670" i="15"/>
  <c r="C908" i="15"/>
  <c r="C762" i="15"/>
  <c r="C871" i="15"/>
  <c r="C872" i="15"/>
  <c r="C616" i="15"/>
  <c r="C587" i="15"/>
  <c r="C419" i="15"/>
  <c r="C786" i="15"/>
  <c r="C511" i="15"/>
  <c r="C921" i="15"/>
  <c r="C524" i="15"/>
  <c r="C502" i="15"/>
  <c r="C997" i="15"/>
  <c r="C306" i="15"/>
  <c r="C931" i="15"/>
  <c r="C736" i="15"/>
  <c r="C336" i="15"/>
  <c r="C405" i="15"/>
  <c r="C929" i="15"/>
  <c r="C371" i="15"/>
  <c r="C263" i="15"/>
  <c r="C1005" i="15"/>
  <c r="C730" i="15"/>
  <c r="C973" i="15"/>
  <c r="C426" i="15"/>
  <c r="C5" i="15"/>
  <c r="C395" i="15"/>
  <c r="C774" i="15"/>
  <c r="C55" i="15"/>
  <c r="C846" i="15"/>
  <c r="C276" i="15"/>
  <c r="C648" i="15"/>
  <c r="C614" i="15"/>
  <c r="C246" i="15"/>
  <c r="C2" i="15"/>
  <c r="C862" i="15"/>
  <c r="C631" i="15"/>
  <c r="C432" i="15"/>
  <c r="C459" i="15"/>
  <c r="C621" i="15"/>
  <c r="C508" i="15"/>
  <c r="C525" i="15"/>
  <c r="C682" i="15"/>
  <c r="C889" i="15"/>
  <c r="C193" i="15"/>
  <c r="C203" i="15"/>
  <c r="C582" i="15"/>
  <c r="C752" i="15"/>
  <c r="C288" i="15"/>
  <c r="C245" i="15"/>
  <c r="C320" i="15"/>
  <c r="C496" i="15"/>
  <c r="C422" i="15"/>
  <c r="C858" i="15"/>
  <c r="C954" i="15"/>
  <c r="C917" i="15"/>
  <c r="C211" i="15"/>
  <c r="C661" i="15"/>
  <c r="C925" i="15"/>
  <c r="C673" i="15"/>
  <c r="C23" i="15"/>
  <c r="C844" i="15"/>
  <c r="C485" i="15"/>
  <c r="C881" i="15"/>
  <c r="C810" i="15"/>
  <c r="C580" i="15"/>
  <c r="C851" i="15"/>
  <c r="C124" i="15"/>
  <c r="C874" i="15"/>
  <c r="C1001" i="15"/>
  <c r="C740" i="15"/>
  <c r="C236" i="15"/>
  <c r="C523" i="15"/>
  <c r="C783" i="15"/>
  <c r="C518" i="15"/>
  <c r="C946" i="15"/>
  <c r="C270" i="15"/>
  <c r="C620" i="15"/>
  <c r="C410" i="15"/>
  <c r="C370" i="15"/>
  <c r="C429" i="15"/>
  <c r="C70" i="15"/>
  <c r="C441" i="15"/>
  <c r="C708" i="15"/>
  <c r="C135" i="15"/>
  <c r="C25" i="15"/>
  <c r="C495" i="15"/>
  <c r="C832" i="15"/>
  <c r="C566" i="15"/>
  <c r="C365" i="15"/>
  <c r="C947" i="15"/>
  <c r="C247" i="15"/>
  <c r="C781" i="15"/>
  <c r="C161" i="15"/>
  <c r="C884" i="15"/>
  <c r="C110" i="15"/>
  <c r="C103" i="15"/>
  <c r="C375" i="15"/>
  <c r="C1033" i="15"/>
  <c r="C189" i="15"/>
  <c r="C196" i="15"/>
  <c r="C82" i="15"/>
  <c r="C387" i="15"/>
  <c r="C717" i="15"/>
  <c r="C112" i="15"/>
  <c r="C995" i="15"/>
  <c r="C68" i="15"/>
  <c r="C656" i="15"/>
  <c r="C7" i="15"/>
  <c r="C924" i="15"/>
  <c r="C462" i="15"/>
  <c r="C386" i="15"/>
  <c r="C294" i="15"/>
  <c r="C729" i="15"/>
  <c r="C402" i="15"/>
  <c r="C89" i="15"/>
  <c r="C366" i="15"/>
  <c r="C358" i="15"/>
  <c r="C839" i="15"/>
  <c r="C516" i="15"/>
  <c r="C1027" i="15"/>
  <c r="C225" i="15" l="1"/>
  <c r="C918" i="15"/>
  <c r="C127" i="15"/>
  <c r="C630" i="15"/>
  <c r="C521" i="15"/>
  <c r="C895" i="15"/>
  <c r="C167" i="15"/>
  <c r="C213" i="15"/>
  <c r="C12" i="15"/>
  <c r="C223" i="15"/>
  <c r="C761" i="15"/>
  <c r="C868" i="15"/>
  <c r="C809" i="15"/>
  <c r="C789" i="15"/>
  <c r="C856" i="15"/>
  <c r="C769" i="15"/>
  <c r="C847" i="15"/>
  <c r="C251" i="15"/>
  <c r="C59" i="15"/>
  <c r="C163" i="15"/>
  <c r="C286" i="15"/>
  <c r="C334" i="15"/>
  <c r="C467" i="15"/>
  <c r="C455" i="15"/>
  <c r="C352" i="15"/>
  <c r="C764" i="15"/>
  <c r="C215" i="15"/>
  <c r="C284" i="15"/>
  <c r="C318" i="15"/>
  <c r="C945" i="15"/>
  <c r="C555" i="15"/>
  <c r="C385" i="15"/>
  <c r="C434" i="15"/>
  <c r="C63" i="15"/>
  <c r="C647" i="15"/>
  <c r="C709" i="15"/>
  <c r="C683" i="15"/>
  <c r="C66" i="15"/>
  <c r="C175" i="15"/>
  <c r="C493" i="15"/>
  <c r="C800" i="15"/>
  <c r="C820" i="15"/>
  <c r="C672" i="15"/>
  <c r="C652" i="15"/>
  <c r="C409" i="15"/>
  <c r="C195" i="15"/>
  <c r="C433" i="15"/>
  <c r="C802" i="15"/>
  <c r="C794" i="15"/>
  <c r="C220" i="15"/>
  <c r="C388" i="15"/>
  <c r="C209" i="15"/>
  <c r="C718" i="15"/>
  <c r="C700" i="15"/>
  <c r="C1019" i="15"/>
  <c r="C838" i="15"/>
  <c r="C702" i="15"/>
  <c r="C609" i="15"/>
  <c r="C239" i="15"/>
  <c r="C654" i="15"/>
  <c r="C831" i="15"/>
  <c r="C394" i="15"/>
</calcChain>
</file>

<file path=xl/sharedStrings.xml><?xml version="1.0" encoding="utf-8"?>
<sst xmlns="http://schemas.openxmlformats.org/spreadsheetml/2006/main" count="15679" uniqueCount="1162">
  <si>
    <t>Household Characteristics</t>
  </si>
  <si>
    <t>Difference</t>
  </si>
  <si>
    <t>t-test</t>
  </si>
  <si>
    <t>Health expenditures(US$ yearly per capita)</t>
  </si>
  <si>
    <t>Head of Household's age(years)</t>
  </si>
  <si>
    <t>Spouse's age(years)</t>
  </si>
  <si>
    <t>Head of household's education (years)</t>
  </si>
  <si>
    <t>Spouse's education(years)</t>
  </si>
  <si>
    <t>Head of Household is female=1</t>
  </si>
  <si>
    <t>Indigenious=1</t>
  </si>
  <si>
    <t>Number of Household members</t>
  </si>
  <si>
    <t>Has dirt floor=1</t>
  </si>
  <si>
    <t>Has bathroom=1</t>
  </si>
  <si>
    <t>Hectares of land</t>
  </si>
  <si>
    <t>Distance to hospital(km)</t>
  </si>
  <si>
    <t>Treatment group(n=2964)</t>
  </si>
  <si>
    <t>Comparison group(n=2664)</t>
  </si>
  <si>
    <t>Household ID</t>
  </si>
  <si>
    <t>Household_Size</t>
  </si>
  <si>
    <t>Current Water Source</t>
  </si>
  <si>
    <t>Distance to Health facility</t>
  </si>
  <si>
    <t>Village</t>
  </si>
  <si>
    <t>Monthly_Household_Income</t>
  </si>
  <si>
    <t>Baseline Data of Evaluation Sample</t>
  </si>
  <si>
    <t>Annual Health Expenditure</t>
  </si>
  <si>
    <t>Time to collect Water</t>
  </si>
  <si>
    <t>Random No.</t>
  </si>
  <si>
    <t>Treatment</t>
  </si>
  <si>
    <t>Treatment Group</t>
  </si>
  <si>
    <t>Comparison Group</t>
  </si>
  <si>
    <t>Control</t>
  </si>
  <si>
    <t>Treatment Income</t>
  </si>
  <si>
    <t>Control Income</t>
  </si>
  <si>
    <t>Treatment ANE</t>
  </si>
  <si>
    <t>Control-ANE</t>
  </si>
  <si>
    <t>TRG- Time</t>
  </si>
  <si>
    <t>GTG-Time</t>
  </si>
  <si>
    <t>TRG- Distance</t>
  </si>
  <si>
    <t>CTr-Distance</t>
  </si>
  <si>
    <t>t-Test: Two-Sample Assuming Equal Variances</t>
  </si>
  <si>
    <t>Mean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</si>
  <si>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</si>
  <si>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</si>
  <si>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</si>
  <si>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</si>
  <si>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</si>
  <si>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</si>
  <si>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</si>
  <si>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</si>
  <si>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</si>
  <si>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</si>
  <si>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Control Group Income</t>
  </si>
  <si>
    <t xml:space="preserve">t-Test: Two-Sample of Monthly incomes Treatment and Control groups </t>
  </si>
  <si>
    <t>Control ANE</t>
  </si>
  <si>
    <t>Treatment KM</t>
  </si>
  <si>
    <t>Control KM</t>
  </si>
  <si>
    <t>Treatment- Time</t>
  </si>
  <si>
    <t>Control- Time</t>
  </si>
  <si>
    <t>Monthly Income</t>
  </si>
  <si>
    <t>Health Expenditure</t>
  </si>
  <si>
    <t>Time used to collect water</t>
  </si>
  <si>
    <t>Endline Data of Evaluation Sample</t>
  </si>
  <si>
    <t>Kiserian</t>
  </si>
  <si>
    <t xml:space="preserve"> Oloitoktok A</t>
  </si>
  <si>
    <t>Namanga</t>
  </si>
  <si>
    <t>Oloitoktok B</t>
  </si>
  <si>
    <t>Rainwater</t>
  </si>
  <si>
    <t>River</t>
  </si>
  <si>
    <t>Borehole</t>
  </si>
  <si>
    <t>Vendor</t>
  </si>
  <si>
    <t>Sample Mean</t>
  </si>
  <si>
    <t>Sample mean</t>
  </si>
  <si>
    <t>Monthly Household Income</t>
  </si>
  <si>
    <t>Time spent  to collect water</t>
  </si>
  <si>
    <t>Endline t-Test Analysis</t>
  </si>
  <si>
    <t>SUMMARY OUTPUT</t>
  </si>
  <si>
    <t>Regression Statistics</t>
  </si>
  <si>
    <t>Multiple R</t>
  </si>
  <si>
    <t>R Square</t>
  </si>
  <si>
    <t>Adjusted R Square</t>
  </si>
  <si>
    <t>Standard Error</t>
  </si>
  <si>
    <t>ANOVA</t>
  </si>
  <si>
    <t>Regression</t>
  </si>
  <si>
    <t>Residual</t>
  </si>
  <si>
    <t>Total</t>
  </si>
  <si>
    <t>Intercept</t>
  </si>
  <si>
    <t>SS</t>
  </si>
  <si>
    <t>MS</t>
  </si>
  <si>
    <t>F</t>
  </si>
  <si>
    <t>Significance F</t>
  </si>
  <si>
    <t>Coefficients</t>
  </si>
  <si>
    <t>P-value</t>
  </si>
  <si>
    <t>Lower 95%</t>
  </si>
  <si>
    <t>Upper 95%</t>
  </si>
  <si>
    <t>Lower 95.0%</t>
  </si>
  <si>
    <t>Upper 95.0%</t>
  </si>
  <si>
    <t>Baseline</t>
  </si>
  <si>
    <t>Endline</t>
  </si>
  <si>
    <t xml:space="preserve">Household Monthly Income </t>
  </si>
  <si>
    <t>Time spent to collect water</t>
  </si>
  <si>
    <t>Time</t>
  </si>
  <si>
    <t>Treatment income</t>
  </si>
  <si>
    <t>Treatment Health Expenditure</t>
  </si>
  <si>
    <t>Control Health expenditure</t>
  </si>
  <si>
    <t>Treatment Time to collect water</t>
  </si>
  <si>
    <t>Control- Time  to collect water</t>
  </si>
  <si>
    <t>Household_income</t>
  </si>
  <si>
    <t>Time_spent to collect water</t>
  </si>
  <si>
    <t>Linear regression</t>
  </si>
  <si>
    <t>Multivariat Regression Analysis</t>
  </si>
  <si>
    <t>HH001</t>
  </si>
  <si>
    <t>HH002</t>
  </si>
  <si>
    <t>HH003</t>
  </si>
  <si>
    <t>HH004</t>
  </si>
  <si>
    <t>HH005</t>
  </si>
  <si>
    <t>HH006</t>
  </si>
  <si>
    <t>HH007</t>
  </si>
  <si>
    <t>HH008</t>
  </si>
  <si>
    <t>HH009</t>
  </si>
  <si>
    <t>HH010</t>
  </si>
  <si>
    <t>HH011</t>
  </si>
  <si>
    <t>HH012</t>
  </si>
  <si>
    <t>HH013</t>
  </si>
  <si>
    <t>HH014</t>
  </si>
  <si>
    <t>HH015</t>
  </si>
  <si>
    <t>HH016</t>
  </si>
  <si>
    <t>HH017</t>
  </si>
  <si>
    <t>HH018</t>
  </si>
  <si>
    <t>HH019</t>
  </si>
  <si>
    <t>HH020</t>
  </si>
  <si>
    <t>HH021</t>
  </si>
  <si>
    <t>HH022</t>
  </si>
  <si>
    <t>HH023</t>
  </si>
  <si>
    <t>HH024</t>
  </si>
  <si>
    <t>HH025</t>
  </si>
  <si>
    <t>HH026</t>
  </si>
  <si>
    <t>HH027</t>
  </si>
  <si>
    <t>HH028</t>
  </si>
  <si>
    <t>HH029</t>
  </si>
  <si>
    <t>HH030</t>
  </si>
  <si>
    <t>HH031</t>
  </si>
  <si>
    <t>HH032</t>
  </si>
  <si>
    <t>HH033</t>
  </si>
  <si>
    <t>HH034</t>
  </si>
  <si>
    <t>HH035</t>
  </si>
  <si>
    <t>HH036</t>
  </si>
  <si>
    <t>HH037</t>
  </si>
  <si>
    <t>HH038</t>
  </si>
  <si>
    <t>HH039</t>
  </si>
  <si>
    <t>HH040</t>
  </si>
  <si>
    <t>HH041</t>
  </si>
  <si>
    <t>HH042</t>
  </si>
  <si>
    <t>HH043</t>
  </si>
  <si>
    <t>HH044</t>
  </si>
  <si>
    <t>HH045</t>
  </si>
  <si>
    <t>HH046</t>
  </si>
  <si>
    <t>HH047</t>
  </si>
  <si>
    <t>HH048</t>
  </si>
  <si>
    <t>HH049</t>
  </si>
  <si>
    <t>HH050</t>
  </si>
  <si>
    <t>HH051</t>
  </si>
  <si>
    <t>HH052</t>
  </si>
  <si>
    <t>HH053</t>
  </si>
  <si>
    <t>HH054</t>
  </si>
  <si>
    <t>HH055</t>
  </si>
  <si>
    <t>HH056</t>
  </si>
  <si>
    <t>HH057</t>
  </si>
  <si>
    <t>HH058</t>
  </si>
  <si>
    <t>HH059</t>
  </si>
  <si>
    <t>HH060</t>
  </si>
  <si>
    <t>HH061</t>
  </si>
  <si>
    <t>HH062</t>
  </si>
  <si>
    <t>HH063</t>
  </si>
  <si>
    <t>HH064</t>
  </si>
  <si>
    <t>HH065</t>
  </si>
  <si>
    <t>HH066</t>
  </si>
  <si>
    <t>HH067</t>
  </si>
  <si>
    <t>HH068</t>
  </si>
  <si>
    <t>HH069</t>
  </si>
  <si>
    <t>HH070</t>
  </si>
  <si>
    <t>HH071</t>
  </si>
  <si>
    <t>HH072</t>
  </si>
  <si>
    <t>HH073</t>
  </si>
  <si>
    <t>HH074</t>
  </si>
  <si>
    <t>HH075</t>
  </si>
  <si>
    <t>HH076</t>
  </si>
  <si>
    <t>HH077</t>
  </si>
  <si>
    <t>HH078</t>
  </si>
  <si>
    <t>HH079</t>
  </si>
  <si>
    <t>HH080</t>
  </si>
  <si>
    <t>HH081</t>
  </si>
  <si>
    <t>HH082</t>
  </si>
  <si>
    <t>HH083</t>
  </si>
  <si>
    <t>HH084</t>
  </si>
  <si>
    <t>HH085</t>
  </si>
  <si>
    <t>HH086</t>
  </si>
  <si>
    <t>HH087</t>
  </si>
  <si>
    <t>HH088</t>
  </si>
  <si>
    <t>HH089</t>
  </si>
  <si>
    <t>HH090</t>
  </si>
  <si>
    <t>HH091</t>
  </si>
  <si>
    <t>HH092</t>
  </si>
  <si>
    <t>HH093</t>
  </si>
  <si>
    <t>HH094</t>
  </si>
  <si>
    <t>HH095</t>
  </si>
  <si>
    <t>HH096</t>
  </si>
  <si>
    <t>HH097</t>
  </si>
  <si>
    <t>HH098</t>
  </si>
  <si>
    <t>HH099</t>
  </si>
  <si>
    <t>HH100</t>
  </si>
  <si>
    <t>HH101</t>
  </si>
  <si>
    <t>HH102</t>
  </si>
  <si>
    <t>HH103</t>
  </si>
  <si>
    <t>HH104</t>
  </si>
  <si>
    <t>HH105</t>
  </si>
  <si>
    <t>HH106</t>
  </si>
  <si>
    <t>HH107</t>
  </si>
  <si>
    <t>HH108</t>
  </si>
  <si>
    <t>HH109</t>
  </si>
  <si>
    <t>HH110</t>
  </si>
  <si>
    <t>HH111</t>
  </si>
  <si>
    <t>HH112</t>
  </si>
  <si>
    <t>HH113</t>
  </si>
  <si>
    <t>HH114</t>
  </si>
  <si>
    <t>HH115</t>
  </si>
  <si>
    <t>HH116</t>
  </si>
  <si>
    <t>HH117</t>
  </si>
  <si>
    <t>HH118</t>
  </si>
  <si>
    <t>HH119</t>
  </si>
  <si>
    <t>HH120</t>
  </si>
  <si>
    <t>HH121</t>
  </si>
  <si>
    <t>HH122</t>
  </si>
  <si>
    <t>HH123</t>
  </si>
  <si>
    <t>HH124</t>
  </si>
  <si>
    <t>HH125</t>
  </si>
  <si>
    <t>HH126</t>
  </si>
  <si>
    <t>HH127</t>
  </si>
  <si>
    <t>HH128</t>
  </si>
  <si>
    <t>HH129</t>
  </si>
  <si>
    <t>HH130</t>
  </si>
  <si>
    <t>HH131</t>
  </si>
  <si>
    <t>HH132</t>
  </si>
  <si>
    <t>HH133</t>
  </si>
  <si>
    <t>HH134</t>
  </si>
  <si>
    <t>HH135</t>
  </si>
  <si>
    <t>HH136</t>
  </si>
  <si>
    <t>HH137</t>
  </si>
  <si>
    <t>HH138</t>
  </si>
  <si>
    <t>HH139</t>
  </si>
  <si>
    <t>HH140</t>
  </si>
  <si>
    <t>HH141</t>
  </si>
  <si>
    <t>HH142</t>
  </si>
  <si>
    <t>HH143</t>
  </si>
  <si>
    <t>HH144</t>
  </si>
  <si>
    <t>HH145</t>
  </si>
  <si>
    <t>HH146</t>
  </si>
  <si>
    <t>HH147</t>
  </si>
  <si>
    <t>HH148</t>
  </si>
  <si>
    <t>HH149</t>
  </si>
  <si>
    <t>HH150</t>
  </si>
  <si>
    <t>HH151</t>
  </si>
  <si>
    <t>HH152</t>
  </si>
  <si>
    <t>HH153</t>
  </si>
  <si>
    <t>HH154</t>
  </si>
  <si>
    <t>HH155</t>
  </si>
  <si>
    <t>HH156</t>
  </si>
  <si>
    <t>HH157</t>
  </si>
  <si>
    <t>HH158</t>
  </si>
  <si>
    <t>HH159</t>
  </si>
  <si>
    <t>HH160</t>
  </si>
  <si>
    <t>HH161</t>
  </si>
  <si>
    <t>HH162</t>
  </si>
  <si>
    <t>HH163</t>
  </si>
  <si>
    <t>HH164</t>
  </si>
  <si>
    <t>HH165</t>
  </si>
  <si>
    <t>HH166</t>
  </si>
  <si>
    <t>HH167</t>
  </si>
  <si>
    <t>HH168</t>
  </si>
  <si>
    <t>HH169</t>
  </si>
  <si>
    <t>HH170</t>
  </si>
  <si>
    <t>HH171</t>
  </si>
  <si>
    <t>HH172</t>
  </si>
  <si>
    <t>HH173</t>
  </si>
  <si>
    <t>HH174</t>
  </si>
  <si>
    <t>HH175</t>
  </si>
  <si>
    <t>HH176</t>
  </si>
  <si>
    <t>HH177</t>
  </si>
  <si>
    <t>HH178</t>
  </si>
  <si>
    <t>HH179</t>
  </si>
  <si>
    <t>HH180</t>
  </si>
  <si>
    <t>HH181</t>
  </si>
  <si>
    <t>HH182</t>
  </si>
  <si>
    <t>HH183</t>
  </si>
  <si>
    <t>HH184</t>
  </si>
  <si>
    <t>HH185</t>
  </si>
  <si>
    <t>HH186</t>
  </si>
  <si>
    <t>HH187</t>
  </si>
  <si>
    <t>HH188</t>
  </si>
  <si>
    <t>HH189</t>
  </si>
  <si>
    <t>HH190</t>
  </si>
  <si>
    <t>HH191</t>
  </si>
  <si>
    <t>HH192</t>
  </si>
  <si>
    <t>HH193</t>
  </si>
  <si>
    <t>HH194</t>
  </si>
  <si>
    <t>HH195</t>
  </si>
  <si>
    <t>HH196</t>
  </si>
  <si>
    <t>HH197</t>
  </si>
  <si>
    <t>HH198</t>
  </si>
  <si>
    <t>HH199</t>
  </si>
  <si>
    <t>HH200</t>
  </si>
  <si>
    <t>HH201</t>
  </si>
  <si>
    <t>HH202</t>
  </si>
  <si>
    <t>HH203</t>
  </si>
  <si>
    <t>HH204</t>
  </si>
  <si>
    <t>HH205</t>
  </si>
  <si>
    <t>HH206</t>
  </si>
  <si>
    <t>HH207</t>
  </si>
  <si>
    <t>HH208</t>
  </si>
  <si>
    <t>HH209</t>
  </si>
  <si>
    <t>HH210</t>
  </si>
  <si>
    <t>HH211</t>
  </si>
  <si>
    <t>HH212</t>
  </si>
  <si>
    <t>HH213</t>
  </si>
  <si>
    <t>HH214</t>
  </si>
  <si>
    <t>HH215</t>
  </si>
  <si>
    <t>HH216</t>
  </si>
  <si>
    <t>HH217</t>
  </si>
  <si>
    <t>HH218</t>
  </si>
  <si>
    <t>HH219</t>
  </si>
  <si>
    <t>HH220</t>
  </si>
  <si>
    <t>HH221</t>
  </si>
  <si>
    <t>HH222</t>
  </si>
  <si>
    <t>HH223</t>
  </si>
  <si>
    <t>HH224</t>
  </si>
  <si>
    <t>HH225</t>
  </si>
  <si>
    <t>HH226</t>
  </si>
  <si>
    <t>HH227</t>
  </si>
  <si>
    <t>HH228</t>
  </si>
  <si>
    <t>HH229</t>
  </si>
  <si>
    <t>HH230</t>
  </si>
  <si>
    <t>HH231</t>
  </si>
  <si>
    <t>HH232</t>
  </si>
  <si>
    <t>HH233</t>
  </si>
  <si>
    <t>HH234</t>
  </si>
  <si>
    <t>HH235</t>
  </si>
  <si>
    <t>HH236</t>
  </si>
  <si>
    <t>HH237</t>
  </si>
  <si>
    <t>HH238</t>
  </si>
  <si>
    <t>HH239</t>
  </si>
  <si>
    <t>HH240</t>
  </si>
  <si>
    <t>HH241</t>
  </si>
  <si>
    <t>HH242</t>
  </si>
  <si>
    <t>HH243</t>
  </si>
  <si>
    <t>HH244</t>
  </si>
  <si>
    <t>HH245</t>
  </si>
  <si>
    <t>HH246</t>
  </si>
  <si>
    <t>HH247</t>
  </si>
  <si>
    <t>HH248</t>
  </si>
  <si>
    <t>HH249</t>
  </si>
  <si>
    <t>HH250</t>
  </si>
  <si>
    <t>HH251</t>
  </si>
  <si>
    <t>HH252</t>
  </si>
  <si>
    <t>HH253</t>
  </si>
  <si>
    <t>HH254</t>
  </si>
  <si>
    <t>HH255</t>
  </si>
  <si>
    <t>HH256</t>
  </si>
  <si>
    <t>HH257</t>
  </si>
  <si>
    <t>HH258</t>
  </si>
  <si>
    <t>HH259</t>
  </si>
  <si>
    <t>HH260</t>
  </si>
  <si>
    <t>HH261</t>
  </si>
  <si>
    <t>HH262</t>
  </si>
  <si>
    <t>HH263</t>
  </si>
  <si>
    <t>HH264</t>
  </si>
  <si>
    <t>HH265</t>
  </si>
  <si>
    <t>HH266</t>
  </si>
  <si>
    <t>HH267</t>
  </si>
  <si>
    <t>HH268</t>
  </si>
  <si>
    <t>HH269</t>
  </si>
  <si>
    <t>HH270</t>
  </si>
  <si>
    <t>HH271</t>
  </si>
  <si>
    <t>HH272</t>
  </si>
  <si>
    <t>HH273</t>
  </si>
  <si>
    <t>HH274</t>
  </si>
  <si>
    <t>HH275</t>
  </si>
  <si>
    <t>HH276</t>
  </si>
  <si>
    <t>HH277</t>
  </si>
  <si>
    <t>HH278</t>
  </si>
  <si>
    <t>HH279</t>
  </si>
  <si>
    <t>HH280</t>
  </si>
  <si>
    <t>HH281</t>
  </si>
  <si>
    <t>HH282</t>
  </si>
  <si>
    <t>HH283</t>
  </si>
  <si>
    <t>HH284</t>
  </si>
  <si>
    <t>HH285</t>
  </si>
  <si>
    <t>HH286</t>
  </si>
  <si>
    <t>HH287</t>
  </si>
  <si>
    <t>HH288</t>
  </si>
  <si>
    <t>HH289</t>
  </si>
  <si>
    <t>HH290</t>
  </si>
  <si>
    <t>HH291</t>
  </si>
  <si>
    <t>HH292</t>
  </si>
  <si>
    <t>HH293</t>
  </si>
  <si>
    <t>HH294</t>
  </si>
  <si>
    <t>HH295</t>
  </si>
  <si>
    <t>HH296</t>
  </si>
  <si>
    <t>HH297</t>
  </si>
  <si>
    <t>HH298</t>
  </si>
  <si>
    <t>HH299</t>
  </si>
  <si>
    <t>HH300</t>
  </si>
  <si>
    <t>HH301</t>
  </si>
  <si>
    <t>HH302</t>
  </si>
  <si>
    <t>HH303</t>
  </si>
  <si>
    <t>HH304</t>
  </si>
  <si>
    <t>HH305</t>
  </si>
  <si>
    <t>HH306</t>
  </si>
  <si>
    <t>HH307</t>
  </si>
  <si>
    <t>HH308</t>
  </si>
  <si>
    <t>HH309</t>
  </si>
  <si>
    <t>HH310</t>
  </si>
  <si>
    <t>HH311</t>
  </si>
  <si>
    <t>HH312</t>
  </si>
  <si>
    <t>HH313</t>
  </si>
  <si>
    <t>HH314</t>
  </si>
  <si>
    <t>HH315</t>
  </si>
  <si>
    <t>HH316</t>
  </si>
  <si>
    <t>HH317</t>
  </si>
  <si>
    <t>HH318</t>
  </si>
  <si>
    <t>HH319</t>
  </si>
  <si>
    <t>HH320</t>
  </si>
  <si>
    <t>HH321</t>
  </si>
  <si>
    <t>HH322</t>
  </si>
  <si>
    <t>HH323</t>
  </si>
  <si>
    <t>HH324</t>
  </si>
  <si>
    <t>HH325</t>
  </si>
  <si>
    <t>HH326</t>
  </si>
  <si>
    <t>HH327</t>
  </si>
  <si>
    <t>HH328</t>
  </si>
  <si>
    <t>HH329</t>
  </si>
  <si>
    <t>HH330</t>
  </si>
  <si>
    <t>HH331</t>
  </si>
  <si>
    <t>HH332</t>
  </si>
  <si>
    <t>HH333</t>
  </si>
  <si>
    <t>HH334</t>
  </si>
  <si>
    <t>HH335</t>
  </si>
  <si>
    <t>HH336</t>
  </si>
  <si>
    <t>HH337</t>
  </si>
  <si>
    <t>HH338</t>
  </si>
  <si>
    <t>HH339</t>
  </si>
  <si>
    <t>HH340</t>
  </si>
  <si>
    <t>HH341</t>
  </si>
  <si>
    <t>HH342</t>
  </si>
  <si>
    <t>HH343</t>
  </si>
  <si>
    <t>HH344</t>
  </si>
  <si>
    <t>HH345</t>
  </si>
  <si>
    <t>HH346</t>
  </si>
  <si>
    <t>HH347</t>
  </si>
  <si>
    <t>HH348</t>
  </si>
  <si>
    <t>HH349</t>
  </si>
  <si>
    <t>HH350</t>
  </si>
  <si>
    <t>HH351</t>
  </si>
  <si>
    <t>HH352</t>
  </si>
  <si>
    <t>HH353</t>
  </si>
  <si>
    <t>HH354</t>
  </si>
  <si>
    <t>HH355</t>
  </si>
  <si>
    <t>HH356</t>
  </si>
  <si>
    <t>HH357</t>
  </si>
  <si>
    <t>HH358</t>
  </si>
  <si>
    <t>HH359</t>
  </si>
  <si>
    <t>HH360</t>
  </si>
  <si>
    <t>HH361</t>
  </si>
  <si>
    <t>HH362</t>
  </si>
  <si>
    <t>HH363</t>
  </si>
  <si>
    <t>HH364</t>
  </si>
  <si>
    <t>HH365</t>
  </si>
  <si>
    <t>HH366</t>
  </si>
  <si>
    <t>HH367</t>
  </si>
  <si>
    <t>HH368</t>
  </si>
  <si>
    <t>HH369</t>
  </si>
  <si>
    <t>HH370</t>
  </si>
  <si>
    <t>HH371</t>
  </si>
  <si>
    <t>HH372</t>
  </si>
  <si>
    <t>HH373</t>
  </si>
  <si>
    <t>HH374</t>
  </si>
  <si>
    <t>HH375</t>
  </si>
  <si>
    <t>HH376</t>
  </si>
  <si>
    <t>HH377</t>
  </si>
  <si>
    <t>HH378</t>
  </si>
  <si>
    <t>HH379</t>
  </si>
  <si>
    <t>HH380</t>
  </si>
  <si>
    <t>HH381</t>
  </si>
  <si>
    <t>HH382</t>
  </si>
  <si>
    <t>HH383</t>
  </si>
  <si>
    <t>HH384</t>
  </si>
  <si>
    <t>HH385</t>
  </si>
  <si>
    <t>HH386</t>
  </si>
  <si>
    <t>HH387</t>
  </si>
  <si>
    <t>HH388</t>
  </si>
  <si>
    <t>HH389</t>
  </si>
  <si>
    <t>HH390</t>
  </si>
  <si>
    <t>HH391</t>
  </si>
  <si>
    <t>HH392</t>
  </si>
  <si>
    <t>HH393</t>
  </si>
  <si>
    <t>HH394</t>
  </si>
  <si>
    <t>HH395</t>
  </si>
  <si>
    <t>HH396</t>
  </si>
  <si>
    <t>HH397</t>
  </si>
  <si>
    <t>HH398</t>
  </si>
  <si>
    <t>HH399</t>
  </si>
  <si>
    <t>HH400</t>
  </si>
  <si>
    <t>Time Spent Collecting water(Mins)</t>
  </si>
  <si>
    <t>Distance to Health facility(kms)</t>
  </si>
  <si>
    <t>Monthly Health Expenditure</t>
  </si>
  <si>
    <t>Oloitoktok A</t>
  </si>
  <si>
    <t>HH401</t>
  </si>
  <si>
    <t>HH402</t>
  </si>
  <si>
    <t>HH403</t>
  </si>
  <si>
    <t>HH404</t>
  </si>
  <si>
    <t>HH405</t>
  </si>
  <si>
    <t>HH406</t>
  </si>
  <si>
    <t>HH407</t>
  </si>
  <si>
    <t>HH408</t>
  </si>
  <si>
    <t>HH409</t>
  </si>
  <si>
    <t>HH410</t>
  </si>
  <si>
    <t>HH411</t>
  </si>
  <si>
    <t>HH412</t>
  </si>
  <si>
    <t>HH413</t>
  </si>
  <si>
    <t>HH414</t>
  </si>
  <si>
    <t>HH415</t>
  </si>
  <si>
    <t>HH416</t>
  </si>
  <si>
    <t>HH417</t>
  </si>
  <si>
    <t>HH418</t>
  </si>
  <si>
    <t>HH419</t>
  </si>
  <si>
    <t>HH420</t>
  </si>
  <si>
    <t>HH421</t>
  </si>
  <si>
    <t>HH422</t>
  </si>
  <si>
    <t>HH423</t>
  </si>
  <si>
    <t>HH424</t>
  </si>
  <si>
    <t>HH425</t>
  </si>
  <si>
    <t>HH426</t>
  </si>
  <si>
    <t>HH427</t>
  </si>
  <si>
    <t>HH428</t>
  </si>
  <si>
    <t>HH429</t>
  </si>
  <si>
    <t>HH430</t>
  </si>
  <si>
    <t>HH431</t>
  </si>
  <si>
    <t>HH432</t>
  </si>
  <si>
    <t>HH433</t>
  </si>
  <si>
    <t>HH434</t>
  </si>
  <si>
    <t>HH435</t>
  </si>
  <si>
    <t>HH436</t>
  </si>
  <si>
    <t>HH437</t>
  </si>
  <si>
    <t>HH438</t>
  </si>
  <si>
    <t>HH439</t>
  </si>
  <si>
    <t>HH440</t>
  </si>
  <si>
    <t>HH441</t>
  </si>
  <si>
    <t>HH442</t>
  </si>
  <si>
    <t>HH443</t>
  </si>
  <si>
    <t>HH444</t>
  </si>
  <si>
    <t>HH445</t>
  </si>
  <si>
    <t>HH446</t>
  </si>
  <si>
    <t>HH447</t>
  </si>
  <si>
    <t>HH448</t>
  </si>
  <si>
    <t>HH449</t>
  </si>
  <si>
    <t>HH450</t>
  </si>
  <si>
    <t>HH451</t>
  </si>
  <si>
    <t>HH452</t>
  </si>
  <si>
    <t>HH453</t>
  </si>
  <si>
    <t>HH454</t>
  </si>
  <si>
    <t>HH455</t>
  </si>
  <si>
    <t>HH456</t>
  </si>
  <si>
    <t>HH457</t>
  </si>
  <si>
    <t>HH458</t>
  </si>
  <si>
    <t>HH459</t>
  </si>
  <si>
    <t>HH460</t>
  </si>
  <si>
    <t>HH461</t>
  </si>
  <si>
    <t>HH462</t>
  </si>
  <si>
    <t>HH463</t>
  </si>
  <si>
    <t>HH464</t>
  </si>
  <si>
    <t>HH465</t>
  </si>
  <si>
    <t>HH466</t>
  </si>
  <si>
    <t>HH467</t>
  </si>
  <si>
    <t>HH468</t>
  </si>
  <si>
    <t>HH469</t>
  </si>
  <si>
    <t>HH470</t>
  </si>
  <si>
    <t>HH471</t>
  </si>
  <si>
    <t>HH472</t>
  </si>
  <si>
    <t>HH473</t>
  </si>
  <si>
    <t>HH474</t>
  </si>
  <si>
    <t>HH475</t>
  </si>
  <si>
    <t>HH476</t>
  </si>
  <si>
    <t>HH477</t>
  </si>
  <si>
    <t>HH478</t>
  </si>
  <si>
    <t>HH479</t>
  </si>
  <si>
    <t>HH480</t>
  </si>
  <si>
    <t>HH481</t>
  </si>
  <si>
    <t>HH482</t>
  </si>
  <si>
    <t>HH483</t>
  </si>
  <si>
    <t>HH484</t>
  </si>
  <si>
    <t>HH485</t>
  </si>
  <si>
    <t>HH486</t>
  </si>
  <si>
    <t>HH487</t>
  </si>
  <si>
    <t>HH488</t>
  </si>
  <si>
    <t>HH489</t>
  </si>
  <si>
    <t>HH490</t>
  </si>
  <si>
    <t>HH491</t>
  </si>
  <si>
    <t>HH492</t>
  </si>
  <si>
    <t>HH493</t>
  </si>
  <si>
    <t>HH494</t>
  </si>
  <si>
    <t>HH495</t>
  </si>
  <si>
    <t>HH496</t>
  </si>
  <si>
    <t>HH497</t>
  </si>
  <si>
    <t>HH498</t>
  </si>
  <si>
    <t>HH499</t>
  </si>
  <si>
    <t>HH500</t>
  </si>
  <si>
    <t>HH501</t>
  </si>
  <si>
    <t>HH502</t>
  </si>
  <si>
    <t>HH503</t>
  </si>
  <si>
    <t>HH504</t>
  </si>
  <si>
    <t>HH505</t>
  </si>
  <si>
    <t>HH506</t>
  </si>
  <si>
    <t>HH507</t>
  </si>
  <si>
    <t>HH508</t>
  </si>
  <si>
    <t>HH509</t>
  </si>
  <si>
    <t>HH510</t>
  </si>
  <si>
    <t>HH511</t>
  </si>
  <si>
    <t>HH512</t>
  </si>
  <si>
    <t>HH513</t>
  </si>
  <si>
    <t>HH514</t>
  </si>
  <si>
    <t>HH515</t>
  </si>
  <si>
    <t>HH516</t>
  </si>
  <si>
    <t>HH517</t>
  </si>
  <si>
    <t>HH518</t>
  </si>
  <si>
    <t>HH519</t>
  </si>
  <si>
    <t>HH520</t>
  </si>
  <si>
    <t>HH521</t>
  </si>
  <si>
    <t>HH522</t>
  </si>
  <si>
    <t>HH523</t>
  </si>
  <si>
    <t>HH524</t>
  </si>
  <si>
    <t>HH525</t>
  </si>
  <si>
    <t>HH526</t>
  </si>
  <si>
    <t>HH527</t>
  </si>
  <si>
    <t>HH528</t>
  </si>
  <si>
    <t>HH529</t>
  </si>
  <si>
    <t>HH530</t>
  </si>
  <si>
    <t>HH531</t>
  </si>
  <si>
    <t>HH532</t>
  </si>
  <si>
    <t>HH533</t>
  </si>
  <si>
    <t>HH534</t>
  </si>
  <si>
    <t>HH535</t>
  </si>
  <si>
    <t>HH536</t>
  </si>
  <si>
    <t>HH537</t>
  </si>
  <si>
    <t>HH538</t>
  </si>
  <si>
    <t>HH539</t>
  </si>
  <si>
    <t>HH540</t>
  </si>
  <si>
    <t>HH541</t>
  </si>
  <si>
    <t>HH542</t>
  </si>
  <si>
    <t>HH543</t>
  </si>
  <si>
    <t>HH544</t>
  </si>
  <si>
    <t>HH545</t>
  </si>
  <si>
    <t>HH546</t>
  </si>
  <si>
    <t>HH547</t>
  </si>
  <si>
    <t>HH548</t>
  </si>
  <si>
    <t>HH549</t>
  </si>
  <si>
    <t>HH550</t>
  </si>
  <si>
    <t>HH551</t>
  </si>
  <si>
    <t>HH552</t>
  </si>
  <si>
    <t>HH553</t>
  </si>
  <si>
    <t>HH554</t>
  </si>
  <si>
    <t>HH555</t>
  </si>
  <si>
    <t>HH556</t>
  </si>
  <si>
    <t>HH557</t>
  </si>
  <si>
    <t>HH558</t>
  </si>
  <si>
    <t>HH559</t>
  </si>
  <si>
    <t>HH560</t>
  </si>
  <si>
    <t>HH561</t>
  </si>
  <si>
    <t>HH562</t>
  </si>
  <si>
    <t>HH563</t>
  </si>
  <si>
    <t>HH564</t>
  </si>
  <si>
    <t>HH565</t>
  </si>
  <si>
    <t>HH566</t>
  </si>
  <si>
    <t>HH567</t>
  </si>
  <si>
    <t>HH568</t>
  </si>
  <si>
    <t>HH569</t>
  </si>
  <si>
    <t>HH570</t>
  </si>
  <si>
    <t>HH571</t>
  </si>
  <si>
    <t>HH572</t>
  </si>
  <si>
    <t>HH573</t>
  </si>
  <si>
    <t>HH574</t>
  </si>
  <si>
    <t>HH575</t>
  </si>
  <si>
    <t>HH576</t>
  </si>
  <si>
    <t>HH577</t>
  </si>
  <si>
    <t>HH578</t>
  </si>
  <si>
    <t>HH579</t>
  </si>
  <si>
    <t>HH580</t>
  </si>
  <si>
    <t>HH581</t>
  </si>
  <si>
    <t>HH582</t>
  </si>
  <si>
    <t>HH583</t>
  </si>
  <si>
    <t>HH584</t>
  </si>
  <si>
    <t>HH585</t>
  </si>
  <si>
    <t>HH586</t>
  </si>
  <si>
    <t>HH587</t>
  </si>
  <si>
    <t>HH588</t>
  </si>
  <si>
    <t>HH589</t>
  </si>
  <si>
    <t>HH590</t>
  </si>
  <si>
    <t>HH591</t>
  </si>
  <si>
    <t>HH592</t>
  </si>
  <si>
    <t>HH593</t>
  </si>
  <si>
    <t>HH594</t>
  </si>
  <si>
    <t>HH595</t>
  </si>
  <si>
    <t>HH596</t>
  </si>
  <si>
    <t>HH597</t>
  </si>
  <si>
    <t>HH598</t>
  </si>
  <si>
    <t>HH599</t>
  </si>
  <si>
    <t>HH600</t>
  </si>
  <si>
    <t>HH601</t>
  </si>
  <si>
    <t>HH602</t>
  </si>
  <si>
    <t>HH603</t>
  </si>
  <si>
    <t>HH604</t>
  </si>
  <si>
    <t>HH605</t>
  </si>
  <si>
    <t>HH606</t>
  </si>
  <si>
    <t>HH607</t>
  </si>
  <si>
    <t>HH608</t>
  </si>
  <si>
    <t>HH609</t>
  </si>
  <si>
    <t>HH610</t>
  </si>
  <si>
    <t>HH611</t>
  </si>
  <si>
    <t>HH612</t>
  </si>
  <si>
    <t>HH613</t>
  </si>
  <si>
    <t>HH614</t>
  </si>
  <si>
    <t>HH615</t>
  </si>
  <si>
    <t>HH616</t>
  </si>
  <si>
    <t>HH617</t>
  </si>
  <si>
    <t>HH618</t>
  </si>
  <si>
    <t>HH619</t>
  </si>
  <si>
    <t>HH620</t>
  </si>
  <si>
    <t>HH621</t>
  </si>
  <si>
    <t>HH622</t>
  </si>
  <si>
    <t>HH623</t>
  </si>
  <si>
    <t>HH624</t>
  </si>
  <si>
    <t>HH625</t>
  </si>
  <si>
    <t>HH626</t>
  </si>
  <si>
    <t>HH627</t>
  </si>
  <si>
    <t>HH628</t>
  </si>
  <si>
    <t>HH629</t>
  </si>
  <si>
    <t>HH630</t>
  </si>
  <si>
    <t>HH631</t>
  </si>
  <si>
    <t>HH632</t>
  </si>
  <si>
    <t>HH633</t>
  </si>
  <si>
    <t>HH634</t>
  </si>
  <si>
    <t>HH635</t>
  </si>
  <si>
    <t>HH636</t>
  </si>
  <si>
    <t>HH637</t>
  </si>
  <si>
    <t>HH638</t>
  </si>
  <si>
    <t>HH639</t>
  </si>
  <si>
    <t>HH640</t>
  </si>
  <si>
    <t>HH641</t>
  </si>
  <si>
    <t>HH642</t>
  </si>
  <si>
    <t>HH643</t>
  </si>
  <si>
    <t>HH644</t>
  </si>
  <si>
    <t>HH645</t>
  </si>
  <si>
    <t>HH646</t>
  </si>
  <si>
    <t>HH647</t>
  </si>
  <si>
    <t>HH648</t>
  </si>
  <si>
    <t>HH649</t>
  </si>
  <si>
    <t>HH650</t>
  </si>
  <si>
    <t>HH651</t>
  </si>
  <si>
    <t>HH652</t>
  </si>
  <si>
    <t>HH653</t>
  </si>
  <si>
    <t>HH654</t>
  </si>
  <si>
    <t>HH655</t>
  </si>
  <si>
    <t>HH656</t>
  </si>
  <si>
    <t>HH657</t>
  </si>
  <si>
    <t>HH658</t>
  </si>
  <si>
    <t>HH659</t>
  </si>
  <si>
    <t>HH660</t>
  </si>
  <si>
    <t>HH661</t>
  </si>
  <si>
    <t>HH662</t>
  </si>
  <si>
    <t>HH663</t>
  </si>
  <si>
    <t>HH664</t>
  </si>
  <si>
    <t>HH665</t>
  </si>
  <si>
    <t>HH666</t>
  </si>
  <si>
    <t>HH667</t>
  </si>
  <si>
    <t>HH668</t>
  </si>
  <si>
    <t>HH669</t>
  </si>
  <si>
    <t>HH670</t>
  </si>
  <si>
    <t>HH671</t>
  </si>
  <si>
    <t>HH672</t>
  </si>
  <si>
    <t>HH673</t>
  </si>
  <si>
    <t>HH674</t>
  </si>
  <si>
    <t>HH675</t>
  </si>
  <si>
    <t>HH676</t>
  </si>
  <si>
    <t>HH677</t>
  </si>
  <si>
    <t>HH678</t>
  </si>
  <si>
    <t>HH679</t>
  </si>
  <si>
    <t>HH680</t>
  </si>
  <si>
    <t>HH681</t>
  </si>
  <si>
    <t>HH682</t>
  </si>
  <si>
    <t>HH683</t>
  </si>
  <si>
    <t>HH684</t>
  </si>
  <si>
    <t>HH685</t>
  </si>
  <si>
    <t>HH686</t>
  </si>
  <si>
    <t>HH687</t>
  </si>
  <si>
    <t>HH688</t>
  </si>
  <si>
    <t>HH689</t>
  </si>
  <si>
    <t>HH690</t>
  </si>
  <si>
    <t>HH691</t>
  </si>
  <si>
    <t>HH692</t>
  </si>
  <si>
    <t>HH693</t>
  </si>
  <si>
    <t>HH694</t>
  </si>
  <si>
    <t>HH695</t>
  </si>
  <si>
    <t>HH696</t>
  </si>
  <si>
    <t>HH697</t>
  </si>
  <si>
    <t>HH698</t>
  </si>
  <si>
    <t>HH699</t>
  </si>
  <si>
    <t>HH700</t>
  </si>
  <si>
    <t>HH701</t>
  </si>
  <si>
    <t>HH702</t>
  </si>
  <si>
    <t>HH703</t>
  </si>
  <si>
    <t>HH704</t>
  </si>
  <si>
    <t>HH705</t>
  </si>
  <si>
    <t>HH706</t>
  </si>
  <si>
    <t>HH707</t>
  </si>
  <si>
    <t>HH708</t>
  </si>
  <si>
    <t>HH709</t>
  </si>
  <si>
    <t>HH710</t>
  </si>
  <si>
    <t>HH711</t>
  </si>
  <si>
    <t>HH712</t>
  </si>
  <si>
    <t>HH713</t>
  </si>
  <si>
    <t>HH714</t>
  </si>
  <si>
    <t>HH715</t>
  </si>
  <si>
    <t>HH716</t>
  </si>
  <si>
    <t>HH717</t>
  </si>
  <si>
    <t>HH718</t>
  </si>
  <si>
    <t>HH719</t>
  </si>
  <si>
    <t>HH720</t>
  </si>
  <si>
    <t>HH721</t>
  </si>
  <si>
    <t>HH722</t>
  </si>
  <si>
    <t>HH723</t>
  </si>
  <si>
    <t>HH724</t>
  </si>
  <si>
    <t>HH725</t>
  </si>
  <si>
    <t>HH726</t>
  </si>
  <si>
    <t>HH727</t>
  </si>
  <si>
    <t>HH728</t>
  </si>
  <si>
    <t>HH729</t>
  </si>
  <si>
    <t>HH730</t>
  </si>
  <si>
    <t>HH731</t>
  </si>
  <si>
    <t>HH732</t>
  </si>
  <si>
    <t>HH733</t>
  </si>
  <si>
    <t>HH734</t>
  </si>
  <si>
    <t>HH735</t>
  </si>
  <si>
    <t>HH736</t>
  </si>
  <si>
    <t>HH737</t>
  </si>
  <si>
    <t>HH738</t>
  </si>
  <si>
    <t>HH739</t>
  </si>
  <si>
    <t>HH740</t>
  </si>
  <si>
    <t>HH741</t>
  </si>
  <si>
    <t>HH742</t>
  </si>
  <si>
    <t>HH743</t>
  </si>
  <si>
    <t>HH744</t>
  </si>
  <si>
    <t>HH745</t>
  </si>
  <si>
    <t>HH746</t>
  </si>
  <si>
    <t>HH747</t>
  </si>
  <si>
    <t>HH748</t>
  </si>
  <si>
    <t>HH749</t>
  </si>
  <si>
    <t>HH750</t>
  </si>
  <si>
    <t>HH751</t>
  </si>
  <si>
    <t>HH752</t>
  </si>
  <si>
    <t>HH753</t>
  </si>
  <si>
    <t>HH754</t>
  </si>
  <si>
    <t>HH755</t>
  </si>
  <si>
    <t>HH756</t>
  </si>
  <si>
    <t>HH757</t>
  </si>
  <si>
    <t>HH758</t>
  </si>
  <si>
    <t>HH759</t>
  </si>
  <si>
    <t>HH760</t>
  </si>
  <si>
    <t>HH761</t>
  </si>
  <si>
    <t>HH762</t>
  </si>
  <si>
    <t>HH763</t>
  </si>
  <si>
    <t>HH764</t>
  </si>
  <si>
    <t>HH765</t>
  </si>
  <si>
    <t>HH766</t>
  </si>
  <si>
    <t>HH767</t>
  </si>
  <si>
    <t>HH768</t>
  </si>
  <si>
    <t>HH769</t>
  </si>
  <si>
    <t>HH770</t>
  </si>
  <si>
    <t>HH771</t>
  </si>
  <si>
    <t>HH772</t>
  </si>
  <si>
    <t>HH773</t>
  </si>
  <si>
    <t>HH774</t>
  </si>
  <si>
    <t>HH775</t>
  </si>
  <si>
    <t>HH776</t>
  </si>
  <si>
    <t>HH777</t>
  </si>
  <si>
    <t>HH778</t>
  </si>
  <si>
    <t>HH779</t>
  </si>
  <si>
    <t>HH780</t>
  </si>
  <si>
    <t>HH781</t>
  </si>
  <si>
    <t>HH782</t>
  </si>
  <si>
    <t>HH783</t>
  </si>
  <si>
    <t>HH784</t>
  </si>
  <si>
    <t>HH785</t>
  </si>
  <si>
    <t>HH786</t>
  </si>
  <si>
    <t>HH787</t>
  </si>
  <si>
    <t>HH788</t>
  </si>
  <si>
    <t>HH789</t>
  </si>
  <si>
    <t>HH790</t>
  </si>
  <si>
    <t>HH791</t>
  </si>
  <si>
    <t>HH792</t>
  </si>
  <si>
    <t>HH793</t>
  </si>
  <si>
    <t>HH794</t>
  </si>
  <si>
    <t>HH795</t>
  </si>
  <si>
    <t>HH796</t>
  </si>
  <si>
    <t>HH797</t>
  </si>
  <si>
    <t>HH798</t>
  </si>
  <si>
    <t>HH799</t>
  </si>
  <si>
    <t>HH800</t>
  </si>
  <si>
    <t>HH801</t>
  </si>
  <si>
    <t>HH802</t>
  </si>
  <si>
    <t>HH803</t>
  </si>
  <si>
    <t>HH804</t>
  </si>
  <si>
    <t>HH805</t>
  </si>
  <si>
    <t>HH806</t>
  </si>
  <si>
    <t>HH807</t>
  </si>
  <si>
    <t>HH808</t>
  </si>
  <si>
    <t>HH809</t>
  </si>
  <si>
    <t>HH810</t>
  </si>
  <si>
    <t>HH811</t>
  </si>
  <si>
    <t>HH812</t>
  </si>
  <si>
    <t>HH813</t>
  </si>
  <si>
    <t>HH814</t>
  </si>
  <si>
    <t>HH815</t>
  </si>
  <si>
    <t>HH816</t>
  </si>
  <si>
    <t>HH817</t>
  </si>
  <si>
    <t>HH818</t>
  </si>
  <si>
    <t>HH819</t>
  </si>
  <si>
    <t>HH820</t>
  </si>
  <si>
    <t>HH821</t>
  </si>
  <si>
    <t>HH822</t>
  </si>
  <si>
    <t>HH823</t>
  </si>
  <si>
    <t>HH824</t>
  </si>
  <si>
    <t>HH825</t>
  </si>
  <si>
    <t>HH826</t>
  </si>
  <si>
    <t>HH827</t>
  </si>
  <si>
    <t>HH828</t>
  </si>
  <si>
    <t>HH829</t>
  </si>
  <si>
    <t>HH830</t>
  </si>
  <si>
    <t>HH831</t>
  </si>
  <si>
    <t>HH832</t>
  </si>
  <si>
    <t>HH833</t>
  </si>
  <si>
    <t>HH834</t>
  </si>
  <si>
    <t>HH835</t>
  </si>
  <si>
    <t>HH836</t>
  </si>
  <si>
    <t>HH837</t>
  </si>
  <si>
    <t>HH838</t>
  </si>
  <si>
    <t>HH839</t>
  </si>
  <si>
    <t>HH840</t>
  </si>
  <si>
    <t>HH841</t>
  </si>
  <si>
    <t>HH842</t>
  </si>
  <si>
    <t>HH843</t>
  </si>
  <si>
    <t>HH844</t>
  </si>
  <si>
    <t>HH845</t>
  </si>
  <si>
    <t>HH846</t>
  </si>
  <si>
    <t>HH847</t>
  </si>
  <si>
    <t>HH848</t>
  </si>
  <si>
    <t>HH849</t>
  </si>
  <si>
    <t>HH850</t>
  </si>
  <si>
    <t>HH851</t>
  </si>
  <si>
    <t>HH852</t>
  </si>
  <si>
    <t>HH853</t>
  </si>
  <si>
    <t>HH854</t>
  </si>
  <si>
    <t>HH855</t>
  </si>
  <si>
    <t>HH856</t>
  </si>
  <si>
    <t>HH857</t>
  </si>
  <si>
    <t>HH858</t>
  </si>
  <si>
    <t>HH859</t>
  </si>
  <si>
    <t>HH860</t>
  </si>
  <si>
    <t>HH861</t>
  </si>
  <si>
    <t>HH862</t>
  </si>
  <si>
    <t>HH863</t>
  </si>
  <si>
    <t>HH864</t>
  </si>
  <si>
    <t>HH865</t>
  </si>
  <si>
    <t>HH866</t>
  </si>
  <si>
    <t>HH867</t>
  </si>
  <si>
    <t>HH868</t>
  </si>
  <si>
    <t>HH869</t>
  </si>
  <si>
    <t>HH870</t>
  </si>
  <si>
    <t>HH871</t>
  </si>
  <si>
    <t>HH872</t>
  </si>
  <si>
    <t>HH873</t>
  </si>
  <si>
    <t>HH874</t>
  </si>
  <si>
    <t>HH875</t>
  </si>
  <si>
    <t>HH876</t>
  </si>
  <si>
    <t>HH877</t>
  </si>
  <si>
    <t>HH878</t>
  </si>
  <si>
    <t>HH879</t>
  </si>
  <si>
    <t>HH880</t>
  </si>
  <si>
    <t>HH881</t>
  </si>
  <si>
    <t>HH882</t>
  </si>
  <si>
    <t>HH883</t>
  </si>
  <si>
    <t>HH884</t>
  </si>
  <si>
    <t>HH885</t>
  </si>
  <si>
    <t>HH886</t>
  </si>
  <si>
    <t>HH887</t>
  </si>
  <si>
    <t>HH888</t>
  </si>
  <si>
    <t>HH889</t>
  </si>
  <si>
    <t>HH890</t>
  </si>
  <si>
    <t>HH891</t>
  </si>
  <si>
    <t>HH892</t>
  </si>
  <si>
    <t>HH893</t>
  </si>
  <si>
    <t>HH894</t>
  </si>
  <si>
    <t>HH895</t>
  </si>
  <si>
    <t>HH896</t>
  </si>
  <si>
    <t>HH897</t>
  </si>
  <si>
    <t>HH898</t>
  </si>
  <si>
    <t>HH899</t>
  </si>
  <si>
    <t>HH900</t>
  </si>
  <si>
    <t>HH901</t>
  </si>
  <si>
    <t>HH902</t>
  </si>
  <si>
    <t>HH903</t>
  </si>
  <si>
    <t>HH904</t>
  </si>
  <si>
    <t>HH905</t>
  </si>
  <si>
    <t>HH906</t>
  </si>
  <si>
    <t>HH907</t>
  </si>
  <si>
    <t>HH908</t>
  </si>
  <si>
    <t>HH909</t>
  </si>
  <si>
    <t>HH910</t>
  </si>
  <si>
    <t>HH911</t>
  </si>
  <si>
    <t>HH912</t>
  </si>
  <si>
    <t>HH913</t>
  </si>
  <si>
    <t>HH914</t>
  </si>
  <si>
    <t>HH915</t>
  </si>
  <si>
    <t>HH916</t>
  </si>
  <si>
    <t>HH917</t>
  </si>
  <si>
    <t>HH918</t>
  </si>
  <si>
    <t>HH919</t>
  </si>
  <si>
    <t>HH920</t>
  </si>
  <si>
    <t>HH921</t>
  </si>
  <si>
    <t>HH922</t>
  </si>
  <si>
    <t>HH923</t>
  </si>
  <si>
    <t>HH924</t>
  </si>
  <si>
    <t>HH925</t>
  </si>
  <si>
    <t>HH926</t>
  </si>
  <si>
    <t>HH927</t>
  </si>
  <si>
    <t>HH928</t>
  </si>
  <si>
    <t>HH929</t>
  </si>
  <si>
    <t>HH930</t>
  </si>
  <si>
    <t>HH931</t>
  </si>
  <si>
    <t>HH932</t>
  </si>
  <si>
    <t>HH933</t>
  </si>
  <si>
    <t>HH934</t>
  </si>
  <si>
    <t>HH935</t>
  </si>
  <si>
    <t>HH936</t>
  </si>
  <si>
    <t>HH937</t>
  </si>
  <si>
    <t>HH938</t>
  </si>
  <si>
    <t>HH939</t>
  </si>
  <si>
    <t>HH940</t>
  </si>
  <si>
    <t>HH941</t>
  </si>
  <si>
    <t>HH942</t>
  </si>
  <si>
    <t>HH943</t>
  </si>
  <si>
    <t>HH944</t>
  </si>
  <si>
    <t>HH945</t>
  </si>
  <si>
    <t>HH946</t>
  </si>
  <si>
    <t>HH947</t>
  </si>
  <si>
    <t>HH948</t>
  </si>
  <si>
    <t>HH949</t>
  </si>
  <si>
    <t>HH950</t>
  </si>
  <si>
    <t>HH951</t>
  </si>
  <si>
    <t>HH952</t>
  </si>
  <si>
    <t>HH953</t>
  </si>
  <si>
    <t>HH954</t>
  </si>
  <si>
    <t>HH955</t>
  </si>
  <si>
    <t>HH956</t>
  </si>
  <si>
    <t>HH957</t>
  </si>
  <si>
    <t>HH958</t>
  </si>
  <si>
    <t>HH959</t>
  </si>
  <si>
    <t>HH960</t>
  </si>
  <si>
    <t>HH961</t>
  </si>
  <si>
    <t>HH962</t>
  </si>
  <si>
    <t>HH963</t>
  </si>
  <si>
    <t>HH964</t>
  </si>
  <si>
    <t>HH965</t>
  </si>
  <si>
    <t>HH966</t>
  </si>
  <si>
    <t>HH967</t>
  </si>
  <si>
    <t>HH968</t>
  </si>
  <si>
    <t>HH969</t>
  </si>
  <si>
    <t>HH970</t>
  </si>
  <si>
    <t>HH971</t>
  </si>
  <si>
    <t>HH972</t>
  </si>
  <si>
    <t>HH973</t>
  </si>
  <si>
    <t>HH974</t>
  </si>
  <si>
    <t>HH975</t>
  </si>
  <si>
    <t>HH976</t>
  </si>
  <si>
    <t>HH977</t>
  </si>
  <si>
    <t>HH978</t>
  </si>
  <si>
    <t>HH979</t>
  </si>
  <si>
    <t>HH980</t>
  </si>
  <si>
    <t>HH981</t>
  </si>
  <si>
    <t>HH982</t>
  </si>
  <si>
    <t>HH983</t>
  </si>
  <si>
    <t>HH984</t>
  </si>
  <si>
    <t>HH985</t>
  </si>
  <si>
    <t>HH986</t>
  </si>
  <si>
    <t>HH987</t>
  </si>
  <si>
    <t>HH988</t>
  </si>
  <si>
    <t>HH989</t>
  </si>
  <si>
    <t>HH990</t>
  </si>
  <si>
    <t>HH991</t>
  </si>
  <si>
    <t>HH992</t>
  </si>
  <si>
    <t>HH993</t>
  </si>
  <si>
    <t>HH994</t>
  </si>
  <si>
    <t>HH995</t>
  </si>
  <si>
    <t>HH996</t>
  </si>
  <si>
    <t>HH997</t>
  </si>
  <si>
    <t>HH998</t>
  </si>
  <si>
    <t>HH999</t>
  </si>
  <si>
    <t>HH1000</t>
  </si>
  <si>
    <t>HH1001</t>
  </si>
  <si>
    <t>HH1002</t>
  </si>
  <si>
    <t>HH1003</t>
  </si>
  <si>
    <t>HH1004</t>
  </si>
  <si>
    <t>HH1005</t>
  </si>
  <si>
    <t>HH1006</t>
  </si>
  <si>
    <t>HH1007</t>
  </si>
  <si>
    <t>HH1008</t>
  </si>
  <si>
    <t>HH1009</t>
  </si>
  <si>
    <t>HH1010</t>
  </si>
  <si>
    <t>HH1011</t>
  </si>
  <si>
    <t>HH1012</t>
  </si>
  <si>
    <t>HH1013</t>
  </si>
  <si>
    <t>HH1014</t>
  </si>
  <si>
    <t>HH1015</t>
  </si>
  <si>
    <t>HH1016</t>
  </si>
  <si>
    <t>HH1017</t>
  </si>
  <si>
    <t>HH1018</t>
  </si>
  <si>
    <t>HH1019</t>
  </si>
  <si>
    <t>HH1020</t>
  </si>
  <si>
    <t>HH1021</t>
  </si>
  <si>
    <t>HH1022</t>
  </si>
  <si>
    <t>HH1023</t>
  </si>
  <si>
    <t>HH1024</t>
  </si>
  <si>
    <t>HH1025</t>
  </si>
  <si>
    <t>HH1026</t>
  </si>
  <si>
    <t>HH1027</t>
  </si>
  <si>
    <t>HH1028</t>
  </si>
  <si>
    <t>HH1029</t>
  </si>
  <si>
    <t>HH1030</t>
  </si>
  <si>
    <t>HH1031</t>
  </si>
  <si>
    <t>HH1032</t>
  </si>
  <si>
    <t>Piped Water</t>
  </si>
  <si>
    <t>Current_Water_Source</t>
  </si>
  <si>
    <t>Time_Spent_Collecting_water</t>
  </si>
  <si>
    <t>Distance_to_Health_facility</t>
  </si>
  <si>
    <t>Monthly_Health_Expenditure</t>
  </si>
  <si>
    <t>treatment</t>
  </si>
  <si>
    <t>Eligible_Endline</t>
  </si>
  <si>
    <t>Selected_followup</t>
  </si>
  <si>
    <t>Attrition</t>
  </si>
  <si>
    <t>Contacted</t>
  </si>
  <si>
    <t>Non_response</t>
  </si>
  <si>
    <t>Endline_complete</t>
  </si>
  <si>
    <t>Random_NR</t>
  </si>
  <si>
    <t>Random_Number</t>
  </si>
  <si>
    <t>Time_Spent_Collecting_water_Mins</t>
  </si>
  <si>
    <t>Household_ID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</si>
</sst>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0E+0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2F2F2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3" borderId="1" applyNumberFormat="0" applyAlignment="0" applyProtection="0"/>
  </cellStyleXfs>
  <cellXfs count="22">
    <xf numFmtId="0" fontId="0" fillId="0" borderId="0" xfId="0"/>
    <xf numFmtId="0" fontId="1" fillId="2" borderId="0" xfId="0" applyFont="1" applyFill="1"/>
    <xf numFmtId="0" fontId="4" fillId="0" borderId="0" xfId="0" applyFont="1"/>
    <xf numFmtId="0" fontId="4" fillId="4" borderId="0" xfId="0" applyFont="1" applyFill="1" applyAlignment="1">
      <alignment horizontal="center"/>
    </xf>
    <xf numFmtId="43" fontId="0" fillId="0" borderId="0" xfId="1" applyFont="1"/>
    <xf numFmtId="43" fontId="0" fillId="0" borderId="0" xfId="0" applyNumberFormat="1"/>
    <xf numFmtId="0" fontId="3" fillId="3" borderId="1" xfId="2"/>
    <xf numFmtId="43" fontId="3" fillId="3" borderId="1" xfId="2" applyNumberFormat="1"/>
    <xf numFmtId="0" fontId="0" fillId="0" borderId="2" xfId="0" applyBorder="1"/>
    <xf numFmtId="0" fontId="5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0" xfId="0" applyFont="1"/>
    <xf numFmtId="0" fontId="7" fillId="0" borderId="2" xfId="0" applyFont="1" applyBorder="1"/>
    <xf numFmtId="43" fontId="0" fillId="0" borderId="0" xfId="1" applyFont="1" applyFill="1" applyBorder="1" applyAlignment="1"/>
    <xf numFmtId="0" fontId="6" fillId="0" borderId="0" xfId="0" applyFont="1"/>
    <xf numFmtId="43" fontId="0" fillId="0" borderId="2" xfId="1" applyFont="1" applyFill="1" applyBorder="1" applyAlignment="1"/>
    <xf numFmtId="0" fontId="5" fillId="0" borderId="3" xfId="0" applyFont="1" applyBorder="1" applyAlignment="1">
      <alignment horizontal="centerContinuous"/>
    </xf>
    <xf numFmtId="0" fontId="6" fillId="0" borderId="3" xfId="0" applyFont="1" applyBorder="1" applyAlignment="1">
      <alignment horizontal="centerContinuous"/>
    </xf>
    <xf numFmtId="0" fontId="7" fillId="0" borderId="3" xfId="0" applyFont="1" applyBorder="1" applyAlignment="1">
      <alignment horizontal="centerContinuous"/>
    </xf>
    <xf numFmtId="0" fontId="4" fillId="0" borderId="0" xfId="0" applyFont="1" applyAlignment="1">
      <alignment vertical="top" wrapText="1"/>
    </xf>
    <xf numFmtId="164" fontId="0" fillId="0" borderId="2" xfId="0" applyNumberFormat="1" applyBorder="1"/>
    <xf numFmtId="0" fontId="4" fillId="4" borderId="0" xfId="0" applyFont="1" applyFill="1" applyAlignment="1">
      <alignment horizontal="center"/>
    </xf>
  </cellXfs>
  <cellStyles count="3">
    <cellStyle name="Calculation" xfId="2" builtinId="22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4"/>
  <sheetViews>
    <sheetView workbookViewId="0">
      <selection activeCell="A24" sqref="A24"/>
    </sheetView>
  </sheetViews>
  <sheetFormatPr defaultRowHeight="14.4" x14ac:dyDescent="0.3"/>
  <cols>
    <col min="1" max="1" width="40.21875" customWidth="1"/>
    <col min="3" max="3" width="37.5546875" customWidth="1"/>
    <col min="4" max="4" width="21.6640625" customWidth="1"/>
    <col min="5" max="5" width="22.109375" customWidth="1"/>
    <col min="6" max="6" width="14.6640625" customWidth="1"/>
  </cols>
  <sheetData>
    <row r="2" spans="1:5" x14ac:dyDescent="0.3">
      <c r="A2" s="1" t="s">
        <v>0</v>
      </c>
      <c r="B2" s="1" t="s">
        <v>15</v>
      </c>
      <c r="C2" s="1" t="s">
        <v>16</v>
      </c>
      <c r="D2" s="1" t="s">
        <v>1</v>
      </c>
      <c r="E2" s="1" t="s">
        <v>2</v>
      </c>
    </row>
    <row r="3" spans="1:5" x14ac:dyDescent="0.3">
      <c r="A3" t="s">
        <v>3</v>
      </c>
      <c r="B3">
        <v>14.49</v>
      </c>
      <c r="C3">
        <v>14.57</v>
      </c>
      <c r="D3">
        <v>-0.08</v>
      </c>
      <c r="E3">
        <v>-0.73</v>
      </c>
    </row>
    <row r="4" spans="1:5" x14ac:dyDescent="0.3">
      <c r="A4" t="s">
        <v>4</v>
      </c>
      <c r="B4">
        <v>41.66</v>
      </c>
      <c r="C4">
        <v>42.29</v>
      </c>
      <c r="D4">
        <v>-0.64</v>
      </c>
      <c r="E4">
        <v>-1.69</v>
      </c>
    </row>
    <row r="5" spans="1:5" x14ac:dyDescent="0.3">
      <c r="A5" t="s">
        <v>5</v>
      </c>
      <c r="B5">
        <v>36.840000000000003</v>
      </c>
      <c r="C5">
        <v>36.880000000000003</v>
      </c>
      <c r="D5">
        <v>0.04</v>
      </c>
      <c r="E5">
        <v>0.12</v>
      </c>
    </row>
    <row r="6" spans="1:5" x14ac:dyDescent="0.3">
      <c r="A6" t="s">
        <v>6</v>
      </c>
      <c r="B6">
        <v>2.97</v>
      </c>
      <c r="C6">
        <v>2.81</v>
      </c>
      <c r="D6">
        <v>0.16</v>
      </c>
      <c r="E6">
        <v>2.2999999999999998</v>
      </c>
    </row>
    <row r="7" spans="1:5" x14ac:dyDescent="0.3">
      <c r="A7" t="s">
        <v>7</v>
      </c>
      <c r="B7">
        <v>2.7</v>
      </c>
      <c r="C7">
        <v>2.67</v>
      </c>
      <c r="D7">
        <v>0.03</v>
      </c>
      <c r="E7">
        <v>0.43</v>
      </c>
    </row>
    <row r="8" spans="1:5" x14ac:dyDescent="0.3">
      <c r="A8" t="s">
        <v>8</v>
      </c>
      <c r="B8">
        <v>7.0000000000000007E-2</v>
      </c>
      <c r="C8">
        <v>0.08</v>
      </c>
      <c r="D8">
        <v>-0.01</v>
      </c>
      <c r="E8">
        <v>-0.57999999999999996</v>
      </c>
    </row>
    <row r="9" spans="1:5" x14ac:dyDescent="0.3">
      <c r="A9" t="s">
        <v>9</v>
      </c>
      <c r="B9">
        <v>0.43</v>
      </c>
      <c r="C9">
        <v>0.42</v>
      </c>
      <c r="D9">
        <v>0.01</v>
      </c>
      <c r="E9">
        <v>0.69</v>
      </c>
    </row>
    <row r="10" spans="1:5" x14ac:dyDescent="0.3">
      <c r="A10" t="s">
        <v>10</v>
      </c>
      <c r="B10">
        <v>5.77</v>
      </c>
      <c r="C10">
        <v>5.71</v>
      </c>
      <c r="D10">
        <v>0.06</v>
      </c>
      <c r="E10">
        <v>1.1200000000000001</v>
      </c>
    </row>
    <row r="11" spans="1:5" x14ac:dyDescent="0.3">
      <c r="A11" t="s">
        <v>11</v>
      </c>
      <c r="B11">
        <v>0.72</v>
      </c>
      <c r="C11">
        <v>0.73</v>
      </c>
      <c r="D11">
        <v>-0.01</v>
      </c>
      <c r="E11">
        <v>-1.0900000000000001</v>
      </c>
    </row>
    <row r="12" spans="1:5" x14ac:dyDescent="0.3">
      <c r="A12" t="s">
        <v>12</v>
      </c>
      <c r="B12">
        <v>0.56999999999999995</v>
      </c>
      <c r="C12">
        <v>0.56000000000000005</v>
      </c>
      <c r="D12">
        <v>0.01</v>
      </c>
      <c r="E12">
        <v>1.04</v>
      </c>
    </row>
    <row r="13" spans="1:5" x14ac:dyDescent="0.3">
      <c r="A13" t="s">
        <v>13</v>
      </c>
      <c r="B13">
        <v>1.68</v>
      </c>
      <c r="C13">
        <v>1.72</v>
      </c>
      <c r="D13">
        <v>-0.04</v>
      </c>
      <c r="E13">
        <v>-0.56999999999999995</v>
      </c>
    </row>
    <row r="14" spans="1:5" x14ac:dyDescent="0.3">
      <c r="A14" t="s">
        <v>14</v>
      </c>
      <c r="B14">
        <v>109.2</v>
      </c>
      <c r="C14">
        <v>106.29</v>
      </c>
      <c r="D14">
        <v>2.91</v>
      </c>
      <c r="E14">
        <v>2.57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4A4D9-6E69-4641-A7CF-C9CE520DACB1}">
  <dimension ref="A2:AN406"/>
  <sheetViews>
    <sheetView workbookViewId="0">
      <selection activeCell="I6" sqref="I6"/>
    </sheetView>
  </sheetViews>
  <sheetFormatPr defaultRowHeight="14.4" x14ac:dyDescent="0.3"/>
  <cols>
    <col min="1" max="1" width="12.21875" bestFit="1" customWidth="1"/>
    <col min="2" max="2" width="11.6640625" bestFit="1" customWidth="1"/>
    <col min="3" max="3" width="14.33203125" bestFit="1" customWidth="1"/>
    <col min="4" max="4" width="26" bestFit="1" customWidth="1"/>
    <col min="5" max="5" width="19.33203125" bestFit="1" customWidth="1"/>
    <col min="6" max="6" width="23.77734375" bestFit="1" customWidth="1"/>
    <col min="7" max="7" width="19" bestFit="1" customWidth="1"/>
    <col min="8" max="8" width="22.5546875" bestFit="1" customWidth="1"/>
    <col min="9" max="9" width="12" bestFit="1" customWidth="1"/>
    <col min="13" max="13" width="11" customWidth="1"/>
    <col min="14" max="14" width="12.44140625" customWidth="1"/>
    <col min="15" max="15" width="16.33203125" customWidth="1"/>
    <col min="16" max="16" width="19.5546875" customWidth="1"/>
    <col min="19" max="19" width="18" customWidth="1"/>
    <col min="20" max="20" width="14.21875" customWidth="1"/>
    <col min="21" max="21" width="13.77734375" customWidth="1"/>
    <col min="22" max="22" width="13" customWidth="1"/>
  </cols>
  <sheetData>
    <row r="2" spans="1:26" x14ac:dyDescent="0.3">
      <c r="A2" s="21" t="s">
        <v>23</v>
      </c>
      <c r="B2" s="21"/>
      <c r="C2" s="21"/>
    </row>
    <row r="3" spans="1:26" x14ac:dyDescent="0.3">
      <c r="O3" s="2" t="s">
        <v>28</v>
      </c>
      <c r="P3" s="2" t="s">
        <v>29</v>
      </c>
      <c r="Q3" s="2" t="s">
        <v>1</v>
      </c>
    </row>
    <row r="4" spans="1:26" x14ac:dyDescent="0.3">
      <c r="O4" s="14" t="s">
        <v>70</v>
      </c>
      <c r="P4" s="14" t="s">
        <v>71</v>
      </c>
      <c r="Q4" s="2"/>
    </row>
    <row r="5" spans="1:26" x14ac:dyDescent="0.3">
      <c r="A5" s="19" t="s">
        <v>17</v>
      </c>
      <c r="B5" s="19" t="s">
        <v>21</v>
      </c>
      <c r="C5" s="2" t="s">
        <v>18</v>
      </c>
      <c r="D5" s="2" t="s">
        <v>22</v>
      </c>
      <c r="E5" s="2" t="s">
        <v>19</v>
      </c>
      <c r="F5" s="2" t="s">
        <v>24</v>
      </c>
      <c r="G5" s="2" t="s">
        <v>25</v>
      </c>
      <c r="H5" s="2" t="s">
        <v>20</v>
      </c>
      <c r="I5" s="2" t="s">
        <v>26</v>
      </c>
      <c r="J5" s="2" t="s">
        <v>27</v>
      </c>
      <c r="L5" s="6" t="str">
        <f>C5</f>
        <v>Household_Size</v>
      </c>
      <c r="M5" s="6"/>
      <c r="N5" s="6"/>
      <c r="O5" s="6">
        <f>AVERAGE(C6:C205)</f>
        <v>4.9800000000000004</v>
      </c>
      <c r="P5" s="6">
        <f>AVERAGE(C206:C405)</f>
        <v>5.2149999999999999</v>
      </c>
      <c r="Q5">
        <f>P5-O5</f>
        <v>0.23499999999999943</v>
      </c>
      <c r="S5" s="2" t="s">
        <v>31</v>
      </c>
      <c r="T5" s="2" t="s">
        <v>32</v>
      </c>
      <c r="U5" s="2" t="s">
        <v>33</v>
      </c>
      <c r="V5" s="2" t="s">
        <v>34</v>
      </c>
      <c r="W5" s="2" t="s">
        <v>35</v>
      </c>
      <c r="X5" s="2" t="s">
        <v>36</v>
      </c>
      <c r="Y5" s="2" t="s">
        <v>37</v>
      </c>
      <c r="Z5" s="2" t="s">
        <v>38</v>
      </c>
    </row>
    <row r="6" spans="1:26" x14ac:dyDescent="0.3">
      <c r="A6" t="str">
        <f>"HH"&amp;TEXT(ROW()-5,"000")</f>
        <v>HH001</v>
      </c>
      <c r="B6" t="s">
        <v>63</v>
      </c>
      <c r="C6">
        <v>2</v>
      </c>
      <c r="D6" s="4">
        <v>17533</v>
      </c>
      <c r="E6" t="s">
        <v>68</v>
      </c>
      <c r="F6" s="4">
        <v>3387</v>
      </c>
      <c r="G6">
        <v>96</v>
      </c>
      <c r="H6">
        <v>14.1</v>
      </c>
      <c r="I6">
        <v>0.14715147167841336</v>
      </c>
      <c r="J6">
        <v>1</v>
      </c>
      <c r="L6" s="6" t="str">
        <f>D5</f>
        <v>Monthly_Household_Income</v>
      </c>
      <c r="M6" s="6"/>
      <c r="N6" s="6"/>
      <c r="O6" s="7">
        <f>AVERAGE(D6:D205)</f>
        <v>28408.134999999998</v>
      </c>
      <c r="P6" s="7">
        <f>AVERAGE(D206:D405)</f>
        <v>27962.044999999998</v>
      </c>
      <c r="Q6" s="5">
        <f>P6-O6</f>
        <v>-446.09000000000015</v>
      </c>
      <c r="S6" s="4">
        <f t="shared" ref="S6:S37" si="0">IF($J6=1,D6,"")</f>
        <v>17533</v>
      </c>
      <c r="T6" s="4">
        <f t="shared" ref="T6:T37" si="1">IF($J206=0, D206,"")</f>
        <v>23861</v>
      </c>
      <c r="U6" s="4">
        <f t="shared" ref="U6:U37" si="2">IF($J6=1,F6,"")</f>
        <v>3387</v>
      </c>
      <c r="V6" s="4">
        <f t="shared" ref="V6:V37" si="3">IF($J206=0,F206,"")</f>
        <v>5945</v>
      </c>
      <c r="W6" s="4">
        <f t="shared" ref="W6:W37" si="4">IF($J6=1,G6,"")</f>
        <v>96</v>
      </c>
      <c r="X6">
        <f t="shared" ref="X6:X37" si="5">IF($J206=0,G206,"")</f>
        <v>91</v>
      </c>
      <c r="Y6">
        <f t="shared" ref="Y6:Y37" si="6">IF($J6=1,H6,"")</f>
        <v>14.1</v>
      </c>
      <c r="Z6">
        <f t="shared" ref="Z6:Z37" si="7">IF($J206=0,H206,"")</f>
        <v>3.5</v>
      </c>
    </row>
    <row r="7" spans="1:26" x14ac:dyDescent="0.3">
      <c r="A7" t="str">
        <f t="shared" ref="A7:A70" si="8">"HH"&amp;TEXT(ROW()-5,"000")</f>
        <v>HH002</v>
      </c>
      <c r="B7" t="s">
        <v>63</v>
      </c>
      <c r="C7">
        <v>3</v>
      </c>
      <c r="D7" s="4">
        <v>28095</v>
      </c>
      <c r="E7" t="s">
        <v>66</v>
      </c>
      <c r="F7" s="4">
        <v>3285</v>
      </c>
      <c r="G7">
        <v>66</v>
      </c>
      <c r="H7">
        <v>8.5</v>
      </c>
      <c r="I7">
        <v>0.21625296981946651</v>
      </c>
      <c r="J7">
        <v>1</v>
      </c>
      <c r="L7" s="6" t="str">
        <f>F5</f>
        <v>Annual Health Expenditure</v>
      </c>
      <c r="M7" s="6"/>
      <c r="N7" s="6"/>
      <c r="O7" s="7">
        <f>AVERAGE(F6:F204)</f>
        <v>4730.1608040201008</v>
      </c>
      <c r="P7" s="7">
        <f>AVERAGE(F206:F405)</f>
        <v>4827.0649999999996</v>
      </c>
      <c r="Q7" s="5">
        <f>P7-O7</f>
        <v>96.904195979898759</v>
      </c>
      <c r="S7" s="4">
        <f t="shared" si="0"/>
        <v>28095</v>
      </c>
      <c r="T7" s="4">
        <f t="shared" si="1"/>
        <v>30323</v>
      </c>
      <c r="U7" s="4">
        <f t="shared" si="2"/>
        <v>3285</v>
      </c>
      <c r="V7" s="4">
        <f t="shared" si="3"/>
        <v>5395</v>
      </c>
      <c r="W7" s="4">
        <f t="shared" si="4"/>
        <v>66</v>
      </c>
      <c r="X7">
        <f t="shared" si="5"/>
        <v>29</v>
      </c>
      <c r="Y7">
        <f t="shared" si="6"/>
        <v>8.5</v>
      </c>
      <c r="Z7">
        <f t="shared" si="7"/>
        <v>6.7</v>
      </c>
    </row>
    <row r="8" spans="1:26" x14ac:dyDescent="0.3">
      <c r="A8" t="str">
        <f t="shared" si="8"/>
        <v>HH003</v>
      </c>
      <c r="B8" t="s">
        <v>64</v>
      </c>
      <c r="C8">
        <v>7</v>
      </c>
      <c r="D8" s="4">
        <v>35172</v>
      </c>
      <c r="E8" t="s">
        <v>66</v>
      </c>
      <c r="F8" s="4">
        <v>6752</v>
      </c>
      <c r="G8">
        <v>42</v>
      </c>
      <c r="H8">
        <v>1.9</v>
      </c>
      <c r="I8">
        <v>0.87272994665282255</v>
      </c>
      <c r="J8">
        <v>1</v>
      </c>
      <c r="L8" s="6" t="str">
        <f>G5</f>
        <v>Time to collect Water</v>
      </c>
      <c r="M8" s="6"/>
      <c r="N8" s="6"/>
      <c r="O8" s="6">
        <f>AVERAGE(G6:G205)</f>
        <v>68.45</v>
      </c>
      <c r="P8" s="6">
        <f>AVERAGE(G206:G405)</f>
        <v>67.855000000000004</v>
      </c>
      <c r="Q8">
        <f>P8-O8</f>
        <v>-0.59499999999999886</v>
      </c>
      <c r="S8" s="4">
        <f t="shared" si="0"/>
        <v>35172</v>
      </c>
      <c r="T8" s="4">
        <f t="shared" si="1"/>
        <v>27664</v>
      </c>
      <c r="U8" s="4">
        <f t="shared" si="2"/>
        <v>6752</v>
      </c>
      <c r="V8" s="4">
        <f t="shared" si="3"/>
        <v>6942</v>
      </c>
      <c r="W8" s="4">
        <f t="shared" si="4"/>
        <v>42</v>
      </c>
      <c r="X8">
        <f t="shared" si="5"/>
        <v>60</v>
      </c>
      <c r="Y8">
        <f t="shared" si="6"/>
        <v>1.9</v>
      </c>
      <c r="Z8">
        <f t="shared" si="7"/>
        <v>11.2</v>
      </c>
    </row>
    <row r="9" spans="1:26" x14ac:dyDescent="0.3">
      <c r="A9" t="str">
        <f t="shared" si="8"/>
        <v>HH004</v>
      </c>
      <c r="B9" t="s">
        <v>65</v>
      </c>
      <c r="C9">
        <v>8</v>
      </c>
      <c r="D9" s="4">
        <v>24958</v>
      </c>
      <c r="E9" t="s">
        <v>66</v>
      </c>
      <c r="F9" s="4">
        <v>4888</v>
      </c>
      <c r="G9">
        <v>64</v>
      </c>
      <c r="H9">
        <v>12.3</v>
      </c>
      <c r="I9">
        <v>0.43294112023399844</v>
      </c>
      <c r="J9">
        <v>1</v>
      </c>
      <c r="L9" s="6" t="str">
        <f>H5</f>
        <v>Distance to Health facility</v>
      </c>
      <c r="M9" s="6"/>
      <c r="N9" s="6"/>
      <c r="O9" s="6">
        <f>AVERAGE(H6:H205)</f>
        <v>8.1254999999999971</v>
      </c>
      <c r="P9" s="6">
        <f>AVERAGE(H206:H405)</f>
        <v>7.656500000000003</v>
      </c>
      <c r="Q9">
        <f>P9-O9</f>
        <v>-0.46899999999999409</v>
      </c>
      <c r="S9" s="4">
        <f t="shared" si="0"/>
        <v>24958</v>
      </c>
      <c r="T9" s="4">
        <f t="shared" si="1"/>
        <v>22468</v>
      </c>
      <c r="U9" s="4">
        <f t="shared" si="2"/>
        <v>4888</v>
      </c>
      <c r="V9" s="4">
        <f t="shared" si="3"/>
        <v>2752</v>
      </c>
      <c r="W9" s="4">
        <f t="shared" si="4"/>
        <v>64</v>
      </c>
      <c r="X9">
        <f t="shared" si="5"/>
        <v>50</v>
      </c>
      <c r="Y9">
        <f t="shared" si="6"/>
        <v>12.3</v>
      </c>
      <c r="Z9">
        <f t="shared" si="7"/>
        <v>13.9</v>
      </c>
    </row>
    <row r="10" spans="1:26" x14ac:dyDescent="0.3">
      <c r="A10" t="str">
        <f t="shared" si="8"/>
        <v>HH005</v>
      </c>
      <c r="B10" t="s">
        <v>65</v>
      </c>
      <c r="C10">
        <v>4</v>
      </c>
      <c r="D10" s="4">
        <v>35107</v>
      </c>
      <c r="E10" t="s">
        <v>68</v>
      </c>
      <c r="F10" s="4">
        <v>5527</v>
      </c>
      <c r="G10">
        <v>20</v>
      </c>
      <c r="H10">
        <v>14.7</v>
      </c>
      <c r="I10">
        <v>0.66002777641024857</v>
      </c>
      <c r="J10">
        <v>1</v>
      </c>
      <c r="S10" s="4">
        <f t="shared" si="0"/>
        <v>35107</v>
      </c>
      <c r="T10" s="4">
        <f t="shared" si="1"/>
        <v>36674</v>
      </c>
      <c r="U10" s="4">
        <f t="shared" si="2"/>
        <v>5527</v>
      </c>
      <c r="V10" s="4">
        <f t="shared" si="3"/>
        <v>4730</v>
      </c>
      <c r="W10" s="4">
        <f t="shared" si="4"/>
        <v>20</v>
      </c>
      <c r="X10">
        <f t="shared" si="5"/>
        <v>113</v>
      </c>
      <c r="Y10">
        <f t="shared" si="6"/>
        <v>14.7</v>
      </c>
      <c r="Z10">
        <f t="shared" si="7"/>
        <v>7.2</v>
      </c>
    </row>
    <row r="11" spans="1:26" x14ac:dyDescent="0.3">
      <c r="A11" t="str">
        <f t="shared" si="8"/>
        <v>HH006</v>
      </c>
      <c r="B11" t="s">
        <v>64</v>
      </c>
      <c r="C11">
        <v>4</v>
      </c>
      <c r="D11" s="4">
        <v>33442</v>
      </c>
      <c r="E11" t="s">
        <v>69</v>
      </c>
      <c r="F11" s="4">
        <v>4457</v>
      </c>
      <c r="G11">
        <v>92</v>
      </c>
      <c r="H11">
        <v>11.3</v>
      </c>
      <c r="I11">
        <v>0.79246542014028376</v>
      </c>
      <c r="J11">
        <v>1</v>
      </c>
      <c r="S11" s="4">
        <f t="shared" si="0"/>
        <v>33442</v>
      </c>
      <c r="T11" s="4">
        <f t="shared" si="1"/>
        <v>21108</v>
      </c>
      <c r="U11" s="4">
        <f t="shared" si="2"/>
        <v>4457</v>
      </c>
      <c r="V11" s="4">
        <f t="shared" si="3"/>
        <v>3739</v>
      </c>
      <c r="W11" s="4">
        <f t="shared" si="4"/>
        <v>92</v>
      </c>
      <c r="X11">
        <f t="shared" si="5"/>
        <v>58</v>
      </c>
      <c r="Y11">
        <f t="shared" si="6"/>
        <v>11.3</v>
      </c>
      <c r="Z11">
        <f t="shared" si="7"/>
        <v>10.4</v>
      </c>
    </row>
    <row r="12" spans="1:26" x14ac:dyDescent="0.3">
      <c r="A12" t="str">
        <f t="shared" si="8"/>
        <v>HH007</v>
      </c>
      <c r="B12" t="s">
        <v>65</v>
      </c>
      <c r="C12">
        <v>2</v>
      </c>
      <c r="D12" s="4">
        <v>34829</v>
      </c>
      <c r="E12" t="s">
        <v>69</v>
      </c>
      <c r="F12" s="4">
        <v>4225</v>
      </c>
      <c r="G12">
        <v>60</v>
      </c>
      <c r="H12">
        <v>10.5</v>
      </c>
      <c r="I12">
        <v>0.27764315259795347</v>
      </c>
      <c r="J12">
        <v>1</v>
      </c>
      <c r="S12" s="4">
        <f t="shared" si="0"/>
        <v>34829</v>
      </c>
      <c r="T12" s="4">
        <f t="shared" si="1"/>
        <v>27803</v>
      </c>
      <c r="U12" s="4">
        <f t="shared" si="2"/>
        <v>4225</v>
      </c>
      <c r="V12" s="4">
        <f t="shared" si="3"/>
        <v>5478</v>
      </c>
      <c r="W12" s="4">
        <f t="shared" si="4"/>
        <v>60</v>
      </c>
      <c r="X12">
        <f t="shared" si="5"/>
        <v>120</v>
      </c>
      <c r="Y12">
        <f t="shared" si="6"/>
        <v>10.5</v>
      </c>
      <c r="Z12">
        <f t="shared" si="7"/>
        <v>14.2</v>
      </c>
    </row>
    <row r="13" spans="1:26" x14ac:dyDescent="0.3">
      <c r="A13" t="str">
        <f t="shared" si="8"/>
        <v>HH008</v>
      </c>
      <c r="B13" t="s">
        <v>62</v>
      </c>
      <c r="C13">
        <v>3</v>
      </c>
      <c r="D13" s="4">
        <v>33149</v>
      </c>
      <c r="E13" t="s">
        <v>69</v>
      </c>
      <c r="F13" s="4">
        <v>2764</v>
      </c>
      <c r="G13">
        <v>70</v>
      </c>
      <c r="H13">
        <v>11.7</v>
      </c>
      <c r="I13">
        <v>0.74421108895835852</v>
      </c>
      <c r="J13">
        <v>1</v>
      </c>
      <c r="M13" s="5"/>
      <c r="S13" s="4">
        <f t="shared" si="0"/>
        <v>33149</v>
      </c>
      <c r="T13" s="4">
        <f t="shared" si="1"/>
        <v>37239</v>
      </c>
      <c r="U13" s="4">
        <f t="shared" si="2"/>
        <v>2764</v>
      </c>
      <c r="V13" s="4">
        <f t="shared" si="3"/>
        <v>7041</v>
      </c>
      <c r="W13" s="4">
        <f t="shared" si="4"/>
        <v>70</v>
      </c>
      <c r="X13">
        <f t="shared" si="5"/>
        <v>114</v>
      </c>
      <c r="Y13">
        <f t="shared" si="6"/>
        <v>11.7</v>
      </c>
      <c r="Z13">
        <f t="shared" si="7"/>
        <v>4.8</v>
      </c>
    </row>
    <row r="14" spans="1:26" x14ac:dyDescent="0.3">
      <c r="A14" t="str">
        <f t="shared" si="8"/>
        <v>HH009</v>
      </c>
      <c r="B14" t="s">
        <v>62</v>
      </c>
      <c r="C14">
        <v>6</v>
      </c>
      <c r="D14" s="4">
        <v>24162</v>
      </c>
      <c r="E14" t="s">
        <v>66</v>
      </c>
      <c r="F14" s="4">
        <v>5668</v>
      </c>
      <c r="G14">
        <v>37</v>
      </c>
      <c r="H14">
        <v>13.7</v>
      </c>
      <c r="I14">
        <v>0.41983376548963891</v>
      </c>
      <c r="J14">
        <v>1</v>
      </c>
      <c r="M14" s="5"/>
      <c r="S14" s="4">
        <f t="shared" si="0"/>
        <v>24162</v>
      </c>
      <c r="T14" s="4">
        <f t="shared" si="1"/>
        <v>25603</v>
      </c>
      <c r="U14" s="4">
        <f t="shared" si="2"/>
        <v>5668</v>
      </c>
      <c r="V14" s="4">
        <f t="shared" si="3"/>
        <v>2757</v>
      </c>
      <c r="W14" s="4">
        <f t="shared" si="4"/>
        <v>37</v>
      </c>
      <c r="X14">
        <f t="shared" si="5"/>
        <v>26</v>
      </c>
      <c r="Y14">
        <f t="shared" si="6"/>
        <v>13.7</v>
      </c>
      <c r="Z14">
        <f t="shared" si="7"/>
        <v>10.199999999999999</v>
      </c>
    </row>
    <row r="15" spans="1:26" x14ac:dyDescent="0.3">
      <c r="A15" t="str">
        <f t="shared" si="8"/>
        <v>HH010</v>
      </c>
      <c r="B15" t="s">
        <v>63</v>
      </c>
      <c r="C15">
        <v>7</v>
      </c>
      <c r="D15" s="4">
        <v>38929</v>
      </c>
      <c r="E15" t="s">
        <v>67</v>
      </c>
      <c r="F15" s="4">
        <v>4352</v>
      </c>
      <c r="G15">
        <v>44</v>
      </c>
      <c r="H15">
        <v>0.8</v>
      </c>
      <c r="I15">
        <v>0.42013241773603238</v>
      </c>
      <c r="J15">
        <v>1</v>
      </c>
      <c r="M15" s="5"/>
      <c r="S15" s="4">
        <f t="shared" si="0"/>
        <v>38929</v>
      </c>
      <c r="T15" s="4">
        <f t="shared" si="1"/>
        <v>18545</v>
      </c>
      <c r="U15" s="4">
        <f t="shared" si="2"/>
        <v>4352</v>
      </c>
      <c r="V15" s="4">
        <f t="shared" si="3"/>
        <v>5378</v>
      </c>
      <c r="W15" s="4">
        <f t="shared" si="4"/>
        <v>44</v>
      </c>
      <c r="X15">
        <f t="shared" si="5"/>
        <v>82</v>
      </c>
      <c r="Y15">
        <f t="shared" si="6"/>
        <v>0.8</v>
      </c>
      <c r="Z15">
        <f t="shared" si="7"/>
        <v>12.4</v>
      </c>
    </row>
    <row r="16" spans="1:26" x14ac:dyDescent="0.3">
      <c r="A16" t="str">
        <f t="shared" si="8"/>
        <v>HH011</v>
      </c>
      <c r="B16" t="s">
        <v>62</v>
      </c>
      <c r="C16">
        <v>6</v>
      </c>
      <c r="D16" s="4">
        <v>37284</v>
      </c>
      <c r="E16" t="s">
        <v>69</v>
      </c>
      <c r="F16" s="4">
        <v>5229</v>
      </c>
      <c r="G16">
        <v>54</v>
      </c>
      <c r="H16">
        <v>2.1</v>
      </c>
      <c r="I16">
        <v>0.83446741417206571</v>
      </c>
      <c r="J16">
        <v>1</v>
      </c>
      <c r="M16" s="5"/>
      <c r="S16" s="4">
        <f t="shared" si="0"/>
        <v>37284</v>
      </c>
      <c r="T16" s="4">
        <f t="shared" si="1"/>
        <v>26672</v>
      </c>
      <c r="U16" s="4">
        <f t="shared" si="2"/>
        <v>5229</v>
      </c>
      <c r="V16" s="4">
        <f t="shared" si="3"/>
        <v>3678</v>
      </c>
      <c r="W16" s="4">
        <f t="shared" si="4"/>
        <v>54</v>
      </c>
      <c r="X16">
        <f t="shared" si="5"/>
        <v>101</v>
      </c>
      <c r="Y16">
        <f t="shared" si="6"/>
        <v>2.1</v>
      </c>
      <c r="Z16">
        <f t="shared" si="7"/>
        <v>5.4</v>
      </c>
    </row>
    <row r="17" spans="1:26" x14ac:dyDescent="0.3">
      <c r="A17" t="str">
        <f t="shared" si="8"/>
        <v>HH012</v>
      </c>
      <c r="B17" t="s">
        <v>62</v>
      </c>
      <c r="C17">
        <v>2</v>
      </c>
      <c r="D17" s="4">
        <v>35310</v>
      </c>
      <c r="E17" t="s">
        <v>67</v>
      </c>
      <c r="F17" s="4">
        <v>2816</v>
      </c>
      <c r="G17">
        <v>82</v>
      </c>
      <c r="H17">
        <v>15</v>
      </c>
      <c r="I17">
        <v>0.95057998930171761</v>
      </c>
      <c r="J17">
        <v>1</v>
      </c>
      <c r="M17" s="5"/>
      <c r="S17" s="4">
        <f t="shared" si="0"/>
        <v>35310</v>
      </c>
      <c r="T17" s="4">
        <f t="shared" si="1"/>
        <v>23679</v>
      </c>
      <c r="U17" s="4">
        <f t="shared" si="2"/>
        <v>2816</v>
      </c>
      <c r="V17" s="4">
        <f t="shared" si="3"/>
        <v>5387</v>
      </c>
      <c r="W17" s="4">
        <f t="shared" si="4"/>
        <v>82</v>
      </c>
      <c r="X17">
        <f t="shared" si="5"/>
        <v>102</v>
      </c>
      <c r="Y17">
        <f t="shared" si="6"/>
        <v>15</v>
      </c>
      <c r="Z17">
        <f t="shared" si="7"/>
        <v>7.2</v>
      </c>
    </row>
    <row r="18" spans="1:26" x14ac:dyDescent="0.3">
      <c r="A18" t="str">
        <f t="shared" si="8"/>
        <v>HH013</v>
      </c>
      <c r="B18" t="s">
        <v>64</v>
      </c>
      <c r="C18">
        <v>4</v>
      </c>
      <c r="D18" s="4">
        <v>30840</v>
      </c>
      <c r="E18" t="s">
        <v>69</v>
      </c>
      <c r="F18" s="4">
        <v>5551</v>
      </c>
      <c r="G18">
        <v>63</v>
      </c>
      <c r="H18">
        <v>7.2</v>
      </c>
      <c r="I18">
        <v>3.1957229520352404E-2</v>
      </c>
      <c r="J18">
        <v>1</v>
      </c>
      <c r="M18" s="5"/>
      <c r="S18" s="4">
        <f t="shared" si="0"/>
        <v>30840</v>
      </c>
      <c r="T18" s="4">
        <f t="shared" si="1"/>
        <v>32533</v>
      </c>
      <c r="U18" s="4">
        <f t="shared" si="2"/>
        <v>5551</v>
      </c>
      <c r="V18" s="4">
        <f t="shared" si="3"/>
        <v>2374</v>
      </c>
      <c r="W18" s="4">
        <f t="shared" si="4"/>
        <v>63</v>
      </c>
      <c r="X18">
        <f t="shared" si="5"/>
        <v>119</v>
      </c>
      <c r="Y18">
        <f t="shared" si="6"/>
        <v>7.2</v>
      </c>
      <c r="Z18">
        <f t="shared" si="7"/>
        <v>12.9</v>
      </c>
    </row>
    <row r="19" spans="1:26" x14ac:dyDescent="0.3">
      <c r="A19" t="str">
        <f t="shared" si="8"/>
        <v>HH014</v>
      </c>
      <c r="B19" t="s">
        <v>62</v>
      </c>
      <c r="C19">
        <v>8</v>
      </c>
      <c r="D19" s="4">
        <v>30840</v>
      </c>
      <c r="E19" t="s">
        <v>68</v>
      </c>
      <c r="F19" s="4">
        <v>7163</v>
      </c>
      <c r="G19">
        <v>94</v>
      </c>
      <c r="H19">
        <v>11.4</v>
      </c>
      <c r="I19">
        <v>0.77628902418314538</v>
      </c>
      <c r="J19">
        <v>1</v>
      </c>
      <c r="M19" s="5"/>
      <c r="S19" s="4">
        <f t="shared" si="0"/>
        <v>30840</v>
      </c>
      <c r="T19" s="4">
        <f t="shared" si="1"/>
        <v>27282</v>
      </c>
      <c r="U19" s="4">
        <f t="shared" si="2"/>
        <v>7163</v>
      </c>
      <c r="V19" s="4">
        <f t="shared" si="3"/>
        <v>4906</v>
      </c>
      <c r="W19" s="4">
        <f t="shared" si="4"/>
        <v>94</v>
      </c>
      <c r="X19">
        <f t="shared" si="5"/>
        <v>77</v>
      </c>
      <c r="Y19">
        <f t="shared" si="6"/>
        <v>11.4</v>
      </c>
      <c r="Z19">
        <f t="shared" si="7"/>
        <v>0.8</v>
      </c>
    </row>
    <row r="20" spans="1:26" x14ac:dyDescent="0.3">
      <c r="A20" t="str">
        <f t="shared" si="8"/>
        <v>HH015</v>
      </c>
      <c r="B20" t="s">
        <v>62</v>
      </c>
      <c r="C20">
        <v>7</v>
      </c>
      <c r="D20" s="4">
        <v>17832</v>
      </c>
      <c r="E20" t="s">
        <v>68</v>
      </c>
      <c r="F20" s="4">
        <v>5599</v>
      </c>
      <c r="G20">
        <v>81</v>
      </c>
      <c r="H20">
        <v>12</v>
      </c>
      <c r="I20">
        <v>0.73545475569206153</v>
      </c>
      <c r="J20">
        <v>1</v>
      </c>
      <c r="M20" s="5"/>
      <c r="S20" s="4">
        <f t="shared" si="0"/>
        <v>17832</v>
      </c>
      <c r="T20" s="4">
        <f t="shared" si="1"/>
        <v>18190</v>
      </c>
      <c r="U20" s="4">
        <f t="shared" si="2"/>
        <v>5599</v>
      </c>
      <c r="V20" s="4">
        <f t="shared" si="3"/>
        <v>3976</v>
      </c>
      <c r="W20" s="4">
        <f t="shared" si="4"/>
        <v>81</v>
      </c>
      <c r="X20">
        <f t="shared" si="5"/>
        <v>89</v>
      </c>
      <c r="Y20">
        <f t="shared" si="6"/>
        <v>12</v>
      </c>
      <c r="Z20">
        <f t="shared" si="7"/>
        <v>13.8</v>
      </c>
    </row>
    <row r="21" spans="1:26" x14ac:dyDescent="0.3">
      <c r="A21" t="str">
        <f t="shared" si="8"/>
        <v>HH016</v>
      </c>
      <c r="B21" t="s">
        <v>63</v>
      </c>
      <c r="C21">
        <v>8</v>
      </c>
      <c r="D21" s="4">
        <v>30692</v>
      </c>
      <c r="E21" t="s">
        <v>67</v>
      </c>
      <c r="F21" s="4">
        <v>7097</v>
      </c>
      <c r="G21">
        <v>45</v>
      </c>
      <c r="H21">
        <v>13.9</v>
      </c>
      <c r="I21">
        <v>0.54762514998919076</v>
      </c>
      <c r="J21">
        <v>1</v>
      </c>
      <c r="M21" s="5"/>
      <c r="S21" s="4">
        <f t="shared" si="0"/>
        <v>30692</v>
      </c>
      <c r="T21" s="4">
        <f t="shared" si="1"/>
        <v>28755</v>
      </c>
      <c r="U21" s="4">
        <f t="shared" si="2"/>
        <v>7097</v>
      </c>
      <c r="V21" s="4">
        <f t="shared" si="3"/>
        <v>4897</v>
      </c>
      <c r="W21" s="4">
        <f t="shared" si="4"/>
        <v>45</v>
      </c>
      <c r="X21">
        <f t="shared" si="5"/>
        <v>93</v>
      </c>
      <c r="Y21">
        <f t="shared" si="6"/>
        <v>13.9</v>
      </c>
      <c r="Z21">
        <f t="shared" si="7"/>
        <v>7.8</v>
      </c>
    </row>
    <row r="22" spans="1:26" x14ac:dyDescent="0.3">
      <c r="A22" t="str">
        <f t="shared" si="8"/>
        <v>HH017</v>
      </c>
      <c r="B22" t="s">
        <v>64</v>
      </c>
      <c r="C22">
        <v>5</v>
      </c>
      <c r="D22" s="4">
        <v>34798</v>
      </c>
      <c r="E22" t="s">
        <v>69</v>
      </c>
      <c r="F22" s="4">
        <v>4546</v>
      </c>
      <c r="G22">
        <v>28</v>
      </c>
      <c r="H22">
        <v>12.5</v>
      </c>
      <c r="I22">
        <v>0.85376285448322586</v>
      </c>
      <c r="J22">
        <v>1</v>
      </c>
      <c r="M22" s="5"/>
      <c r="S22" s="4">
        <f t="shared" si="0"/>
        <v>34798</v>
      </c>
      <c r="T22" s="4">
        <f t="shared" si="1"/>
        <v>31492</v>
      </c>
      <c r="U22" s="4">
        <f t="shared" si="2"/>
        <v>4546</v>
      </c>
      <c r="V22" s="4">
        <f t="shared" si="3"/>
        <v>5390</v>
      </c>
      <c r="W22" s="4">
        <f t="shared" si="4"/>
        <v>28</v>
      </c>
      <c r="X22">
        <f t="shared" si="5"/>
        <v>18</v>
      </c>
      <c r="Y22">
        <f t="shared" si="6"/>
        <v>12.5</v>
      </c>
      <c r="Z22">
        <f t="shared" si="7"/>
        <v>5.8</v>
      </c>
    </row>
    <row r="23" spans="1:26" x14ac:dyDescent="0.3">
      <c r="A23" t="str">
        <f t="shared" si="8"/>
        <v>HH018</v>
      </c>
      <c r="B23" t="s">
        <v>63</v>
      </c>
      <c r="C23">
        <v>3</v>
      </c>
      <c r="D23" s="4">
        <v>23630</v>
      </c>
      <c r="E23" t="s">
        <v>69</v>
      </c>
      <c r="F23" s="4">
        <v>3916</v>
      </c>
      <c r="G23">
        <v>105</v>
      </c>
      <c r="H23">
        <v>4.4000000000000004</v>
      </c>
      <c r="I23">
        <v>0.78327180385084594</v>
      </c>
      <c r="J23">
        <v>1</v>
      </c>
      <c r="M23" s="5"/>
      <c r="S23" s="4">
        <f t="shared" si="0"/>
        <v>23630</v>
      </c>
      <c r="T23" s="4">
        <f t="shared" si="1"/>
        <v>29818</v>
      </c>
      <c r="U23" s="4">
        <f t="shared" si="2"/>
        <v>3916</v>
      </c>
      <c r="V23" s="4">
        <f t="shared" si="3"/>
        <v>4351</v>
      </c>
      <c r="W23" s="4">
        <f t="shared" si="4"/>
        <v>105</v>
      </c>
      <c r="X23">
        <f t="shared" si="5"/>
        <v>119</v>
      </c>
      <c r="Y23">
        <f t="shared" si="6"/>
        <v>4.4000000000000004</v>
      </c>
      <c r="Z23">
        <f t="shared" si="7"/>
        <v>10.1</v>
      </c>
    </row>
    <row r="24" spans="1:26" x14ac:dyDescent="0.3">
      <c r="A24" t="str">
        <f t="shared" si="8"/>
        <v>HH019</v>
      </c>
      <c r="B24" t="s">
        <v>64</v>
      </c>
      <c r="C24">
        <v>3</v>
      </c>
      <c r="D24" s="4">
        <v>29701</v>
      </c>
      <c r="E24" t="s">
        <v>67</v>
      </c>
      <c r="F24" s="4">
        <v>4613</v>
      </c>
      <c r="G24">
        <v>96</v>
      </c>
      <c r="H24">
        <v>13.8</v>
      </c>
      <c r="I24">
        <v>0.82094774257775338</v>
      </c>
      <c r="J24">
        <v>1</v>
      </c>
      <c r="M24" s="5"/>
      <c r="S24" s="4">
        <f t="shared" si="0"/>
        <v>29701</v>
      </c>
      <c r="T24" s="4">
        <f t="shared" si="1"/>
        <v>24250</v>
      </c>
      <c r="U24" s="4">
        <f t="shared" si="2"/>
        <v>4613</v>
      </c>
      <c r="V24" s="4">
        <f t="shared" si="3"/>
        <v>2851</v>
      </c>
      <c r="W24" s="4">
        <f t="shared" si="4"/>
        <v>96</v>
      </c>
      <c r="X24">
        <f t="shared" si="5"/>
        <v>53</v>
      </c>
      <c r="Y24">
        <f t="shared" si="6"/>
        <v>13.8</v>
      </c>
      <c r="Z24">
        <f t="shared" si="7"/>
        <v>10.199999999999999</v>
      </c>
    </row>
    <row r="25" spans="1:26" x14ac:dyDescent="0.3">
      <c r="A25" t="str">
        <f t="shared" si="8"/>
        <v>HH020</v>
      </c>
      <c r="B25" t="s">
        <v>62</v>
      </c>
      <c r="C25">
        <v>3</v>
      </c>
      <c r="D25" s="4">
        <v>17880</v>
      </c>
      <c r="E25" t="s">
        <v>68</v>
      </c>
      <c r="F25" s="4">
        <v>5098</v>
      </c>
      <c r="G25">
        <v>30</v>
      </c>
      <c r="H25">
        <v>14</v>
      </c>
      <c r="I25">
        <v>3.5568358414126422E-2</v>
      </c>
      <c r="J25">
        <v>1</v>
      </c>
      <c r="M25" s="5"/>
      <c r="S25" s="4">
        <f t="shared" si="0"/>
        <v>17880</v>
      </c>
      <c r="T25" s="4">
        <f t="shared" si="1"/>
        <v>29289</v>
      </c>
      <c r="U25" s="4">
        <f t="shared" si="2"/>
        <v>5098</v>
      </c>
      <c r="V25" s="4">
        <f t="shared" si="3"/>
        <v>6542</v>
      </c>
      <c r="W25" s="4">
        <f t="shared" si="4"/>
        <v>30</v>
      </c>
      <c r="X25">
        <f t="shared" si="5"/>
        <v>57</v>
      </c>
      <c r="Y25">
        <f t="shared" si="6"/>
        <v>14</v>
      </c>
      <c r="Z25">
        <f t="shared" si="7"/>
        <v>2.9</v>
      </c>
    </row>
    <row r="26" spans="1:26" x14ac:dyDescent="0.3">
      <c r="A26" t="str">
        <f t="shared" si="8"/>
        <v>HH021</v>
      </c>
      <c r="B26" t="s">
        <v>63</v>
      </c>
      <c r="C26">
        <v>7</v>
      </c>
      <c r="D26" s="4">
        <v>39052</v>
      </c>
      <c r="E26" t="s">
        <v>68</v>
      </c>
      <c r="F26" s="4">
        <v>4973</v>
      </c>
      <c r="G26">
        <v>55</v>
      </c>
      <c r="H26">
        <v>14.9</v>
      </c>
      <c r="I26">
        <v>0.99869109059404859</v>
      </c>
      <c r="J26">
        <v>1</v>
      </c>
      <c r="M26" s="5"/>
      <c r="S26" s="4">
        <f t="shared" si="0"/>
        <v>39052</v>
      </c>
      <c r="T26" s="4">
        <f t="shared" si="1"/>
        <v>29429</v>
      </c>
      <c r="U26" s="4">
        <f t="shared" si="2"/>
        <v>4973</v>
      </c>
      <c r="V26" s="4">
        <f t="shared" si="3"/>
        <v>6762</v>
      </c>
      <c r="W26" s="4">
        <f t="shared" si="4"/>
        <v>55</v>
      </c>
      <c r="X26">
        <f t="shared" si="5"/>
        <v>84</v>
      </c>
      <c r="Y26">
        <f t="shared" si="6"/>
        <v>14.9</v>
      </c>
      <c r="Z26">
        <f t="shared" si="7"/>
        <v>8.4</v>
      </c>
    </row>
    <row r="27" spans="1:26" x14ac:dyDescent="0.3">
      <c r="A27" t="str">
        <f t="shared" si="8"/>
        <v>HH022</v>
      </c>
      <c r="B27" t="s">
        <v>64</v>
      </c>
      <c r="C27">
        <v>6</v>
      </c>
      <c r="D27" s="4">
        <v>13496</v>
      </c>
      <c r="E27" t="s">
        <v>67</v>
      </c>
      <c r="F27" s="4">
        <v>4192</v>
      </c>
      <c r="G27">
        <v>16</v>
      </c>
      <c r="H27">
        <v>6.4</v>
      </c>
      <c r="I27">
        <v>0.17038515698311374</v>
      </c>
      <c r="J27">
        <v>1</v>
      </c>
      <c r="M27" s="5"/>
      <c r="S27" s="4">
        <f t="shared" si="0"/>
        <v>13496</v>
      </c>
      <c r="T27" s="4">
        <f t="shared" si="1"/>
        <v>18749</v>
      </c>
      <c r="U27" s="4">
        <f t="shared" si="2"/>
        <v>4192</v>
      </c>
      <c r="V27" s="4">
        <f t="shared" si="3"/>
        <v>4729</v>
      </c>
      <c r="W27" s="4">
        <f t="shared" si="4"/>
        <v>16</v>
      </c>
      <c r="X27">
        <f t="shared" si="5"/>
        <v>29</v>
      </c>
      <c r="Y27">
        <f t="shared" si="6"/>
        <v>6.4</v>
      </c>
      <c r="Z27">
        <f t="shared" si="7"/>
        <v>14.8</v>
      </c>
    </row>
    <row r="28" spans="1:26" x14ac:dyDescent="0.3">
      <c r="A28" t="str">
        <f t="shared" si="8"/>
        <v>HH023</v>
      </c>
      <c r="B28" t="s">
        <v>63</v>
      </c>
      <c r="C28">
        <v>7</v>
      </c>
      <c r="D28" s="4">
        <v>26198</v>
      </c>
      <c r="E28" t="s">
        <v>68</v>
      </c>
      <c r="F28" s="4">
        <v>4623</v>
      </c>
      <c r="G28">
        <v>22</v>
      </c>
      <c r="H28">
        <v>11.6</v>
      </c>
      <c r="I28">
        <v>0.42993780814488247</v>
      </c>
      <c r="J28">
        <v>1</v>
      </c>
      <c r="M28" s="5"/>
      <c r="S28" s="4">
        <f t="shared" si="0"/>
        <v>26198</v>
      </c>
      <c r="T28" s="4">
        <f t="shared" si="1"/>
        <v>22611</v>
      </c>
      <c r="U28" s="4">
        <f t="shared" si="2"/>
        <v>4623</v>
      </c>
      <c r="V28" s="4">
        <f t="shared" si="3"/>
        <v>4890</v>
      </c>
      <c r="W28" s="4">
        <f t="shared" si="4"/>
        <v>22</v>
      </c>
      <c r="X28">
        <f t="shared" si="5"/>
        <v>62</v>
      </c>
      <c r="Y28">
        <f t="shared" si="6"/>
        <v>11.6</v>
      </c>
      <c r="Z28">
        <f t="shared" si="7"/>
        <v>11.5</v>
      </c>
    </row>
    <row r="29" spans="1:26" x14ac:dyDescent="0.3">
      <c r="A29" t="str">
        <f t="shared" si="8"/>
        <v>HH024</v>
      </c>
      <c r="B29" t="s">
        <v>63</v>
      </c>
      <c r="C29">
        <v>2</v>
      </c>
      <c r="D29" s="4">
        <v>24386</v>
      </c>
      <c r="E29" t="s">
        <v>68</v>
      </c>
      <c r="F29" s="4">
        <v>4379</v>
      </c>
      <c r="G29">
        <v>48</v>
      </c>
      <c r="H29">
        <v>9.8000000000000007</v>
      </c>
      <c r="I29">
        <v>0.63763910024294368</v>
      </c>
      <c r="J29">
        <v>1</v>
      </c>
      <c r="M29" s="5"/>
      <c r="S29" s="4">
        <f t="shared" si="0"/>
        <v>24386</v>
      </c>
      <c r="T29" s="4">
        <f t="shared" si="1"/>
        <v>16295</v>
      </c>
      <c r="U29" s="4">
        <f t="shared" si="2"/>
        <v>4379</v>
      </c>
      <c r="V29" s="4">
        <f t="shared" si="3"/>
        <v>3555</v>
      </c>
      <c r="W29" s="4">
        <f t="shared" si="4"/>
        <v>48</v>
      </c>
      <c r="X29">
        <f t="shared" si="5"/>
        <v>36</v>
      </c>
      <c r="Y29">
        <f t="shared" si="6"/>
        <v>9.8000000000000007</v>
      </c>
      <c r="Z29">
        <f t="shared" si="7"/>
        <v>7.2</v>
      </c>
    </row>
    <row r="30" spans="1:26" x14ac:dyDescent="0.3">
      <c r="A30" t="str">
        <f t="shared" si="8"/>
        <v>HH025</v>
      </c>
      <c r="B30" t="s">
        <v>65</v>
      </c>
      <c r="C30">
        <v>7</v>
      </c>
      <c r="D30" s="4">
        <v>23768</v>
      </c>
      <c r="E30" t="s">
        <v>68</v>
      </c>
      <c r="F30" s="4">
        <v>5515</v>
      </c>
      <c r="G30">
        <v>44</v>
      </c>
      <c r="H30">
        <v>1.3</v>
      </c>
      <c r="I30">
        <v>0.48346388175461208</v>
      </c>
      <c r="J30">
        <v>1</v>
      </c>
      <c r="M30" s="5"/>
      <c r="S30" s="4">
        <f t="shared" si="0"/>
        <v>23768</v>
      </c>
      <c r="T30" s="4">
        <f t="shared" si="1"/>
        <v>30044</v>
      </c>
      <c r="U30" s="4">
        <f t="shared" si="2"/>
        <v>5515</v>
      </c>
      <c r="V30" s="4">
        <f t="shared" si="3"/>
        <v>5391</v>
      </c>
      <c r="W30" s="4">
        <f t="shared" si="4"/>
        <v>44</v>
      </c>
      <c r="X30">
        <f t="shared" si="5"/>
        <v>118</v>
      </c>
      <c r="Y30">
        <f t="shared" si="6"/>
        <v>1.3</v>
      </c>
      <c r="Z30">
        <f t="shared" si="7"/>
        <v>3.8</v>
      </c>
    </row>
    <row r="31" spans="1:26" x14ac:dyDescent="0.3">
      <c r="A31" t="str">
        <f t="shared" si="8"/>
        <v>HH026</v>
      </c>
      <c r="B31" t="s">
        <v>62</v>
      </c>
      <c r="C31">
        <v>3</v>
      </c>
      <c r="D31" s="4">
        <v>45320</v>
      </c>
      <c r="E31" t="s">
        <v>67</v>
      </c>
      <c r="F31" s="4">
        <v>4849</v>
      </c>
      <c r="G31">
        <v>48</v>
      </c>
      <c r="H31">
        <v>10.4</v>
      </c>
      <c r="I31">
        <v>0.9844445185813111</v>
      </c>
      <c r="J31">
        <v>1</v>
      </c>
      <c r="M31" s="5"/>
      <c r="S31" s="4">
        <f t="shared" si="0"/>
        <v>45320</v>
      </c>
      <c r="T31" s="4">
        <f t="shared" si="1"/>
        <v>20777</v>
      </c>
      <c r="U31" s="4">
        <f t="shared" si="2"/>
        <v>4849</v>
      </c>
      <c r="V31" s="4">
        <f t="shared" si="3"/>
        <v>6667</v>
      </c>
      <c r="W31" s="4">
        <f t="shared" si="4"/>
        <v>48</v>
      </c>
      <c r="X31">
        <f t="shared" si="5"/>
        <v>88</v>
      </c>
      <c r="Y31">
        <f t="shared" si="6"/>
        <v>10.4</v>
      </c>
      <c r="Z31">
        <f t="shared" si="7"/>
        <v>2</v>
      </c>
    </row>
    <row r="32" spans="1:26" x14ac:dyDescent="0.3">
      <c r="A32" t="str">
        <f t="shared" si="8"/>
        <v>HH027</v>
      </c>
      <c r="B32" t="s">
        <v>62</v>
      </c>
      <c r="C32">
        <v>6</v>
      </c>
      <c r="D32" s="4">
        <v>21710</v>
      </c>
      <c r="E32" t="s">
        <v>67</v>
      </c>
      <c r="F32" s="4">
        <v>4660</v>
      </c>
      <c r="G32">
        <v>29</v>
      </c>
      <c r="H32">
        <v>8.5</v>
      </c>
      <c r="I32">
        <v>0.16872810263345761</v>
      </c>
      <c r="J32">
        <v>1</v>
      </c>
      <c r="M32" s="5"/>
      <c r="S32" s="4">
        <f t="shared" si="0"/>
        <v>21710</v>
      </c>
      <c r="T32" s="4">
        <f t="shared" si="1"/>
        <v>26752</v>
      </c>
      <c r="U32" s="4">
        <f t="shared" si="2"/>
        <v>4660</v>
      </c>
      <c r="V32" s="4">
        <f t="shared" si="3"/>
        <v>3866</v>
      </c>
      <c r="W32" s="4">
        <f t="shared" si="4"/>
        <v>29</v>
      </c>
      <c r="X32">
        <f t="shared" si="5"/>
        <v>105</v>
      </c>
      <c r="Y32">
        <f t="shared" si="6"/>
        <v>8.5</v>
      </c>
      <c r="Z32">
        <f t="shared" si="7"/>
        <v>10.7</v>
      </c>
    </row>
    <row r="33" spans="1:40" x14ac:dyDescent="0.3">
      <c r="A33" t="str">
        <f t="shared" si="8"/>
        <v>HH028</v>
      </c>
      <c r="B33" t="s">
        <v>65</v>
      </c>
      <c r="C33">
        <v>7</v>
      </c>
      <c r="D33" s="4">
        <v>29395</v>
      </c>
      <c r="E33" t="s">
        <v>67</v>
      </c>
      <c r="F33" s="4">
        <v>5998</v>
      </c>
      <c r="G33">
        <v>23</v>
      </c>
      <c r="H33">
        <v>14.1</v>
      </c>
      <c r="I33">
        <v>0.19629902652394593</v>
      </c>
      <c r="J33">
        <v>1</v>
      </c>
      <c r="M33" s="5"/>
      <c r="S33" s="4">
        <f t="shared" si="0"/>
        <v>29395</v>
      </c>
      <c r="T33" s="4">
        <f t="shared" si="1"/>
        <v>24669</v>
      </c>
      <c r="U33" s="4">
        <f t="shared" si="2"/>
        <v>5998</v>
      </c>
      <c r="V33" s="4">
        <f t="shared" si="3"/>
        <v>5293</v>
      </c>
      <c r="W33" s="4">
        <f t="shared" si="4"/>
        <v>23</v>
      </c>
      <c r="X33">
        <f t="shared" si="5"/>
        <v>77</v>
      </c>
      <c r="Y33">
        <f t="shared" si="6"/>
        <v>14.1</v>
      </c>
      <c r="Z33">
        <f t="shared" si="7"/>
        <v>14.4</v>
      </c>
    </row>
    <row r="34" spans="1:40" ht="15" thickBot="1" x14ac:dyDescent="0.35">
      <c r="A34" t="str">
        <f t="shared" si="8"/>
        <v>HH029</v>
      </c>
      <c r="B34" t="s">
        <v>65</v>
      </c>
      <c r="C34">
        <v>5</v>
      </c>
      <c r="D34" s="4">
        <v>26227</v>
      </c>
      <c r="E34" t="s">
        <v>66</v>
      </c>
      <c r="F34" s="4">
        <v>5519</v>
      </c>
      <c r="G34">
        <v>74</v>
      </c>
      <c r="H34">
        <v>12.3</v>
      </c>
      <c r="I34">
        <v>0.20291282801896515</v>
      </c>
      <c r="J34">
        <v>1</v>
      </c>
      <c r="M34" s="5"/>
      <c r="S34" s="4">
        <f t="shared" si="0"/>
        <v>26227</v>
      </c>
      <c r="T34" s="4">
        <f t="shared" si="1"/>
        <v>29246</v>
      </c>
      <c r="U34" s="4">
        <f t="shared" si="2"/>
        <v>5519</v>
      </c>
      <c r="V34" s="4">
        <f t="shared" si="3"/>
        <v>5422</v>
      </c>
      <c r="W34" s="4">
        <f t="shared" si="4"/>
        <v>74</v>
      </c>
      <c r="X34">
        <f t="shared" si="5"/>
        <v>88</v>
      </c>
      <c r="Y34">
        <f t="shared" si="6"/>
        <v>12.3</v>
      </c>
      <c r="Z34">
        <f t="shared" si="7"/>
        <v>9.8000000000000007</v>
      </c>
      <c r="AD34" s="8"/>
      <c r="AE34" s="8"/>
      <c r="AF34" s="8"/>
    </row>
    <row r="35" spans="1:40" x14ac:dyDescent="0.3">
      <c r="A35" t="str">
        <f t="shared" si="8"/>
        <v>HH030</v>
      </c>
      <c r="B35" t="s">
        <v>65</v>
      </c>
      <c r="C35">
        <v>4</v>
      </c>
      <c r="D35" s="4">
        <v>14833</v>
      </c>
      <c r="E35" t="s">
        <v>66</v>
      </c>
      <c r="F35" s="4">
        <v>4375</v>
      </c>
      <c r="G35">
        <v>90</v>
      </c>
      <c r="H35">
        <v>6.2</v>
      </c>
      <c r="I35">
        <v>0.79761922637862603</v>
      </c>
      <c r="J35">
        <v>1</v>
      </c>
      <c r="M35" s="5"/>
      <c r="S35" s="4">
        <f t="shared" si="0"/>
        <v>14833</v>
      </c>
      <c r="T35" s="4">
        <f t="shared" si="1"/>
        <v>42892</v>
      </c>
      <c r="U35" s="4">
        <f t="shared" si="2"/>
        <v>4375</v>
      </c>
      <c r="V35" s="4">
        <f t="shared" si="3"/>
        <v>4418</v>
      </c>
      <c r="W35" s="4">
        <f t="shared" si="4"/>
        <v>90</v>
      </c>
      <c r="X35">
        <f t="shared" si="5"/>
        <v>79</v>
      </c>
      <c r="Y35">
        <f t="shared" si="6"/>
        <v>6.2</v>
      </c>
      <c r="Z35">
        <f t="shared" si="7"/>
        <v>9.3000000000000007</v>
      </c>
    </row>
    <row r="36" spans="1:40" x14ac:dyDescent="0.3">
      <c r="A36" t="str">
        <f t="shared" si="8"/>
        <v>HH031</v>
      </c>
      <c r="B36" t="s">
        <v>62</v>
      </c>
      <c r="C36">
        <v>7</v>
      </c>
      <c r="D36" s="4">
        <v>33746</v>
      </c>
      <c r="E36" t="s">
        <v>68</v>
      </c>
      <c r="F36" s="4">
        <v>5051</v>
      </c>
      <c r="G36">
        <v>37</v>
      </c>
      <c r="H36">
        <v>11.3</v>
      </c>
      <c r="I36">
        <v>0.11022176426811037</v>
      </c>
      <c r="J36">
        <v>1</v>
      </c>
      <c r="M36" s="5"/>
      <c r="S36" s="4">
        <f t="shared" si="0"/>
        <v>33746</v>
      </c>
      <c r="T36" s="4">
        <f t="shared" si="1"/>
        <v>23936</v>
      </c>
      <c r="U36" s="4">
        <f t="shared" si="2"/>
        <v>5051</v>
      </c>
      <c r="V36" s="4">
        <f t="shared" si="3"/>
        <v>2921</v>
      </c>
      <c r="W36" s="4">
        <f t="shared" si="4"/>
        <v>37</v>
      </c>
      <c r="X36">
        <f t="shared" si="5"/>
        <v>101</v>
      </c>
      <c r="Y36">
        <f t="shared" si="6"/>
        <v>11.3</v>
      </c>
      <c r="Z36">
        <f t="shared" si="7"/>
        <v>0.7</v>
      </c>
    </row>
    <row r="37" spans="1:40" ht="15" thickBot="1" x14ac:dyDescent="0.35">
      <c r="A37" t="str">
        <f t="shared" si="8"/>
        <v>HH032</v>
      </c>
      <c r="B37" t="s">
        <v>64</v>
      </c>
      <c r="C37">
        <v>8</v>
      </c>
      <c r="D37" s="4">
        <v>40152</v>
      </c>
      <c r="E37" t="s">
        <v>68</v>
      </c>
      <c r="F37" s="4">
        <v>4898</v>
      </c>
      <c r="G37">
        <v>45</v>
      </c>
      <c r="H37">
        <v>8.6999999999999993</v>
      </c>
      <c r="I37">
        <v>0.21753813935860755</v>
      </c>
      <c r="J37">
        <v>1</v>
      </c>
      <c r="M37" s="5"/>
      <c r="S37" s="4">
        <f t="shared" si="0"/>
        <v>40152</v>
      </c>
      <c r="T37" s="4">
        <f t="shared" si="1"/>
        <v>29838</v>
      </c>
      <c r="U37" s="4">
        <f t="shared" si="2"/>
        <v>4898</v>
      </c>
      <c r="V37" s="4">
        <f t="shared" si="3"/>
        <v>4816</v>
      </c>
      <c r="W37" s="4">
        <f t="shared" si="4"/>
        <v>45</v>
      </c>
      <c r="X37">
        <f t="shared" si="5"/>
        <v>94</v>
      </c>
      <c r="Y37">
        <f t="shared" si="6"/>
        <v>8.6999999999999993</v>
      </c>
      <c r="Z37">
        <f t="shared" si="7"/>
        <v>14.7</v>
      </c>
      <c r="AL37" s="8"/>
      <c r="AM37" s="8"/>
      <c r="AN37" s="8"/>
    </row>
    <row r="38" spans="1:40" x14ac:dyDescent="0.3">
      <c r="A38" t="str">
        <f t="shared" si="8"/>
        <v>HH033</v>
      </c>
      <c r="B38" t="s">
        <v>63</v>
      </c>
      <c r="C38">
        <v>7</v>
      </c>
      <c r="D38" s="4">
        <v>30435</v>
      </c>
      <c r="E38" t="s">
        <v>69</v>
      </c>
      <c r="F38" s="4">
        <v>4535</v>
      </c>
      <c r="G38">
        <v>80</v>
      </c>
      <c r="H38">
        <v>1.7</v>
      </c>
      <c r="I38">
        <v>0.73915671895977086</v>
      </c>
      <c r="J38">
        <v>1</v>
      </c>
      <c r="M38" s="5"/>
      <c r="S38" s="4">
        <f t="shared" ref="S38:S69" si="9">IF($J38=1,D38,"")</f>
        <v>30435</v>
      </c>
      <c r="T38" s="4">
        <f t="shared" ref="T38:T69" si="10">IF($J238=0, D238,"")</f>
        <v>30304</v>
      </c>
      <c r="U38" s="4">
        <f t="shared" ref="U38:U69" si="11">IF($J38=1,F38,"")</f>
        <v>4535</v>
      </c>
      <c r="V38" s="4">
        <f t="shared" ref="V38:V69" si="12">IF($J238=0,F238,"")</f>
        <v>4779</v>
      </c>
      <c r="W38" s="4">
        <f t="shared" ref="W38:W69" si="13">IF($J38=1,G38,"")</f>
        <v>80</v>
      </c>
      <c r="X38">
        <f t="shared" ref="X38:X69" si="14">IF($J238=0,G238,"")</f>
        <v>88</v>
      </c>
      <c r="Y38">
        <f t="shared" ref="Y38:Y69" si="15">IF($J38=1,H38,"")</f>
        <v>1.7</v>
      </c>
      <c r="Z38">
        <f t="shared" ref="Z38:Z69" si="16">IF($J238=0,H238,"")</f>
        <v>7.4</v>
      </c>
    </row>
    <row r="39" spans="1:40" x14ac:dyDescent="0.3">
      <c r="A39" t="str">
        <f t="shared" si="8"/>
        <v>HH034</v>
      </c>
      <c r="B39" t="s">
        <v>63</v>
      </c>
      <c r="C39">
        <v>6</v>
      </c>
      <c r="D39" s="4">
        <v>28023</v>
      </c>
      <c r="E39" t="s">
        <v>69</v>
      </c>
      <c r="F39" s="4">
        <v>5131</v>
      </c>
      <c r="G39">
        <v>84</v>
      </c>
      <c r="H39">
        <v>3.1</v>
      </c>
      <c r="I39">
        <v>0.62383298487685557</v>
      </c>
      <c r="J39">
        <v>1</v>
      </c>
      <c r="M39" s="5"/>
      <c r="S39" s="4">
        <f t="shared" si="9"/>
        <v>28023</v>
      </c>
      <c r="T39" s="4">
        <f t="shared" si="10"/>
        <v>29894</v>
      </c>
      <c r="U39" s="4">
        <f t="shared" si="11"/>
        <v>5131</v>
      </c>
      <c r="V39" s="4">
        <f t="shared" si="12"/>
        <v>7143</v>
      </c>
      <c r="W39" s="4">
        <f t="shared" si="13"/>
        <v>84</v>
      </c>
      <c r="X39">
        <f t="shared" si="14"/>
        <v>111</v>
      </c>
      <c r="Y39">
        <f t="shared" si="15"/>
        <v>3.1</v>
      </c>
      <c r="Z39">
        <f t="shared" si="16"/>
        <v>8.9</v>
      </c>
    </row>
    <row r="40" spans="1:40" x14ac:dyDescent="0.3">
      <c r="A40" t="str">
        <f t="shared" si="8"/>
        <v>HH035</v>
      </c>
      <c r="B40" t="s">
        <v>64</v>
      </c>
      <c r="C40">
        <v>5</v>
      </c>
      <c r="D40" s="4">
        <v>26863</v>
      </c>
      <c r="E40" t="s">
        <v>67</v>
      </c>
      <c r="F40" s="4">
        <v>5034</v>
      </c>
      <c r="G40">
        <v>95</v>
      </c>
      <c r="H40">
        <v>8.1999999999999993</v>
      </c>
      <c r="I40">
        <v>0.37612967543882436</v>
      </c>
      <c r="J40">
        <v>1</v>
      </c>
      <c r="M40" s="5"/>
      <c r="S40" s="4">
        <f t="shared" si="9"/>
        <v>26863</v>
      </c>
      <c r="T40" s="4">
        <f t="shared" si="10"/>
        <v>23896</v>
      </c>
      <c r="U40" s="4">
        <f t="shared" si="11"/>
        <v>5034</v>
      </c>
      <c r="V40" s="4">
        <f t="shared" si="12"/>
        <v>2582</v>
      </c>
      <c r="W40" s="4">
        <f t="shared" si="13"/>
        <v>95</v>
      </c>
      <c r="X40">
        <f t="shared" si="14"/>
        <v>65</v>
      </c>
      <c r="Y40">
        <f t="shared" si="15"/>
        <v>8.1999999999999993</v>
      </c>
      <c r="Z40">
        <f t="shared" si="16"/>
        <v>12.3</v>
      </c>
    </row>
    <row r="41" spans="1:40" x14ac:dyDescent="0.3">
      <c r="A41" t="str">
        <f t="shared" si="8"/>
        <v>HH036</v>
      </c>
      <c r="B41" t="s">
        <v>64</v>
      </c>
      <c r="C41">
        <v>3</v>
      </c>
      <c r="D41" s="4">
        <v>30401</v>
      </c>
      <c r="E41" t="s">
        <v>67</v>
      </c>
      <c r="F41" s="4">
        <v>3498</v>
      </c>
      <c r="G41">
        <v>46</v>
      </c>
      <c r="H41">
        <v>12.9</v>
      </c>
      <c r="I41">
        <v>6.6232856032179654E-2</v>
      </c>
      <c r="J41">
        <v>1</v>
      </c>
      <c r="M41" s="5"/>
      <c r="S41" s="4">
        <f t="shared" si="9"/>
        <v>30401</v>
      </c>
      <c r="T41" s="4">
        <f t="shared" si="10"/>
        <v>27983</v>
      </c>
      <c r="U41" s="4">
        <f t="shared" si="11"/>
        <v>3498</v>
      </c>
      <c r="V41" s="4">
        <f t="shared" si="12"/>
        <v>3917</v>
      </c>
      <c r="W41" s="4">
        <f t="shared" si="13"/>
        <v>46</v>
      </c>
      <c r="X41">
        <f t="shared" si="14"/>
        <v>120</v>
      </c>
      <c r="Y41">
        <f t="shared" si="15"/>
        <v>12.9</v>
      </c>
      <c r="Z41">
        <f t="shared" si="16"/>
        <v>8.6</v>
      </c>
    </row>
    <row r="42" spans="1:40" x14ac:dyDescent="0.3">
      <c r="A42" t="str">
        <f t="shared" si="8"/>
        <v>HH037</v>
      </c>
      <c r="B42" t="s">
        <v>63</v>
      </c>
      <c r="C42">
        <v>8</v>
      </c>
      <c r="D42" s="4">
        <v>19742</v>
      </c>
      <c r="E42" t="s">
        <v>66</v>
      </c>
      <c r="F42" s="4">
        <v>6571</v>
      </c>
      <c r="G42">
        <v>109</v>
      </c>
      <c r="H42">
        <v>10.6</v>
      </c>
      <c r="I42">
        <v>5.3041104798580152E-3</v>
      </c>
      <c r="J42">
        <v>1</v>
      </c>
      <c r="M42" s="5"/>
      <c r="S42" s="4">
        <f t="shared" si="9"/>
        <v>19742</v>
      </c>
      <c r="T42" s="4">
        <f t="shared" si="10"/>
        <v>30714</v>
      </c>
      <c r="U42" s="4">
        <f t="shared" si="11"/>
        <v>6571</v>
      </c>
      <c r="V42" s="4">
        <f t="shared" si="12"/>
        <v>3373</v>
      </c>
      <c r="W42" s="4">
        <f t="shared" si="13"/>
        <v>109</v>
      </c>
      <c r="X42">
        <f t="shared" si="14"/>
        <v>92</v>
      </c>
      <c r="Y42">
        <f t="shared" si="15"/>
        <v>10.6</v>
      </c>
      <c r="Z42">
        <f t="shared" si="16"/>
        <v>14.1</v>
      </c>
    </row>
    <row r="43" spans="1:40" x14ac:dyDescent="0.3">
      <c r="A43" t="str">
        <f t="shared" si="8"/>
        <v>HH038</v>
      </c>
      <c r="B43" t="s">
        <v>65</v>
      </c>
      <c r="C43">
        <v>6</v>
      </c>
      <c r="D43" s="4">
        <v>18420</v>
      </c>
      <c r="E43" t="s">
        <v>67</v>
      </c>
      <c r="F43" s="4">
        <v>6112</v>
      </c>
      <c r="G43">
        <v>99</v>
      </c>
      <c r="H43">
        <v>14.1</v>
      </c>
      <c r="I43">
        <v>0.3554421458880842</v>
      </c>
      <c r="J43">
        <v>1</v>
      </c>
      <c r="M43" s="5"/>
      <c r="S43" s="4">
        <f t="shared" si="9"/>
        <v>18420</v>
      </c>
      <c r="T43" s="4">
        <f t="shared" si="10"/>
        <v>26646</v>
      </c>
      <c r="U43" s="4">
        <f t="shared" si="11"/>
        <v>6112</v>
      </c>
      <c r="V43" s="4">
        <f t="shared" si="12"/>
        <v>3043</v>
      </c>
      <c r="W43" s="4">
        <f t="shared" si="13"/>
        <v>99</v>
      </c>
      <c r="X43">
        <f t="shared" si="14"/>
        <v>59</v>
      </c>
      <c r="Y43">
        <f t="shared" si="15"/>
        <v>14.1</v>
      </c>
      <c r="Z43">
        <f t="shared" si="16"/>
        <v>8.5</v>
      </c>
    </row>
    <row r="44" spans="1:40" x14ac:dyDescent="0.3">
      <c r="A44" t="str">
        <f t="shared" si="8"/>
        <v>HH039</v>
      </c>
      <c r="B44" t="s">
        <v>62</v>
      </c>
      <c r="C44">
        <v>4</v>
      </c>
      <c r="D44" s="4">
        <v>37597</v>
      </c>
      <c r="E44" t="s">
        <v>67</v>
      </c>
      <c r="F44" s="4">
        <v>5313</v>
      </c>
      <c r="G44">
        <v>47</v>
      </c>
      <c r="H44">
        <v>13.6</v>
      </c>
      <c r="I44">
        <v>0.36082484545332449</v>
      </c>
      <c r="J44">
        <v>1</v>
      </c>
      <c r="M44" s="5"/>
      <c r="S44" s="4">
        <f t="shared" si="9"/>
        <v>37597</v>
      </c>
      <c r="T44" s="4">
        <f t="shared" si="10"/>
        <v>24515</v>
      </c>
      <c r="U44" s="4">
        <f t="shared" si="11"/>
        <v>5313</v>
      </c>
      <c r="V44" s="4">
        <f t="shared" si="12"/>
        <v>3476</v>
      </c>
      <c r="W44" s="4">
        <f t="shared" si="13"/>
        <v>47</v>
      </c>
      <c r="X44">
        <f t="shared" si="14"/>
        <v>19</v>
      </c>
      <c r="Y44">
        <f t="shared" si="15"/>
        <v>13.6</v>
      </c>
      <c r="Z44">
        <f t="shared" si="16"/>
        <v>8</v>
      </c>
    </row>
    <row r="45" spans="1:40" x14ac:dyDescent="0.3">
      <c r="A45" t="str">
        <f t="shared" si="8"/>
        <v>HH040</v>
      </c>
      <c r="B45" t="s">
        <v>65</v>
      </c>
      <c r="C45">
        <v>2</v>
      </c>
      <c r="D45" s="4">
        <v>43415</v>
      </c>
      <c r="E45" t="s">
        <v>66</v>
      </c>
      <c r="F45" s="4">
        <v>4688</v>
      </c>
      <c r="G45">
        <v>84</v>
      </c>
      <c r="H45">
        <v>13.9</v>
      </c>
      <c r="I45">
        <v>0.61865664403327902</v>
      </c>
      <c r="J45">
        <v>1</v>
      </c>
      <c r="M45" s="5"/>
      <c r="S45" s="4">
        <f t="shared" si="9"/>
        <v>43415</v>
      </c>
      <c r="T45" s="4">
        <f t="shared" si="10"/>
        <v>27375</v>
      </c>
      <c r="U45" s="4">
        <f t="shared" si="11"/>
        <v>4688</v>
      </c>
      <c r="V45" s="4">
        <f t="shared" si="12"/>
        <v>4816</v>
      </c>
      <c r="W45" s="4">
        <f t="shared" si="13"/>
        <v>84</v>
      </c>
      <c r="X45">
        <f t="shared" si="14"/>
        <v>110</v>
      </c>
      <c r="Y45">
        <f t="shared" si="15"/>
        <v>13.9</v>
      </c>
      <c r="Z45">
        <f t="shared" si="16"/>
        <v>2</v>
      </c>
    </row>
    <row r="46" spans="1:40" x14ac:dyDescent="0.3">
      <c r="A46" t="str">
        <f t="shared" si="8"/>
        <v>HH041</v>
      </c>
      <c r="B46" t="s">
        <v>64</v>
      </c>
      <c r="C46">
        <v>3</v>
      </c>
      <c r="D46" s="4">
        <v>28318</v>
      </c>
      <c r="E46" t="s">
        <v>67</v>
      </c>
      <c r="F46" s="4">
        <v>3966</v>
      </c>
      <c r="G46">
        <v>80</v>
      </c>
      <c r="H46">
        <v>2.2999999999999998</v>
      </c>
      <c r="I46">
        <v>0.39112475328172158</v>
      </c>
      <c r="J46">
        <v>1</v>
      </c>
      <c r="M46" s="5"/>
      <c r="S46" s="4">
        <f t="shared" si="9"/>
        <v>28318</v>
      </c>
      <c r="T46" s="4">
        <f t="shared" si="10"/>
        <v>27245</v>
      </c>
      <c r="U46" s="4">
        <f t="shared" si="11"/>
        <v>3966</v>
      </c>
      <c r="V46" s="4">
        <f t="shared" si="12"/>
        <v>5381</v>
      </c>
      <c r="W46" s="4">
        <f t="shared" si="13"/>
        <v>80</v>
      </c>
      <c r="X46">
        <f t="shared" si="14"/>
        <v>41</v>
      </c>
      <c r="Y46">
        <f t="shared" si="15"/>
        <v>2.2999999999999998</v>
      </c>
      <c r="Z46">
        <f t="shared" si="16"/>
        <v>4.9000000000000004</v>
      </c>
    </row>
    <row r="47" spans="1:40" x14ac:dyDescent="0.3">
      <c r="A47" t="str">
        <f t="shared" si="8"/>
        <v>HH042</v>
      </c>
      <c r="B47" t="s">
        <v>63</v>
      </c>
      <c r="C47">
        <v>7</v>
      </c>
      <c r="D47" s="4">
        <v>35952</v>
      </c>
      <c r="E47" t="s">
        <v>67</v>
      </c>
      <c r="F47" s="4">
        <v>5592</v>
      </c>
      <c r="G47">
        <v>47</v>
      </c>
      <c r="H47">
        <v>3.8</v>
      </c>
      <c r="I47">
        <v>0.92353040635284267</v>
      </c>
      <c r="J47">
        <v>1</v>
      </c>
      <c r="M47" s="5"/>
      <c r="S47" s="4">
        <f t="shared" si="9"/>
        <v>35952</v>
      </c>
      <c r="T47" s="4">
        <f t="shared" si="10"/>
        <v>19328</v>
      </c>
      <c r="U47" s="4">
        <f t="shared" si="11"/>
        <v>5592</v>
      </c>
      <c r="V47" s="4">
        <f t="shared" si="12"/>
        <v>4965</v>
      </c>
      <c r="W47" s="4">
        <f t="shared" si="13"/>
        <v>47</v>
      </c>
      <c r="X47">
        <f t="shared" si="14"/>
        <v>45</v>
      </c>
      <c r="Y47">
        <f t="shared" si="15"/>
        <v>3.8</v>
      </c>
      <c r="Z47">
        <f t="shared" si="16"/>
        <v>0.9</v>
      </c>
    </row>
    <row r="48" spans="1:40" x14ac:dyDescent="0.3">
      <c r="A48" t="str">
        <f t="shared" si="8"/>
        <v>HH043</v>
      </c>
      <c r="B48" t="s">
        <v>65</v>
      </c>
      <c r="C48">
        <v>8</v>
      </c>
      <c r="D48" s="4">
        <v>28027</v>
      </c>
      <c r="E48" t="s">
        <v>67</v>
      </c>
      <c r="F48" s="4">
        <v>6157</v>
      </c>
      <c r="G48">
        <v>39</v>
      </c>
      <c r="H48">
        <v>5.5</v>
      </c>
      <c r="I48">
        <v>0.62877575974585365</v>
      </c>
      <c r="J48">
        <v>1</v>
      </c>
      <c r="M48" s="5"/>
      <c r="S48" s="4">
        <f t="shared" si="9"/>
        <v>28027</v>
      </c>
      <c r="T48" s="4">
        <f t="shared" si="10"/>
        <v>15564</v>
      </c>
      <c r="U48" s="4">
        <f t="shared" si="11"/>
        <v>6157</v>
      </c>
      <c r="V48" s="4">
        <f t="shared" si="12"/>
        <v>3675</v>
      </c>
      <c r="W48" s="4">
        <f t="shared" si="13"/>
        <v>39</v>
      </c>
      <c r="X48">
        <f t="shared" si="14"/>
        <v>35</v>
      </c>
      <c r="Y48">
        <f t="shared" si="15"/>
        <v>5.5</v>
      </c>
      <c r="Z48">
        <f t="shared" si="16"/>
        <v>13.8</v>
      </c>
    </row>
    <row r="49" spans="1:26" x14ac:dyDescent="0.3">
      <c r="A49" t="str">
        <f t="shared" si="8"/>
        <v>HH044</v>
      </c>
      <c r="B49" t="s">
        <v>64</v>
      </c>
      <c r="C49">
        <v>8</v>
      </c>
      <c r="D49" s="4">
        <v>29168</v>
      </c>
      <c r="E49" t="s">
        <v>67</v>
      </c>
      <c r="F49" s="4">
        <v>6445</v>
      </c>
      <c r="G49">
        <v>74</v>
      </c>
      <c r="H49">
        <v>10.9</v>
      </c>
      <c r="I49">
        <v>0.34868983204242743</v>
      </c>
      <c r="J49">
        <v>1</v>
      </c>
      <c r="M49" s="5"/>
      <c r="S49" s="4">
        <f t="shared" si="9"/>
        <v>29168</v>
      </c>
      <c r="T49" s="4">
        <f t="shared" si="10"/>
        <v>42549</v>
      </c>
      <c r="U49" s="4">
        <f t="shared" si="11"/>
        <v>6445</v>
      </c>
      <c r="V49" s="4">
        <f t="shared" si="12"/>
        <v>5192</v>
      </c>
      <c r="W49" s="4">
        <f t="shared" si="13"/>
        <v>74</v>
      </c>
      <c r="X49">
        <f t="shared" si="14"/>
        <v>97</v>
      </c>
      <c r="Y49">
        <f t="shared" si="15"/>
        <v>10.9</v>
      </c>
      <c r="Z49">
        <f t="shared" si="16"/>
        <v>0.8</v>
      </c>
    </row>
    <row r="50" spans="1:26" x14ac:dyDescent="0.3">
      <c r="A50" t="str">
        <f t="shared" si="8"/>
        <v>HH045</v>
      </c>
      <c r="B50" t="s">
        <v>63</v>
      </c>
      <c r="C50">
        <v>7</v>
      </c>
      <c r="D50" s="4">
        <v>23926</v>
      </c>
      <c r="E50" t="s">
        <v>68</v>
      </c>
      <c r="F50" s="4">
        <v>5414</v>
      </c>
      <c r="G50">
        <v>96</v>
      </c>
      <c r="H50">
        <v>6.2</v>
      </c>
      <c r="I50">
        <v>0.73471644899829314</v>
      </c>
      <c r="J50">
        <v>1</v>
      </c>
      <c r="M50" s="5"/>
      <c r="S50" s="4">
        <f t="shared" si="9"/>
        <v>23926</v>
      </c>
      <c r="T50" s="4">
        <f t="shared" si="10"/>
        <v>31357</v>
      </c>
      <c r="U50" s="4">
        <f t="shared" si="11"/>
        <v>5414</v>
      </c>
      <c r="V50" s="4">
        <f t="shared" si="12"/>
        <v>6029</v>
      </c>
      <c r="W50" s="4">
        <f t="shared" si="13"/>
        <v>96</v>
      </c>
      <c r="X50">
        <f t="shared" si="14"/>
        <v>34</v>
      </c>
      <c r="Y50">
        <f t="shared" si="15"/>
        <v>6.2</v>
      </c>
      <c r="Z50">
        <f t="shared" si="16"/>
        <v>8.8000000000000007</v>
      </c>
    </row>
    <row r="51" spans="1:26" x14ac:dyDescent="0.3">
      <c r="A51" t="str">
        <f t="shared" si="8"/>
        <v>HH046</v>
      </c>
      <c r="B51" t="s">
        <v>63</v>
      </c>
      <c r="C51">
        <v>3</v>
      </c>
      <c r="D51" s="4">
        <v>26414</v>
      </c>
      <c r="E51" t="s">
        <v>68</v>
      </c>
      <c r="F51" s="4">
        <v>4421</v>
      </c>
      <c r="G51">
        <v>64</v>
      </c>
      <c r="H51">
        <v>13.1</v>
      </c>
      <c r="I51">
        <v>8.4978175242223064E-2</v>
      </c>
      <c r="J51">
        <v>1</v>
      </c>
      <c r="M51" s="5"/>
      <c r="S51" s="4">
        <f t="shared" si="9"/>
        <v>26414</v>
      </c>
      <c r="T51" s="4">
        <f t="shared" si="10"/>
        <v>34373</v>
      </c>
      <c r="U51" s="4">
        <f t="shared" si="11"/>
        <v>4421</v>
      </c>
      <c r="V51" s="4">
        <f t="shared" si="12"/>
        <v>3759</v>
      </c>
      <c r="W51" s="4">
        <f t="shared" si="13"/>
        <v>64</v>
      </c>
      <c r="X51">
        <f t="shared" si="14"/>
        <v>111</v>
      </c>
      <c r="Y51">
        <f t="shared" si="15"/>
        <v>13.1</v>
      </c>
      <c r="Z51">
        <f t="shared" si="16"/>
        <v>4.8</v>
      </c>
    </row>
    <row r="52" spans="1:26" x14ac:dyDescent="0.3">
      <c r="A52" t="str">
        <f t="shared" si="8"/>
        <v>HH047</v>
      </c>
      <c r="B52" t="s">
        <v>62</v>
      </c>
      <c r="C52">
        <v>4</v>
      </c>
      <c r="D52" s="4">
        <v>28132</v>
      </c>
      <c r="E52" t="s">
        <v>68</v>
      </c>
      <c r="F52" s="4">
        <v>3576</v>
      </c>
      <c r="G52">
        <v>98</v>
      </c>
      <c r="H52">
        <v>11</v>
      </c>
      <c r="I52">
        <v>0.35422668167309035</v>
      </c>
      <c r="J52">
        <v>1</v>
      </c>
      <c r="M52" s="5"/>
      <c r="S52" s="4">
        <f t="shared" si="9"/>
        <v>28132</v>
      </c>
      <c r="T52" s="4">
        <f t="shared" si="10"/>
        <v>32562</v>
      </c>
      <c r="U52" s="4">
        <f t="shared" si="11"/>
        <v>3576</v>
      </c>
      <c r="V52" s="4">
        <f t="shared" si="12"/>
        <v>3908</v>
      </c>
      <c r="W52" s="4">
        <f t="shared" si="13"/>
        <v>98</v>
      </c>
      <c r="X52">
        <f t="shared" si="14"/>
        <v>24</v>
      </c>
      <c r="Y52">
        <f t="shared" si="15"/>
        <v>11</v>
      </c>
      <c r="Z52">
        <f t="shared" si="16"/>
        <v>10.8</v>
      </c>
    </row>
    <row r="53" spans="1:26" x14ac:dyDescent="0.3">
      <c r="A53" t="str">
        <f t="shared" si="8"/>
        <v>HH048</v>
      </c>
      <c r="B53" t="s">
        <v>64</v>
      </c>
      <c r="C53">
        <v>3</v>
      </c>
      <c r="D53" s="4">
        <v>24212</v>
      </c>
      <c r="E53" t="s">
        <v>68</v>
      </c>
      <c r="F53" s="4">
        <v>3013</v>
      </c>
      <c r="G53">
        <v>85</v>
      </c>
      <c r="H53">
        <v>1.7</v>
      </c>
      <c r="I53">
        <v>0.17820947353911365</v>
      </c>
      <c r="J53">
        <v>1</v>
      </c>
      <c r="M53" s="5"/>
      <c r="S53" s="4">
        <f t="shared" si="9"/>
        <v>24212</v>
      </c>
      <c r="T53" s="4">
        <f t="shared" si="10"/>
        <v>23284</v>
      </c>
      <c r="U53" s="4">
        <f t="shared" si="11"/>
        <v>3013</v>
      </c>
      <c r="V53" s="4">
        <f t="shared" si="12"/>
        <v>5463</v>
      </c>
      <c r="W53" s="4">
        <f t="shared" si="13"/>
        <v>85</v>
      </c>
      <c r="X53">
        <f t="shared" si="14"/>
        <v>42</v>
      </c>
      <c r="Y53">
        <f t="shared" si="15"/>
        <v>1.7</v>
      </c>
      <c r="Z53">
        <f t="shared" si="16"/>
        <v>12.8</v>
      </c>
    </row>
    <row r="54" spans="1:26" x14ac:dyDescent="0.3">
      <c r="A54" t="str">
        <f t="shared" si="8"/>
        <v>HH049</v>
      </c>
      <c r="B54" t="s">
        <v>63</v>
      </c>
      <c r="C54">
        <v>3</v>
      </c>
      <c r="D54" s="4">
        <v>29418</v>
      </c>
      <c r="E54" t="s">
        <v>68</v>
      </c>
      <c r="F54" s="4">
        <v>3187</v>
      </c>
      <c r="G54">
        <v>76</v>
      </c>
      <c r="H54">
        <v>10.8</v>
      </c>
      <c r="I54">
        <v>0.79800845268814657</v>
      </c>
      <c r="J54">
        <v>1</v>
      </c>
      <c r="M54" s="5"/>
      <c r="S54" s="4">
        <f t="shared" si="9"/>
        <v>29418</v>
      </c>
      <c r="T54" s="4">
        <f t="shared" si="10"/>
        <v>30281</v>
      </c>
      <c r="U54" s="4">
        <f t="shared" si="11"/>
        <v>3187</v>
      </c>
      <c r="V54" s="4">
        <f t="shared" si="12"/>
        <v>5250</v>
      </c>
      <c r="W54" s="4">
        <f t="shared" si="13"/>
        <v>76</v>
      </c>
      <c r="X54">
        <f t="shared" si="14"/>
        <v>29</v>
      </c>
      <c r="Y54">
        <f t="shared" si="15"/>
        <v>10.8</v>
      </c>
      <c r="Z54">
        <f t="shared" si="16"/>
        <v>1.3</v>
      </c>
    </row>
    <row r="55" spans="1:26" x14ac:dyDescent="0.3">
      <c r="A55" t="str">
        <f t="shared" si="8"/>
        <v>HH050</v>
      </c>
      <c r="B55" t="s">
        <v>65</v>
      </c>
      <c r="C55">
        <v>6</v>
      </c>
      <c r="D55" s="4">
        <v>31194</v>
      </c>
      <c r="E55" t="s">
        <v>67</v>
      </c>
      <c r="F55" s="4">
        <v>4190</v>
      </c>
      <c r="G55">
        <v>17</v>
      </c>
      <c r="H55">
        <v>3.6</v>
      </c>
      <c r="I55">
        <v>0.36208686286568914</v>
      </c>
      <c r="J55">
        <v>1</v>
      </c>
      <c r="M55" s="5"/>
      <c r="S55" s="4">
        <f t="shared" si="9"/>
        <v>31194</v>
      </c>
      <c r="T55" s="4">
        <f t="shared" si="10"/>
        <v>27076</v>
      </c>
      <c r="U55" s="4">
        <f t="shared" si="11"/>
        <v>4190</v>
      </c>
      <c r="V55" s="4">
        <f t="shared" si="12"/>
        <v>4289</v>
      </c>
      <c r="W55" s="4">
        <f t="shared" si="13"/>
        <v>17</v>
      </c>
      <c r="X55">
        <f t="shared" si="14"/>
        <v>15</v>
      </c>
      <c r="Y55">
        <f t="shared" si="15"/>
        <v>3.6</v>
      </c>
      <c r="Z55">
        <f t="shared" si="16"/>
        <v>13.9</v>
      </c>
    </row>
    <row r="56" spans="1:26" x14ac:dyDescent="0.3">
      <c r="A56" t="str">
        <f t="shared" si="8"/>
        <v>HH051</v>
      </c>
      <c r="B56" t="s">
        <v>63</v>
      </c>
      <c r="C56">
        <v>8</v>
      </c>
      <c r="D56" s="4">
        <v>46070</v>
      </c>
      <c r="E56" t="s">
        <v>68</v>
      </c>
      <c r="F56" s="4">
        <v>5845</v>
      </c>
      <c r="G56">
        <v>50</v>
      </c>
      <c r="H56">
        <v>12.6</v>
      </c>
      <c r="I56">
        <v>0.99005488533062869</v>
      </c>
      <c r="J56">
        <v>1</v>
      </c>
      <c r="M56" s="5"/>
      <c r="S56" s="4">
        <f t="shared" si="9"/>
        <v>46070</v>
      </c>
      <c r="T56" s="4">
        <f t="shared" si="10"/>
        <v>30471</v>
      </c>
      <c r="U56" s="4">
        <f t="shared" si="11"/>
        <v>5845</v>
      </c>
      <c r="V56" s="4">
        <f t="shared" si="12"/>
        <v>5624</v>
      </c>
      <c r="W56" s="4">
        <f t="shared" si="13"/>
        <v>50</v>
      </c>
      <c r="X56">
        <f t="shared" si="14"/>
        <v>39</v>
      </c>
      <c r="Y56">
        <f t="shared" si="15"/>
        <v>12.6</v>
      </c>
      <c r="Z56">
        <f t="shared" si="16"/>
        <v>7.4</v>
      </c>
    </row>
    <row r="57" spans="1:26" x14ac:dyDescent="0.3">
      <c r="A57" t="str">
        <f t="shared" si="8"/>
        <v>HH052</v>
      </c>
      <c r="B57" t="s">
        <v>65</v>
      </c>
      <c r="C57">
        <v>6</v>
      </c>
      <c r="D57" s="4">
        <v>43132</v>
      </c>
      <c r="E57" t="s">
        <v>69</v>
      </c>
      <c r="F57" s="4">
        <v>5928</v>
      </c>
      <c r="G57">
        <v>118</v>
      </c>
      <c r="H57">
        <v>12.4</v>
      </c>
      <c r="I57">
        <v>0.82831597667626111</v>
      </c>
      <c r="J57">
        <v>1</v>
      </c>
      <c r="M57" s="5"/>
      <c r="S57" s="4">
        <f t="shared" si="9"/>
        <v>43132</v>
      </c>
      <c r="T57" s="4">
        <f t="shared" si="10"/>
        <v>30771</v>
      </c>
      <c r="U57" s="4">
        <f t="shared" si="11"/>
        <v>5928</v>
      </c>
      <c r="V57" s="4">
        <f t="shared" si="12"/>
        <v>3723</v>
      </c>
      <c r="W57" s="4">
        <f t="shared" si="13"/>
        <v>118</v>
      </c>
      <c r="X57">
        <f t="shared" si="14"/>
        <v>34</v>
      </c>
      <c r="Y57">
        <f t="shared" si="15"/>
        <v>12.4</v>
      </c>
      <c r="Z57">
        <f t="shared" si="16"/>
        <v>2.9</v>
      </c>
    </row>
    <row r="58" spans="1:26" x14ac:dyDescent="0.3">
      <c r="A58" t="str">
        <f t="shared" si="8"/>
        <v>HH053</v>
      </c>
      <c r="B58" t="s">
        <v>62</v>
      </c>
      <c r="C58">
        <v>5</v>
      </c>
      <c r="D58" s="4">
        <v>26959</v>
      </c>
      <c r="E58" t="s">
        <v>69</v>
      </c>
      <c r="F58" s="4">
        <v>4259</v>
      </c>
      <c r="G58">
        <v>17</v>
      </c>
      <c r="H58">
        <v>14.3</v>
      </c>
      <c r="I58">
        <v>0.74639450960952336</v>
      </c>
      <c r="J58">
        <v>1</v>
      </c>
      <c r="M58" s="5"/>
      <c r="S58" s="4">
        <f t="shared" si="9"/>
        <v>26959</v>
      </c>
      <c r="T58" s="4">
        <f t="shared" si="10"/>
        <v>30406</v>
      </c>
      <c r="U58" s="4">
        <f t="shared" si="11"/>
        <v>4259</v>
      </c>
      <c r="V58" s="4">
        <f t="shared" si="12"/>
        <v>4369</v>
      </c>
      <c r="W58" s="4">
        <f t="shared" si="13"/>
        <v>17</v>
      </c>
      <c r="X58">
        <f t="shared" si="14"/>
        <v>97</v>
      </c>
      <c r="Y58">
        <f t="shared" si="15"/>
        <v>14.3</v>
      </c>
      <c r="Z58">
        <f t="shared" si="16"/>
        <v>0.5</v>
      </c>
    </row>
    <row r="59" spans="1:26" x14ac:dyDescent="0.3">
      <c r="A59" t="str">
        <f t="shared" si="8"/>
        <v>HH054</v>
      </c>
      <c r="B59" t="s">
        <v>65</v>
      </c>
      <c r="C59">
        <v>2</v>
      </c>
      <c r="D59" s="4">
        <v>31159</v>
      </c>
      <c r="E59" t="s">
        <v>66</v>
      </c>
      <c r="F59" s="4">
        <v>4690</v>
      </c>
      <c r="G59">
        <v>37</v>
      </c>
      <c r="H59">
        <v>11.3</v>
      </c>
      <c r="I59">
        <v>0.63634051764954747</v>
      </c>
      <c r="J59">
        <v>1</v>
      </c>
      <c r="M59" s="5"/>
      <c r="S59" s="4">
        <f t="shared" si="9"/>
        <v>31159</v>
      </c>
      <c r="T59" s="4">
        <f t="shared" si="10"/>
        <v>20753</v>
      </c>
      <c r="U59" s="4">
        <f t="shared" si="11"/>
        <v>4690</v>
      </c>
      <c r="V59" s="4">
        <f t="shared" si="12"/>
        <v>5538</v>
      </c>
      <c r="W59" s="4">
        <f t="shared" si="13"/>
        <v>37</v>
      </c>
      <c r="X59">
        <f t="shared" si="14"/>
        <v>106</v>
      </c>
      <c r="Y59">
        <f t="shared" si="15"/>
        <v>11.3</v>
      </c>
      <c r="Z59">
        <f t="shared" si="16"/>
        <v>11.1</v>
      </c>
    </row>
    <row r="60" spans="1:26" x14ac:dyDescent="0.3">
      <c r="A60" t="str">
        <f t="shared" si="8"/>
        <v>HH055</v>
      </c>
      <c r="B60" t="s">
        <v>63</v>
      </c>
      <c r="C60">
        <v>2</v>
      </c>
      <c r="D60" s="4">
        <v>23657</v>
      </c>
      <c r="E60" t="s">
        <v>68</v>
      </c>
      <c r="F60" s="4">
        <v>2641</v>
      </c>
      <c r="G60">
        <v>55</v>
      </c>
      <c r="H60">
        <v>14.2</v>
      </c>
      <c r="I60">
        <v>0.11958014662438876</v>
      </c>
      <c r="J60">
        <v>1</v>
      </c>
      <c r="M60" s="5"/>
      <c r="S60" s="4">
        <f t="shared" si="9"/>
        <v>23657</v>
      </c>
      <c r="T60" s="4">
        <f t="shared" si="10"/>
        <v>22652</v>
      </c>
      <c r="U60" s="4">
        <f t="shared" si="11"/>
        <v>2641</v>
      </c>
      <c r="V60" s="4">
        <f t="shared" si="12"/>
        <v>4832</v>
      </c>
      <c r="W60" s="4">
        <f t="shared" si="13"/>
        <v>55</v>
      </c>
      <c r="X60">
        <f t="shared" si="14"/>
        <v>26</v>
      </c>
      <c r="Y60">
        <f t="shared" si="15"/>
        <v>14.2</v>
      </c>
      <c r="Z60">
        <f t="shared" si="16"/>
        <v>2.5</v>
      </c>
    </row>
    <row r="61" spans="1:26" x14ac:dyDescent="0.3">
      <c r="A61" t="str">
        <f t="shared" si="8"/>
        <v>HH056</v>
      </c>
      <c r="B61" t="s">
        <v>63</v>
      </c>
      <c r="C61">
        <v>7</v>
      </c>
      <c r="D61" s="4">
        <v>29985</v>
      </c>
      <c r="E61" t="s">
        <v>68</v>
      </c>
      <c r="F61" s="4">
        <v>4499</v>
      </c>
      <c r="G61">
        <v>45</v>
      </c>
      <c r="H61">
        <v>7.1</v>
      </c>
      <c r="I61">
        <v>0.30566444599829867</v>
      </c>
      <c r="J61">
        <v>1</v>
      </c>
      <c r="M61" s="5"/>
      <c r="S61" s="4">
        <f t="shared" si="9"/>
        <v>29985</v>
      </c>
      <c r="T61" s="4">
        <f t="shared" si="10"/>
        <v>30415</v>
      </c>
      <c r="U61" s="4">
        <f t="shared" si="11"/>
        <v>4499</v>
      </c>
      <c r="V61" s="4">
        <f t="shared" si="12"/>
        <v>4319</v>
      </c>
      <c r="W61" s="4">
        <f t="shared" si="13"/>
        <v>45</v>
      </c>
      <c r="X61">
        <f t="shared" si="14"/>
        <v>91</v>
      </c>
      <c r="Y61">
        <f t="shared" si="15"/>
        <v>7.1</v>
      </c>
      <c r="Z61">
        <f t="shared" si="16"/>
        <v>3.3</v>
      </c>
    </row>
    <row r="62" spans="1:26" x14ac:dyDescent="0.3">
      <c r="A62" t="str">
        <f t="shared" si="8"/>
        <v>HH057</v>
      </c>
      <c r="B62" t="s">
        <v>62</v>
      </c>
      <c r="C62">
        <v>8</v>
      </c>
      <c r="D62" s="4">
        <v>27990</v>
      </c>
      <c r="E62" t="s">
        <v>66</v>
      </c>
      <c r="F62" s="4">
        <v>6195</v>
      </c>
      <c r="G62">
        <v>46</v>
      </c>
      <c r="H62">
        <v>3.3</v>
      </c>
      <c r="I62">
        <v>0.89049115512859478</v>
      </c>
      <c r="J62">
        <v>1</v>
      </c>
      <c r="M62" s="5"/>
      <c r="S62" s="4">
        <f t="shared" si="9"/>
        <v>27990</v>
      </c>
      <c r="T62" s="4">
        <f t="shared" si="10"/>
        <v>36906</v>
      </c>
      <c r="U62" s="4">
        <f t="shared" si="11"/>
        <v>6195</v>
      </c>
      <c r="V62" s="4">
        <f t="shared" si="12"/>
        <v>4259</v>
      </c>
      <c r="W62" s="4">
        <f t="shared" si="13"/>
        <v>46</v>
      </c>
      <c r="X62">
        <f t="shared" si="14"/>
        <v>88</v>
      </c>
      <c r="Y62">
        <f t="shared" si="15"/>
        <v>3.3</v>
      </c>
      <c r="Z62">
        <f t="shared" si="16"/>
        <v>8</v>
      </c>
    </row>
    <row r="63" spans="1:26" x14ac:dyDescent="0.3">
      <c r="A63" t="str">
        <f t="shared" si="8"/>
        <v>HH058</v>
      </c>
      <c r="B63" t="s">
        <v>65</v>
      </c>
      <c r="C63">
        <v>2</v>
      </c>
      <c r="D63" s="4">
        <v>36849</v>
      </c>
      <c r="E63" t="s">
        <v>67</v>
      </c>
      <c r="F63" s="4">
        <v>4257</v>
      </c>
      <c r="G63">
        <v>107</v>
      </c>
      <c r="H63">
        <v>4.4000000000000004</v>
      </c>
      <c r="I63">
        <v>0.87683929874933819</v>
      </c>
      <c r="J63">
        <v>1</v>
      </c>
      <c r="M63" s="5"/>
      <c r="S63" s="4">
        <f t="shared" si="9"/>
        <v>36849</v>
      </c>
      <c r="T63" s="4">
        <f t="shared" si="10"/>
        <v>18184</v>
      </c>
      <c r="U63" s="4">
        <f t="shared" si="11"/>
        <v>4257</v>
      </c>
      <c r="V63" s="4">
        <f t="shared" si="12"/>
        <v>6262</v>
      </c>
      <c r="W63" s="4">
        <f t="shared" si="13"/>
        <v>107</v>
      </c>
      <c r="X63">
        <f t="shared" si="14"/>
        <v>115</v>
      </c>
      <c r="Y63">
        <f t="shared" si="15"/>
        <v>4.4000000000000004</v>
      </c>
      <c r="Z63">
        <f t="shared" si="16"/>
        <v>5.5</v>
      </c>
    </row>
    <row r="64" spans="1:26" x14ac:dyDescent="0.3">
      <c r="A64" t="str">
        <f t="shared" si="8"/>
        <v>HH059</v>
      </c>
      <c r="B64" t="s">
        <v>62</v>
      </c>
      <c r="C64">
        <v>5</v>
      </c>
      <c r="D64" s="4">
        <v>19933</v>
      </c>
      <c r="E64" t="s">
        <v>68</v>
      </c>
      <c r="F64" s="4">
        <v>5299</v>
      </c>
      <c r="G64">
        <v>113</v>
      </c>
      <c r="H64">
        <v>7.8</v>
      </c>
      <c r="I64">
        <v>0.5892561793759179</v>
      </c>
      <c r="J64">
        <v>1</v>
      </c>
      <c r="M64" s="5"/>
      <c r="S64" s="4">
        <f t="shared" si="9"/>
        <v>19933</v>
      </c>
      <c r="T64" s="4">
        <f t="shared" si="10"/>
        <v>29131</v>
      </c>
      <c r="U64" s="4">
        <f t="shared" si="11"/>
        <v>5299</v>
      </c>
      <c r="V64" s="4">
        <f t="shared" si="12"/>
        <v>5997</v>
      </c>
      <c r="W64" s="4">
        <f t="shared" si="13"/>
        <v>113</v>
      </c>
      <c r="X64">
        <f t="shared" si="14"/>
        <v>23</v>
      </c>
      <c r="Y64">
        <f t="shared" si="15"/>
        <v>7.8</v>
      </c>
      <c r="Z64">
        <f t="shared" si="16"/>
        <v>8.6</v>
      </c>
    </row>
    <row r="65" spans="1:26" x14ac:dyDescent="0.3">
      <c r="A65" t="str">
        <f t="shared" si="8"/>
        <v>HH060</v>
      </c>
      <c r="B65" t="s">
        <v>65</v>
      </c>
      <c r="C65">
        <v>8</v>
      </c>
      <c r="D65" s="4">
        <v>25072</v>
      </c>
      <c r="E65" t="s">
        <v>67</v>
      </c>
      <c r="F65" s="4">
        <v>7121</v>
      </c>
      <c r="G65">
        <v>101</v>
      </c>
      <c r="H65">
        <v>2.4</v>
      </c>
      <c r="I65">
        <v>0.82118100808922712</v>
      </c>
      <c r="J65">
        <v>1</v>
      </c>
      <c r="M65" s="5"/>
      <c r="S65" s="4">
        <f t="shared" si="9"/>
        <v>25072</v>
      </c>
      <c r="T65" s="4">
        <f t="shared" si="10"/>
        <v>40275</v>
      </c>
      <c r="U65" s="4">
        <f t="shared" si="11"/>
        <v>7121</v>
      </c>
      <c r="V65" s="4">
        <f t="shared" si="12"/>
        <v>5023</v>
      </c>
      <c r="W65" s="4">
        <f t="shared" si="13"/>
        <v>101</v>
      </c>
      <c r="X65">
        <f t="shared" si="14"/>
        <v>86</v>
      </c>
      <c r="Y65">
        <f t="shared" si="15"/>
        <v>2.4</v>
      </c>
      <c r="Z65">
        <f t="shared" si="16"/>
        <v>13.4</v>
      </c>
    </row>
    <row r="66" spans="1:26" x14ac:dyDescent="0.3">
      <c r="A66" t="str">
        <f t="shared" si="8"/>
        <v>HH061</v>
      </c>
      <c r="B66" t="s">
        <v>65</v>
      </c>
      <c r="C66">
        <v>3</v>
      </c>
      <c r="D66" s="4">
        <v>44572</v>
      </c>
      <c r="E66" t="s">
        <v>68</v>
      </c>
      <c r="F66" s="4">
        <v>4082</v>
      </c>
      <c r="G66">
        <v>53</v>
      </c>
      <c r="H66">
        <v>13.4</v>
      </c>
      <c r="I66">
        <v>0.66381046987432324</v>
      </c>
      <c r="J66">
        <v>1</v>
      </c>
      <c r="M66" s="5"/>
      <c r="S66" s="4">
        <f t="shared" si="9"/>
        <v>44572</v>
      </c>
      <c r="T66" s="4">
        <f t="shared" si="10"/>
        <v>32073</v>
      </c>
      <c r="U66" s="4">
        <f t="shared" si="11"/>
        <v>4082</v>
      </c>
      <c r="V66" s="4">
        <f t="shared" si="12"/>
        <v>4350</v>
      </c>
      <c r="W66" s="4">
        <f t="shared" si="13"/>
        <v>53</v>
      </c>
      <c r="X66">
        <f t="shared" si="14"/>
        <v>22</v>
      </c>
      <c r="Y66">
        <f t="shared" si="15"/>
        <v>13.4</v>
      </c>
      <c r="Z66">
        <f t="shared" si="16"/>
        <v>2.2999999999999998</v>
      </c>
    </row>
    <row r="67" spans="1:26" x14ac:dyDescent="0.3">
      <c r="A67" t="str">
        <f t="shared" si="8"/>
        <v>HH062</v>
      </c>
      <c r="B67" t="s">
        <v>65</v>
      </c>
      <c r="C67">
        <v>3</v>
      </c>
      <c r="D67" s="4">
        <v>24789</v>
      </c>
      <c r="E67" t="s">
        <v>67</v>
      </c>
      <c r="F67" s="4">
        <v>4053</v>
      </c>
      <c r="G67">
        <v>102</v>
      </c>
      <c r="H67">
        <v>14.4</v>
      </c>
      <c r="I67">
        <v>0.72289444846711326</v>
      </c>
      <c r="J67">
        <v>1</v>
      </c>
      <c r="M67" s="5"/>
      <c r="S67" s="4">
        <f t="shared" si="9"/>
        <v>24789</v>
      </c>
      <c r="T67" s="4">
        <f t="shared" si="10"/>
        <v>16786</v>
      </c>
      <c r="U67" s="4">
        <f t="shared" si="11"/>
        <v>4053</v>
      </c>
      <c r="V67" s="4">
        <f t="shared" si="12"/>
        <v>3751</v>
      </c>
      <c r="W67" s="4">
        <f t="shared" si="13"/>
        <v>102</v>
      </c>
      <c r="X67">
        <f t="shared" si="14"/>
        <v>114</v>
      </c>
      <c r="Y67">
        <f t="shared" si="15"/>
        <v>14.4</v>
      </c>
      <c r="Z67">
        <f t="shared" si="16"/>
        <v>10.3</v>
      </c>
    </row>
    <row r="68" spans="1:26" x14ac:dyDescent="0.3">
      <c r="A68" t="str">
        <f t="shared" si="8"/>
        <v>HH063</v>
      </c>
      <c r="B68" t="s">
        <v>62</v>
      </c>
      <c r="C68">
        <v>4</v>
      </c>
      <c r="D68" s="4">
        <v>27269</v>
      </c>
      <c r="E68" t="s">
        <v>68</v>
      </c>
      <c r="F68" s="4">
        <v>5306</v>
      </c>
      <c r="G68">
        <v>76</v>
      </c>
      <c r="H68">
        <v>11.3</v>
      </c>
      <c r="I68">
        <v>0.87998554787099093</v>
      </c>
      <c r="J68">
        <v>1</v>
      </c>
      <c r="M68" s="5"/>
      <c r="S68" s="4">
        <f t="shared" si="9"/>
        <v>27269</v>
      </c>
      <c r="T68" s="4">
        <f t="shared" si="10"/>
        <v>36348</v>
      </c>
      <c r="U68" s="4">
        <f t="shared" si="11"/>
        <v>5306</v>
      </c>
      <c r="V68" s="4">
        <f t="shared" si="12"/>
        <v>5003</v>
      </c>
      <c r="W68" s="4">
        <f t="shared" si="13"/>
        <v>76</v>
      </c>
      <c r="X68">
        <f t="shared" si="14"/>
        <v>111</v>
      </c>
      <c r="Y68">
        <f t="shared" si="15"/>
        <v>11.3</v>
      </c>
      <c r="Z68">
        <f t="shared" si="16"/>
        <v>4.2</v>
      </c>
    </row>
    <row r="69" spans="1:26" x14ac:dyDescent="0.3">
      <c r="A69" t="str">
        <f t="shared" si="8"/>
        <v>HH064</v>
      </c>
      <c r="B69" t="s">
        <v>62</v>
      </c>
      <c r="C69">
        <v>3</v>
      </c>
      <c r="D69" s="4">
        <v>28381</v>
      </c>
      <c r="E69" t="s">
        <v>67</v>
      </c>
      <c r="F69" s="4">
        <v>4065</v>
      </c>
      <c r="G69">
        <v>116</v>
      </c>
      <c r="H69">
        <v>14.2</v>
      </c>
      <c r="I69">
        <v>0.7808308067803742</v>
      </c>
      <c r="J69">
        <v>1</v>
      </c>
      <c r="M69" s="5"/>
      <c r="S69" s="4">
        <f t="shared" si="9"/>
        <v>28381</v>
      </c>
      <c r="T69" s="4">
        <f t="shared" si="10"/>
        <v>31536</v>
      </c>
      <c r="U69" s="4">
        <f t="shared" si="11"/>
        <v>4065</v>
      </c>
      <c r="V69" s="4">
        <f t="shared" si="12"/>
        <v>3997</v>
      </c>
      <c r="W69" s="4">
        <f t="shared" si="13"/>
        <v>116</v>
      </c>
      <c r="X69">
        <f t="shared" si="14"/>
        <v>64</v>
      </c>
      <c r="Y69">
        <f t="shared" si="15"/>
        <v>14.2</v>
      </c>
      <c r="Z69">
        <f t="shared" si="16"/>
        <v>13.7</v>
      </c>
    </row>
    <row r="70" spans="1:26" x14ac:dyDescent="0.3">
      <c r="A70" t="str">
        <f t="shared" si="8"/>
        <v>HH065</v>
      </c>
      <c r="B70" t="s">
        <v>65</v>
      </c>
      <c r="C70">
        <v>6</v>
      </c>
      <c r="D70" s="4">
        <v>34512</v>
      </c>
      <c r="E70" t="s">
        <v>67</v>
      </c>
      <c r="F70" s="4">
        <v>6031</v>
      </c>
      <c r="G70">
        <v>94</v>
      </c>
      <c r="H70">
        <v>6.9</v>
      </c>
      <c r="I70">
        <v>0.48781566453411562</v>
      </c>
      <c r="J70">
        <v>1</v>
      </c>
      <c r="M70" s="5"/>
      <c r="S70" s="4">
        <f t="shared" ref="S70:S101" si="17">IF($J70=1,D70,"")</f>
        <v>34512</v>
      </c>
      <c r="T70" s="4">
        <f t="shared" ref="T70:T101" si="18">IF($J270=0, D270,"")</f>
        <v>21769</v>
      </c>
      <c r="U70" s="4">
        <f t="shared" ref="U70:U101" si="19">IF($J70=1,F70,"")</f>
        <v>6031</v>
      </c>
      <c r="V70" s="4">
        <f t="shared" ref="V70:V101" si="20">IF($J270=0,F270,"")</f>
        <v>6131</v>
      </c>
      <c r="W70" s="4">
        <f t="shared" ref="W70:W101" si="21">IF($J70=1,G70,"")</f>
        <v>94</v>
      </c>
      <c r="X70">
        <f t="shared" ref="X70:X101" si="22">IF($J270=0,G270,"")</f>
        <v>38</v>
      </c>
      <c r="Y70">
        <f t="shared" ref="Y70:Y101" si="23">IF($J70=1,H70,"")</f>
        <v>6.9</v>
      </c>
      <c r="Z70">
        <f t="shared" ref="Z70:Z101" si="24">IF($J270=0,H270,"")</f>
        <v>3.6</v>
      </c>
    </row>
    <row r="71" spans="1:26" x14ac:dyDescent="0.3">
      <c r="A71" t="str">
        <f t="shared" ref="A71:A134" si="25">"HH"&amp;TEXT(ROW()-5,"000")</f>
        <v>HH066</v>
      </c>
      <c r="B71" t="s">
        <v>63</v>
      </c>
      <c r="C71">
        <v>8</v>
      </c>
      <c r="D71" s="4">
        <v>31381</v>
      </c>
      <c r="E71" t="s">
        <v>67</v>
      </c>
      <c r="F71" s="4">
        <v>6352</v>
      </c>
      <c r="G71">
        <v>33</v>
      </c>
      <c r="H71">
        <v>10</v>
      </c>
      <c r="I71">
        <v>0.40326818793662311</v>
      </c>
      <c r="J71">
        <v>1</v>
      </c>
      <c r="M71" s="5"/>
      <c r="S71" s="4">
        <f t="shared" si="17"/>
        <v>31381</v>
      </c>
      <c r="T71" s="4">
        <f t="shared" si="18"/>
        <v>34621</v>
      </c>
      <c r="U71" s="4">
        <f t="shared" si="19"/>
        <v>6352</v>
      </c>
      <c r="V71" s="4">
        <f t="shared" si="20"/>
        <v>4173</v>
      </c>
      <c r="W71" s="4">
        <f t="shared" si="21"/>
        <v>33</v>
      </c>
      <c r="X71">
        <f t="shared" si="22"/>
        <v>21</v>
      </c>
      <c r="Y71">
        <f t="shared" si="23"/>
        <v>10</v>
      </c>
      <c r="Z71">
        <f t="shared" si="24"/>
        <v>6</v>
      </c>
    </row>
    <row r="72" spans="1:26" x14ac:dyDescent="0.3">
      <c r="A72" t="str">
        <f t="shared" si="25"/>
        <v>HH067</v>
      </c>
      <c r="B72" t="s">
        <v>65</v>
      </c>
      <c r="C72">
        <v>2</v>
      </c>
      <c r="D72" s="4">
        <v>21730</v>
      </c>
      <c r="E72" t="s">
        <v>68</v>
      </c>
      <c r="F72" s="4">
        <v>3155</v>
      </c>
      <c r="G72">
        <v>68</v>
      </c>
      <c r="H72">
        <v>9</v>
      </c>
      <c r="I72">
        <v>0.77711690906503261</v>
      </c>
      <c r="J72">
        <v>1</v>
      </c>
      <c r="M72" s="5"/>
      <c r="S72" s="4">
        <f t="shared" si="17"/>
        <v>21730</v>
      </c>
      <c r="T72" s="4">
        <f t="shared" si="18"/>
        <v>38972</v>
      </c>
      <c r="U72" s="4">
        <f t="shared" si="19"/>
        <v>3155</v>
      </c>
      <c r="V72" s="4">
        <f t="shared" si="20"/>
        <v>5117</v>
      </c>
      <c r="W72" s="4">
        <f t="shared" si="21"/>
        <v>68</v>
      </c>
      <c r="X72">
        <f t="shared" si="22"/>
        <v>73</v>
      </c>
      <c r="Y72">
        <f t="shared" si="23"/>
        <v>9</v>
      </c>
      <c r="Z72">
        <f t="shared" si="24"/>
        <v>3.5</v>
      </c>
    </row>
    <row r="73" spans="1:26" x14ac:dyDescent="0.3">
      <c r="A73" t="str">
        <f t="shared" si="25"/>
        <v>HH068</v>
      </c>
      <c r="B73" t="s">
        <v>65</v>
      </c>
      <c r="C73">
        <v>2</v>
      </c>
      <c r="D73" s="4">
        <v>33903</v>
      </c>
      <c r="E73" t="s">
        <v>68</v>
      </c>
      <c r="F73" s="4">
        <v>2919</v>
      </c>
      <c r="G73">
        <v>27</v>
      </c>
      <c r="H73">
        <v>7.1</v>
      </c>
      <c r="I73">
        <v>0.33530797538567858</v>
      </c>
      <c r="J73">
        <v>1</v>
      </c>
      <c r="M73" s="5"/>
      <c r="S73" s="4">
        <f t="shared" si="17"/>
        <v>33903</v>
      </c>
      <c r="T73" s="4">
        <f t="shared" si="18"/>
        <v>39253</v>
      </c>
      <c r="U73" s="4">
        <f t="shared" si="19"/>
        <v>2919</v>
      </c>
      <c r="V73" s="4">
        <f t="shared" si="20"/>
        <v>4306</v>
      </c>
      <c r="W73" s="4">
        <f t="shared" si="21"/>
        <v>27</v>
      </c>
      <c r="X73">
        <f t="shared" si="22"/>
        <v>43</v>
      </c>
      <c r="Y73">
        <f t="shared" si="23"/>
        <v>7.1</v>
      </c>
      <c r="Z73">
        <f t="shared" si="24"/>
        <v>7.7</v>
      </c>
    </row>
    <row r="74" spans="1:26" x14ac:dyDescent="0.3">
      <c r="A74" t="str">
        <f t="shared" si="25"/>
        <v>HH069</v>
      </c>
      <c r="B74" t="s">
        <v>62</v>
      </c>
      <c r="C74">
        <v>8</v>
      </c>
      <c r="D74" s="4">
        <v>25026</v>
      </c>
      <c r="E74" t="s">
        <v>68</v>
      </c>
      <c r="F74" s="4">
        <v>6299</v>
      </c>
      <c r="G74">
        <v>118</v>
      </c>
      <c r="H74">
        <v>4.8</v>
      </c>
      <c r="I74">
        <v>0.45526631698255626</v>
      </c>
      <c r="J74">
        <v>1</v>
      </c>
      <c r="M74" s="5"/>
      <c r="S74" s="4">
        <f t="shared" si="17"/>
        <v>25026</v>
      </c>
      <c r="T74" s="4">
        <f t="shared" si="18"/>
        <v>32647</v>
      </c>
      <c r="U74" s="4">
        <f t="shared" si="19"/>
        <v>6299</v>
      </c>
      <c r="V74" s="4">
        <f t="shared" si="20"/>
        <v>6784</v>
      </c>
      <c r="W74" s="4">
        <f t="shared" si="21"/>
        <v>118</v>
      </c>
      <c r="X74">
        <f t="shared" si="22"/>
        <v>120</v>
      </c>
      <c r="Y74">
        <f t="shared" si="23"/>
        <v>4.8</v>
      </c>
      <c r="Z74">
        <f t="shared" si="24"/>
        <v>4</v>
      </c>
    </row>
    <row r="75" spans="1:26" x14ac:dyDescent="0.3">
      <c r="A75" t="str">
        <f t="shared" si="25"/>
        <v>HH070</v>
      </c>
      <c r="B75" t="s">
        <v>65</v>
      </c>
      <c r="C75">
        <v>8</v>
      </c>
      <c r="D75" s="4">
        <v>17446</v>
      </c>
      <c r="E75" t="s">
        <v>68</v>
      </c>
      <c r="F75" s="4">
        <v>5035</v>
      </c>
      <c r="G75">
        <v>58</v>
      </c>
      <c r="H75">
        <v>10.4</v>
      </c>
      <c r="I75">
        <v>0.38203166765030372</v>
      </c>
      <c r="J75">
        <v>1</v>
      </c>
      <c r="M75" s="5"/>
      <c r="S75" s="4">
        <f t="shared" si="17"/>
        <v>17446</v>
      </c>
      <c r="T75" s="4">
        <f t="shared" si="18"/>
        <v>20536</v>
      </c>
      <c r="U75" s="4">
        <f t="shared" si="19"/>
        <v>5035</v>
      </c>
      <c r="V75" s="4">
        <f t="shared" si="20"/>
        <v>6213</v>
      </c>
      <c r="W75" s="4">
        <f t="shared" si="21"/>
        <v>58</v>
      </c>
      <c r="X75">
        <f t="shared" si="22"/>
        <v>103</v>
      </c>
      <c r="Y75">
        <f t="shared" si="23"/>
        <v>10.4</v>
      </c>
      <c r="Z75">
        <f t="shared" si="24"/>
        <v>10.199999999999999</v>
      </c>
    </row>
    <row r="76" spans="1:26" x14ac:dyDescent="0.3">
      <c r="A76" t="str">
        <f t="shared" si="25"/>
        <v>HH071</v>
      </c>
      <c r="B76" t="s">
        <v>65</v>
      </c>
      <c r="C76">
        <v>5</v>
      </c>
      <c r="D76" s="4">
        <v>16199</v>
      </c>
      <c r="E76" t="s">
        <v>68</v>
      </c>
      <c r="F76" s="4">
        <v>5259</v>
      </c>
      <c r="G76">
        <v>108</v>
      </c>
      <c r="H76">
        <v>0.8</v>
      </c>
      <c r="I76">
        <v>0.92844022984038932</v>
      </c>
      <c r="J76">
        <v>1</v>
      </c>
      <c r="M76" s="5"/>
      <c r="S76" s="4">
        <f t="shared" si="17"/>
        <v>16199</v>
      </c>
      <c r="T76" s="4">
        <f t="shared" si="18"/>
        <v>30399</v>
      </c>
      <c r="U76" s="4">
        <f t="shared" si="19"/>
        <v>5259</v>
      </c>
      <c r="V76" s="4">
        <f t="shared" si="20"/>
        <v>4678</v>
      </c>
      <c r="W76" s="4">
        <f t="shared" si="21"/>
        <v>108</v>
      </c>
      <c r="X76">
        <f t="shared" si="22"/>
        <v>74</v>
      </c>
      <c r="Y76">
        <f t="shared" si="23"/>
        <v>0.8</v>
      </c>
      <c r="Z76">
        <f t="shared" si="24"/>
        <v>0.5</v>
      </c>
    </row>
    <row r="77" spans="1:26" x14ac:dyDescent="0.3">
      <c r="A77" t="str">
        <f t="shared" si="25"/>
        <v>HH072</v>
      </c>
      <c r="B77" t="s">
        <v>65</v>
      </c>
      <c r="C77">
        <v>5</v>
      </c>
      <c r="D77" s="4">
        <v>17048</v>
      </c>
      <c r="E77" t="s">
        <v>67</v>
      </c>
      <c r="F77" s="4">
        <v>4867</v>
      </c>
      <c r="G77">
        <v>110</v>
      </c>
      <c r="H77">
        <v>13.5</v>
      </c>
      <c r="I77">
        <v>0.33175027004972923</v>
      </c>
      <c r="J77">
        <v>1</v>
      </c>
      <c r="M77" s="5"/>
      <c r="S77" s="4">
        <f t="shared" si="17"/>
        <v>17048</v>
      </c>
      <c r="T77" s="4">
        <f t="shared" si="18"/>
        <v>22931</v>
      </c>
      <c r="U77" s="4">
        <f t="shared" si="19"/>
        <v>4867</v>
      </c>
      <c r="V77" s="4">
        <f t="shared" si="20"/>
        <v>4458</v>
      </c>
      <c r="W77" s="4">
        <f t="shared" si="21"/>
        <v>110</v>
      </c>
      <c r="X77">
        <f t="shared" si="22"/>
        <v>65</v>
      </c>
      <c r="Y77">
        <f t="shared" si="23"/>
        <v>13.5</v>
      </c>
      <c r="Z77">
        <f t="shared" si="24"/>
        <v>6.5</v>
      </c>
    </row>
    <row r="78" spans="1:26" x14ac:dyDescent="0.3">
      <c r="A78" t="str">
        <f t="shared" si="25"/>
        <v>HH073</v>
      </c>
      <c r="B78" t="s">
        <v>62</v>
      </c>
      <c r="C78">
        <v>4</v>
      </c>
      <c r="D78" s="4">
        <v>27378</v>
      </c>
      <c r="E78" t="s">
        <v>67</v>
      </c>
      <c r="F78" s="4">
        <v>3418</v>
      </c>
      <c r="G78">
        <v>98</v>
      </c>
      <c r="H78">
        <v>10.199999999999999</v>
      </c>
      <c r="I78">
        <v>0.67824223167113817</v>
      </c>
      <c r="J78">
        <v>1</v>
      </c>
      <c r="M78" s="5"/>
      <c r="S78" s="4">
        <f t="shared" si="17"/>
        <v>27378</v>
      </c>
      <c r="T78" s="4">
        <f t="shared" si="18"/>
        <v>20729</v>
      </c>
      <c r="U78" s="4">
        <f t="shared" si="19"/>
        <v>3418</v>
      </c>
      <c r="V78" s="4">
        <f t="shared" si="20"/>
        <v>4649</v>
      </c>
      <c r="W78" s="4">
        <f t="shared" si="21"/>
        <v>98</v>
      </c>
      <c r="X78">
        <f t="shared" si="22"/>
        <v>95</v>
      </c>
      <c r="Y78">
        <f t="shared" si="23"/>
        <v>10.199999999999999</v>
      </c>
      <c r="Z78">
        <f t="shared" si="24"/>
        <v>13.6</v>
      </c>
    </row>
    <row r="79" spans="1:26" x14ac:dyDescent="0.3">
      <c r="A79" t="str">
        <f t="shared" si="25"/>
        <v>HH074</v>
      </c>
      <c r="B79" t="s">
        <v>65</v>
      </c>
      <c r="C79">
        <v>8</v>
      </c>
      <c r="D79" s="4">
        <v>28560</v>
      </c>
      <c r="E79" t="s">
        <v>67</v>
      </c>
      <c r="F79" s="4">
        <v>5681</v>
      </c>
      <c r="G79">
        <v>93</v>
      </c>
      <c r="H79">
        <v>9</v>
      </c>
      <c r="I79">
        <v>0.35867051465656508</v>
      </c>
      <c r="J79">
        <v>1</v>
      </c>
      <c r="M79" s="5"/>
      <c r="S79" s="4">
        <f t="shared" si="17"/>
        <v>28560</v>
      </c>
      <c r="T79" s="4">
        <f t="shared" si="18"/>
        <v>39883</v>
      </c>
      <c r="U79" s="4">
        <f t="shared" si="19"/>
        <v>5681</v>
      </c>
      <c r="V79" s="4">
        <f t="shared" si="20"/>
        <v>5369</v>
      </c>
      <c r="W79" s="4">
        <f t="shared" si="21"/>
        <v>93</v>
      </c>
      <c r="X79">
        <f t="shared" si="22"/>
        <v>26</v>
      </c>
      <c r="Y79">
        <f t="shared" si="23"/>
        <v>9</v>
      </c>
      <c r="Z79">
        <f t="shared" si="24"/>
        <v>10.199999999999999</v>
      </c>
    </row>
    <row r="80" spans="1:26" x14ac:dyDescent="0.3">
      <c r="A80" t="str">
        <f t="shared" si="25"/>
        <v>HH075</v>
      </c>
      <c r="B80" t="s">
        <v>65</v>
      </c>
      <c r="C80">
        <v>6</v>
      </c>
      <c r="D80" s="4">
        <v>23746</v>
      </c>
      <c r="E80" t="s">
        <v>69</v>
      </c>
      <c r="F80" s="4">
        <v>5128</v>
      </c>
      <c r="G80">
        <v>97</v>
      </c>
      <c r="H80">
        <v>8.3000000000000007</v>
      </c>
      <c r="I80">
        <v>0.27298753341012505</v>
      </c>
      <c r="J80">
        <v>1</v>
      </c>
      <c r="M80" s="5"/>
      <c r="S80" s="4">
        <f t="shared" si="17"/>
        <v>23746</v>
      </c>
      <c r="T80" s="4">
        <f t="shared" si="18"/>
        <v>33521</v>
      </c>
      <c r="U80" s="4">
        <f t="shared" si="19"/>
        <v>5128</v>
      </c>
      <c r="V80" s="4">
        <f t="shared" si="20"/>
        <v>4637</v>
      </c>
      <c r="W80" s="4">
        <f t="shared" si="21"/>
        <v>97</v>
      </c>
      <c r="X80">
        <f t="shared" si="22"/>
        <v>23</v>
      </c>
      <c r="Y80">
        <f t="shared" si="23"/>
        <v>8.3000000000000007</v>
      </c>
      <c r="Z80">
        <f t="shared" si="24"/>
        <v>10</v>
      </c>
    </row>
    <row r="81" spans="1:26" x14ac:dyDescent="0.3">
      <c r="A81" t="str">
        <f t="shared" si="25"/>
        <v>HH076</v>
      </c>
      <c r="B81" t="s">
        <v>62</v>
      </c>
      <c r="C81">
        <v>4</v>
      </c>
      <c r="D81" s="4">
        <v>46490</v>
      </c>
      <c r="E81" t="s">
        <v>68</v>
      </c>
      <c r="F81" s="4">
        <v>5047</v>
      </c>
      <c r="G81">
        <v>55</v>
      </c>
      <c r="H81">
        <v>5.8</v>
      </c>
      <c r="I81">
        <v>0.85295933478437869</v>
      </c>
      <c r="J81">
        <v>1</v>
      </c>
      <c r="M81" s="5"/>
      <c r="S81" s="4">
        <f t="shared" si="17"/>
        <v>46490</v>
      </c>
      <c r="T81" s="4">
        <f t="shared" si="18"/>
        <v>35280</v>
      </c>
      <c r="U81" s="4">
        <f t="shared" si="19"/>
        <v>5047</v>
      </c>
      <c r="V81" s="4">
        <f t="shared" si="20"/>
        <v>2851</v>
      </c>
      <c r="W81" s="4">
        <f t="shared" si="21"/>
        <v>55</v>
      </c>
      <c r="X81">
        <f t="shared" si="22"/>
        <v>70</v>
      </c>
      <c r="Y81">
        <f t="shared" si="23"/>
        <v>5.8</v>
      </c>
      <c r="Z81">
        <f t="shared" si="24"/>
        <v>2.4</v>
      </c>
    </row>
    <row r="82" spans="1:26" x14ac:dyDescent="0.3">
      <c r="A82" t="str">
        <f t="shared" si="25"/>
        <v>HH077</v>
      </c>
      <c r="B82" t="s">
        <v>64</v>
      </c>
      <c r="C82">
        <v>7</v>
      </c>
      <c r="D82" s="4">
        <v>21275</v>
      </c>
      <c r="E82" t="s">
        <v>68</v>
      </c>
      <c r="F82" s="4">
        <v>5887</v>
      </c>
      <c r="G82">
        <v>95</v>
      </c>
      <c r="H82">
        <v>5.9</v>
      </c>
      <c r="I82">
        <v>0.86638941294275407</v>
      </c>
      <c r="J82">
        <v>1</v>
      </c>
      <c r="M82" s="5"/>
      <c r="S82" s="4">
        <f t="shared" si="17"/>
        <v>21275</v>
      </c>
      <c r="T82" s="4">
        <f t="shared" si="18"/>
        <v>31399</v>
      </c>
      <c r="U82" s="4">
        <f t="shared" si="19"/>
        <v>5887</v>
      </c>
      <c r="V82" s="4">
        <f t="shared" si="20"/>
        <v>5305</v>
      </c>
      <c r="W82" s="4">
        <f t="shared" si="21"/>
        <v>95</v>
      </c>
      <c r="X82">
        <f t="shared" si="22"/>
        <v>36</v>
      </c>
      <c r="Y82">
        <f t="shared" si="23"/>
        <v>5.9</v>
      </c>
      <c r="Z82">
        <f t="shared" si="24"/>
        <v>6.3</v>
      </c>
    </row>
    <row r="83" spans="1:26" x14ac:dyDescent="0.3">
      <c r="A83" t="str">
        <f t="shared" si="25"/>
        <v>HH078</v>
      </c>
      <c r="B83" t="s">
        <v>64</v>
      </c>
      <c r="C83">
        <v>4</v>
      </c>
      <c r="D83" s="4">
        <v>20156</v>
      </c>
      <c r="E83" t="s">
        <v>68</v>
      </c>
      <c r="F83" s="4">
        <v>3149</v>
      </c>
      <c r="G83">
        <v>74</v>
      </c>
      <c r="H83">
        <v>8.1999999999999993</v>
      </c>
      <c r="I83">
        <v>0.55195152568506889</v>
      </c>
      <c r="J83">
        <v>1</v>
      </c>
      <c r="M83" s="5"/>
      <c r="S83" s="4">
        <f t="shared" si="17"/>
        <v>20156</v>
      </c>
      <c r="T83" s="4">
        <f t="shared" si="18"/>
        <v>20712</v>
      </c>
      <c r="U83" s="4">
        <f t="shared" si="19"/>
        <v>3149</v>
      </c>
      <c r="V83" s="4">
        <f t="shared" si="20"/>
        <v>4385</v>
      </c>
      <c r="W83" s="4">
        <f t="shared" si="21"/>
        <v>74</v>
      </c>
      <c r="X83">
        <f t="shared" si="22"/>
        <v>91</v>
      </c>
      <c r="Y83">
        <f t="shared" si="23"/>
        <v>8.1999999999999993</v>
      </c>
      <c r="Z83">
        <f t="shared" si="24"/>
        <v>9.6</v>
      </c>
    </row>
    <row r="84" spans="1:26" x14ac:dyDescent="0.3">
      <c r="A84" t="str">
        <f t="shared" si="25"/>
        <v>HH079</v>
      </c>
      <c r="B84" t="s">
        <v>64</v>
      </c>
      <c r="C84">
        <v>2</v>
      </c>
      <c r="D84" s="4">
        <v>34195</v>
      </c>
      <c r="E84" t="s">
        <v>67</v>
      </c>
      <c r="F84" s="4">
        <v>2866</v>
      </c>
      <c r="G84">
        <v>61</v>
      </c>
      <c r="H84">
        <v>3.1</v>
      </c>
      <c r="I84">
        <v>0.75284945786661472</v>
      </c>
      <c r="J84">
        <v>1</v>
      </c>
      <c r="M84" s="5"/>
      <c r="S84" s="4">
        <f t="shared" si="17"/>
        <v>34195</v>
      </c>
      <c r="T84" s="4">
        <f t="shared" si="18"/>
        <v>31679</v>
      </c>
      <c r="U84" s="4">
        <f t="shared" si="19"/>
        <v>2866</v>
      </c>
      <c r="V84" s="4">
        <f t="shared" si="20"/>
        <v>6090</v>
      </c>
      <c r="W84" s="4">
        <f t="shared" si="21"/>
        <v>61</v>
      </c>
      <c r="X84">
        <f t="shared" si="22"/>
        <v>33</v>
      </c>
      <c r="Y84">
        <f t="shared" si="23"/>
        <v>3.1</v>
      </c>
      <c r="Z84">
        <f t="shared" si="24"/>
        <v>4.5</v>
      </c>
    </row>
    <row r="85" spans="1:26" x14ac:dyDescent="0.3">
      <c r="A85" t="str">
        <f t="shared" si="25"/>
        <v>HH080</v>
      </c>
      <c r="B85" t="s">
        <v>63</v>
      </c>
      <c r="C85">
        <v>8</v>
      </c>
      <c r="D85" s="4">
        <v>35168</v>
      </c>
      <c r="E85" t="s">
        <v>66</v>
      </c>
      <c r="F85" s="4">
        <v>5651</v>
      </c>
      <c r="G85">
        <v>113</v>
      </c>
      <c r="H85">
        <v>1.4</v>
      </c>
      <c r="I85">
        <v>0.4288410067052002</v>
      </c>
      <c r="J85">
        <v>1</v>
      </c>
      <c r="M85" s="5"/>
      <c r="S85" s="4">
        <f t="shared" si="17"/>
        <v>35168</v>
      </c>
      <c r="T85" s="4">
        <f t="shared" si="18"/>
        <v>30343</v>
      </c>
      <c r="U85" s="4">
        <f t="shared" si="19"/>
        <v>5651</v>
      </c>
      <c r="V85" s="4">
        <f t="shared" si="20"/>
        <v>4130</v>
      </c>
      <c r="W85" s="4">
        <f t="shared" si="21"/>
        <v>113</v>
      </c>
      <c r="X85">
        <f t="shared" si="22"/>
        <v>101</v>
      </c>
      <c r="Y85">
        <f t="shared" si="23"/>
        <v>1.4</v>
      </c>
      <c r="Z85">
        <f t="shared" si="24"/>
        <v>0.5</v>
      </c>
    </row>
    <row r="86" spans="1:26" x14ac:dyDescent="0.3">
      <c r="A86" t="str">
        <f t="shared" si="25"/>
        <v>HH081</v>
      </c>
      <c r="B86" t="s">
        <v>64</v>
      </c>
      <c r="C86">
        <v>4</v>
      </c>
      <c r="D86" s="4">
        <v>28150</v>
      </c>
      <c r="E86" t="s">
        <v>69</v>
      </c>
      <c r="F86" s="4">
        <v>4373</v>
      </c>
      <c r="G86">
        <v>118</v>
      </c>
      <c r="H86">
        <v>6.2</v>
      </c>
      <c r="I86">
        <v>0.70033142230294676</v>
      </c>
      <c r="J86">
        <v>1</v>
      </c>
      <c r="M86" s="5"/>
      <c r="S86" s="4">
        <f t="shared" si="17"/>
        <v>28150</v>
      </c>
      <c r="T86" s="4">
        <f t="shared" si="18"/>
        <v>29207</v>
      </c>
      <c r="U86" s="4">
        <f t="shared" si="19"/>
        <v>4373</v>
      </c>
      <c r="V86" s="4">
        <f t="shared" si="20"/>
        <v>2899</v>
      </c>
      <c r="W86" s="4">
        <f t="shared" si="21"/>
        <v>118</v>
      </c>
      <c r="X86">
        <f t="shared" si="22"/>
        <v>51</v>
      </c>
      <c r="Y86">
        <f t="shared" si="23"/>
        <v>6.2</v>
      </c>
      <c r="Z86">
        <f t="shared" si="24"/>
        <v>14.8</v>
      </c>
    </row>
    <row r="87" spans="1:26" x14ac:dyDescent="0.3">
      <c r="A87" t="str">
        <f t="shared" si="25"/>
        <v>HH082</v>
      </c>
      <c r="B87" t="s">
        <v>64</v>
      </c>
      <c r="C87">
        <v>8</v>
      </c>
      <c r="D87" s="4">
        <v>32197</v>
      </c>
      <c r="E87" t="s">
        <v>66</v>
      </c>
      <c r="F87" s="4">
        <v>5216</v>
      </c>
      <c r="G87">
        <v>47</v>
      </c>
      <c r="H87">
        <v>1</v>
      </c>
      <c r="I87">
        <v>0.11516166657609717</v>
      </c>
      <c r="J87">
        <v>1</v>
      </c>
      <c r="M87" s="5"/>
      <c r="S87" s="4">
        <f t="shared" si="17"/>
        <v>32197</v>
      </c>
      <c r="T87" s="4">
        <f t="shared" si="18"/>
        <v>28697</v>
      </c>
      <c r="U87" s="4">
        <f t="shared" si="19"/>
        <v>5216</v>
      </c>
      <c r="V87" s="4">
        <f t="shared" si="20"/>
        <v>5187</v>
      </c>
      <c r="W87" s="4">
        <f t="shared" si="21"/>
        <v>47</v>
      </c>
      <c r="X87">
        <f t="shared" si="22"/>
        <v>26</v>
      </c>
      <c r="Y87">
        <f t="shared" si="23"/>
        <v>1</v>
      </c>
      <c r="Z87">
        <f t="shared" si="24"/>
        <v>4.5</v>
      </c>
    </row>
    <row r="88" spans="1:26" x14ac:dyDescent="0.3">
      <c r="A88" t="str">
        <f t="shared" si="25"/>
        <v>HH083</v>
      </c>
      <c r="B88" t="s">
        <v>65</v>
      </c>
      <c r="C88">
        <v>5</v>
      </c>
      <c r="D88" s="4">
        <v>29458</v>
      </c>
      <c r="E88" t="s">
        <v>69</v>
      </c>
      <c r="F88" s="4">
        <v>4963</v>
      </c>
      <c r="G88">
        <v>88</v>
      </c>
      <c r="H88">
        <v>4.7</v>
      </c>
      <c r="I88">
        <v>0.80356751096346335</v>
      </c>
      <c r="J88">
        <v>1</v>
      </c>
      <c r="M88" s="5"/>
      <c r="S88" s="4">
        <f t="shared" si="17"/>
        <v>29458</v>
      </c>
      <c r="T88" s="4">
        <f t="shared" si="18"/>
        <v>26555</v>
      </c>
      <c r="U88" s="4">
        <f t="shared" si="19"/>
        <v>4963</v>
      </c>
      <c r="V88" s="4">
        <f t="shared" si="20"/>
        <v>3395</v>
      </c>
      <c r="W88" s="4">
        <f t="shared" si="21"/>
        <v>88</v>
      </c>
      <c r="X88">
        <f t="shared" si="22"/>
        <v>91</v>
      </c>
      <c r="Y88">
        <f t="shared" si="23"/>
        <v>4.7</v>
      </c>
      <c r="Z88">
        <f t="shared" si="24"/>
        <v>11.5</v>
      </c>
    </row>
    <row r="89" spans="1:26" x14ac:dyDescent="0.3">
      <c r="A89" t="str">
        <f t="shared" si="25"/>
        <v>HH084</v>
      </c>
      <c r="B89" t="s">
        <v>63</v>
      </c>
      <c r="C89">
        <v>4</v>
      </c>
      <c r="D89" s="4">
        <v>22017</v>
      </c>
      <c r="E89" t="s">
        <v>67</v>
      </c>
      <c r="F89" s="4">
        <v>3884</v>
      </c>
      <c r="G89">
        <v>18</v>
      </c>
      <c r="H89">
        <v>12</v>
      </c>
      <c r="I89">
        <v>0.22761300558282971</v>
      </c>
      <c r="J89">
        <v>1</v>
      </c>
      <c r="M89" s="5"/>
      <c r="S89" s="4">
        <f t="shared" si="17"/>
        <v>22017</v>
      </c>
      <c r="T89" s="4">
        <f t="shared" si="18"/>
        <v>20723</v>
      </c>
      <c r="U89" s="4">
        <f t="shared" si="19"/>
        <v>3884</v>
      </c>
      <c r="V89" s="4">
        <f t="shared" si="20"/>
        <v>6194</v>
      </c>
      <c r="W89" s="4">
        <f t="shared" si="21"/>
        <v>18</v>
      </c>
      <c r="X89">
        <f t="shared" si="22"/>
        <v>117</v>
      </c>
      <c r="Y89">
        <f t="shared" si="23"/>
        <v>12</v>
      </c>
      <c r="Z89">
        <f t="shared" si="24"/>
        <v>2.8</v>
      </c>
    </row>
    <row r="90" spans="1:26" x14ac:dyDescent="0.3">
      <c r="A90" t="str">
        <f t="shared" si="25"/>
        <v>HH085</v>
      </c>
      <c r="B90" t="s">
        <v>63</v>
      </c>
      <c r="C90">
        <v>6</v>
      </c>
      <c r="D90" s="4">
        <v>21541</v>
      </c>
      <c r="E90" t="s">
        <v>67</v>
      </c>
      <c r="F90" s="4">
        <v>4688</v>
      </c>
      <c r="G90">
        <v>20</v>
      </c>
      <c r="H90">
        <v>3.1</v>
      </c>
      <c r="I90">
        <v>0.12999711767666977</v>
      </c>
      <c r="J90">
        <v>1</v>
      </c>
      <c r="M90" s="5"/>
      <c r="S90" s="4">
        <f t="shared" si="17"/>
        <v>21541</v>
      </c>
      <c r="T90" s="4">
        <f t="shared" si="18"/>
        <v>29384</v>
      </c>
      <c r="U90" s="4">
        <f t="shared" si="19"/>
        <v>4688</v>
      </c>
      <c r="V90" s="4">
        <f t="shared" si="20"/>
        <v>4564</v>
      </c>
      <c r="W90" s="4">
        <f t="shared" si="21"/>
        <v>20</v>
      </c>
      <c r="X90">
        <f t="shared" si="22"/>
        <v>16</v>
      </c>
      <c r="Y90">
        <f t="shared" si="23"/>
        <v>3.1</v>
      </c>
      <c r="Z90">
        <f t="shared" si="24"/>
        <v>9.1999999999999993</v>
      </c>
    </row>
    <row r="91" spans="1:26" x14ac:dyDescent="0.3">
      <c r="A91" t="str">
        <f t="shared" si="25"/>
        <v>HH086</v>
      </c>
      <c r="B91" t="s">
        <v>62</v>
      </c>
      <c r="C91">
        <v>3</v>
      </c>
      <c r="D91" s="4">
        <v>37372</v>
      </c>
      <c r="E91" t="s">
        <v>69</v>
      </c>
      <c r="F91" s="4">
        <v>4409</v>
      </c>
      <c r="G91">
        <v>67</v>
      </c>
      <c r="H91">
        <v>3.9</v>
      </c>
      <c r="I91">
        <v>0.57747531836219157</v>
      </c>
      <c r="J91">
        <v>1</v>
      </c>
      <c r="M91" s="5"/>
      <c r="S91" s="4">
        <f t="shared" si="17"/>
        <v>37372</v>
      </c>
      <c r="T91" s="4">
        <f t="shared" si="18"/>
        <v>31582</v>
      </c>
      <c r="U91" s="4">
        <f t="shared" si="19"/>
        <v>4409</v>
      </c>
      <c r="V91" s="4">
        <f t="shared" si="20"/>
        <v>5847</v>
      </c>
      <c r="W91" s="4">
        <f t="shared" si="21"/>
        <v>67</v>
      </c>
      <c r="X91">
        <f t="shared" si="22"/>
        <v>22</v>
      </c>
      <c r="Y91">
        <f t="shared" si="23"/>
        <v>3.9</v>
      </c>
      <c r="Z91">
        <f t="shared" si="24"/>
        <v>9.4</v>
      </c>
    </row>
    <row r="92" spans="1:26" x14ac:dyDescent="0.3">
      <c r="A92" t="str">
        <f t="shared" si="25"/>
        <v>HH087</v>
      </c>
      <c r="B92" t="s">
        <v>65</v>
      </c>
      <c r="C92">
        <v>4</v>
      </c>
      <c r="D92" s="4">
        <v>27058</v>
      </c>
      <c r="E92" t="s">
        <v>67</v>
      </c>
      <c r="F92" s="4">
        <v>4062</v>
      </c>
      <c r="G92">
        <v>65</v>
      </c>
      <c r="H92">
        <v>9</v>
      </c>
      <c r="I92">
        <v>5.9264440911213745E-2</v>
      </c>
      <c r="J92">
        <v>1</v>
      </c>
      <c r="M92" s="5"/>
      <c r="S92" s="4">
        <f t="shared" si="17"/>
        <v>27058</v>
      </c>
      <c r="T92" s="4">
        <f t="shared" si="18"/>
        <v>20584</v>
      </c>
      <c r="U92" s="4">
        <f t="shared" si="19"/>
        <v>4062</v>
      </c>
      <c r="V92" s="4">
        <f t="shared" si="20"/>
        <v>5303</v>
      </c>
      <c r="W92" s="4">
        <f t="shared" si="21"/>
        <v>65</v>
      </c>
      <c r="X92">
        <f t="shared" si="22"/>
        <v>91</v>
      </c>
      <c r="Y92">
        <f t="shared" si="23"/>
        <v>9</v>
      </c>
      <c r="Z92">
        <f t="shared" si="24"/>
        <v>10.199999999999999</v>
      </c>
    </row>
    <row r="93" spans="1:26" x14ac:dyDescent="0.3">
      <c r="A93" t="str">
        <f t="shared" si="25"/>
        <v>HH088</v>
      </c>
      <c r="B93" t="s">
        <v>63</v>
      </c>
      <c r="C93">
        <v>3</v>
      </c>
      <c r="D93" s="4">
        <v>21305</v>
      </c>
      <c r="E93" t="s">
        <v>67</v>
      </c>
      <c r="F93" s="4">
        <v>3416</v>
      </c>
      <c r="G93">
        <v>65</v>
      </c>
      <c r="H93">
        <v>6.1</v>
      </c>
      <c r="I93">
        <v>0.87565346046336012</v>
      </c>
      <c r="J93">
        <v>1</v>
      </c>
      <c r="M93" s="5"/>
      <c r="S93" s="4">
        <f t="shared" si="17"/>
        <v>21305</v>
      </c>
      <c r="T93" s="4">
        <f t="shared" si="18"/>
        <v>39296</v>
      </c>
      <c r="U93" s="4">
        <f t="shared" si="19"/>
        <v>3416</v>
      </c>
      <c r="V93" s="4">
        <f t="shared" si="20"/>
        <v>4112</v>
      </c>
      <c r="W93" s="4">
        <f t="shared" si="21"/>
        <v>65</v>
      </c>
      <c r="X93">
        <f t="shared" si="22"/>
        <v>54</v>
      </c>
      <c r="Y93">
        <f t="shared" si="23"/>
        <v>6.1</v>
      </c>
      <c r="Z93">
        <f t="shared" si="24"/>
        <v>3.7</v>
      </c>
    </row>
    <row r="94" spans="1:26" x14ac:dyDescent="0.3">
      <c r="A94" t="str">
        <f t="shared" si="25"/>
        <v>HH089</v>
      </c>
      <c r="B94" t="s">
        <v>62</v>
      </c>
      <c r="C94">
        <v>4</v>
      </c>
      <c r="D94" s="4">
        <v>22955</v>
      </c>
      <c r="E94" t="s">
        <v>67</v>
      </c>
      <c r="F94" s="4">
        <v>3967</v>
      </c>
      <c r="G94">
        <v>45</v>
      </c>
      <c r="H94">
        <v>4.5999999999999996</v>
      </c>
      <c r="I94">
        <v>0.28866936052847725</v>
      </c>
      <c r="J94">
        <v>1</v>
      </c>
      <c r="M94" s="5"/>
      <c r="S94" s="4">
        <f t="shared" si="17"/>
        <v>22955</v>
      </c>
      <c r="T94" s="4">
        <f t="shared" si="18"/>
        <v>27183</v>
      </c>
      <c r="U94" s="4">
        <f t="shared" si="19"/>
        <v>3967</v>
      </c>
      <c r="V94" s="4">
        <f t="shared" si="20"/>
        <v>5831</v>
      </c>
      <c r="W94" s="4">
        <f t="shared" si="21"/>
        <v>45</v>
      </c>
      <c r="X94">
        <f t="shared" si="22"/>
        <v>21</v>
      </c>
      <c r="Y94">
        <f t="shared" si="23"/>
        <v>4.5999999999999996</v>
      </c>
      <c r="Z94">
        <f t="shared" si="24"/>
        <v>9.3000000000000007</v>
      </c>
    </row>
    <row r="95" spans="1:26" x14ac:dyDescent="0.3">
      <c r="A95" t="str">
        <f t="shared" si="25"/>
        <v>HH090</v>
      </c>
      <c r="B95" t="s">
        <v>65</v>
      </c>
      <c r="C95">
        <v>6</v>
      </c>
      <c r="D95" s="4">
        <v>26906</v>
      </c>
      <c r="E95" t="s">
        <v>67</v>
      </c>
      <c r="F95" s="4">
        <v>4946</v>
      </c>
      <c r="G95">
        <v>109</v>
      </c>
      <c r="H95">
        <v>5</v>
      </c>
      <c r="I95">
        <v>0.41421646111164423</v>
      </c>
      <c r="J95">
        <v>1</v>
      </c>
      <c r="M95" s="5"/>
      <c r="S95" s="4">
        <f t="shared" si="17"/>
        <v>26906</v>
      </c>
      <c r="T95" s="4">
        <f t="shared" si="18"/>
        <v>20316</v>
      </c>
      <c r="U95" s="4">
        <f t="shared" si="19"/>
        <v>4946</v>
      </c>
      <c r="V95" s="4">
        <f t="shared" si="20"/>
        <v>3478</v>
      </c>
      <c r="W95" s="4">
        <f t="shared" si="21"/>
        <v>109</v>
      </c>
      <c r="X95">
        <f t="shared" si="22"/>
        <v>60</v>
      </c>
      <c r="Y95">
        <f t="shared" si="23"/>
        <v>5</v>
      </c>
      <c r="Z95">
        <f t="shared" si="24"/>
        <v>4.5999999999999996</v>
      </c>
    </row>
    <row r="96" spans="1:26" x14ac:dyDescent="0.3">
      <c r="A96" t="str">
        <f t="shared" si="25"/>
        <v>HH091</v>
      </c>
      <c r="B96" t="s">
        <v>65</v>
      </c>
      <c r="C96">
        <v>5</v>
      </c>
      <c r="D96" s="4">
        <v>34084</v>
      </c>
      <c r="E96" t="s">
        <v>68</v>
      </c>
      <c r="F96" s="4">
        <v>5692</v>
      </c>
      <c r="G96">
        <v>62</v>
      </c>
      <c r="H96">
        <v>5.8</v>
      </c>
      <c r="I96">
        <v>0.8422575440921094</v>
      </c>
      <c r="J96">
        <v>1</v>
      </c>
      <c r="M96" s="5"/>
      <c r="S96" s="4">
        <f t="shared" si="17"/>
        <v>34084</v>
      </c>
      <c r="T96" s="4">
        <f t="shared" si="18"/>
        <v>20254</v>
      </c>
      <c r="U96" s="4">
        <f t="shared" si="19"/>
        <v>5692</v>
      </c>
      <c r="V96" s="4">
        <f t="shared" si="20"/>
        <v>4134</v>
      </c>
      <c r="W96" s="4">
        <f t="shared" si="21"/>
        <v>62</v>
      </c>
      <c r="X96">
        <f t="shared" si="22"/>
        <v>55</v>
      </c>
      <c r="Y96">
        <f t="shared" si="23"/>
        <v>5.8</v>
      </c>
      <c r="Z96">
        <f t="shared" si="24"/>
        <v>4.4000000000000004</v>
      </c>
    </row>
    <row r="97" spans="1:26" x14ac:dyDescent="0.3">
      <c r="A97" t="str">
        <f t="shared" si="25"/>
        <v>HH092</v>
      </c>
      <c r="B97" t="s">
        <v>62</v>
      </c>
      <c r="C97">
        <v>6</v>
      </c>
      <c r="D97" s="4">
        <v>44042</v>
      </c>
      <c r="E97" t="s">
        <v>69</v>
      </c>
      <c r="F97" s="4">
        <v>5829</v>
      </c>
      <c r="G97">
        <v>105</v>
      </c>
      <c r="H97">
        <v>14.1</v>
      </c>
      <c r="I97">
        <v>0.25789215536987886</v>
      </c>
      <c r="J97">
        <v>1</v>
      </c>
      <c r="M97" s="5"/>
      <c r="S97" s="4">
        <f t="shared" si="17"/>
        <v>44042</v>
      </c>
      <c r="T97" s="4">
        <f t="shared" si="18"/>
        <v>13585</v>
      </c>
      <c r="U97" s="4">
        <f t="shared" si="19"/>
        <v>5829</v>
      </c>
      <c r="V97" s="4">
        <f t="shared" si="20"/>
        <v>4967</v>
      </c>
      <c r="W97" s="4">
        <f t="shared" si="21"/>
        <v>105</v>
      </c>
      <c r="X97">
        <f t="shared" si="22"/>
        <v>57</v>
      </c>
      <c r="Y97">
        <f t="shared" si="23"/>
        <v>14.1</v>
      </c>
      <c r="Z97">
        <f t="shared" si="24"/>
        <v>3.5</v>
      </c>
    </row>
    <row r="98" spans="1:26" x14ac:dyDescent="0.3">
      <c r="A98" t="str">
        <f t="shared" si="25"/>
        <v>HH093</v>
      </c>
      <c r="B98" t="s">
        <v>62</v>
      </c>
      <c r="C98">
        <v>4</v>
      </c>
      <c r="D98" s="4">
        <v>43828</v>
      </c>
      <c r="E98" t="s">
        <v>68</v>
      </c>
      <c r="F98" s="4">
        <v>5342</v>
      </c>
      <c r="G98">
        <v>31</v>
      </c>
      <c r="H98">
        <v>1.4</v>
      </c>
      <c r="I98">
        <v>0.75760366522403311</v>
      </c>
      <c r="J98">
        <v>1</v>
      </c>
      <c r="M98" s="5"/>
      <c r="S98" s="4">
        <f t="shared" si="17"/>
        <v>43828</v>
      </c>
      <c r="T98" s="4">
        <f t="shared" si="18"/>
        <v>33845</v>
      </c>
      <c r="U98" s="4">
        <f t="shared" si="19"/>
        <v>5342</v>
      </c>
      <c r="V98" s="4">
        <f t="shared" si="20"/>
        <v>6610</v>
      </c>
      <c r="W98" s="4">
        <f t="shared" si="21"/>
        <v>31</v>
      </c>
      <c r="X98">
        <f t="shared" si="22"/>
        <v>120</v>
      </c>
      <c r="Y98">
        <f t="shared" si="23"/>
        <v>1.4</v>
      </c>
      <c r="Z98">
        <f t="shared" si="24"/>
        <v>6</v>
      </c>
    </row>
    <row r="99" spans="1:26" x14ac:dyDescent="0.3">
      <c r="A99" t="str">
        <f t="shared" si="25"/>
        <v>HH094</v>
      </c>
      <c r="B99" t="s">
        <v>63</v>
      </c>
      <c r="C99">
        <v>6</v>
      </c>
      <c r="D99" s="4">
        <v>27370</v>
      </c>
      <c r="E99" t="s">
        <v>69</v>
      </c>
      <c r="F99" s="4">
        <v>5426</v>
      </c>
      <c r="G99">
        <v>21</v>
      </c>
      <c r="H99">
        <v>13.3</v>
      </c>
      <c r="I99">
        <v>0.64260844736414469</v>
      </c>
      <c r="J99">
        <v>1</v>
      </c>
      <c r="M99" s="5"/>
      <c r="S99" s="4">
        <f t="shared" si="17"/>
        <v>27370</v>
      </c>
      <c r="T99" s="4">
        <f t="shared" si="18"/>
        <v>34588</v>
      </c>
      <c r="U99" s="4">
        <f t="shared" si="19"/>
        <v>5426</v>
      </c>
      <c r="V99" s="4">
        <f t="shared" si="20"/>
        <v>4396</v>
      </c>
      <c r="W99" s="4">
        <f t="shared" si="21"/>
        <v>21</v>
      </c>
      <c r="X99">
        <f t="shared" si="22"/>
        <v>15</v>
      </c>
      <c r="Y99">
        <f t="shared" si="23"/>
        <v>13.3</v>
      </c>
      <c r="Z99">
        <f t="shared" si="24"/>
        <v>11.8</v>
      </c>
    </row>
    <row r="100" spans="1:26" x14ac:dyDescent="0.3">
      <c r="A100" t="str">
        <f t="shared" si="25"/>
        <v>HH095</v>
      </c>
      <c r="B100" t="s">
        <v>62</v>
      </c>
      <c r="C100">
        <v>8</v>
      </c>
      <c r="D100" s="4">
        <v>30363</v>
      </c>
      <c r="E100" t="s">
        <v>68</v>
      </c>
      <c r="F100" s="4">
        <v>6679</v>
      </c>
      <c r="G100">
        <v>100</v>
      </c>
      <c r="H100">
        <v>0.7</v>
      </c>
      <c r="I100">
        <v>0.97610497005164798</v>
      </c>
      <c r="J100">
        <v>1</v>
      </c>
      <c r="M100" s="5"/>
      <c r="S100" s="4">
        <f t="shared" si="17"/>
        <v>30363</v>
      </c>
      <c r="T100" s="4">
        <f t="shared" si="18"/>
        <v>33238</v>
      </c>
      <c r="U100" s="4">
        <f t="shared" si="19"/>
        <v>6679</v>
      </c>
      <c r="V100" s="4">
        <f t="shared" si="20"/>
        <v>4688</v>
      </c>
      <c r="W100" s="4">
        <f t="shared" si="21"/>
        <v>100</v>
      </c>
      <c r="X100">
        <f t="shared" si="22"/>
        <v>47</v>
      </c>
      <c r="Y100">
        <f t="shared" si="23"/>
        <v>0.7</v>
      </c>
      <c r="Z100">
        <f t="shared" si="24"/>
        <v>6.5</v>
      </c>
    </row>
    <row r="101" spans="1:26" x14ac:dyDescent="0.3">
      <c r="A101" t="str">
        <f t="shared" si="25"/>
        <v>HH096</v>
      </c>
      <c r="B101" t="s">
        <v>65</v>
      </c>
      <c r="C101">
        <v>2</v>
      </c>
      <c r="D101" s="4">
        <v>33931</v>
      </c>
      <c r="E101" t="s">
        <v>67</v>
      </c>
      <c r="F101" s="4">
        <v>4502</v>
      </c>
      <c r="G101">
        <v>107</v>
      </c>
      <c r="H101">
        <v>10.1</v>
      </c>
      <c r="I101">
        <v>0.68733984596666198</v>
      </c>
      <c r="J101">
        <v>1</v>
      </c>
      <c r="M101" s="5"/>
      <c r="S101" s="4">
        <f t="shared" si="17"/>
        <v>33931</v>
      </c>
      <c r="T101" s="4">
        <f t="shared" si="18"/>
        <v>22723</v>
      </c>
      <c r="U101" s="4">
        <f t="shared" si="19"/>
        <v>4502</v>
      </c>
      <c r="V101" s="4">
        <f t="shared" si="20"/>
        <v>5616</v>
      </c>
      <c r="W101" s="4">
        <f t="shared" si="21"/>
        <v>107</v>
      </c>
      <c r="X101">
        <f t="shared" si="22"/>
        <v>46</v>
      </c>
      <c r="Y101">
        <f t="shared" si="23"/>
        <v>10.1</v>
      </c>
      <c r="Z101">
        <f t="shared" si="24"/>
        <v>2.1</v>
      </c>
    </row>
    <row r="102" spans="1:26" x14ac:dyDescent="0.3">
      <c r="A102" t="str">
        <f t="shared" si="25"/>
        <v>HH097</v>
      </c>
      <c r="B102" t="s">
        <v>62</v>
      </c>
      <c r="C102">
        <v>3</v>
      </c>
      <c r="D102" s="4">
        <v>30627</v>
      </c>
      <c r="E102" t="s">
        <v>66</v>
      </c>
      <c r="F102" s="4">
        <v>3319</v>
      </c>
      <c r="G102">
        <v>23</v>
      </c>
      <c r="H102">
        <v>8.6999999999999993</v>
      </c>
      <c r="I102">
        <v>0.93632028820199775</v>
      </c>
      <c r="J102">
        <v>1</v>
      </c>
      <c r="M102" s="5"/>
      <c r="S102" s="4">
        <f t="shared" ref="S102:S133" si="26">IF($J102=1,D102,"")</f>
        <v>30627</v>
      </c>
      <c r="T102" s="4">
        <f t="shared" ref="T102:T133" si="27">IF($J302=0, D302,"")</f>
        <v>27001</v>
      </c>
      <c r="U102" s="4">
        <f t="shared" ref="U102:U133" si="28">IF($J102=1,F102,"")</f>
        <v>3319</v>
      </c>
      <c r="V102" s="4">
        <f t="shared" ref="V102:V133" si="29">IF($J302=0,F302,"")</f>
        <v>3124</v>
      </c>
      <c r="W102" s="4">
        <f t="shared" ref="W102:W133" si="30">IF($J102=1,G102,"")</f>
        <v>23</v>
      </c>
      <c r="X102">
        <f t="shared" ref="X102:X133" si="31">IF($J302=0,G302,"")</f>
        <v>81</v>
      </c>
      <c r="Y102">
        <f t="shared" ref="Y102:Y133" si="32">IF($J102=1,H102,"")</f>
        <v>8.6999999999999993</v>
      </c>
      <c r="Z102">
        <f t="shared" ref="Z102:Z133" si="33">IF($J302=0,H302,"")</f>
        <v>8.3000000000000007</v>
      </c>
    </row>
    <row r="103" spans="1:26" x14ac:dyDescent="0.3">
      <c r="A103" t="str">
        <f t="shared" si="25"/>
        <v>HH098</v>
      </c>
      <c r="B103" t="s">
        <v>62</v>
      </c>
      <c r="C103">
        <v>6</v>
      </c>
      <c r="D103" s="4">
        <v>18802</v>
      </c>
      <c r="E103" t="s">
        <v>69</v>
      </c>
      <c r="F103" s="4">
        <v>4776</v>
      </c>
      <c r="G103">
        <v>57</v>
      </c>
      <c r="H103">
        <v>9.4</v>
      </c>
      <c r="I103">
        <v>0.72554032864824725</v>
      </c>
      <c r="J103">
        <v>1</v>
      </c>
      <c r="M103" s="5"/>
      <c r="S103" s="4">
        <f t="shared" si="26"/>
        <v>18802</v>
      </c>
      <c r="T103" s="4">
        <f t="shared" si="27"/>
        <v>27599</v>
      </c>
      <c r="U103" s="4">
        <f t="shared" si="28"/>
        <v>4776</v>
      </c>
      <c r="V103" s="4">
        <f t="shared" si="29"/>
        <v>4670</v>
      </c>
      <c r="W103" s="4">
        <f t="shared" si="30"/>
        <v>57</v>
      </c>
      <c r="X103">
        <f t="shared" si="31"/>
        <v>56</v>
      </c>
      <c r="Y103">
        <f t="shared" si="32"/>
        <v>9.4</v>
      </c>
      <c r="Z103">
        <f t="shared" si="33"/>
        <v>8.1999999999999993</v>
      </c>
    </row>
    <row r="104" spans="1:26" x14ac:dyDescent="0.3">
      <c r="A104" t="str">
        <f t="shared" si="25"/>
        <v>HH099</v>
      </c>
      <c r="B104" t="s">
        <v>63</v>
      </c>
      <c r="C104">
        <v>5</v>
      </c>
      <c r="D104" s="4">
        <v>11300</v>
      </c>
      <c r="E104" t="s">
        <v>68</v>
      </c>
      <c r="F104" s="4">
        <v>4767</v>
      </c>
      <c r="G104">
        <v>66</v>
      </c>
      <c r="H104">
        <v>7.6</v>
      </c>
      <c r="I104">
        <v>0.4756475371632678</v>
      </c>
      <c r="J104">
        <v>1</v>
      </c>
      <c r="M104" s="5"/>
      <c r="S104" s="4">
        <f t="shared" si="26"/>
        <v>11300</v>
      </c>
      <c r="T104" s="4">
        <f t="shared" si="27"/>
        <v>28642</v>
      </c>
      <c r="U104" s="4">
        <f t="shared" si="28"/>
        <v>4767</v>
      </c>
      <c r="V104" s="4">
        <f t="shared" si="29"/>
        <v>4236</v>
      </c>
      <c r="W104" s="4">
        <f t="shared" si="30"/>
        <v>66</v>
      </c>
      <c r="X104">
        <f t="shared" si="31"/>
        <v>52</v>
      </c>
      <c r="Y104">
        <f t="shared" si="32"/>
        <v>7.6</v>
      </c>
      <c r="Z104">
        <f t="shared" si="33"/>
        <v>1.4</v>
      </c>
    </row>
    <row r="105" spans="1:26" x14ac:dyDescent="0.3">
      <c r="A105" t="str">
        <f t="shared" si="25"/>
        <v>HH100</v>
      </c>
      <c r="B105" t="s">
        <v>63</v>
      </c>
      <c r="C105">
        <v>5</v>
      </c>
      <c r="D105" s="4">
        <v>19868</v>
      </c>
      <c r="E105" t="s">
        <v>67</v>
      </c>
      <c r="F105" s="4">
        <v>3790</v>
      </c>
      <c r="G105">
        <v>99</v>
      </c>
      <c r="H105">
        <v>4.9000000000000004</v>
      </c>
      <c r="I105">
        <v>0.76242607069350576</v>
      </c>
      <c r="J105">
        <v>1</v>
      </c>
      <c r="M105" s="5"/>
      <c r="S105" s="4">
        <f t="shared" si="26"/>
        <v>19868</v>
      </c>
      <c r="T105" s="4">
        <f t="shared" si="27"/>
        <v>22281</v>
      </c>
      <c r="U105" s="4">
        <f t="shared" si="28"/>
        <v>3790</v>
      </c>
      <c r="V105" s="4">
        <f t="shared" si="29"/>
        <v>5536</v>
      </c>
      <c r="W105" s="4">
        <f t="shared" si="30"/>
        <v>99</v>
      </c>
      <c r="X105">
        <f t="shared" si="31"/>
        <v>76</v>
      </c>
      <c r="Y105">
        <f t="shared" si="32"/>
        <v>4.9000000000000004</v>
      </c>
      <c r="Z105">
        <f t="shared" si="33"/>
        <v>5.5</v>
      </c>
    </row>
    <row r="106" spans="1:26" x14ac:dyDescent="0.3">
      <c r="A106" t="str">
        <f t="shared" si="25"/>
        <v>HH101</v>
      </c>
      <c r="B106" t="s">
        <v>65</v>
      </c>
      <c r="C106">
        <v>8</v>
      </c>
      <c r="D106" s="4">
        <v>30000</v>
      </c>
      <c r="E106" t="s">
        <v>67</v>
      </c>
      <c r="F106" s="4">
        <v>4841</v>
      </c>
      <c r="G106">
        <v>93</v>
      </c>
      <c r="H106">
        <v>8.3000000000000007</v>
      </c>
      <c r="I106">
        <v>0.62285550858868877</v>
      </c>
      <c r="J106">
        <v>1</v>
      </c>
      <c r="M106" s="5"/>
      <c r="S106" s="4">
        <f t="shared" si="26"/>
        <v>30000</v>
      </c>
      <c r="T106" s="4">
        <f t="shared" si="27"/>
        <v>43890</v>
      </c>
      <c r="U106" s="4">
        <f t="shared" si="28"/>
        <v>4841</v>
      </c>
      <c r="V106" s="4">
        <f t="shared" si="29"/>
        <v>4934</v>
      </c>
      <c r="W106" s="4">
        <f t="shared" si="30"/>
        <v>93</v>
      </c>
      <c r="X106">
        <f t="shared" si="31"/>
        <v>102</v>
      </c>
      <c r="Y106">
        <f t="shared" si="32"/>
        <v>8.3000000000000007</v>
      </c>
      <c r="Z106">
        <f t="shared" si="33"/>
        <v>2.2000000000000002</v>
      </c>
    </row>
    <row r="107" spans="1:26" x14ac:dyDescent="0.3">
      <c r="A107" t="str">
        <f t="shared" si="25"/>
        <v>HH102</v>
      </c>
      <c r="B107" t="s">
        <v>63</v>
      </c>
      <c r="C107">
        <v>6</v>
      </c>
      <c r="D107" s="4">
        <v>30923</v>
      </c>
      <c r="E107" t="s">
        <v>67</v>
      </c>
      <c r="F107" s="4">
        <v>4431</v>
      </c>
      <c r="G107">
        <v>46</v>
      </c>
      <c r="H107">
        <v>4.7</v>
      </c>
      <c r="I107">
        <v>0.54793123363716179</v>
      </c>
      <c r="J107">
        <v>1</v>
      </c>
      <c r="M107" s="5"/>
      <c r="S107" s="4">
        <f t="shared" si="26"/>
        <v>30923</v>
      </c>
      <c r="T107" s="4">
        <f t="shared" si="27"/>
        <v>35720</v>
      </c>
      <c r="U107" s="4">
        <f t="shared" si="28"/>
        <v>4431</v>
      </c>
      <c r="V107" s="4">
        <f t="shared" si="29"/>
        <v>4036</v>
      </c>
      <c r="W107" s="4">
        <f t="shared" si="30"/>
        <v>46</v>
      </c>
      <c r="X107">
        <f t="shared" si="31"/>
        <v>24</v>
      </c>
      <c r="Y107">
        <f t="shared" si="32"/>
        <v>4.7</v>
      </c>
      <c r="Z107">
        <f t="shared" si="33"/>
        <v>15</v>
      </c>
    </row>
    <row r="108" spans="1:26" x14ac:dyDescent="0.3">
      <c r="A108" t="str">
        <f t="shared" si="25"/>
        <v>HH103</v>
      </c>
      <c r="B108" t="s">
        <v>63</v>
      </c>
      <c r="C108">
        <v>5</v>
      </c>
      <c r="D108" s="4">
        <v>28399</v>
      </c>
      <c r="E108" t="s">
        <v>68</v>
      </c>
      <c r="F108" s="4">
        <v>5047</v>
      </c>
      <c r="G108">
        <v>96</v>
      </c>
      <c r="H108">
        <v>7.5</v>
      </c>
      <c r="I108">
        <v>0.38686442138595611</v>
      </c>
      <c r="J108">
        <v>1</v>
      </c>
      <c r="M108" s="5"/>
      <c r="S108" s="4">
        <f t="shared" si="26"/>
        <v>28399</v>
      </c>
      <c r="T108" s="4">
        <f t="shared" si="27"/>
        <v>30529</v>
      </c>
      <c r="U108" s="4">
        <f t="shared" si="28"/>
        <v>5047</v>
      </c>
      <c r="V108" s="4">
        <f t="shared" si="29"/>
        <v>6815</v>
      </c>
      <c r="W108" s="4">
        <f t="shared" si="30"/>
        <v>96</v>
      </c>
      <c r="X108">
        <f t="shared" si="31"/>
        <v>47</v>
      </c>
      <c r="Y108">
        <f t="shared" si="32"/>
        <v>7.5</v>
      </c>
      <c r="Z108">
        <f t="shared" si="33"/>
        <v>10.9</v>
      </c>
    </row>
    <row r="109" spans="1:26" x14ac:dyDescent="0.3">
      <c r="A109" t="str">
        <f t="shared" si="25"/>
        <v>HH104</v>
      </c>
      <c r="B109" t="s">
        <v>63</v>
      </c>
      <c r="C109">
        <v>7</v>
      </c>
      <c r="D109" s="4">
        <v>22923</v>
      </c>
      <c r="E109" t="s">
        <v>67</v>
      </c>
      <c r="F109" s="4">
        <v>6271</v>
      </c>
      <c r="G109">
        <v>81</v>
      </c>
      <c r="H109">
        <v>9.5</v>
      </c>
      <c r="I109">
        <v>0.95628072983947088</v>
      </c>
      <c r="J109">
        <v>1</v>
      </c>
      <c r="M109" s="5"/>
      <c r="S109" s="4">
        <f t="shared" si="26"/>
        <v>22923</v>
      </c>
      <c r="T109" s="4">
        <f t="shared" si="27"/>
        <v>38186</v>
      </c>
      <c r="U109" s="4">
        <f t="shared" si="28"/>
        <v>6271</v>
      </c>
      <c r="V109" s="4">
        <f t="shared" si="29"/>
        <v>5233</v>
      </c>
      <c r="W109" s="4">
        <f t="shared" si="30"/>
        <v>81</v>
      </c>
      <c r="X109">
        <f t="shared" si="31"/>
        <v>62</v>
      </c>
      <c r="Y109">
        <f t="shared" si="32"/>
        <v>9.5</v>
      </c>
      <c r="Z109">
        <f t="shared" si="33"/>
        <v>14.6</v>
      </c>
    </row>
    <row r="110" spans="1:26" x14ac:dyDescent="0.3">
      <c r="A110" t="str">
        <f t="shared" si="25"/>
        <v>HH105</v>
      </c>
      <c r="B110" t="s">
        <v>64</v>
      </c>
      <c r="C110">
        <v>3</v>
      </c>
      <c r="D110" s="4">
        <v>32264</v>
      </c>
      <c r="E110" t="s">
        <v>69</v>
      </c>
      <c r="F110" s="4">
        <v>4792</v>
      </c>
      <c r="G110">
        <v>102</v>
      </c>
      <c r="H110">
        <v>5.3</v>
      </c>
      <c r="I110">
        <v>0.95678149661634793</v>
      </c>
      <c r="J110">
        <v>1</v>
      </c>
      <c r="M110" s="5"/>
      <c r="S110" s="4">
        <f t="shared" si="26"/>
        <v>32264</v>
      </c>
      <c r="T110" s="4">
        <f t="shared" si="27"/>
        <v>17754</v>
      </c>
      <c r="U110" s="4">
        <f t="shared" si="28"/>
        <v>4792</v>
      </c>
      <c r="V110" s="4">
        <f t="shared" si="29"/>
        <v>4601</v>
      </c>
      <c r="W110" s="4">
        <f t="shared" si="30"/>
        <v>102</v>
      </c>
      <c r="X110">
        <f t="shared" si="31"/>
        <v>62</v>
      </c>
      <c r="Y110">
        <f t="shared" si="32"/>
        <v>5.3</v>
      </c>
      <c r="Z110">
        <f t="shared" si="33"/>
        <v>7.1</v>
      </c>
    </row>
    <row r="111" spans="1:26" x14ac:dyDescent="0.3">
      <c r="A111" t="str">
        <f t="shared" si="25"/>
        <v>HH106</v>
      </c>
      <c r="B111" t="s">
        <v>63</v>
      </c>
      <c r="C111">
        <v>2</v>
      </c>
      <c r="D111" s="4">
        <v>39360</v>
      </c>
      <c r="E111" t="s">
        <v>67</v>
      </c>
      <c r="F111" s="4">
        <v>4257</v>
      </c>
      <c r="G111">
        <v>60</v>
      </c>
      <c r="H111">
        <v>2.6</v>
      </c>
      <c r="I111">
        <v>0.38753336553851014</v>
      </c>
      <c r="J111">
        <v>1</v>
      </c>
      <c r="M111" s="5"/>
      <c r="S111" s="4">
        <f t="shared" si="26"/>
        <v>39360</v>
      </c>
      <c r="T111" s="4">
        <f t="shared" si="27"/>
        <v>26888</v>
      </c>
      <c r="U111" s="4">
        <f t="shared" si="28"/>
        <v>4257</v>
      </c>
      <c r="V111" s="4">
        <f t="shared" si="29"/>
        <v>4495</v>
      </c>
      <c r="W111" s="4">
        <f t="shared" si="30"/>
        <v>60</v>
      </c>
      <c r="X111">
        <f t="shared" si="31"/>
        <v>91</v>
      </c>
      <c r="Y111">
        <f t="shared" si="32"/>
        <v>2.6</v>
      </c>
      <c r="Z111">
        <f t="shared" si="33"/>
        <v>2</v>
      </c>
    </row>
    <row r="112" spans="1:26" x14ac:dyDescent="0.3">
      <c r="A112" t="str">
        <f t="shared" si="25"/>
        <v>HH107</v>
      </c>
      <c r="B112" t="s">
        <v>65</v>
      </c>
      <c r="C112">
        <v>2</v>
      </c>
      <c r="D112" s="4">
        <v>33425</v>
      </c>
      <c r="E112" t="s">
        <v>69</v>
      </c>
      <c r="F112" s="4">
        <v>3610</v>
      </c>
      <c r="G112">
        <v>40</v>
      </c>
      <c r="H112">
        <v>5.5</v>
      </c>
      <c r="I112">
        <v>0.98033810980978331</v>
      </c>
      <c r="J112">
        <v>1</v>
      </c>
      <c r="M112" s="5"/>
      <c r="S112" s="4">
        <f t="shared" si="26"/>
        <v>33425</v>
      </c>
      <c r="T112" s="4">
        <f t="shared" si="27"/>
        <v>31701</v>
      </c>
      <c r="U112" s="4">
        <f t="shared" si="28"/>
        <v>3610</v>
      </c>
      <c r="V112" s="4">
        <f t="shared" si="29"/>
        <v>4853</v>
      </c>
      <c r="W112" s="4">
        <f t="shared" si="30"/>
        <v>40</v>
      </c>
      <c r="X112">
        <f t="shared" si="31"/>
        <v>72</v>
      </c>
      <c r="Y112">
        <f t="shared" si="32"/>
        <v>5.5</v>
      </c>
      <c r="Z112">
        <f t="shared" si="33"/>
        <v>10.8</v>
      </c>
    </row>
    <row r="113" spans="1:26" x14ac:dyDescent="0.3">
      <c r="A113" t="str">
        <f t="shared" si="25"/>
        <v>HH108</v>
      </c>
      <c r="B113" t="s">
        <v>62</v>
      </c>
      <c r="C113">
        <v>7</v>
      </c>
      <c r="D113" s="4">
        <v>21701</v>
      </c>
      <c r="E113" t="s">
        <v>68</v>
      </c>
      <c r="F113" s="4">
        <v>5932</v>
      </c>
      <c r="G113">
        <v>28</v>
      </c>
      <c r="H113">
        <v>9.3000000000000007</v>
      </c>
      <c r="I113">
        <v>0.72574860624892823</v>
      </c>
      <c r="J113">
        <v>1</v>
      </c>
      <c r="M113" s="5"/>
      <c r="S113" s="4">
        <f t="shared" si="26"/>
        <v>21701</v>
      </c>
      <c r="T113" s="4">
        <f t="shared" si="27"/>
        <v>35944</v>
      </c>
      <c r="U113" s="4">
        <f t="shared" si="28"/>
        <v>5932</v>
      </c>
      <c r="V113" s="4">
        <f t="shared" si="29"/>
        <v>5487</v>
      </c>
      <c r="W113" s="4">
        <f t="shared" si="30"/>
        <v>28</v>
      </c>
      <c r="X113">
        <f t="shared" si="31"/>
        <v>18</v>
      </c>
      <c r="Y113">
        <f t="shared" si="32"/>
        <v>9.3000000000000007</v>
      </c>
      <c r="Z113">
        <f t="shared" si="33"/>
        <v>6</v>
      </c>
    </row>
    <row r="114" spans="1:26" x14ac:dyDescent="0.3">
      <c r="A114" t="str">
        <f t="shared" si="25"/>
        <v>HH109</v>
      </c>
      <c r="B114" t="s">
        <v>65</v>
      </c>
      <c r="C114">
        <v>3</v>
      </c>
      <c r="D114" s="4">
        <v>28882</v>
      </c>
      <c r="E114" t="s">
        <v>68</v>
      </c>
      <c r="F114" s="4">
        <v>5113</v>
      </c>
      <c r="G114">
        <v>93</v>
      </c>
      <c r="H114">
        <v>1.7</v>
      </c>
      <c r="I114">
        <v>0.27887009186675493</v>
      </c>
      <c r="J114">
        <v>1</v>
      </c>
      <c r="M114" s="5"/>
      <c r="S114" s="4">
        <f t="shared" si="26"/>
        <v>28882</v>
      </c>
      <c r="T114" s="4">
        <f t="shared" si="27"/>
        <v>25511</v>
      </c>
      <c r="U114" s="4">
        <f t="shared" si="28"/>
        <v>5113</v>
      </c>
      <c r="V114" s="4">
        <f t="shared" si="29"/>
        <v>4802</v>
      </c>
      <c r="W114" s="4">
        <f t="shared" si="30"/>
        <v>93</v>
      </c>
      <c r="X114">
        <f t="shared" si="31"/>
        <v>96</v>
      </c>
      <c r="Y114">
        <f t="shared" si="32"/>
        <v>1.7</v>
      </c>
      <c r="Z114">
        <f t="shared" si="33"/>
        <v>12.3</v>
      </c>
    </row>
    <row r="115" spans="1:26" x14ac:dyDescent="0.3">
      <c r="A115" t="str">
        <f t="shared" si="25"/>
        <v>HH110</v>
      </c>
      <c r="B115" t="s">
        <v>64</v>
      </c>
      <c r="C115">
        <v>8</v>
      </c>
      <c r="D115" s="4">
        <v>15079</v>
      </c>
      <c r="E115" t="s">
        <v>68</v>
      </c>
      <c r="F115" s="4">
        <v>5175</v>
      </c>
      <c r="G115">
        <v>117</v>
      </c>
      <c r="H115">
        <v>4.4000000000000004</v>
      </c>
      <c r="I115">
        <v>0.62301678325789411</v>
      </c>
      <c r="J115">
        <v>1</v>
      </c>
      <c r="M115" s="5"/>
      <c r="S115" s="4">
        <f t="shared" si="26"/>
        <v>15079</v>
      </c>
      <c r="T115" s="4">
        <f t="shared" si="27"/>
        <v>44866</v>
      </c>
      <c r="U115" s="4">
        <f t="shared" si="28"/>
        <v>5175</v>
      </c>
      <c r="V115" s="4">
        <f t="shared" si="29"/>
        <v>5981</v>
      </c>
      <c r="W115" s="4">
        <f t="shared" si="30"/>
        <v>117</v>
      </c>
      <c r="X115">
        <f t="shared" si="31"/>
        <v>65</v>
      </c>
      <c r="Y115">
        <f t="shared" si="32"/>
        <v>4.4000000000000004</v>
      </c>
      <c r="Z115">
        <f t="shared" si="33"/>
        <v>5.8</v>
      </c>
    </row>
    <row r="116" spans="1:26" x14ac:dyDescent="0.3">
      <c r="A116" t="str">
        <f t="shared" si="25"/>
        <v>HH111</v>
      </c>
      <c r="B116" t="s">
        <v>63</v>
      </c>
      <c r="C116">
        <v>5</v>
      </c>
      <c r="D116" s="4">
        <v>20004</v>
      </c>
      <c r="E116" t="s">
        <v>67</v>
      </c>
      <c r="F116" s="4">
        <v>5761</v>
      </c>
      <c r="G116">
        <v>56</v>
      </c>
      <c r="H116">
        <v>13.8</v>
      </c>
      <c r="I116">
        <v>0.72240857704212214</v>
      </c>
      <c r="J116">
        <v>1</v>
      </c>
      <c r="M116" s="5"/>
      <c r="S116" s="4">
        <f t="shared" si="26"/>
        <v>20004</v>
      </c>
      <c r="T116" s="4">
        <f t="shared" si="27"/>
        <v>30093</v>
      </c>
      <c r="U116" s="4">
        <f t="shared" si="28"/>
        <v>5761</v>
      </c>
      <c r="V116" s="4">
        <f t="shared" si="29"/>
        <v>6156</v>
      </c>
      <c r="W116" s="4">
        <f t="shared" si="30"/>
        <v>56</v>
      </c>
      <c r="X116">
        <f t="shared" si="31"/>
        <v>32</v>
      </c>
      <c r="Y116">
        <f t="shared" si="32"/>
        <v>13.8</v>
      </c>
      <c r="Z116">
        <f t="shared" si="33"/>
        <v>2.9</v>
      </c>
    </row>
    <row r="117" spans="1:26" x14ac:dyDescent="0.3">
      <c r="A117" t="str">
        <f t="shared" si="25"/>
        <v>HH112</v>
      </c>
      <c r="B117" t="s">
        <v>64</v>
      </c>
      <c r="C117">
        <v>4</v>
      </c>
      <c r="D117" s="4">
        <v>35370</v>
      </c>
      <c r="E117" t="s">
        <v>68</v>
      </c>
      <c r="F117" s="4">
        <v>3397</v>
      </c>
      <c r="G117">
        <v>96</v>
      </c>
      <c r="H117">
        <v>9.3000000000000007</v>
      </c>
      <c r="I117">
        <v>0.67371292363670887</v>
      </c>
      <c r="J117">
        <v>1</v>
      </c>
      <c r="M117" s="5"/>
      <c r="S117" s="4">
        <f t="shared" si="26"/>
        <v>35370</v>
      </c>
      <c r="T117" s="4">
        <f t="shared" si="27"/>
        <v>37583</v>
      </c>
      <c r="U117" s="4">
        <f t="shared" si="28"/>
        <v>3397</v>
      </c>
      <c r="V117" s="4">
        <f t="shared" si="29"/>
        <v>4992</v>
      </c>
      <c r="W117" s="4">
        <f t="shared" si="30"/>
        <v>96</v>
      </c>
      <c r="X117">
        <f t="shared" si="31"/>
        <v>115</v>
      </c>
      <c r="Y117">
        <f t="shared" si="32"/>
        <v>9.3000000000000007</v>
      </c>
      <c r="Z117">
        <f t="shared" si="33"/>
        <v>7.1</v>
      </c>
    </row>
    <row r="118" spans="1:26" x14ac:dyDescent="0.3">
      <c r="A118" t="str">
        <f t="shared" si="25"/>
        <v>HH113</v>
      </c>
      <c r="B118" t="s">
        <v>63</v>
      </c>
      <c r="C118">
        <v>3</v>
      </c>
      <c r="D118" s="4">
        <v>36007</v>
      </c>
      <c r="E118" t="s">
        <v>67</v>
      </c>
      <c r="F118" s="4">
        <v>4699</v>
      </c>
      <c r="G118">
        <v>16</v>
      </c>
      <c r="H118">
        <v>8.6</v>
      </c>
      <c r="I118">
        <v>0.26412674648078782</v>
      </c>
      <c r="J118">
        <v>1</v>
      </c>
      <c r="M118" s="5"/>
      <c r="S118" s="4">
        <f t="shared" si="26"/>
        <v>36007</v>
      </c>
      <c r="T118" s="4">
        <f t="shared" si="27"/>
        <v>31536</v>
      </c>
      <c r="U118" s="4">
        <f t="shared" si="28"/>
        <v>4699</v>
      </c>
      <c r="V118" s="4">
        <f t="shared" si="29"/>
        <v>5837</v>
      </c>
      <c r="W118" s="4">
        <f t="shared" si="30"/>
        <v>16</v>
      </c>
      <c r="X118">
        <f t="shared" si="31"/>
        <v>93</v>
      </c>
      <c r="Y118">
        <f t="shared" si="32"/>
        <v>8.6</v>
      </c>
      <c r="Z118">
        <f t="shared" si="33"/>
        <v>8.6</v>
      </c>
    </row>
    <row r="119" spans="1:26" x14ac:dyDescent="0.3">
      <c r="A119" t="str">
        <f t="shared" si="25"/>
        <v>HH114</v>
      </c>
      <c r="B119" t="s">
        <v>65</v>
      </c>
      <c r="C119">
        <v>3</v>
      </c>
      <c r="D119" s="4">
        <v>30700</v>
      </c>
      <c r="E119" t="s">
        <v>69</v>
      </c>
      <c r="F119" s="4">
        <v>4774</v>
      </c>
      <c r="G119">
        <v>36</v>
      </c>
      <c r="H119">
        <v>0.5</v>
      </c>
      <c r="I119">
        <v>0.35966753311330912</v>
      </c>
      <c r="J119">
        <v>1</v>
      </c>
      <c r="M119" s="5"/>
      <c r="S119" s="4">
        <f t="shared" si="26"/>
        <v>30700</v>
      </c>
      <c r="T119" s="4">
        <f t="shared" si="27"/>
        <v>22133</v>
      </c>
      <c r="U119" s="4">
        <f t="shared" si="28"/>
        <v>4774</v>
      </c>
      <c r="V119" s="4">
        <f t="shared" si="29"/>
        <v>4392</v>
      </c>
      <c r="W119" s="4">
        <f t="shared" si="30"/>
        <v>36</v>
      </c>
      <c r="X119">
        <f t="shared" si="31"/>
        <v>117</v>
      </c>
      <c r="Y119">
        <f t="shared" si="32"/>
        <v>0.5</v>
      </c>
      <c r="Z119">
        <f t="shared" si="33"/>
        <v>5.9</v>
      </c>
    </row>
    <row r="120" spans="1:26" x14ac:dyDescent="0.3">
      <c r="A120" t="str">
        <f t="shared" si="25"/>
        <v>HH115</v>
      </c>
      <c r="B120" t="s">
        <v>64</v>
      </c>
      <c r="C120">
        <v>8</v>
      </c>
      <c r="D120" s="4">
        <v>37581</v>
      </c>
      <c r="E120" t="s">
        <v>68</v>
      </c>
      <c r="F120" s="4">
        <v>5941</v>
      </c>
      <c r="G120">
        <v>53</v>
      </c>
      <c r="H120">
        <v>2.4</v>
      </c>
      <c r="I120">
        <v>0.65604649754217637</v>
      </c>
      <c r="J120">
        <v>1</v>
      </c>
      <c r="M120" s="5"/>
      <c r="S120" s="4">
        <f t="shared" si="26"/>
        <v>37581</v>
      </c>
      <c r="T120" s="4">
        <f t="shared" si="27"/>
        <v>32018</v>
      </c>
      <c r="U120" s="4">
        <f t="shared" si="28"/>
        <v>5941</v>
      </c>
      <c r="V120" s="4">
        <f t="shared" si="29"/>
        <v>3212</v>
      </c>
      <c r="W120" s="4">
        <f t="shared" si="30"/>
        <v>53</v>
      </c>
      <c r="X120">
        <f t="shared" si="31"/>
        <v>108</v>
      </c>
      <c r="Y120">
        <f t="shared" si="32"/>
        <v>2.4</v>
      </c>
      <c r="Z120">
        <f t="shared" si="33"/>
        <v>1.8</v>
      </c>
    </row>
    <row r="121" spans="1:26" x14ac:dyDescent="0.3">
      <c r="A121" t="str">
        <f t="shared" si="25"/>
        <v>HH116</v>
      </c>
      <c r="B121" t="s">
        <v>65</v>
      </c>
      <c r="C121">
        <v>8</v>
      </c>
      <c r="D121" s="4">
        <v>27364</v>
      </c>
      <c r="E121" t="s">
        <v>69</v>
      </c>
      <c r="F121" s="4">
        <v>5743</v>
      </c>
      <c r="G121">
        <v>52</v>
      </c>
      <c r="H121">
        <v>8</v>
      </c>
      <c r="I121">
        <v>0.57672025124499615</v>
      </c>
      <c r="J121">
        <v>1</v>
      </c>
      <c r="M121" s="5"/>
      <c r="S121" s="4">
        <f t="shared" si="26"/>
        <v>27364</v>
      </c>
      <c r="T121" s="4">
        <f t="shared" si="27"/>
        <v>24901</v>
      </c>
      <c r="U121" s="4">
        <f t="shared" si="28"/>
        <v>5743</v>
      </c>
      <c r="V121" s="4">
        <f t="shared" si="29"/>
        <v>4087</v>
      </c>
      <c r="W121" s="4">
        <f t="shared" si="30"/>
        <v>52</v>
      </c>
      <c r="X121">
        <f t="shared" si="31"/>
        <v>33</v>
      </c>
      <c r="Y121">
        <f t="shared" si="32"/>
        <v>8</v>
      </c>
      <c r="Z121">
        <f t="shared" si="33"/>
        <v>5.8</v>
      </c>
    </row>
    <row r="122" spans="1:26" x14ac:dyDescent="0.3">
      <c r="A122" t="str">
        <f t="shared" si="25"/>
        <v>HH117</v>
      </c>
      <c r="B122" t="s">
        <v>64</v>
      </c>
      <c r="C122">
        <v>4</v>
      </c>
      <c r="D122" s="4">
        <v>26678</v>
      </c>
      <c r="E122" t="s">
        <v>68</v>
      </c>
      <c r="F122" s="4">
        <v>5344</v>
      </c>
      <c r="G122">
        <v>81</v>
      </c>
      <c r="H122">
        <v>7</v>
      </c>
      <c r="I122">
        <v>0.85869309057675636</v>
      </c>
      <c r="J122">
        <v>1</v>
      </c>
      <c r="M122" s="5"/>
      <c r="S122" s="4">
        <f t="shared" si="26"/>
        <v>26678</v>
      </c>
      <c r="T122" s="4">
        <f t="shared" si="27"/>
        <v>31799</v>
      </c>
      <c r="U122" s="4">
        <f t="shared" si="28"/>
        <v>5344</v>
      </c>
      <c r="V122" s="4">
        <f t="shared" si="29"/>
        <v>5392</v>
      </c>
      <c r="W122" s="4">
        <f t="shared" si="30"/>
        <v>81</v>
      </c>
      <c r="X122">
        <f t="shared" si="31"/>
        <v>56</v>
      </c>
      <c r="Y122">
        <f t="shared" si="32"/>
        <v>7</v>
      </c>
      <c r="Z122">
        <f t="shared" si="33"/>
        <v>4.8</v>
      </c>
    </row>
    <row r="123" spans="1:26" x14ac:dyDescent="0.3">
      <c r="A123" t="str">
        <f t="shared" si="25"/>
        <v>HH118</v>
      </c>
      <c r="B123" t="s">
        <v>65</v>
      </c>
      <c r="C123">
        <v>8</v>
      </c>
      <c r="D123" s="4">
        <v>41103</v>
      </c>
      <c r="E123" t="s">
        <v>68</v>
      </c>
      <c r="F123" s="4">
        <v>5911</v>
      </c>
      <c r="G123">
        <v>65</v>
      </c>
      <c r="H123">
        <v>6.7</v>
      </c>
      <c r="I123">
        <v>0.97962604800631281</v>
      </c>
      <c r="J123">
        <v>1</v>
      </c>
      <c r="M123" s="5"/>
      <c r="S123" s="4">
        <f t="shared" si="26"/>
        <v>41103</v>
      </c>
      <c r="T123" s="4">
        <f t="shared" si="27"/>
        <v>14497</v>
      </c>
      <c r="U123" s="4">
        <f t="shared" si="28"/>
        <v>5911</v>
      </c>
      <c r="V123" s="4">
        <f t="shared" si="29"/>
        <v>3888</v>
      </c>
      <c r="W123" s="4">
        <f t="shared" si="30"/>
        <v>65</v>
      </c>
      <c r="X123">
        <f t="shared" si="31"/>
        <v>37</v>
      </c>
      <c r="Y123">
        <f t="shared" si="32"/>
        <v>6.7</v>
      </c>
      <c r="Z123">
        <f t="shared" si="33"/>
        <v>14.6</v>
      </c>
    </row>
    <row r="124" spans="1:26" x14ac:dyDescent="0.3">
      <c r="A124" t="str">
        <f t="shared" si="25"/>
        <v>HH119</v>
      </c>
      <c r="B124" t="s">
        <v>65</v>
      </c>
      <c r="C124">
        <v>8</v>
      </c>
      <c r="D124" s="4">
        <v>17342</v>
      </c>
      <c r="E124" t="s">
        <v>68</v>
      </c>
      <c r="F124" s="4">
        <v>5003</v>
      </c>
      <c r="G124">
        <v>92</v>
      </c>
      <c r="H124">
        <v>3.3</v>
      </c>
      <c r="I124">
        <v>0.98991424627336944</v>
      </c>
      <c r="J124">
        <v>1</v>
      </c>
      <c r="M124" s="5"/>
      <c r="S124" s="4">
        <f t="shared" si="26"/>
        <v>17342</v>
      </c>
      <c r="T124" s="4">
        <f t="shared" si="27"/>
        <v>44305</v>
      </c>
      <c r="U124" s="4">
        <f t="shared" si="28"/>
        <v>5003</v>
      </c>
      <c r="V124" s="4">
        <f t="shared" si="29"/>
        <v>5126</v>
      </c>
      <c r="W124" s="4">
        <f t="shared" si="30"/>
        <v>92</v>
      </c>
      <c r="X124">
        <f t="shared" si="31"/>
        <v>77</v>
      </c>
      <c r="Y124">
        <f t="shared" si="32"/>
        <v>3.3</v>
      </c>
      <c r="Z124">
        <f t="shared" si="33"/>
        <v>10.1</v>
      </c>
    </row>
    <row r="125" spans="1:26" x14ac:dyDescent="0.3">
      <c r="A125" t="str">
        <f t="shared" si="25"/>
        <v>HH120</v>
      </c>
      <c r="B125" t="s">
        <v>62</v>
      </c>
      <c r="C125">
        <v>5</v>
      </c>
      <c r="D125" s="4">
        <v>42626</v>
      </c>
      <c r="E125" t="s">
        <v>67</v>
      </c>
      <c r="F125" s="4">
        <v>3968</v>
      </c>
      <c r="G125">
        <v>93</v>
      </c>
      <c r="H125">
        <v>2.2999999999999998</v>
      </c>
      <c r="I125">
        <v>0.71421644097004433</v>
      </c>
      <c r="J125">
        <v>1</v>
      </c>
      <c r="M125" s="5"/>
      <c r="S125" s="4">
        <f t="shared" si="26"/>
        <v>42626</v>
      </c>
      <c r="T125" s="4">
        <f t="shared" si="27"/>
        <v>30548</v>
      </c>
      <c r="U125" s="4">
        <f t="shared" si="28"/>
        <v>3968</v>
      </c>
      <c r="V125" s="4">
        <f t="shared" si="29"/>
        <v>5591</v>
      </c>
      <c r="W125" s="4">
        <f t="shared" si="30"/>
        <v>93</v>
      </c>
      <c r="X125">
        <f t="shared" si="31"/>
        <v>16</v>
      </c>
      <c r="Y125">
        <f t="shared" si="32"/>
        <v>2.2999999999999998</v>
      </c>
      <c r="Z125">
        <f t="shared" si="33"/>
        <v>3.7</v>
      </c>
    </row>
    <row r="126" spans="1:26" x14ac:dyDescent="0.3">
      <c r="A126" t="str">
        <f t="shared" si="25"/>
        <v>HH121</v>
      </c>
      <c r="B126" t="s">
        <v>64</v>
      </c>
      <c r="C126">
        <v>2</v>
      </c>
      <c r="D126" s="4">
        <v>25136</v>
      </c>
      <c r="E126" t="s">
        <v>69</v>
      </c>
      <c r="F126" s="4">
        <v>2887</v>
      </c>
      <c r="G126">
        <v>25</v>
      </c>
      <c r="H126">
        <v>6.2</v>
      </c>
      <c r="I126">
        <v>0.58931755657172835</v>
      </c>
      <c r="J126">
        <v>1</v>
      </c>
      <c r="M126" s="5"/>
      <c r="S126" s="4">
        <f t="shared" si="26"/>
        <v>25136</v>
      </c>
      <c r="T126" s="4">
        <f t="shared" si="27"/>
        <v>26065</v>
      </c>
      <c r="U126" s="4">
        <f t="shared" si="28"/>
        <v>2887</v>
      </c>
      <c r="V126" s="4">
        <f t="shared" si="29"/>
        <v>3670</v>
      </c>
      <c r="W126" s="4">
        <f t="shared" si="30"/>
        <v>25</v>
      </c>
      <c r="X126">
        <f t="shared" si="31"/>
        <v>102</v>
      </c>
      <c r="Y126">
        <f t="shared" si="32"/>
        <v>6.2</v>
      </c>
      <c r="Z126">
        <f t="shared" si="33"/>
        <v>10.1</v>
      </c>
    </row>
    <row r="127" spans="1:26" x14ac:dyDescent="0.3">
      <c r="A127" t="str">
        <f t="shared" si="25"/>
        <v>HH122</v>
      </c>
      <c r="B127" t="s">
        <v>65</v>
      </c>
      <c r="C127">
        <v>6</v>
      </c>
      <c r="D127" s="4">
        <v>24460</v>
      </c>
      <c r="E127" t="s">
        <v>68</v>
      </c>
      <c r="F127" s="4">
        <v>4020</v>
      </c>
      <c r="G127">
        <v>72</v>
      </c>
      <c r="H127">
        <v>12.5</v>
      </c>
      <c r="I127">
        <v>0.7235744204149307</v>
      </c>
      <c r="J127">
        <v>1</v>
      </c>
      <c r="M127" s="5"/>
      <c r="S127" s="4">
        <f t="shared" si="26"/>
        <v>24460</v>
      </c>
      <c r="T127" s="4">
        <f t="shared" si="27"/>
        <v>30876</v>
      </c>
      <c r="U127" s="4">
        <f t="shared" si="28"/>
        <v>4020</v>
      </c>
      <c r="V127" s="4">
        <f t="shared" si="29"/>
        <v>5231</v>
      </c>
      <c r="W127" s="4">
        <f t="shared" si="30"/>
        <v>72</v>
      </c>
      <c r="X127">
        <f t="shared" si="31"/>
        <v>28</v>
      </c>
      <c r="Y127">
        <f t="shared" si="32"/>
        <v>12.5</v>
      </c>
      <c r="Z127">
        <f t="shared" si="33"/>
        <v>1.9</v>
      </c>
    </row>
    <row r="128" spans="1:26" x14ac:dyDescent="0.3">
      <c r="A128" t="str">
        <f t="shared" si="25"/>
        <v>HH123</v>
      </c>
      <c r="B128" t="s">
        <v>63</v>
      </c>
      <c r="C128">
        <v>4</v>
      </c>
      <c r="D128" s="4">
        <v>20855</v>
      </c>
      <c r="E128" t="s">
        <v>68</v>
      </c>
      <c r="F128" s="4">
        <v>4146</v>
      </c>
      <c r="G128">
        <v>28</v>
      </c>
      <c r="H128">
        <v>12.2</v>
      </c>
      <c r="I128">
        <v>0.9747380435760995</v>
      </c>
      <c r="J128">
        <v>1</v>
      </c>
      <c r="M128" s="5"/>
      <c r="S128" s="4">
        <f t="shared" si="26"/>
        <v>20855</v>
      </c>
      <c r="T128" s="4">
        <f t="shared" si="27"/>
        <v>38669</v>
      </c>
      <c r="U128" s="4">
        <f t="shared" si="28"/>
        <v>4146</v>
      </c>
      <c r="V128" s="4">
        <f t="shared" si="29"/>
        <v>6680</v>
      </c>
      <c r="W128" s="4">
        <f t="shared" si="30"/>
        <v>28</v>
      </c>
      <c r="X128">
        <f t="shared" si="31"/>
        <v>50</v>
      </c>
      <c r="Y128">
        <f t="shared" si="32"/>
        <v>12.2</v>
      </c>
      <c r="Z128">
        <f t="shared" si="33"/>
        <v>0.5</v>
      </c>
    </row>
    <row r="129" spans="1:26" x14ac:dyDescent="0.3">
      <c r="A129" t="str">
        <f t="shared" si="25"/>
        <v>HH124</v>
      </c>
      <c r="B129" t="s">
        <v>64</v>
      </c>
      <c r="C129">
        <v>2</v>
      </c>
      <c r="D129" s="4">
        <v>37100</v>
      </c>
      <c r="E129" t="s">
        <v>68</v>
      </c>
      <c r="F129" s="4">
        <v>4609</v>
      </c>
      <c r="G129">
        <v>88</v>
      </c>
      <c r="H129">
        <v>7</v>
      </c>
      <c r="I129">
        <v>0.15532786659319908</v>
      </c>
      <c r="J129">
        <v>1</v>
      </c>
      <c r="M129" s="5"/>
      <c r="S129" s="4">
        <f t="shared" si="26"/>
        <v>37100</v>
      </c>
      <c r="T129" s="4">
        <f t="shared" si="27"/>
        <v>27229</v>
      </c>
      <c r="U129" s="4">
        <f t="shared" si="28"/>
        <v>4609</v>
      </c>
      <c r="V129" s="4">
        <f t="shared" si="29"/>
        <v>3640</v>
      </c>
      <c r="W129" s="4">
        <f t="shared" si="30"/>
        <v>88</v>
      </c>
      <c r="X129">
        <f t="shared" si="31"/>
        <v>48</v>
      </c>
      <c r="Y129">
        <f t="shared" si="32"/>
        <v>7</v>
      </c>
      <c r="Z129">
        <f t="shared" si="33"/>
        <v>9.5</v>
      </c>
    </row>
    <row r="130" spans="1:26" x14ac:dyDescent="0.3">
      <c r="A130" t="str">
        <f t="shared" si="25"/>
        <v>HH125</v>
      </c>
      <c r="B130" t="s">
        <v>64</v>
      </c>
      <c r="C130">
        <v>5</v>
      </c>
      <c r="D130" s="4">
        <v>21492</v>
      </c>
      <c r="E130" t="s">
        <v>67</v>
      </c>
      <c r="F130" s="4">
        <v>5335</v>
      </c>
      <c r="G130">
        <v>16</v>
      </c>
      <c r="H130">
        <v>14.3</v>
      </c>
      <c r="I130">
        <v>0.90289195582231607</v>
      </c>
      <c r="J130">
        <v>1</v>
      </c>
      <c r="M130" s="5"/>
      <c r="S130" s="4">
        <f t="shared" si="26"/>
        <v>21492</v>
      </c>
      <c r="T130" s="4">
        <f t="shared" si="27"/>
        <v>25365</v>
      </c>
      <c r="U130" s="4">
        <f t="shared" si="28"/>
        <v>5335</v>
      </c>
      <c r="V130" s="4">
        <f t="shared" si="29"/>
        <v>4202</v>
      </c>
      <c r="W130" s="4">
        <f t="shared" si="30"/>
        <v>16</v>
      </c>
      <c r="X130">
        <f t="shared" si="31"/>
        <v>47</v>
      </c>
      <c r="Y130">
        <f t="shared" si="32"/>
        <v>14.3</v>
      </c>
      <c r="Z130">
        <f t="shared" si="33"/>
        <v>8.9</v>
      </c>
    </row>
    <row r="131" spans="1:26" x14ac:dyDescent="0.3">
      <c r="A131" t="str">
        <f t="shared" si="25"/>
        <v>HH126</v>
      </c>
      <c r="B131" t="s">
        <v>63</v>
      </c>
      <c r="C131">
        <v>7</v>
      </c>
      <c r="D131" s="4">
        <v>26841</v>
      </c>
      <c r="E131" t="s">
        <v>68</v>
      </c>
      <c r="F131" s="4">
        <v>5721</v>
      </c>
      <c r="G131">
        <v>58</v>
      </c>
      <c r="H131">
        <v>3.4</v>
      </c>
      <c r="I131">
        <v>0.50293346418018392</v>
      </c>
      <c r="J131">
        <v>1</v>
      </c>
      <c r="M131" s="5"/>
      <c r="S131" s="4">
        <f t="shared" si="26"/>
        <v>26841</v>
      </c>
      <c r="T131" s="4">
        <f t="shared" si="27"/>
        <v>38779</v>
      </c>
      <c r="U131" s="4">
        <f t="shared" si="28"/>
        <v>5721</v>
      </c>
      <c r="V131" s="4">
        <f t="shared" si="29"/>
        <v>5541</v>
      </c>
      <c r="W131" s="4">
        <f t="shared" si="30"/>
        <v>58</v>
      </c>
      <c r="X131">
        <f t="shared" si="31"/>
        <v>86</v>
      </c>
      <c r="Y131">
        <f t="shared" si="32"/>
        <v>3.4</v>
      </c>
      <c r="Z131">
        <f t="shared" si="33"/>
        <v>10.5</v>
      </c>
    </row>
    <row r="132" spans="1:26" x14ac:dyDescent="0.3">
      <c r="A132" t="str">
        <f t="shared" si="25"/>
        <v>HH127</v>
      </c>
      <c r="B132" t="s">
        <v>62</v>
      </c>
      <c r="C132">
        <v>4</v>
      </c>
      <c r="D132" s="4">
        <v>17057</v>
      </c>
      <c r="E132" t="s">
        <v>69</v>
      </c>
      <c r="F132" s="4">
        <v>4320</v>
      </c>
      <c r="G132">
        <v>95</v>
      </c>
      <c r="H132">
        <v>2.8</v>
      </c>
      <c r="I132">
        <v>0.13589486531403716</v>
      </c>
      <c r="J132">
        <v>1</v>
      </c>
      <c r="M132" s="5"/>
      <c r="S132" s="4">
        <f t="shared" si="26"/>
        <v>17057</v>
      </c>
      <c r="T132" s="4">
        <f t="shared" si="27"/>
        <v>24467</v>
      </c>
      <c r="U132" s="4">
        <f t="shared" si="28"/>
        <v>4320</v>
      </c>
      <c r="V132" s="4">
        <f t="shared" si="29"/>
        <v>6594</v>
      </c>
      <c r="W132" s="4">
        <f t="shared" si="30"/>
        <v>95</v>
      </c>
      <c r="X132">
        <f t="shared" si="31"/>
        <v>72</v>
      </c>
      <c r="Y132">
        <f t="shared" si="32"/>
        <v>2.8</v>
      </c>
      <c r="Z132">
        <f t="shared" si="33"/>
        <v>8</v>
      </c>
    </row>
    <row r="133" spans="1:26" x14ac:dyDescent="0.3">
      <c r="A133" t="str">
        <f t="shared" si="25"/>
        <v>HH128</v>
      </c>
      <c r="B133" t="s">
        <v>64</v>
      </c>
      <c r="C133">
        <v>3</v>
      </c>
      <c r="D133" s="4">
        <v>31967</v>
      </c>
      <c r="E133" t="s">
        <v>69</v>
      </c>
      <c r="F133" s="4">
        <v>4043</v>
      </c>
      <c r="G133">
        <v>71</v>
      </c>
      <c r="H133">
        <v>13.7</v>
      </c>
      <c r="I133">
        <v>0.98851018979879335</v>
      </c>
      <c r="J133">
        <v>1</v>
      </c>
      <c r="M133" s="5"/>
      <c r="S133" s="4">
        <f t="shared" si="26"/>
        <v>31967</v>
      </c>
      <c r="T133" s="4">
        <f t="shared" si="27"/>
        <v>29244</v>
      </c>
      <c r="U133" s="4">
        <f t="shared" si="28"/>
        <v>4043</v>
      </c>
      <c r="V133" s="4">
        <f t="shared" si="29"/>
        <v>4850</v>
      </c>
      <c r="W133" s="4">
        <f t="shared" si="30"/>
        <v>71</v>
      </c>
      <c r="X133">
        <f t="shared" si="31"/>
        <v>18</v>
      </c>
      <c r="Y133">
        <f t="shared" si="32"/>
        <v>13.7</v>
      </c>
      <c r="Z133">
        <f t="shared" si="33"/>
        <v>9.6</v>
      </c>
    </row>
    <row r="134" spans="1:26" x14ac:dyDescent="0.3">
      <c r="A134" t="str">
        <f t="shared" si="25"/>
        <v>HH129</v>
      </c>
      <c r="B134" t="s">
        <v>63</v>
      </c>
      <c r="C134">
        <v>7</v>
      </c>
      <c r="D134" s="4">
        <v>33202</v>
      </c>
      <c r="E134" t="s">
        <v>69</v>
      </c>
      <c r="F134" s="4">
        <v>4597</v>
      </c>
      <c r="G134">
        <v>82</v>
      </c>
      <c r="H134">
        <v>14.8</v>
      </c>
      <c r="I134">
        <v>0.74910030239978442</v>
      </c>
      <c r="J134">
        <v>1</v>
      </c>
      <c r="M134" s="5"/>
      <c r="S134" s="4">
        <f t="shared" ref="S134:S165" si="34">IF($J134=1,D134,"")</f>
        <v>33202</v>
      </c>
      <c r="T134" s="4">
        <f t="shared" ref="T134:T165" si="35">IF($J334=0, D334,"")</f>
        <v>45177</v>
      </c>
      <c r="U134" s="4">
        <f t="shared" ref="U134:U165" si="36">IF($J134=1,F134,"")</f>
        <v>4597</v>
      </c>
      <c r="V134" s="4">
        <f t="shared" ref="V134:V165" si="37">IF($J334=0,F334,"")</f>
        <v>4914</v>
      </c>
      <c r="W134" s="4">
        <f t="shared" ref="W134:W165" si="38">IF($J134=1,G134,"")</f>
        <v>82</v>
      </c>
      <c r="X134">
        <f t="shared" ref="X134:X165" si="39">IF($J334=0,G334,"")</f>
        <v>41</v>
      </c>
      <c r="Y134">
        <f t="shared" ref="Y134:Y165" si="40">IF($J134=1,H134,"")</f>
        <v>14.8</v>
      </c>
      <c r="Z134">
        <f t="shared" ref="Z134:Z165" si="41">IF($J334=0,H334,"")</f>
        <v>13.5</v>
      </c>
    </row>
    <row r="135" spans="1:26" x14ac:dyDescent="0.3">
      <c r="A135" t="str">
        <f t="shared" ref="A135:A198" si="42">"HH"&amp;TEXT(ROW()-5,"000")</f>
        <v>HH130</v>
      </c>
      <c r="B135" t="s">
        <v>62</v>
      </c>
      <c r="C135">
        <v>2</v>
      </c>
      <c r="D135" s="4">
        <v>26203</v>
      </c>
      <c r="E135" t="s">
        <v>68</v>
      </c>
      <c r="F135" s="4">
        <v>2542</v>
      </c>
      <c r="G135">
        <v>104</v>
      </c>
      <c r="H135">
        <v>14.5</v>
      </c>
      <c r="I135">
        <v>0.60604325480627774</v>
      </c>
      <c r="J135">
        <v>1</v>
      </c>
      <c r="M135" s="5"/>
      <c r="S135" s="4">
        <f t="shared" si="34"/>
        <v>26203</v>
      </c>
      <c r="T135" s="4">
        <f t="shared" si="35"/>
        <v>38279</v>
      </c>
      <c r="U135" s="4">
        <f t="shared" si="36"/>
        <v>2542</v>
      </c>
      <c r="V135" s="4">
        <f t="shared" si="37"/>
        <v>7066</v>
      </c>
      <c r="W135" s="4">
        <f t="shared" si="38"/>
        <v>104</v>
      </c>
      <c r="X135">
        <f t="shared" si="39"/>
        <v>15</v>
      </c>
      <c r="Y135">
        <f t="shared" si="40"/>
        <v>14.5</v>
      </c>
      <c r="Z135">
        <f t="shared" si="41"/>
        <v>3.5</v>
      </c>
    </row>
    <row r="136" spans="1:26" x14ac:dyDescent="0.3">
      <c r="A136" t="str">
        <f t="shared" si="42"/>
        <v>HH131</v>
      </c>
      <c r="B136" t="s">
        <v>63</v>
      </c>
      <c r="C136">
        <v>2</v>
      </c>
      <c r="D136" s="4">
        <v>42962</v>
      </c>
      <c r="E136" t="s">
        <v>67</v>
      </c>
      <c r="F136" s="4">
        <v>3820</v>
      </c>
      <c r="G136">
        <v>116</v>
      </c>
      <c r="H136">
        <v>14</v>
      </c>
      <c r="I136">
        <v>0.13752894158375228</v>
      </c>
      <c r="J136">
        <v>1</v>
      </c>
      <c r="M136" s="5"/>
      <c r="S136" s="4">
        <f t="shared" si="34"/>
        <v>42962</v>
      </c>
      <c r="T136" s="4">
        <f t="shared" si="35"/>
        <v>35927</v>
      </c>
      <c r="U136" s="4">
        <f t="shared" si="36"/>
        <v>3820</v>
      </c>
      <c r="V136" s="4">
        <f t="shared" si="37"/>
        <v>4303</v>
      </c>
      <c r="W136" s="4">
        <f t="shared" si="38"/>
        <v>116</v>
      </c>
      <c r="X136">
        <f t="shared" si="39"/>
        <v>64</v>
      </c>
      <c r="Y136">
        <f t="shared" si="40"/>
        <v>14</v>
      </c>
      <c r="Z136">
        <f t="shared" si="41"/>
        <v>8.8000000000000007</v>
      </c>
    </row>
    <row r="137" spans="1:26" x14ac:dyDescent="0.3">
      <c r="A137" t="str">
        <f t="shared" si="42"/>
        <v>HH132</v>
      </c>
      <c r="B137" t="s">
        <v>63</v>
      </c>
      <c r="C137">
        <v>7</v>
      </c>
      <c r="D137" s="4">
        <v>37225</v>
      </c>
      <c r="E137" t="s">
        <v>67</v>
      </c>
      <c r="F137" s="4">
        <v>4876</v>
      </c>
      <c r="G137">
        <v>17</v>
      </c>
      <c r="H137">
        <v>2.1</v>
      </c>
      <c r="I137">
        <v>0.58476759178540105</v>
      </c>
      <c r="J137">
        <v>1</v>
      </c>
      <c r="M137" s="5"/>
      <c r="S137" s="4">
        <f t="shared" si="34"/>
        <v>37225</v>
      </c>
      <c r="T137" s="4">
        <f t="shared" si="35"/>
        <v>36703</v>
      </c>
      <c r="U137" s="4">
        <f t="shared" si="36"/>
        <v>4876</v>
      </c>
      <c r="V137" s="4">
        <f t="shared" si="37"/>
        <v>4168</v>
      </c>
      <c r="W137" s="4">
        <f t="shared" si="38"/>
        <v>17</v>
      </c>
      <c r="X137">
        <f t="shared" si="39"/>
        <v>25</v>
      </c>
      <c r="Y137">
        <f t="shared" si="40"/>
        <v>2.1</v>
      </c>
      <c r="Z137">
        <f t="shared" si="41"/>
        <v>0.8</v>
      </c>
    </row>
    <row r="138" spans="1:26" x14ac:dyDescent="0.3">
      <c r="A138" t="str">
        <f t="shared" si="42"/>
        <v>HH133</v>
      </c>
      <c r="B138" t="s">
        <v>65</v>
      </c>
      <c r="C138">
        <v>7</v>
      </c>
      <c r="D138" s="4">
        <v>24028</v>
      </c>
      <c r="E138" t="s">
        <v>67</v>
      </c>
      <c r="F138" s="4">
        <v>6065</v>
      </c>
      <c r="G138">
        <v>56</v>
      </c>
      <c r="H138">
        <v>7.3</v>
      </c>
      <c r="I138">
        <v>0.13945093938993047</v>
      </c>
      <c r="J138">
        <v>1</v>
      </c>
      <c r="M138" s="5"/>
      <c r="S138" s="4">
        <f t="shared" si="34"/>
        <v>24028</v>
      </c>
      <c r="T138" s="4">
        <f t="shared" si="35"/>
        <v>33600</v>
      </c>
      <c r="U138" s="4">
        <f t="shared" si="36"/>
        <v>6065</v>
      </c>
      <c r="V138" s="4">
        <f t="shared" si="37"/>
        <v>4408</v>
      </c>
      <c r="W138" s="4">
        <f t="shared" si="38"/>
        <v>56</v>
      </c>
      <c r="X138">
        <f t="shared" si="39"/>
        <v>94</v>
      </c>
      <c r="Y138">
        <f t="shared" si="40"/>
        <v>7.3</v>
      </c>
      <c r="Z138">
        <f t="shared" si="41"/>
        <v>8.3000000000000007</v>
      </c>
    </row>
    <row r="139" spans="1:26" x14ac:dyDescent="0.3">
      <c r="A139" t="str">
        <f t="shared" si="42"/>
        <v>HH134</v>
      </c>
      <c r="B139" t="s">
        <v>63</v>
      </c>
      <c r="C139">
        <v>6</v>
      </c>
      <c r="D139" s="4">
        <v>23514</v>
      </c>
      <c r="E139" t="s">
        <v>68</v>
      </c>
      <c r="F139" s="4">
        <v>5709</v>
      </c>
      <c r="G139">
        <v>62</v>
      </c>
      <c r="H139">
        <v>14.3</v>
      </c>
      <c r="I139">
        <v>0.91955497885726367</v>
      </c>
      <c r="J139">
        <v>1</v>
      </c>
      <c r="M139" s="5"/>
      <c r="S139" s="4">
        <f t="shared" si="34"/>
        <v>23514</v>
      </c>
      <c r="T139" s="4">
        <f t="shared" si="35"/>
        <v>14671</v>
      </c>
      <c r="U139" s="4">
        <f t="shared" si="36"/>
        <v>5709</v>
      </c>
      <c r="V139" s="4">
        <f t="shared" si="37"/>
        <v>5148</v>
      </c>
      <c r="W139" s="4">
        <f t="shared" si="38"/>
        <v>62</v>
      </c>
      <c r="X139">
        <f t="shared" si="39"/>
        <v>28</v>
      </c>
      <c r="Y139">
        <f t="shared" si="40"/>
        <v>14.3</v>
      </c>
      <c r="Z139">
        <f t="shared" si="41"/>
        <v>8.1999999999999993</v>
      </c>
    </row>
    <row r="140" spans="1:26" x14ac:dyDescent="0.3">
      <c r="A140" t="str">
        <f t="shared" si="42"/>
        <v>HH135</v>
      </c>
      <c r="B140" t="s">
        <v>62</v>
      </c>
      <c r="C140">
        <v>8</v>
      </c>
      <c r="D140" s="4">
        <v>26670</v>
      </c>
      <c r="E140" t="s">
        <v>69</v>
      </c>
      <c r="F140" s="4">
        <v>6225</v>
      </c>
      <c r="G140">
        <v>24</v>
      </c>
      <c r="H140">
        <v>12.2</v>
      </c>
      <c r="I140">
        <v>0.66621492682201489</v>
      </c>
      <c r="J140">
        <v>1</v>
      </c>
      <c r="M140" s="5"/>
      <c r="S140" s="4">
        <f t="shared" si="34"/>
        <v>26670</v>
      </c>
      <c r="T140" s="4">
        <f t="shared" si="35"/>
        <v>3715</v>
      </c>
      <c r="U140" s="4">
        <f t="shared" si="36"/>
        <v>6225</v>
      </c>
      <c r="V140" s="4">
        <f t="shared" si="37"/>
        <v>3635</v>
      </c>
      <c r="W140" s="4">
        <f t="shared" si="38"/>
        <v>24</v>
      </c>
      <c r="X140">
        <f t="shared" si="39"/>
        <v>64</v>
      </c>
      <c r="Y140">
        <f t="shared" si="40"/>
        <v>12.2</v>
      </c>
      <c r="Z140">
        <f t="shared" si="41"/>
        <v>11.9</v>
      </c>
    </row>
    <row r="141" spans="1:26" x14ac:dyDescent="0.3">
      <c r="A141" t="str">
        <f t="shared" si="42"/>
        <v>HH136</v>
      </c>
      <c r="B141" t="s">
        <v>65</v>
      </c>
      <c r="C141">
        <v>3</v>
      </c>
      <c r="D141" s="4">
        <v>26296</v>
      </c>
      <c r="E141" t="s">
        <v>69</v>
      </c>
      <c r="F141" s="4">
        <v>3833</v>
      </c>
      <c r="G141">
        <v>43</v>
      </c>
      <c r="H141">
        <v>14.8</v>
      </c>
      <c r="I141">
        <v>0.63048831967330954</v>
      </c>
      <c r="J141">
        <v>1</v>
      </c>
      <c r="M141" s="5"/>
      <c r="S141" s="4">
        <f t="shared" si="34"/>
        <v>26296</v>
      </c>
      <c r="T141" s="4">
        <f t="shared" si="35"/>
        <v>23401</v>
      </c>
      <c r="U141" s="4">
        <f t="shared" si="36"/>
        <v>3833</v>
      </c>
      <c r="V141" s="4">
        <f t="shared" si="37"/>
        <v>5441</v>
      </c>
      <c r="W141" s="4">
        <f t="shared" si="38"/>
        <v>43</v>
      </c>
      <c r="X141">
        <f t="shared" si="39"/>
        <v>120</v>
      </c>
      <c r="Y141">
        <f t="shared" si="40"/>
        <v>14.8</v>
      </c>
      <c r="Z141">
        <f t="shared" si="41"/>
        <v>1</v>
      </c>
    </row>
    <row r="142" spans="1:26" x14ac:dyDescent="0.3">
      <c r="A142" t="str">
        <f t="shared" si="42"/>
        <v>HH137</v>
      </c>
      <c r="B142" t="s">
        <v>65</v>
      </c>
      <c r="C142">
        <v>3</v>
      </c>
      <c r="D142" s="4">
        <v>21761</v>
      </c>
      <c r="E142" t="s">
        <v>67</v>
      </c>
      <c r="F142" s="4">
        <v>3481</v>
      </c>
      <c r="G142">
        <v>105</v>
      </c>
      <c r="H142">
        <v>9.1</v>
      </c>
      <c r="I142">
        <v>0.80905608263400786</v>
      </c>
      <c r="J142">
        <v>1</v>
      </c>
      <c r="M142" s="5"/>
      <c r="S142" s="4">
        <f t="shared" si="34"/>
        <v>21761</v>
      </c>
      <c r="T142" s="4">
        <f t="shared" si="35"/>
        <v>22074</v>
      </c>
      <c r="U142" s="4">
        <f t="shared" si="36"/>
        <v>3481</v>
      </c>
      <c r="V142" s="4">
        <f t="shared" si="37"/>
        <v>5760</v>
      </c>
      <c r="W142" s="4">
        <f t="shared" si="38"/>
        <v>105</v>
      </c>
      <c r="X142">
        <f t="shared" si="39"/>
        <v>74</v>
      </c>
      <c r="Y142">
        <f t="shared" si="40"/>
        <v>9.1</v>
      </c>
      <c r="Z142">
        <f t="shared" si="41"/>
        <v>0.9</v>
      </c>
    </row>
    <row r="143" spans="1:26" x14ac:dyDescent="0.3">
      <c r="A143" t="str">
        <f t="shared" si="42"/>
        <v>HH138</v>
      </c>
      <c r="B143" t="s">
        <v>62</v>
      </c>
      <c r="C143">
        <v>2</v>
      </c>
      <c r="D143" s="4">
        <v>33632</v>
      </c>
      <c r="E143" t="s">
        <v>68</v>
      </c>
      <c r="F143" s="4">
        <v>4194</v>
      </c>
      <c r="G143">
        <v>110</v>
      </c>
      <c r="H143">
        <v>1.6</v>
      </c>
      <c r="I143">
        <v>0.79153992581651755</v>
      </c>
      <c r="J143">
        <v>1</v>
      </c>
      <c r="M143" s="5"/>
      <c r="S143" s="4">
        <f t="shared" si="34"/>
        <v>33632</v>
      </c>
      <c r="T143" s="4">
        <f t="shared" si="35"/>
        <v>29418</v>
      </c>
      <c r="U143" s="4">
        <f t="shared" si="36"/>
        <v>4194</v>
      </c>
      <c r="V143" s="4">
        <f t="shared" si="37"/>
        <v>5020</v>
      </c>
      <c r="W143" s="4">
        <f t="shared" si="38"/>
        <v>110</v>
      </c>
      <c r="X143">
        <f t="shared" si="39"/>
        <v>110</v>
      </c>
      <c r="Y143">
        <f t="shared" si="40"/>
        <v>1.6</v>
      </c>
      <c r="Z143">
        <f t="shared" si="41"/>
        <v>6.2</v>
      </c>
    </row>
    <row r="144" spans="1:26" x14ac:dyDescent="0.3">
      <c r="A144" t="str">
        <f t="shared" si="42"/>
        <v>HH139</v>
      </c>
      <c r="B144" t="s">
        <v>65</v>
      </c>
      <c r="C144">
        <v>8</v>
      </c>
      <c r="D144" s="4">
        <v>23626</v>
      </c>
      <c r="E144" t="s">
        <v>67</v>
      </c>
      <c r="F144" s="4">
        <v>6077</v>
      </c>
      <c r="G144">
        <v>30</v>
      </c>
      <c r="H144">
        <v>12.5</v>
      </c>
      <c r="I144">
        <v>0.41555985916089866</v>
      </c>
      <c r="J144">
        <v>1</v>
      </c>
      <c r="M144" s="5"/>
      <c r="S144" s="4">
        <f t="shared" si="34"/>
        <v>23626</v>
      </c>
      <c r="T144" s="4">
        <f t="shared" si="35"/>
        <v>17342</v>
      </c>
      <c r="U144" s="4">
        <f t="shared" si="36"/>
        <v>6077</v>
      </c>
      <c r="V144" s="4">
        <f t="shared" si="37"/>
        <v>4842</v>
      </c>
      <c r="W144" s="4">
        <f t="shared" si="38"/>
        <v>30</v>
      </c>
      <c r="X144">
        <f t="shared" si="39"/>
        <v>98</v>
      </c>
      <c r="Y144">
        <f t="shared" si="40"/>
        <v>12.5</v>
      </c>
      <c r="Z144">
        <f t="shared" si="41"/>
        <v>1.5</v>
      </c>
    </row>
    <row r="145" spans="1:26" x14ac:dyDescent="0.3">
      <c r="A145" t="str">
        <f t="shared" si="42"/>
        <v>HH140</v>
      </c>
      <c r="B145" t="s">
        <v>65</v>
      </c>
      <c r="C145">
        <v>2</v>
      </c>
      <c r="D145" s="4">
        <v>33204</v>
      </c>
      <c r="E145" t="s">
        <v>68</v>
      </c>
      <c r="F145" s="4">
        <v>2950</v>
      </c>
      <c r="G145">
        <v>102</v>
      </c>
      <c r="H145">
        <v>1.5</v>
      </c>
      <c r="I145">
        <v>0.71158003928082791</v>
      </c>
      <c r="J145">
        <v>1</v>
      </c>
      <c r="M145" s="5"/>
      <c r="S145" s="4">
        <f t="shared" si="34"/>
        <v>33204</v>
      </c>
      <c r="T145" s="4">
        <f t="shared" si="35"/>
        <v>23752</v>
      </c>
      <c r="U145" s="4">
        <f t="shared" si="36"/>
        <v>2950</v>
      </c>
      <c r="V145" s="4">
        <f t="shared" si="37"/>
        <v>5249</v>
      </c>
      <c r="W145" s="4">
        <f t="shared" si="38"/>
        <v>102</v>
      </c>
      <c r="X145">
        <f t="shared" si="39"/>
        <v>93</v>
      </c>
      <c r="Y145">
        <f t="shared" si="40"/>
        <v>1.5</v>
      </c>
      <c r="Z145">
        <f t="shared" si="41"/>
        <v>10.6</v>
      </c>
    </row>
    <row r="146" spans="1:26" x14ac:dyDescent="0.3">
      <c r="A146" t="str">
        <f t="shared" si="42"/>
        <v>HH141</v>
      </c>
      <c r="B146" t="s">
        <v>65</v>
      </c>
      <c r="C146">
        <v>8</v>
      </c>
      <c r="D146" s="4">
        <v>34397</v>
      </c>
      <c r="E146" t="s">
        <v>68</v>
      </c>
      <c r="F146" s="4">
        <v>6109</v>
      </c>
      <c r="G146">
        <v>103</v>
      </c>
      <c r="H146">
        <v>7.2</v>
      </c>
      <c r="I146">
        <v>0.72292171108821968</v>
      </c>
      <c r="J146">
        <v>1</v>
      </c>
      <c r="M146" s="5"/>
      <c r="S146" s="4">
        <f t="shared" si="34"/>
        <v>34397</v>
      </c>
      <c r="T146" s="4">
        <f t="shared" si="35"/>
        <v>23333</v>
      </c>
      <c r="U146" s="4">
        <f t="shared" si="36"/>
        <v>6109</v>
      </c>
      <c r="V146" s="4">
        <f t="shared" si="37"/>
        <v>4930</v>
      </c>
      <c r="W146" s="4">
        <f t="shared" si="38"/>
        <v>103</v>
      </c>
      <c r="X146">
        <f t="shared" si="39"/>
        <v>100</v>
      </c>
      <c r="Y146">
        <f t="shared" si="40"/>
        <v>7.2</v>
      </c>
      <c r="Z146">
        <f t="shared" si="41"/>
        <v>7.9</v>
      </c>
    </row>
    <row r="147" spans="1:26" x14ac:dyDescent="0.3">
      <c r="A147" t="str">
        <f t="shared" si="42"/>
        <v>HH142</v>
      </c>
      <c r="B147" t="s">
        <v>62</v>
      </c>
      <c r="C147">
        <v>2</v>
      </c>
      <c r="D147" s="4">
        <v>25871</v>
      </c>
      <c r="E147" t="s">
        <v>68</v>
      </c>
      <c r="F147" s="4">
        <v>3165</v>
      </c>
      <c r="G147">
        <v>115</v>
      </c>
      <c r="H147">
        <v>5.7</v>
      </c>
      <c r="I147">
        <v>0.12981913563682923</v>
      </c>
      <c r="J147">
        <v>1</v>
      </c>
      <c r="M147" s="5"/>
      <c r="S147" s="4">
        <f t="shared" si="34"/>
        <v>25871</v>
      </c>
      <c r="T147" s="4">
        <f t="shared" si="35"/>
        <v>13803</v>
      </c>
      <c r="U147" s="4">
        <f t="shared" si="36"/>
        <v>3165</v>
      </c>
      <c r="V147" s="4">
        <f t="shared" si="37"/>
        <v>5220</v>
      </c>
      <c r="W147" s="4">
        <f t="shared" si="38"/>
        <v>115</v>
      </c>
      <c r="X147">
        <f t="shared" si="39"/>
        <v>55</v>
      </c>
      <c r="Y147">
        <f t="shared" si="40"/>
        <v>5.7</v>
      </c>
      <c r="Z147">
        <f t="shared" si="41"/>
        <v>12.9</v>
      </c>
    </row>
    <row r="148" spans="1:26" x14ac:dyDescent="0.3">
      <c r="A148" t="str">
        <f t="shared" si="42"/>
        <v>HH143</v>
      </c>
      <c r="B148" t="s">
        <v>64</v>
      </c>
      <c r="C148">
        <v>2</v>
      </c>
      <c r="D148" s="4">
        <v>28317</v>
      </c>
      <c r="E148" t="s">
        <v>68</v>
      </c>
      <c r="F148" s="4">
        <v>3375</v>
      </c>
      <c r="G148">
        <v>30</v>
      </c>
      <c r="H148">
        <v>9.1999999999999993</v>
      </c>
      <c r="I148">
        <v>0.26234464823323267</v>
      </c>
      <c r="J148">
        <v>1</v>
      </c>
      <c r="M148" s="5"/>
      <c r="S148" s="4">
        <f t="shared" si="34"/>
        <v>28317</v>
      </c>
      <c r="T148" s="4">
        <f t="shared" si="35"/>
        <v>31238</v>
      </c>
      <c r="U148" s="4">
        <f t="shared" si="36"/>
        <v>3375</v>
      </c>
      <c r="V148" s="4">
        <f t="shared" si="37"/>
        <v>6086</v>
      </c>
      <c r="W148" s="4">
        <f t="shared" si="38"/>
        <v>30</v>
      </c>
      <c r="X148">
        <f t="shared" si="39"/>
        <v>79</v>
      </c>
      <c r="Y148">
        <f t="shared" si="40"/>
        <v>9.1999999999999993</v>
      </c>
      <c r="Z148">
        <f t="shared" si="41"/>
        <v>2.4</v>
      </c>
    </row>
    <row r="149" spans="1:26" x14ac:dyDescent="0.3">
      <c r="A149" t="str">
        <f t="shared" si="42"/>
        <v>HH144</v>
      </c>
      <c r="B149" t="s">
        <v>63</v>
      </c>
      <c r="C149">
        <v>8</v>
      </c>
      <c r="D149" s="4">
        <v>28258</v>
      </c>
      <c r="E149" t="s">
        <v>68</v>
      </c>
      <c r="F149" s="4">
        <v>6751</v>
      </c>
      <c r="G149">
        <v>77</v>
      </c>
      <c r="H149">
        <v>1.3</v>
      </c>
      <c r="I149">
        <v>0.82592128983310853</v>
      </c>
      <c r="J149">
        <v>1</v>
      </c>
      <c r="M149" s="5"/>
      <c r="S149" s="4">
        <f t="shared" si="34"/>
        <v>28258</v>
      </c>
      <c r="T149" s="4">
        <f t="shared" si="35"/>
        <v>37224</v>
      </c>
      <c r="U149" s="4">
        <f t="shared" si="36"/>
        <v>6751</v>
      </c>
      <c r="V149" s="4">
        <f t="shared" si="37"/>
        <v>3735</v>
      </c>
      <c r="W149" s="4">
        <f t="shared" si="38"/>
        <v>77</v>
      </c>
      <c r="X149">
        <f t="shared" si="39"/>
        <v>28</v>
      </c>
      <c r="Y149">
        <f t="shared" si="40"/>
        <v>1.3</v>
      </c>
      <c r="Z149">
        <f t="shared" si="41"/>
        <v>4.5999999999999996</v>
      </c>
    </row>
    <row r="150" spans="1:26" x14ac:dyDescent="0.3">
      <c r="A150" t="str">
        <f t="shared" si="42"/>
        <v>HH145</v>
      </c>
      <c r="B150" t="s">
        <v>63</v>
      </c>
      <c r="C150">
        <v>7</v>
      </c>
      <c r="D150" s="4">
        <v>21039</v>
      </c>
      <c r="E150" t="s">
        <v>69</v>
      </c>
      <c r="F150" s="4">
        <v>4647</v>
      </c>
      <c r="G150">
        <v>44</v>
      </c>
      <c r="H150">
        <v>14.1</v>
      </c>
      <c r="I150">
        <v>3.7202268258120341E-2</v>
      </c>
      <c r="J150">
        <v>1</v>
      </c>
      <c r="M150" s="5"/>
      <c r="S150" s="4">
        <f t="shared" si="34"/>
        <v>21039</v>
      </c>
      <c r="T150" s="4">
        <f t="shared" si="35"/>
        <v>23441</v>
      </c>
      <c r="U150" s="4">
        <f t="shared" si="36"/>
        <v>4647</v>
      </c>
      <c r="V150" s="4">
        <f t="shared" si="37"/>
        <v>5305</v>
      </c>
      <c r="W150" s="4">
        <f t="shared" si="38"/>
        <v>44</v>
      </c>
      <c r="X150">
        <f t="shared" si="39"/>
        <v>95</v>
      </c>
      <c r="Y150">
        <f t="shared" si="40"/>
        <v>14.1</v>
      </c>
      <c r="Z150">
        <f t="shared" si="41"/>
        <v>1.9</v>
      </c>
    </row>
    <row r="151" spans="1:26" x14ac:dyDescent="0.3">
      <c r="A151" t="str">
        <f t="shared" si="42"/>
        <v>HH146</v>
      </c>
      <c r="B151" t="s">
        <v>65</v>
      </c>
      <c r="C151">
        <v>7</v>
      </c>
      <c r="D151" s="4">
        <v>27447</v>
      </c>
      <c r="E151" t="s">
        <v>67</v>
      </c>
      <c r="F151" s="4">
        <v>6038</v>
      </c>
      <c r="G151">
        <v>92</v>
      </c>
      <c r="H151">
        <v>12.3</v>
      </c>
      <c r="I151">
        <v>0.21254294555416653</v>
      </c>
      <c r="J151">
        <v>1</v>
      </c>
      <c r="M151" s="5"/>
      <c r="S151" s="4">
        <f t="shared" si="34"/>
        <v>27447</v>
      </c>
      <c r="T151" s="4">
        <f t="shared" si="35"/>
        <v>19922</v>
      </c>
      <c r="U151" s="4">
        <f t="shared" si="36"/>
        <v>6038</v>
      </c>
      <c r="V151" s="4">
        <f t="shared" si="37"/>
        <v>4208</v>
      </c>
      <c r="W151" s="4">
        <f t="shared" si="38"/>
        <v>92</v>
      </c>
      <c r="X151">
        <f t="shared" si="39"/>
        <v>98</v>
      </c>
      <c r="Y151">
        <f t="shared" si="40"/>
        <v>12.3</v>
      </c>
      <c r="Z151">
        <f t="shared" si="41"/>
        <v>11.5</v>
      </c>
    </row>
    <row r="152" spans="1:26" x14ac:dyDescent="0.3">
      <c r="A152" t="str">
        <f t="shared" si="42"/>
        <v>HH147</v>
      </c>
      <c r="B152" t="s">
        <v>65</v>
      </c>
      <c r="C152">
        <v>7</v>
      </c>
      <c r="D152" s="4">
        <v>42093</v>
      </c>
      <c r="E152" t="s">
        <v>68</v>
      </c>
      <c r="F152" s="4">
        <v>4351</v>
      </c>
      <c r="G152">
        <v>88</v>
      </c>
      <c r="H152">
        <v>5.4</v>
      </c>
      <c r="I152">
        <v>0.59588310284083701</v>
      </c>
      <c r="J152">
        <v>1</v>
      </c>
      <c r="M152" s="5"/>
      <c r="S152" s="4">
        <f t="shared" si="34"/>
        <v>42093</v>
      </c>
      <c r="T152" s="4">
        <f t="shared" si="35"/>
        <v>17220</v>
      </c>
      <c r="U152" s="4">
        <f t="shared" si="36"/>
        <v>4351</v>
      </c>
      <c r="V152" s="4">
        <f t="shared" si="37"/>
        <v>2893</v>
      </c>
      <c r="W152" s="4">
        <f t="shared" si="38"/>
        <v>88</v>
      </c>
      <c r="X152">
        <f t="shared" si="39"/>
        <v>103</v>
      </c>
      <c r="Y152">
        <f t="shared" si="40"/>
        <v>5.4</v>
      </c>
      <c r="Z152">
        <f t="shared" si="41"/>
        <v>7.9</v>
      </c>
    </row>
    <row r="153" spans="1:26" x14ac:dyDescent="0.3">
      <c r="A153" t="str">
        <f t="shared" si="42"/>
        <v>HH148</v>
      </c>
      <c r="B153" t="s">
        <v>64</v>
      </c>
      <c r="C153">
        <v>8</v>
      </c>
      <c r="D153" s="4">
        <v>17229</v>
      </c>
      <c r="E153" t="s">
        <v>68</v>
      </c>
      <c r="F153" s="4">
        <v>5729</v>
      </c>
      <c r="G153">
        <v>39</v>
      </c>
      <c r="H153">
        <v>11.7</v>
      </c>
      <c r="I153">
        <v>0.31843422761725293</v>
      </c>
      <c r="J153">
        <v>1</v>
      </c>
      <c r="M153" s="5"/>
      <c r="S153" s="4">
        <f t="shared" si="34"/>
        <v>17229</v>
      </c>
      <c r="T153" s="4">
        <f t="shared" si="35"/>
        <v>24705</v>
      </c>
      <c r="U153" s="4">
        <f t="shared" si="36"/>
        <v>5729</v>
      </c>
      <c r="V153" s="4">
        <f t="shared" si="37"/>
        <v>6624</v>
      </c>
      <c r="W153" s="4">
        <f t="shared" si="38"/>
        <v>39</v>
      </c>
      <c r="X153">
        <f t="shared" si="39"/>
        <v>33</v>
      </c>
      <c r="Y153">
        <f t="shared" si="40"/>
        <v>11.7</v>
      </c>
      <c r="Z153">
        <f t="shared" si="41"/>
        <v>3.4</v>
      </c>
    </row>
    <row r="154" spans="1:26" x14ac:dyDescent="0.3">
      <c r="A154" t="str">
        <f t="shared" si="42"/>
        <v>HH149</v>
      </c>
      <c r="B154" t="s">
        <v>65</v>
      </c>
      <c r="C154">
        <v>6</v>
      </c>
      <c r="D154" s="4">
        <v>34028</v>
      </c>
      <c r="E154" t="s">
        <v>68</v>
      </c>
      <c r="F154" s="4">
        <v>4372</v>
      </c>
      <c r="G154">
        <v>66</v>
      </c>
      <c r="H154">
        <v>2.5</v>
      </c>
      <c r="I154">
        <v>0.73669654113356731</v>
      </c>
      <c r="J154">
        <v>1</v>
      </c>
      <c r="M154" s="5"/>
      <c r="S154" s="4">
        <f t="shared" si="34"/>
        <v>34028</v>
      </c>
      <c r="T154" s="4">
        <f t="shared" si="35"/>
        <v>16006</v>
      </c>
      <c r="U154" s="4">
        <f t="shared" si="36"/>
        <v>4372</v>
      </c>
      <c r="V154" s="4">
        <f t="shared" si="37"/>
        <v>5727</v>
      </c>
      <c r="W154" s="4">
        <f t="shared" si="38"/>
        <v>66</v>
      </c>
      <c r="X154">
        <f t="shared" si="39"/>
        <v>60</v>
      </c>
      <c r="Y154">
        <f t="shared" si="40"/>
        <v>2.5</v>
      </c>
      <c r="Z154">
        <f t="shared" si="41"/>
        <v>5.6</v>
      </c>
    </row>
    <row r="155" spans="1:26" x14ac:dyDescent="0.3">
      <c r="A155" t="str">
        <f t="shared" si="42"/>
        <v>HH150</v>
      </c>
      <c r="B155" t="s">
        <v>65</v>
      </c>
      <c r="C155">
        <v>2</v>
      </c>
      <c r="D155" s="4">
        <v>28775</v>
      </c>
      <c r="E155" t="s">
        <v>66</v>
      </c>
      <c r="F155" s="4">
        <v>2680</v>
      </c>
      <c r="G155">
        <v>51</v>
      </c>
      <c r="H155">
        <v>2.2000000000000002</v>
      </c>
      <c r="I155">
        <v>0.78232631687778986</v>
      </c>
      <c r="J155">
        <v>1</v>
      </c>
      <c r="M155" s="5"/>
      <c r="S155" s="4">
        <f t="shared" si="34"/>
        <v>28775</v>
      </c>
      <c r="T155" s="4">
        <f t="shared" si="35"/>
        <v>19913</v>
      </c>
      <c r="U155" s="4">
        <f t="shared" si="36"/>
        <v>2680</v>
      </c>
      <c r="V155" s="4">
        <f t="shared" si="37"/>
        <v>4740</v>
      </c>
      <c r="W155" s="4">
        <f t="shared" si="38"/>
        <v>51</v>
      </c>
      <c r="X155">
        <f t="shared" si="39"/>
        <v>69</v>
      </c>
      <c r="Y155">
        <f t="shared" si="40"/>
        <v>2.2000000000000002</v>
      </c>
      <c r="Z155">
        <f t="shared" si="41"/>
        <v>4.8</v>
      </c>
    </row>
    <row r="156" spans="1:26" x14ac:dyDescent="0.3">
      <c r="A156" t="str">
        <f t="shared" si="42"/>
        <v>HH151</v>
      </c>
      <c r="B156" t="s">
        <v>63</v>
      </c>
      <c r="C156">
        <v>5</v>
      </c>
      <c r="D156" s="4">
        <v>19370</v>
      </c>
      <c r="E156" t="s">
        <v>68</v>
      </c>
      <c r="F156" s="4">
        <v>5011</v>
      </c>
      <c r="G156">
        <v>60</v>
      </c>
      <c r="H156">
        <v>3.2</v>
      </c>
      <c r="I156">
        <v>0.94526520258519631</v>
      </c>
      <c r="J156">
        <v>1</v>
      </c>
      <c r="M156" s="5"/>
      <c r="S156" s="4">
        <f t="shared" si="34"/>
        <v>19370</v>
      </c>
      <c r="T156" s="4">
        <f t="shared" si="35"/>
        <v>31452</v>
      </c>
      <c r="U156" s="4">
        <f t="shared" si="36"/>
        <v>5011</v>
      </c>
      <c r="V156" s="4">
        <f t="shared" si="37"/>
        <v>5519</v>
      </c>
      <c r="W156" s="4">
        <f t="shared" si="38"/>
        <v>60</v>
      </c>
      <c r="X156">
        <f t="shared" si="39"/>
        <v>23</v>
      </c>
      <c r="Y156">
        <f t="shared" si="40"/>
        <v>3.2</v>
      </c>
      <c r="Z156">
        <f t="shared" si="41"/>
        <v>14.5</v>
      </c>
    </row>
    <row r="157" spans="1:26" x14ac:dyDescent="0.3">
      <c r="A157" t="str">
        <f t="shared" si="42"/>
        <v>HH152</v>
      </c>
      <c r="B157" t="s">
        <v>63</v>
      </c>
      <c r="C157">
        <v>5</v>
      </c>
      <c r="D157" s="4">
        <v>13180</v>
      </c>
      <c r="E157" t="s">
        <v>68</v>
      </c>
      <c r="F157" s="4">
        <v>4574</v>
      </c>
      <c r="G157">
        <v>90</v>
      </c>
      <c r="H157">
        <v>9.1999999999999993</v>
      </c>
      <c r="I157">
        <v>0.37897219571096652</v>
      </c>
      <c r="J157">
        <v>1</v>
      </c>
      <c r="M157" s="5"/>
      <c r="S157" s="4">
        <f t="shared" si="34"/>
        <v>13180</v>
      </c>
      <c r="T157" s="4">
        <f t="shared" si="35"/>
        <v>34961</v>
      </c>
      <c r="U157" s="4">
        <f t="shared" si="36"/>
        <v>4574</v>
      </c>
      <c r="V157" s="4">
        <f t="shared" si="37"/>
        <v>3416</v>
      </c>
      <c r="W157" s="4">
        <f t="shared" si="38"/>
        <v>90</v>
      </c>
      <c r="X157">
        <f t="shared" si="39"/>
        <v>38</v>
      </c>
      <c r="Y157">
        <f t="shared" si="40"/>
        <v>9.1999999999999993</v>
      </c>
      <c r="Z157">
        <f t="shared" si="41"/>
        <v>6.9</v>
      </c>
    </row>
    <row r="158" spans="1:26" x14ac:dyDescent="0.3">
      <c r="A158" t="str">
        <f t="shared" si="42"/>
        <v>HH153</v>
      </c>
      <c r="B158" t="s">
        <v>63</v>
      </c>
      <c r="C158">
        <v>7</v>
      </c>
      <c r="D158" s="4">
        <v>22573</v>
      </c>
      <c r="E158" t="s">
        <v>66</v>
      </c>
      <c r="F158" s="4">
        <v>5735</v>
      </c>
      <c r="G158">
        <v>109</v>
      </c>
      <c r="H158">
        <v>12.5</v>
      </c>
      <c r="I158">
        <v>0.24125691811753947</v>
      </c>
      <c r="J158">
        <v>1</v>
      </c>
      <c r="M158" s="5"/>
      <c r="S158" s="4">
        <f t="shared" si="34"/>
        <v>22573</v>
      </c>
      <c r="T158" s="4">
        <f t="shared" si="35"/>
        <v>34741</v>
      </c>
      <c r="U158" s="4">
        <f t="shared" si="36"/>
        <v>5735</v>
      </c>
      <c r="V158" s="4">
        <f t="shared" si="37"/>
        <v>5460</v>
      </c>
      <c r="W158" s="4">
        <f t="shared" si="38"/>
        <v>109</v>
      </c>
      <c r="X158">
        <f t="shared" si="39"/>
        <v>22</v>
      </c>
      <c r="Y158">
        <f t="shared" si="40"/>
        <v>12.5</v>
      </c>
      <c r="Z158">
        <f t="shared" si="41"/>
        <v>11.9</v>
      </c>
    </row>
    <row r="159" spans="1:26" x14ac:dyDescent="0.3">
      <c r="A159" t="str">
        <f t="shared" si="42"/>
        <v>HH154</v>
      </c>
      <c r="B159" t="s">
        <v>64</v>
      </c>
      <c r="C159">
        <v>2</v>
      </c>
      <c r="D159" s="4">
        <v>17137</v>
      </c>
      <c r="E159" t="s">
        <v>68</v>
      </c>
      <c r="F159" s="4">
        <v>2591</v>
      </c>
      <c r="G159">
        <v>111</v>
      </c>
      <c r="H159">
        <v>8.3000000000000007</v>
      </c>
      <c r="I159">
        <v>0.35142480498402628</v>
      </c>
      <c r="J159">
        <v>1</v>
      </c>
      <c r="M159" s="5"/>
      <c r="S159" s="4">
        <f t="shared" si="34"/>
        <v>17137</v>
      </c>
      <c r="T159" s="4">
        <f t="shared" si="35"/>
        <v>25366</v>
      </c>
      <c r="U159" s="4">
        <f t="shared" si="36"/>
        <v>2591</v>
      </c>
      <c r="V159" s="4">
        <f t="shared" si="37"/>
        <v>4375</v>
      </c>
      <c r="W159" s="4">
        <f t="shared" si="38"/>
        <v>111</v>
      </c>
      <c r="X159">
        <f t="shared" si="39"/>
        <v>62</v>
      </c>
      <c r="Y159">
        <f t="shared" si="40"/>
        <v>8.3000000000000007</v>
      </c>
      <c r="Z159">
        <f t="shared" si="41"/>
        <v>7.6</v>
      </c>
    </row>
    <row r="160" spans="1:26" x14ac:dyDescent="0.3">
      <c r="A160" t="str">
        <f t="shared" si="42"/>
        <v>HH155</v>
      </c>
      <c r="B160" t="s">
        <v>65</v>
      </c>
      <c r="C160">
        <v>5</v>
      </c>
      <c r="D160" s="4">
        <v>33471</v>
      </c>
      <c r="E160" t="s">
        <v>67</v>
      </c>
      <c r="F160" s="4">
        <v>3887</v>
      </c>
      <c r="G160">
        <v>50</v>
      </c>
      <c r="H160">
        <v>14.2</v>
      </c>
      <c r="I160">
        <v>0.2134373904974578</v>
      </c>
      <c r="J160">
        <v>1</v>
      </c>
      <c r="M160" s="5"/>
      <c r="S160" s="4">
        <f t="shared" si="34"/>
        <v>33471</v>
      </c>
      <c r="T160" s="4">
        <f t="shared" si="35"/>
        <v>24105</v>
      </c>
      <c r="U160" s="4">
        <f t="shared" si="36"/>
        <v>3887</v>
      </c>
      <c r="V160" s="4">
        <f t="shared" si="37"/>
        <v>5442</v>
      </c>
      <c r="W160" s="4">
        <f t="shared" si="38"/>
        <v>50</v>
      </c>
      <c r="X160">
        <f t="shared" si="39"/>
        <v>66</v>
      </c>
      <c r="Y160">
        <f t="shared" si="40"/>
        <v>14.2</v>
      </c>
      <c r="Z160">
        <f t="shared" si="41"/>
        <v>11.1</v>
      </c>
    </row>
    <row r="161" spans="1:26" x14ac:dyDescent="0.3">
      <c r="A161" t="str">
        <f t="shared" si="42"/>
        <v>HH156</v>
      </c>
      <c r="B161" t="s">
        <v>63</v>
      </c>
      <c r="C161">
        <v>2</v>
      </c>
      <c r="D161" s="4">
        <v>22684</v>
      </c>
      <c r="E161" t="s">
        <v>67</v>
      </c>
      <c r="F161" s="4">
        <v>4468</v>
      </c>
      <c r="G161">
        <v>15</v>
      </c>
      <c r="H161">
        <v>8.5</v>
      </c>
      <c r="I161">
        <v>0.36264147552719106</v>
      </c>
      <c r="J161">
        <v>1</v>
      </c>
      <c r="M161" s="5"/>
      <c r="S161" s="4">
        <f t="shared" si="34"/>
        <v>22684</v>
      </c>
      <c r="T161" s="4">
        <f t="shared" si="35"/>
        <v>24511</v>
      </c>
      <c r="U161" s="4">
        <f t="shared" si="36"/>
        <v>4468</v>
      </c>
      <c r="V161" s="4">
        <f t="shared" si="37"/>
        <v>4511</v>
      </c>
      <c r="W161" s="4">
        <f t="shared" si="38"/>
        <v>15</v>
      </c>
      <c r="X161">
        <f t="shared" si="39"/>
        <v>37</v>
      </c>
      <c r="Y161">
        <f t="shared" si="40"/>
        <v>8.5</v>
      </c>
      <c r="Z161">
        <f t="shared" si="41"/>
        <v>8.3000000000000007</v>
      </c>
    </row>
    <row r="162" spans="1:26" x14ac:dyDescent="0.3">
      <c r="A162" t="str">
        <f t="shared" si="42"/>
        <v>HH157</v>
      </c>
      <c r="B162" t="s">
        <v>62</v>
      </c>
      <c r="C162">
        <v>4</v>
      </c>
      <c r="D162" s="4">
        <v>21549</v>
      </c>
      <c r="E162" t="s">
        <v>67</v>
      </c>
      <c r="F162" s="4">
        <v>5248</v>
      </c>
      <c r="G162">
        <v>74</v>
      </c>
      <c r="H162">
        <v>14</v>
      </c>
      <c r="I162">
        <v>0.4510494110177905</v>
      </c>
      <c r="J162">
        <v>1</v>
      </c>
      <c r="M162" s="5"/>
      <c r="S162" s="4">
        <f t="shared" si="34"/>
        <v>21549</v>
      </c>
      <c r="T162" s="4">
        <f t="shared" si="35"/>
        <v>41733</v>
      </c>
      <c r="U162" s="4">
        <f t="shared" si="36"/>
        <v>5248</v>
      </c>
      <c r="V162" s="4">
        <f t="shared" si="37"/>
        <v>5789</v>
      </c>
      <c r="W162" s="4">
        <f t="shared" si="38"/>
        <v>74</v>
      </c>
      <c r="X162">
        <f t="shared" si="39"/>
        <v>60</v>
      </c>
      <c r="Y162">
        <f t="shared" si="40"/>
        <v>14</v>
      </c>
      <c r="Z162">
        <f t="shared" si="41"/>
        <v>7.4</v>
      </c>
    </row>
    <row r="163" spans="1:26" x14ac:dyDescent="0.3">
      <c r="A163" t="str">
        <f t="shared" si="42"/>
        <v>HH158</v>
      </c>
      <c r="B163" t="s">
        <v>63</v>
      </c>
      <c r="C163">
        <v>4</v>
      </c>
      <c r="D163" s="4">
        <v>25180</v>
      </c>
      <c r="E163" t="s">
        <v>66</v>
      </c>
      <c r="F163" s="4">
        <v>3374</v>
      </c>
      <c r="G163">
        <v>99</v>
      </c>
      <c r="H163">
        <v>3.4</v>
      </c>
      <c r="I163">
        <v>0.65040130739719582</v>
      </c>
      <c r="J163">
        <v>1</v>
      </c>
      <c r="M163" s="5"/>
      <c r="S163" s="4">
        <f t="shared" si="34"/>
        <v>25180</v>
      </c>
      <c r="T163" s="4">
        <f t="shared" si="35"/>
        <v>24973</v>
      </c>
      <c r="U163" s="4">
        <f t="shared" si="36"/>
        <v>3374</v>
      </c>
      <c r="V163" s="4">
        <f t="shared" si="37"/>
        <v>6839</v>
      </c>
      <c r="W163" s="4">
        <f t="shared" si="38"/>
        <v>99</v>
      </c>
      <c r="X163">
        <f t="shared" si="39"/>
        <v>104</v>
      </c>
      <c r="Y163">
        <f t="shared" si="40"/>
        <v>3.4</v>
      </c>
      <c r="Z163">
        <f t="shared" si="41"/>
        <v>5.0999999999999996</v>
      </c>
    </row>
    <row r="164" spans="1:26" x14ac:dyDescent="0.3">
      <c r="A164" t="str">
        <f t="shared" si="42"/>
        <v>HH159</v>
      </c>
      <c r="B164" t="s">
        <v>64</v>
      </c>
      <c r="C164">
        <v>4</v>
      </c>
      <c r="D164" s="4">
        <v>28826</v>
      </c>
      <c r="E164" t="s">
        <v>67</v>
      </c>
      <c r="F164" s="4">
        <v>4379</v>
      </c>
      <c r="G164">
        <v>84</v>
      </c>
      <c r="H164">
        <v>5.6</v>
      </c>
      <c r="I164">
        <v>0.32180788904864033</v>
      </c>
      <c r="J164">
        <v>1</v>
      </c>
      <c r="M164" s="5"/>
      <c r="S164" s="4">
        <f t="shared" si="34"/>
        <v>28826</v>
      </c>
      <c r="T164" s="4">
        <f t="shared" si="35"/>
        <v>31597</v>
      </c>
      <c r="U164" s="4">
        <f t="shared" si="36"/>
        <v>4379</v>
      </c>
      <c r="V164" s="4">
        <f t="shared" si="37"/>
        <v>3708</v>
      </c>
      <c r="W164" s="4">
        <f t="shared" si="38"/>
        <v>84</v>
      </c>
      <c r="X164">
        <f t="shared" si="39"/>
        <v>59</v>
      </c>
      <c r="Y164">
        <f t="shared" si="40"/>
        <v>5.6</v>
      </c>
      <c r="Z164">
        <f t="shared" si="41"/>
        <v>6.9</v>
      </c>
    </row>
    <row r="165" spans="1:26" x14ac:dyDescent="0.3">
      <c r="A165" t="str">
        <f t="shared" si="42"/>
        <v>HH160</v>
      </c>
      <c r="B165" t="s">
        <v>63</v>
      </c>
      <c r="C165">
        <v>4</v>
      </c>
      <c r="D165" s="4">
        <v>29943</v>
      </c>
      <c r="E165" t="s">
        <v>68</v>
      </c>
      <c r="F165" s="4">
        <v>4452</v>
      </c>
      <c r="G165">
        <v>104</v>
      </c>
      <c r="H165">
        <v>6.4</v>
      </c>
      <c r="I165">
        <v>0.55378777789357436</v>
      </c>
      <c r="J165">
        <v>1</v>
      </c>
      <c r="M165" s="5"/>
      <c r="S165" s="4">
        <f t="shared" si="34"/>
        <v>29943</v>
      </c>
      <c r="T165" s="4">
        <f t="shared" si="35"/>
        <v>25429</v>
      </c>
      <c r="U165" s="4">
        <f t="shared" si="36"/>
        <v>4452</v>
      </c>
      <c r="V165" s="4">
        <f t="shared" si="37"/>
        <v>4545</v>
      </c>
      <c r="W165" s="4">
        <f t="shared" si="38"/>
        <v>104</v>
      </c>
      <c r="X165">
        <f t="shared" si="39"/>
        <v>94</v>
      </c>
      <c r="Y165">
        <f t="shared" si="40"/>
        <v>6.4</v>
      </c>
      <c r="Z165">
        <f t="shared" si="41"/>
        <v>1.4</v>
      </c>
    </row>
    <row r="166" spans="1:26" x14ac:dyDescent="0.3">
      <c r="A166" t="str">
        <f t="shared" si="42"/>
        <v>HH161</v>
      </c>
      <c r="B166" t="s">
        <v>64</v>
      </c>
      <c r="C166">
        <v>2</v>
      </c>
      <c r="D166" s="4">
        <v>28950</v>
      </c>
      <c r="E166" t="s">
        <v>66</v>
      </c>
      <c r="F166" s="4">
        <v>2659</v>
      </c>
      <c r="G166">
        <v>30</v>
      </c>
      <c r="H166">
        <v>5.7</v>
      </c>
      <c r="I166">
        <v>0.57245256973024949</v>
      </c>
      <c r="J166">
        <v>1</v>
      </c>
      <c r="M166" s="5"/>
      <c r="S166" s="4">
        <f t="shared" ref="S166:S197" si="43">IF($J166=1,D166,"")</f>
        <v>28950</v>
      </c>
      <c r="T166" s="4">
        <f t="shared" ref="T166:T197" si="44">IF($J366=0, D366,"")</f>
        <v>36595</v>
      </c>
      <c r="U166" s="4">
        <f t="shared" ref="U166:U197" si="45">IF($J166=1,F166,"")</f>
        <v>2659</v>
      </c>
      <c r="V166" s="4">
        <f t="shared" ref="V166:V197" si="46">IF($J366=0,F366,"")</f>
        <v>3420</v>
      </c>
      <c r="W166" s="4">
        <f t="shared" ref="W166:W197" si="47">IF($J166=1,G166,"")</f>
        <v>30</v>
      </c>
      <c r="X166">
        <f t="shared" ref="X166:X197" si="48">IF($J366=0,G366,"")</f>
        <v>43</v>
      </c>
      <c r="Y166">
        <f t="shared" ref="Y166:Y197" si="49">IF($J166=1,H166,"")</f>
        <v>5.7</v>
      </c>
      <c r="Z166">
        <f t="shared" ref="Z166:Z197" si="50">IF($J366=0,H366,"")</f>
        <v>9.1999999999999993</v>
      </c>
    </row>
    <row r="167" spans="1:26" x14ac:dyDescent="0.3">
      <c r="A167" t="str">
        <f t="shared" si="42"/>
        <v>HH162</v>
      </c>
      <c r="B167" t="s">
        <v>62</v>
      </c>
      <c r="C167">
        <v>6</v>
      </c>
      <c r="D167" s="4">
        <v>28091</v>
      </c>
      <c r="E167" t="s">
        <v>68</v>
      </c>
      <c r="F167" s="4">
        <v>5345</v>
      </c>
      <c r="G167">
        <v>57</v>
      </c>
      <c r="H167">
        <v>10.3</v>
      </c>
      <c r="I167">
        <v>6.9104820760567787E-2</v>
      </c>
      <c r="J167">
        <v>1</v>
      </c>
      <c r="M167" s="5"/>
      <c r="S167" s="4">
        <f t="shared" si="43"/>
        <v>28091</v>
      </c>
      <c r="T167" s="4">
        <f t="shared" si="44"/>
        <v>21640</v>
      </c>
      <c r="U167" s="4">
        <f t="shared" si="45"/>
        <v>5345</v>
      </c>
      <c r="V167" s="4">
        <f t="shared" si="46"/>
        <v>4974</v>
      </c>
      <c r="W167" s="4">
        <f t="shared" si="47"/>
        <v>57</v>
      </c>
      <c r="X167">
        <f t="shared" si="48"/>
        <v>36</v>
      </c>
      <c r="Y167">
        <f t="shared" si="49"/>
        <v>10.3</v>
      </c>
      <c r="Z167">
        <f t="shared" si="50"/>
        <v>8</v>
      </c>
    </row>
    <row r="168" spans="1:26" x14ac:dyDescent="0.3">
      <c r="A168" t="str">
        <f t="shared" si="42"/>
        <v>HH163</v>
      </c>
      <c r="B168" t="s">
        <v>65</v>
      </c>
      <c r="C168">
        <v>4</v>
      </c>
      <c r="D168" s="4">
        <v>29407</v>
      </c>
      <c r="E168" t="s">
        <v>69</v>
      </c>
      <c r="F168" s="4">
        <v>4690</v>
      </c>
      <c r="G168">
        <v>108</v>
      </c>
      <c r="H168">
        <v>3.1</v>
      </c>
      <c r="I168">
        <v>0.46382818458517761</v>
      </c>
      <c r="J168">
        <v>1</v>
      </c>
      <c r="M168" s="5"/>
      <c r="S168" s="4">
        <f t="shared" si="43"/>
        <v>29407</v>
      </c>
      <c r="T168" s="4">
        <f t="shared" si="44"/>
        <v>29454</v>
      </c>
      <c r="U168" s="4">
        <f t="shared" si="45"/>
        <v>4690</v>
      </c>
      <c r="V168" s="4">
        <f t="shared" si="46"/>
        <v>2817</v>
      </c>
      <c r="W168" s="4">
        <f t="shared" si="47"/>
        <v>108</v>
      </c>
      <c r="X168">
        <f t="shared" si="48"/>
        <v>58</v>
      </c>
      <c r="Y168">
        <f t="shared" si="49"/>
        <v>3.1</v>
      </c>
      <c r="Z168">
        <f t="shared" si="50"/>
        <v>1.3</v>
      </c>
    </row>
    <row r="169" spans="1:26" x14ac:dyDescent="0.3">
      <c r="A169" t="str">
        <f t="shared" si="42"/>
        <v>HH164</v>
      </c>
      <c r="B169" t="s">
        <v>64</v>
      </c>
      <c r="C169">
        <v>5</v>
      </c>
      <c r="D169" s="4">
        <v>30592</v>
      </c>
      <c r="E169" t="s">
        <v>66</v>
      </c>
      <c r="F169" s="4">
        <v>5967</v>
      </c>
      <c r="G169">
        <v>33</v>
      </c>
      <c r="H169">
        <v>14.5</v>
      </c>
      <c r="I169">
        <v>0.12336622055843649</v>
      </c>
      <c r="J169">
        <v>1</v>
      </c>
      <c r="M169" s="5"/>
      <c r="S169" s="4">
        <f t="shared" si="43"/>
        <v>30592</v>
      </c>
      <c r="T169" s="4">
        <f t="shared" si="44"/>
        <v>30302</v>
      </c>
      <c r="U169" s="4">
        <f t="shared" si="45"/>
        <v>5967</v>
      </c>
      <c r="V169" s="4">
        <f t="shared" si="46"/>
        <v>4738</v>
      </c>
      <c r="W169" s="4">
        <f t="shared" si="47"/>
        <v>33</v>
      </c>
      <c r="X169">
        <f t="shared" si="48"/>
        <v>58</v>
      </c>
      <c r="Y169">
        <f t="shared" si="49"/>
        <v>14.5</v>
      </c>
      <c r="Z169">
        <f t="shared" si="50"/>
        <v>10.9</v>
      </c>
    </row>
    <row r="170" spans="1:26" x14ac:dyDescent="0.3">
      <c r="A170" t="str">
        <f t="shared" si="42"/>
        <v>HH165</v>
      </c>
      <c r="B170" t="s">
        <v>62</v>
      </c>
      <c r="C170">
        <v>2</v>
      </c>
      <c r="D170" s="4">
        <v>22281</v>
      </c>
      <c r="E170" t="s">
        <v>67</v>
      </c>
      <c r="F170" s="4">
        <v>2711</v>
      </c>
      <c r="G170">
        <v>54</v>
      </c>
      <c r="H170">
        <v>6.3</v>
      </c>
      <c r="I170">
        <v>2.1390614211731496E-2</v>
      </c>
      <c r="J170">
        <v>1</v>
      </c>
      <c r="M170" s="5"/>
      <c r="S170" s="4">
        <f t="shared" si="43"/>
        <v>22281</v>
      </c>
      <c r="T170" s="4">
        <f t="shared" si="44"/>
        <v>24231</v>
      </c>
      <c r="U170" s="4">
        <f t="shared" si="45"/>
        <v>2711</v>
      </c>
      <c r="V170" s="4">
        <f t="shared" si="46"/>
        <v>5108</v>
      </c>
      <c r="W170" s="4">
        <f t="shared" si="47"/>
        <v>54</v>
      </c>
      <c r="X170">
        <f t="shared" si="48"/>
        <v>114</v>
      </c>
      <c r="Y170">
        <f t="shared" si="49"/>
        <v>6.3</v>
      </c>
      <c r="Z170">
        <f t="shared" si="50"/>
        <v>10.5</v>
      </c>
    </row>
    <row r="171" spans="1:26" x14ac:dyDescent="0.3">
      <c r="A171" t="str">
        <f t="shared" si="42"/>
        <v>HH166</v>
      </c>
      <c r="B171" t="s">
        <v>62</v>
      </c>
      <c r="C171">
        <v>6</v>
      </c>
      <c r="D171" s="4">
        <v>29150</v>
      </c>
      <c r="E171" t="s">
        <v>67</v>
      </c>
      <c r="F171" s="4">
        <v>5898</v>
      </c>
      <c r="G171">
        <v>72</v>
      </c>
      <c r="H171">
        <v>2.7</v>
      </c>
      <c r="I171">
        <v>0.45117374293747992</v>
      </c>
      <c r="J171">
        <v>1</v>
      </c>
      <c r="M171" s="5"/>
      <c r="S171" s="4">
        <f t="shared" si="43"/>
        <v>29150</v>
      </c>
      <c r="T171" s="4">
        <f t="shared" si="44"/>
        <v>24666</v>
      </c>
      <c r="U171" s="4">
        <f t="shared" si="45"/>
        <v>5898</v>
      </c>
      <c r="V171" s="4">
        <f t="shared" si="46"/>
        <v>4742</v>
      </c>
      <c r="W171" s="4">
        <f t="shared" si="47"/>
        <v>72</v>
      </c>
      <c r="X171">
        <f t="shared" si="48"/>
        <v>108</v>
      </c>
      <c r="Y171">
        <f t="shared" si="49"/>
        <v>2.7</v>
      </c>
      <c r="Z171">
        <f t="shared" si="50"/>
        <v>7.3</v>
      </c>
    </row>
    <row r="172" spans="1:26" x14ac:dyDescent="0.3">
      <c r="A172" t="str">
        <f t="shared" si="42"/>
        <v>HH167</v>
      </c>
      <c r="B172" t="s">
        <v>65</v>
      </c>
      <c r="C172">
        <v>5</v>
      </c>
      <c r="D172" s="4">
        <v>37047</v>
      </c>
      <c r="E172" t="s">
        <v>69</v>
      </c>
      <c r="F172" s="4">
        <v>5819</v>
      </c>
      <c r="G172">
        <v>33</v>
      </c>
      <c r="H172">
        <v>4</v>
      </c>
      <c r="I172">
        <v>0.1983222162917484</v>
      </c>
      <c r="J172">
        <v>1</v>
      </c>
      <c r="M172" s="5"/>
      <c r="S172" s="4">
        <f t="shared" si="43"/>
        <v>37047</v>
      </c>
      <c r="T172" s="4">
        <f t="shared" si="44"/>
        <v>31857</v>
      </c>
      <c r="U172" s="4">
        <f t="shared" si="45"/>
        <v>5819</v>
      </c>
      <c r="V172" s="4">
        <f t="shared" si="46"/>
        <v>7038</v>
      </c>
      <c r="W172" s="4">
        <f t="shared" si="47"/>
        <v>33</v>
      </c>
      <c r="X172">
        <f t="shared" si="48"/>
        <v>108</v>
      </c>
      <c r="Y172">
        <f t="shared" si="49"/>
        <v>4</v>
      </c>
      <c r="Z172">
        <f t="shared" si="50"/>
        <v>1.7</v>
      </c>
    </row>
    <row r="173" spans="1:26" x14ac:dyDescent="0.3">
      <c r="A173" t="str">
        <f t="shared" si="42"/>
        <v>HH168</v>
      </c>
      <c r="B173" t="s">
        <v>65</v>
      </c>
      <c r="C173">
        <v>2</v>
      </c>
      <c r="D173" s="4">
        <v>7513</v>
      </c>
      <c r="E173" t="s">
        <v>68</v>
      </c>
      <c r="F173" s="4">
        <v>4546</v>
      </c>
      <c r="G173">
        <v>39</v>
      </c>
      <c r="H173">
        <v>7.8</v>
      </c>
      <c r="I173">
        <v>0.73876402092503723</v>
      </c>
      <c r="J173">
        <v>1</v>
      </c>
      <c r="M173" s="5"/>
      <c r="S173" s="4">
        <f t="shared" si="43"/>
        <v>7513</v>
      </c>
      <c r="T173" s="4">
        <f t="shared" si="44"/>
        <v>32702</v>
      </c>
      <c r="U173" s="4">
        <f t="shared" si="45"/>
        <v>4546</v>
      </c>
      <c r="V173" s="4">
        <f t="shared" si="46"/>
        <v>4108</v>
      </c>
      <c r="W173" s="4">
        <f t="shared" si="47"/>
        <v>39</v>
      </c>
      <c r="X173">
        <f t="shared" si="48"/>
        <v>20</v>
      </c>
      <c r="Y173">
        <f t="shared" si="49"/>
        <v>7.8</v>
      </c>
      <c r="Z173">
        <f t="shared" si="50"/>
        <v>2.6</v>
      </c>
    </row>
    <row r="174" spans="1:26" x14ac:dyDescent="0.3">
      <c r="A174" t="str">
        <f t="shared" si="42"/>
        <v>HH169</v>
      </c>
      <c r="B174" t="s">
        <v>64</v>
      </c>
      <c r="C174">
        <v>3</v>
      </c>
      <c r="D174" s="4">
        <v>32653</v>
      </c>
      <c r="E174" t="s">
        <v>69</v>
      </c>
      <c r="F174" s="4">
        <v>4152</v>
      </c>
      <c r="G174">
        <v>60</v>
      </c>
      <c r="H174">
        <v>3</v>
      </c>
      <c r="I174">
        <v>2.3522518411320137E-2</v>
      </c>
      <c r="J174">
        <v>1</v>
      </c>
      <c r="M174" s="5"/>
      <c r="S174" s="4">
        <f t="shared" si="43"/>
        <v>32653</v>
      </c>
      <c r="T174" s="4">
        <f t="shared" si="44"/>
        <v>30671</v>
      </c>
      <c r="U174" s="4">
        <f t="shared" si="45"/>
        <v>4152</v>
      </c>
      <c r="V174" s="4">
        <f t="shared" si="46"/>
        <v>5756</v>
      </c>
      <c r="W174" s="4">
        <f t="shared" si="47"/>
        <v>60</v>
      </c>
      <c r="X174">
        <f t="shared" si="48"/>
        <v>32</v>
      </c>
      <c r="Y174">
        <f t="shared" si="49"/>
        <v>3</v>
      </c>
      <c r="Z174">
        <f t="shared" si="50"/>
        <v>10.9</v>
      </c>
    </row>
    <row r="175" spans="1:26" x14ac:dyDescent="0.3">
      <c r="A175" t="str">
        <f t="shared" si="42"/>
        <v>HH170</v>
      </c>
      <c r="B175" t="s">
        <v>63</v>
      </c>
      <c r="C175">
        <v>8</v>
      </c>
      <c r="D175" s="4">
        <v>32373</v>
      </c>
      <c r="E175" t="s">
        <v>68</v>
      </c>
      <c r="F175" s="4">
        <v>4859</v>
      </c>
      <c r="G175">
        <v>89</v>
      </c>
      <c r="H175">
        <v>11.6</v>
      </c>
      <c r="I175">
        <v>0.28455994653336358</v>
      </c>
      <c r="J175">
        <v>1</v>
      </c>
      <c r="M175" s="5"/>
      <c r="S175" s="4">
        <f t="shared" si="43"/>
        <v>32373</v>
      </c>
      <c r="T175" s="4">
        <f t="shared" si="44"/>
        <v>34453</v>
      </c>
      <c r="U175" s="4">
        <f t="shared" si="45"/>
        <v>4859</v>
      </c>
      <c r="V175" s="4">
        <f t="shared" si="46"/>
        <v>3453</v>
      </c>
      <c r="W175" s="4">
        <f t="shared" si="47"/>
        <v>89</v>
      </c>
      <c r="X175">
        <f t="shared" si="48"/>
        <v>47</v>
      </c>
      <c r="Y175">
        <f t="shared" si="49"/>
        <v>11.6</v>
      </c>
      <c r="Z175">
        <f t="shared" si="50"/>
        <v>6.7</v>
      </c>
    </row>
    <row r="176" spans="1:26" x14ac:dyDescent="0.3">
      <c r="A176" t="str">
        <f t="shared" si="42"/>
        <v>HH171</v>
      </c>
      <c r="B176" t="s">
        <v>62</v>
      </c>
      <c r="C176">
        <v>6</v>
      </c>
      <c r="D176" s="4">
        <v>35529</v>
      </c>
      <c r="E176" t="s">
        <v>66</v>
      </c>
      <c r="F176" s="4">
        <v>4067</v>
      </c>
      <c r="G176">
        <v>60</v>
      </c>
      <c r="H176">
        <v>14.4</v>
      </c>
      <c r="I176">
        <v>0.1539759168492244</v>
      </c>
      <c r="J176">
        <v>1</v>
      </c>
      <c r="M176" s="5"/>
      <c r="S176" s="4">
        <f t="shared" si="43"/>
        <v>35529</v>
      </c>
      <c r="T176" s="4">
        <f t="shared" si="44"/>
        <v>27599</v>
      </c>
      <c r="U176" s="4">
        <f t="shared" si="45"/>
        <v>4067</v>
      </c>
      <c r="V176" s="4">
        <f t="shared" si="46"/>
        <v>5991</v>
      </c>
      <c r="W176" s="4">
        <f t="shared" si="47"/>
        <v>60</v>
      </c>
      <c r="X176">
        <f t="shared" si="48"/>
        <v>94</v>
      </c>
      <c r="Y176">
        <f t="shared" si="49"/>
        <v>14.4</v>
      </c>
      <c r="Z176">
        <f t="shared" si="50"/>
        <v>8.5</v>
      </c>
    </row>
    <row r="177" spans="1:26" x14ac:dyDescent="0.3">
      <c r="A177" t="str">
        <f t="shared" si="42"/>
        <v>HH172</v>
      </c>
      <c r="B177" t="s">
        <v>64</v>
      </c>
      <c r="C177">
        <v>2</v>
      </c>
      <c r="D177" s="4">
        <v>36146</v>
      </c>
      <c r="E177" t="s">
        <v>69</v>
      </c>
      <c r="F177" s="4">
        <v>4488</v>
      </c>
      <c r="G177">
        <v>40</v>
      </c>
      <c r="H177">
        <v>8.5</v>
      </c>
      <c r="I177">
        <v>0.90325511019336224</v>
      </c>
      <c r="J177">
        <v>1</v>
      </c>
      <c r="M177" s="5"/>
      <c r="S177" s="4">
        <f t="shared" si="43"/>
        <v>36146</v>
      </c>
      <c r="T177" s="4">
        <f t="shared" si="44"/>
        <v>33488</v>
      </c>
      <c r="U177" s="4">
        <f t="shared" si="45"/>
        <v>4488</v>
      </c>
      <c r="V177" s="4">
        <f t="shared" si="46"/>
        <v>4038</v>
      </c>
      <c r="W177" s="4">
        <f t="shared" si="47"/>
        <v>40</v>
      </c>
      <c r="X177">
        <f t="shared" si="48"/>
        <v>95</v>
      </c>
      <c r="Y177">
        <f t="shared" si="49"/>
        <v>8.5</v>
      </c>
      <c r="Z177">
        <f t="shared" si="50"/>
        <v>11.8</v>
      </c>
    </row>
    <row r="178" spans="1:26" x14ac:dyDescent="0.3">
      <c r="A178" t="str">
        <f t="shared" si="42"/>
        <v>HH173</v>
      </c>
      <c r="B178" t="s">
        <v>65</v>
      </c>
      <c r="C178">
        <v>2</v>
      </c>
      <c r="D178" s="4">
        <v>22508</v>
      </c>
      <c r="E178" t="s">
        <v>67</v>
      </c>
      <c r="F178" s="4">
        <v>4636</v>
      </c>
      <c r="G178">
        <v>21</v>
      </c>
      <c r="H178">
        <v>9.8000000000000007</v>
      </c>
      <c r="I178">
        <v>0.51973313647215569</v>
      </c>
      <c r="J178">
        <v>1</v>
      </c>
      <c r="M178" s="5"/>
      <c r="S178" s="4">
        <f t="shared" si="43"/>
        <v>22508</v>
      </c>
      <c r="T178" s="4">
        <f t="shared" si="44"/>
        <v>25608</v>
      </c>
      <c r="U178" s="4">
        <f t="shared" si="45"/>
        <v>4636</v>
      </c>
      <c r="V178" s="4">
        <f t="shared" si="46"/>
        <v>6201</v>
      </c>
      <c r="W178" s="4">
        <f t="shared" si="47"/>
        <v>21</v>
      </c>
      <c r="X178">
        <f t="shared" si="48"/>
        <v>83</v>
      </c>
      <c r="Y178">
        <f t="shared" si="49"/>
        <v>9.8000000000000007</v>
      </c>
      <c r="Z178">
        <f t="shared" si="50"/>
        <v>13.5</v>
      </c>
    </row>
    <row r="179" spans="1:26" x14ac:dyDescent="0.3">
      <c r="A179" t="str">
        <f t="shared" si="42"/>
        <v>HH174</v>
      </c>
      <c r="B179" t="s">
        <v>63</v>
      </c>
      <c r="C179">
        <v>6</v>
      </c>
      <c r="D179" s="4">
        <v>24885</v>
      </c>
      <c r="E179" t="s">
        <v>67</v>
      </c>
      <c r="F179" s="4">
        <v>4045</v>
      </c>
      <c r="G179">
        <v>59</v>
      </c>
      <c r="H179">
        <v>5.2</v>
      </c>
      <c r="I179">
        <v>0.58107946663683596</v>
      </c>
      <c r="J179">
        <v>1</v>
      </c>
      <c r="M179" s="5"/>
      <c r="S179" s="4">
        <f t="shared" si="43"/>
        <v>24885</v>
      </c>
      <c r="T179" s="4">
        <f t="shared" si="44"/>
        <v>25277</v>
      </c>
      <c r="U179" s="4">
        <f t="shared" si="45"/>
        <v>4045</v>
      </c>
      <c r="V179" s="4">
        <f t="shared" si="46"/>
        <v>2984</v>
      </c>
      <c r="W179" s="4">
        <f t="shared" si="47"/>
        <v>59</v>
      </c>
      <c r="X179">
        <f t="shared" si="48"/>
        <v>81</v>
      </c>
      <c r="Y179">
        <f t="shared" si="49"/>
        <v>5.2</v>
      </c>
      <c r="Z179">
        <f t="shared" si="50"/>
        <v>10.8</v>
      </c>
    </row>
    <row r="180" spans="1:26" x14ac:dyDescent="0.3">
      <c r="A180" t="str">
        <f t="shared" si="42"/>
        <v>HH175</v>
      </c>
      <c r="B180" t="s">
        <v>65</v>
      </c>
      <c r="C180">
        <v>8</v>
      </c>
      <c r="D180" s="4">
        <v>20530</v>
      </c>
      <c r="E180" t="s">
        <v>69</v>
      </c>
      <c r="F180" s="4">
        <v>6131</v>
      </c>
      <c r="G180">
        <v>41</v>
      </c>
      <c r="H180">
        <v>1.5</v>
      </c>
      <c r="I180">
        <v>0.31188597218011549</v>
      </c>
      <c r="J180">
        <v>1</v>
      </c>
      <c r="M180" s="5"/>
      <c r="S180" s="4">
        <f t="shared" si="43"/>
        <v>20530</v>
      </c>
      <c r="T180" s="4">
        <f t="shared" si="44"/>
        <v>35834</v>
      </c>
      <c r="U180" s="4">
        <f t="shared" si="45"/>
        <v>6131</v>
      </c>
      <c r="V180" s="4">
        <f t="shared" si="46"/>
        <v>3587</v>
      </c>
      <c r="W180" s="4">
        <f t="shared" si="47"/>
        <v>41</v>
      </c>
      <c r="X180">
        <f t="shared" si="48"/>
        <v>20</v>
      </c>
      <c r="Y180">
        <f t="shared" si="49"/>
        <v>1.5</v>
      </c>
      <c r="Z180">
        <f t="shared" si="50"/>
        <v>13.9</v>
      </c>
    </row>
    <row r="181" spans="1:26" x14ac:dyDescent="0.3">
      <c r="A181" t="str">
        <f t="shared" si="42"/>
        <v>HH176</v>
      </c>
      <c r="B181" t="s">
        <v>64</v>
      </c>
      <c r="C181">
        <v>5</v>
      </c>
      <c r="D181" s="4">
        <v>22032</v>
      </c>
      <c r="E181" t="s">
        <v>66</v>
      </c>
      <c r="F181" s="4">
        <v>3794</v>
      </c>
      <c r="G181">
        <v>112</v>
      </c>
      <c r="H181">
        <v>12.1</v>
      </c>
      <c r="I181">
        <v>0.31263550975805177</v>
      </c>
      <c r="J181">
        <v>1</v>
      </c>
      <c r="M181" s="5"/>
      <c r="S181" s="4">
        <f t="shared" si="43"/>
        <v>22032</v>
      </c>
      <c r="T181" s="4">
        <f t="shared" si="44"/>
        <v>24981</v>
      </c>
      <c r="U181" s="4">
        <f t="shared" si="45"/>
        <v>3794</v>
      </c>
      <c r="V181" s="4">
        <f t="shared" si="46"/>
        <v>4934</v>
      </c>
      <c r="W181" s="4">
        <f t="shared" si="47"/>
        <v>112</v>
      </c>
      <c r="X181">
        <f t="shared" si="48"/>
        <v>59</v>
      </c>
      <c r="Y181">
        <f t="shared" si="49"/>
        <v>12.1</v>
      </c>
      <c r="Z181">
        <f t="shared" si="50"/>
        <v>0.6</v>
      </c>
    </row>
    <row r="182" spans="1:26" x14ac:dyDescent="0.3">
      <c r="A182" t="str">
        <f t="shared" si="42"/>
        <v>HH177</v>
      </c>
      <c r="B182" t="s">
        <v>62</v>
      </c>
      <c r="C182">
        <v>7</v>
      </c>
      <c r="D182" s="4">
        <v>25057</v>
      </c>
      <c r="E182" t="s">
        <v>68</v>
      </c>
      <c r="F182" s="4">
        <v>5421</v>
      </c>
      <c r="G182">
        <v>94</v>
      </c>
      <c r="H182">
        <v>8.5</v>
      </c>
      <c r="I182">
        <v>0.10801550200561838</v>
      </c>
      <c r="J182">
        <v>1</v>
      </c>
      <c r="M182" s="5"/>
      <c r="S182" s="4">
        <f t="shared" si="43"/>
        <v>25057</v>
      </c>
      <c r="T182" s="4">
        <f t="shared" si="44"/>
        <v>14836</v>
      </c>
      <c r="U182" s="4">
        <f t="shared" si="45"/>
        <v>5421</v>
      </c>
      <c r="V182" s="4">
        <f t="shared" si="46"/>
        <v>4744</v>
      </c>
      <c r="W182" s="4">
        <f t="shared" si="47"/>
        <v>94</v>
      </c>
      <c r="X182">
        <f t="shared" si="48"/>
        <v>88</v>
      </c>
      <c r="Y182">
        <f t="shared" si="49"/>
        <v>8.5</v>
      </c>
      <c r="Z182">
        <f t="shared" si="50"/>
        <v>8</v>
      </c>
    </row>
    <row r="183" spans="1:26" x14ac:dyDescent="0.3">
      <c r="A183" t="str">
        <f t="shared" si="42"/>
        <v>HH178</v>
      </c>
      <c r="B183" t="s">
        <v>62</v>
      </c>
      <c r="C183">
        <v>2</v>
      </c>
      <c r="D183" s="4">
        <v>41830</v>
      </c>
      <c r="E183" t="s">
        <v>69</v>
      </c>
      <c r="F183" s="4">
        <v>3305</v>
      </c>
      <c r="G183">
        <v>114</v>
      </c>
      <c r="H183">
        <v>4.2</v>
      </c>
      <c r="I183">
        <v>0.38907980559631483</v>
      </c>
      <c r="J183">
        <v>1</v>
      </c>
      <c r="M183" s="5"/>
      <c r="S183" s="4">
        <f t="shared" si="43"/>
        <v>41830</v>
      </c>
      <c r="T183" s="4">
        <f t="shared" si="44"/>
        <v>27866</v>
      </c>
      <c r="U183" s="4">
        <f t="shared" si="45"/>
        <v>3305</v>
      </c>
      <c r="V183" s="4">
        <f t="shared" si="46"/>
        <v>4292</v>
      </c>
      <c r="W183" s="4">
        <f t="shared" si="47"/>
        <v>114</v>
      </c>
      <c r="X183">
        <f t="shared" si="48"/>
        <v>111</v>
      </c>
      <c r="Y183">
        <f t="shared" si="49"/>
        <v>4.2</v>
      </c>
      <c r="Z183">
        <f t="shared" si="50"/>
        <v>6.3</v>
      </c>
    </row>
    <row r="184" spans="1:26" x14ac:dyDescent="0.3">
      <c r="A184" t="str">
        <f t="shared" si="42"/>
        <v>HH179</v>
      </c>
      <c r="B184" t="s">
        <v>65</v>
      </c>
      <c r="C184">
        <v>5</v>
      </c>
      <c r="D184" s="4">
        <v>29688</v>
      </c>
      <c r="E184" t="s">
        <v>68</v>
      </c>
      <c r="F184" s="4">
        <v>4665</v>
      </c>
      <c r="G184">
        <v>96</v>
      </c>
      <c r="H184">
        <v>8.6</v>
      </c>
      <c r="I184">
        <v>0.70492363451379247</v>
      </c>
      <c r="J184">
        <v>1</v>
      </c>
      <c r="M184" s="5"/>
      <c r="S184" s="4">
        <f t="shared" si="43"/>
        <v>29688</v>
      </c>
      <c r="T184" s="4">
        <f t="shared" si="44"/>
        <v>27063</v>
      </c>
      <c r="U184" s="4">
        <f t="shared" si="45"/>
        <v>4665</v>
      </c>
      <c r="V184" s="4">
        <f t="shared" si="46"/>
        <v>5991</v>
      </c>
      <c r="W184" s="4">
        <f t="shared" si="47"/>
        <v>96</v>
      </c>
      <c r="X184">
        <f t="shared" si="48"/>
        <v>62</v>
      </c>
      <c r="Y184">
        <f t="shared" si="49"/>
        <v>8.6</v>
      </c>
      <c r="Z184">
        <f t="shared" si="50"/>
        <v>7</v>
      </c>
    </row>
    <row r="185" spans="1:26" x14ac:dyDescent="0.3">
      <c r="A185" t="str">
        <f t="shared" si="42"/>
        <v>HH180</v>
      </c>
      <c r="B185" t="s">
        <v>65</v>
      </c>
      <c r="C185">
        <v>4</v>
      </c>
      <c r="D185" s="4">
        <v>25496</v>
      </c>
      <c r="E185" t="s">
        <v>69</v>
      </c>
      <c r="F185" s="4">
        <v>3665</v>
      </c>
      <c r="G185">
        <v>47</v>
      </c>
      <c r="H185">
        <v>11.9</v>
      </c>
      <c r="I185">
        <v>0.453960429188765</v>
      </c>
      <c r="J185">
        <v>1</v>
      </c>
      <c r="M185" s="5"/>
      <c r="S185" s="4">
        <f t="shared" si="43"/>
        <v>25496</v>
      </c>
      <c r="T185" s="4">
        <f t="shared" si="44"/>
        <v>18455</v>
      </c>
      <c r="U185" s="4">
        <f t="shared" si="45"/>
        <v>3665</v>
      </c>
      <c r="V185" s="4">
        <f t="shared" si="46"/>
        <v>3817</v>
      </c>
      <c r="W185" s="4">
        <f t="shared" si="47"/>
        <v>47</v>
      </c>
      <c r="X185">
        <f t="shared" si="48"/>
        <v>75</v>
      </c>
      <c r="Y185">
        <f t="shared" si="49"/>
        <v>11.9</v>
      </c>
      <c r="Z185">
        <f t="shared" si="50"/>
        <v>14.2</v>
      </c>
    </row>
    <row r="186" spans="1:26" x14ac:dyDescent="0.3">
      <c r="A186" t="str">
        <f t="shared" si="42"/>
        <v>HH181</v>
      </c>
      <c r="B186" t="s">
        <v>62</v>
      </c>
      <c r="C186">
        <v>8</v>
      </c>
      <c r="D186" s="4">
        <v>23892</v>
      </c>
      <c r="E186" t="s">
        <v>67</v>
      </c>
      <c r="F186" s="4">
        <v>5125</v>
      </c>
      <c r="G186">
        <v>106</v>
      </c>
      <c r="H186">
        <v>1.4</v>
      </c>
      <c r="I186">
        <v>0.31231588157972268</v>
      </c>
      <c r="J186">
        <v>1</v>
      </c>
      <c r="M186" s="5"/>
      <c r="S186" s="4">
        <f t="shared" si="43"/>
        <v>23892</v>
      </c>
      <c r="T186" s="4">
        <f t="shared" si="44"/>
        <v>28189</v>
      </c>
      <c r="U186" s="4">
        <f t="shared" si="45"/>
        <v>5125</v>
      </c>
      <c r="V186" s="4">
        <f t="shared" si="46"/>
        <v>3786</v>
      </c>
      <c r="W186" s="4">
        <f t="shared" si="47"/>
        <v>106</v>
      </c>
      <c r="X186">
        <f t="shared" si="48"/>
        <v>85</v>
      </c>
      <c r="Y186">
        <f t="shared" si="49"/>
        <v>1.4</v>
      </c>
      <c r="Z186">
        <f t="shared" si="50"/>
        <v>1.4</v>
      </c>
    </row>
    <row r="187" spans="1:26" x14ac:dyDescent="0.3">
      <c r="A187" t="str">
        <f t="shared" si="42"/>
        <v>HH182</v>
      </c>
      <c r="B187" t="s">
        <v>64</v>
      </c>
      <c r="C187">
        <v>6</v>
      </c>
      <c r="D187" s="4">
        <v>30819</v>
      </c>
      <c r="E187" t="s">
        <v>68</v>
      </c>
      <c r="F187" s="4">
        <v>4357</v>
      </c>
      <c r="G187">
        <v>18</v>
      </c>
      <c r="H187">
        <v>10.6</v>
      </c>
      <c r="I187">
        <v>0.8676059560902224</v>
      </c>
      <c r="J187">
        <v>1</v>
      </c>
      <c r="M187" s="5"/>
      <c r="S187" s="4">
        <f t="shared" si="43"/>
        <v>30819</v>
      </c>
      <c r="T187" s="4">
        <f t="shared" si="44"/>
        <v>27797</v>
      </c>
      <c r="U187" s="4">
        <f t="shared" si="45"/>
        <v>4357</v>
      </c>
      <c r="V187" s="4">
        <f t="shared" si="46"/>
        <v>4984</v>
      </c>
      <c r="W187" s="4">
        <f t="shared" si="47"/>
        <v>18</v>
      </c>
      <c r="X187">
        <f t="shared" si="48"/>
        <v>112</v>
      </c>
      <c r="Y187">
        <f t="shared" si="49"/>
        <v>10.6</v>
      </c>
      <c r="Z187">
        <f t="shared" si="50"/>
        <v>0.7</v>
      </c>
    </row>
    <row r="188" spans="1:26" x14ac:dyDescent="0.3">
      <c r="A188" t="str">
        <f t="shared" si="42"/>
        <v>HH183</v>
      </c>
      <c r="B188" t="s">
        <v>64</v>
      </c>
      <c r="C188">
        <v>6</v>
      </c>
      <c r="D188" s="4">
        <v>42133</v>
      </c>
      <c r="E188" t="s">
        <v>68</v>
      </c>
      <c r="F188" s="4">
        <v>4204</v>
      </c>
      <c r="G188">
        <v>65</v>
      </c>
      <c r="H188">
        <v>2.1</v>
      </c>
      <c r="I188">
        <v>0.2590718478317483</v>
      </c>
      <c r="J188">
        <v>1</v>
      </c>
      <c r="M188" s="5"/>
      <c r="S188" s="4">
        <f t="shared" si="43"/>
        <v>42133</v>
      </c>
      <c r="T188" s="4">
        <f t="shared" si="44"/>
        <v>14929</v>
      </c>
      <c r="U188" s="4">
        <f t="shared" si="45"/>
        <v>4204</v>
      </c>
      <c r="V188" s="4">
        <f t="shared" si="46"/>
        <v>2736</v>
      </c>
      <c r="W188" s="4">
        <f t="shared" si="47"/>
        <v>65</v>
      </c>
      <c r="X188">
        <f t="shared" si="48"/>
        <v>101</v>
      </c>
      <c r="Y188">
        <f t="shared" si="49"/>
        <v>2.1</v>
      </c>
      <c r="Z188">
        <f t="shared" si="50"/>
        <v>10.7</v>
      </c>
    </row>
    <row r="189" spans="1:26" x14ac:dyDescent="0.3">
      <c r="A189" t="str">
        <f t="shared" si="42"/>
        <v>HH184</v>
      </c>
      <c r="B189" t="s">
        <v>64</v>
      </c>
      <c r="C189">
        <v>3</v>
      </c>
      <c r="D189" s="4">
        <v>35659</v>
      </c>
      <c r="E189" t="s">
        <v>68</v>
      </c>
      <c r="F189" s="4">
        <v>4079</v>
      </c>
      <c r="G189">
        <v>111</v>
      </c>
      <c r="H189">
        <v>10.8</v>
      </c>
      <c r="I189">
        <v>0.28742725586655171</v>
      </c>
      <c r="J189">
        <v>1</v>
      </c>
      <c r="M189" s="5"/>
      <c r="S189" s="4">
        <f t="shared" si="43"/>
        <v>35659</v>
      </c>
      <c r="T189" s="4">
        <f t="shared" si="44"/>
        <v>24055</v>
      </c>
      <c r="U189" s="4">
        <f t="shared" si="45"/>
        <v>4079</v>
      </c>
      <c r="V189" s="4">
        <f t="shared" si="46"/>
        <v>6184</v>
      </c>
      <c r="W189" s="4">
        <f t="shared" si="47"/>
        <v>111</v>
      </c>
      <c r="X189">
        <f t="shared" si="48"/>
        <v>71</v>
      </c>
      <c r="Y189">
        <f t="shared" si="49"/>
        <v>10.8</v>
      </c>
      <c r="Z189">
        <f t="shared" si="50"/>
        <v>11.9</v>
      </c>
    </row>
    <row r="190" spans="1:26" x14ac:dyDescent="0.3">
      <c r="A190" t="str">
        <f t="shared" si="42"/>
        <v>HH185</v>
      </c>
      <c r="B190" t="s">
        <v>65</v>
      </c>
      <c r="C190">
        <v>5</v>
      </c>
      <c r="D190" s="4">
        <v>25912</v>
      </c>
      <c r="E190" t="s">
        <v>69</v>
      </c>
      <c r="F190" s="4">
        <v>4289</v>
      </c>
      <c r="G190">
        <v>114</v>
      </c>
      <c r="H190">
        <v>12.1</v>
      </c>
      <c r="I190">
        <v>5.1743714764743154E-2</v>
      </c>
      <c r="J190">
        <v>1</v>
      </c>
      <c r="M190" s="5"/>
      <c r="S190" s="4">
        <f t="shared" si="43"/>
        <v>25912</v>
      </c>
      <c r="T190" s="4">
        <f t="shared" si="44"/>
        <v>19708</v>
      </c>
      <c r="U190" s="4">
        <f t="shared" si="45"/>
        <v>4289</v>
      </c>
      <c r="V190" s="4">
        <f t="shared" si="46"/>
        <v>6234</v>
      </c>
      <c r="W190" s="4">
        <f t="shared" si="47"/>
        <v>114</v>
      </c>
      <c r="X190">
        <f t="shared" si="48"/>
        <v>75</v>
      </c>
      <c r="Y190">
        <f t="shared" si="49"/>
        <v>12.1</v>
      </c>
      <c r="Z190">
        <f t="shared" si="50"/>
        <v>4.7</v>
      </c>
    </row>
    <row r="191" spans="1:26" x14ac:dyDescent="0.3">
      <c r="A191" t="str">
        <f t="shared" si="42"/>
        <v>HH186</v>
      </c>
      <c r="B191" t="s">
        <v>63</v>
      </c>
      <c r="C191">
        <v>3</v>
      </c>
      <c r="D191" s="4">
        <v>15225</v>
      </c>
      <c r="E191" t="s">
        <v>67</v>
      </c>
      <c r="F191" s="4">
        <v>4297</v>
      </c>
      <c r="G191">
        <v>100</v>
      </c>
      <c r="H191">
        <v>4.5</v>
      </c>
      <c r="I191">
        <v>0.92474702186689661</v>
      </c>
      <c r="J191">
        <v>1</v>
      </c>
      <c r="M191" s="5"/>
      <c r="S191" s="4">
        <f t="shared" si="43"/>
        <v>15225</v>
      </c>
      <c r="T191" s="4">
        <f t="shared" si="44"/>
        <v>19015</v>
      </c>
      <c r="U191" s="4">
        <f t="shared" si="45"/>
        <v>4297</v>
      </c>
      <c r="V191" s="4">
        <f t="shared" si="46"/>
        <v>6091</v>
      </c>
      <c r="W191" s="4">
        <f t="shared" si="47"/>
        <v>100</v>
      </c>
      <c r="X191">
        <f t="shared" si="48"/>
        <v>98</v>
      </c>
      <c r="Y191">
        <f t="shared" si="49"/>
        <v>4.5</v>
      </c>
      <c r="Z191">
        <f t="shared" si="50"/>
        <v>12.5</v>
      </c>
    </row>
    <row r="192" spans="1:26" x14ac:dyDescent="0.3">
      <c r="A192" t="str">
        <f t="shared" si="42"/>
        <v>HH187</v>
      </c>
      <c r="B192" t="s">
        <v>63</v>
      </c>
      <c r="C192">
        <v>8</v>
      </c>
      <c r="D192" s="4">
        <v>24775</v>
      </c>
      <c r="E192" t="s">
        <v>67</v>
      </c>
      <c r="F192" s="4">
        <v>5023</v>
      </c>
      <c r="G192">
        <v>104</v>
      </c>
      <c r="H192">
        <v>12.1</v>
      </c>
      <c r="I192">
        <v>0.765622692252097</v>
      </c>
      <c r="J192">
        <v>1</v>
      </c>
      <c r="M192" s="5"/>
      <c r="S192" s="4">
        <f t="shared" si="43"/>
        <v>24775</v>
      </c>
      <c r="T192" s="4">
        <f t="shared" si="44"/>
        <v>15908</v>
      </c>
      <c r="U192" s="4">
        <f t="shared" si="45"/>
        <v>5023</v>
      </c>
      <c r="V192" s="4">
        <f t="shared" si="46"/>
        <v>5635</v>
      </c>
      <c r="W192" s="4">
        <f t="shared" si="47"/>
        <v>104</v>
      </c>
      <c r="X192">
        <f t="shared" si="48"/>
        <v>81</v>
      </c>
      <c r="Y192">
        <f t="shared" si="49"/>
        <v>12.1</v>
      </c>
      <c r="Z192">
        <f t="shared" si="50"/>
        <v>8.3000000000000007</v>
      </c>
    </row>
    <row r="193" spans="1:26" x14ac:dyDescent="0.3">
      <c r="A193" t="str">
        <f t="shared" si="42"/>
        <v>HH188</v>
      </c>
      <c r="B193" t="s">
        <v>64</v>
      </c>
      <c r="C193">
        <v>4</v>
      </c>
      <c r="D193" s="4">
        <v>23620</v>
      </c>
      <c r="E193" t="s">
        <v>66</v>
      </c>
      <c r="F193" s="4">
        <v>4258</v>
      </c>
      <c r="G193">
        <v>58</v>
      </c>
      <c r="H193">
        <v>6.8</v>
      </c>
      <c r="I193">
        <v>0.78449342781508702</v>
      </c>
      <c r="J193">
        <v>1</v>
      </c>
      <c r="M193" s="5"/>
      <c r="S193" s="4">
        <f t="shared" si="43"/>
        <v>23620</v>
      </c>
      <c r="T193" s="4">
        <f t="shared" si="44"/>
        <v>27691</v>
      </c>
      <c r="U193" s="4">
        <f t="shared" si="45"/>
        <v>4258</v>
      </c>
      <c r="V193" s="4">
        <f t="shared" si="46"/>
        <v>4631</v>
      </c>
      <c r="W193" s="4">
        <f t="shared" si="47"/>
        <v>58</v>
      </c>
      <c r="X193">
        <f t="shared" si="48"/>
        <v>17</v>
      </c>
      <c r="Y193">
        <f t="shared" si="49"/>
        <v>6.8</v>
      </c>
      <c r="Z193">
        <f t="shared" si="50"/>
        <v>14.2</v>
      </c>
    </row>
    <row r="194" spans="1:26" x14ac:dyDescent="0.3">
      <c r="A194" t="str">
        <f t="shared" si="42"/>
        <v>HH189</v>
      </c>
      <c r="B194" t="s">
        <v>62</v>
      </c>
      <c r="C194">
        <v>7</v>
      </c>
      <c r="D194" s="4">
        <v>27904</v>
      </c>
      <c r="E194" t="s">
        <v>68</v>
      </c>
      <c r="F194" s="4">
        <v>5894</v>
      </c>
      <c r="G194">
        <v>107</v>
      </c>
      <c r="H194">
        <v>14.8</v>
      </c>
      <c r="I194">
        <v>0.87094843028389191</v>
      </c>
      <c r="J194">
        <v>1</v>
      </c>
      <c r="M194" s="5"/>
      <c r="S194" s="4">
        <f t="shared" si="43"/>
        <v>27904</v>
      </c>
      <c r="T194" s="4">
        <f t="shared" si="44"/>
        <v>27753</v>
      </c>
      <c r="U194" s="4">
        <f t="shared" si="45"/>
        <v>5894</v>
      </c>
      <c r="V194" s="4">
        <f t="shared" si="46"/>
        <v>4110</v>
      </c>
      <c r="W194" s="4">
        <f t="shared" si="47"/>
        <v>107</v>
      </c>
      <c r="X194">
        <f t="shared" si="48"/>
        <v>93</v>
      </c>
      <c r="Y194">
        <f t="shared" si="49"/>
        <v>14.8</v>
      </c>
      <c r="Z194">
        <f t="shared" si="50"/>
        <v>12.6</v>
      </c>
    </row>
    <row r="195" spans="1:26" x14ac:dyDescent="0.3">
      <c r="A195" t="str">
        <f t="shared" si="42"/>
        <v>HH190</v>
      </c>
      <c r="B195" t="s">
        <v>65</v>
      </c>
      <c r="C195">
        <v>2</v>
      </c>
      <c r="D195" s="4">
        <v>29072</v>
      </c>
      <c r="E195" t="s">
        <v>68</v>
      </c>
      <c r="F195" s="4">
        <v>3054</v>
      </c>
      <c r="G195">
        <v>16</v>
      </c>
      <c r="H195">
        <v>5.2</v>
      </c>
      <c r="I195">
        <v>0.34284189403163223</v>
      </c>
      <c r="J195">
        <v>1</v>
      </c>
      <c r="M195" s="5"/>
      <c r="S195" s="4">
        <f t="shared" si="43"/>
        <v>29072</v>
      </c>
      <c r="T195" s="4">
        <f t="shared" si="44"/>
        <v>22031</v>
      </c>
      <c r="U195" s="4">
        <f t="shared" si="45"/>
        <v>3054</v>
      </c>
      <c r="V195" s="4">
        <f t="shared" si="46"/>
        <v>5690</v>
      </c>
      <c r="W195" s="4">
        <f t="shared" si="47"/>
        <v>16</v>
      </c>
      <c r="X195">
        <f t="shared" si="48"/>
        <v>45</v>
      </c>
      <c r="Y195">
        <f t="shared" si="49"/>
        <v>5.2</v>
      </c>
      <c r="Z195">
        <f t="shared" si="50"/>
        <v>11.9</v>
      </c>
    </row>
    <row r="196" spans="1:26" x14ac:dyDescent="0.3">
      <c r="A196" t="str">
        <f t="shared" si="42"/>
        <v>HH191</v>
      </c>
      <c r="B196" t="s">
        <v>63</v>
      </c>
      <c r="C196">
        <v>3</v>
      </c>
      <c r="D196" s="4">
        <v>34403</v>
      </c>
      <c r="E196" t="s">
        <v>66</v>
      </c>
      <c r="F196" s="4">
        <v>4064</v>
      </c>
      <c r="G196">
        <v>65</v>
      </c>
      <c r="H196">
        <v>3</v>
      </c>
      <c r="I196">
        <v>0.47478668704385307</v>
      </c>
      <c r="J196">
        <v>1</v>
      </c>
      <c r="M196" s="5"/>
      <c r="S196" s="4">
        <f t="shared" si="43"/>
        <v>34403</v>
      </c>
      <c r="T196" s="4">
        <f t="shared" si="44"/>
        <v>31551</v>
      </c>
      <c r="U196" s="4">
        <f t="shared" si="45"/>
        <v>4064</v>
      </c>
      <c r="V196" s="4">
        <f t="shared" si="46"/>
        <v>5255</v>
      </c>
      <c r="W196" s="4">
        <f t="shared" si="47"/>
        <v>65</v>
      </c>
      <c r="X196">
        <f t="shared" si="48"/>
        <v>33</v>
      </c>
      <c r="Y196">
        <f t="shared" si="49"/>
        <v>3</v>
      </c>
      <c r="Z196">
        <f t="shared" si="50"/>
        <v>14.6</v>
      </c>
    </row>
    <row r="197" spans="1:26" x14ac:dyDescent="0.3">
      <c r="A197" t="str">
        <f t="shared" si="42"/>
        <v>HH192</v>
      </c>
      <c r="B197" t="s">
        <v>63</v>
      </c>
      <c r="C197">
        <v>5</v>
      </c>
      <c r="D197" s="4">
        <v>30371</v>
      </c>
      <c r="E197" t="s">
        <v>67</v>
      </c>
      <c r="F197" s="4">
        <v>4950</v>
      </c>
      <c r="G197">
        <v>67</v>
      </c>
      <c r="H197">
        <v>13.7</v>
      </c>
      <c r="I197">
        <v>0.10485859322721536</v>
      </c>
      <c r="J197">
        <v>1</v>
      </c>
      <c r="M197" s="5"/>
      <c r="S197" s="4">
        <f t="shared" si="43"/>
        <v>30371</v>
      </c>
      <c r="T197" s="4">
        <f t="shared" si="44"/>
        <v>45440</v>
      </c>
      <c r="U197" s="4">
        <f t="shared" si="45"/>
        <v>4950</v>
      </c>
      <c r="V197" s="4">
        <f t="shared" si="46"/>
        <v>5329</v>
      </c>
      <c r="W197" s="4">
        <f t="shared" si="47"/>
        <v>67</v>
      </c>
      <c r="X197">
        <f t="shared" si="48"/>
        <v>24</v>
      </c>
      <c r="Y197">
        <f t="shared" si="49"/>
        <v>13.7</v>
      </c>
      <c r="Z197">
        <f t="shared" si="50"/>
        <v>14.4</v>
      </c>
    </row>
    <row r="198" spans="1:26" x14ac:dyDescent="0.3">
      <c r="A198" t="str">
        <f t="shared" si="42"/>
        <v>HH193</v>
      </c>
      <c r="B198" t="s">
        <v>64</v>
      </c>
      <c r="C198">
        <v>8</v>
      </c>
      <c r="D198" s="4">
        <v>29242</v>
      </c>
      <c r="E198" t="s">
        <v>66</v>
      </c>
      <c r="F198" s="4">
        <v>4730</v>
      </c>
      <c r="G198">
        <v>80</v>
      </c>
      <c r="H198">
        <v>9.1999999999999993</v>
      </c>
      <c r="I198">
        <v>0.58193412558113455</v>
      </c>
      <c r="J198">
        <v>1</v>
      </c>
      <c r="M198" s="5"/>
      <c r="S198" s="4">
        <f t="shared" ref="S198:S205" si="51">IF($J198=1,D198,"")</f>
        <v>29242</v>
      </c>
      <c r="T198" s="4">
        <f t="shared" ref="T198:T205" si="52">IF($J398=0, D398,"")</f>
        <v>22377</v>
      </c>
      <c r="U198" s="4">
        <f t="shared" ref="U198:U205" si="53">IF($J198=1,F198,"")</f>
        <v>4730</v>
      </c>
      <c r="V198" s="4">
        <f t="shared" ref="V198:V205" si="54">IF($J398=0,F398,"")</f>
        <v>6084</v>
      </c>
      <c r="W198" s="4">
        <f t="shared" ref="W198:W205" si="55">IF($J198=1,G198,"")</f>
        <v>80</v>
      </c>
      <c r="X198">
        <f t="shared" ref="X198:X205" si="56">IF($J398=0,G398,"")</f>
        <v>15</v>
      </c>
      <c r="Y198">
        <f t="shared" ref="Y198:Y205" si="57">IF($J198=1,H198,"")</f>
        <v>9.1999999999999993</v>
      </c>
      <c r="Z198">
        <f t="shared" ref="Z198:Z205" si="58">IF($J398=0,H398,"")</f>
        <v>0.6</v>
      </c>
    </row>
    <row r="199" spans="1:26" x14ac:dyDescent="0.3">
      <c r="A199" t="str">
        <f t="shared" ref="A199:A262" si="59">"HH"&amp;TEXT(ROW()-5,"000")</f>
        <v>HH194</v>
      </c>
      <c r="B199" t="s">
        <v>65</v>
      </c>
      <c r="C199">
        <v>6</v>
      </c>
      <c r="D199" s="4">
        <v>19534</v>
      </c>
      <c r="E199" t="s">
        <v>67</v>
      </c>
      <c r="F199" s="4">
        <v>6078</v>
      </c>
      <c r="G199">
        <v>62</v>
      </c>
      <c r="H199">
        <v>2.2999999999999998</v>
      </c>
      <c r="I199">
        <v>0.17112522946689757</v>
      </c>
      <c r="J199">
        <v>1</v>
      </c>
      <c r="M199" s="5"/>
      <c r="S199" s="4">
        <f t="shared" si="51"/>
        <v>19534</v>
      </c>
      <c r="T199" s="4">
        <f t="shared" si="52"/>
        <v>26716</v>
      </c>
      <c r="U199" s="4">
        <f t="shared" si="53"/>
        <v>6078</v>
      </c>
      <c r="V199" s="4">
        <f t="shared" si="54"/>
        <v>3504</v>
      </c>
      <c r="W199" s="4">
        <f t="shared" si="55"/>
        <v>62</v>
      </c>
      <c r="X199">
        <f t="shared" si="56"/>
        <v>98</v>
      </c>
      <c r="Y199">
        <f t="shared" si="57"/>
        <v>2.2999999999999998</v>
      </c>
      <c r="Z199">
        <f t="shared" si="58"/>
        <v>9.8000000000000007</v>
      </c>
    </row>
    <row r="200" spans="1:26" x14ac:dyDescent="0.3">
      <c r="A200" t="str">
        <f t="shared" si="59"/>
        <v>HH195</v>
      </c>
      <c r="B200" t="s">
        <v>64</v>
      </c>
      <c r="C200">
        <v>7</v>
      </c>
      <c r="D200" s="4">
        <v>27338</v>
      </c>
      <c r="E200" t="s">
        <v>68</v>
      </c>
      <c r="F200" s="4">
        <v>4705</v>
      </c>
      <c r="G200">
        <v>101</v>
      </c>
      <c r="H200">
        <v>0.7</v>
      </c>
      <c r="I200">
        <v>0.95659937653537419</v>
      </c>
      <c r="J200">
        <v>1</v>
      </c>
      <c r="M200" s="5"/>
      <c r="S200" s="4">
        <f t="shared" si="51"/>
        <v>27338</v>
      </c>
      <c r="T200" s="4">
        <f t="shared" si="52"/>
        <v>17997</v>
      </c>
      <c r="U200" s="4">
        <f t="shared" si="53"/>
        <v>4705</v>
      </c>
      <c r="V200" s="4">
        <f t="shared" si="54"/>
        <v>4962</v>
      </c>
      <c r="W200" s="4">
        <f t="shared" si="55"/>
        <v>101</v>
      </c>
      <c r="X200">
        <f t="shared" si="56"/>
        <v>34</v>
      </c>
      <c r="Y200">
        <f t="shared" si="57"/>
        <v>0.7</v>
      </c>
      <c r="Z200">
        <f t="shared" si="58"/>
        <v>11.2</v>
      </c>
    </row>
    <row r="201" spans="1:26" x14ac:dyDescent="0.3">
      <c r="A201" t="str">
        <f t="shared" si="59"/>
        <v>HH196</v>
      </c>
      <c r="B201" t="s">
        <v>63</v>
      </c>
      <c r="C201">
        <v>7</v>
      </c>
      <c r="D201" s="4">
        <v>20040</v>
      </c>
      <c r="E201" t="s">
        <v>69</v>
      </c>
      <c r="F201" s="4">
        <v>6192</v>
      </c>
      <c r="G201">
        <v>117</v>
      </c>
      <c r="H201">
        <v>0.6</v>
      </c>
      <c r="I201">
        <v>0.19848969255362681</v>
      </c>
      <c r="J201">
        <v>1</v>
      </c>
      <c r="M201" s="5"/>
      <c r="S201" s="4">
        <f t="shared" si="51"/>
        <v>20040</v>
      </c>
      <c r="T201" s="4">
        <f t="shared" si="52"/>
        <v>22351</v>
      </c>
      <c r="U201" s="4">
        <f t="shared" si="53"/>
        <v>6192</v>
      </c>
      <c r="V201" s="4">
        <f t="shared" si="54"/>
        <v>5765</v>
      </c>
      <c r="W201" s="4">
        <f t="shared" si="55"/>
        <v>117</v>
      </c>
      <c r="X201">
        <f t="shared" si="56"/>
        <v>114</v>
      </c>
      <c r="Y201">
        <f t="shared" si="57"/>
        <v>0.6</v>
      </c>
      <c r="Z201">
        <f t="shared" si="58"/>
        <v>8.8000000000000007</v>
      </c>
    </row>
    <row r="202" spans="1:26" x14ac:dyDescent="0.3">
      <c r="A202" t="str">
        <f t="shared" si="59"/>
        <v>HH197</v>
      </c>
      <c r="B202" t="s">
        <v>65</v>
      </c>
      <c r="C202">
        <v>2</v>
      </c>
      <c r="D202" s="4">
        <v>31916</v>
      </c>
      <c r="E202" t="s">
        <v>68</v>
      </c>
      <c r="F202" s="4">
        <v>3849</v>
      </c>
      <c r="G202">
        <v>53</v>
      </c>
      <c r="H202">
        <v>5.5</v>
      </c>
      <c r="I202">
        <v>4.9008113633194239E-2</v>
      </c>
      <c r="J202">
        <v>1</v>
      </c>
      <c r="M202" s="5"/>
      <c r="S202" s="4">
        <f t="shared" si="51"/>
        <v>31916</v>
      </c>
      <c r="T202" s="4">
        <f t="shared" si="52"/>
        <v>46835</v>
      </c>
      <c r="U202" s="4">
        <f t="shared" si="53"/>
        <v>3849</v>
      </c>
      <c r="V202" s="4">
        <f t="shared" si="54"/>
        <v>5149</v>
      </c>
      <c r="W202" s="4">
        <f t="shared" si="55"/>
        <v>53</v>
      </c>
      <c r="X202">
        <f t="shared" si="56"/>
        <v>51</v>
      </c>
      <c r="Y202">
        <f t="shared" si="57"/>
        <v>5.5</v>
      </c>
      <c r="Z202">
        <f t="shared" si="58"/>
        <v>11.7</v>
      </c>
    </row>
    <row r="203" spans="1:26" x14ac:dyDescent="0.3">
      <c r="A203" t="str">
        <f t="shared" si="59"/>
        <v>HH198</v>
      </c>
      <c r="B203" t="s">
        <v>65</v>
      </c>
      <c r="C203">
        <v>3</v>
      </c>
      <c r="D203" s="4">
        <v>37262</v>
      </c>
      <c r="E203" t="s">
        <v>66</v>
      </c>
      <c r="F203" s="4">
        <v>4516</v>
      </c>
      <c r="G203">
        <v>28</v>
      </c>
      <c r="H203">
        <v>7.8</v>
      </c>
      <c r="I203">
        <v>0.14353548090911161</v>
      </c>
      <c r="J203">
        <v>1</v>
      </c>
      <c r="M203" s="5"/>
      <c r="S203" s="4">
        <f t="shared" si="51"/>
        <v>37262</v>
      </c>
      <c r="T203" s="4">
        <f t="shared" si="52"/>
        <v>22553</v>
      </c>
      <c r="U203" s="4">
        <f t="shared" si="53"/>
        <v>4516</v>
      </c>
      <c r="V203" s="4">
        <f t="shared" si="54"/>
        <v>3580</v>
      </c>
      <c r="W203" s="4">
        <f t="shared" si="55"/>
        <v>28</v>
      </c>
      <c r="X203">
        <f t="shared" si="56"/>
        <v>84</v>
      </c>
      <c r="Y203">
        <f t="shared" si="57"/>
        <v>7.8</v>
      </c>
      <c r="Z203">
        <f t="shared" si="58"/>
        <v>14.9</v>
      </c>
    </row>
    <row r="204" spans="1:26" x14ac:dyDescent="0.3">
      <c r="A204" t="str">
        <f t="shared" si="59"/>
        <v>HH199</v>
      </c>
      <c r="B204" t="s">
        <v>63</v>
      </c>
      <c r="C204">
        <v>7</v>
      </c>
      <c r="D204" s="4">
        <v>30161</v>
      </c>
      <c r="E204" t="s">
        <v>68</v>
      </c>
      <c r="F204" s="4">
        <v>4541</v>
      </c>
      <c r="G204">
        <v>58</v>
      </c>
      <c r="H204">
        <v>9.1999999999999993</v>
      </c>
      <c r="I204">
        <v>0.56483408142419789</v>
      </c>
      <c r="J204">
        <v>1</v>
      </c>
      <c r="M204" s="5"/>
      <c r="S204" s="4">
        <f t="shared" si="51"/>
        <v>30161</v>
      </c>
      <c r="T204" s="4">
        <f t="shared" si="52"/>
        <v>21091</v>
      </c>
      <c r="U204" s="4">
        <f t="shared" si="53"/>
        <v>4541</v>
      </c>
      <c r="V204" s="4">
        <f t="shared" si="54"/>
        <v>2407</v>
      </c>
      <c r="W204" s="4">
        <f t="shared" si="55"/>
        <v>58</v>
      </c>
      <c r="X204">
        <f t="shared" si="56"/>
        <v>92</v>
      </c>
      <c r="Y204">
        <f t="shared" si="57"/>
        <v>9.1999999999999993</v>
      </c>
      <c r="Z204">
        <f t="shared" si="58"/>
        <v>2.2999999999999998</v>
      </c>
    </row>
    <row r="205" spans="1:26" x14ac:dyDescent="0.3">
      <c r="A205" t="str">
        <f t="shared" si="59"/>
        <v>HH200</v>
      </c>
      <c r="B205" t="s">
        <v>63</v>
      </c>
      <c r="C205">
        <v>3</v>
      </c>
      <c r="D205" s="4">
        <v>18935</v>
      </c>
      <c r="E205" t="s">
        <v>67</v>
      </c>
      <c r="F205" s="4">
        <v>4709</v>
      </c>
      <c r="G205">
        <v>29</v>
      </c>
      <c r="H205">
        <v>13.2</v>
      </c>
      <c r="I205">
        <v>0.41796033085152151</v>
      </c>
      <c r="J205">
        <v>1</v>
      </c>
      <c r="M205" s="5"/>
      <c r="S205" s="4">
        <f t="shared" si="51"/>
        <v>18935</v>
      </c>
      <c r="T205" s="4">
        <f t="shared" si="52"/>
        <v>37920</v>
      </c>
      <c r="U205" s="4">
        <f t="shared" si="53"/>
        <v>4709</v>
      </c>
      <c r="V205" s="4">
        <f t="shared" si="54"/>
        <v>5831</v>
      </c>
      <c r="W205" s="4">
        <f t="shared" si="55"/>
        <v>29</v>
      </c>
      <c r="X205">
        <f t="shared" si="56"/>
        <v>120</v>
      </c>
      <c r="Y205">
        <f t="shared" si="57"/>
        <v>13.2</v>
      </c>
      <c r="Z205">
        <f t="shared" si="58"/>
        <v>8.4</v>
      </c>
    </row>
    <row r="206" spans="1:26" x14ac:dyDescent="0.3">
      <c r="A206" t="str">
        <f t="shared" si="59"/>
        <v>HH201</v>
      </c>
      <c r="B206" t="s">
        <v>63</v>
      </c>
      <c r="C206">
        <v>5</v>
      </c>
      <c r="D206" s="4">
        <v>23861</v>
      </c>
      <c r="E206" t="s">
        <v>66</v>
      </c>
      <c r="F206" s="4">
        <v>5945</v>
      </c>
      <c r="G206">
        <v>91</v>
      </c>
      <c r="H206">
        <v>3.5</v>
      </c>
      <c r="I206">
        <v>0.41929336625395075</v>
      </c>
      <c r="J206">
        <v>0</v>
      </c>
      <c r="M206" s="5"/>
      <c r="S206" s="4" t="str">
        <f t="shared" ref="S206:S262" si="60">IF($J206=1,D206,"")</f>
        <v/>
      </c>
      <c r="T206" s="4"/>
      <c r="U206" s="4" t="str">
        <f>IF($J206=1,F206,"")</f>
        <v/>
      </c>
      <c r="V206" s="4"/>
      <c r="W206" s="4"/>
    </row>
    <row r="207" spans="1:26" x14ac:dyDescent="0.3">
      <c r="A207" t="str">
        <f t="shared" si="59"/>
        <v>HH202</v>
      </c>
      <c r="B207" t="s">
        <v>64</v>
      </c>
      <c r="C207">
        <v>6</v>
      </c>
      <c r="D207" s="4">
        <v>30323</v>
      </c>
      <c r="E207" t="s">
        <v>67</v>
      </c>
      <c r="F207" s="4">
        <v>5395</v>
      </c>
      <c r="G207">
        <v>29</v>
      </c>
      <c r="H207">
        <v>6.7</v>
      </c>
      <c r="I207">
        <v>0.67257935406428915</v>
      </c>
      <c r="J207">
        <v>0</v>
      </c>
      <c r="M207" s="5"/>
      <c r="S207" t="str">
        <f t="shared" si="60"/>
        <v/>
      </c>
      <c r="U207" t="str">
        <f>IF($J207=1,F207,"")</f>
        <v/>
      </c>
    </row>
    <row r="208" spans="1:26" x14ac:dyDescent="0.3">
      <c r="A208" t="str">
        <f t="shared" si="59"/>
        <v>HH203</v>
      </c>
      <c r="B208" t="s">
        <v>65</v>
      </c>
      <c r="C208">
        <v>8</v>
      </c>
      <c r="D208" s="4">
        <v>27664</v>
      </c>
      <c r="E208" t="s">
        <v>67</v>
      </c>
      <c r="F208" s="4">
        <v>6942</v>
      </c>
      <c r="G208">
        <v>60</v>
      </c>
      <c r="H208">
        <v>11.2</v>
      </c>
      <c r="I208">
        <v>0.97116528203511165</v>
      </c>
      <c r="J208">
        <v>0</v>
      </c>
      <c r="M208" s="5"/>
      <c r="S208" t="str">
        <f t="shared" si="60"/>
        <v/>
      </c>
      <c r="U208" t="str">
        <f>IF($J208=1,F208,"")</f>
        <v/>
      </c>
    </row>
    <row r="209" spans="1:33" x14ac:dyDescent="0.3">
      <c r="A209" t="str">
        <f t="shared" si="59"/>
        <v>HH204</v>
      </c>
      <c r="B209" t="s">
        <v>62</v>
      </c>
      <c r="C209">
        <v>2</v>
      </c>
      <c r="D209" s="4">
        <v>22468</v>
      </c>
      <c r="E209" t="s">
        <v>69</v>
      </c>
      <c r="F209" s="4">
        <v>2752</v>
      </c>
      <c r="G209">
        <v>50</v>
      </c>
      <c r="H209">
        <v>13.9</v>
      </c>
      <c r="I209">
        <v>0.8167267837237594</v>
      </c>
      <c r="J209">
        <v>0</v>
      </c>
      <c r="M209" s="5"/>
      <c r="S209" t="str">
        <f t="shared" si="60"/>
        <v/>
      </c>
      <c r="U209" t="str">
        <f>IF($J209=1,F209,"")</f>
        <v/>
      </c>
    </row>
    <row r="210" spans="1:33" x14ac:dyDescent="0.3">
      <c r="A210" t="str">
        <f t="shared" si="59"/>
        <v>HH205</v>
      </c>
      <c r="B210" t="s">
        <v>62</v>
      </c>
      <c r="C210">
        <v>8</v>
      </c>
      <c r="D210" s="4">
        <v>36674</v>
      </c>
      <c r="E210" t="s">
        <v>69</v>
      </c>
      <c r="F210" s="4">
        <v>4730</v>
      </c>
      <c r="G210">
        <v>113</v>
      </c>
      <c r="H210">
        <v>7.2</v>
      </c>
      <c r="I210">
        <v>0.34107322002518337</v>
      </c>
      <c r="J210">
        <v>0</v>
      </c>
      <c r="M210" s="5"/>
    </row>
    <row r="211" spans="1:33" x14ac:dyDescent="0.3">
      <c r="A211" t="str">
        <f t="shared" si="59"/>
        <v>HH206</v>
      </c>
      <c r="B211" t="s">
        <v>62</v>
      </c>
      <c r="C211">
        <v>2</v>
      </c>
      <c r="D211" s="4">
        <v>21108</v>
      </c>
      <c r="E211" t="s">
        <v>69</v>
      </c>
      <c r="F211" s="4">
        <v>3739</v>
      </c>
      <c r="G211">
        <v>58</v>
      </c>
      <c r="H211">
        <v>10.4</v>
      </c>
      <c r="I211">
        <v>0.65705648314968812</v>
      </c>
      <c r="J211">
        <v>0</v>
      </c>
      <c r="M211" s="5"/>
    </row>
    <row r="212" spans="1:33" x14ac:dyDescent="0.3">
      <c r="A212" t="str">
        <f t="shared" si="59"/>
        <v>HH207</v>
      </c>
      <c r="B212" t="s">
        <v>62</v>
      </c>
      <c r="C212">
        <v>7</v>
      </c>
      <c r="D212" s="4">
        <v>27803</v>
      </c>
      <c r="E212" t="s">
        <v>68</v>
      </c>
      <c r="F212" s="4">
        <v>5478</v>
      </c>
      <c r="G212">
        <v>120</v>
      </c>
      <c r="H212">
        <v>14.2</v>
      </c>
      <c r="I212">
        <v>0.28595907087293893</v>
      </c>
      <c r="J212">
        <v>0</v>
      </c>
      <c r="M212" s="5"/>
    </row>
    <row r="213" spans="1:33" x14ac:dyDescent="0.3">
      <c r="A213" t="str">
        <f t="shared" si="59"/>
        <v>HH208</v>
      </c>
      <c r="B213" t="s">
        <v>63</v>
      </c>
      <c r="C213">
        <v>8</v>
      </c>
      <c r="D213" s="4">
        <v>37239</v>
      </c>
      <c r="E213" t="s">
        <v>68</v>
      </c>
      <c r="F213" s="4">
        <v>7041</v>
      </c>
      <c r="G213">
        <v>114</v>
      </c>
      <c r="H213">
        <v>4.8</v>
      </c>
      <c r="I213">
        <v>0.42915867858061618</v>
      </c>
      <c r="J213">
        <v>0</v>
      </c>
      <c r="M213" s="5"/>
    </row>
    <row r="214" spans="1:33" x14ac:dyDescent="0.3">
      <c r="A214" t="str">
        <f t="shared" si="59"/>
        <v>HH209</v>
      </c>
      <c r="B214" t="s">
        <v>63</v>
      </c>
      <c r="C214">
        <v>3</v>
      </c>
      <c r="D214" s="4">
        <v>25603</v>
      </c>
      <c r="E214" t="s">
        <v>68</v>
      </c>
      <c r="F214" s="4">
        <v>2757</v>
      </c>
      <c r="G214">
        <v>26</v>
      </c>
      <c r="H214">
        <v>10.199999999999999</v>
      </c>
      <c r="I214">
        <v>0.51944249142275545</v>
      </c>
      <c r="J214">
        <v>0</v>
      </c>
      <c r="M214" s="5"/>
    </row>
    <row r="215" spans="1:33" x14ac:dyDescent="0.3">
      <c r="A215" t="str">
        <f t="shared" si="59"/>
        <v>HH210</v>
      </c>
      <c r="B215" t="s">
        <v>65</v>
      </c>
      <c r="C215">
        <v>8</v>
      </c>
      <c r="D215" s="4">
        <v>18545</v>
      </c>
      <c r="E215" t="s">
        <v>68</v>
      </c>
      <c r="F215" s="4">
        <v>5378</v>
      </c>
      <c r="G215">
        <v>82</v>
      </c>
      <c r="H215">
        <v>12.4</v>
      </c>
      <c r="I215">
        <v>1.4887331892076583E-2</v>
      </c>
      <c r="J215">
        <v>0</v>
      </c>
      <c r="M215" s="5"/>
    </row>
    <row r="216" spans="1:33" x14ac:dyDescent="0.3">
      <c r="A216" t="str">
        <f t="shared" si="59"/>
        <v>HH211</v>
      </c>
      <c r="B216" t="s">
        <v>63</v>
      </c>
      <c r="C216">
        <v>3</v>
      </c>
      <c r="D216" s="4">
        <v>26672</v>
      </c>
      <c r="E216" t="s">
        <v>68</v>
      </c>
      <c r="F216" s="4">
        <v>3678</v>
      </c>
      <c r="G216">
        <v>101</v>
      </c>
      <c r="H216">
        <v>5.4</v>
      </c>
      <c r="I216">
        <v>0.77322692665378123</v>
      </c>
      <c r="J216">
        <v>0</v>
      </c>
      <c r="M216" s="5"/>
    </row>
    <row r="217" spans="1:33" x14ac:dyDescent="0.3">
      <c r="A217" t="str">
        <f t="shared" si="59"/>
        <v>HH212</v>
      </c>
      <c r="B217" t="s">
        <v>64</v>
      </c>
      <c r="C217">
        <v>7</v>
      </c>
      <c r="D217" s="4">
        <v>23679</v>
      </c>
      <c r="E217" t="s">
        <v>68</v>
      </c>
      <c r="F217" s="4">
        <v>5387</v>
      </c>
      <c r="G217">
        <v>102</v>
      </c>
      <c r="H217">
        <v>7.2</v>
      </c>
      <c r="I217">
        <v>0.75487434340012594</v>
      </c>
      <c r="J217">
        <v>0</v>
      </c>
      <c r="M217" s="5"/>
    </row>
    <row r="218" spans="1:33" ht="15" thickBot="1" x14ac:dyDescent="0.35">
      <c r="A218" t="str">
        <f t="shared" si="59"/>
        <v>HH213</v>
      </c>
      <c r="B218" t="s">
        <v>65</v>
      </c>
      <c r="C218">
        <v>2</v>
      </c>
      <c r="D218" s="4">
        <v>32533</v>
      </c>
      <c r="E218" t="s">
        <v>66</v>
      </c>
      <c r="F218" s="4">
        <v>2374</v>
      </c>
      <c r="G218">
        <v>119</v>
      </c>
      <c r="H218">
        <v>12.9</v>
      </c>
      <c r="I218">
        <v>0.63036936428433166</v>
      </c>
      <c r="J218">
        <v>0</v>
      </c>
      <c r="M218" s="5"/>
      <c r="AE218" s="8"/>
      <c r="AF218" s="8"/>
      <c r="AG218" s="8"/>
    </row>
    <row r="219" spans="1:33" x14ac:dyDescent="0.3">
      <c r="A219" t="str">
        <f t="shared" si="59"/>
        <v>HH214</v>
      </c>
      <c r="B219" t="s">
        <v>64</v>
      </c>
      <c r="C219">
        <v>8</v>
      </c>
      <c r="D219" s="4">
        <v>27282</v>
      </c>
      <c r="E219" t="s">
        <v>67</v>
      </c>
      <c r="F219" s="4">
        <v>4906</v>
      </c>
      <c r="G219">
        <v>77</v>
      </c>
      <c r="H219">
        <v>0.8</v>
      </c>
      <c r="I219">
        <v>7.0628848134885125E-2</v>
      </c>
      <c r="J219">
        <v>0</v>
      </c>
      <c r="M219" s="5"/>
    </row>
    <row r="220" spans="1:33" x14ac:dyDescent="0.3">
      <c r="A220" t="str">
        <f t="shared" si="59"/>
        <v>HH215</v>
      </c>
      <c r="B220" t="s">
        <v>64</v>
      </c>
      <c r="C220">
        <v>2</v>
      </c>
      <c r="D220" s="4">
        <v>18190</v>
      </c>
      <c r="E220" t="s">
        <v>67</v>
      </c>
      <c r="F220" s="4">
        <v>3976</v>
      </c>
      <c r="G220">
        <v>89</v>
      </c>
      <c r="H220">
        <v>13.8</v>
      </c>
      <c r="I220">
        <v>5.7351159155760167E-2</v>
      </c>
      <c r="J220">
        <v>0</v>
      </c>
      <c r="M220" s="5"/>
    </row>
    <row r="221" spans="1:33" x14ac:dyDescent="0.3">
      <c r="A221" t="str">
        <f t="shared" si="59"/>
        <v>HH216</v>
      </c>
      <c r="B221" t="s">
        <v>63</v>
      </c>
      <c r="C221">
        <v>8</v>
      </c>
      <c r="D221" s="4">
        <v>28755</v>
      </c>
      <c r="E221" t="s">
        <v>67</v>
      </c>
      <c r="F221" s="4">
        <v>4897</v>
      </c>
      <c r="G221">
        <v>93</v>
      </c>
      <c r="H221">
        <v>7.8</v>
      </c>
      <c r="I221">
        <v>0.88962472021591332</v>
      </c>
      <c r="J221">
        <v>0</v>
      </c>
      <c r="M221" s="5"/>
    </row>
    <row r="222" spans="1:33" x14ac:dyDescent="0.3">
      <c r="A222" t="str">
        <f t="shared" si="59"/>
        <v>HH217</v>
      </c>
      <c r="B222" t="s">
        <v>62</v>
      </c>
      <c r="C222">
        <v>4</v>
      </c>
      <c r="D222" s="4">
        <v>31492</v>
      </c>
      <c r="E222" t="s">
        <v>68</v>
      </c>
      <c r="F222" s="4">
        <v>5390</v>
      </c>
      <c r="G222">
        <v>18</v>
      </c>
      <c r="H222">
        <v>5.8</v>
      </c>
      <c r="I222">
        <v>4.5170721130639802E-2</v>
      </c>
      <c r="J222">
        <v>0</v>
      </c>
      <c r="M222" s="5"/>
    </row>
    <row r="223" spans="1:33" x14ac:dyDescent="0.3">
      <c r="A223" t="str">
        <f t="shared" si="59"/>
        <v>HH218</v>
      </c>
      <c r="B223" t="s">
        <v>64</v>
      </c>
      <c r="C223">
        <v>2</v>
      </c>
      <c r="D223" s="4">
        <v>29818</v>
      </c>
      <c r="E223" t="s">
        <v>68</v>
      </c>
      <c r="F223" s="4">
        <v>4351</v>
      </c>
      <c r="G223">
        <v>119</v>
      </c>
      <c r="H223">
        <v>10.1</v>
      </c>
      <c r="I223">
        <v>0.57756660520696401</v>
      </c>
      <c r="J223">
        <v>0</v>
      </c>
      <c r="M223" s="5"/>
    </row>
    <row r="224" spans="1:33" x14ac:dyDescent="0.3">
      <c r="A224" t="str">
        <f t="shared" si="59"/>
        <v>HH219</v>
      </c>
      <c r="B224" t="s">
        <v>63</v>
      </c>
      <c r="C224">
        <v>2</v>
      </c>
      <c r="D224" s="4">
        <v>24250</v>
      </c>
      <c r="E224" t="s">
        <v>68</v>
      </c>
      <c r="F224" s="4">
        <v>2851</v>
      </c>
      <c r="G224">
        <v>53</v>
      </c>
      <c r="H224">
        <v>10.199999999999999</v>
      </c>
      <c r="I224">
        <v>0.64978093051330588</v>
      </c>
      <c r="J224">
        <v>0</v>
      </c>
      <c r="M224" s="5"/>
    </row>
    <row r="225" spans="1:19" x14ac:dyDescent="0.3">
      <c r="A225" t="str">
        <f t="shared" si="59"/>
        <v>HH220</v>
      </c>
      <c r="B225" t="s">
        <v>64</v>
      </c>
      <c r="C225">
        <v>7</v>
      </c>
      <c r="D225" s="4">
        <v>29289</v>
      </c>
      <c r="E225" t="s">
        <v>67</v>
      </c>
      <c r="F225" s="4">
        <v>6542</v>
      </c>
      <c r="G225">
        <v>57</v>
      </c>
      <c r="H225">
        <v>2.9</v>
      </c>
      <c r="I225">
        <v>0.32918409385789049</v>
      </c>
      <c r="J225">
        <v>0</v>
      </c>
      <c r="M225" s="5"/>
    </row>
    <row r="226" spans="1:19" x14ac:dyDescent="0.3">
      <c r="A226" t="str">
        <f t="shared" si="59"/>
        <v>HH221</v>
      </c>
      <c r="B226" t="s">
        <v>65</v>
      </c>
      <c r="C226">
        <v>7</v>
      </c>
      <c r="D226" s="4">
        <v>29429</v>
      </c>
      <c r="E226" t="s">
        <v>68</v>
      </c>
      <c r="F226" s="4">
        <v>6762</v>
      </c>
      <c r="G226">
        <v>84</v>
      </c>
      <c r="H226">
        <v>8.4</v>
      </c>
      <c r="I226">
        <v>0.51880483884826001</v>
      </c>
      <c r="J226">
        <v>0</v>
      </c>
      <c r="M226" s="5"/>
    </row>
    <row r="227" spans="1:19" x14ac:dyDescent="0.3">
      <c r="A227" t="str">
        <f t="shared" si="59"/>
        <v>HH222</v>
      </c>
      <c r="B227" t="s">
        <v>65</v>
      </c>
      <c r="C227">
        <v>6</v>
      </c>
      <c r="D227" s="4">
        <v>18749</v>
      </c>
      <c r="E227" t="s">
        <v>67</v>
      </c>
      <c r="F227" s="4">
        <v>4729</v>
      </c>
      <c r="G227">
        <v>29</v>
      </c>
      <c r="H227">
        <v>14.8</v>
      </c>
      <c r="I227">
        <v>0.29123038872030949</v>
      </c>
      <c r="J227">
        <v>0</v>
      </c>
      <c r="M227" s="5"/>
    </row>
    <row r="228" spans="1:19" x14ac:dyDescent="0.3">
      <c r="A228" t="str">
        <f t="shared" si="59"/>
        <v>HH223</v>
      </c>
      <c r="B228" t="s">
        <v>63</v>
      </c>
      <c r="C228">
        <v>6</v>
      </c>
      <c r="D228" s="4">
        <v>22611</v>
      </c>
      <c r="E228" t="s">
        <v>69</v>
      </c>
      <c r="F228" s="4">
        <v>4890</v>
      </c>
      <c r="G228">
        <v>62</v>
      </c>
      <c r="H228">
        <v>11.5</v>
      </c>
      <c r="I228">
        <v>0.46639659866352334</v>
      </c>
      <c r="J228">
        <v>0</v>
      </c>
      <c r="M228" s="5"/>
    </row>
    <row r="229" spans="1:19" x14ac:dyDescent="0.3">
      <c r="A229" t="str">
        <f t="shared" si="59"/>
        <v>HH224</v>
      </c>
      <c r="B229" t="s">
        <v>65</v>
      </c>
      <c r="C229">
        <v>2</v>
      </c>
      <c r="D229" s="4">
        <v>16295</v>
      </c>
      <c r="E229" t="s">
        <v>69</v>
      </c>
      <c r="F229" s="4">
        <v>3555</v>
      </c>
      <c r="G229">
        <v>36</v>
      </c>
      <c r="H229">
        <v>7.2</v>
      </c>
      <c r="I229">
        <v>0.41286363913331425</v>
      </c>
      <c r="J229">
        <v>0</v>
      </c>
      <c r="M229" s="5"/>
    </row>
    <row r="230" spans="1:19" x14ac:dyDescent="0.3">
      <c r="A230" t="str">
        <f t="shared" si="59"/>
        <v>HH225</v>
      </c>
      <c r="B230" t="s">
        <v>62</v>
      </c>
      <c r="C230">
        <v>6</v>
      </c>
      <c r="D230" s="4">
        <v>30044</v>
      </c>
      <c r="E230" t="s">
        <v>68</v>
      </c>
      <c r="F230" s="4">
        <v>5391</v>
      </c>
      <c r="G230">
        <v>118</v>
      </c>
      <c r="H230">
        <v>3.8</v>
      </c>
      <c r="I230">
        <v>0.39925212256253495</v>
      </c>
      <c r="J230">
        <v>0</v>
      </c>
      <c r="M230" s="5"/>
    </row>
    <row r="231" spans="1:19" x14ac:dyDescent="0.3">
      <c r="A231" t="str">
        <f t="shared" si="59"/>
        <v>HH226</v>
      </c>
      <c r="B231" t="s">
        <v>65</v>
      </c>
      <c r="C231">
        <v>7</v>
      </c>
      <c r="D231" s="4">
        <v>20777</v>
      </c>
      <c r="E231" t="s">
        <v>69</v>
      </c>
      <c r="F231" s="4">
        <v>6667</v>
      </c>
      <c r="G231">
        <v>88</v>
      </c>
      <c r="H231">
        <v>2</v>
      </c>
      <c r="I231">
        <v>0.96102404746690184</v>
      </c>
      <c r="J231">
        <v>0</v>
      </c>
      <c r="M231" s="5"/>
    </row>
    <row r="232" spans="1:19" x14ac:dyDescent="0.3">
      <c r="A232" t="str">
        <f t="shared" si="59"/>
        <v>HH227</v>
      </c>
      <c r="B232" t="s">
        <v>65</v>
      </c>
      <c r="C232">
        <v>2</v>
      </c>
      <c r="D232" s="4">
        <v>26752</v>
      </c>
      <c r="E232" t="s">
        <v>69</v>
      </c>
      <c r="F232" s="4">
        <v>3866</v>
      </c>
      <c r="G232">
        <v>105</v>
      </c>
      <c r="H232">
        <v>10.7</v>
      </c>
      <c r="I232">
        <v>0.48494026177749761</v>
      </c>
      <c r="J232">
        <v>0</v>
      </c>
      <c r="M232" s="5"/>
    </row>
    <row r="233" spans="1:19" x14ac:dyDescent="0.3">
      <c r="A233" t="str">
        <f t="shared" si="59"/>
        <v>HH228</v>
      </c>
      <c r="B233" t="s">
        <v>62</v>
      </c>
      <c r="C233">
        <v>5</v>
      </c>
      <c r="D233" s="4">
        <v>24669</v>
      </c>
      <c r="E233" t="s">
        <v>69</v>
      </c>
      <c r="F233" s="4">
        <v>5293</v>
      </c>
      <c r="G233">
        <v>77</v>
      </c>
      <c r="H233">
        <v>14.4</v>
      </c>
      <c r="I233">
        <v>0.42463666951155188</v>
      </c>
      <c r="J233">
        <v>0</v>
      </c>
      <c r="M233" s="5"/>
      <c r="S233" t="str">
        <f t="shared" si="60"/>
        <v/>
      </c>
    </row>
    <row r="234" spans="1:19" x14ac:dyDescent="0.3">
      <c r="A234" t="str">
        <f t="shared" si="59"/>
        <v>HH229</v>
      </c>
      <c r="B234" t="s">
        <v>63</v>
      </c>
      <c r="C234">
        <v>6</v>
      </c>
      <c r="D234" s="4">
        <v>29246</v>
      </c>
      <c r="E234" t="s">
        <v>69</v>
      </c>
      <c r="F234" s="4">
        <v>5422</v>
      </c>
      <c r="G234">
        <v>88</v>
      </c>
      <c r="H234">
        <v>9.8000000000000007</v>
      </c>
      <c r="I234">
        <v>0.93837508275036474</v>
      </c>
      <c r="J234">
        <v>0</v>
      </c>
      <c r="M234" s="5"/>
      <c r="S234" t="str">
        <f t="shared" si="60"/>
        <v/>
      </c>
    </row>
    <row r="235" spans="1:19" x14ac:dyDescent="0.3">
      <c r="A235" t="str">
        <f t="shared" si="59"/>
        <v>HH230</v>
      </c>
      <c r="B235" t="s">
        <v>64</v>
      </c>
      <c r="C235">
        <v>3</v>
      </c>
      <c r="D235" s="4">
        <v>42892</v>
      </c>
      <c r="E235" t="s">
        <v>67</v>
      </c>
      <c r="F235" s="4">
        <v>4418</v>
      </c>
      <c r="G235">
        <v>79</v>
      </c>
      <c r="H235">
        <v>9.3000000000000007</v>
      </c>
      <c r="I235">
        <v>0.88619610696316609</v>
      </c>
      <c r="J235">
        <v>0</v>
      </c>
      <c r="M235" s="5"/>
      <c r="S235" t="str">
        <f t="shared" si="60"/>
        <v/>
      </c>
    </row>
    <row r="236" spans="1:19" x14ac:dyDescent="0.3">
      <c r="A236" t="str">
        <f t="shared" si="59"/>
        <v>HH231</v>
      </c>
      <c r="B236" t="s">
        <v>62</v>
      </c>
      <c r="C236">
        <v>2</v>
      </c>
      <c r="D236" s="4">
        <v>23936</v>
      </c>
      <c r="E236" t="s">
        <v>67</v>
      </c>
      <c r="F236" s="4">
        <v>2921</v>
      </c>
      <c r="G236">
        <v>101</v>
      </c>
      <c r="H236">
        <v>0.7</v>
      </c>
      <c r="I236">
        <v>5.6450193713995955E-2</v>
      </c>
      <c r="J236">
        <v>0</v>
      </c>
      <c r="M236" s="5"/>
      <c r="S236" t="str">
        <f t="shared" si="60"/>
        <v/>
      </c>
    </row>
    <row r="237" spans="1:19" x14ac:dyDescent="0.3">
      <c r="A237" t="str">
        <f t="shared" si="59"/>
        <v>HH232</v>
      </c>
      <c r="B237" t="s">
        <v>65</v>
      </c>
      <c r="C237">
        <v>7</v>
      </c>
      <c r="D237" s="4">
        <v>29838</v>
      </c>
      <c r="E237" t="s">
        <v>69</v>
      </c>
      <c r="F237" s="4">
        <v>4816</v>
      </c>
      <c r="G237">
        <v>94</v>
      </c>
      <c r="H237">
        <v>14.7</v>
      </c>
      <c r="I237">
        <v>0.4255363497626099</v>
      </c>
      <c r="J237">
        <v>0</v>
      </c>
      <c r="M237" s="5"/>
      <c r="S237" t="str">
        <f t="shared" si="60"/>
        <v/>
      </c>
    </row>
    <row r="238" spans="1:19" x14ac:dyDescent="0.3">
      <c r="A238" t="str">
        <f t="shared" si="59"/>
        <v>HH233</v>
      </c>
      <c r="B238" t="s">
        <v>64</v>
      </c>
      <c r="C238">
        <v>7</v>
      </c>
      <c r="D238" s="4">
        <v>30304</v>
      </c>
      <c r="E238" t="s">
        <v>69</v>
      </c>
      <c r="F238" s="4">
        <v>4779</v>
      </c>
      <c r="G238">
        <v>88</v>
      </c>
      <c r="H238">
        <v>7.4</v>
      </c>
      <c r="I238">
        <v>0.59613905812809487</v>
      </c>
      <c r="J238">
        <v>0</v>
      </c>
      <c r="M238" s="5"/>
      <c r="S238" t="str">
        <f t="shared" si="60"/>
        <v/>
      </c>
    </row>
    <row r="239" spans="1:19" x14ac:dyDescent="0.3">
      <c r="A239" t="str">
        <f t="shared" si="59"/>
        <v>HH234</v>
      </c>
      <c r="B239" t="s">
        <v>65</v>
      </c>
      <c r="C239">
        <v>8</v>
      </c>
      <c r="D239" s="4">
        <v>29894</v>
      </c>
      <c r="E239" t="s">
        <v>67</v>
      </c>
      <c r="F239" s="4">
        <v>7143</v>
      </c>
      <c r="G239">
        <v>111</v>
      </c>
      <c r="H239">
        <v>8.9</v>
      </c>
      <c r="I239">
        <v>0.99848968062517174</v>
      </c>
      <c r="J239">
        <v>0</v>
      </c>
      <c r="M239" s="5"/>
      <c r="S239" t="str">
        <f t="shared" si="60"/>
        <v/>
      </c>
    </row>
    <row r="240" spans="1:19" x14ac:dyDescent="0.3">
      <c r="A240" t="str">
        <f t="shared" si="59"/>
        <v>HH235</v>
      </c>
      <c r="B240" t="s">
        <v>64</v>
      </c>
      <c r="C240">
        <v>2</v>
      </c>
      <c r="D240" s="4">
        <v>23896</v>
      </c>
      <c r="E240" t="s">
        <v>68</v>
      </c>
      <c r="F240" s="4">
        <v>2582</v>
      </c>
      <c r="G240">
        <v>65</v>
      </c>
      <c r="H240">
        <v>12.3</v>
      </c>
      <c r="I240">
        <v>0.51562896813602876</v>
      </c>
      <c r="J240">
        <v>0</v>
      </c>
      <c r="M240" s="5"/>
      <c r="S240" t="str">
        <f t="shared" si="60"/>
        <v/>
      </c>
    </row>
    <row r="241" spans="1:19" x14ac:dyDescent="0.3">
      <c r="A241" t="str">
        <f t="shared" si="59"/>
        <v>HH236</v>
      </c>
      <c r="B241" t="s">
        <v>63</v>
      </c>
      <c r="C241">
        <v>3</v>
      </c>
      <c r="D241" s="4">
        <v>27983</v>
      </c>
      <c r="E241" t="s">
        <v>68</v>
      </c>
      <c r="F241" s="4">
        <v>3917</v>
      </c>
      <c r="G241">
        <v>120</v>
      </c>
      <c r="H241">
        <v>8.6</v>
      </c>
      <c r="I241">
        <v>0.6651746676230802</v>
      </c>
      <c r="J241">
        <v>0</v>
      </c>
      <c r="M241" s="5"/>
      <c r="S241" t="str">
        <f t="shared" si="60"/>
        <v/>
      </c>
    </row>
    <row r="242" spans="1:19" x14ac:dyDescent="0.3">
      <c r="A242" t="str">
        <f t="shared" si="59"/>
        <v>HH237</v>
      </c>
      <c r="B242" t="s">
        <v>63</v>
      </c>
      <c r="C242">
        <v>2</v>
      </c>
      <c r="D242" s="4">
        <v>30714</v>
      </c>
      <c r="E242" t="s">
        <v>68</v>
      </c>
      <c r="F242" s="4">
        <v>3373</v>
      </c>
      <c r="G242">
        <v>92</v>
      </c>
      <c r="H242">
        <v>14.1</v>
      </c>
      <c r="I242">
        <v>0.19963662557178607</v>
      </c>
      <c r="J242">
        <v>0</v>
      </c>
      <c r="M242" s="5"/>
      <c r="S242" t="str">
        <f t="shared" si="60"/>
        <v/>
      </c>
    </row>
    <row r="243" spans="1:19" x14ac:dyDescent="0.3">
      <c r="A243" t="str">
        <f t="shared" si="59"/>
        <v>HH238</v>
      </c>
      <c r="B243" t="s">
        <v>64</v>
      </c>
      <c r="C243">
        <v>3</v>
      </c>
      <c r="D243" s="4">
        <v>26646</v>
      </c>
      <c r="E243" t="s">
        <v>69</v>
      </c>
      <c r="F243" s="4">
        <v>3043</v>
      </c>
      <c r="G243">
        <v>59</v>
      </c>
      <c r="H243">
        <v>8.5</v>
      </c>
      <c r="I243">
        <v>4.3112816769060869E-2</v>
      </c>
      <c r="J243">
        <v>0</v>
      </c>
      <c r="M243" s="5"/>
      <c r="S243" t="str">
        <f t="shared" si="60"/>
        <v/>
      </c>
    </row>
    <row r="244" spans="1:19" x14ac:dyDescent="0.3">
      <c r="A244" t="str">
        <f t="shared" si="59"/>
        <v>HH239</v>
      </c>
      <c r="B244" t="s">
        <v>62</v>
      </c>
      <c r="C244">
        <v>2</v>
      </c>
      <c r="D244" s="4">
        <v>24515</v>
      </c>
      <c r="E244" t="s">
        <v>69</v>
      </c>
      <c r="F244" s="4">
        <v>3476</v>
      </c>
      <c r="G244">
        <v>19</v>
      </c>
      <c r="H244">
        <v>8</v>
      </c>
      <c r="I244">
        <v>0.3187696872687974</v>
      </c>
      <c r="J244">
        <v>0</v>
      </c>
      <c r="M244" s="5"/>
      <c r="S244" t="str">
        <f t="shared" si="60"/>
        <v/>
      </c>
    </row>
    <row r="245" spans="1:19" x14ac:dyDescent="0.3">
      <c r="A245" t="str">
        <f t="shared" si="59"/>
        <v>HH240</v>
      </c>
      <c r="B245" t="s">
        <v>63</v>
      </c>
      <c r="C245">
        <v>7</v>
      </c>
      <c r="D245" s="4">
        <v>27375</v>
      </c>
      <c r="E245" t="s">
        <v>69</v>
      </c>
      <c r="F245" s="4">
        <v>4816</v>
      </c>
      <c r="G245">
        <v>110</v>
      </c>
      <c r="H245">
        <v>2</v>
      </c>
      <c r="I245">
        <v>0.17782305840806967</v>
      </c>
      <c r="J245">
        <v>0</v>
      </c>
      <c r="M245" s="5"/>
      <c r="S245" t="str">
        <f t="shared" si="60"/>
        <v/>
      </c>
    </row>
    <row r="246" spans="1:19" x14ac:dyDescent="0.3">
      <c r="A246" t="str">
        <f t="shared" si="59"/>
        <v>HH241</v>
      </c>
      <c r="B246" t="s">
        <v>64</v>
      </c>
      <c r="C246">
        <v>4</v>
      </c>
      <c r="D246" s="4">
        <v>27245</v>
      </c>
      <c r="E246" t="s">
        <v>68</v>
      </c>
      <c r="F246" s="4">
        <v>5381</v>
      </c>
      <c r="G246">
        <v>41</v>
      </c>
      <c r="H246">
        <v>4.9000000000000004</v>
      </c>
      <c r="I246">
        <v>0.90667997146290913</v>
      </c>
      <c r="J246">
        <v>0</v>
      </c>
      <c r="M246" s="5"/>
      <c r="S246" t="str">
        <f t="shared" si="60"/>
        <v/>
      </c>
    </row>
    <row r="247" spans="1:19" x14ac:dyDescent="0.3">
      <c r="A247" t="str">
        <f t="shared" si="59"/>
        <v>HH242</v>
      </c>
      <c r="B247" t="s">
        <v>62</v>
      </c>
      <c r="C247">
        <v>4</v>
      </c>
      <c r="D247" s="4">
        <v>19328</v>
      </c>
      <c r="E247" t="s">
        <v>66</v>
      </c>
      <c r="F247" s="4">
        <v>4965</v>
      </c>
      <c r="G247">
        <v>45</v>
      </c>
      <c r="H247">
        <v>0.9</v>
      </c>
      <c r="I247">
        <v>0.50345229015276227</v>
      </c>
      <c r="J247">
        <v>0</v>
      </c>
      <c r="M247" s="5"/>
      <c r="S247" t="str">
        <f t="shared" si="60"/>
        <v/>
      </c>
    </row>
    <row r="248" spans="1:19" x14ac:dyDescent="0.3">
      <c r="A248" t="str">
        <f t="shared" si="59"/>
        <v>HH243</v>
      </c>
      <c r="B248" t="s">
        <v>64</v>
      </c>
      <c r="C248">
        <v>3</v>
      </c>
      <c r="D248" s="4">
        <v>15564</v>
      </c>
      <c r="E248" t="s">
        <v>67</v>
      </c>
      <c r="F248" s="4">
        <v>3675</v>
      </c>
      <c r="G248">
        <v>35</v>
      </c>
      <c r="H248">
        <v>13.8</v>
      </c>
      <c r="I248">
        <v>0.28644583240854071</v>
      </c>
      <c r="J248">
        <v>0</v>
      </c>
      <c r="M248" s="5"/>
      <c r="S248" t="str">
        <f t="shared" si="60"/>
        <v/>
      </c>
    </row>
    <row r="249" spans="1:19" x14ac:dyDescent="0.3">
      <c r="A249" t="str">
        <f t="shared" si="59"/>
        <v>HH244</v>
      </c>
      <c r="B249" t="s">
        <v>63</v>
      </c>
      <c r="C249">
        <v>8</v>
      </c>
      <c r="D249" s="4">
        <v>42549</v>
      </c>
      <c r="E249" t="s">
        <v>68</v>
      </c>
      <c r="F249" s="4">
        <v>5192</v>
      </c>
      <c r="G249">
        <v>97</v>
      </c>
      <c r="H249">
        <v>0.8</v>
      </c>
      <c r="I249">
        <v>8.8465027236354077E-2</v>
      </c>
      <c r="J249">
        <v>0</v>
      </c>
      <c r="M249" s="5"/>
      <c r="S249" t="str">
        <f t="shared" si="60"/>
        <v/>
      </c>
    </row>
    <row r="250" spans="1:19" x14ac:dyDescent="0.3">
      <c r="A250" t="str">
        <f t="shared" si="59"/>
        <v>HH245</v>
      </c>
      <c r="B250" t="s">
        <v>64</v>
      </c>
      <c r="C250">
        <v>7</v>
      </c>
      <c r="D250" s="4">
        <v>31357</v>
      </c>
      <c r="E250" t="s">
        <v>68</v>
      </c>
      <c r="F250" s="4">
        <v>6029</v>
      </c>
      <c r="G250">
        <v>34</v>
      </c>
      <c r="H250">
        <v>8.8000000000000007</v>
      </c>
      <c r="I250">
        <v>0.56745625492543827</v>
      </c>
      <c r="J250">
        <v>0</v>
      </c>
      <c r="M250" s="5"/>
      <c r="S250" t="str">
        <f t="shared" si="60"/>
        <v/>
      </c>
    </row>
    <row r="251" spans="1:19" x14ac:dyDescent="0.3">
      <c r="A251" t="str">
        <f t="shared" si="59"/>
        <v>HH246</v>
      </c>
      <c r="B251" t="s">
        <v>63</v>
      </c>
      <c r="C251">
        <v>2</v>
      </c>
      <c r="D251" s="4">
        <v>34373</v>
      </c>
      <c r="E251" t="s">
        <v>67</v>
      </c>
      <c r="F251" s="4">
        <v>3759</v>
      </c>
      <c r="G251">
        <v>111</v>
      </c>
      <c r="H251">
        <v>4.8</v>
      </c>
      <c r="I251">
        <v>0.3425663864252334</v>
      </c>
      <c r="J251">
        <v>0</v>
      </c>
      <c r="M251" s="5"/>
      <c r="S251" t="str">
        <f t="shared" si="60"/>
        <v/>
      </c>
    </row>
    <row r="252" spans="1:19" x14ac:dyDescent="0.3">
      <c r="A252" t="str">
        <f t="shared" si="59"/>
        <v>HH247</v>
      </c>
      <c r="B252" t="s">
        <v>65</v>
      </c>
      <c r="C252">
        <v>5</v>
      </c>
      <c r="D252" s="4">
        <v>32562</v>
      </c>
      <c r="E252" t="s">
        <v>69</v>
      </c>
      <c r="F252" s="4">
        <v>3908</v>
      </c>
      <c r="G252">
        <v>24</v>
      </c>
      <c r="H252">
        <v>10.8</v>
      </c>
      <c r="I252">
        <v>0.93276878928086171</v>
      </c>
      <c r="J252">
        <v>0</v>
      </c>
      <c r="M252" s="5"/>
      <c r="S252" t="str">
        <f t="shared" si="60"/>
        <v/>
      </c>
    </row>
    <row r="253" spans="1:19" x14ac:dyDescent="0.3">
      <c r="A253" t="str">
        <f t="shared" si="59"/>
        <v>HH248</v>
      </c>
      <c r="B253" t="s">
        <v>64</v>
      </c>
      <c r="C253">
        <v>6</v>
      </c>
      <c r="D253" s="4">
        <v>23284</v>
      </c>
      <c r="E253" t="s">
        <v>67</v>
      </c>
      <c r="F253" s="4">
        <v>5463</v>
      </c>
      <c r="G253">
        <v>42</v>
      </c>
      <c r="H253">
        <v>12.8</v>
      </c>
      <c r="I253">
        <v>0.18501563696849166</v>
      </c>
      <c r="J253">
        <v>0</v>
      </c>
      <c r="M253" s="5"/>
      <c r="S253" t="str">
        <f t="shared" si="60"/>
        <v/>
      </c>
    </row>
    <row r="254" spans="1:19" x14ac:dyDescent="0.3">
      <c r="A254" t="str">
        <f t="shared" si="59"/>
        <v>HH249</v>
      </c>
      <c r="B254" t="s">
        <v>62</v>
      </c>
      <c r="C254">
        <v>4</v>
      </c>
      <c r="D254" s="4">
        <v>30281</v>
      </c>
      <c r="E254" t="s">
        <v>68</v>
      </c>
      <c r="F254" s="4">
        <v>5250</v>
      </c>
      <c r="G254">
        <v>29</v>
      </c>
      <c r="H254">
        <v>1.3</v>
      </c>
      <c r="I254">
        <v>0.95221795256260844</v>
      </c>
      <c r="J254">
        <v>0</v>
      </c>
      <c r="M254" s="5"/>
      <c r="S254" t="str">
        <f t="shared" si="60"/>
        <v/>
      </c>
    </row>
    <row r="255" spans="1:19" x14ac:dyDescent="0.3">
      <c r="A255" t="str">
        <f t="shared" si="59"/>
        <v>HH250</v>
      </c>
      <c r="B255" t="s">
        <v>64</v>
      </c>
      <c r="C255">
        <v>6</v>
      </c>
      <c r="D255" s="4">
        <v>27076</v>
      </c>
      <c r="E255" t="s">
        <v>68</v>
      </c>
      <c r="F255" s="4">
        <v>4289</v>
      </c>
      <c r="G255">
        <v>15</v>
      </c>
      <c r="H255">
        <v>13.9</v>
      </c>
      <c r="I255">
        <v>0.42453354547095989</v>
      </c>
      <c r="J255">
        <v>0</v>
      </c>
      <c r="M255" s="5"/>
      <c r="S255" t="str">
        <f t="shared" si="60"/>
        <v/>
      </c>
    </row>
    <row r="256" spans="1:19" x14ac:dyDescent="0.3">
      <c r="A256" t="str">
        <f t="shared" si="59"/>
        <v>HH251</v>
      </c>
      <c r="B256" t="s">
        <v>63</v>
      </c>
      <c r="C256">
        <v>8</v>
      </c>
      <c r="D256" s="4">
        <v>30471</v>
      </c>
      <c r="E256" t="s">
        <v>68</v>
      </c>
      <c r="F256" s="4">
        <v>5624</v>
      </c>
      <c r="G256">
        <v>39</v>
      </c>
      <c r="H256">
        <v>7.4</v>
      </c>
      <c r="I256">
        <v>0.81161377323168094</v>
      </c>
      <c r="J256">
        <v>0</v>
      </c>
      <c r="M256" s="5"/>
      <c r="S256" t="str">
        <f t="shared" si="60"/>
        <v/>
      </c>
    </row>
    <row r="257" spans="1:19" x14ac:dyDescent="0.3">
      <c r="A257" t="str">
        <f t="shared" si="59"/>
        <v>HH252</v>
      </c>
      <c r="B257" t="s">
        <v>62</v>
      </c>
      <c r="C257">
        <v>4</v>
      </c>
      <c r="D257" s="4">
        <v>30771</v>
      </c>
      <c r="E257" t="s">
        <v>68</v>
      </c>
      <c r="F257" s="4">
        <v>3723</v>
      </c>
      <c r="G257">
        <v>34</v>
      </c>
      <c r="H257">
        <v>2.9</v>
      </c>
      <c r="I257">
        <v>0.3723248970355667</v>
      </c>
      <c r="J257">
        <v>0</v>
      </c>
      <c r="M257" s="5"/>
      <c r="S257" t="str">
        <f t="shared" si="60"/>
        <v/>
      </c>
    </row>
    <row r="258" spans="1:19" x14ac:dyDescent="0.3">
      <c r="A258" t="str">
        <f t="shared" si="59"/>
        <v>HH253</v>
      </c>
      <c r="B258" t="s">
        <v>64</v>
      </c>
      <c r="C258">
        <v>5</v>
      </c>
      <c r="D258" s="4">
        <v>30406</v>
      </c>
      <c r="E258" t="s">
        <v>66</v>
      </c>
      <c r="F258" s="4">
        <v>4369</v>
      </c>
      <c r="G258">
        <v>97</v>
      </c>
      <c r="H258">
        <v>0.5</v>
      </c>
      <c r="I258">
        <v>0.23154524104306884</v>
      </c>
      <c r="J258">
        <v>0</v>
      </c>
      <c r="M258" s="5"/>
      <c r="S258" t="str">
        <f t="shared" si="60"/>
        <v/>
      </c>
    </row>
    <row r="259" spans="1:19" x14ac:dyDescent="0.3">
      <c r="A259" t="str">
        <f t="shared" si="59"/>
        <v>HH254</v>
      </c>
      <c r="B259" t="s">
        <v>62</v>
      </c>
      <c r="C259">
        <v>5</v>
      </c>
      <c r="D259" s="4">
        <v>20753</v>
      </c>
      <c r="E259" t="s">
        <v>66</v>
      </c>
      <c r="F259" s="4">
        <v>5538</v>
      </c>
      <c r="G259">
        <v>106</v>
      </c>
      <c r="H259">
        <v>11.1</v>
      </c>
      <c r="I259">
        <v>0.93276549617359283</v>
      </c>
      <c r="J259">
        <v>0</v>
      </c>
      <c r="M259" s="5"/>
      <c r="S259" t="str">
        <f t="shared" si="60"/>
        <v/>
      </c>
    </row>
    <row r="260" spans="1:19" x14ac:dyDescent="0.3">
      <c r="A260" t="str">
        <f t="shared" si="59"/>
        <v>HH255</v>
      </c>
      <c r="B260" t="s">
        <v>64</v>
      </c>
      <c r="C260">
        <v>8</v>
      </c>
      <c r="D260" s="4">
        <v>22652</v>
      </c>
      <c r="E260" t="s">
        <v>67</v>
      </c>
      <c r="F260" s="4">
        <v>4832</v>
      </c>
      <c r="G260">
        <v>26</v>
      </c>
      <c r="H260">
        <v>2.5</v>
      </c>
      <c r="I260">
        <v>0.60404442100732036</v>
      </c>
      <c r="J260">
        <v>0</v>
      </c>
      <c r="M260" s="5"/>
      <c r="S260" t="str">
        <f t="shared" si="60"/>
        <v/>
      </c>
    </row>
    <row r="261" spans="1:19" x14ac:dyDescent="0.3">
      <c r="A261" t="str">
        <f t="shared" si="59"/>
        <v>HH256</v>
      </c>
      <c r="B261" t="s">
        <v>63</v>
      </c>
      <c r="C261">
        <v>6</v>
      </c>
      <c r="D261" s="4">
        <v>30415</v>
      </c>
      <c r="E261" t="s">
        <v>67</v>
      </c>
      <c r="F261" s="4">
        <v>4319</v>
      </c>
      <c r="G261">
        <v>91</v>
      </c>
      <c r="H261">
        <v>3.3</v>
      </c>
      <c r="I261">
        <v>0.17268587530946611</v>
      </c>
      <c r="J261">
        <v>0</v>
      </c>
      <c r="M261" s="5"/>
      <c r="S261" t="str">
        <f t="shared" si="60"/>
        <v/>
      </c>
    </row>
    <row r="262" spans="1:19" x14ac:dyDescent="0.3">
      <c r="A262" t="str">
        <f t="shared" si="59"/>
        <v>HH257</v>
      </c>
      <c r="B262" t="s">
        <v>64</v>
      </c>
      <c r="C262">
        <v>3</v>
      </c>
      <c r="D262" s="4">
        <v>36906</v>
      </c>
      <c r="E262" t="s">
        <v>68</v>
      </c>
      <c r="F262" s="4">
        <v>4259</v>
      </c>
      <c r="G262">
        <v>88</v>
      </c>
      <c r="H262">
        <v>8</v>
      </c>
      <c r="I262">
        <v>0.83811163510547504</v>
      </c>
      <c r="J262">
        <v>0</v>
      </c>
      <c r="M262" s="5"/>
      <c r="S262" t="str">
        <f t="shared" si="60"/>
        <v/>
      </c>
    </row>
    <row r="263" spans="1:19" x14ac:dyDescent="0.3">
      <c r="A263" t="str">
        <f t="shared" ref="A263:A326" si="61">"HH"&amp;TEXT(ROW()-5,"000")</f>
        <v>HH258</v>
      </c>
      <c r="B263" t="s">
        <v>63</v>
      </c>
      <c r="C263">
        <v>6</v>
      </c>
      <c r="D263" s="4">
        <v>18184</v>
      </c>
      <c r="E263" t="s">
        <v>67</v>
      </c>
      <c r="F263" s="4">
        <v>6262</v>
      </c>
      <c r="G263">
        <v>115</v>
      </c>
      <c r="H263">
        <v>5.5</v>
      </c>
      <c r="I263">
        <v>0.86125697746947694</v>
      </c>
      <c r="J263">
        <v>0</v>
      </c>
      <c r="M263" s="5"/>
      <c r="S263" t="str">
        <f t="shared" ref="S263:S326" si="62">IF($J263=1,D263,"")</f>
        <v/>
      </c>
    </row>
    <row r="264" spans="1:19" x14ac:dyDescent="0.3">
      <c r="A264" t="str">
        <f t="shared" si="61"/>
        <v>HH259</v>
      </c>
      <c r="B264" t="s">
        <v>63</v>
      </c>
      <c r="C264">
        <v>6</v>
      </c>
      <c r="D264" s="4">
        <v>29131</v>
      </c>
      <c r="E264" t="s">
        <v>67</v>
      </c>
      <c r="F264" s="4">
        <v>5997</v>
      </c>
      <c r="G264">
        <v>23</v>
      </c>
      <c r="H264">
        <v>8.6</v>
      </c>
      <c r="I264">
        <v>0.99739643262485012</v>
      </c>
      <c r="J264">
        <v>0</v>
      </c>
      <c r="M264" s="5"/>
      <c r="S264" t="str">
        <f t="shared" si="62"/>
        <v/>
      </c>
    </row>
    <row r="265" spans="1:19" x14ac:dyDescent="0.3">
      <c r="A265" t="str">
        <f t="shared" si="61"/>
        <v>HH260</v>
      </c>
      <c r="B265" t="s">
        <v>63</v>
      </c>
      <c r="C265">
        <v>4</v>
      </c>
      <c r="D265" s="4">
        <v>40275</v>
      </c>
      <c r="E265" t="s">
        <v>68</v>
      </c>
      <c r="F265" s="4">
        <v>5023</v>
      </c>
      <c r="G265">
        <v>86</v>
      </c>
      <c r="H265">
        <v>13.4</v>
      </c>
      <c r="I265">
        <v>0.18760112691943087</v>
      </c>
      <c r="J265">
        <v>0</v>
      </c>
      <c r="M265" s="5"/>
      <c r="S265" t="str">
        <f t="shared" si="62"/>
        <v/>
      </c>
    </row>
    <row r="266" spans="1:19" x14ac:dyDescent="0.3">
      <c r="A266" t="str">
        <f t="shared" si="61"/>
        <v>HH261</v>
      </c>
      <c r="B266" t="s">
        <v>64</v>
      </c>
      <c r="C266">
        <v>3</v>
      </c>
      <c r="D266" s="4">
        <v>32073</v>
      </c>
      <c r="E266" t="s">
        <v>68</v>
      </c>
      <c r="F266" s="4">
        <v>4350</v>
      </c>
      <c r="G266">
        <v>22</v>
      </c>
      <c r="H266">
        <v>2.2999999999999998</v>
      </c>
      <c r="I266">
        <v>0.11837540139663572</v>
      </c>
      <c r="J266">
        <v>0</v>
      </c>
      <c r="M266" s="5"/>
      <c r="S266" t="str">
        <f t="shared" si="62"/>
        <v/>
      </c>
    </row>
    <row r="267" spans="1:19" x14ac:dyDescent="0.3">
      <c r="A267" t="str">
        <f t="shared" si="61"/>
        <v>HH262</v>
      </c>
      <c r="B267" t="s">
        <v>65</v>
      </c>
      <c r="C267">
        <v>5</v>
      </c>
      <c r="D267" s="4">
        <v>16786</v>
      </c>
      <c r="E267" t="s">
        <v>67</v>
      </c>
      <c r="F267" s="4">
        <v>3751</v>
      </c>
      <c r="G267">
        <v>114</v>
      </c>
      <c r="H267">
        <v>10.3</v>
      </c>
      <c r="I267">
        <v>0.36985021307663912</v>
      </c>
      <c r="J267">
        <v>0</v>
      </c>
      <c r="M267" s="5"/>
      <c r="S267" t="str">
        <f t="shared" si="62"/>
        <v/>
      </c>
    </row>
    <row r="268" spans="1:19" x14ac:dyDescent="0.3">
      <c r="A268" t="str">
        <f t="shared" si="61"/>
        <v>HH263</v>
      </c>
      <c r="B268" t="s">
        <v>64</v>
      </c>
      <c r="C268">
        <v>8</v>
      </c>
      <c r="D268" s="4">
        <v>36348</v>
      </c>
      <c r="E268" t="s">
        <v>69</v>
      </c>
      <c r="F268" s="4">
        <v>5003</v>
      </c>
      <c r="G268">
        <v>111</v>
      </c>
      <c r="H268">
        <v>4.2</v>
      </c>
      <c r="I268">
        <v>0.30994561146187127</v>
      </c>
      <c r="J268">
        <v>0</v>
      </c>
      <c r="M268" s="5"/>
      <c r="S268" t="str">
        <f t="shared" si="62"/>
        <v/>
      </c>
    </row>
    <row r="269" spans="1:19" x14ac:dyDescent="0.3">
      <c r="A269" t="str">
        <f t="shared" si="61"/>
        <v>HH264</v>
      </c>
      <c r="B269" t="s">
        <v>65</v>
      </c>
      <c r="C269">
        <v>6</v>
      </c>
      <c r="D269" s="4">
        <v>31536</v>
      </c>
      <c r="E269" t="s">
        <v>68</v>
      </c>
      <c r="F269" s="4">
        <v>3997</v>
      </c>
      <c r="G269">
        <v>64</v>
      </c>
      <c r="H269">
        <v>13.7</v>
      </c>
      <c r="I269">
        <v>1.0682773565150794E-2</v>
      </c>
      <c r="J269">
        <v>0</v>
      </c>
      <c r="M269" s="5"/>
      <c r="S269" t="str">
        <f t="shared" si="62"/>
        <v/>
      </c>
    </row>
    <row r="270" spans="1:19" x14ac:dyDescent="0.3">
      <c r="A270" t="str">
        <f t="shared" si="61"/>
        <v>HH265</v>
      </c>
      <c r="B270" t="s">
        <v>62</v>
      </c>
      <c r="C270">
        <v>7</v>
      </c>
      <c r="D270" s="4">
        <v>21769</v>
      </c>
      <c r="E270" t="s">
        <v>67</v>
      </c>
      <c r="F270" s="4">
        <v>6131</v>
      </c>
      <c r="G270">
        <v>38</v>
      </c>
      <c r="H270">
        <v>3.6</v>
      </c>
      <c r="I270">
        <v>9.509331649442021E-2</v>
      </c>
      <c r="J270">
        <v>0</v>
      </c>
      <c r="M270" s="5"/>
      <c r="S270" t="str">
        <f t="shared" si="62"/>
        <v/>
      </c>
    </row>
    <row r="271" spans="1:19" x14ac:dyDescent="0.3">
      <c r="A271" t="str">
        <f t="shared" si="61"/>
        <v>HH266</v>
      </c>
      <c r="B271" t="s">
        <v>64</v>
      </c>
      <c r="C271">
        <v>6</v>
      </c>
      <c r="D271" s="4">
        <v>34621</v>
      </c>
      <c r="E271" t="s">
        <v>69</v>
      </c>
      <c r="F271" s="4">
        <v>4173</v>
      </c>
      <c r="G271">
        <v>21</v>
      </c>
      <c r="H271">
        <v>6</v>
      </c>
      <c r="I271">
        <v>0.21879462439130459</v>
      </c>
      <c r="J271">
        <v>0</v>
      </c>
      <c r="M271" s="5"/>
      <c r="S271" t="str">
        <f t="shared" si="62"/>
        <v/>
      </c>
    </row>
    <row r="272" spans="1:19" x14ac:dyDescent="0.3">
      <c r="A272" t="str">
        <f t="shared" si="61"/>
        <v>HH267</v>
      </c>
      <c r="B272" t="s">
        <v>63</v>
      </c>
      <c r="C272">
        <v>6</v>
      </c>
      <c r="D272" s="4">
        <v>38972</v>
      </c>
      <c r="E272" t="s">
        <v>66</v>
      </c>
      <c r="F272" s="4">
        <v>5117</v>
      </c>
      <c r="G272">
        <v>73</v>
      </c>
      <c r="H272">
        <v>3.5</v>
      </c>
      <c r="I272">
        <v>0.81810252262821326</v>
      </c>
      <c r="J272">
        <v>0</v>
      </c>
      <c r="M272" s="5"/>
      <c r="S272" t="str">
        <f t="shared" si="62"/>
        <v/>
      </c>
    </row>
    <row r="273" spans="1:19" x14ac:dyDescent="0.3">
      <c r="A273" t="str">
        <f t="shared" si="61"/>
        <v>HH268</v>
      </c>
      <c r="B273" t="s">
        <v>62</v>
      </c>
      <c r="C273">
        <v>2</v>
      </c>
      <c r="D273" s="4">
        <v>39253</v>
      </c>
      <c r="E273" t="s">
        <v>68</v>
      </c>
      <c r="F273" s="4">
        <v>4306</v>
      </c>
      <c r="G273">
        <v>43</v>
      </c>
      <c r="H273">
        <v>7.7</v>
      </c>
      <c r="I273">
        <v>0.11174660434653505</v>
      </c>
      <c r="J273">
        <v>0</v>
      </c>
      <c r="M273" s="5"/>
      <c r="S273" t="str">
        <f t="shared" si="62"/>
        <v/>
      </c>
    </row>
    <row r="274" spans="1:19" x14ac:dyDescent="0.3">
      <c r="A274" t="str">
        <f t="shared" si="61"/>
        <v>HH269</v>
      </c>
      <c r="B274" t="s">
        <v>64</v>
      </c>
      <c r="C274">
        <v>7</v>
      </c>
      <c r="D274" s="4">
        <v>32647</v>
      </c>
      <c r="E274" t="s">
        <v>67</v>
      </c>
      <c r="F274" s="4">
        <v>6784</v>
      </c>
      <c r="G274">
        <v>120</v>
      </c>
      <c r="H274">
        <v>4</v>
      </c>
      <c r="I274">
        <v>0.98984223486251799</v>
      </c>
      <c r="J274">
        <v>0</v>
      </c>
      <c r="M274" s="5"/>
      <c r="S274" t="str">
        <f t="shared" si="62"/>
        <v/>
      </c>
    </row>
    <row r="275" spans="1:19" x14ac:dyDescent="0.3">
      <c r="A275" t="str">
        <f t="shared" si="61"/>
        <v>HH270</v>
      </c>
      <c r="B275" t="s">
        <v>62</v>
      </c>
      <c r="C275">
        <v>8</v>
      </c>
      <c r="D275" s="4">
        <v>20536</v>
      </c>
      <c r="E275" t="s">
        <v>67</v>
      </c>
      <c r="F275" s="4">
        <v>6213</v>
      </c>
      <c r="G275">
        <v>103</v>
      </c>
      <c r="H275">
        <v>10.199999999999999</v>
      </c>
      <c r="I275">
        <v>0.83043808165649491</v>
      </c>
      <c r="J275">
        <v>0</v>
      </c>
      <c r="M275" s="5"/>
      <c r="S275" t="str">
        <f t="shared" si="62"/>
        <v/>
      </c>
    </row>
    <row r="276" spans="1:19" x14ac:dyDescent="0.3">
      <c r="A276" t="str">
        <f t="shared" si="61"/>
        <v>HH271</v>
      </c>
      <c r="B276" t="s">
        <v>64</v>
      </c>
      <c r="C276">
        <v>3</v>
      </c>
      <c r="D276" s="4">
        <v>30399</v>
      </c>
      <c r="E276" t="s">
        <v>67</v>
      </c>
      <c r="F276" s="4">
        <v>4678</v>
      </c>
      <c r="G276">
        <v>74</v>
      </c>
      <c r="H276">
        <v>0.5</v>
      </c>
      <c r="I276">
        <v>8.517886574481881E-2</v>
      </c>
      <c r="J276">
        <v>0</v>
      </c>
      <c r="M276" s="5"/>
      <c r="S276" t="str">
        <f t="shared" si="62"/>
        <v/>
      </c>
    </row>
    <row r="277" spans="1:19" x14ac:dyDescent="0.3">
      <c r="A277" t="str">
        <f t="shared" si="61"/>
        <v>HH272</v>
      </c>
      <c r="B277" t="s">
        <v>65</v>
      </c>
      <c r="C277">
        <v>2</v>
      </c>
      <c r="D277" s="4">
        <v>22931</v>
      </c>
      <c r="E277" t="s">
        <v>67</v>
      </c>
      <c r="F277" s="4">
        <v>4458</v>
      </c>
      <c r="G277">
        <v>65</v>
      </c>
      <c r="H277">
        <v>6.5</v>
      </c>
      <c r="I277">
        <v>0.60988562571909821</v>
      </c>
      <c r="J277">
        <v>0</v>
      </c>
      <c r="M277" s="5"/>
      <c r="S277" t="str">
        <f t="shared" si="62"/>
        <v/>
      </c>
    </row>
    <row r="278" spans="1:19" x14ac:dyDescent="0.3">
      <c r="A278" t="str">
        <f t="shared" si="61"/>
        <v>HH273</v>
      </c>
      <c r="B278" t="s">
        <v>64</v>
      </c>
      <c r="C278">
        <v>6</v>
      </c>
      <c r="D278" s="4">
        <v>20729</v>
      </c>
      <c r="E278" t="s">
        <v>68</v>
      </c>
      <c r="F278" s="4">
        <v>4649</v>
      </c>
      <c r="G278">
        <v>95</v>
      </c>
      <c r="H278">
        <v>13.6</v>
      </c>
      <c r="I278">
        <v>0.13493262584997978</v>
      </c>
      <c r="J278">
        <v>0</v>
      </c>
      <c r="M278" s="5"/>
      <c r="S278" t="str">
        <f t="shared" si="62"/>
        <v/>
      </c>
    </row>
    <row r="279" spans="1:19" x14ac:dyDescent="0.3">
      <c r="A279" t="str">
        <f t="shared" si="61"/>
        <v>HH274</v>
      </c>
      <c r="B279" t="s">
        <v>62</v>
      </c>
      <c r="C279">
        <v>4</v>
      </c>
      <c r="D279" s="4">
        <v>39883</v>
      </c>
      <c r="E279" t="s">
        <v>68</v>
      </c>
      <c r="F279" s="4">
        <v>5369</v>
      </c>
      <c r="G279">
        <v>26</v>
      </c>
      <c r="H279">
        <v>10.199999999999999</v>
      </c>
      <c r="I279">
        <v>0.98908612585389244</v>
      </c>
      <c r="J279">
        <v>0</v>
      </c>
      <c r="M279" s="5"/>
      <c r="S279" t="str">
        <f t="shared" si="62"/>
        <v/>
      </c>
    </row>
    <row r="280" spans="1:19" x14ac:dyDescent="0.3">
      <c r="A280" t="str">
        <f t="shared" si="61"/>
        <v>HH275</v>
      </c>
      <c r="B280" t="s">
        <v>65</v>
      </c>
      <c r="C280">
        <v>6</v>
      </c>
      <c r="D280" s="4">
        <v>33521</v>
      </c>
      <c r="E280" t="s">
        <v>68</v>
      </c>
      <c r="F280" s="4">
        <v>4637</v>
      </c>
      <c r="G280">
        <v>23</v>
      </c>
      <c r="H280">
        <v>10</v>
      </c>
      <c r="I280">
        <v>0.83784139901821852</v>
      </c>
      <c r="J280">
        <v>0</v>
      </c>
      <c r="M280" s="5"/>
      <c r="S280" t="str">
        <f t="shared" si="62"/>
        <v/>
      </c>
    </row>
    <row r="281" spans="1:19" x14ac:dyDescent="0.3">
      <c r="A281" t="str">
        <f t="shared" si="61"/>
        <v>HH276</v>
      </c>
      <c r="B281" t="s">
        <v>63</v>
      </c>
      <c r="C281">
        <v>3</v>
      </c>
      <c r="D281" s="4">
        <v>35280</v>
      </c>
      <c r="E281" t="s">
        <v>67</v>
      </c>
      <c r="F281" s="4">
        <v>2851</v>
      </c>
      <c r="G281">
        <v>70</v>
      </c>
      <c r="H281">
        <v>2.4</v>
      </c>
      <c r="I281">
        <v>0.56815727022482376</v>
      </c>
      <c r="J281">
        <v>0</v>
      </c>
      <c r="M281" s="5"/>
      <c r="S281" t="str">
        <f t="shared" si="62"/>
        <v/>
      </c>
    </row>
    <row r="282" spans="1:19" x14ac:dyDescent="0.3">
      <c r="A282" t="str">
        <f t="shared" si="61"/>
        <v>HH277</v>
      </c>
      <c r="B282" t="s">
        <v>62</v>
      </c>
      <c r="C282">
        <v>8</v>
      </c>
      <c r="D282" s="4">
        <v>31399</v>
      </c>
      <c r="E282" t="s">
        <v>66</v>
      </c>
      <c r="F282" s="4">
        <v>5305</v>
      </c>
      <c r="G282">
        <v>36</v>
      </c>
      <c r="H282">
        <v>6.3</v>
      </c>
      <c r="I282">
        <v>0.55932120201828728</v>
      </c>
      <c r="J282">
        <v>0</v>
      </c>
      <c r="M282" s="5"/>
      <c r="S282" t="str">
        <f t="shared" si="62"/>
        <v/>
      </c>
    </row>
    <row r="283" spans="1:19" x14ac:dyDescent="0.3">
      <c r="A283" t="str">
        <f t="shared" si="61"/>
        <v>HH278</v>
      </c>
      <c r="B283" t="s">
        <v>62</v>
      </c>
      <c r="C283">
        <v>7</v>
      </c>
      <c r="D283" s="4">
        <v>20712</v>
      </c>
      <c r="E283" t="s">
        <v>67</v>
      </c>
      <c r="F283" s="4">
        <v>4385</v>
      </c>
      <c r="G283">
        <v>91</v>
      </c>
      <c r="H283">
        <v>9.6</v>
      </c>
      <c r="I283">
        <v>0.61376826684539298</v>
      </c>
      <c r="J283">
        <v>0</v>
      </c>
      <c r="M283" s="5"/>
      <c r="S283" t="str">
        <f t="shared" si="62"/>
        <v/>
      </c>
    </row>
    <row r="284" spans="1:19" x14ac:dyDescent="0.3">
      <c r="A284" t="str">
        <f t="shared" si="61"/>
        <v>HH279</v>
      </c>
      <c r="B284" t="s">
        <v>63</v>
      </c>
      <c r="C284">
        <v>8</v>
      </c>
      <c r="D284" s="4">
        <v>31679</v>
      </c>
      <c r="E284" t="s">
        <v>67</v>
      </c>
      <c r="F284" s="4">
        <v>6090</v>
      </c>
      <c r="G284">
        <v>33</v>
      </c>
      <c r="H284">
        <v>4.5</v>
      </c>
      <c r="I284">
        <v>0.10012567729490063</v>
      </c>
      <c r="J284">
        <v>0</v>
      </c>
      <c r="M284" s="5"/>
      <c r="S284" t="str">
        <f t="shared" si="62"/>
        <v/>
      </c>
    </row>
    <row r="285" spans="1:19" x14ac:dyDescent="0.3">
      <c r="A285" t="str">
        <f t="shared" si="61"/>
        <v>HH280</v>
      </c>
      <c r="B285" t="s">
        <v>65</v>
      </c>
      <c r="C285">
        <v>3</v>
      </c>
      <c r="D285" s="4">
        <v>30343</v>
      </c>
      <c r="E285" t="s">
        <v>67</v>
      </c>
      <c r="F285" s="4">
        <v>4130</v>
      </c>
      <c r="G285">
        <v>101</v>
      </c>
      <c r="H285">
        <v>0.5</v>
      </c>
      <c r="I285">
        <v>0.45249656819413897</v>
      </c>
      <c r="J285">
        <v>0</v>
      </c>
      <c r="M285" s="5"/>
      <c r="S285" t="str">
        <f t="shared" si="62"/>
        <v/>
      </c>
    </row>
    <row r="286" spans="1:19" x14ac:dyDescent="0.3">
      <c r="A286" t="str">
        <f t="shared" si="61"/>
        <v>HH281</v>
      </c>
      <c r="B286" t="s">
        <v>62</v>
      </c>
      <c r="C286">
        <v>3</v>
      </c>
      <c r="D286" s="4">
        <v>29207</v>
      </c>
      <c r="E286" t="s">
        <v>69</v>
      </c>
      <c r="F286" s="4">
        <v>2899</v>
      </c>
      <c r="G286">
        <v>51</v>
      </c>
      <c r="H286">
        <v>14.8</v>
      </c>
      <c r="I286">
        <v>0.84024947342983025</v>
      </c>
      <c r="J286">
        <v>0</v>
      </c>
      <c r="M286" s="5"/>
      <c r="S286" t="str">
        <f t="shared" si="62"/>
        <v/>
      </c>
    </row>
    <row r="287" spans="1:19" x14ac:dyDescent="0.3">
      <c r="A287" t="str">
        <f t="shared" si="61"/>
        <v>HH282</v>
      </c>
      <c r="B287" t="s">
        <v>62</v>
      </c>
      <c r="C287">
        <v>5</v>
      </c>
      <c r="D287" s="4">
        <v>28697</v>
      </c>
      <c r="E287" t="s">
        <v>67</v>
      </c>
      <c r="F287" s="4">
        <v>5187</v>
      </c>
      <c r="G287">
        <v>26</v>
      </c>
      <c r="H287">
        <v>4.5</v>
      </c>
      <c r="I287">
        <v>0.31143669687300224</v>
      </c>
      <c r="J287">
        <v>0</v>
      </c>
      <c r="M287" s="5"/>
      <c r="S287" t="str">
        <f t="shared" si="62"/>
        <v/>
      </c>
    </row>
    <row r="288" spans="1:19" x14ac:dyDescent="0.3">
      <c r="A288" t="str">
        <f t="shared" si="61"/>
        <v>HH283</v>
      </c>
      <c r="B288" t="s">
        <v>64</v>
      </c>
      <c r="C288">
        <v>3</v>
      </c>
      <c r="D288" s="4">
        <v>26555</v>
      </c>
      <c r="E288" t="s">
        <v>67</v>
      </c>
      <c r="F288" s="4">
        <v>3395</v>
      </c>
      <c r="G288">
        <v>91</v>
      </c>
      <c r="H288">
        <v>11.5</v>
      </c>
      <c r="I288">
        <v>0.76420986781471922</v>
      </c>
      <c r="J288">
        <v>0</v>
      </c>
      <c r="M288" s="5"/>
      <c r="S288" t="str">
        <f t="shared" si="62"/>
        <v/>
      </c>
    </row>
    <row r="289" spans="1:19" x14ac:dyDescent="0.3">
      <c r="A289" t="str">
        <f t="shared" si="61"/>
        <v>HH284</v>
      </c>
      <c r="B289" t="s">
        <v>63</v>
      </c>
      <c r="C289">
        <v>6</v>
      </c>
      <c r="D289" s="4">
        <v>20723</v>
      </c>
      <c r="E289" t="s">
        <v>67</v>
      </c>
      <c r="F289" s="4">
        <v>6194</v>
      </c>
      <c r="G289">
        <v>117</v>
      </c>
      <c r="H289">
        <v>2.8</v>
      </c>
      <c r="I289">
        <v>0.85547008474076736</v>
      </c>
      <c r="J289">
        <v>0</v>
      </c>
      <c r="M289" s="5"/>
      <c r="S289" t="str">
        <f t="shared" si="62"/>
        <v/>
      </c>
    </row>
    <row r="290" spans="1:19" x14ac:dyDescent="0.3">
      <c r="A290" t="str">
        <f t="shared" si="61"/>
        <v>HH285</v>
      </c>
      <c r="B290" t="s">
        <v>63</v>
      </c>
      <c r="C290">
        <v>7</v>
      </c>
      <c r="D290" s="4">
        <v>29384</v>
      </c>
      <c r="E290" t="s">
        <v>67</v>
      </c>
      <c r="F290" s="4">
        <v>4564</v>
      </c>
      <c r="G290">
        <v>16</v>
      </c>
      <c r="H290">
        <v>9.1999999999999993</v>
      </c>
      <c r="I290">
        <v>0.26301539501031268</v>
      </c>
      <c r="J290">
        <v>0</v>
      </c>
      <c r="M290" s="5"/>
      <c r="S290" t="str">
        <f t="shared" si="62"/>
        <v/>
      </c>
    </row>
    <row r="291" spans="1:19" x14ac:dyDescent="0.3">
      <c r="A291" t="str">
        <f t="shared" si="61"/>
        <v>HH286</v>
      </c>
      <c r="B291" t="s">
        <v>65</v>
      </c>
      <c r="C291">
        <v>5</v>
      </c>
      <c r="D291" s="4">
        <v>31582</v>
      </c>
      <c r="E291" t="s">
        <v>69</v>
      </c>
      <c r="F291" s="4">
        <v>5847</v>
      </c>
      <c r="G291">
        <v>22</v>
      </c>
      <c r="H291">
        <v>9.4</v>
      </c>
      <c r="I291">
        <v>0.40933858849208926</v>
      </c>
      <c r="J291">
        <v>0</v>
      </c>
      <c r="M291" s="5"/>
      <c r="S291" t="str">
        <f t="shared" si="62"/>
        <v/>
      </c>
    </row>
    <row r="292" spans="1:19" x14ac:dyDescent="0.3">
      <c r="A292" t="str">
        <f t="shared" si="61"/>
        <v>HH287</v>
      </c>
      <c r="B292" t="s">
        <v>65</v>
      </c>
      <c r="C292">
        <v>7</v>
      </c>
      <c r="D292" s="4">
        <v>20584</v>
      </c>
      <c r="E292" t="s">
        <v>68</v>
      </c>
      <c r="F292" s="4">
        <v>5303</v>
      </c>
      <c r="G292">
        <v>91</v>
      </c>
      <c r="H292">
        <v>10.199999999999999</v>
      </c>
      <c r="I292">
        <v>0.6419013311976739</v>
      </c>
      <c r="J292">
        <v>0</v>
      </c>
      <c r="M292" s="5"/>
      <c r="S292" t="str">
        <f t="shared" si="62"/>
        <v/>
      </c>
    </row>
    <row r="293" spans="1:19" x14ac:dyDescent="0.3">
      <c r="A293" t="str">
        <f t="shared" si="61"/>
        <v>HH288</v>
      </c>
      <c r="B293" t="s">
        <v>62</v>
      </c>
      <c r="C293">
        <v>5</v>
      </c>
      <c r="D293" s="4">
        <v>39296</v>
      </c>
      <c r="E293" t="s">
        <v>69</v>
      </c>
      <c r="F293" s="4">
        <v>4112</v>
      </c>
      <c r="G293">
        <v>54</v>
      </c>
      <c r="H293">
        <v>3.7</v>
      </c>
      <c r="I293">
        <v>6.3963406962710412E-2</v>
      </c>
      <c r="J293">
        <v>0</v>
      </c>
      <c r="M293" s="5"/>
      <c r="S293" t="str">
        <f t="shared" si="62"/>
        <v/>
      </c>
    </row>
    <row r="294" spans="1:19" x14ac:dyDescent="0.3">
      <c r="A294" t="str">
        <f t="shared" si="61"/>
        <v>HH289</v>
      </c>
      <c r="B294" t="s">
        <v>62</v>
      </c>
      <c r="C294">
        <v>6</v>
      </c>
      <c r="D294" s="4">
        <v>27183</v>
      </c>
      <c r="E294" t="s">
        <v>68</v>
      </c>
      <c r="F294" s="4">
        <v>5831</v>
      </c>
      <c r="G294">
        <v>21</v>
      </c>
      <c r="H294">
        <v>9.3000000000000007</v>
      </c>
      <c r="I294">
        <v>0.84840840953671492</v>
      </c>
      <c r="J294">
        <v>0</v>
      </c>
      <c r="M294" s="5"/>
      <c r="S294" t="str">
        <f t="shared" si="62"/>
        <v/>
      </c>
    </row>
    <row r="295" spans="1:19" x14ac:dyDescent="0.3">
      <c r="A295" t="str">
        <f t="shared" si="61"/>
        <v>HH290</v>
      </c>
      <c r="B295" t="s">
        <v>64</v>
      </c>
      <c r="C295">
        <v>4</v>
      </c>
      <c r="D295" s="4">
        <v>20316</v>
      </c>
      <c r="E295" t="s">
        <v>68</v>
      </c>
      <c r="F295" s="4">
        <v>3478</v>
      </c>
      <c r="G295">
        <v>60</v>
      </c>
      <c r="H295">
        <v>4.5999999999999996</v>
      </c>
      <c r="I295">
        <v>0.5604849696712132</v>
      </c>
      <c r="J295">
        <v>0</v>
      </c>
      <c r="M295" s="5"/>
      <c r="S295" t="str">
        <f t="shared" si="62"/>
        <v/>
      </c>
    </row>
    <row r="296" spans="1:19" x14ac:dyDescent="0.3">
      <c r="A296" t="str">
        <f t="shared" si="61"/>
        <v>HH291</v>
      </c>
      <c r="B296" t="s">
        <v>63</v>
      </c>
      <c r="C296">
        <v>3</v>
      </c>
      <c r="D296" s="4">
        <v>20254</v>
      </c>
      <c r="E296" t="s">
        <v>68</v>
      </c>
      <c r="F296" s="4">
        <v>4134</v>
      </c>
      <c r="G296">
        <v>55</v>
      </c>
      <c r="H296">
        <v>4.4000000000000004</v>
      </c>
      <c r="I296">
        <v>0.82845938386117157</v>
      </c>
      <c r="J296">
        <v>0</v>
      </c>
      <c r="M296" s="5"/>
      <c r="S296" t="str">
        <f t="shared" si="62"/>
        <v/>
      </c>
    </row>
    <row r="297" spans="1:19" x14ac:dyDescent="0.3">
      <c r="A297" t="str">
        <f t="shared" si="61"/>
        <v>HH292</v>
      </c>
      <c r="B297" t="s">
        <v>64</v>
      </c>
      <c r="C297">
        <v>6</v>
      </c>
      <c r="D297" s="4">
        <v>13585</v>
      </c>
      <c r="E297" t="s">
        <v>69</v>
      </c>
      <c r="F297" s="4">
        <v>4967</v>
      </c>
      <c r="G297">
        <v>57</v>
      </c>
      <c r="H297">
        <v>3.5</v>
      </c>
      <c r="I297">
        <v>0.16340054772584478</v>
      </c>
      <c r="J297">
        <v>0</v>
      </c>
      <c r="M297" s="5"/>
      <c r="S297" t="str">
        <f t="shared" si="62"/>
        <v/>
      </c>
    </row>
    <row r="298" spans="1:19" x14ac:dyDescent="0.3">
      <c r="A298" t="str">
        <f t="shared" si="61"/>
        <v>HH293</v>
      </c>
      <c r="B298" t="s">
        <v>65</v>
      </c>
      <c r="C298">
        <v>7</v>
      </c>
      <c r="D298" s="4">
        <v>33845</v>
      </c>
      <c r="E298" t="s">
        <v>69</v>
      </c>
      <c r="F298" s="4">
        <v>6610</v>
      </c>
      <c r="G298">
        <v>120</v>
      </c>
      <c r="H298">
        <v>6</v>
      </c>
      <c r="I298">
        <v>0.96348405549067639</v>
      </c>
      <c r="J298">
        <v>0</v>
      </c>
      <c r="M298" s="5"/>
      <c r="S298" t="str">
        <f t="shared" si="62"/>
        <v/>
      </c>
    </row>
    <row r="299" spans="1:19" x14ac:dyDescent="0.3">
      <c r="A299" t="str">
        <f t="shared" si="61"/>
        <v>HH294</v>
      </c>
      <c r="B299" t="s">
        <v>63</v>
      </c>
      <c r="C299">
        <v>6</v>
      </c>
      <c r="D299" s="4">
        <v>34588</v>
      </c>
      <c r="E299" t="s">
        <v>69</v>
      </c>
      <c r="F299" s="4">
        <v>4396</v>
      </c>
      <c r="G299">
        <v>15</v>
      </c>
      <c r="H299">
        <v>11.8</v>
      </c>
      <c r="I299">
        <v>0.53642635937240657</v>
      </c>
      <c r="J299">
        <v>0</v>
      </c>
      <c r="M299" s="5"/>
      <c r="S299" t="str">
        <f t="shared" si="62"/>
        <v/>
      </c>
    </row>
    <row r="300" spans="1:19" x14ac:dyDescent="0.3">
      <c r="A300" t="str">
        <f t="shared" si="61"/>
        <v>HH295</v>
      </c>
      <c r="B300" t="s">
        <v>63</v>
      </c>
      <c r="C300">
        <v>7</v>
      </c>
      <c r="D300" s="4">
        <v>33238</v>
      </c>
      <c r="E300" t="s">
        <v>69</v>
      </c>
      <c r="F300" s="4">
        <v>4688</v>
      </c>
      <c r="G300">
        <v>47</v>
      </c>
      <c r="H300">
        <v>6.5</v>
      </c>
      <c r="I300">
        <v>0.45495094815268755</v>
      </c>
      <c r="J300">
        <v>0</v>
      </c>
      <c r="M300" s="5"/>
      <c r="S300" t="str">
        <f t="shared" si="62"/>
        <v/>
      </c>
    </row>
    <row r="301" spans="1:19" x14ac:dyDescent="0.3">
      <c r="A301" t="str">
        <f t="shared" si="61"/>
        <v>HH296</v>
      </c>
      <c r="B301" t="s">
        <v>65</v>
      </c>
      <c r="C301">
        <v>7</v>
      </c>
      <c r="D301" s="4">
        <v>22723</v>
      </c>
      <c r="E301" t="s">
        <v>67</v>
      </c>
      <c r="F301" s="4">
        <v>5616</v>
      </c>
      <c r="G301">
        <v>46</v>
      </c>
      <c r="H301">
        <v>2.1</v>
      </c>
      <c r="I301">
        <v>0.48312198089659641</v>
      </c>
      <c r="J301">
        <v>0</v>
      </c>
      <c r="M301" s="5"/>
      <c r="S301" t="str">
        <f t="shared" si="62"/>
        <v/>
      </c>
    </row>
    <row r="302" spans="1:19" x14ac:dyDescent="0.3">
      <c r="A302" t="str">
        <f t="shared" si="61"/>
        <v>HH297</v>
      </c>
      <c r="B302" t="s">
        <v>63</v>
      </c>
      <c r="C302">
        <v>4</v>
      </c>
      <c r="D302" s="4">
        <v>27001</v>
      </c>
      <c r="E302" t="s">
        <v>67</v>
      </c>
      <c r="F302" s="4">
        <v>3124</v>
      </c>
      <c r="G302">
        <v>81</v>
      </c>
      <c r="H302">
        <v>8.3000000000000007</v>
      </c>
      <c r="I302">
        <v>0.19486433540180315</v>
      </c>
      <c r="J302">
        <v>0</v>
      </c>
      <c r="M302" s="5"/>
      <c r="S302" t="str">
        <f t="shared" si="62"/>
        <v/>
      </c>
    </row>
    <row r="303" spans="1:19" x14ac:dyDescent="0.3">
      <c r="A303" t="str">
        <f t="shared" si="61"/>
        <v>HH298</v>
      </c>
      <c r="B303" t="s">
        <v>64</v>
      </c>
      <c r="C303">
        <v>3</v>
      </c>
      <c r="D303" s="4">
        <v>27599</v>
      </c>
      <c r="E303" t="s">
        <v>67</v>
      </c>
      <c r="F303" s="4">
        <v>4670</v>
      </c>
      <c r="G303">
        <v>56</v>
      </c>
      <c r="H303">
        <v>8.1999999999999993</v>
      </c>
      <c r="I303">
        <v>0.47699219321281305</v>
      </c>
      <c r="J303">
        <v>0</v>
      </c>
      <c r="M303" s="5"/>
      <c r="S303" t="str">
        <f t="shared" si="62"/>
        <v/>
      </c>
    </row>
    <row r="304" spans="1:19" x14ac:dyDescent="0.3">
      <c r="A304" t="str">
        <f t="shared" si="61"/>
        <v>HH299</v>
      </c>
      <c r="B304" t="s">
        <v>63</v>
      </c>
      <c r="C304">
        <v>6</v>
      </c>
      <c r="D304" s="4">
        <v>28642</v>
      </c>
      <c r="E304" t="s">
        <v>69</v>
      </c>
      <c r="F304" s="4">
        <v>4236</v>
      </c>
      <c r="G304">
        <v>52</v>
      </c>
      <c r="H304">
        <v>1.4</v>
      </c>
      <c r="I304">
        <v>0.3486893185829405</v>
      </c>
      <c r="J304">
        <v>0</v>
      </c>
      <c r="M304" s="5"/>
      <c r="S304" t="str">
        <f t="shared" si="62"/>
        <v/>
      </c>
    </row>
    <row r="305" spans="1:19" x14ac:dyDescent="0.3">
      <c r="A305" t="str">
        <f t="shared" si="61"/>
        <v>HH300</v>
      </c>
      <c r="B305" t="s">
        <v>63</v>
      </c>
      <c r="C305">
        <v>6</v>
      </c>
      <c r="D305" s="4">
        <v>22281</v>
      </c>
      <c r="E305" t="s">
        <v>68</v>
      </c>
      <c r="F305" s="4">
        <v>5536</v>
      </c>
      <c r="G305">
        <v>76</v>
      </c>
      <c r="H305">
        <v>5.5</v>
      </c>
      <c r="I305">
        <v>0.49641013861469319</v>
      </c>
      <c r="J305">
        <v>0</v>
      </c>
      <c r="M305" s="5"/>
      <c r="S305" t="str">
        <f t="shared" si="62"/>
        <v/>
      </c>
    </row>
    <row r="306" spans="1:19" x14ac:dyDescent="0.3">
      <c r="A306" t="str">
        <f t="shared" si="61"/>
        <v>HH301</v>
      </c>
      <c r="B306" t="s">
        <v>65</v>
      </c>
      <c r="C306">
        <v>5</v>
      </c>
      <c r="D306" s="4">
        <v>43890</v>
      </c>
      <c r="E306" t="s">
        <v>67</v>
      </c>
      <c r="F306" s="4">
        <v>4934</v>
      </c>
      <c r="G306">
        <v>102</v>
      </c>
      <c r="H306">
        <v>2.2000000000000002</v>
      </c>
      <c r="I306">
        <v>0.92464279125809801</v>
      </c>
      <c r="J306">
        <v>0</v>
      </c>
      <c r="M306" s="5"/>
      <c r="S306" t="str">
        <f t="shared" si="62"/>
        <v/>
      </c>
    </row>
    <row r="307" spans="1:19" x14ac:dyDescent="0.3">
      <c r="A307" t="str">
        <f t="shared" si="61"/>
        <v>HH302</v>
      </c>
      <c r="B307" t="s">
        <v>63</v>
      </c>
      <c r="C307">
        <v>3</v>
      </c>
      <c r="D307" s="4">
        <v>35720</v>
      </c>
      <c r="E307" t="s">
        <v>67</v>
      </c>
      <c r="F307" s="4">
        <v>4036</v>
      </c>
      <c r="G307">
        <v>24</v>
      </c>
      <c r="H307">
        <v>15</v>
      </c>
      <c r="I307">
        <v>0.35905246220608755</v>
      </c>
      <c r="J307">
        <v>0</v>
      </c>
      <c r="M307" s="5"/>
      <c r="S307" t="str">
        <f t="shared" si="62"/>
        <v/>
      </c>
    </row>
    <row r="308" spans="1:19" x14ac:dyDescent="0.3">
      <c r="A308" t="str">
        <f t="shared" si="61"/>
        <v>HH303</v>
      </c>
      <c r="B308" t="s">
        <v>65</v>
      </c>
      <c r="C308">
        <v>8</v>
      </c>
      <c r="D308" s="4">
        <v>30529</v>
      </c>
      <c r="E308" t="s">
        <v>66</v>
      </c>
      <c r="F308" s="4">
        <v>6815</v>
      </c>
      <c r="G308">
        <v>47</v>
      </c>
      <c r="H308">
        <v>10.9</v>
      </c>
      <c r="I308">
        <v>0.77378340665713818</v>
      </c>
      <c r="J308">
        <v>0</v>
      </c>
      <c r="M308" s="5"/>
      <c r="S308" t="str">
        <f t="shared" si="62"/>
        <v/>
      </c>
    </row>
    <row r="309" spans="1:19" x14ac:dyDescent="0.3">
      <c r="A309" t="str">
        <f t="shared" si="61"/>
        <v>HH304</v>
      </c>
      <c r="B309" t="s">
        <v>62</v>
      </c>
      <c r="C309">
        <v>6</v>
      </c>
      <c r="D309" s="4">
        <v>38186</v>
      </c>
      <c r="E309" t="s">
        <v>67</v>
      </c>
      <c r="F309" s="4">
        <v>5233</v>
      </c>
      <c r="G309">
        <v>62</v>
      </c>
      <c r="H309">
        <v>14.6</v>
      </c>
      <c r="I309">
        <v>0.77554817897665684</v>
      </c>
      <c r="J309">
        <v>0</v>
      </c>
      <c r="M309" s="5"/>
      <c r="S309" t="str">
        <f t="shared" si="62"/>
        <v/>
      </c>
    </row>
    <row r="310" spans="1:19" x14ac:dyDescent="0.3">
      <c r="A310" t="str">
        <f t="shared" si="61"/>
        <v>HH305</v>
      </c>
      <c r="B310" t="s">
        <v>64</v>
      </c>
      <c r="C310">
        <v>4</v>
      </c>
      <c r="D310" s="4">
        <v>17754</v>
      </c>
      <c r="E310" t="s">
        <v>68</v>
      </c>
      <c r="F310" s="4">
        <v>4601</v>
      </c>
      <c r="G310">
        <v>62</v>
      </c>
      <c r="H310">
        <v>7.1</v>
      </c>
      <c r="I310">
        <v>0.4907515466391269</v>
      </c>
      <c r="J310">
        <v>0</v>
      </c>
      <c r="M310" s="5"/>
      <c r="S310" t="str">
        <f t="shared" si="62"/>
        <v/>
      </c>
    </row>
    <row r="311" spans="1:19" x14ac:dyDescent="0.3">
      <c r="A311" t="str">
        <f t="shared" si="61"/>
        <v>HH306</v>
      </c>
      <c r="B311" t="s">
        <v>65</v>
      </c>
      <c r="C311">
        <v>6</v>
      </c>
      <c r="D311" s="4">
        <v>26888</v>
      </c>
      <c r="E311" t="s">
        <v>68</v>
      </c>
      <c r="F311" s="4">
        <v>4495</v>
      </c>
      <c r="G311">
        <v>91</v>
      </c>
      <c r="H311">
        <v>2</v>
      </c>
      <c r="I311">
        <v>9.9748063135930876E-2</v>
      </c>
      <c r="J311">
        <v>0</v>
      </c>
      <c r="M311" s="5"/>
      <c r="S311" t="str">
        <f t="shared" si="62"/>
        <v/>
      </c>
    </row>
    <row r="312" spans="1:19" x14ac:dyDescent="0.3">
      <c r="A312" t="str">
        <f t="shared" si="61"/>
        <v>HH307</v>
      </c>
      <c r="B312" t="s">
        <v>62</v>
      </c>
      <c r="C312">
        <v>8</v>
      </c>
      <c r="D312" s="4">
        <v>31701</v>
      </c>
      <c r="E312" t="s">
        <v>69</v>
      </c>
      <c r="F312" s="4">
        <v>4853</v>
      </c>
      <c r="G312">
        <v>72</v>
      </c>
      <c r="H312">
        <v>10.8</v>
      </c>
      <c r="I312">
        <v>0.89272938652491063</v>
      </c>
      <c r="J312">
        <v>0</v>
      </c>
      <c r="M312" s="5"/>
      <c r="S312" t="str">
        <f t="shared" si="62"/>
        <v/>
      </c>
    </row>
    <row r="313" spans="1:19" x14ac:dyDescent="0.3">
      <c r="A313" t="str">
        <f t="shared" si="61"/>
        <v>HH308</v>
      </c>
      <c r="B313" t="s">
        <v>64</v>
      </c>
      <c r="C313">
        <v>6</v>
      </c>
      <c r="D313" s="4">
        <v>35944</v>
      </c>
      <c r="E313" t="s">
        <v>68</v>
      </c>
      <c r="F313" s="4">
        <v>5487</v>
      </c>
      <c r="G313">
        <v>18</v>
      </c>
      <c r="H313">
        <v>6</v>
      </c>
      <c r="I313">
        <v>0.49464374454017401</v>
      </c>
      <c r="J313">
        <v>0</v>
      </c>
      <c r="M313" s="5"/>
      <c r="S313" t="str">
        <f t="shared" si="62"/>
        <v/>
      </c>
    </row>
    <row r="314" spans="1:19" x14ac:dyDescent="0.3">
      <c r="A314" t="str">
        <f t="shared" si="61"/>
        <v>HH309</v>
      </c>
      <c r="B314" t="s">
        <v>62</v>
      </c>
      <c r="C314">
        <v>5</v>
      </c>
      <c r="D314" s="4">
        <v>25511</v>
      </c>
      <c r="E314" t="s">
        <v>69</v>
      </c>
      <c r="F314" s="4">
        <v>4802</v>
      </c>
      <c r="G314">
        <v>96</v>
      </c>
      <c r="H314">
        <v>12.3</v>
      </c>
      <c r="I314">
        <v>0.61910163948471986</v>
      </c>
      <c r="J314">
        <v>0</v>
      </c>
      <c r="M314" s="5"/>
      <c r="S314" t="str">
        <f t="shared" si="62"/>
        <v/>
      </c>
    </row>
    <row r="315" spans="1:19" x14ac:dyDescent="0.3">
      <c r="A315" t="str">
        <f t="shared" si="61"/>
        <v>HH310</v>
      </c>
      <c r="B315" t="s">
        <v>65</v>
      </c>
      <c r="C315">
        <v>6</v>
      </c>
      <c r="D315" s="4">
        <v>44866</v>
      </c>
      <c r="E315" t="s">
        <v>69</v>
      </c>
      <c r="F315" s="4">
        <v>5981</v>
      </c>
      <c r="G315">
        <v>65</v>
      </c>
      <c r="H315">
        <v>5.8</v>
      </c>
      <c r="I315">
        <v>0.20545488497278808</v>
      </c>
      <c r="J315">
        <v>0</v>
      </c>
      <c r="M315" s="5"/>
      <c r="S315" t="str">
        <f t="shared" si="62"/>
        <v/>
      </c>
    </row>
    <row r="316" spans="1:19" x14ac:dyDescent="0.3">
      <c r="A316" t="str">
        <f t="shared" si="61"/>
        <v>HH311</v>
      </c>
      <c r="B316" t="s">
        <v>63</v>
      </c>
      <c r="C316">
        <v>8</v>
      </c>
      <c r="D316" s="4">
        <v>30093</v>
      </c>
      <c r="E316" t="s">
        <v>69</v>
      </c>
      <c r="F316" s="4">
        <v>6156</v>
      </c>
      <c r="G316">
        <v>32</v>
      </c>
      <c r="H316">
        <v>2.9</v>
      </c>
      <c r="I316">
        <v>0.80401544600175689</v>
      </c>
      <c r="J316">
        <v>0</v>
      </c>
      <c r="M316" s="5"/>
      <c r="S316" t="str">
        <f t="shared" si="62"/>
        <v/>
      </c>
    </row>
    <row r="317" spans="1:19" x14ac:dyDescent="0.3">
      <c r="A317" t="str">
        <f t="shared" si="61"/>
        <v>HH312</v>
      </c>
      <c r="B317" t="s">
        <v>64</v>
      </c>
      <c r="C317">
        <v>8</v>
      </c>
      <c r="D317" s="4">
        <v>37583</v>
      </c>
      <c r="E317" t="s">
        <v>68</v>
      </c>
      <c r="F317" s="4">
        <v>4992</v>
      </c>
      <c r="G317">
        <v>115</v>
      </c>
      <c r="H317">
        <v>7.1</v>
      </c>
      <c r="I317">
        <v>0.94944201399124628</v>
      </c>
      <c r="J317">
        <v>0</v>
      </c>
      <c r="M317" s="5"/>
      <c r="S317" t="str">
        <f t="shared" si="62"/>
        <v/>
      </c>
    </row>
    <row r="318" spans="1:19" x14ac:dyDescent="0.3">
      <c r="A318" t="str">
        <f t="shared" si="61"/>
        <v>HH313</v>
      </c>
      <c r="B318" t="s">
        <v>65</v>
      </c>
      <c r="C318">
        <v>8</v>
      </c>
      <c r="D318" s="4">
        <v>31536</v>
      </c>
      <c r="E318" t="s">
        <v>67</v>
      </c>
      <c r="F318" s="4">
        <v>5837</v>
      </c>
      <c r="G318">
        <v>93</v>
      </c>
      <c r="H318">
        <v>8.6</v>
      </c>
      <c r="I318">
        <v>0.33706586638275249</v>
      </c>
      <c r="J318">
        <v>0</v>
      </c>
      <c r="M318" s="5"/>
      <c r="S318" t="str">
        <f t="shared" si="62"/>
        <v/>
      </c>
    </row>
    <row r="319" spans="1:19" x14ac:dyDescent="0.3">
      <c r="A319" t="str">
        <f t="shared" si="61"/>
        <v>HH314</v>
      </c>
      <c r="B319" t="s">
        <v>64</v>
      </c>
      <c r="C319">
        <v>5</v>
      </c>
      <c r="D319" s="4">
        <v>22133</v>
      </c>
      <c r="E319" t="s">
        <v>68</v>
      </c>
      <c r="F319" s="4">
        <v>4392</v>
      </c>
      <c r="G319">
        <v>117</v>
      </c>
      <c r="H319">
        <v>5.9</v>
      </c>
      <c r="I319">
        <v>0.77546913046762223</v>
      </c>
      <c r="J319">
        <v>0</v>
      </c>
      <c r="M319" s="5"/>
      <c r="S319" t="str">
        <f t="shared" si="62"/>
        <v/>
      </c>
    </row>
    <row r="320" spans="1:19" x14ac:dyDescent="0.3">
      <c r="A320" t="str">
        <f t="shared" si="61"/>
        <v>HH315</v>
      </c>
      <c r="B320" t="s">
        <v>63</v>
      </c>
      <c r="C320">
        <v>2</v>
      </c>
      <c r="D320" s="4">
        <v>32018</v>
      </c>
      <c r="E320" t="s">
        <v>68</v>
      </c>
      <c r="F320" s="4">
        <v>3212</v>
      </c>
      <c r="G320">
        <v>108</v>
      </c>
      <c r="H320">
        <v>1.8</v>
      </c>
      <c r="I320">
        <v>0.98000293745643297</v>
      </c>
      <c r="J320">
        <v>0</v>
      </c>
      <c r="M320" s="5"/>
      <c r="S320" t="str">
        <f t="shared" si="62"/>
        <v/>
      </c>
    </row>
    <row r="321" spans="1:19" x14ac:dyDescent="0.3">
      <c r="A321" t="str">
        <f t="shared" si="61"/>
        <v>HH316</v>
      </c>
      <c r="B321" t="s">
        <v>65</v>
      </c>
      <c r="C321">
        <v>4</v>
      </c>
      <c r="D321" s="4">
        <v>24901</v>
      </c>
      <c r="E321" t="s">
        <v>67</v>
      </c>
      <c r="F321" s="4">
        <v>4087</v>
      </c>
      <c r="G321">
        <v>33</v>
      </c>
      <c r="H321">
        <v>5.8</v>
      </c>
      <c r="I321">
        <v>0.71326646588910714</v>
      </c>
      <c r="J321">
        <v>0</v>
      </c>
      <c r="M321" s="5"/>
      <c r="S321" t="str">
        <f t="shared" si="62"/>
        <v/>
      </c>
    </row>
    <row r="322" spans="1:19" x14ac:dyDescent="0.3">
      <c r="A322" t="str">
        <f t="shared" si="61"/>
        <v>HH317</v>
      </c>
      <c r="B322" t="s">
        <v>65</v>
      </c>
      <c r="C322">
        <v>5</v>
      </c>
      <c r="D322" s="4">
        <v>31799</v>
      </c>
      <c r="E322" t="s">
        <v>68</v>
      </c>
      <c r="F322" s="4">
        <v>5392</v>
      </c>
      <c r="G322">
        <v>56</v>
      </c>
      <c r="H322">
        <v>4.8</v>
      </c>
      <c r="I322">
        <v>0.1747747415017703</v>
      </c>
      <c r="J322">
        <v>0</v>
      </c>
      <c r="M322" s="5"/>
      <c r="S322" t="str">
        <f t="shared" si="62"/>
        <v/>
      </c>
    </row>
    <row r="323" spans="1:19" x14ac:dyDescent="0.3">
      <c r="A323" t="str">
        <f t="shared" si="61"/>
        <v>HH318</v>
      </c>
      <c r="B323" t="s">
        <v>62</v>
      </c>
      <c r="C323">
        <v>5</v>
      </c>
      <c r="D323" s="4">
        <v>14497</v>
      </c>
      <c r="E323" t="s">
        <v>68</v>
      </c>
      <c r="F323" s="4">
        <v>3888</v>
      </c>
      <c r="G323">
        <v>37</v>
      </c>
      <c r="H323">
        <v>14.6</v>
      </c>
      <c r="I323">
        <v>0.52447976535151219</v>
      </c>
      <c r="J323">
        <v>0</v>
      </c>
      <c r="M323" s="5"/>
      <c r="S323" t="str">
        <f t="shared" si="62"/>
        <v/>
      </c>
    </row>
    <row r="324" spans="1:19" x14ac:dyDescent="0.3">
      <c r="A324" t="str">
        <f t="shared" si="61"/>
        <v>HH319</v>
      </c>
      <c r="B324" t="s">
        <v>65</v>
      </c>
      <c r="C324">
        <v>3</v>
      </c>
      <c r="D324" s="4">
        <v>44305</v>
      </c>
      <c r="E324" t="s">
        <v>69</v>
      </c>
      <c r="F324" s="4">
        <v>5126</v>
      </c>
      <c r="G324">
        <v>77</v>
      </c>
      <c r="H324">
        <v>10.1</v>
      </c>
      <c r="I324">
        <v>8.3632706704044546E-2</v>
      </c>
      <c r="J324">
        <v>0</v>
      </c>
      <c r="M324" s="5"/>
      <c r="S324" t="str">
        <f t="shared" si="62"/>
        <v/>
      </c>
    </row>
    <row r="325" spans="1:19" x14ac:dyDescent="0.3">
      <c r="A325" t="str">
        <f t="shared" si="61"/>
        <v>HH320</v>
      </c>
      <c r="B325" t="s">
        <v>65</v>
      </c>
      <c r="C325">
        <v>4</v>
      </c>
      <c r="D325" s="4">
        <v>30548</v>
      </c>
      <c r="E325" t="s">
        <v>68</v>
      </c>
      <c r="F325" s="4">
        <v>5591</v>
      </c>
      <c r="G325">
        <v>16</v>
      </c>
      <c r="H325">
        <v>3.7</v>
      </c>
      <c r="I325">
        <v>0.899983414113257</v>
      </c>
      <c r="J325">
        <v>0</v>
      </c>
      <c r="M325" s="5"/>
      <c r="S325" t="str">
        <f t="shared" si="62"/>
        <v/>
      </c>
    </row>
    <row r="326" spans="1:19" x14ac:dyDescent="0.3">
      <c r="A326" t="str">
        <f t="shared" si="61"/>
        <v>HH321</v>
      </c>
      <c r="B326" t="s">
        <v>64</v>
      </c>
      <c r="C326">
        <v>5</v>
      </c>
      <c r="D326" s="4">
        <v>26065</v>
      </c>
      <c r="E326" t="s">
        <v>69</v>
      </c>
      <c r="F326" s="4">
        <v>3670</v>
      </c>
      <c r="G326">
        <v>102</v>
      </c>
      <c r="H326">
        <v>10.1</v>
      </c>
      <c r="I326">
        <v>0.39486670638603971</v>
      </c>
      <c r="J326">
        <v>0</v>
      </c>
      <c r="M326" s="5"/>
      <c r="S326" t="str">
        <f t="shared" si="62"/>
        <v/>
      </c>
    </row>
    <row r="327" spans="1:19" x14ac:dyDescent="0.3">
      <c r="A327" t="str">
        <f t="shared" ref="A327:A390" si="63">"HH"&amp;TEXT(ROW()-5,"000")</f>
        <v>HH322</v>
      </c>
      <c r="B327" t="s">
        <v>65</v>
      </c>
      <c r="C327">
        <v>7</v>
      </c>
      <c r="D327" s="4">
        <v>30876</v>
      </c>
      <c r="E327" t="s">
        <v>68</v>
      </c>
      <c r="F327" s="4">
        <v>5231</v>
      </c>
      <c r="G327">
        <v>28</v>
      </c>
      <c r="H327">
        <v>1.9</v>
      </c>
      <c r="I327">
        <v>0.30390513584810175</v>
      </c>
      <c r="J327">
        <v>0</v>
      </c>
      <c r="M327" s="5"/>
      <c r="S327" t="str">
        <f t="shared" ref="S327:S390" si="64">IF($J327=1,D327,"")</f>
        <v/>
      </c>
    </row>
    <row r="328" spans="1:19" x14ac:dyDescent="0.3">
      <c r="A328" t="str">
        <f t="shared" si="63"/>
        <v>HH323</v>
      </c>
      <c r="B328" t="s">
        <v>63</v>
      </c>
      <c r="C328">
        <v>8</v>
      </c>
      <c r="D328" s="4">
        <v>38669</v>
      </c>
      <c r="E328" t="s">
        <v>68</v>
      </c>
      <c r="F328" s="4">
        <v>6680</v>
      </c>
      <c r="G328">
        <v>50</v>
      </c>
      <c r="H328">
        <v>0.5</v>
      </c>
      <c r="I328">
        <v>0.10377658941733148</v>
      </c>
      <c r="J328">
        <v>0</v>
      </c>
      <c r="M328" s="5"/>
      <c r="S328" t="str">
        <f t="shared" si="64"/>
        <v/>
      </c>
    </row>
    <row r="329" spans="1:19" x14ac:dyDescent="0.3">
      <c r="A329" t="str">
        <f t="shared" si="63"/>
        <v>HH324</v>
      </c>
      <c r="B329" t="s">
        <v>64</v>
      </c>
      <c r="C329">
        <v>4</v>
      </c>
      <c r="D329" s="4">
        <v>27229</v>
      </c>
      <c r="E329" t="s">
        <v>68</v>
      </c>
      <c r="F329" s="4">
        <v>3640</v>
      </c>
      <c r="G329">
        <v>48</v>
      </c>
      <c r="H329">
        <v>9.5</v>
      </c>
      <c r="I329">
        <v>0.10298883225487199</v>
      </c>
      <c r="J329">
        <v>0</v>
      </c>
      <c r="M329" s="5"/>
      <c r="S329" t="str">
        <f t="shared" si="64"/>
        <v/>
      </c>
    </row>
    <row r="330" spans="1:19" x14ac:dyDescent="0.3">
      <c r="A330" t="str">
        <f t="shared" si="63"/>
        <v>HH325</v>
      </c>
      <c r="B330" t="s">
        <v>63</v>
      </c>
      <c r="C330">
        <v>3</v>
      </c>
      <c r="D330" s="4">
        <v>25365</v>
      </c>
      <c r="E330" t="s">
        <v>68</v>
      </c>
      <c r="F330" s="4">
        <v>4202</v>
      </c>
      <c r="G330">
        <v>47</v>
      </c>
      <c r="H330">
        <v>8.9</v>
      </c>
      <c r="I330">
        <v>0.72548851212292498</v>
      </c>
      <c r="J330">
        <v>0</v>
      </c>
      <c r="M330" s="5"/>
      <c r="S330" t="str">
        <f t="shared" si="64"/>
        <v/>
      </c>
    </row>
    <row r="331" spans="1:19" x14ac:dyDescent="0.3">
      <c r="A331" t="str">
        <f t="shared" si="63"/>
        <v>HH326</v>
      </c>
      <c r="B331" t="s">
        <v>65</v>
      </c>
      <c r="C331">
        <v>7</v>
      </c>
      <c r="D331" s="4">
        <v>38779</v>
      </c>
      <c r="E331" t="s">
        <v>68</v>
      </c>
      <c r="F331" s="4">
        <v>5541</v>
      </c>
      <c r="G331">
        <v>86</v>
      </c>
      <c r="H331">
        <v>10.5</v>
      </c>
      <c r="I331">
        <v>0.68029303607091607</v>
      </c>
      <c r="J331">
        <v>0</v>
      </c>
      <c r="M331" s="5"/>
      <c r="S331" t="str">
        <f t="shared" si="64"/>
        <v/>
      </c>
    </row>
    <row r="332" spans="1:19" x14ac:dyDescent="0.3">
      <c r="A332" t="str">
        <f t="shared" si="63"/>
        <v>HH327</v>
      </c>
      <c r="B332" t="s">
        <v>62</v>
      </c>
      <c r="C332">
        <v>8</v>
      </c>
      <c r="D332" s="4">
        <v>24467</v>
      </c>
      <c r="E332" t="s">
        <v>69</v>
      </c>
      <c r="F332" s="4">
        <v>6594</v>
      </c>
      <c r="G332">
        <v>72</v>
      </c>
      <c r="H332">
        <v>8</v>
      </c>
      <c r="I332">
        <v>0.20553359022217876</v>
      </c>
      <c r="J332">
        <v>0</v>
      </c>
      <c r="M332" s="5"/>
      <c r="S332" t="str">
        <f t="shared" si="64"/>
        <v/>
      </c>
    </row>
    <row r="333" spans="1:19" x14ac:dyDescent="0.3">
      <c r="A333" t="str">
        <f t="shared" si="63"/>
        <v>HH328</v>
      </c>
      <c r="B333" t="s">
        <v>65</v>
      </c>
      <c r="C333">
        <v>4</v>
      </c>
      <c r="D333" s="4">
        <v>29244</v>
      </c>
      <c r="E333" t="s">
        <v>69</v>
      </c>
      <c r="F333" s="4">
        <v>4850</v>
      </c>
      <c r="G333">
        <v>18</v>
      </c>
      <c r="H333">
        <v>9.6</v>
      </c>
      <c r="I333">
        <v>0.8008590988340174</v>
      </c>
      <c r="J333">
        <v>0</v>
      </c>
      <c r="M333" s="5"/>
      <c r="S333" t="str">
        <f t="shared" si="64"/>
        <v/>
      </c>
    </row>
    <row r="334" spans="1:19" x14ac:dyDescent="0.3">
      <c r="A334" t="str">
        <f t="shared" si="63"/>
        <v>HH329</v>
      </c>
      <c r="B334" t="s">
        <v>64</v>
      </c>
      <c r="C334">
        <v>8</v>
      </c>
      <c r="D334" s="4">
        <v>45177</v>
      </c>
      <c r="E334" t="s">
        <v>66</v>
      </c>
      <c r="F334" s="4">
        <v>4914</v>
      </c>
      <c r="G334">
        <v>41</v>
      </c>
      <c r="H334">
        <v>13.5</v>
      </c>
      <c r="I334">
        <v>0.93183234477023091</v>
      </c>
      <c r="J334">
        <v>0</v>
      </c>
      <c r="M334" s="5"/>
      <c r="S334" t="str">
        <f t="shared" si="64"/>
        <v/>
      </c>
    </row>
    <row r="335" spans="1:19" x14ac:dyDescent="0.3">
      <c r="A335" t="str">
        <f t="shared" si="63"/>
        <v>HH330</v>
      </c>
      <c r="B335" t="s">
        <v>64</v>
      </c>
      <c r="C335">
        <v>8</v>
      </c>
      <c r="D335" s="4">
        <v>38279</v>
      </c>
      <c r="E335" t="s">
        <v>68</v>
      </c>
      <c r="F335" s="4">
        <v>7066</v>
      </c>
      <c r="G335">
        <v>15</v>
      </c>
      <c r="H335">
        <v>3.5</v>
      </c>
      <c r="I335">
        <v>0.64370977363356108</v>
      </c>
      <c r="J335">
        <v>0</v>
      </c>
      <c r="M335" s="5"/>
      <c r="S335" t="str">
        <f t="shared" si="64"/>
        <v/>
      </c>
    </row>
    <row r="336" spans="1:19" x14ac:dyDescent="0.3">
      <c r="A336" t="str">
        <f t="shared" si="63"/>
        <v>HH331</v>
      </c>
      <c r="B336" t="s">
        <v>64</v>
      </c>
      <c r="C336">
        <v>2</v>
      </c>
      <c r="D336" s="4">
        <v>35927</v>
      </c>
      <c r="E336" t="s">
        <v>68</v>
      </c>
      <c r="F336" s="4">
        <v>4303</v>
      </c>
      <c r="G336">
        <v>64</v>
      </c>
      <c r="H336">
        <v>8.8000000000000007</v>
      </c>
      <c r="I336">
        <v>0.58816626540745964</v>
      </c>
      <c r="J336">
        <v>0</v>
      </c>
      <c r="M336" s="5"/>
      <c r="S336" t="str">
        <f t="shared" si="64"/>
        <v/>
      </c>
    </row>
    <row r="337" spans="1:19" x14ac:dyDescent="0.3">
      <c r="A337" t="str">
        <f t="shared" si="63"/>
        <v>HH332</v>
      </c>
      <c r="B337" t="s">
        <v>62</v>
      </c>
      <c r="C337">
        <v>5</v>
      </c>
      <c r="D337" s="4">
        <v>36703</v>
      </c>
      <c r="E337" t="s">
        <v>69</v>
      </c>
      <c r="F337" s="4">
        <v>4168</v>
      </c>
      <c r="G337">
        <v>25</v>
      </c>
      <c r="H337">
        <v>0.8</v>
      </c>
      <c r="I337">
        <v>0.10486754557674083</v>
      </c>
      <c r="J337">
        <v>0</v>
      </c>
      <c r="M337" s="5"/>
      <c r="S337" t="str">
        <f t="shared" si="64"/>
        <v/>
      </c>
    </row>
    <row r="338" spans="1:19" x14ac:dyDescent="0.3">
      <c r="A338" t="str">
        <f t="shared" si="63"/>
        <v>HH333</v>
      </c>
      <c r="B338" t="s">
        <v>65</v>
      </c>
      <c r="C338">
        <v>4</v>
      </c>
      <c r="D338" s="4">
        <v>33600</v>
      </c>
      <c r="E338" t="s">
        <v>69</v>
      </c>
      <c r="F338" s="4">
        <v>4408</v>
      </c>
      <c r="G338">
        <v>94</v>
      </c>
      <c r="H338">
        <v>8.3000000000000007</v>
      </c>
      <c r="I338">
        <v>0.80155930839095368</v>
      </c>
      <c r="J338">
        <v>0</v>
      </c>
      <c r="M338" s="5"/>
      <c r="S338" t="str">
        <f t="shared" si="64"/>
        <v/>
      </c>
    </row>
    <row r="339" spans="1:19" x14ac:dyDescent="0.3">
      <c r="A339" t="str">
        <f t="shared" si="63"/>
        <v>HH334</v>
      </c>
      <c r="B339" t="s">
        <v>65</v>
      </c>
      <c r="C339">
        <v>3</v>
      </c>
      <c r="D339" s="4">
        <v>14671</v>
      </c>
      <c r="E339" t="s">
        <v>67</v>
      </c>
      <c r="F339" s="4">
        <v>5148</v>
      </c>
      <c r="G339">
        <v>28</v>
      </c>
      <c r="H339">
        <v>8.1999999999999993</v>
      </c>
      <c r="I339">
        <v>0.70945180156421384</v>
      </c>
      <c r="J339">
        <v>0</v>
      </c>
      <c r="M339" s="5"/>
      <c r="S339" t="str">
        <f t="shared" si="64"/>
        <v/>
      </c>
    </row>
    <row r="340" spans="1:19" x14ac:dyDescent="0.3">
      <c r="A340" t="str">
        <f t="shared" si="63"/>
        <v>HH335</v>
      </c>
      <c r="B340" t="s">
        <v>63</v>
      </c>
      <c r="C340">
        <v>4</v>
      </c>
      <c r="D340" s="4">
        <v>3715</v>
      </c>
      <c r="E340" t="s">
        <v>68</v>
      </c>
      <c r="F340" s="4">
        <v>3635</v>
      </c>
      <c r="G340">
        <v>64</v>
      </c>
      <c r="H340">
        <v>11.9</v>
      </c>
      <c r="I340">
        <v>0.20774045027188526</v>
      </c>
      <c r="J340">
        <v>0</v>
      </c>
      <c r="M340" s="5"/>
      <c r="S340" t="str">
        <f t="shared" si="64"/>
        <v/>
      </c>
    </row>
    <row r="341" spans="1:19" x14ac:dyDescent="0.3">
      <c r="A341" t="str">
        <f t="shared" si="63"/>
        <v>HH336</v>
      </c>
      <c r="B341" t="s">
        <v>65</v>
      </c>
      <c r="C341">
        <v>8</v>
      </c>
      <c r="D341" s="4">
        <v>23401</v>
      </c>
      <c r="E341" t="s">
        <v>67</v>
      </c>
      <c r="F341" s="4">
        <v>5441</v>
      </c>
      <c r="G341">
        <v>120</v>
      </c>
      <c r="H341">
        <v>1</v>
      </c>
      <c r="I341">
        <v>0.65224057957557557</v>
      </c>
      <c r="J341">
        <v>0</v>
      </c>
      <c r="M341" s="5"/>
      <c r="S341" t="str">
        <f t="shared" si="64"/>
        <v/>
      </c>
    </row>
    <row r="342" spans="1:19" x14ac:dyDescent="0.3">
      <c r="A342" t="str">
        <f t="shared" si="63"/>
        <v>HH337</v>
      </c>
      <c r="B342" t="s">
        <v>63</v>
      </c>
      <c r="C342">
        <v>8</v>
      </c>
      <c r="D342" s="4">
        <v>22074</v>
      </c>
      <c r="E342" t="s">
        <v>68</v>
      </c>
      <c r="F342" s="4">
        <v>5760</v>
      </c>
      <c r="G342">
        <v>74</v>
      </c>
      <c r="H342">
        <v>0.9</v>
      </c>
      <c r="I342">
        <v>0.66370939849939059</v>
      </c>
      <c r="J342">
        <v>0</v>
      </c>
      <c r="M342" s="5"/>
      <c r="S342" t="str">
        <f t="shared" si="64"/>
        <v/>
      </c>
    </row>
    <row r="343" spans="1:19" x14ac:dyDescent="0.3">
      <c r="A343" t="str">
        <f t="shared" si="63"/>
        <v>HH338</v>
      </c>
      <c r="B343" t="s">
        <v>65</v>
      </c>
      <c r="C343">
        <v>8</v>
      </c>
      <c r="D343" s="4">
        <v>29418</v>
      </c>
      <c r="E343" t="s">
        <v>67</v>
      </c>
      <c r="F343" s="4">
        <v>5020</v>
      </c>
      <c r="G343">
        <v>110</v>
      </c>
      <c r="H343">
        <v>6.2</v>
      </c>
      <c r="I343">
        <v>0.62626107657938768</v>
      </c>
      <c r="J343">
        <v>0</v>
      </c>
      <c r="M343" s="5"/>
      <c r="S343" t="str">
        <f t="shared" si="64"/>
        <v/>
      </c>
    </row>
    <row r="344" spans="1:19" x14ac:dyDescent="0.3">
      <c r="A344" t="str">
        <f t="shared" si="63"/>
        <v>HH339</v>
      </c>
      <c r="B344" t="s">
        <v>65</v>
      </c>
      <c r="C344">
        <v>5</v>
      </c>
      <c r="D344" s="4">
        <v>17342</v>
      </c>
      <c r="E344" t="s">
        <v>66</v>
      </c>
      <c r="F344" s="4">
        <v>4842</v>
      </c>
      <c r="G344">
        <v>98</v>
      </c>
      <c r="H344">
        <v>1.5</v>
      </c>
      <c r="I344">
        <v>0.31433050815456487</v>
      </c>
      <c r="J344">
        <v>0</v>
      </c>
      <c r="M344" s="5"/>
      <c r="S344" t="str">
        <f t="shared" si="64"/>
        <v/>
      </c>
    </row>
    <row r="345" spans="1:19" x14ac:dyDescent="0.3">
      <c r="A345" t="str">
        <f t="shared" si="63"/>
        <v>HH340</v>
      </c>
      <c r="B345" t="s">
        <v>62</v>
      </c>
      <c r="C345">
        <v>5</v>
      </c>
      <c r="D345" s="4">
        <v>23752</v>
      </c>
      <c r="E345" t="s">
        <v>67</v>
      </c>
      <c r="F345" s="4">
        <v>5249</v>
      </c>
      <c r="G345">
        <v>93</v>
      </c>
      <c r="H345">
        <v>10.6</v>
      </c>
      <c r="I345">
        <v>0.77966432234490812</v>
      </c>
      <c r="J345">
        <v>0</v>
      </c>
      <c r="M345" s="5"/>
      <c r="S345" t="str">
        <f t="shared" si="64"/>
        <v/>
      </c>
    </row>
    <row r="346" spans="1:19" x14ac:dyDescent="0.3">
      <c r="A346" t="str">
        <f t="shared" si="63"/>
        <v>HH341</v>
      </c>
      <c r="B346" t="s">
        <v>63</v>
      </c>
      <c r="C346">
        <v>8</v>
      </c>
      <c r="D346" s="4">
        <v>23333</v>
      </c>
      <c r="E346" t="s">
        <v>69</v>
      </c>
      <c r="F346" s="4">
        <v>4930</v>
      </c>
      <c r="G346">
        <v>100</v>
      </c>
      <c r="H346">
        <v>7.9</v>
      </c>
      <c r="I346">
        <v>0.68276322260526134</v>
      </c>
      <c r="J346">
        <v>0</v>
      </c>
      <c r="M346" s="5"/>
      <c r="S346" t="str">
        <f t="shared" si="64"/>
        <v/>
      </c>
    </row>
    <row r="347" spans="1:19" x14ac:dyDescent="0.3">
      <c r="A347" t="str">
        <f t="shared" si="63"/>
        <v>HH342</v>
      </c>
      <c r="B347" t="s">
        <v>62</v>
      </c>
      <c r="C347">
        <v>8</v>
      </c>
      <c r="D347" s="4">
        <v>13803</v>
      </c>
      <c r="E347" t="s">
        <v>66</v>
      </c>
      <c r="F347" s="4">
        <v>5220</v>
      </c>
      <c r="G347">
        <v>55</v>
      </c>
      <c r="H347">
        <v>12.9</v>
      </c>
      <c r="I347">
        <v>5.3657909638612944E-2</v>
      </c>
      <c r="J347">
        <v>0</v>
      </c>
      <c r="M347" s="5"/>
      <c r="S347" t="str">
        <f t="shared" si="64"/>
        <v/>
      </c>
    </row>
    <row r="348" spans="1:19" x14ac:dyDescent="0.3">
      <c r="A348" t="str">
        <f t="shared" si="63"/>
        <v>HH343</v>
      </c>
      <c r="B348" t="s">
        <v>65</v>
      </c>
      <c r="C348">
        <v>6</v>
      </c>
      <c r="D348" s="4">
        <v>31238</v>
      </c>
      <c r="E348" t="s">
        <v>68</v>
      </c>
      <c r="F348" s="4">
        <v>6086</v>
      </c>
      <c r="G348">
        <v>79</v>
      </c>
      <c r="H348">
        <v>2.4</v>
      </c>
      <c r="I348">
        <v>0.32407132901001956</v>
      </c>
      <c r="J348">
        <v>0</v>
      </c>
      <c r="M348" s="5"/>
      <c r="S348" t="str">
        <f t="shared" si="64"/>
        <v/>
      </c>
    </row>
    <row r="349" spans="1:19" x14ac:dyDescent="0.3">
      <c r="A349" t="str">
        <f t="shared" si="63"/>
        <v>HH344</v>
      </c>
      <c r="B349" t="s">
        <v>63</v>
      </c>
      <c r="C349">
        <v>3</v>
      </c>
      <c r="D349" s="4">
        <v>37224</v>
      </c>
      <c r="E349" t="s">
        <v>68</v>
      </c>
      <c r="F349" s="4">
        <v>3735</v>
      </c>
      <c r="G349">
        <v>28</v>
      </c>
      <c r="H349">
        <v>4.5999999999999996</v>
      </c>
      <c r="I349">
        <v>0.94544445743582739</v>
      </c>
      <c r="J349">
        <v>0</v>
      </c>
      <c r="M349" s="5"/>
      <c r="S349" t="str">
        <f t="shared" si="64"/>
        <v/>
      </c>
    </row>
    <row r="350" spans="1:19" x14ac:dyDescent="0.3">
      <c r="A350" t="str">
        <f t="shared" si="63"/>
        <v>HH345</v>
      </c>
      <c r="B350" t="s">
        <v>62</v>
      </c>
      <c r="C350">
        <v>8</v>
      </c>
      <c r="D350" s="4">
        <v>23441</v>
      </c>
      <c r="E350" t="s">
        <v>66</v>
      </c>
      <c r="F350" s="4">
        <v>5305</v>
      </c>
      <c r="G350">
        <v>95</v>
      </c>
      <c r="H350">
        <v>1.9</v>
      </c>
      <c r="I350">
        <v>0.14005493289039994</v>
      </c>
      <c r="J350">
        <v>0</v>
      </c>
      <c r="M350" s="5"/>
      <c r="S350" t="str">
        <f t="shared" si="64"/>
        <v/>
      </c>
    </row>
    <row r="351" spans="1:19" x14ac:dyDescent="0.3">
      <c r="A351" t="str">
        <f t="shared" si="63"/>
        <v>HH346</v>
      </c>
      <c r="B351" t="s">
        <v>62</v>
      </c>
      <c r="C351">
        <v>2</v>
      </c>
      <c r="D351" s="4">
        <v>19922</v>
      </c>
      <c r="E351" t="s">
        <v>68</v>
      </c>
      <c r="F351" s="4">
        <v>4208</v>
      </c>
      <c r="G351">
        <v>98</v>
      </c>
      <c r="H351">
        <v>11.5</v>
      </c>
      <c r="I351">
        <v>0.76976155241854149</v>
      </c>
      <c r="J351">
        <v>0</v>
      </c>
      <c r="M351" s="5"/>
      <c r="S351" t="str">
        <f t="shared" si="64"/>
        <v/>
      </c>
    </row>
    <row r="352" spans="1:19" x14ac:dyDescent="0.3">
      <c r="A352" t="str">
        <f t="shared" si="63"/>
        <v>HH347</v>
      </c>
      <c r="B352" t="s">
        <v>64</v>
      </c>
      <c r="C352">
        <v>2</v>
      </c>
      <c r="D352" s="4">
        <v>17220</v>
      </c>
      <c r="E352" t="s">
        <v>68</v>
      </c>
      <c r="F352" s="4">
        <v>2893</v>
      </c>
      <c r="G352">
        <v>103</v>
      </c>
      <c r="H352">
        <v>7.9</v>
      </c>
      <c r="I352">
        <v>0.92148572261003059</v>
      </c>
      <c r="J352">
        <v>0</v>
      </c>
      <c r="M352" s="5"/>
      <c r="S352" t="str">
        <f t="shared" si="64"/>
        <v/>
      </c>
    </row>
    <row r="353" spans="1:19" x14ac:dyDescent="0.3">
      <c r="A353" t="str">
        <f t="shared" si="63"/>
        <v>HH348</v>
      </c>
      <c r="B353" t="s">
        <v>65</v>
      </c>
      <c r="C353">
        <v>7</v>
      </c>
      <c r="D353" s="4">
        <v>24705</v>
      </c>
      <c r="E353" t="s">
        <v>68</v>
      </c>
      <c r="F353" s="4">
        <v>6624</v>
      </c>
      <c r="G353">
        <v>33</v>
      </c>
      <c r="H353">
        <v>3.4</v>
      </c>
      <c r="I353">
        <v>0.46019708246707935</v>
      </c>
      <c r="J353">
        <v>0</v>
      </c>
      <c r="M353" s="5"/>
      <c r="S353" t="str">
        <f t="shared" si="64"/>
        <v/>
      </c>
    </row>
    <row r="354" spans="1:19" x14ac:dyDescent="0.3">
      <c r="A354" t="str">
        <f t="shared" si="63"/>
        <v>HH349</v>
      </c>
      <c r="B354" t="s">
        <v>65</v>
      </c>
      <c r="C354">
        <v>7</v>
      </c>
      <c r="D354" s="4">
        <v>16006</v>
      </c>
      <c r="E354" t="s">
        <v>67</v>
      </c>
      <c r="F354" s="4">
        <v>5727</v>
      </c>
      <c r="G354">
        <v>60</v>
      </c>
      <c r="H354">
        <v>5.6</v>
      </c>
      <c r="I354">
        <v>0.84024403002567716</v>
      </c>
      <c r="J354">
        <v>0</v>
      </c>
      <c r="M354" s="5"/>
      <c r="S354" t="str">
        <f t="shared" si="64"/>
        <v/>
      </c>
    </row>
    <row r="355" spans="1:19" x14ac:dyDescent="0.3">
      <c r="A355" t="str">
        <f t="shared" si="63"/>
        <v>HH350</v>
      </c>
      <c r="B355" t="s">
        <v>63</v>
      </c>
      <c r="C355">
        <v>4</v>
      </c>
      <c r="D355" s="4">
        <v>19913</v>
      </c>
      <c r="E355" t="s">
        <v>66</v>
      </c>
      <c r="F355" s="4">
        <v>4740</v>
      </c>
      <c r="G355">
        <v>69</v>
      </c>
      <c r="H355">
        <v>4.8</v>
      </c>
      <c r="I355">
        <v>0.68106213790238612</v>
      </c>
      <c r="J355">
        <v>0</v>
      </c>
      <c r="M355" s="5"/>
      <c r="S355" t="str">
        <f t="shared" si="64"/>
        <v/>
      </c>
    </row>
    <row r="356" spans="1:19" x14ac:dyDescent="0.3">
      <c r="A356" t="str">
        <f t="shared" si="63"/>
        <v>HH351</v>
      </c>
      <c r="B356" t="s">
        <v>63</v>
      </c>
      <c r="C356">
        <v>6</v>
      </c>
      <c r="D356" s="4">
        <v>31452</v>
      </c>
      <c r="E356" t="s">
        <v>67</v>
      </c>
      <c r="F356" s="4">
        <v>5519</v>
      </c>
      <c r="G356">
        <v>23</v>
      </c>
      <c r="H356">
        <v>14.5</v>
      </c>
      <c r="I356">
        <v>0.39114612143537419</v>
      </c>
      <c r="J356">
        <v>0</v>
      </c>
      <c r="M356" s="5"/>
      <c r="S356" t="str">
        <f t="shared" si="64"/>
        <v/>
      </c>
    </row>
    <row r="357" spans="1:19" x14ac:dyDescent="0.3">
      <c r="A357" t="str">
        <f t="shared" si="63"/>
        <v>HH352</v>
      </c>
      <c r="B357" t="s">
        <v>63</v>
      </c>
      <c r="C357">
        <v>3</v>
      </c>
      <c r="D357" s="4">
        <v>34961</v>
      </c>
      <c r="E357" t="s">
        <v>69</v>
      </c>
      <c r="F357" s="4">
        <v>3416</v>
      </c>
      <c r="G357">
        <v>38</v>
      </c>
      <c r="H357">
        <v>6.9</v>
      </c>
      <c r="I357">
        <v>0.75222691005600451</v>
      </c>
      <c r="J357">
        <v>0</v>
      </c>
      <c r="M357" s="5"/>
      <c r="S357" t="str">
        <f t="shared" si="64"/>
        <v/>
      </c>
    </row>
    <row r="358" spans="1:19" x14ac:dyDescent="0.3">
      <c r="A358" t="str">
        <f t="shared" si="63"/>
        <v>HH353</v>
      </c>
      <c r="B358" t="s">
        <v>63</v>
      </c>
      <c r="C358">
        <v>6</v>
      </c>
      <c r="D358" s="4">
        <v>34741</v>
      </c>
      <c r="E358" t="s">
        <v>68</v>
      </c>
      <c r="F358" s="4">
        <v>5460</v>
      </c>
      <c r="G358">
        <v>22</v>
      </c>
      <c r="H358">
        <v>11.9</v>
      </c>
      <c r="I358">
        <v>0.46313360843080176</v>
      </c>
      <c r="J358">
        <v>0</v>
      </c>
      <c r="M358" s="5"/>
      <c r="S358" t="str">
        <f t="shared" si="64"/>
        <v/>
      </c>
    </row>
    <row r="359" spans="1:19" x14ac:dyDescent="0.3">
      <c r="A359" t="str">
        <f t="shared" si="63"/>
        <v>HH354</v>
      </c>
      <c r="B359" t="s">
        <v>65</v>
      </c>
      <c r="C359">
        <v>3</v>
      </c>
      <c r="D359" s="4">
        <v>25366</v>
      </c>
      <c r="E359" t="s">
        <v>67</v>
      </c>
      <c r="F359" s="4">
        <v>4375</v>
      </c>
      <c r="G359">
        <v>62</v>
      </c>
      <c r="H359">
        <v>7.6</v>
      </c>
      <c r="I359">
        <v>0.91244392956248244</v>
      </c>
      <c r="J359">
        <v>0</v>
      </c>
      <c r="M359" s="5"/>
      <c r="S359" t="str">
        <f t="shared" si="64"/>
        <v/>
      </c>
    </row>
    <row r="360" spans="1:19" x14ac:dyDescent="0.3">
      <c r="A360" t="str">
        <f t="shared" si="63"/>
        <v>HH355</v>
      </c>
      <c r="B360" t="s">
        <v>64</v>
      </c>
      <c r="C360">
        <v>8</v>
      </c>
      <c r="D360" s="4">
        <v>24105</v>
      </c>
      <c r="E360" t="s">
        <v>68</v>
      </c>
      <c r="F360" s="4">
        <v>5442</v>
      </c>
      <c r="G360">
        <v>66</v>
      </c>
      <c r="H360">
        <v>11.1</v>
      </c>
      <c r="I360">
        <v>0.79518130887116789</v>
      </c>
      <c r="J360">
        <v>0</v>
      </c>
      <c r="M360" s="5"/>
      <c r="S360" t="str">
        <f t="shared" si="64"/>
        <v/>
      </c>
    </row>
    <row r="361" spans="1:19" x14ac:dyDescent="0.3">
      <c r="A361" t="str">
        <f t="shared" si="63"/>
        <v>HH356</v>
      </c>
      <c r="B361" t="s">
        <v>63</v>
      </c>
      <c r="C361">
        <v>7</v>
      </c>
      <c r="D361" s="4">
        <v>24511</v>
      </c>
      <c r="E361" t="s">
        <v>69</v>
      </c>
      <c r="F361" s="4">
        <v>4511</v>
      </c>
      <c r="G361">
        <v>37</v>
      </c>
      <c r="H361">
        <v>8.3000000000000007</v>
      </c>
      <c r="I361">
        <v>0.6580264386760325</v>
      </c>
      <c r="J361">
        <v>0</v>
      </c>
      <c r="M361" s="5"/>
      <c r="S361" t="str">
        <f t="shared" si="64"/>
        <v/>
      </c>
    </row>
    <row r="362" spans="1:19" x14ac:dyDescent="0.3">
      <c r="A362" t="str">
        <f t="shared" si="63"/>
        <v>HH357</v>
      </c>
      <c r="B362" t="s">
        <v>63</v>
      </c>
      <c r="C362">
        <v>8</v>
      </c>
      <c r="D362" s="4">
        <v>41733</v>
      </c>
      <c r="E362" t="s">
        <v>69</v>
      </c>
      <c r="F362" s="4">
        <v>5789</v>
      </c>
      <c r="G362">
        <v>60</v>
      </c>
      <c r="H362">
        <v>7.4</v>
      </c>
      <c r="I362">
        <v>0.87935260951844396</v>
      </c>
      <c r="J362">
        <v>0</v>
      </c>
      <c r="M362" s="5"/>
      <c r="S362" t="str">
        <f t="shared" si="64"/>
        <v/>
      </c>
    </row>
    <row r="363" spans="1:19" x14ac:dyDescent="0.3">
      <c r="A363" t="str">
        <f t="shared" si="63"/>
        <v>HH358</v>
      </c>
      <c r="B363" t="s">
        <v>64</v>
      </c>
      <c r="C363">
        <v>8</v>
      </c>
      <c r="D363" s="4">
        <v>24973</v>
      </c>
      <c r="E363" t="s">
        <v>68</v>
      </c>
      <c r="F363" s="4">
        <v>6839</v>
      </c>
      <c r="G363">
        <v>104</v>
      </c>
      <c r="H363">
        <v>5.0999999999999996</v>
      </c>
      <c r="I363">
        <v>0.36759197061092219</v>
      </c>
      <c r="J363">
        <v>0</v>
      </c>
      <c r="M363" s="5"/>
      <c r="S363" t="str">
        <f t="shared" si="64"/>
        <v/>
      </c>
    </row>
    <row r="364" spans="1:19" x14ac:dyDescent="0.3">
      <c r="A364" t="str">
        <f t="shared" si="63"/>
        <v>HH359</v>
      </c>
      <c r="B364" t="s">
        <v>65</v>
      </c>
      <c r="C364">
        <v>3</v>
      </c>
      <c r="D364" s="4">
        <v>31597</v>
      </c>
      <c r="E364" t="s">
        <v>68</v>
      </c>
      <c r="F364" s="4">
        <v>3708</v>
      </c>
      <c r="G364">
        <v>59</v>
      </c>
      <c r="H364">
        <v>6.9</v>
      </c>
      <c r="I364">
        <v>0.50797439105171516</v>
      </c>
      <c r="J364">
        <v>0</v>
      </c>
      <c r="M364" s="5"/>
      <c r="S364" t="str">
        <f t="shared" si="64"/>
        <v/>
      </c>
    </row>
    <row r="365" spans="1:19" x14ac:dyDescent="0.3">
      <c r="A365" t="str">
        <f t="shared" si="63"/>
        <v>HH360</v>
      </c>
      <c r="B365" t="s">
        <v>62</v>
      </c>
      <c r="C365">
        <v>3</v>
      </c>
      <c r="D365" s="4">
        <v>25429</v>
      </c>
      <c r="E365" t="s">
        <v>68</v>
      </c>
      <c r="F365" s="4">
        <v>4545</v>
      </c>
      <c r="G365">
        <v>94</v>
      </c>
      <c r="H365">
        <v>1.4</v>
      </c>
      <c r="I365">
        <v>0.64308477463066904</v>
      </c>
      <c r="J365">
        <v>0</v>
      </c>
      <c r="M365" s="5"/>
      <c r="S365" t="str">
        <f t="shared" si="64"/>
        <v/>
      </c>
    </row>
    <row r="366" spans="1:19" x14ac:dyDescent="0.3">
      <c r="A366" t="str">
        <f t="shared" si="63"/>
        <v>HH361</v>
      </c>
      <c r="B366" t="s">
        <v>65</v>
      </c>
      <c r="C366">
        <v>2</v>
      </c>
      <c r="D366" s="4">
        <v>36595</v>
      </c>
      <c r="E366" t="s">
        <v>68</v>
      </c>
      <c r="F366" s="4">
        <v>3420</v>
      </c>
      <c r="G366">
        <v>43</v>
      </c>
      <c r="H366">
        <v>9.1999999999999993</v>
      </c>
      <c r="I366">
        <v>0.75039565395259733</v>
      </c>
      <c r="J366">
        <v>0</v>
      </c>
      <c r="M366" s="5"/>
      <c r="S366" t="str">
        <f t="shared" si="64"/>
        <v/>
      </c>
    </row>
    <row r="367" spans="1:19" x14ac:dyDescent="0.3">
      <c r="A367" t="str">
        <f t="shared" si="63"/>
        <v>HH362</v>
      </c>
      <c r="B367" t="s">
        <v>65</v>
      </c>
      <c r="C367">
        <v>8</v>
      </c>
      <c r="D367" s="4">
        <v>21640</v>
      </c>
      <c r="E367" t="s">
        <v>68</v>
      </c>
      <c r="F367" s="4">
        <v>4974</v>
      </c>
      <c r="G367">
        <v>36</v>
      </c>
      <c r="H367">
        <v>8</v>
      </c>
      <c r="I367">
        <v>0.175491996458779</v>
      </c>
      <c r="J367">
        <v>0</v>
      </c>
      <c r="M367" s="5"/>
      <c r="S367" t="str">
        <f t="shared" si="64"/>
        <v/>
      </c>
    </row>
    <row r="368" spans="1:19" x14ac:dyDescent="0.3">
      <c r="A368" t="str">
        <f t="shared" si="63"/>
        <v>HH363</v>
      </c>
      <c r="B368" t="s">
        <v>65</v>
      </c>
      <c r="C368">
        <v>2</v>
      </c>
      <c r="D368" s="4">
        <v>29454</v>
      </c>
      <c r="E368" t="s">
        <v>67</v>
      </c>
      <c r="F368" s="4">
        <v>2817</v>
      </c>
      <c r="G368">
        <v>58</v>
      </c>
      <c r="H368">
        <v>1.3</v>
      </c>
      <c r="I368">
        <v>0.79724967329016538</v>
      </c>
      <c r="J368">
        <v>0</v>
      </c>
      <c r="M368" s="5"/>
      <c r="S368" t="str">
        <f t="shared" si="64"/>
        <v/>
      </c>
    </row>
    <row r="369" spans="1:19" x14ac:dyDescent="0.3">
      <c r="A369" t="str">
        <f t="shared" si="63"/>
        <v>HH364</v>
      </c>
      <c r="B369" t="s">
        <v>64</v>
      </c>
      <c r="C369">
        <v>2</v>
      </c>
      <c r="D369" s="4">
        <v>30302</v>
      </c>
      <c r="E369" t="s">
        <v>68</v>
      </c>
      <c r="F369" s="4">
        <v>4738</v>
      </c>
      <c r="G369">
        <v>58</v>
      </c>
      <c r="H369">
        <v>10.9</v>
      </c>
      <c r="I369">
        <v>0.72443189588498247</v>
      </c>
      <c r="J369">
        <v>0</v>
      </c>
      <c r="M369" s="5"/>
      <c r="S369" t="str">
        <f t="shared" si="64"/>
        <v/>
      </c>
    </row>
    <row r="370" spans="1:19" x14ac:dyDescent="0.3">
      <c r="A370" t="str">
        <f t="shared" si="63"/>
        <v>HH365</v>
      </c>
      <c r="B370" t="s">
        <v>62</v>
      </c>
      <c r="C370">
        <v>5</v>
      </c>
      <c r="D370" s="4">
        <v>24231</v>
      </c>
      <c r="E370" t="s">
        <v>68</v>
      </c>
      <c r="F370" s="4">
        <v>5108</v>
      </c>
      <c r="G370">
        <v>114</v>
      </c>
      <c r="H370">
        <v>10.5</v>
      </c>
      <c r="I370">
        <v>0.38577430016487113</v>
      </c>
      <c r="J370">
        <v>0</v>
      </c>
      <c r="M370" s="5"/>
      <c r="S370" t="str">
        <f t="shared" si="64"/>
        <v/>
      </c>
    </row>
    <row r="371" spans="1:19" x14ac:dyDescent="0.3">
      <c r="A371" t="str">
        <f t="shared" si="63"/>
        <v>HH366</v>
      </c>
      <c r="B371" t="s">
        <v>63</v>
      </c>
      <c r="C371">
        <v>6</v>
      </c>
      <c r="D371" s="4">
        <v>24666</v>
      </c>
      <c r="E371" t="s">
        <v>67</v>
      </c>
      <c r="F371" s="4">
        <v>4742</v>
      </c>
      <c r="G371">
        <v>108</v>
      </c>
      <c r="H371">
        <v>7.3</v>
      </c>
      <c r="I371">
        <v>0.84767539726833607</v>
      </c>
      <c r="J371">
        <v>0</v>
      </c>
      <c r="M371" s="5"/>
      <c r="S371" t="str">
        <f t="shared" si="64"/>
        <v/>
      </c>
    </row>
    <row r="372" spans="1:19" x14ac:dyDescent="0.3">
      <c r="A372" t="str">
        <f t="shared" si="63"/>
        <v>HH367</v>
      </c>
      <c r="B372" t="s">
        <v>64</v>
      </c>
      <c r="C372">
        <v>8</v>
      </c>
      <c r="D372" s="4">
        <v>31857</v>
      </c>
      <c r="E372" t="s">
        <v>69</v>
      </c>
      <c r="F372" s="4">
        <v>7038</v>
      </c>
      <c r="G372">
        <v>108</v>
      </c>
      <c r="H372">
        <v>1.7</v>
      </c>
      <c r="I372">
        <v>0.88507150032292681</v>
      </c>
      <c r="J372">
        <v>0</v>
      </c>
      <c r="M372" s="5"/>
      <c r="S372" t="str">
        <f t="shared" si="64"/>
        <v/>
      </c>
    </row>
    <row r="373" spans="1:19" x14ac:dyDescent="0.3">
      <c r="A373" t="str">
        <f t="shared" si="63"/>
        <v>HH368</v>
      </c>
      <c r="B373" t="s">
        <v>62</v>
      </c>
      <c r="C373">
        <v>6</v>
      </c>
      <c r="D373" s="4">
        <v>32702</v>
      </c>
      <c r="E373" t="s">
        <v>68</v>
      </c>
      <c r="F373" s="4">
        <v>4108</v>
      </c>
      <c r="G373">
        <v>20</v>
      </c>
      <c r="H373">
        <v>2.6</v>
      </c>
      <c r="I373">
        <v>0.17068213785322828</v>
      </c>
      <c r="J373">
        <v>0</v>
      </c>
      <c r="M373" s="5"/>
      <c r="S373" t="str">
        <f t="shared" si="64"/>
        <v/>
      </c>
    </row>
    <row r="374" spans="1:19" x14ac:dyDescent="0.3">
      <c r="A374" t="str">
        <f t="shared" si="63"/>
        <v>HH369</v>
      </c>
      <c r="B374" t="s">
        <v>64</v>
      </c>
      <c r="C374">
        <v>5</v>
      </c>
      <c r="D374" s="4">
        <v>30671</v>
      </c>
      <c r="E374" t="s">
        <v>66</v>
      </c>
      <c r="F374" s="4">
        <v>5756</v>
      </c>
      <c r="G374">
        <v>32</v>
      </c>
      <c r="H374">
        <v>10.9</v>
      </c>
      <c r="I374">
        <v>0.62063507109185889</v>
      </c>
      <c r="J374">
        <v>0</v>
      </c>
      <c r="M374" s="5"/>
      <c r="S374" t="str">
        <f t="shared" si="64"/>
        <v/>
      </c>
    </row>
    <row r="375" spans="1:19" x14ac:dyDescent="0.3">
      <c r="A375" t="str">
        <f t="shared" si="63"/>
        <v>HH370</v>
      </c>
      <c r="B375" t="s">
        <v>62</v>
      </c>
      <c r="C375">
        <v>4</v>
      </c>
      <c r="D375" s="4">
        <v>34453</v>
      </c>
      <c r="E375" t="s">
        <v>66</v>
      </c>
      <c r="F375" s="4">
        <v>3453</v>
      </c>
      <c r="G375">
        <v>47</v>
      </c>
      <c r="H375">
        <v>6.7</v>
      </c>
      <c r="I375">
        <v>0.45838908396596356</v>
      </c>
      <c r="J375">
        <v>0</v>
      </c>
      <c r="M375" s="5"/>
      <c r="S375" t="str">
        <f t="shared" si="64"/>
        <v/>
      </c>
    </row>
    <row r="376" spans="1:19" x14ac:dyDescent="0.3">
      <c r="A376" t="str">
        <f t="shared" si="63"/>
        <v>HH371</v>
      </c>
      <c r="B376" t="s">
        <v>63</v>
      </c>
      <c r="C376">
        <v>5</v>
      </c>
      <c r="D376" s="4">
        <v>27599</v>
      </c>
      <c r="E376" t="s">
        <v>67</v>
      </c>
      <c r="F376" s="4">
        <v>5991</v>
      </c>
      <c r="G376">
        <v>94</v>
      </c>
      <c r="H376">
        <v>8.5</v>
      </c>
      <c r="I376">
        <v>0.99960509184308943</v>
      </c>
      <c r="J376">
        <v>0</v>
      </c>
      <c r="M376" s="5"/>
      <c r="S376" t="str">
        <f t="shared" si="64"/>
        <v/>
      </c>
    </row>
    <row r="377" spans="1:19" x14ac:dyDescent="0.3">
      <c r="A377" t="str">
        <f t="shared" si="63"/>
        <v>HH372</v>
      </c>
      <c r="B377" t="s">
        <v>62</v>
      </c>
      <c r="C377">
        <v>4</v>
      </c>
      <c r="D377" s="4">
        <v>33488</v>
      </c>
      <c r="E377" t="s">
        <v>68</v>
      </c>
      <c r="F377" s="4">
        <v>4038</v>
      </c>
      <c r="G377">
        <v>95</v>
      </c>
      <c r="H377">
        <v>11.8</v>
      </c>
      <c r="I377">
        <v>0.25836422742399834</v>
      </c>
      <c r="J377">
        <v>0</v>
      </c>
      <c r="M377" s="5"/>
      <c r="S377" t="str">
        <f t="shared" si="64"/>
        <v/>
      </c>
    </row>
    <row r="378" spans="1:19" x14ac:dyDescent="0.3">
      <c r="A378" t="str">
        <f t="shared" si="63"/>
        <v>HH373</v>
      </c>
      <c r="B378" t="s">
        <v>63</v>
      </c>
      <c r="C378">
        <v>8</v>
      </c>
      <c r="D378" s="4">
        <v>25608</v>
      </c>
      <c r="E378" t="s">
        <v>69</v>
      </c>
      <c r="F378" s="4">
        <v>6201</v>
      </c>
      <c r="G378">
        <v>83</v>
      </c>
      <c r="H378">
        <v>13.5</v>
      </c>
      <c r="I378">
        <v>0.71621643218651976</v>
      </c>
      <c r="J378">
        <v>0</v>
      </c>
      <c r="M378" s="5"/>
      <c r="S378" t="str">
        <f t="shared" si="64"/>
        <v/>
      </c>
    </row>
    <row r="379" spans="1:19" x14ac:dyDescent="0.3">
      <c r="A379" t="str">
        <f t="shared" si="63"/>
        <v>HH374</v>
      </c>
      <c r="B379" t="s">
        <v>63</v>
      </c>
      <c r="C379">
        <v>2</v>
      </c>
      <c r="D379" s="4">
        <v>25277</v>
      </c>
      <c r="E379" t="s">
        <v>68</v>
      </c>
      <c r="F379" s="4">
        <v>2984</v>
      </c>
      <c r="G379">
        <v>81</v>
      </c>
      <c r="H379">
        <v>10.8</v>
      </c>
      <c r="I379">
        <v>0.14064468438986022</v>
      </c>
      <c r="J379">
        <v>0</v>
      </c>
      <c r="M379" s="5"/>
      <c r="S379" t="str">
        <f t="shared" si="64"/>
        <v/>
      </c>
    </row>
    <row r="380" spans="1:19" x14ac:dyDescent="0.3">
      <c r="A380" t="str">
        <f t="shared" si="63"/>
        <v>HH375</v>
      </c>
      <c r="B380" t="s">
        <v>65</v>
      </c>
      <c r="C380">
        <v>3</v>
      </c>
      <c r="D380" s="4">
        <v>35834</v>
      </c>
      <c r="E380" t="s">
        <v>69</v>
      </c>
      <c r="F380" s="4">
        <v>3587</v>
      </c>
      <c r="G380">
        <v>20</v>
      </c>
      <c r="H380">
        <v>13.9</v>
      </c>
      <c r="I380">
        <v>0.27632688285840434</v>
      </c>
      <c r="J380">
        <v>0</v>
      </c>
      <c r="M380" s="5"/>
      <c r="S380" t="str">
        <f t="shared" si="64"/>
        <v/>
      </c>
    </row>
    <row r="381" spans="1:19" x14ac:dyDescent="0.3">
      <c r="A381" t="str">
        <f t="shared" si="63"/>
        <v>HH376</v>
      </c>
      <c r="B381" t="s">
        <v>63</v>
      </c>
      <c r="C381">
        <v>3</v>
      </c>
      <c r="D381" s="4">
        <v>24981</v>
      </c>
      <c r="E381" t="s">
        <v>68</v>
      </c>
      <c r="F381" s="4">
        <v>4934</v>
      </c>
      <c r="G381">
        <v>59</v>
      </c>
      <c r="H381">
        <v>0.6</v>
      </c>
      <c r="I381">
        <v>0.37704602565875456</v>
      </c>
      <c r="J381">
        <v>0</v>
      </c>
      <c r="M381" s="5"/>
      <c r="S381" t="str">
        <f t="shared" si="64"/>
        <v/>
      </c>
    </row>
    <row r="382" spans="1:19" x14ac:dyDescent="0.3">
      <c r="A382" t="str">
        <f t="shared" si="63"/>
        <v>HH377</v>
      </c>
      <c r="B382" t="s">
        <v>65</v>
      </c>
      <c r="C382">
        <v>4</v>
      </c>
      <c r="D382" s="4">
        <v>14836</v>
      </c>
      <c r="E382" t="s">
        <v>67</v>
      </c>
      <c r="F382" s="4">
        <v>4744</v>
      </c>
      <c r="G382">
        <v>88</v>
      </c>
      <c r="H382">
        <v>8</v>
      </c>
      <c r="I382">
        <v>0.18650350865016674</v>
      </c>
      <c r="J382">
        <v>0</v>
      </c>
      <c r="M382" s="5"/>
      <c r="S382" t="str">
        <f t="shared" si="64"/>
        <v/>
      </c>
    </row>
    <row r="383" spans="1:19" x14ac:dyDescent="0.3">
      <c r="A383" t="str">
        <f t="shared" si="63"/>
        <v>HH378</v>
      </c>
      <c r="B383" t="s">
        <v>64</v>
      </c>
      <c r="C383">
        <v>6</v>
      </c>
      <c r="D383" s="4">
        <v>27866</v>
      </c>
      <c r="E383" t="s">
        <v>68</v>
      </c>
      <c r="F383" s="4">
        <v>4292</v>
      </c>
      <c r="G383">
        <v>111</v>
      </c>
      <c r="H383">
        <v>6.3</v>
      </c>
      <c r="I383">
        <v>0.64940187108980452</v>
      </c>
      <c r="J383">
        <v>0</v>
      </c>
      <c r="M383" s="5"/>
      <c r="S383" t="str">
        <f t="shared" si="64"/>
        <v/>
      </c>
    </row>
    <row r="384" spans="1:19" x14ac:dyDescent="0.3">
      <c r="A384" t="str">
        <f t="shared" si="63"/>
        <v>HH379</v>
      </c>
      <c r="B384" t="s">
        <v>65</v>
      </c>
      <c r="C384">
        <v>5</v>
      </c>
      <c r="D384" s="4">
        <v>27063</v>
      </c>
      <c r="E384" t="s">
        <v>67</v>
      </c>
      <c r="F384" s="4">
        <v>5991</v>
      </c>
      <c r="G384">
        <v>62</v>
      </c>
      <c r="H384">
        <v>7</v>
      </c>
      <c r="I384">
        <v>0.8600682967201948</v>
      </c>
      <c r="J384">
        <v>0</v>
      </c>
      <c r="M384" s="5"/>
      <c r="S384" t="str">
        <f t="shared" si="64"/>
        <v/>
      </c>
    </row>
    <row r="385" spans="1:19" x14ac:dyDescent="0.3">
      <c r="A385" t="str">
        <f t="shared" si="63"/>
        <v>HH380</v>
      </c>
      <c r="B385" t="s">
        <v>63</v>
      </c>
      <c r="C385">
        <v>4</v>
      </c>
      <c r="D385" s="4">
        <v>18455</v>
      </c>
      <c r="E385" t="s">
        <v>69</v>
      </c>
      <c r="F385" s="4">
        <v>3817</v>
      </c>
      <c r="G385">
        <v>75</v>
      </c>
      <c r="H385">
        <v>14.2</v>
      </c>
      <c r="I385">
        <v>0.41128794918800604</v>
      </c>
      <c r="J385">
        <v>0</v>
      </c>
      <c r="M385" s="5"/>
      <c r="S385" t="str">
        <f t="shared" si="64"/>
        <v/>
      </c>
    </row>
    <row r="386" spans="1:19" x14ac:dyDescent="0.3">
      <c r="A386" t="str">
        <f t="shared" si="63"/>
        <v>HH381</v>
      </c>
      <c r="B386" t="s">
        <v>62</v>
      </c>
      <c r="C386">
        <v>2</v>
      </c>
      <c r="D386" s="4">
        <v>28189</v>
      </c>
      <c r="E386" t="s">
        <v>69</v>
      </c>
      <c r="F386" s="4">
        <v>3786</v>
      </c>
      <c r="G386">
        <v>85</v>
      </c>
      <c r="H386">
        <v>1.4</v>
      </c>
      <c r="I386">
        <v>0.18931832130222948</v>
      </c>
      <c r="J386">
        <v>0</v>
      </c>
      <c r="M386" s="5"/>
      <c r="S386" t="str">
        <f t="shared" si="64"/>
        <v/>
      </c>
    </row>
    <row r="387" spans="1:19" x14ac:dyDescent="0.3">
      <c r="A387" t="str">
        <f t="shared" si="63"/>
        <v>HH382</v>
      </c>
      <c r="B387" t="s">
        <v>64</v>
      </c>
      <c r="C387">
        <v>7</v>
      </c>
      <c r="D387" s="4">
        <v>27797</v>
      </c>
      <c r="E387" t="s">
        <v>69</v>
      </c>
      <c r="F387" s="4">
        <v>4984</v>
      </c>
      <c r="G387">
        <v>112</v>
      </c>
      <c r="H387">
        <v>0.7</v>
      </c>
      <c r="I387">
        <v>0.92311700257720286</v>
      </c>
      <c r="J387">
        <v>0</v>
      </c>
      <c r="M387" s="5"/>
      <c r="S387" t="str">
        <f t="shared" si="64"/>
        <v/>
      </c>
    </row>
    <row r="388" spans="1:19" x14ac:dyDescent="0.3">
      <c r="A388" t="str">
        <f t="shared" si="63"/>
        <v>HH383</v>
      </c>
      <c r="B388" t="s">
        <v>64</v>
      </c>
      <c r="C388">
        <v>3</v>
      </c>
      <c r="D388" s="4">
        <v>14929</v>
      </c>
      <c r="E388" t="s">
        <v>67</v>
      </c>
      <c r="F388" s="4">
        <v>2736</v>
      </c>
      <c r="G388">
        <v>101</v>
      </c>
      <c r="H388">
        <v>10.7</v>
      </c>
      <c r="I388">
        <v>0.31086950513735978</v>
      </c>
      <c r="J388">
        <v>0</v>
      </c>
      <c r="M388" s="5"/>
      <c r="S388" t="str">
        <f t="shared" si="64"/>
        <v/>
      </c>
    </row>
    <row r="389" spans="1:19" x14ac:dyDescent="0.3">
      <c r="A389" t="str">
        <f t="shared" si="63"/>
        <v>HH384</v>
      </c>
      <c r="B389" t="s">
        <v>63</v>
      </c>
      <c r="C389">
        <v>6</v>
      </c>
      <c r="D389" s="4">
        <v>24055</v>
      </c>
      <c r="E389" t="s">
        <v>68</v>
      </c>
      <c r="F389" s="4">
        <v>6184</v>
      </c>
      <c r="G389">
        <v>71</v>
      </c>
      <c r="H389">
        <v>11.9</v>
      </c>
      <c r="I389">
        <v>7.8588651228976181E-2</v>
      </c>
      <c r="J389">
        <v>0</v>
      </c>
      <c r="M389" s="5"/>
      <c r="S389" t="str">
        <f t="shared" si="64"/>
        <v/>
      </c>
    </row>
    <row r="390" spans="1:19" x14ac:dyDescent="0.3">
      <c r="A390" t="str">
        <f t="shared" si="63"/>
        <v>HH385</v>
      </c>
      <c r="B390" t="s">
        <v>64</v>
      </c>
      <c r="C390">
        <v>6</v>
      </c>
      <c r="D390" s="4">
        <v>19708</v>
      </c>
      <c r="E390" t="s">
        <v>67</v>
      </c>
      <c r="F390" s="4">
        <v>6234</v>
      </c>
      <c r="G390">
        <v>75</v>
      </c>
      <c r="H390">
        <v>4.7</v>
      </c>
      <c r="I390">
        <v>0.96990643479801075</v>
      </c>
      <c r="J390">
        <v>0</v>
      </c>
      <c r="M390" s="5"/>
      <c r="S390" t="str">
        <f t="shared" si="64"/>
        <v/>
      </c>
    </row>
    <row r="391" spans="1:19" x14ac:dyDescent="0.3">
      <c r="A391" t="str">
        <f t="shared" ref="A391:A405" si="65">"HH"&amp;TEXT(ROW()-5,"000")</f>
        <v>HH386</v>
      </c>
      <c r="B391" t="s">
        <v>64</v>
      </c>
      <c r="C391">
        <v>8</v>
      </c>
      <c r="D391" s="4">
        <v>19015</v>
      </c>
      <c r="E391" t="s">
        <v>68</v>
      </c>
      <c r="F391" s="4">
        <v>6091</v>
      </c>
      <c r="G391">
        <v>98</v>
      </c>
      <c r="H391">
        <v>12.5</v>
      </c>
      <c r="I391">
        <v>0.61059789132349651</v>
      </c>
      <c r="J391">
        <v>0</v>
      </c>
      <c r="M391" s="5"/>
      <c r="S391" t="str">
        <f t="shared" ref="S391:S406" si="66">IF($J391=1,D391,"")</f>
        <v/>
      </c>
    </row>
    <row r="392" spans="1:19" x14ac:dyDescent="0.3">
      <c r="A392" t="str">
        <f t="shared" si="65"/>
        <v>HH387</v>
      </c>
      <c r="B392" t="s">
        <v>62</v>
      </c>
      <c r="C392">
        <v>5</v>
      </c>
      <c r="D392" s="4">
        <v>15908</v>
      </c>
      <c r="E392" t="s">
        <v>68</v>
      </c>
      <c r="F392" s="4">
        <v>5635</v>
      </c>
      <c r="G392">
        <v>81</v>
      </c>
      <c r="H392">
        <v>8.3000000000000007</v>
      </c>
      <c r="I392">
        <v>0.43044338424438411</v>
      </c>
      <c r="J392">
        <v>0</v>
      </c>
      <c r="M392" s="5"/>
      <c r="S392" t="str">
        <f t="shared" si="66"/>
        <v/>
      </c>
    </row>
    <row r="393" spans="1:19" x14ac:dyDescent="0.3">
      <c r="A393" t="str">
        <f t="shared" si="65"/>
        <v>HH388</v>
      </c>
      <c r="B393" t="s">
        <v>65</v>
      </c>
      <c r="C393">
        <v>4</v>
      </c>
      <c r="D393" s="4">
        <v>27691</v>
      </c>
      <c r="E393" t="s">
        <v>67</v>
      </c>
      <c r="F393" s="4">
        <v>4631</v>
      </c>
      <c r="G393">
        <v>17</v>
      </c>
      <c r="H393">
        <v>14.2</v>
      </c>
      <c r="I393">
        <v>1.8427000086513656E-2</v>
      </c>
      <c r="J393">
        <v>0</v>
      </c>
      <c r="M393" s="5"/>
      <c r="S393" t="str">
        <f t="shared" si="66"/>
        <v/>
      </c>
    </row>
    <row r="394" spans="1:19" x14ac:dyDescent="0.3">
      <c r="A394" t="str">
        <f t="shared" si="65"/>
        <v>HH389</v>
      </c>
      <c r="B394" t="s">
        <v>64</v>
      </c>
      <c r="C394">
        <v>5</v>
      </c>
      <c r="D394" s="4">
        <v>27753</v>
      </c>
      <c r="E394" t="s">
        <v>68</v>
      </c>
      <c r="F394" s="4">
        <v>4110</v>
      </c>
      <c r="G394">
        <v>93</v>
      </c>
      <c r="H394">
        <v>12.6</v>
      </c>
      <c r="I394">
        <v>0.40958176056106532</v>
      </c>
      <c r="J394">
        <v>0</v>
      </c>
      <c r="M394" s="5"/>
      <c r="S394" t="str">
        <f t="shared" si="66"/>
        <v/>
      </c>
    </row>
    <row r="395" spans="1:19" x14ac:dyDescent="0.3">
      <c r="A395" t="str">
        <f t="shared" si="65"/>
        <v>HH390</v>
      </c>
      <c r="B395" t="s">
        <v>65</v>
      </c>
      <c r="C395">
        <v>5</v>
      </c>
      <c r="D395" s="4">
        <v>22031</v>
      </c>
      <c r="E395" t="s">
        <v>67</v>
      </c>
      <c r="F395" s="4">
        <v>5690</v>
      </c>
      <c r="G395">
        <v>45</v>
      </c>
      <c r="H395">
        <v>11.9</v>
      </c>
      <c r="I395">
        <v>0.45066994647216729</v>
      </c>
      <c r="J395">
        <v>0</v>
      </c>
      <c r="M395" s="5"/>
      <c r="S395" t="str">
        <f t="shared" si="66"/>
        <v/>
      </c>
    </row>
    <row r="396" spans="1:19" x14ac:dyDescent="0.3">
      <c r="A396" t="str">
        <f t="shared" si="65"/>
        <v>HH391</v>
      </c>
      <c r="B396" t="s">
        <v>64</v>
      </c>
      <c r="C396">
        <v>4</v>
      </c>
      <c r="D396" s="4">
        <v>31551</v>
      </c>
      <c r="E396" t="s">
        <v>67</v>
      </c>
      <c r="F396" s="4">
        <v>5255</v>
      </c>
      <c r="G396">
        <v>33</v>
      </c>
      <c r="H396">
        <v>14.6</v>
      </c>
      <c r="I396">
        <v>0.86894547850412684</v>
      </c>
      <c r="J396">
        <v>0</v>
      </c>
      <c r="M396" s="5"/>
      <c r="S396" t="str">
        <f t="shared" si="66"/>
        <v/>
      </c>
    </row>
    <row r="397" spans="1:19" x14ac:dyDescent="0.3">
      <c r="A397" t="str">
        <f t="shared" si="65"/>
        <v>HH392</v>
      </c>
      <c r="B397" t="s">
        <v>64</v>
      </c>
      <c r="C397">
        <v>8</v>
      </c>
      <c r="D397" s="4">
        <v>45440</v>
      </c>
      <c r="E397" t="s">
        <v>67</v>
      </c>
      <c r="F397" s="4">
        <v>5329</v>
      </c>
      <c r="G397">
        <v>24</v>
      </c>
      <c r="H397">
        <v>14.4</v>
      </c>
      <c r="I397">
        <v>4.349379208798676E-2</v>
      </c>
      <c r="J397">
        <v>0</v>
      </c>
      <c r="M397" s="5"/>
      <c r="S397" t="str">
        <f t="shared" si="66"/>
        <v/>
      </c>
    </row>
    <row r="398" spans="1:19" x14ac:dyDescent="0.3">
      <c r="A398" t="str">
        <f t="shared" si="65"/>
        <v>HH393</v>
      </c>
      <c r="B398" t="s">
        <v>64</v>
      </c>
      <c r="C398">
        <v>7</v>
      </c>
      <c r="D398" s="4">
        <v>22377</v>
      </c>
      <c r="E398" t="s">
        <v>67</v>
      </c>
      <c r="F398" s="4">
        <v>6084</v>
      </c>
      <c r="G398">
        <v>15</v>
      </c>
      <c r="H398">
        <v>0.6</v>
      </c>
      <c r="I398">
        <v>0.30389713013608033</v>
      </c>
      <c r="J398">
        <v>0</v>
      </c>
      <c r="M398" s="5"/>
      <c r="S398" t="str">
        <f t="shared" si="66"/>
        <v/>
      </c>
    </row>
    <row r="399" spans="1:19" x14ac:dyDescent="0.3">
      <c r="A399" t="str">
        <f t="shared" si="65"/>
        <v>HH394</v>
      </c>
      <c r="B399" t="s">
        <v>65</v>
      </c>
      <c r="C399">
        <v>4</v>
      </c>
      <c r="D399" s="4">
        <v>26716</v>
      </c>
      <c r="E399" t="s">
        <v>68</v>
      </c>
      <c r="F399" s="4">
        <v>3504</v>
      </c>
      <c r="G399">
        <v>98</v>
      </c>
      <c r="H399">
        <v>9.8000000000000007</v>
      </c>
      <c r="I399">
        <v>0.66430427735214559</v>
      </c>
      <c r="J399">
        <v>0</v>
      </c>
      <c r="M399" s="5"/>
      <c r="S399" t="str">
        <f t="shared" si="66"/>
        <v/>
      </c>
    </row>
    <row r="400" spans="1:19" x14ac:dyDescent="0.3">
      <c r="A400" t="str">
        <f t="shared" si="65"/>
        <v>HH395</v>
      </c>
      <c r="B400" t="s">
        <v>62</v>
      </c>
      <c r="C400">
        <v>3</v>
      </c>
      <c r="D400" s="4">
        <v>17997</v>
      </c>
      <c r="E400" t="s">
        <v>67</v>
      </c>
      <c r="F400" s="4">
        <v>4962</v>
      </c>
      <c r="G400">
        <v>34</v>
      </c>
      <c r="H400">
        <v>11.2</v>
      </c>
      <c r="I400">
        <v>0.68821135010305012</v>
      </c>
      <c r="J400">
        <v>0</v>
      </c>
      <c r="M400" s="5"/>
      <c r="S400" t="str">
        <f t="shared" si="66"/>
        <v/>
      </c>
    </row>
    <row r="401" spans="1:19" x14ac:dyDescent="0.3">
      <c r="A401" t="str">
        <f t="shared" si="65"/>
        <v>HH396</v>
      </c>
      <c r="B401" t="s">
        <v>64</v>
      </c>
      <c r="C401">
        <v>8</v>
      </c>
      <c r="D401" s="4">
        <v>22351</v>
      </c>
      <c r="E401" t="s">
        <v>68</v>
      </c>
      <c r="F401" s="4">
        <v>5765</v>
      </c>
      <c r="G401">
        <v>114</v>
      </c>
      <c r="H401">
        <v>8.8000000000000007</v>
      </c>
      <c r="I401">
        <v>0.64951142988672861</v>
      </c>
      <c r="J401">
        <v>0</v>
      </c>
      <c r="M401" s="5"/>
      <c r="S401" t="str">
        <f t="shared" si="66"/>
        <v/>
      </c>
    </row>
    <row r="402" spans="1:19" x14ac:dyDescent="0.3">
      <c r="A402" t="str">
        <f t="shared" si="65"/>
        <v>HH397</v>
      </c>
      <c r="B402" t="s">
        <v>64</v>
      </c>
      <c r="C402">
        <v>8</v>
      </c>
      <c r="D402" s="4">
        <v>46835</v>
      </c>
      <c r="E402" t="s">
        <v>68</v>
      </c>
      <c r="F402" s="4">
        <v>5149</v>
      </c>
      <c r="G402">
        <v>51</v>
      </c>
      <c r="H402">
        <v>11.7</v>
      </c>
      <c r="I402">
        <v>0.63062990128781882</v>
      </c>
      <c r="J402">
        <v>0</v>
      </c>
      <c r="M402" s="5"/>
      <c r="S402" t="str">
        <f t="shared" si="66"/>
        <v/>
      </c>
    </row>
    <row r="403" spans="1:19" x14ac:dyDescent="0.3">
      <c r="A403" t="str">
        <f t="shared" si="65"/>
        <v>HH398</v>
      </c>
      <c r="B403" t="s">
        <v>62</v>
      </c>
      <c r="C403">
        <v>3</v>
      </c>
      <c r="D403" s="4">
        <v>22553</v>
      </c>
      <c r="E403" t="s">
        <v>67</v>
      </c>
      <c r="F403" s="4">
        <v>3580</v>
      </c>
      <c r="G403">
        <v>84</v>
      </c>
      <c r="H403">
        <v>14.9</v>
      </c>
      <c r="I403">
        <v>0.38803649119131622</v>
      </c>
      <c r="J403">
        <v>0</v>
      </c>
      <c r="M403" s="5"/>
      <c r="S403" t="str">
        <f t="shared" si="66"/>
        <v/>
      </c>
    </row>
    <row r="404" spans="1:19" x14ac:dyDescent="0.3">
      <c r="A404" t="str">
        <f t="shared" si="65"/>
        <v>HH399</v>
      </c>
      <c r="B404" t="s">
        <v>62</v>
      </c>
      <c r="C404">
        <v>2</v>
      </c>
      <c r="D404" s="4">
        <v>21091</v>
      </c>
      <c r="E404" t="s">
        <v>69</v>
      </c>
      <c r="F404" s="4">
        <v>2407</v>
      </c>
      <c r="G404">
        <v>92</v>
      </c>
      <c r="H404">
        <v>2.2999999999999998</v>
      </c>
      <c r="I404">
        <v>0.24073361323985176</v>
      </c>
      <c r="J404">
        <v>0</v>
      </c>
      <c r="M404" s="5"/>
      <c r="S404" t="str">
        <f t="shared" si="66"/>
        <v/>
      </c>
    </row>
    <row r="405" spans="1:19" x14ac:dyDescent="0.3">
      <c r="A405" t="str">
        <f t="shared" si="65"/>
        <v>HH400</v>
      </c>
      <c r="B405" t="s">
        <v>65</v>
      </c>
      <c r="C405">
        <v>7</v>
      </c>
      <c r="D405" s="4">
        <v>37920</v>
      </c>
      <c r="E405" t="s">
        <v>69</v>
      </c>
      <c r="F405" s="4">
        <v>5831</v>
      </c>
      <c r="G405">
        <v>120</v>
      </c>
      <c r="H405">
        <v>8.4</v>
      </c>
      <c r="I405">
        <v>0.44901650996545173</v>
      </c>
      <c r="J405">
        <v>0</v>
      </c>
      <c r="M405" s="5"/>
      <c r="S405" t="str">
        <f t="shared" si="66"/>
        <v/>
      </c>
    </row>
    <row r="406" spans="1:19" x14ac:dyDescent="0.3">
      <c r="S406" t="str">
        <f t="shared" si="66"/>
        <v/>
      </c>
    </row>
  </sheetData>
  <sortState xmlns:xlrd2="http://schemas.microsoft.com/office/spreadsheetml/2017/richdata2" ref="A6:I405">
    <sortCondition ref="I6:I405"/>
  </sortState>
  <mergeCells count="1"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D9E44-24B8-4B59-9CE3-C58998BB9EDD}">
  <dimension ref="A1:L14"/>
  <sheetViews>
    <sheetView workbookViewId="0">
      <selection activeCell="E3" sqref="E3"/>
    </sheetView>
  </sheetViews>
  <sheetFormatPr defaultRowHeight="14.4" x14ac:dyDescent="0.3"/>
  <cols>
    <col min="1" max="1" width="28.88671875" customWidth="1"/>
    <col min="2" max="2" width="17" customWidth="1"/>
    <col min="3" max="3" width="19.6640625" customWidth="1"/>
    <col min="4" max="4" width="38.88671875" bestFit="1" customWidth="1"/>
    <col min="5" max="5" width="14.5546875" bestFit="1" customWidth="1"/>
    <col min="6" max="6" width="12" bestFit="1" customWidth="1"/>
    <col min="7" max="7" width="37.33203125" customWidth="1"/>
    <col min="8" max="9" width="12" bestFit="1" customWidth="1"/>
    <col min="10" max="10" width="38.88671875" bestFit="1" customWidth="1"/>
    <col min="11" max="11" width="13.44140625" bestFit="1" customWidth="1"/>
    <col min="12" max="12" width="12" bestFit="1" customWidth="1"/>
  </cols>
  <sheetData>
    <row r="1" spans="1:12" ht="15" thickBot="1" x14ac:dyDescent="0.35">
      <c r="A1" t="s">
        <v>52</v>
      </c>
      <c r="D1" t="s">
        <v>39</v>
      </c>
      <c r="G1" t="s">
        <v>39</v>
      </c>
      <c r="J1" t="s">
        <v>39</v>
      </c>
    </row>
    <row r="2" spans="1:12" ht="15" thickBot="1" x14ac:dyDescent="0.35">
      <c r="A2" s="14" t="s">
        <v>58</v>
      </c>
      <c r="D2" s="14" t="s">
        <v>59</v>
      </c>
      <c r="G2" s="2" t="s">
        <v>60</v>
      </c>
      <c r="J2" s="10" t="s">
        <v>20</v>
      </c>
    </row>
    <row r="3" spans="1:12" x14ac:dyDescent="0.3">
      <c r="A3" s="9"/>
      <c r="B3" s="10" t="s">
        <v>31</v>
      </c>
      <c r="C3" s="10" t="s">
        <v>51</v>
      </c>
      <c r="D3" s="10"/>
      <c r="E3" s="10" t="s">
        <v>33</v>
      </c>
      <c r="F3" s="10" t="s">
        <v>53</v>
      </c>
      <c r="G3" s="9"/>
      <c r="H3" s="10" t="s">
        <v>56</v>
      </c>
      <c r="I3" s="10" t="s">
        <v>57</v>
      </c>
      <c r="K3" s="10" t="s">
        <v>54</v>
      </c>
      <c r="L3" s="10" t="s">
        <v>55</v>
      </c>
    </row>
    <row r="4" spans="1:12" x14ac:dyDescent="0.3">
      <c r="A4" s="11" t="s">
        <v>40</v>
      </c>
      <c r="B4" s="13">
        <v>27664.404999999999</v>
      </c>
      <c r="C4" s="13">
        <v>27790.695</v>
      </c>
      <c r="D4" t="s">
        <v>40</v>
      </c>
      <c r="E4">
        <v>4651.9849999999997</v>
      </c>
      <c r="F4">
        <v>4730.95</v>
      </c>
      <c r="G4" t="s">
        <v>40</v>
      </c>
      <c r="H4">
        <v>66.28</v>
      </c>
      <c r="I4">
        <v>65.290000000000006</v>
      </c>
      <c r="J4" t="s">
        <v>40</v>
      </c>
      <c r="K4">
        <v>7.5445000000000029</v>
      </c>
      <c r="L4">
        <v>7.6829999999999954</v>
      </c>
    </row>
    <row r="5" spans="1:12" x14ac:dyDescent="0.3">
      <c r="A5" s="11" t="s">
        <v>41</v>
      </c>
      <c r="B5" s="13">
        <v>59572947.15675883</v>
      </c>
      <c r="C5" s="13">
        <v>49125894.182889394</v>
      </c>
      <c r="D5" t="s">
        <v>41</v>
      </c>
      <c r="E5">
        <v>1154562.7887185926</v>
      </c>
      <c r="F5">
        <v>1063653.5954773868</v>
      </c>
      <c r="G5" t="s">
        <v>41</v>
      </c>
      <c r="H5">
        <v>936.13226130653243</v>
      </c>
      <c r="I5">
        <v>986.44814070351788</v>
      </c>
      <c r="J5" t="s">
        <v>41</v>
      </c>
      <c r="K5">
        <v>18.701075125628087</v>
      </c>
      <c r="L5">
        <v>18.0943829145729</v>
      </c>
    </row>
    <row r="6" spans="1:12" x14ac:dyDescent="0.3">
      <c r="A6" s="11" t="s">
        <v>42</v>
      </c>
      <c r="B6">
        <v>200</v>
      </c>
      <c r="C6">
        <v>200</v>
      </c>
      <c r="D6" t="s">
        <v>42</v>
      </c>
      <c r="E6">
        <v>200</v>
      </c>
      <c r="F6">
        <v>200</v>
      </c>
      <c r="G6" t="s">
        <v>42</v>
      </c>
      <c r="H6">
        <v>200</v>
      </c>
      <c r="I6">
        <v>200</v>
      </c>
      <c r="J6" t="s">
        <v>42</v>
      </c>
      <c r="K6">
        <v>200</v>
      </c>
      <c r="L6">
        <v>200</v>
      </c>
    </row>
    <row r="7" spans="1:12" x14ac:dyDescent="0.3">
      <c r="A7" s="11" t="s">
        <v>43</v>
      </c>
      <c r="B7" s="13">
        <v>54349420.669824108</v>
      </c>
      <c r="D7" t="s">
        <v>43</v>
      </c>
      <c r="E7">
        <v>1109108.1920979898</v>
      </c>
      <c r="G7" t="s">
        <v>43</v>
      </c>
      <c r="H7">
        <v>961.2902010050251</v>
      </c>
      <c r="J7" t="s">
        <v>43</v>
      </c>
      <c r="K7">
        <v>18.397729020100492</v>
      </c>
    </row>
    <row r="8" spans="1:12" x14ac:dyDescent="0.3">
      <c r="A8" s="11" t="s">
        <v>44</v>
      </c>
      <c r="B8">
        <v>0</v>
      </c>
      <c r="D8" t="s">
        <v>44</v>
      </c>
      <c r="E8">
        <v>0</v>
      </c>
      <c r="G8" t="s">
        <v>44</v>
      </c>
      <c r="H8">
        <v>0</v>
      </c>
      <c r="J8" t="s">
        <v>44</v>
      </c>
      <c r="K8">
        <v>0</v>
      </c>
    </row>
    <row r="9" spans="1:12" x14ac:dyDescent="0.3">
      <c r="A9" s="11" t="s">
        <v>45</v>
      </c>
      <c r="B9">
        <v>398</v>
      </c>
      <c r="D9" t="s">
        <v>45</v>
      </c>
      <c r="E9">
        <v>398</v>
      </c>
      <c r="G9" t="s">
        <v>45</v>
      </c>
      <c r="H9">
        <v>398</v>
      </c>
      <c r="J9" t="s">
        <v>45</v>
      </c>
      <c r="K9">
        <v>398</v>
      </c>
    </row>
    <row r="10" spans="1:12" x14ac:dyDescent="0.3">
      <c r="A10" s="11" t="s">
        <v>46</v>
      </c>
      <c r="B10">
        <v>-0.17130557765157153</v>
      </c>
      <c r="D10" t="s">
        <v>46</v>
      </c>
      <c r="E10">
        <v>-0.7498038795389359</v>
      </c>
      <c r="G10" t="s">
        <v>46</v>
      </c>
      <c r="H10">
        <v>0.31930663053559133</v>
      </c>
      <c r="J10" t="s">
        <v>46</v>
      </c>
      <c r="K10">
        <v>-0.32289971706500803</v>
      </c>
    </row>
    <row r="11" spans="1:12" x14ac:dyDescent="0.3">
      <c r="A11" s="11" t="s">
        <v>47</v>
      </c>
      <c r="B11">
        <v>0.43203527738437991</v>
      </c>
      <c r="D11" t="s">
        <v>47</v>
      </c>
      <c r="E11">
        <v>0.22690790545952633</v>
      </c>
      <c r="G11" t="s">
        <v>47</v>
      </c>
      <c r="H11">
        <v>0.374830765515899</v>
      </c>
      <c r="J11" t="s">
        <v>47</v>
      </c>
      <c r="K11">
        <v>0.37347038021127577</v>
      </c>
    </row>
    <row r="12" spans="1:12" x14ac:dyDescent="0.3">
      <c r="A12" s="11" t="s">
        <v>48</v>
      </c>
      <c r="B12">
        <v>1.6486911739598198</v>
      </c>
      <c r="D12" t="s">
        <v>48</v>
      </c>
      <c r="E12">
        <v>1.6486911739598198</v>
      </c>
      <c r="G12" t="s">
        <v>48</v>
      </c>
      <c r="H12">
        <v>1.6486911739598198</v>
      </c>
      <c r="J12" t="s">
        <v>48</v>
      </c>
      <c r="K12">
        <v>1.6486911739598198</v>
      </c>
    </row>
    <row r="13" spans="1:12" x14ac:dyDescent="0.3">
      <c r="A13" s="11" t="s">
        <v>49</v>
      </c>
      <c r="B13">
        <v>0.86407055476875982</v>
      </c>
      <c r="D13" t="s">
        <v>49</v>
      </c>
      <c r="E13">
        <v>0.45381581091905265</v>
      </c>
      <c r="G13" t="s">
        <v>49</v>
      </c>
      <c r="H13">
        <v>0.749661531031798</v>
      </c>
      <c r="J13" t="s">
        <v>49</v>
      </c>
      <c r="K13">
        <v>0.74694076042255153</v>
      </c>
    </row>
    <row r="14" spans="1:12" ht="15" thickBot="1" x14ac:dyDescent="0.35">
      <c r="A14" s="12" t="s">
        <v>50</v>
      </c>
      <c r="B14" s="8">
        <v>1.965942323976257</v>
      </c>
      <c r="C14" s="8"/>
      <c r="D14" s="8" t="s">
        <v>50</v>
      </c>
      <c r="E14" s="8">
        <v>1.965942323976257</v>
      </c>
      <c r="F14" s="8"/>
      <c r="G14" s="8" t="s">
        <v>50</v>
      </c>
      <c r="H14" s="8">
        <v>1.965942323976257</v>
      </c>
      <c r="I14" s="8"/>
      <c r="J14" s="8" t="s">
        <v>50</v>
      </c>
      <c r="K14" s="8">
        <v>1.965942323976257</v>
      </c>
      <c r="L14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FC21B-F662-4124-818D-CC23CB4D0941}">
  <dimension ref="A2:J402"/>
  <sheetViews>
    <sheetView workbookViewId="0">
      <selection activeCell="A2" sqref="A2:XFD2"/>
    </sheetView>
  </sheetViews>
  <sheetFormatPr defaultRowHeight="14.4" x14ac:dyDescent="0.3"/>
  <cols>
    <col min="1" max="1" width="12.21875" bestFit="1" customWidth="1"/>
    <col min="2" max="2" width="11.6640625" bestFit="1" customWidth="1"/>
    <col min="3" max="3" width="14.33203125" bestFit="1" customWidth="1"/>
    <col min="4" max="4" width="26" bestFit="1" customWidth="1"/>
    <col min="5" max="5" width="19.33203125" bestFit="1" customWidth="1"/>
    <col min="6" max="6" width="23.77734375" bestFit="1" customWidth="1"/>
    <col min="7" max="7" width="19" bestFit="1" customWidth="1"/>
    <col min="8" max="8" width="22.5546875" bestFit="1" customWidth="1"/>
    <col min="9" max="9" width="12" bestFit="1" customWidth="1"/>
    <col min="10" max="10" width="9.77734375" bestFit="1" customWidth="1"/>
  </cols>
  <sheetData>
    <row r="2" spans="1:10" x14ac:dyDescent="0.3">
      <c r="A2" s="2" t="s">
        <v>17</v>
      </c>
      <c r="B2" s="2" t="s">
        <v>21</v>
      </c>
      <c r="C2" s="2" t="s">
        <v>18</v>
      </c>
      <c r="D2" s="2" t="s">
        <v>22</v>
      </c>
      <c r="E2" s="2" t="s">
        <v>19</v>
      </c>
      <c r="F2" s="2" t="s">
        <v>24</v>
      </c>
      <c r="G2" s="2" t="s">
        <v>25</v>
      </c>
      <c r="H2" s="2" t="s">
        <v>20</v>
      </c>
      <c r="I2" s="2" t="s">
        <v>26</v>
      </c>
      <c r="J2" s="2" t="s">
        <v>27</v>
      </c>
    </row>
    <row r="3" spans="1:10" x14ac:dyDescent="0.3">
      <c r="A3" t="s">
        <v>110</v>
      </c>
      <c r="B3" t="s">
        <v>63</v>
      </c>
      <c r="C3">
        <v>2</v>
      </c>
      <c r="D3">
        <v>17533</v>
      </c>
      <c r="E3" t="s">
        <v>68</v>
      </c>
      <c r="F3">
        <v>3387</v>
      </c>
      <c r="G3">
        <v>96</v>
      </c>
      <c r="H3">
        <v>14.1</v>
      </c>
      <c r="I3">
        <v>0.14715147167841336</v>
      </c>
      <c r="J3">
        <v>1</v>
      </c>
    </row>
    <row r="4" spans="1:10" x14ac:dyDescent="0.3">
      <c r="A4" t="s">
        <v>111</v>
      </c>
      <c r="B4" t="s">
        <v>63</v>
      </c>
      <c r="C4">
        <v>3</v>
      </c>
      <c r="D4">
        <v>28095</v>
      </c>
      <c r="E4" t="s">
        <v>66</v>
      </c>
      <c r="F4">
        <v>3285</v>
      </c>
      <c r="G4">
        <v>66</v>
      </c>
      <c r="H4">
        <v>8.5</v>
      </c>
      <c r="I4">
        <v>0.21625296981946651</v>
      </c>
      <c r="J4">
        <v>1</v>
      </c>
    </row>
    <row r="5" spans="1:10" x14ac:dyDescent="0.3">
      <c r="A5" t="s">
        <v>112</v>
      </c>
      <c r="B5" t="s">
        <v>64</v>
      </c>
      <c r="C5">
        <v>7</v>
      </c>
      <c r="D5">
        <v>35172</v>
      </c>
      <c r="E5" t="s">
        <v>66</v>
      </c>
      <c r="F5">
        <v>6752</v>
      </c>
      <c r="G5">
        <v>42</v>
      </c>
      <c r="H5">
        <v>1.9</v>
      </c>
      <c r="I5">
        <v>0.87272994665282255</v>
      </c>
      <c r="J5">
        <v>1</v>
      </c>
    </row>
    <row r="6" spans="1:10" x14ac:dyDescent="0.3">
      <c r="A6" t="s">
        <v>113</v>
      </c>
      <c r="B6" t="s">
        <v>65</v>
      </c>
      <c r="C6">
        <v>8</v>
      </c>
      <c r="D6">
        <v>24958</v>
      </c>
      <c r="E6" t="s">
        <v>66</v>
      </c>
      <c r="F6">
        <v>4888</v>
      </c>
      <c r="G6">
        <v>64</v>
      </c>
      <c r="H6">
        <v>12.3</v>
      </c>
      <c r="I6">
        <v>0.43294112023399844</v>
      </c>
      <c r="J6">
        <v>1</v>
      </c>
    </row>
    <row r="7" spans="1:10" x14ac:dyDescent="0.3">
      <c r="A7" t="s">
        <v>114</v>
      </c>
      <c r="B7" t="s">
        <v>65</v>
      </c>
      <c r="C7">
        <v>4</v>
      </c>
      <c r="D7">
        <v>35107</v>
      </c>
      <c r="E7" t="s">
        <v>68</v>
      </c>
      <c r="F7">
        <v>5527</v>
      </c>
      <c r="G7">
        <v>20</v>
      </c>
      <c r="H7">
        <v>14.7</v>
      </c>
      <c r="I7">
        <v>0.66002777641024857</v>
      </c>
      <c r="J7">
        <v>1</v>
      </c>
    </row>
    <row r="8" spans="1:10" x14ac:dyDescent="0.3">
      <c r="A8" t="s">
        <v>115</v>
      </c>
      <c r="B8" t="s">
        <v>64</v>
      </c>
      <c r="C8">
        <v>4</v>
      </c>
      <c r="D8">
        <v>33442</v>
      </c>
      <c r="E8" t="s">
        <v>69</v>
      </c>
      <c r="F8">
        <v>4457</v>
      </c>
      <c r="G8">
        <v>92</v>
      </c>
      <c r="H8">
        <v>11.3</v>
      </c>
      <c r="I8">
        <v>0.79246542014028376</v>
      </c>
      <c r="J8">
        <v>1</v>
      </c>
    </row>
    <row r="9" spans="1:10" x14ac:dyDescent="0.3">
      <c r="A9" t="s">
        <v>116</v>
      </c>
      <c r="B9" t="s">
        <v>65</v>
      </c>
      <c r="C9">
        <v>2</v>
      </c>
      <c r="D9">
        <v>34829</v>
      </c>
      <c r="E9" t="s">
        <v>69</v>
      </c>
      <c r="F9">
        <v>4225</v>
      </c>
      <c r="G9">
        <v>60</v>
      </c>
      <c r="H9">
        <v>10.5</v>
      </c>
      <c r="I9">
        <v>0.27764315259795347</v>
      </c>
      <c r="J9">
        <v>1</v>
      </c>
    </row>
    <row r="10" spans="1:10" x14ac:dyDescent="0.3">
      <c r="A10" t="s">
        <v>117</v>
      </c>
      <c r="B10" t="s">
        <v>62</v>
      </c>
      <c r="C10">
        <v>3</v>
      </c>
      <c r="D10">
        <v>33149</v>
      </c>
      <c r="E10" t="s">
        <v>69</v>
      </c>
      <c r="F10">
        <v>2764</v>
      </c>
      <c r="G10">
        <v>70</v>
      </c>
      <c r="H10">
        <v>11.7</v>
      </c>
      <c r="I10">
        <v>0.74421108895835852</v>
      </c>
      <c r="J10">
        <v>1</v>
      </c>
    </row>
    <row r="11" spans="1:10" x14ac:dyDescent="0.3">
      <c r="A11" t="s">
        <v>118</v>
      </c>
      <c r="B11" t="s">
        <v>62</v>
      </c>
      <c r="C11">
        <v>6</v>
      </c>
      <c r="D11">
        <v>24162</v>
      </c>
      <c r="E11" t="s">
        <v>66</v>
      </c>
      <c r="F11">
        <v>5668</v>
      </c>
      <c r="G11">
        <v>37</v>
      </c>
      <c r="H11">
        <v>13.7</v>
      </c>
      <c r="I11">
        <v>0.41983376548963891</v>
      </c>
      <c r="J11">
        <v>1</v>
      </c>
    </row>
    <row r="12" spans="1:10" x14ac:dyDescent="0.3">
      <c r="A12" t="s">
        <v>119</v>
      </c>
      <c r="B12" t="s">
        <v>63</v>
      </c>
      <c r="C12">
        <v>7</v>
      </c>
      <c r="D12">
        <v>38929</v>
      </c>
      <c r="E12" t="s">
        <v>67</v>
      </c>
      <c r="F12">
        <v>4352</v>
      </c>
      <c r="G12">
        <v>44</v>
      </c>
      <c r="H12">
        <v>0.8</v>
      </c>
      <c r="I12">
        <v>0.42013241773603238</v>
      </c>
      <c r="J12">
        <v>1</v>
      </c>
    </row>
    <row r="13" spans="1:10" x14ac:dyDescent="0.3">
      <c r="A13" t="s">
        <v>120</v>
      </c>
      <c r="B13" t="s">
        <v>62</v>
      </c>
      <c r="C13">
        <v>6</v>
      </c>
      <c r="D13">
        <v>37284</v>
      </c>
      <c r="E13" t="s">
        <v>69</v>
      </c>
      <c r="F13">
        <v>5229</v>
      </c>
      <c r="G13">
        <v>54</v>
      </c>
      <c r="H13">
        <v>2.1</v>
      </c>
      <c r="I13">
        <v>0.83446741417206571</v>
      </c>
      <c r="J13">
        <v>1</v>
      </c>
    </row>
    <row r="14" spans="1:10" x14ac:dyDescent="0.3">
      <c r="A14" t="s">
        <v>121</v>
      </c>
      <c r="B14" t="s">
        <v>62</v>
      </c>
      <c r="C14">
        <v>2</v>
      </c>
      <c r="D14">
        <v>35310</v>
      </c>
      <c r="E14" t="s">
        <v>67</v>
      </c>
      <c r="F14">
        <v>2816</v>
      </c>
      <c r="G14">
        <v>82</v>
      </c>
      <c r="H14">
        <v>15</v>
      </c>
      <c r="I14">
        <v>0.95057998930171761</v>
      </c>
      <c r="J14">
        <v>1</v>
      </c>
    </row>
    <row r="15" spans="1:10" x14ac:dyDescent="0.3">
      <c r="A15" t="s">
        <v>122</v>
      </c>
      <c r="B15" t="s">
        <v>64</v>
      </c>
      <c r="C15">
        <v>4</v>
      </c>
      <c r="D15">
        <v>30840</v>
      </c>
      <c r="E15" t="s">
        <v>69</v>
      </c>
      <c r="F15">
        <v>5551</v>
      </c>
      <c r="G15">
        <v>63</v>
      </c>
      <c r="H15">
        <v>7.2</v>
      </c>
      <c r="I15">
        <v>3.1957229520352404E-2</v>
      </c>
      <c r="J15">
        <v>1</v>
      </c>
    </row>
    <row r="16" spans="1:10" x14ac:dyDescent="0.3">
      <c r="A16" t="s">
        <v>123</v>
      </c>
      <c r="B16" t="s">
        <v>62</v>
      </c>
      <c r="C16">
        <v>8</v>
      </c>
      <c r="D16">
        <v>30840</v>
      </c>
      <c r="E16" t="s">
        <v>68</v>
      </c>
      <c r="F16">
        <v>7163</v>
      </c>
      <c r="G16">
        <v>94</v>
      </c>
      <c r="H16">
        <v>11.4</v>
      </c>
      <c r="I16">
        <v>0.77628902418314538</v>
      </c>
      <c r="J16">
        <v>1</v>
      </c>
    </row>
    <row r="17" spans="1:10" x14ac:dyDescent="0.3">
      <c r="A17" t="s">
        <v>124</v>
      </c>
      <c r="B17" t="s">
        <v>62</v>
      </c>
      <c r="C17">
        <v>7</v>
      </c>
      <c r="D17">
        <v>17832</v>
      </c>
      <c r="E17" t="s">
        <v>68</v>
      </c>
      <c r="F17">
        <v>5599</v>
      </c>
      <c r="G17">
        <v>81</v>
      </c>
      <c r="H17">
        <v>12</v>
      </c>
      <c r="I17">
        <v>0.73545475569206153</v>
      </c>
      <c r="J17">
        <v>1</v>
      </c>
    </row>
    <row r="18" spans="1:10" x14ac:dyDescent="0.3">
      <c r="A18" t="s">
        <v>125</v>
      </c>
      <c r="B18" t="s">
        <v>63</v>
      </c>
      <c r="C18">
        <v>8</v>
      </c>
      <c r="D18">
        <v>30692</v>
      </c>
      <c r="E18" t="s">
        <v>67</v>
      </c>
      <c r="F18">
        <v>7097</v>
      </c>
      <c r="G18">
        <v>45</v>
      </c>
      <c r="H18">
        <v>13.9</v>
      </c>
      <c r="I18">
        <v>0.54762514998919076</v>
      </c>
      <c r="J18">
        <v>1</v>
      </c>
    </row>
    <row r="19" spans="1:10" x14ac:dyDescent="0.3">
      <c r="A19" t="s">
        <v>126</v>
      </c>
      <c r="B19" t="s">
        <v>64</v>
      </c>
      <c r="C19">
        <v>5</v>
      </c>
      <c r="D19">
        <v>34798</v>
      </c>
      <c r="E19" t="s">
        <v>69</v>
      </c>
      <c r="F19">
        <v>4546</v>
      </c>
      <c r="G19">
        <v>28</v>
      </c>
      <c r="H19">
        <v>12.5</v>
      </c>
      <c r="I19">
        <v>0.85376285448322586</v>
      </c>
      <c r="J19">
        <v>1</v>
      </c>
    </row>
    <row r="20" spans="1:10" x14ac:dyDescent="0.3">
      <c r="A20" t="s">
        <v>127</v>
      </c>
      <c r="B20" t="s">
        <v>63</v>
      </c>
      <c r="C20">
        <v>3</v>
      </c>
      <c r="D20">
        <v>23630</v>
      </c>
      <c r="E20" t="s">
        <v>69</v>
      </c>
      <c r="F20">
        <v>3916</v>
      </c>
      <c r="G20">
        <v>105</v>
      </c>
      <c r="H20">
        <v>4.4000000000000004</v>
      </c>
      <c r="I20">
        <v>0.78327180385084594</v>
      </c>
      <c r="J20">
        <v>1</v>
      </c>
    </row>
    <row r="21" spans="1:10" x14ac:dyDescent="0.3">
      <c r="A21" t="s">
        <v>128</v>
      </c>
      <c r="B21" t="s">
        <v>64</v>
      </c>
      <c r="C21">
        <v>3</v>
      </c>
      <c r="D21">
        <v>29701</v>
      </c>
      <c r="E21" t="s">
        <v>67</v>
      </c>
      <c r="F21">
        <v>4613</v>
      </c>
      <c r="G21">
        <v>96</v>
      </c>
      <c r="H21">
        <v>13.8</v>
      </c>
      <c r="I21">
        <v>0.82094774257775338</v>
      </c>
      <c r="J21">
        <v>1</v>
      </c>
    </row>
    <row r="22" spans="1:10" x14ac:dyDescent="0.3">
      <c r="A22" t="s">
        <v>129</v>
      </c>
      <c r="B22" t="s">
        <v>62</v>
      </c>
      <c r="C22">
        <v>3</v>
      </c>
      <c r="D22">
        <v>17880</v>
      </c>
      <c r="E22" t="s">
        <v>68</v>
      </c>
      <c r="F22">
        <v>5098</v>
      </c>
      <c r="G22">
        <v>30</v>
      </c>
      <c r="H22">
        <v>14</v>
      </c>
      <c r="I22">
        <v>3.5568358414126422E-2</v>
      </c>
      <c r="J22">
        <v>1</v>
      </c>
    </row>
    <row r="23" spans="1:10" x14ac:dyDescent="0.3">
      <c r="A23" t="s">
        <v>130</v>
      </c>
      <c r="B23" t="s">
        <v>63</v>
      </c>
      <c r="C23">
        <v>7</v>
      </c>
      <c r="D23">
        <v>39052</v>
      </c>
      <c r="E23" t="s">
        <v>68</v>
      </c>
      <c r="F23">
        <v>4973</v>
      </c>
      <c r="G23">
        <v>55</v>
      </c>
      <c r="H23">
        <v>14.9</v>
      </c>
      <c r="I23">
        <v>0.99869109059404859</v>
      </c>
      <c r="J23">
        <v>1</v>
      </c>
    </row>
    <row r="24" spans="1:10" x14ac:dyDescent="0.3">
      <c r="A24" t="s">
        <v>131</v>
      </c>
      <c r="B24" t="s">
        <v>64</v>
      </c>
      <c r="C24">
        <v>6</v>
      </c>
      <c r="D24">
        <v>13496</v>
      </c>
      <c r="E24" t="s">
        <v>67</v>
      </c>
      <c r="F24">
        <v>4192</v>
      </c>
      <c r="G24">
        <v>16</v>
      </c>
      <c r="H24">
        <v>6.4</v>
      </c>
      <c r="I24">
        <v>0.17038515698311374</v>
      </c>
      <c r="J24">
        <v>1</v>
      </c>
    </row>
    <row r="25" spans="1:10" x14ac:dyDescent="0.3">
      <c r="A25" t="s">
        <v>132</v>
      </c>
      <c r="B25" t="s">
        <v>63</v>
      </c>
      <c r="C25">
        <v>7</v>
      </c>
      <c r="D25">
        <v>26198</v>
      </c>
      <c r="E25" t="s">
        <v>68</v>
      </c>
      <c r="F25">
        <v>4623</v>
      </c>
      <c r="G25">
        <v>22</v>
      </c>
      <c r="H25">
        <v>11.6</v>
      </c>
      <c r="I25">
        <v>0.42993780814488247</v>
      </c>
      <c r="J25">
        <v>1</v>
      </c>
    </row>
    <row r="26" spans="1:10" x14ac:dyDescent="0.3">
      <c r="A26" t="s">
        <v>133</v>
      </c>
      <c r="B26" t="s">
        <v>63</v>
      </c>
      <c r="C26">
        <v>2</v>
      </c>
      <c r="D26">
        <v>24386</v>
      </c>
      <c r="E26" t="s">
        <v>68</v>
      </c>
      <c r="F26">
        <v>4379</v>
      </c>
      <c r="G26">
        <v>48</v>
      </c>
      <c r="H26">
        <v>9.8000000000000007</v>
      </c>
      <c r="I26">
        <v>0.63763910024294368</v>
      </c>
      <c r="J26">
        <v>1</v>
      </c>
    </row>
    <row r="27" spans="1:10" x14ac:dyDescent="0.3">
      <c r="A27" t="s">
        <v>134</v>
      </c>
      <c r="B27" t="s">
        <v>65</v>
      </c>
      <c r="C27">
        <v>7</v>
      </c>
      <c r="D27">
        <v>23768</v>
      </c>
      <c r="E27" t="s">
        <v>68</v>
      </c>
      <c r="F27">
        <v>5515</v>
      </c>
      <c r="G27">
        <v>44</v>
      </c>
      <c r="H27">
        <v>1.3</v>
      </c>
      <c r="I27">
        <v>0.48346388175461208</v>
      </c>
      <c r="J27">
        <v>1</v>
      </c>
    </row>
    <row r="28" spans="1:10" x14ac:dyDescent="0.3">
      <c r="A28" t="s">
        <v>135</v>
      </c>
      <c r="B28" t="s">
        <v>62</v>
      </c>
      <c r="C28">
        <v>3</v>
      </c>
      <c r="D28">
        <v>45320</v>
      </c>
      <c r="E28" t="s">
        <v>67</v>
      </c>
      <c r="F28">
        <v>4849</v>
      </c>
      <c r="G28">
        <v>48</v>
      </c>
      <c r="H28">
        <v>10.4</v>
      </c>
      <c r="I28">
        <v>0.9844445185813111</v>
      </c>
      <c r="J28">
        <v>1</v>
      </c>
    </row>
    <row r="29" spans="1:10" x14ac:dyDescent="0.3">
      <c r="A29" t="s">
        <v>136</v>
      </c>
      <c r="B29" t="s">
        <v>62</v>
      </c>
      <c r="C29">
        <v>6</v>
      </c>
      <c r="D29">
        <v>21710</v>
      </c>
      <c r="E29" t="s">
        <v>67</v>
      </c>
      <c r="F29">
        <v>4660</v>
      </c>
      <c r="G29">
        <v>29</v>
      </c>
      <c r="H29">
        <v>8.5</v>
      </c>
      <c r="I29">
        <v>0.16872810263345761</v>
      </c>
      <c r="J29">
        <v>1</v>
      </c>
    </row>
    <row r="30" spans="1:10" x14ac:dyDescent="0.3">
      <c r="A30" t="s">
        <v>137</v>
      </c>
      <c r="B30" t="s">
        <v>65</v>
      </c>
      <c r="C30">
        <v>7</v>
      </c>
      <c r="D30">
        <v>29395</v>
      </c>
      <c r="E30" t="s">
        <v>67</v>
      </c>
      <c r="F30">
        <v>5998</v>
      </c>
      <c r="G30">
        <v>23</v>
      </c>
      <c r="H30">
        <v>14.1</v>
      </c>
      <c r="I30">
        <v>0.19629902652394593</v>
      </c>
      <c r="J30">
        <v>1</v>
      </c>
    </row>
    <row r="31" spans="1:10" x14ac:dyDescent="0.3">
      <c r="A31" t="s">
        <v>138</v>
      </c>
      <c r="B31" t="s">
        <v>65</v>
      </c>
      <c r="C31">
        <v>5</v>
      </c>
      <c r="D31">
        <v>26227</v>
      </c>
      <c r="E31" t="s">
        <v>66</v>
      </c>
      <c r="F31">
        <v>5519</v>
      </c>
      <c r="G31">
        <v>74</v>
      </c>
      <c r="H31">
        <v>12.3</v>
      </c>
      <c r="I31">
        <v>0.20291282801896515</v>
      </c>
      <c r="J31">
        <v>1</v>
      </c>
    </row>
    <row r="32" spans="1:10" x14ac:dyDescent="0.3">
      <c r="A32" t="s">
        <v>139</v>
      </c>
      <c r="B32" t="s">
        <v>65</v>
      </c>
      <c r="C32">
        <v>4</v>
      </c>
      <c r="D32">
        <v>14833</v>
      </c>
      <c r="E32" t="s">
        <v>66</v>
      </c>
      <c r="F32">
        <v>4375</v>
      </c>
      <c r="G32">
        <v>90</v>
      </c>
      <c r="H32">
        <v>6.2</v>
      </c>
      <c r="I32">
        <v>0.79761922637862603</v>
      </c>
      <c r="J32">
        <v>1</v>
      </c>
    </row>
    <row r="33" spans="1:10" x14ac:dyDescent="0.3">
      <c r="A33" t="s">
        <v>140</v>
      </c>
      <c r="B33" t="s">
        <v>62</v>
      </c>
      <c r="C33">
        <v>7</v>
      </c>
      <c r="D33">
        <v>33746</v>
      </c>
      <c r="E33" t="s">
        <v>68</v>
      </c>
      <c r="F33">
        <v>5051</v>
      </c>
      <c r="G33">
        <v>37</v>
      </c>
      <c r="H33">
        <v>11.3</v>
      </c>
      <c r="I33">
        <v>0.11022176426811037</v>
      </c>
      <c r="J33">
        <v>1</v>
      </c>
    </row>
    <row r="34" spans="1:10" x14ac:dyDescent="0.3">
      <c r="A34" t="s">
        <v>141</v>
      </c>
      <c r="B34" t="s">
        <v>64</v>
      </c>
      <c r="C34">
        <v>8</v>
      </c>
      <c r="D34">
        <v>40152</v>
      </c>
      <c r="E34" t="s">
        <v>68</v>
      </c>
      <c r="F34">
        <v>4898</v>
      </c>
      <c r="G34">
        <v>45</v>
      </c>
      <c r="H34">
        <v>8.6999999999999993</v>
      </c>
      <c r="I34">
        <v>0.21753813935860755</v>
      </c>
      <c r="J34">
        <v>1</v>
      </c>
    </row>
    <row r="35" spans="1:10" x14ac:dyDescent="0.3">
      <c r="A35" t="s">
        <v>142</v>
      </c>
      <c r="B35" t="s">
        <v>63</v>
      </c>
      <c r="C35">
        <v>7</v>
      </c>
      <c r="D35">
        <v>30435</v>
      </c>
      <c r="E35" t="s">
        <v>69</v>
      </c>
      <c r="F35">
        <v>4535</v>
      </c>
      <c r="G35">
        <v>80</v>
      </c>
      <c r="H35">
        <v>1.7</v>
      </c>
      <c r="I35">
        <v>0.73915671895977086</v>
      </c>
      <c r="J35">
        <v>1</v>
      </c>
    </row>
    <row r="36" spans="1:10" x14ac:dyDescent="0.3">
      <c r="A36" t="s">
        <v>143</v>
      </c>
      <c r="B36" t="s">
        <v>63</v>
      </c>
      <c r="C36">
        <v>6</v>
      </c>
      <c r="D36">
        <v>28023</v>
      </c>
      <c r="E36" t="s">
        <v>69</v>
      </c>
      <c r="F36">
        <v>5131</v>
      </c>
      <c r="G36">
        <v>84</v>
      </c>
      <c r="H36">
        <v>3.1</v>
      </c>
      <c r="I36">
        <v>0.62383298487685557</v>
      </c>
      <c r="J36">
        <v>1</v>
      </c>
    </row>
    <row r="37" spans="1:10" x14ac:dyDescent="0.3">
      <c r="A37" t="s">
        <v>144</v>
      </c>
      <c r="B37" t="s">
        <v>64</v>
      </c>
      <c r="C37">
        <v>5</v>
      </c>
      <c r="D37">
        <v>26863</v>
      </c>
      <c r="E37" t="s">
        <v>67</v>
      </c>
      <c r="F37">
        <v>5034</v>
      </c>
      <c r="G37">
        <v>95</v>
      </c>
      <c r="H37">
        <v>8.1999999999999993</v>
      </c>
      <c r="I37">
        <v>0.37612967543882436</v>
      </c>
      <c r="J37">
        <v>1</v>
      </c>
    </row>
    <row r="38" spans="1:10" x14ac:dyDescent="0.3">
      <c r="A38" t="s">
        <v>145</v>
      </c>
      <c r="B38" t="s">
        <v>64</v>
      </c>
      <c r="C38">
        <v>3</v>
      </c>
      <c r="D38">
        <v>30401</v>
      </c>
      <c r="E38" t="s">
        <v>67</v>
      </c>
      <c r="F38">
        <v>3498</v>
      </c>
      <c r="G38">
        <v>46</v>
      </c>
      <c r="H38">
        <v>12.9</v>
      </c>
      <c r="I38">
        <v>6.6232856032179654E-2</v>
      </c>
      <c r="J38">
        <v>1</v>
      </c>
    </row>
    <row r="39" spans="1:10" x14ac:dyDescent="0.3">
      <c r="A39" t="s">
        <v>146</v>
      </c>
      <c r="B39" t="s">
        <v>63</v>
      </c>
      <c r="C39">
        <v>8</v>
      </c>
      <c r="D39">
        <v>19742</v>
      </c>
      <c r="E39" t="s">
        <v>66</v>
      </c>
      <c r="F39">
        <v>6571</v>
      </c>
      <c r="G39">
        <v>109</v>
      </c>
      <c r="H39">
        <v>10.6</v>
      </c>
      <c r="I39">
        <v>5.3041104798580152E-3</v>
      </c>
      <c r="J39">
        <v>1</v>
      </c>
    </row>
    <row r="40" spans="1:10" x14ac:dyDescent="0.3">
      <c r="A40" t="s">
        <v>147</v>
      </c>
      <c r="B40" t="s">
        <v>65</v>
      </c>
      <c r="C40">
        <v>6</v>
      </c>
      <c r="D40">
        <v>18420</v>
      </c>
      <c r="E40" t="s">
        <v>67</v>
      </c>
      <c r="F40">
        <v>6112</v>
      </c>
      <c r="G40">
        <v>99</v>
      </c>
      <c r="H40">
        <v>14.1</v>
      </c>
      <c r="I40">
        <v>0.3554421458880842</v>
      </c>
      <c r="J40">
        <v>1</v>
      </c>
    </row>
    <row r="41" spans="1:10" x14ac:dyDescent="0.3">
      <c r="A41" t="s">
        <v>148</v>
      </c>
      <c r="B41" t="s">
        <v>62</v>
      </c>
      <c r="C41">
        <v>4</v>
      </c>
      <c r="D41">
        <v>37597</v>
      </c>
      <c r="E41" t="s">
        <v>67</v>
      </c>
      <c r="F41">
        <v>5313</v>
      </c>
      <c r="G41">
        <v>47</v>
      </c>
      <c r="H41">
        <v>13.6</v>
      </c>
      <c r="I41">
        <v>0.36082484545332449</v>
      </c>
      <c r="J41">
        <v>1</v>
      </c>
    </row>
    <row r="42" spans="1:10" x14ac:dyDescent="0.3">
      <c r="A42" t="s">
        <v>149</v>
      </c>
      <c r="B42" t="s">
        <v>65</v>
      </c>
      <c r="C42">
        <v>2</v>
      </c>
      <c r="D42">
        <v>43415</v>
      </c>
      <c r="E42" t="s">
        <v>66</v>
      </c>
      <c r="F42">
        <v>4688</v>
      </c>
      <c r="G42">
        <v>84</v>
      </c>
      <c r="H42">
        <v>13.9</v>
      </c>
      <c r="I42">
        <v>0.61865664403327902</v>
      </c>
      <c r="J42">
        <v>1</v>
      </c>
    </row>
    <row r="43" spans="1:10" x14ac:dyDescent="0.3">
      <c r="A43" t="s">
        <v>150</v>
      </c>
      <c r="B43" t="s">
        <v>64</v>
      </c>
      <c r="C43">
        <v>3</v>
      </c>
      <c r="D43">
        <v>28318</v>
      </c>
      <c r="E43" t="s">
        <v>67</v>
      </c>
      <c r="F43">
        <v>3966</v>
      </c>
      <c r="G43">
        <v>80</v>
      </c>
      <c r="H43">
        <v>2.2999999999999998</v>
      </c>
      <c r="I43">
        <v>0.39112475328172158</v>
      </c>
      <c r="J43">
        <v>1</v>
      </c>
    </row>
    <row r="44" spans="1:10" x14ac:dyDescent="0.3">
      <c r="A44" t="s">
        <v>151</v>
      </c>
      <c r="B44" t="s">
        <v>63</v>
      </c>
      <c r="C44">
        <v>7</v>
      </c>
      <c r="D44">
        <v>35952</v>
      </c>
      <c r="E44" t="s">
        <v>67</v>
      </c>
      <c r="F44">
        <v>5592</v>
      </c>
      <c r="G44">
        <v>47</v>
      </c>
      <c r="H44">
        <v>3.8</v>
      </c>
      <c r="I44">
        <v>0.92353040635284267</v>
      </c>
      <c r="J44">
        <v>1</v>
      </c>
    </row>
    <row r="45" spans="1:10" x14ac:dyDescent="0.3">
      <c r="A45" t="s">
        <v>152</v>
      </c>
      <c r="B45" t="s">
        <v>65</v>
      </c>
      <c r="C45">
        <v>8</v>
      </c>
      <c r="D45">
        <v>28027</v>
      </c>
      <c r="E45" t="s">
        <v>67</v>
      </c>
      <c r="F45">
        <v>6157</v>
      </c>
      <c r="G45">
        <v>39</v>
      </c>
      <c r="H45">
        <v>5.5</v>
      </c>
      <c r="I45">
        <v>0.62877575974585365</v>
      </c>
      <c r="J45">
        <v>1</v>
      </c>
    </row>
    <row r="46" spans="1:10" x14ac:dyDescent="0.3">
      <c r="A46" t="s">
        <v>153</v>
      </c>
      <c r="B46" t="s">
        <v>64</v>
      </c>
      <c r="C46">
        <v>8</v>
      </c>
      <c r="D46">
        <v>29168</v>
      </c>
      <c r="E46" t="s">
        <v>67</v>
      </c>
      <c r="F46">
        <v>6445</v>
      </c>
      <c r="G46">
        <v>74</v>
      </c>
      <c r="H46">
        <v>10.9</v>
      </c>
      <c r="I46">
        <v>0.34868983204242743</v>
      </c>
      <c r="J46">
        <v>1</v>
      </c>
    </row>
    <row r="47" spans="1:10" x14ac:dyDescent="0.3">
      <c r="A47" t="s">
        <v>154</v>
      </c>
      <c r="B47" t="s">
        <v>63</v>
      </c>
      <c r="C47">
        <v>7</v>
      </c>
      <c r="D47">
        <v>23926</v>
      </c>
      <c r="E47" t="s">
        <v>68</v>
      </c>
      <c r="F47">
        <v>5414</v>
      </c>
      <c r="G47">
        <v>96</v>
      </c>
      <c r="H47">
        <v>6.2</v>
      </c>
      <c r="I47">
        <v>0.73471644899829314</v>
      </c>
      <c r="J47">
        <v>1</v>
      </c>
    </row>
    <row r="48" spans="1:10" x14ac:dyDescent="0.3">
      <c r="A48" t="s">
        <v>155</v>
      </c>
      <c r="B48" t="s">
        <v>63</v>
      </c>
      <c r="C48">
        <v>3</v>
      </c>
      <c r="D48">
        <v>26414</v>
      </c>
      <c r="E48" t="s">
        <v>68</v>
      </c>
      <c r="F48">
        <v>4421</v>
      </c>
      <c r="G48">
        <v>64</v>
      </c>
      <c r="H48">
        <v>13.1</v>
      </c>
      <c r="I48">
        <v>8.4978175242223064E-2</v>
      </c>
      <c r="J48">
        <v>1</v>
      </c>
    </row>
    <row r="49" spans="1:10" x14ac:dyDescent="0.3">
      <c r="A49" t="s">
        <v>156</v>
      </c>
      <c r="B49" t="s">
        <v>62</v>
      </c>
      <c r="C49">
        <v>4</v>
      </c>
      <c r="D49">
        <v>28132</v>
      </c>
      <c r="E49" t="s">
        <v>68</v>
      </c>
      <c r="F49">
        <v>3576</v>
      </c>
      <c r="G49">
        <v>98</v>
      </c>
      <c r="H49">
        <v>11</v>
      </c>
      <c r="I49">
        <v>0.35422668167309035</v>
      </c>
      <c r="J49">
        <v>1</v>
      </c>
    </row>
    <row r="50" spans="1:10" x14ac:dyDescent="0.3">
      <c r="A50" t="s">
        <v>157</v>
      </c>
      <c r="B50" t="s">
        <v>64</v>
      </c>
      <c r="C50">
        <v>3</v>
      </c>
      <c r="D50">
        <v>24212</v>
      </c>
      <c r="E50" t="s">
        <v>68</v>
      </c>
      <c r="F50">
        <v>3013</v>
      </c>
      <c r="G50">
        <v>85</v>
      </c>
      <c r="H50">
        <v>1.7</v>
      </c>
      <c r="I50">
        <v>0.17820947353911365</v>
      </c>
      <c r="J50">
        <v>1</v>
      </c>
    </row>
    <row r="51" spans="1:10" x14ac:dyDescent="0.3">
      <c r="A51" t="s">
        <v>158</v>
      </c>
      <c r="B51" t="s">
        <v>63</v>
      </c>
      <c r="C51">
        <v>3</v>
      </c>
      <c r="D51">
        <v>29418</v>
      </c>
      <c r="E51" t="s">
        <v>68</v>
      </c>
      <c r="F51">
        <v>3187</v>
      </c>
      <c r="G51">
        <v>76</v>
      </c>
      <c r="H51">
        <v>10.8</v>
      </c>
      <c r="I51">
        <v>0.79800845268814657</v>
      </c>
      <c r="J51">
        <v>1</v>
      </c>
    </row>
    <row r="52" spans="1:10" x14ac:dyDescent="0.3">
      <c r="A52" t="s">
        <v>159</v>
      </c>
      <c r="B52" t="s">
        <v>65</v>
      </c>
      <c r="C52">
        <v>6</v>
      </c>
      <c r="D52">
        <v>31194</v>
      </c>
      <c r="E52" t="s">
        <v>67</v>
      </c>
      <c r="F52">
        <v>4190</v>
      </c>
      <c r="G52">
        <v>17</v>
      </c>
      <c r="H52">
        <v>3.6</v>
      </c>
      <c r="I52">
        <v>0.36208686286568914</v>
      </c>
      <c r="J52">
        <v>1</v>
      </c>
    </row>
    <row r="53" spans="1:10" x14ac:dyDescent="0.3">
      <c r="A53" t="s">
        <v>160</v>
      </c>
      <c r="B53" t="s">
        <v>63</v>
      </c>
      <c r="C53">
        <v>8</v>
      </c>
      <c r="D53">
        <v>46070</v>
      </c>
      <c r="E53" t="s">
        <v>68</v>
      </c>
      <c r="F53">
        <v>5845</v>
      </c>
      <c r="G53">
        <v>50</v>
      </c>
      <c r="H53">
        <v>12.6</v>
      </c>
      <c r="I53">
        <v>0.99005488533062869</v>
      </c>
      <c r="J53">
        <v>1</v>
      </c>
    </row>
    <row r="54" spans="1:10" x14ac:dyDescent="0.3">
      <c r="A54" t="s">
        <v>161</v>
      </c>
      <c r="B54" t="s">
        <v>65</v>
      </c>
      <c r="C54">
        <v>6</v>
      </c>
      <c r="D54">
        <v>43132</v>
      </c>
      <c r="E54" t="s">
        <v>69</v>
      </c>
      <c r="F54">
        <v>5928</v>
      </c>
      <c r="G54">
        <v>118</v>
      </c>
      <c r="H54">
        <v>12.4</v>
      </c>
      <c r="I54">
        <v>0.82831597667626111</v>
      </c>
      <c r="J54">
        <v>1</v>
      </c>
    </row>
    <row r="55" spans="1:10" x14ac:dyDescent="0.3">
      <c r="A55" t="s">
        <v>162</v>
      </c>
      <c r="B55" t="s">
        <v>62</v>
      </c>
      <c r="C55">
        <v>5</v>
      </c>
      <c r="D55">
        <v>26959</v>
      </c>
      <c r="E55" t="s">
        <v>69</v>
      </c>
      <c r="F55">
        <v>4259</v>
      </c>
      <c r="G55">
        <v>17</v>
      </c>
      <c r="H55">
        <v>14.3</v>
      </c>
      <c r="I55">
        <v>0.74639450960952336</v>
      </c>
      <c r="J55">
        <v>1</v>
      </c>
    </row>
    <row r="56" spans="1:10" x14ac:dyDescent="0.3">
      <c r="A56" t="s">
        <v>163</v>
      </c>
      <c r="B56" t="s">
        <v>65</v>
      </c>
      <c r="C56">
        <v>2</v>
      </c>
      <c r="D56">
        <v>31159</v>
      </c>
      <c r="E56" t="s">
        <v>66</v>
      </c>
      <c r="F56">
        <v>4690</v>
      </c>
      <c r="G56">
        <v>37</v>
      </c>
      <c r="H56">
        <v>11.3</v>
      </c>
      <c r="I56">
        <v>0.63634051764954747</v>
      </c>
      <c r="J56">
        <v>1</v>
      </c>
    </row>
    <row r="57" spans="1:10" x14ac:dyDescent="0.3">
      <c r="A57" t="s">
        <v>164</v>
      </c>
      <c r="B57" t="s">
        <v>63</v>
      </c>
      <c r="C57">
        <v>2</v>
      </c>
      <c r="D57">
        <v>23657</v>
      </c>
      <c r="E57" t="s">
        <v>68</v>
      </c>
      <c r="F57">
        <v>2641</v>
      </c>
      <c r="G57">
        <v>55</v>
      </c>
      <c r="H57">
        <v>14.2</v>
      </c>
      <c r="I57">
        <v>0.11958014662438876</v>
      </c>
      <c r="J57">
        <v>1</v>
      </c>
    </row>
    <row r="58" spans="1:10" x14ac:dyDescent="0.3">
      <c r="A58" t="s">
        <v>165</v>
      </c>
      <c r="B58" t="s">
        <v>63</v>
      </c>
      <c r="C58">
        <v>7</v>
      </c>
      <c r="D58">
        <v>29985</v>
      </c>
      <c r="E58" t="s">
        <v>68</v>
      </c>
      <c r="F58">
        <v>4499</v>
      </c>
      <c r="G58">
        <v>45</v>
      </c>
      <c r="H58">
        <v>7.1</v>
      </c>
      <c r="I58">
        <v>0.30566444599829867</v>
      </c>
      <c r="J58">
        <v>1</v>
      </c>
    </row>
    <row r="59" spans="1:10" x14ac:dyDescent="0.3">
      <c r="A59" t="s">
        <v>166</v>
      </c>
      <c r="B59" t="s">
        <v>62</v>
      </c>
      <c r="C59">
        <v>8</v>
      </c>
      <c r="D59">
        <v>27990</v>
      </c>
      <c r="E59" t="s">
        <v>66</v>
      </c>
      <c r="F59">
        <v>6195</v>
      </c>
      <c r="G59">
        <v>46</v>
      </c>
      <c r="H59">
        <v>3.3</v>
      </c>
      <c r="I59">
        <v>0.89049115512859478</v>
      </c>
      <c r="J59">
        <v>1</v>
      </c>
    </row>
    <row r="60" spans="1:10" x14ac:dyDescent="0.3">
      <c r="A60" t="s">
        <v>167</v>
      </c>
      <c r="B60" t="s">
        <v>65</v>
      </c>
      <c r="C60">
        <v>2</v>
      </c>
      <c r="D60">
        <v>36849</v>
      </c>
      <c r="E60" t="s">
        <v>67</v>
      </c>
      <c r="F60">
        <v>4257</v>
      </c>
      <c r="G60">
        <v>107</v>
      </c>
      <c r="H60">
        <v>4.4000000000000004</v>
      </c>
      <c r="I60">
        <v>0.87683929874933819</v>
      </c>
      <c r="J60">
        <v>1</v>
      </c>
    </row>
    <row r="61" spans="1:10" x14ac:dyDescent="0.3">
      <c r="A61" t="s">
        <v>168</v>
      </c>
      <c r="B61" t="s">
        <v>62</v>
      </c>
      <c r="C61">
        <v>5</v>
      </c>
      <c r="D61">
        <v>19933</v>
      </c>
      <c r="E61" t="s">
        <v>68</v>
      </c>
      <c r="F61">
        <v>5299</v>
      </c>
      <c r="G61">
        <v>113</v>
      </c>
      <c r="H61">
        <v>7.8</v>
      </c>
      <c r="I61">
        <v>0.5892561793759179</v>
      </c>
      <c r="J61">
        <v>1</v>
      </c>
    </row>
    <row r="62" spans="1:10" x14ac:dyDescent="0.3">
      <c r="A62" t="s">
        <v>169</v>
      </c>
      <c r="B62" t="s">
        <v>65</v>
      </c>
      <c r="C62">
        <v>8</v>
      </c>
      <c r="D62">
        <v>25072</v>
      </c>
      <c r="E62" t="s">
        <v>67</v>
      </c>
      <c r="F62">
        <v>7121</v>
      </c>
      <c r="G62">
        <v>101</v>
      </c>
      <c r="H62">
        <v>2.4</v>
      </c>
      <c r="I62">
        <v>0.82118100808922712</v>
      </c>
      <c r="J62">
        <v>1</v>
      </c>
    </row>
    <row r="63" spans="1:10" x14ac:dyDescent="0.3">
      <c r="A63" t="s">
        <v>170</v>
      </c>
      <c r="B63" t="s">
        <v>65</v>
      </c>
      <c r="C63">
        <v>3</v>
      </c>
      <c r="D63">
        <v>44572</v>
      </c>
      <c r="E63" t="s">
        <v>68</v>
      </c>
      <c r="F63">
        <v>4082</v>
      </c>
      <c r="G63">
        <v>53</v>
      </c>
      <c r="H63">
        <v>13.4</v>
      </c>
      <c r="I63">
        <v>0.66381046987432324</v>
      </c>
      <c r="J63">
        <v>1</v>
      </c>
    </row>
    <row r="64" spans="1:10" x14ac:dyDescent="0.3">
      <c r="A64" t="s">
        <v>171</v>
      </c>
      <c r="B64" t="s">
        <v>65</v>
      </c>
      <c r="C64">
        <v>3</v>
      </c>
      <c r="D64">
        <v>24789</v>
      </c>
      <c r="E64" t="s">
        <v>67</v>
      </c>
      <c r="F64">
        <v>4053</v>
      </c>
      <c r="G64">
        <v>102</v>
      </c>
      <c r="H64">
        <v>14.4</v>
      </c>
      <c r="I64">
        <v>0.72289444846711326</v>
      </c>
      <c r="J64">
        <v>1</v>
      </c>
    </row>
    <row r="65" spans="1:10" x14ac:dyDescent="0.3">
      <c r="A65" t="s">
        <v>172</v>
      </c>
      <c r="B65" t="s">
        <v>62</v>
      </c>
      <c r="C65">
        <v>4</v>
      </c>
      <c r="D65">
        <v>27269</v>
      </c>
      <c r="E65" t="s">
        <v>68</v>
      </c>
      <c r="F65">
        <v>5306</v>
      </c>
      <c r="G65">
        <v>76</v>
      </c>
      <c r="H65">
        <v>11.3</v>
      </c>
      <c r="I65">
        <v>0.87998554787099093</v>
      </c>
      <c r="J65">
        <v>1</v>
      </c>
    </row>
    <row r="66" spans="1:10" x14ac:dyDescent="0.3">
      <c r="A66" t="s">
        <v>173</v>
      </c>
      <c r="B66" t="s">
        <v>62</v>
      </c>
      <c r="C66">
        <v>3</v>
      </c>
      <c r="D66">
        <v>28381</v>
      </c>
      <c r="E66" t="s">
        <v>67</v>
      </c>
      <c r="F66">
        <v>4065</v>
      </c>
      <c r="G66">
        <v>116</v>
      </c>
      <c r="H66">
        <v>14.2</v>
      </c>
      <c r="I66">
        <v>0.7808308067803742</v>
      </c>
      <c r="J66">
        <v>1</v>
      </c>
    </row>
    <row r="67" spans="1:10" x14ac:dyDescent="0.3">
      <c r="A67" t="s">
        <v>174</v>
      </c>
      <c r="B67" t="s">
        <v>65</v>
      </c>
      <c r="C67">
        <v>6</v>
      </c>
      <c r="D67">
        <v>34512</v>
      </c>
      <c r="E67" t="s">
        <v>67</v>
      </c>
      <c r="F67">
        <v>6031</v>
      </c>
      <c r="G67">
        <v>94</v>
      </c>
      <c r="H67">
        <v>6.9</v>
      </c>
      <c r="I67">
        <v>0.48781566453411562</v>
      </c>
      <c r="J67">
        <v>1</v>
      </c>
    </row>
    <row r="68" spans="1:10" x14ac:dyDescent="0.3">
      <c r="A68" t="s">
        <v>175</v>
      </c>
      <c r="B68" t="s">
        <v>63</v>
      </c>
      <c r="C68">
        <v>8</v>
      </c>
      <c r="D68">
        <v>31381</v>
      </c>
      <c r="E68" t="s">
        <v>67</v>
      </c>
      <c r="F68">
        <v>6352</v>
      </c>
      <c r="G68">
        <v>33</v>
      </c>
      <c r="H68">
        <v>10</v>
      </c>
      <c r="I68">
        <v>0.40326818793662311</v>
      </c>
      <c r="J68">
        <v>1</v>
      </c>
    </row>
    <row r="69" spans="1:10" x14ac:dyDescent="0.3">
      <c r="A69" t="s">
        <v>176</v>
      </c>
      <c r="B69" t="s">
        <v>65</v>
      </c>
      <c r="C69">
        <v>2</v>
      </c>
      <c r="D69">
        <v>21730</v>
      </c>
      <c r="E69" t="s">
        <v>68</v>
      </c>
      <c r="F69">
        <v>3155</v>
      </c>
      <c r="G69">
        <v>68</v>
      </c>
      <c r="H69">
        <v>9</v>
      </c>
      <c r="I69">
        <v>0.77711690906503261</v>
      </c>
      <c r="J69">
        <v>1</v>
      </c>
    </row>
    <row r="70" spans="1:10" x14ac:dyDescent="0.3">
      <c r="A70" t="s">
        <v>177</v>
      </c>
      <c r="B70" t="s">
        <v>65</v>
      </c>
      <c r="C70">
        <v>2</v>
      </c>
      <c r="D70">
        <v>33903</v>
      </c>
      <c r="E70" t="s">
        <v>68</v>
      </c>
      <c r="F70">
        <v>2919</v>
      </c>
      <c r="G70">
        <v>27</v>
      </c>
      <c r="H70">
        <v>7.1</v>
      </c>
      <c r="I70">
        <v>0.33530797538567858</v>
      </c>
      <c r="J70">
        <v>1</v>
      </c>
    </row>
    <row r="71" spans="1:10" x14ac:dyDescent="0.3">
      <c r="A71" t="s">
        <v>178</v>
      </c>
      <c r="B71" t="s">
        <v>62</v>
      </c>
      <c r="C71">
        <v>8</v>
      </c>
      <c r="D71">
        <v>25026</v>
      </c>
      <c r="E71" t="s">
        <v>68</v>
      </c>
      <c r="F71">
        <v>6299</v>
      </c>
      <c r="G71">
        <v>118</v>
      </c>
      <c r="H71">
        <v>4.8</v>
      </c>
      <c r="I71">
        <v>0.45526631698255626</v>
      </c>
      <c r="J71">
        <v>1</v>
      </c>
    </row>
    <row r="72" spans="1:10" x14ac:dyDescent="0.3">
      <c r="A72" t="s">
        <v>179</v>
      </c>
      <c r="B72" t="s">
        <v>65</v>
      </c>
      <c r="C72">
        <v>8</v>
      </c>
      <c r="D72">
        <v>17446</v>
      </c>
      <c r="E72" t="s">
        <v>68</v>
      </c>
      <c r="F72">
        <v>5035</v>
      </c>
      <c r="G72">
        <v>58</v>
      </c>
      <c r="H72">
        <v>10.4</v>
      </c>
      <c r="I72">
        <v>0.38203166765030372</v>
      </c>
      <c r="J72">
        <v>1</v>
      </c>
    </row>
    <row r="73" spans="1:10" x14ac:dyDescent="0.3">
      <c r="A73" t="s">
        <v>180</v>
      </c>
      <c r="B73" t="s">
        <v>65</v>
      </c>
      <c r="C73">
        <v>5</v>
      </c>
      <c r="D73">
        <v>16199</v>
      </c>
      <c r="E73" t="s">
        <v>68</v>
      </c>
      <c r="F73">
        <v>5259</v>
      </c>
      <c r="G73">
        <v>108</v>
      </c>
      <c r="H73">
        <v>0.8</v>
      </c>
      <c r="I73">
        <v>0.92844022984038932</v>
      </c>
      <c r="J73">
        <v>1</v>
      </c>
    </row>
    <row r="74" spans="1:10" x14ac:dyDescent="0.3">
      <c r="A74" t="s">
        <v>181</v>
      </c>
      <c r="B74" t="s">
        <v>65</v>
      </c>
      <c r="C74">
        <v>5</v>
      </c>
      <c r="D74">
        <v>17048</v>
      </c>
      <c r="E74" t="s">
        <v>67</v>
      </c>
      <c r="F74">
        <v>4867</v>
      </c>
      <c r="G74">
        <v>110</v>
      </c>
      <c r="H74">
        <v>13.5</v>
      </c>
      <c r="I74">
        <v>0.33175027004972923</v>
      </c>
      <c r="J74">
        <v>1</v>
      </c>
    </row>
    <row r="75" spans="1:10" x14ac:dyDescent="0.3">
      <c r="A75" t="s">
        <v>182</v>
      </c>
      <c r="B75" t="s">
        <v>62</v>
      </c>
      <c r="C75">
        <v>4</v>
      </c>
      <c r="D75">
        <v>27378</v>
      </c>
      <c r="E75" t="s">
        <v>67</v>
      </c>
      <c r="F75">
        <v>3418</v>
      </c>
      <c r="G75">
        <v>98</v>
      </c>
      <c r="H75">
        <v>10.199999999999999</v>
      </c>
      <c r="I75">
        <v>0.67824223167113817</v>
      </c>
      <c r="J75">
        <v>1</v>
      </c>
    </row>
    <row r="76" spans="1:10" x14ac:dyDescent="0.3">
      <c r="A76" t="s">
        <v>183</v>
      </c>
      <c r="B76" t="s">
        <v>65</v>
      </c>
      <c r="C76">
        <v>8</v>
      </c>
      <c r="D76">
        <v>28560</v>
      </c>
      <c r="E76" t="s">
        <v>67</v>
      </c>
      <c r="F76">
        <v>5681</v>
      </c>
      <c r="G76">
        <v>93</v>
      </c>
      <c r="H76">
        <v>9</v>
      </c>
      <c r="I76">
        <v>0.35867051465656508</v>
      </c>
      <c r="J76">
        <v>1</v>
      </c>
    </row>
    <row r="77" spans="1:10" x14ac:dyDescent="0.3">
      <c r="A77" t="s">
        <v>184</v>
      </c>
      <c r="B77" t="s">
        <v>65</v>
      </c>
      <c r="C77">
        <v>6</v>
      </c>
      <c r="D77">
        <v>23746</v>
      </c>
      <c r="E77" t="s">
        <v>69</v>
      </c>
      <c r="F77">
        <v>5128</v>
      </c>
      <c r="G77">
        <v>97</v>
      </c>
      <c r="H77">
        <v>8.3000000000000007</v>
      </c>
      <c r="I77">
        <v>0.27298753341012505</v>
      </c>
      <c r="J77">
        <v>1</v>
      </c>
    </row>
    <row r="78" spans="1:10" x14ac:dyDescent="0.3">
      <c r="A78" t="s">
        <v>185</v>
      </c>
      <c r="B78" t="s">
        <v>62</v>
      </c>
      <c r="C78">
        <v>4</v>
      </c>
      <c r="D78">
        <v>46490</v>
      </c>
      <c r="E78" t="s">
        <v>68</v>
      </c>
      <c r="F78">
        <v>5047</v>
      </c>
      <c r="G78">
        <v>55</v>
      </c>
      <c r="H78">
        <v>5.8</v>
      </c>
      <c r="I78">
        <v>0.85295933478437869</v>
      </c>
      <c r="J78">
        <v>1</v>
      </c>
    </row>
    <row r="79" spans="1:10" x14ac:dyDescent="0.3">
      <c r="A79" t="s">
        <v>186</v>
      </c>
      <c r="B79" t="s">
        <v>64</v>
      </c>
      <c r="C79">
        <v>7</v>
      </c>
      <c r="D79">
        <v>21275</v>
      </c>
      <c r="E79" t="s">
        <v>68</v>
      </c>
      <c r="F79">
        <v>5887</v>
      </c>
      <c r="G79">
        <v>95</v>
      </c>
      <c r="H79">
        <v>5.9</v>
      </c>
      <c r="I79">
        <v>0.86638941294275407</v>
      </c>
      <c r="J79">
        <v>1</v>
      </c>
    </row>
    <row r="80" spans="1:10" x14ac:dyDescent="0.3">
      <c r="A80" t="s">
        <v>187</v>
      </c>
      <c r="B80" t="s">
        <v>64</v>
      </c>
      <c r="C80">
        <v>4</v>
      </c>
      <c r="D80">
        <v>20156</v>
      </c>
      <c r="E80" t="s">
        <v>68</v>
      </c>
      <c r="F80">
        <v>3149</v>
      </c>
      <c r="G80">
        <v>74</v>
      </c>
      <c r="H80">
        <v>8.1999999999999993</v>
      </c>
      <c r="I80">
        <v>0.55195152568506889</v>
      </c>
      <c r="J80">
        <v>1</v>
      </c>
    </row>
    <row r="81" spans="1:10" x14ac:dyDescent="0.3">
      <c r="A81" t="s">
        <v>188</v>
      </c>
      <c r="B81" t="s">
        <v>64</v>
      </c>
      <c r="C81">
        <v>2</v>
      </c>
      <c r="D81">
        <v>34195</v>
      </c>
      <c r="E81" t="s">
        <v>67</v>
      </c>
      <c r="F81">
        <v>2866</v>
      </c>
      <c r="G81">
        <v>61</v>
      </c>
      <c r="H81">
        <v>3.1</v>
      </c>
      <c r="I81">
        <v>0.75284945786661472</v>
      </c>
      <c r="J81">
        <v>1</v>
      </c>
    </row>
    <row r="82" spans="1:10" x14ac:dyDescent="0.3">
      <c r="A82" t="s">
        <v>189</v>
      </c>
      <c r="B82" t="s">
        <v>63</v>
      </c>
      <c r="C82">
        <v>8</v>
      </c>
      <c r="D82">
        <v>35168</v>
      </c>
      <c r="E82" t="s">
        <v>66</v>
      </c>
      <c r="F82">
        <v>5651</v>
      </c>
      <c r="G82">
        <v>113</v>
      </c>
      <c r="H82">
        <v>1.4</v>
      </c>
      <c r="I82">
        <v>0.4288410067052002</v>
      </c>
      <c r="J82">
        <v>1</v>
      </c>
    </row>
    <row r="83" spans="1:10" x14ac:dyDescent="0.3">
      <c r="A83" t="s">
        <v>190</v>
      </c>
      <c r="B83" t="s">
        <v>64</v>
      </c>
      <c r="C83">
        <v>4</v>
      </c>
      <c r="D83">
        <v>28150</v>
      </c>
      <c r="E83" t="s">
        <v>69</v>
      </c>
      <c r="F83">
        <v>4373</v>
      </c>
      <c r="G83">
        <v>118</v>
      </c>
      <c r="H83">
        <v>6.2</v>
      </c>
      <c r="I83">
        <v>0.70033142230294676</v>
      </c>
      <c r="J83">
        <v>1</v>
      </c>
    </row>
    <row r="84" spans="1:10" x14ac:dyDescent="0.3">
      <c r="A84" t="s">
        <v>191</v>
      </c>
      <c r="B84" t="s">
        <v>64</v>
      </c>
      <c r="C84">
        <v>8</v>
      </c>
      <c r="D84">
        <v>32197</v>
      </c>
      <c r="E84" t="s">
        <v>66</v>
      </c>
      <c r="F84">
        <v>5216</v>
      </c>
      <c r="G84">
        <v>47</v>
      </c>
      <c r="H84">
        <v>1</v>
      </c>
      <c r="I84">
        <v>0.11516166657609717</v>
      </c>
      <c r="J84">
        <v>1</v>
      </c>
    </row>
    <row r="85" spans="1:10" x14ac:dyDescent="0.3">
      <c r="A85" t="s">
        <v>192</v>
      </c>
      <c r="B85" t="s">
        <v>65</v>
      </c>
      <c r="C85">
        <v>5</v>
      </c>
      <c r="D85">
        <v>29458</v>
      </c>
      <c r="E85" t="s">
        <v>69</v>
      </c>
      <c r="F85">
        <v>4963</v>
      </c>
      <c r="G85">
        <v>88</v>
      </c>
      <c r="H85">
        <v>4.7</v>
      </c>
      <c r="I85">
        <v>0.80356751096346335</v>
      </c>
      <c r="J85">
        <v>1</v>
      </c>
    </row>
    <row r="86" spans="1:10" x14ac:dyDescent="0.3">
      <c r="A86" t="s">
        <v>193</v>
      </c>
      <c r="B86" t="s">
        <v>63</v>
      </c>
      <c r="C86">
        <v>4</v>
      </c>
      <c r="D86">
        <v>22017</v>
      </c>
      <c r="E86" t="s">
        <v>67</v>
      </c>
      <c r="F86">
        <v>3884</v>
      </c>
      <c r="G86">
        <v>18</v>
      </c>
      <c r="H86">
        <v>12</v>
      </c>
      <c r="I86">
        <v>0.22761300558282971</v>
      </c>
      <c r="J86">
        <v>1</v>
      </c>
    </row>
    <row r="87" spans="1:10" x14ac:dyDescent="0.3">
      <c r="A87" t="s">
        <v>194</v>
      </c>
      <c r="B87" t="s">
        <v>63</v>
      </c>
      <c r="C87">
        <v>6</v>
      </c>
      <c r="D87">
        <v>21541</v>
      </c>
      <c r="E87" t="s">
        <v>67</v>
      </c>
      <c r="F87">
        <v>4688</v>
      </c>
      <c r="G87">
        <v>20</v>
      </c>
      <c r="H87">
        <v>3.1</v>
      </c>
      <c r="I87">
        <v>0.12999711767666977</v>
      </c>
      <c r="J87">
        <v>1</v>
      </c>
    </row>
    <row r="88" spans="1:10" x14ac:dyDescent="0.3">
      <c r="A88" t="s">
        <v>195</v>
      </c>
      <c r="B88" t="s">
        <v>62</v>
      </c>
      <c r="C88">
        <v>3</v>
      </c>
      <c r="D88">
        <v>37372</v>
      </c>
      <c r="E88" t="s">
        <v>69</v>
      </c>
      <c r="F88">
        <v>4409</v>
      </c>
      <c r="G88">
        <v>67</v>
      </c>
      <c r="H88">
        <v>3.9</v>
      </c>
      <c r="I88">
        <v>0.57747531836219157</v>
      </c>
      <c r="J88">
        <v>1</v>
      </c>
    </row>
    <row r="89" spans="1:10" x14ac:dyDescent="0.3">
      <c r="A89" t="s">
        <v>196</v>
      </c>
      <c r="B89" t="s">
        <v>65</v>
      </c>
      <c r="C89">
        <v>4</v>
      </c>
      <c r="D89">
        <v>27058</v>
      </c>
      <c r="E89" t="s">
        <v>67</v>
      </c>
      <c r="F89">
        <v>4062</v>
      </c>
      <c r="G89">
        <v>65</v>
      </c>
      <c r="H89">
        <v>9</v>
      </c>
      <c r="I89">
        <v>5.9264440911213745E-2</v>
      </c>
      <c r="J89">
        <v>1</v>
      </c>
    </row>
    <row r="90" spans="1:10" x14ac:dyDescent="0.3">
      <c r="A90" t="s">
        <v>197</v>
      </c>
      <c r="B90" t="s">
        <v>63</v>
      </c>
      <c r="C90">
        <v>3</v>
      </c>
      <c r="D90">
        <v>21305</v>
      </c>
      <c r="E90" t="s">
        <v>67</v>
      </c>
      <c r="F90">
        <v>3416</v>
      </c>
      <c r="G90">
        <v>65</v>
      </c>
      <c r="H90">
        <v>6.1</v>
      </c>
      <c r="I90">
        <v>0.87565346046336012</v>
      </c>
      <c r="J90">
        <v>1</v>
      </c>
    </row>
    <row r="91" spans="1:10" x14ac:dyDescent="0.3">
      <c r="A91" t="s">
        <v>198</v>
      </c>
      <c r="B91" t="s">
        <v>62</v>
      </c>
      <c r="C91">
        <v>4</v>
      </c>
      <c r="D91">
        <v>22955</v>
      </c>
      <c r="E91" t="s">
        <v>67</v>
      </c>
      <c r="F91">
        <v>3967</v>
      </c>
      <c r="G91">
        <v>45</v>
      </c>
      <c r="H91">
        <v>4.5999999999999996</v>
      </c>
      <c r="I91">
        <v>0.28866936052847725</v>
      </c>
      <c r="J91">
        <v>1</v>
      </c>
    </row>
    <row r="92" spans="1:10" x14ac:dyDescent="0.3">
      <c r="A92" t="s">
        <v>199</v>
      </c>
      <c r="B92" t="s">
        <v>65</v>
      </c>
      <c r="C92">
        <v>6</v>
      </c>
      <c r="D92">
        <v>26906</v>
      </c>
      <c r="E92" t="s">
        <v>67</v>
      </c>
      <c r="F92">
        <v>4946</v>
      </c>
      <c r="G92">
        <v>109</v>
      </c>
      <c r="H92">
        <v>5</v>
      </c>
      <c r="I92">
        <v>0.41421646111164423</v>
      </c>
      <c r="J92">
        <v>1</v>
      </c>
    </row>
    <row r="93" spans="1:10" x14ac:dyDescent="0.3">
      <c r="A93" t="s">
        <v>200</v>
      </c>
      <c r="B93" t="s">
        <v>65</v>
      </c>
      <c r="C93">
        <v>5</v>
      </c>
      <c r="D93">
        <v>34084</v>
      </c>
      <c r="E93" t="s">
        <v>68</v>
      </c>
      <c r="F93">
        <v>5692</v>
      </c>
      <c r="G93">
        <v>62</v>
      </c>
      <c r="H93">
        <v>5.8</v>
      </c>
      <c r="I93">
        <v>0.8422575440921094</v>
      </c>
      <c r="J93">
        <v>1</v>
      </c>
    </row>
    <row r="94" spans="1:10" x14ac:dyDescent="0.3">
      <c r="A94" t="s">
        <v>201</v>
      </c>
      <c r="B94" t="s">
        <v>62</v>
      </c>
      <c r="C94">
        <v>6</v>
      </c>
      <c r="D94">
        <v>44042</v>
      </c>
      <c r="E94" t="s">
        <v>69</v>
      </c>
      <c r="F94">
        <v>5829</v>
      </c>
      <c r="G94">
        <v>105</v>
      </c>
      <c r="H94">
        <v>14.1</v>
      </c>
      <c r="I94">
        <v>0.25789215536987886</v>
      </c>
      <c r="J94">
        <v>1</v>
      </c>
    </row>
    <row r="95" spans="1:10" x14ac:dyDescent="0.3">
      <c r="A95" t="s">
        <v>202</v>
      </c>
      <c r="B95" t="s">
        <v>62</v>
      </c>
      <c r="C95">
        <v>4</v>
      </c>
      <c r="D95">
        <v>43828</v>
      </c>
      <c r="E95" t="s">
        <v>68</v>
      </c>
      <c r="F95">
        <v>5342</v>
      </c>
      <c r="G95">
        <v>31</v>
      </c>
      <c r="H95">
        <v>1.4</v>
      </c>
      <c r="I95">
        <v>0.75760366522403311</v>
      </c>
      <c r="J95">
        <v>1</v>
      </c>
    </row>
    <row r="96" spans="1:10" x14ac:dyDescent="0.3">
      <c r="A96" t="s">
        <v>203</v>
      </c>
      <c r="B96" t="s">
        <v>63</v>
      </c>
      <c r="C96">
        <v>6</v>
      </c>
      <c r="D96">
        <v>27370</v>
      </c>
      <c r="E96" t="s">
        <v>69</v>
      </c>
      <c r="F96">
        <v>5426</v>
      </c>
      <c r="G96">
        <v>21</v>
      </c>
      <c r="H96">
        <v>13.3</v>
      </c>
      <c r="I96">
        <v>0.64260844736414469</v>
      </c>
      <c r="J96">
        <v>1</v>
      </c>
    </row>
    <row r="97" spans="1:10" x14ac:dyDescent="0.3">
      <c r="A97" t="s">
        <v>204</v>
      </c>
      <c r="B97" t="s">
        <v>62</v>
      </c>
      <c r="C97">
        <v>8</v>
      </c>
      <c r="D97">
        <v>30363</v>
      </c>
      <c r="E97" t="s">
        <v>68</v>
      </c>
      <c r="F97">
        <v>6679</v>
      </c>
      <c r="G97">
        <v>100</v>
      </c>
      <c r="H97">
        <v>0.7</v>
      </c>
      <c r="I97">
        <v>0.97610497005164798</v>
      </c>
      <c r="J97">
        <v>1</v>
      </c>
    </row>
    <row r="98" spans="1:10" x14ac:dyDescent="0.3">
      <c r="A98" t="s">
        <v>205</v>
      </c>
      <c r="B98" t="s">
        <v>65</v>
      </c>
      <c r="C98">
        <v>2</v>
      </c>
      <c r="D98">
        <v>33931</v>
      </c>
      <c r="E98" t="s">
        <v>67</v>
      </c>
      <c r="F98">
        <v>4502</v>
      </c>
      <c r="G98">
        <v>107</v>
      </c>
      <c r="H98">
        <v>10.1</v>
      </c>
      <c r="I98">
        <v>0.68733984596666198</v>
      </c>
      <c r="J98">
        <v>1</v>
      </c>
    </row>
    <row r="99" spans="1:10" x14ac:dyDescent="0.3">
      <c r="A99" t="s">
        <v>206</v>
      </c>
      <c r="B99" t="s">
        <v>62</v>
      </c>
      <c r="C99">
        <v>3</v>
      </c>
      <c r="D99">
        <v>30627</v>
      </c>
      <c r="E99" t="s">
        <v>66</v>
      </c>
      <c r="F99">
        <v>3319</v>
      </c>
      <c r="G99">
        <v>23</v>
      </c>
      <c r="H99">
        <v>8.6999999999999993</v>
      </c>
      <c r="I99">
        <v>0.93632028820199775</v>
      </c>
      <c r="J99">
        <v>1</v>
      </c>
    </row>
    <row r="100" spans="1:10" x14ac:dyDescent="0.3">
      <c r="A100" t="s">
        <v>207</v>
      </c>
      <c r="B100" t="s">
        <v>62</v>
      </c>
      <c r="C100">
        <v>6</v>
      </c>
      <c r="D100">
        <v>18802</v>
      </c>
      <c r="E100" t="s">
        <v>69</v>
      </c>
      <c r="F100">
        <v>4776</v>
      </c>
      <c r="G100">
        <v>57</v>
      </c>
      <c r="H100">
        <v>9.4</v>
      </c>
      <c r="I100">
        <v>0.72554032864824725</v>
      </c>
      <c r="J100">
        <v>1</v>
      </c>
    </row>
    <row r="101" spans="1:10" x14ac:dyDescent="0.3">
      <c r="A101" t="s">
        <v>208</v>
      </c>
      <c r="B101" t="s">
        <v>63</v>
      </c>
      <c r="C101">
        <v>5</v>
      </c>
      <c r="D101">
        <v>11300</v>
      </c>
      <c r="E101" t="s">
        <v>68</v>
      </c>
      <c r="F101">
        <v>4767</v>
      </c>
      <c r="G101">
        <v>66</v>
      </c>
      <c r="H101">
        <v>7.6</v>
      </c>
      <c r="I101">
        <v>0.4756475371632678</v>
      </c>
      <c r="J101">
        <v>1</v>
      </c>
    </row>
    <row r="102" spans="1:10" x14ac:dyDescent="0.3">
      <c r="A102" t="s">
        <v>209</v>
      </c>
      <c r="B102" t="s">
        <v>63</v>
      </c>
      <c r="C102">
        <v>5</v>
      </c>
      <c r="D102">
        <v>19868</v>
      </c>
      <c r="E102" t="s">
        <v>67</v>
      </c>
      <c r="F102">
        <v>3790</v>
      </c>
      <c r="G102">
        <v>99</v>
      </c>
      <c r="H102">
        <v>4.9000000000000004</v>
      </c>
      <c r="I102">
        <v>0.76242607069350576</v>
      </c>
      <c r="J102">
        <v>1</v>
      </c>
    </row>
    <row r="103" spans="1:10" x14ac:dyDescent="0.3">
      <c r="A103" t="s">
        <v>210</v>
      </c>
      <c r="B103" t="s">
        <v>65</v>
      </c>
      <c r="C103">
        <v>8</v>
      </c>
      <c r="D103">
        <v>30000</v>
      </c>
      <c r="E103" t="s">
        <v>67</v>
      </c>
      <c r="F103">
        <v>4841</v>
      </c>
      <c r="G103">
        <v>93</v>
      </c>
      <c r="H103">
        <v>8.3000000000000007</v>
      </c>
      <c r="I103">
        <v>0.62285550858868877</v>
      </c>
      <c r="J103">
        <v>1</v>
      </c>
    </row>
    <row r="104" spans="1:10" x14ac:dyDescent="0.3">
      <c r="A104" t="s">
        <v>211</v>
      </c>
      <c r="B104" t="s">
        <v>63</v>
      </c>
      <c r="C104">
        <v>6</v>
      </c>
      <c r="D104">
        <v>30923</v>
      </c>
      <c r="E104" t="s">
        <v>67</v>
      </c>
      <c r="F104">
        <v>4431</v>
      </c>
      <c r="G104">
        <v>46</v>
      </c>
      <c r="H104">
        <v>4.7</v>
      </c>
      <c r="I104">
        <v>0.54793123363716179</v>
      </c>
      <c r="J104">
        <v>1</v>
      </c>
    </row>
    <row r="105" spans="1:10" x14ac:dyDescent="0.3">
      <c r="A105" t="s">
        <v>212</v>
      </c>
      <c r="B105" t="s">
        <v>63</v>
      </c>
      <c r="C105">
        <v>5</v>
      </c>
      <c r="D105">
        <v>28399</v>
      </c>
      <c r="E105" t="s">
        <v>68</v>
      </c>
      <c r="F105">
        <v>5047</v>
      </c>
      <c r="G105">
        <v>96</v>
      </c>
      <c r="H105">
        <v>7.5</v>
      </c>
      <c r="I105">
        <v>0.38686442138595611</v>
      </c>
      <c r="J105">
        <v>1</v>
      </c>
    </row>
    <row r="106" spans="1:10" x14ac:dyDescent="0.3">
      <c r="A106" t="s">
        <v>213</v>
      </c>
      <c r="B106" t="s">
        <v>63</v>
      </c>
      <c r="C106">
        <v>7</v>
      </c>
      <c r="D106">
        <v>22923</v>
      </c>
      <c r="E106" t="s">
        <v>67</v>
      </c>
      <c r="F106">
        <v>6271</v>
      </c>
      <c r="G106">
        <v>81</v>
      </c>
      <c r="H106">
        <v>9.5</v>
      </c>
      <c r="I106">
        <v>0.95628072983947088</v>
      </c>
      <c r="J106">
        <v>1</v>
      </c>
    </row>
    <row r="107" spans="1:10" x14ac:dyDescent="0.3">
      <c r="A107" t="s">
        <v>214</v>
      </c>
      <c r="B107" t="s">
        <v>64</v>
      </c>
      <c r="C107">
        <v>3</v>
      </c>
      <c r="D107">
        <v>32264</v>
      </c>
      <c r="E107" t="s">
        <v>69</v>
      </c>
      <c r="F107">
        <v>4792</v>
      </c>
      <c r="G107">
        <v>102</v>
      </c>
      <c r="H107">
        <v>5.3</v>
      </c>
      <c r="I107">
        <v>0.95678149661634793</v>
      </c>
      <c r="J107">
        <v>1</v>
      </c>
    </row>
    <row r="108" spans="1:10" x14ac:dyDescent="0.3">
      <c r="A108" t="s">
        <v>215</v>
      </c>
      <c r="B108" t="s">
        <v>63</v>
      </c>
      <c r="C108">
        <v>2</v>
      </c>
      <c r="D108">
        <v>39360</v>
      </c>
      <c r="E108" t="s">
        <v>67</v>
      </c>
      <c r="F108">
        <v>4257</v>
      </c>
      <c r="G108">
        <v>60</v>
      </c>
      <c r="H108">
        <v>2.6</v>
      </c>
      <c r="I108">
        <v>0.38753336553851014</v>
      </c>
      <c r="J108">
        <v>1</v>
      </c>
    </row>
    <row r="109" spans="1:10" x14ac:dyDescent="0.3">
      <c r="A109" t="s">
        <v>216</v>
      </c>
      <c r="B109" t="s">
        <v>65</v>
      </c>
      <c r="C109">
        <v>2</v>
      </c>
      <c r="D109">
        <v>33425</v>
      </c>
      <c r="E109" t="s">
        <v>69</v>
      </c>
      <c r="F109">
        <v>3610</v>
      </c>
      <c r="G109">
        <v>40</v>
      </c>
      <c r="H109">
        <v>5.5</v>
      </c>
      <c r="I109">
        <v>0.98033810980978331</v>
      </c>
      <c r="J109">
        <v>1</v>
      </c>
    </row>
    <row r="110" spans="1:10" x14ac:dyDescent="0.3">
      <c r="A110" t="s">
        <v>217</v>
      </c>
      <c r="B110" t="s">
        <v>62</v>
      </c>
      <c r="C110">
        <v>7</v>
      </c>
      <c r="D110">
        <v>21701</v>
      </c>
      <c r="E110" t="s">
        <v>68</v>
      </c>
      <c r="F110">
        <v>5932</v>
      </c>
      <c r="G110">
        <v>28</v>
      </c>
      <c r="H110">
        <v>9.3000000000000007</v>
      </c>
      <c r="I110">
        <v>0.72574860624892823</v>
      </c>
      <c r="J110">
        <v>1</v>
      </c>
    </row>
    <row r="111" spans="1:10" x14ac:dyDescent="0.3">
      <c r="A111" t="s">
        <v>218</v>
      </c>
      <c r="B111" t="s">
        <v>65</v>
      </c>
      <c r="C111">
        <v>3</v>
      </c>
      <c r="D111">
        <v>28882</v>
      </c>
      <c r="E111" t="s">
        <v>68</v>
      </c>
      <c r="F111">
        <v>5113</v>
      </c>
      <c r="G111">
        <v>93</v>
      </c>
      <c r="H111">
        <v>1.7</v>
      </c>
      <c r="I111">
        <v>0.27887009186675493</v>
      </c>
      <c r="J111">
        <v>1</v>
      </c>
    </row>
    <row r="112" spans="1:10" x14ac:dyDescent="0.3">
      <c r="A112" t="s">
        <v>219</v>
      </c>
      <c r="B112" t="s">
        <v>64</v>
      </c>
      <c r="C112">
        <v>8</v>
      </c>
      <c r="D112">
        <v>15079</v>
      </c>
      <c r="E112" t="s">
        <v>68</v>
      </c>
      <c r="F112">
        <v>5175</v>
      </c>
      <c r="G112">
        <v>117</v>
      </c>
      <c r="H112">
        <v>4.4000000000000004</v>
      </c>
      <c r="I112">
        <v>0.62301678325789411</v>
      </c>
      <c r="J112">
        <v>1</v>
      </c>
    </row>
    <row r="113" spans="1:10" x14ac:dyDescent="0.3">
      <c r="A113" t="s">
        <v>220</v>
      </c>
      <c r="B113" t="s">
        <v>63</v>
      </c>
      <c r="C113">
        <v>5</v>
      </c>
      <c r="D113">
        <v>20004</v>
      </c>
      <c r="E113" t="s">
        <v>67</v>
      </c>
      <c r="F113">
        <v>5761</v>
      </c>
      <c r="G113">
        <v>56</v>
      </c>
      <c r="H113">
        <v>13.8</v>
      </c>
      <c r="I113">
        <v>0.72240857704212214</v>
      </c>
      <c r="J113">
        <v>1</v>
      </c>
    </row>
    <row r="114" spans="1:10" x14ac:dyDescent="0.3">
      <c r="A114" t="s">
        <v>221</v>
      </c>
      <c r="B114" t="s">
        <v>64</v>
      </c>
      <c r="C114">
        <v>4</v>
      </c>
      <c r="D114">
        <v>35370</v>
      </c>
      <c r="E114" t="s">
        <v>68</v>
      </c>
      <c r="F114">
        <v>3397</v>
      </c>
      <c r="G114">
        <v>96</v>
      </c>
      <c r="H114">
        <v>9.3000000000000007</v>
      </c>
      <c r="I114">
        <v>0.67371292363670887</v>
      </c>
      <c r="J114">
        <v>1</v>
      </c>
    </row>
    <row r="115" spans="1:10" x14ac:dyDescent="0.3">
      <c r="A115" t="s">
        <v>222</v>
      </c>
      <c r="B115" t="s">
        <v>63</v>
      </c>
      <c r="C115">
        <v>3</v>
      </c>
      <c r="D115">
        <v>36007</v>
      </c>
      <c r="E115" t="s">
        <v>67</v>
      </c>
      <c r="F115">
        <v>4699</v>
      </c>
      <c r="G115">
        <v>16</v>
      </c>
      <c r="H115">
        <v>8.6</v>
      </c>
      <c r="I115">
        <v>0.26412674648078782</v>
      </c>
      <c r="J115">
        <v>1</v>
      </c>
    </row>
    <row r="116" spans="1:10" x14ac:dyDescent="0.3">
      <c r="A116" t="s">
        <v>223</v>
      </c>
      <c r="B116" t="s">
        <v>65</v>
      </c>
      <c r="C116">
        <v>3</v>
      </c>
      <c r="D116">
        <v>30700</v>
      </c>
      <c r="E116" t="s">
        <v>69</v>
      </c>
      <c r="F116">
        <v>4774</v>
      </c>
      <c r="G116">
        <v>36</v>
      </c>
      <c r="H116">
        <v>0.5</v>
      </c>
      <c r="I116">
        <v>0.35966753311330912</v>
      </c>
      <c r="J116">
        <v>1</v>
      </c>
    </row>
    <row r="117" spans="1:10" x14ac:dyDescent="0.3">
      <c r="A117" t="s">
        <v>224</v>
      </c>
      <c r="B117" t="s">
        <v>64</v>
      </c>
      <c r="C117">
        <v>8</v>
      </c>
      <c r="D117">
        <v>37581</v>
      </c>
      <c r="E117" t="s">
        <v>68</v>
      </c>
      <c r="F117">
        <v>5941</v>
      </c>
      <c r="G117">
        <v>53</v>
      </c>
      <c r="H117">
        <v>2.4</v>
      </c>
      <c r="I117">
        <v>0.65604649754217637</v>
      </c>
      <c r="J117">
        <v>1</v>
      </c>
    </row>
    <row r="118" spans="1:10" x14ac:dyDescent="0.3">
      <c r="A118" t="s">
        <v>225</v>
      </c>
      <c r="B118" t="s">
        <v>65</v>
      </c>
      <c r="C118">
        <v>8</v>
      </c>
      <c r="D118">
        <v>27364</v>
      </c>
      <c r="E118" t="s">
        <v>69</v>
      </c>
      <c r="F118">
        <v>5743</v>
      </c>
      <c r="G118">
        <v>52</v>
      </c>
      <c r="H118">
        <v>8</v>
      </c>
      <c r="I118">
        <v>0.57672025124499615</v>
      </c>
      <c r="J118">
        <v>1</v>
      </c>
    </row>
    <row r="119" spans="1:10" x14ac:dyDescent="0.3">
      <c r="A119" t="s">
        <v>226</v>
      </c>
      <c r="B119" t="s">
        <v>64</v>
      </c>
      <c r="C119">
        <v>4</v>
      </c>
      <c r="D119">
        <v>26678</v>
      </c>
      <c r="E119" t="s">
        <v>68</v>
      </c>
      <c r="F119">
        <v>5344</v>
      </c>
      <c r="G119">
        <v>81</v>
      </c>
      <c r="H119">
        <v>7</v>
      </c>
      <c r="I119">
        <v>0.85869309057675636</v>
      </c>
      <c r="J119">
        <v>1</v>
      </c>
    </row>
    <row r="120" spans="1:10" x14ac:dyDescent="0.3">
      <c r="A120" t="s">
        <v>227</v>
      </c>
      <c r="B120" t="s">
        <v>65</v>
      </c>
      <c r="C120">
        <v>8</v>
      </c>
      <c r="D120">
        <v>41103</v>
      </c>
      <c r="E120" t="s">
        <v>68</v>
      </c>
      <c r="F120">
        <v>5911</v>
      </c>
      <c r="G120">
        <v>65</v>
      </c>
      <c r="H120">
        <v>6.7</v>
      </c>
      <c r="I120">
        <v>0.97962604800631281</v>
      </c>
      <c r="J120">
        <v>1</v>
      </c>
    </row>
    <row r="121" spans="1:10" x14ac:dyDescent="0.3">
      <c r="A121" t="s">
        <v>228</v>
      </c>
      <c r="B121" t="s">
        <v>65</v>
      </c>
      <c r="C121">
        <v>8</v>
      </c>
      <c r="D121">
        <v>17342</v>
      </c>
      <c r="E121" t="s">
        <v>68</v>
      </c>
      <c r="F121">
        <v>5003</v>
      </c>
      <c r="G121">
        <v>92</v>
      </c>
      <c r="H121">
        <v>3.3</v>
      </c>
      <c r="I121">
        <v>0.98991424627336944</v>
      </c>
      <c r="J121">
        <v>1</v>
      </c>
    </row>
    <row r="122" spans="1:10" x14ac:dyDescent="0.3">
      <c r="A122" t="s">
        <v>229</v>
      </c>
      <c r="B122" t="s">
        <v>62</v>
      </c>
      <c r="C122">
        <v>5</v>
      </c>
      <c r="D122">
        <v>42626</v>
      </c>
      <c r="E122" t="s">
        <v>67</v>
      </c>
      <c r="F122">
        <v>3968</v>
      </c>
      <c r="G122">
        <v>93</v>
      </c>
      <c r="H122">
        <v>2.2999999999999998</v>
      </c>
      <c r="I122">
        <v>0.71421644097004433</v>
      </c>
      <c r="J122">
        <v>1</v>
      </c>
    </row>
    <row r="123" spans="1:10" x14ac:dyDescent="0.3">
      <c r="A123" t="s">
        <v>230</v>
      </c>
      <c r="B123" t="s">
        <v>64</v>
      </c>
      <c r="C123">
        <v>2</v>
      </c>
      <c r="D123">
        <v>25136</v>
      </c>
      <c r="E123" t="s">
        <v>69</v>
      </c>
      <c r="F123">
        <v>2887</v>
      </c>
      <c r="G123">
        <v>25</v>
      </c>
      <c r="H123">
        <v>6.2</v>
      </c>
      <c r="I123">
        <v>0.58931755657172835</v>
      </c>
      <c r="J123">
        <v>1</v>
      </c>
    </row>
    <row r="124" spans="1:10" x14ac:dyDescent="0.3">
      <c r="A124" t="s">
        <v>231</v>
      </c>
      <c r="B124" t="s">
        <v>65</v>
      </c>
      <c r="C124">
        <v>6</v>
      </c>
      <c r="D124">
        <v>24460</v>
      </c>
      <c r="E124" t="s">
        <v>68</v>
      </c>
      <c r="F124">
        <v>4020</v>
      </c>
      <c r="G124">
        <v>72</v>
      </c>
      <c r="H124">
        <v>12.5</v>
      </c>
      <c r="I124">
        <v>0.7235744204149307</v>
      </c>
      <c r="J124">
        <v>1</v>
      </c>
    </row>
    <row r="125" spans="1:10" x14ac:dyDescent="0.3">
      <c r="A125" t="s">
        <v>232</v>
      </c>
      <c r="B125" t="s">
        <v>63</v>
      </c>
      <c r="C125">
        <v>4</v>
      </c>
      <c r="D125">
        <v>20855</v>
      </c>
      <c r="E125" t="s">
        <v>68</v>
      </c>
      <c r="F125">
        <v>4146</v>
      </c>
      <c r="G125">
        <v>28</v>
      </c>
      <c r="H125">
        <v>12.2</v>
      </c>
      <c r="I125">
        <v>0.9747380435760995</v>
      </c>
      <c r="J125">
        <v>1</v>
      </c>
    </row>
    <row r="126" spans="1:10" x14ac:dyDescent="0.3">
      <c r="A126" t="s">
        <v>233</v>
      </c>
      <c r="B126" t="s">
        <v>64</v>
      </c>
      <c r="C126">
        <v>2</v>
      </c>
      <c r="D126">
        <v>37100</v>
      </c>
      <c r="E126" t="s">
        <v>68</v>
      </c>
      <c r="F126">
        <v>4609</v>
      </c>
      <c r="G126">
        <v>88</v>
      </c>
      <c r="H126">
        <v>7</v>
      </c>
      <c r="I126">
        <v>0.15532786659319908</v>
      </c>
      <c r="J126">
        <v>1</v>
      </c>
    </row>
    <row r="127" spans="1:10" x14ac:dyDescent="0.3">
      <c r="A127" t="s">
        <v>234</v>
      </c>
      <c r="B127" t="s">
        <v>64</v>
      </c>
      <c r="C127">
        <v>5</v>
      </c>
      <c r="D127">
        <v>21492</v>
      </c>
      <c r="E127" t="s">
        <v>67</v>
      </c>
      <c r="F127">
        <v>5335</v>
      </c>
      <c r="G127">
        <v>16</v>
      </c>
      <c r="H127">
        <v>14.3</v>
      </c>
      <c r="I127">
        <v>0.90289195582231607</v>
      </c>
      <c r="J127">
        <v>1</v>
      </c>
    </row>
    <row r="128" spans="1:10" x14ac:dyDescent="0.3">
      <c r="A128" t="s">
        <v>235</v>
      </c>
      <c r="B128" t="s">
        <v>63</v>
      </c>
      <c r="C128">
        <v>7</v>
      </c>
      <c r="D128">
        <v>26841</v>
      </c>
      <c r="E128" t="s">
        <v>68</v>
      </c>
      <c r="F128">
        <v>5721</v>
      </c>
      <c r="G128">
        <v>58</v>
      </c>
      <c r="H128">
        <v>3.4</v>
      </c>
      <c r="I128">
        <v>0.50293346418018392</v>
      </c>
      <c r="J128">
        <v>1</v>
      </c>
    </row>
    <row r="129" spans="1:10" x14ac:dyDescent="0.3">
      <c r="A129" t="s">
        <v>236</v>
      </c>
      <c r="B129" t="s">
        <v>62</v>
      </c>
      <c r="C129">
        <v>4</v>
      </c>
      <c r="D129">
        <v>17057</v>
      </c>
      <c r="E129" t="s">
        <v>69</v>
      </c>
      <c r="F129">
        <v>4320</v>
      </c>
      <c r="G129">
        <v>95</v>
      </c>
      <c r="H129">
        <v>2.8</v>
      </c>
      <c r="I129">
        <v>0.13589486531403716</v>
      </c>
      <c r="J129">
        <v>1</v>
      </c>
    </row>
    <row r="130" spans="1:10" x14ac:dyDescent="0.3">
      <c r="A130" t="s">
        <v>237</v>
      </c>
      <c r="B130" t="s">
        <v>64</v>
      </c>
      <c r="C130">
        <v>3</v>
      </c>
      <c r="D130">
        <v>31967</v>
      </c>
      <c r="E130" t="s">
        <v>69</v>
      </c>
      <c r="F130">
        <v>4043</v>
      </c>
      <c r="G130">
        <v>71</v>
      </c>
      <c r="H130">
        <v>13.7</v>
      </c>
      <c r="I130">
        <v>0.98851018979879335</v>
      </c>
      <c r="J130">
        <v>1</v>
      </c>
    </row>
    <row r="131" spans="1:10" x14ac:dyDescent="0.3">
      <c r="A131" t="s">
        <v>238</v>
      </c>
      <c r="B131" t="s">
        <v>63</v>
      </c>
      <c r="C131">
        <v>7</v>
      </c>
      <c r="D131">
        <v>33202</v>
      </c>
      <c r="E131" t="s">
        <v>69</v>
      </c>
      <c r="F131">
        <v>4597</v>
      </c>
      <c r="G131">
        <v>82</v>
      </c>
      <c r="H131">
        <v>14.8</v>
      </c>
      <c r="I131">
        <v>0.74910030239978442</v>
      </c>
      <c r="J131">
        <v>1</v>
      </c>
    </row>
    <row r="132" spans="1:10" x14ac:dyDescent="0.3">
      <c r="A132" t="s">
        <v>239</v>
      </c>
      <c r="B132" t="s">
        <v>62</v>
      </c>
      <c r="C132">
        <v>2</v>
      </c>
      <c r="D132">
        <v>26203</v>
      </c>
      <c r="E132" t="s">
        <v>68</v>
      </c>
      <c r="F132">
        <v>2542</v>
      </c>
      <c r="G132">
        <v>104</v>
      </c>
      <c r="H132">
        <v>14.5</v>
      </c>
      <c r="I132">
        <v>0.60604325480627774</v>
      </c>
      <c r="J132">
        <v>1</v>
      </c>
    </row>
    <row r="133" spans="1:10" x14ac:dyDescent="0.3">
      <c r="A133" t="s">
        <v>240</v>
      </c>
      <c r="B133" t="s">
        <v>63</v>
      </c>
      <c r="C133">
        <v>2</v>
      </c>
      <c r="D133">
        <v>42962</v>
      </c>
      <c r="E133" t="s">
        <v>67</v>
      </c>
      <c r="F133">
        <v>3820</v>
      </c>
      <c r="G133">
        <v>116</v>
      </c>
      <c r="H133">
        <v>14</v>
      </c>
      <c r="I133">
        <v>0.13752894158375228</v>
      </c>
      <c r="J133">
        <v>1</v>
      </c>
    </row>
    <row r="134" spans="1:10" x14ac:dyDescent="0.3">
      <c r="A134" t="s">
        <v>241</v>
      </c>
      <c r="B134" t="s">
        <v>63</v>
      </c>
      <c r="C134">
        <v>7</v>
      </c>
      <c r="D134">
        <v>37225</v>
      </c>
      <c r="E134" t="s">
        <v>67</v>
      </c>
      <c r="F134">
        <v>4876</v>
      </c>
      <c r="G134">
        <v>17</v>
      </c>
      <c r="H134">
        <v>2.1</v>
      </c>
      <c r="I134">
        <v>0.58476759178540105</v>
      </c>
      <c r="J134">
        <v>1</v>
      </c>
    </row>
    <row r="135" spans="1:10" x14ac:dyDescent="0.3">
      <c r="A135" t="s">
        <v>242</v>
      </c>
      <c r="B135" t="s">
        <v>65</v>
      </c>
      <c r="C135">
        <v>7</v>
      </c>
      <c r="D135">
        <v>24028</v>
      </c>
      <c r="E135" t="s">
        <v>67</v>
      </c>
      <c r="F135">
        <v>6065</v>
      </c>
      <c r="G135">
        <v>56</v>
      </c>
      <c r="H135">
        <v>7.3</v>
      </c>
      <c r="I135">
        <v>0.13945093938993047</v>
      </c>
      <c r="J135">
        <v>1</v>
      </c>
    </row>
    <row r="136" spans="1:10" x14ac:dyDescent="0.3">
      <c r="A136" t="s">
        <v>243</v>
      </c>
      <c r="B136" t="s">
        <v>63</v>
      </c>
      <c r="C136">
        <v>6</v>
      </c>
      <c r="D136">
        <v>23514</v>
      </c>
      <c r="E136" t="s">
        <v>68</v>
      </c>
      <c r="F136">
        <v>5709</v>
      </c>
      <c r="G136">
        <v>62</v>
      </c>
      <c r="H136">
        <v>14.3</v>
      </c>
      <c r="I136">
        <v>0.91955497885726367</v>
      </c>
      <c r="J136">
        <v>1</v>
      </c>
    </row>
    <row r="137" spans="1:10" x14ac:dyDescent="0.3">
      <c r="A137" t="s">
        <v>244</v>
      </c>
      <c r="B137" t="s">
        <v>62</v>
      </c>
      <c r="C137">
        <v>8</v>
      </c>
      <c r="D137">
        <v>26670</v>
      </c>
      <c r="E137" t="s">
        <v>69</v>
      </c>
      <c r="F137">
        <v>6225</v>
      </c>
      <c r="G137">
        <v>24</v>
      </c>
      <c r="H137">
        <v>12.2</v>
      </c>
      <c r="I137">
        <v>0.66621492682201489</v>
      </c>
      <c r="J137">
        <v>1</v>
      </c>
    </row>
    <row r="138" spans="1:10" x14ac:dyDescent="0.3">
      <c r="A138" t="s">
        <v>245</v>
      </c>
      <c r="B138" t="s">
        <v>65</v>
      </c>
      <c r="C138">
        <v>3</v>
      </c>
      <c r="D138">
        <v>26296</v>
      </c>
      <c r="E138" t="s">
        <v>69</v>
      </c>
      <c r="F138">
        <v>3833</v>
      </c>
      <c r="G138">
        <v>43</v>
      </c>
      <c r="H138">
        <v>14.8</v>
      </c>
      <c r="I138">
        <v>0.63048831967330954</v>
      </c>
      <c r="J138">
        <v>1</v>
      </c>
    </row>
    <row r="139" spans="1:10" x14ac:dyDescent="0.3">
      <c r="A139" t="s">
        <v>246</v>
      </c>
      <c r="B139" t="s">
        <v>65</v>
      </c>
      <c r="C139">
        <v>3</v>
      </c>
      <c r="D139">
        <v>21761</v>
      </c>
      <c r="E139" t="s">
        <v>67</v>
      </c>
      <c r="F139">
        <v>3481</v>
      </c>
      <c r="G139">
        <v>105</v>
      </c>
      <c r="H139">
        <v>9.1</v>
      </c>
      <c r="I139">
        <v>0.80905608263400786</v>
      </c>
      <c r="J139">
        <v>1</v>
      </c>
    </row>
    <row r="140" spans="1:10" x14ac:dyDescent="0.3">
      <c r="A140" t="s">
        <v>247</v>
      </c>
      <c r="B140" t="s">
        <v>62</v>
      </c>
      <c r="C140">
        <v>2</v>
      </c>
      <c r="D140">
        <v>33632</v>
      </c>
      <c r="E140" t="s">
        <v>68</v>
      </c>
      <c r="F140">
        <v>4194</v>
      </c>
      <c r="G140">
        <v>110</v>
      </c>
      <c r="H140">
        <v>1.6</v>
      </c>
      <c r="I140">
        <v>0.79153992581651755</v>
      </c>
      <c r="J140">
        <v>1</v>
      </c>
    </row>
    <row r="141" spans="1:10" x14ac:dyDescent="0.3">
      <c r="A141" t="s">
        <v>248</v>
      </c>
      <c r="B141" t="s">
        <v>65</v>
      </c>
      <c r="C141">
        <v>8</v>
      </c>
      <c r="D141">
        <v>23626</v>
      </c>
      <c r="E141" t="s">
        <v>67</v>
      </c>
      <c r="F141">
        <v>6077</v>
      </c>
      <c r="G141">
        <v>30</v>
      </c>
      <c r="H141">
        <v>12.5</v>
      </c>
      <c r="I141">
        <v>0.41555985916089866</v>
      </c>
      <c r="J141">
        <v>1</v>
      </c>
    </row>
    <row r="142" spans="1:10" x14ac:dyDescent="0.3">
      <c r="A142" t="s">
        <v>249</v>
      </c>
      <c r="B142" t="s">
        <v>65</v>
      </c>
      <c r="C142">
        <v>2</v>
      </c>
      <c r="D142">
        <v>33204</v>
      </c>
      <c r="E142" t="s">
        <v>68</v>
      </c>
      <c r="F142">
        <v>2950</v>
      </c>
      <c r="G142">
        <v>102</v>
      </c>
      <c r="H142">
        <v>1.5</v>
      </c>
      <c r="I142">
        <v>0.71158003928082791</v>
      </c>
      <c r="J142">
        <v>1</v>
      </c>
    </row>
    <row r="143" spans="1:10" x14ac:dyDescent="0.3">
      <c r="A143" t="s">
        <v>250</v>
      </c>
      <c r="B143" t="s">
        <v>65</v>
      </c>
      <c r="C143">
        <v>8</v>
      </c>
      <c r="D143">
        <v>34397</v>
      </c>
      <c r="E143" t="s">
        <v>68</v>
      </c>
      <c r="F143">
        <v>6109</v>
      </c>
      <c r="G143">
        <v>103</v>
      </c>
      <c r="H143">
        <v>7.2</v>
      </c>
      <c r="I143">
        <v>0.72292171108821968</v>
      </c>
      <c r="J143">
        <v>1</v>
      </c>
    </row>
    <row r="144" spans="1:10" x14ac:dyDescent="0.3">
      <c r="A144" t="s">
        <v>251</v>
      </c>
      <c r="B144" t="s">
        <v>62</v>
      </c>
      <c r="C144">
        <v>2</v>
      </c>
      <c r="D144">
        <v>25871</v>
      </c>
      <c r="E144" t="s">
        <v>68</v>
      </c>
      <c r="F144">
        <v>3165</v>
      </c>
      <c r="G144">
        <v>115</v>
      </c>
      <c r="H144">
        <v>5.7</v>
      </c>
      <c r="I144">
        <v>0.12981913563682923</v>
      </c>
      <c r="J144">
        <v>1</v>
      </c>
    </row>
    <row r="145" spans="1:10" x14ac:dyDescent="0.3">
      <c r="A145" t="s">
        <v>252</v>
      </c>
      <c r="B145" t="s">
        <v>64</v>
      </c>
      <c r="C145">
        <v>2</v>
      </c>
      <c r="D145">
        <v>28317</v>
      </c>
      <c r="E145" t="s">
        <v>68</v>
      </c>
      <c r="F145">
        <v>3375</v>
      </c>
      <c r="G145">
        <v>30</v>
      </c>
      <c r="H145">
        <v>9.1999999999999993</v>
      </c>
      <c r="I145">
        <v>0.26234464823323267</v>
      </c>
      <c r="J145">
        <v>1</v>
      </c>
    </row>
    <row r="146" spans="1:10" x14ac:dyDescent="0.3">
      <c r="A146" t="s">
        <v>253</v>
      </c>
      <c r="B146" t="s">
        <v>63</v>
      </c>
      <c r="C146">
        <v>8</v>
      </c>
      <c r="D146">
        <v>28258</v>
      </c>
      <c r="E146" t="s">
        <v>68</v>
      </c>
      <c r="F146">
        <v>6751</v>
      </c>
      <c r="G146">
        <v>77</v>
      </c>
      <c r="H146">
        <v>1.3</v>
      </c>
      <c r="I146">
        <v>0.82592128983310853</v>
      </c>
      <c r="J146">
        <v>1</v>
      </c>
    </row>
    <row r="147" spans="1:10" x14ac:dyDescent="0.3">
      <c r="A147" t="s">
        <v>254</v>
      </c>
      <c r="B147" t="s">
        <v>63</v>
      </c>
      <c r="C147">
        <v>7</v>
      </c>
      <c r="D147">
        <v>21039</v>
      </c>
      <c r="E147" t="s">
        <v>69</v>
      </c>
      <c r="F147">
        <v>4647</v>
      </c>
      <c r="G147">
        <v>44</v>
      </c>
      <c r="H147">
        <v>14.1</v>
      </c>
      <c r="I147">
        <v>3.7202268258120341E-2</v>
      </c>
      <c r="J147">
        <v>1</v>
      </c>
    </row>
    <row r="148" spans="1:10" x14ac:dyDescent="0.3">
      <c r="A148" t="s">
        <v>255</v>
      </c>
      <c r="B148" t="s">
        <v>65</v>
      </c>
      <c r="C148">
        <v>7</v>
      </c>
      <c r="D148">
        <v>27447</v>
      </c>
      <c r="E148" t="s">
        <v>67</v>
      </c>
      <c r="F148">
        <v>6038</v>
      </c>
      <c r="G148">
        <v>92</v>
      </c>
      <c r="H148">
        <v>12.3</v>
      </c>
      <c r="I148">
        <v>0.21254294555416653</v>
      </c>
      <c r="J148">
        <v>1</v>
      </c>
    </row>
    <row r="149" spans="1:10" x14ac:dyDescent="0.3">
      <c r="A149" t="s">
        <v>256</v>
      </c>
      <c r="B149" t="s">
        <v>65</v>
      </c>
      <c r="C149">
        <v>7</v>
      </c>
      <c r="D149">
        <v>42093</v>
      </c>
      <c r="E149" t="s">
        <v>68</v>
      </c>
      <c r="F149">
        <v>4351</v>
      </c>
      <c r="G149">
        <v>88</v>
      </c>
      <c r="H149">
        <v>5.4</v>
      </c>
      <c r="I149">
        <v>0.59588310284083701</v>
      </c>
      <c r="J149">
        <v>1</v>
      </c>
    </row>
    <row r="150" spans="1:10" x14ac:dyDescent="0.3">
      <c r="A150" t="s">
        <v>257</v>
      </c>
      <c r="B150" t="s">
        <v>64</v>
      </c>
      <c r="C150">
        <v>8</v>
      </c>
      <c r="D150">
        <v>17229</v>
      </c>
      <c r="E150" t="s">
        <v>68</v>
      </c>
      <c r="F150">
        <v>5729</v>
      </c>
      <c r="G150">
        <v>39</v>
      </c>
      <c r="H150">
        <v>11.7</v>
      </c>
      <c r="I150">
        <v>0.31843422761725293</v>
      </c>
      <c r="J150">
        <v>1</v>
      </c>
    </row>
    <row r="151" spans="1:10" x14ac:dyDescent="0.3">
      <c r="A151" t="s">
        <v>258</v>
      </c>
      <c r="B151" t="s">
        <v>65</v>
      </c>
      <c r="C151">
        <v>6</v>
      </c>
      <c r="D151">
        <v>34028</v>
      </c>
      <c r="E151" t="s">
        <v>68</v>
      </c>
      <c r="F151">
        <v>4372</v>
      </c>
      <c r="G151">
        <v>66</v>
      </c>
      <c r="H151">
        <v>2.5</v>
      </c>
      <c r="I151">
        <v>0.73669654113356731</v>
      </c>
      <c r="J151">
        <v>1</v>
      </c>
    </row>
    <row r="152" spans="1:10" x14ac:dyDescent="0.3">
      <c r="A152" t="s">
        <v>259</v>
      </c>
      <c r="B152" t="s">
        <v>65</v>
      </c>
      <c r="C152">
        <v>2</v>
      </c>
      <c r="D152">
        <v>28775</v>
      </c>
      <c r="E152" t="s">
        <v>66</v>
      </c>
      <c r="F152">
        <v>2680</v>
      </c>
      <c r="G152">
        <v>51</v>
      </c>
      <c r="H152">
        <v>2.2000000000000002</v>
      </c>
      <c r="I152">
        <v>0.78232631687778986</v>
      </c>
      <c r="J152">
        <v>1</v>
      </c>
    </row>
    <row r="153" spans="1:10" x14ac:dyDescent="0.3">
      <c r="A153" t="s">
        <v>260</v>
      </c>
      <c r="B153" t="s">
        <v>63</v>
      </c>
      <c r="C153">
        <v>5</v>
      </c>
      <c r="D153">
        <v>19370</v>
      </c>
      <c r="E153" t="s">
        <v>68</v>
      </c>
      <c r="F153">
        <v>5011</v>
      </c>
      <c r="G153">
        <v>60</v>
      </c>
      <c r="H153">
        <v>3.2</v>
      </c>
      <c r="I153">
        <v>0.94526520258519631</v>
      </c>
      <c r="J153">
        <v>1</v>
      </c>
    </row>
    <row r="154" spans="1:10" x14ac:dyDescent="0.3">
      <c r="A154" t="s">
        <v>261</v>
      </c>
      <c r="B154" t="s">
        <v>63</v>
      </c>
      <c r="C154">
        <v>5</v>
      </c>
      <c r="D154">
        <v>13180</v>
      </c>
      <c r="E154" t="s">
        <v>68</v>
      </c>
      <c r="F154">
        <v>4574</v>
      </c>
      <c r="G154">
        <v>90</v>
      </c>
      <c r="H154">
        <v>9.1999999999999993</v>
      </c>
      <c r="I154">
        <v>0.37897219571096652</v>
      </c>
      <c r="J154">
        <v>1</v>
      </c>
    </row>
    <row r="155" spans="1:10" x14ac:dyDescent="0.3">
      <c r="A155" t="s">
        <v>262</v>
      </c>
      <c r="B155" t="s">
        <v>63</v>
      </c>
      <c r="C155">
        <v>7</v>
      </c>
      <c r="D155">
        <v>22573</v>
      </c>
      <c r="E155" t="s">
        <v>66</v>
      </c>
      <c r="F155">
        <v>5735</v>
      </c>
      <c r="G155">
        <v>109</v>
      </c>
      <c r="H155">
        <v>12.5</v>
      </c>
      <c r="I155">
        <v>0.24125691811753947</v>
      </c>
      <c r="J155">
        <v>1</v>
      </c>
    </row>
    <row r="156" spans="1:10" x14ac:dyDescent="0.3">
      <c r="A156" t="s">
        <v>263</v>
      </c>
      <c r="B156" t="s">
        <v>64</v>
      </c>
      <c r="C156">
        <v>2</v>
      </c>
      <c r="D156">
        <v>17137</v>
      </c>
      <c r="E156" t="s">
        <v>68</v>
      </c>
      <c r="F156">
        <v>2591</v>
      </c>
      <c r="G156">
        <v>111</v>
      </c>
      <c r="H156">
        <v>8.3000000000000007</v>
      </c>
      <c r="I156">
        <v>0.35142480498402628</v>
      </c>
      <c r="J156">
        <v>1</v>
      </c>
    </row>
    <row r="157" spans="1:10" x14ac:dyDescent="0.3">
      <c r="A157" t="s">
        <v>264</v>
      </c>
      <c r="B157" t="s">
        <v>65</v>
      </c>
      <c r="C157">
        <v>5</v>
      </c>
      <c r="D157">
        <v>33471</v>
      </c>
      <c r="E157" t="s">
        <v>67</v>
      </c>
      <c r="F157">
        <v>3887</v>
      </c>
      <c r="G157">
        <v>50</v>
      </c>
      <c r="H157">
        <v>14.2</v>
      </c>
      <c r="I157">
        <v>0.2134373904974578</v>
      </c>
      <c r="J157">
        <v>1</v>
      </c>
    </row>
    <row r="158" spans="1:10" x14ac:dyDescent="0.3">
      <c r="A158" t="s">
        <v>265</v>
      </c>
      <c r="B158" t="s">
        <v>63</v>
      </c>
      <c r="C158">
        <v>2</v>
      </c>
      <c r="D158">
        <v>22684</v>
      </c>
      <c r="E158" t="s">
        <v>67</v>
      </c>
      <c r="F158">
        <v>4468</v>
      </c>
      <c r="G158">
        <v>15</v>
      </c>
      <c r="H158">
        <v>8.5</v>
      </c>
      <c r="I158">
        <v>0.36264147552719106</v>
      </c>
      <c r="J158">
        <v>1</v>
      </c>
    </row>
    <row r="159" spans="1:10" x14ac:dyDescent="0.3">
      <c r="A159" t="s">
        <v>266</v>
      </c>
      <c r="B159" t="s">
        <v>62</v>
      </c>
      <c r="C159">
        <v>4</v>
      </c>
      <c r="D159">
        <v>21549</v>
      </c>
      <c r="E159" t="s">
        <v>67</v>
      </c>
      <c r="F159">
        <v>5248</v>
      </c>
      <c r="G159">
        <v>74</v>
      </c>
      <c r="H159">
        <v>14</v>
      </c>
      <c r="I159">
        <v>0.4510494110177905</v>
      </c>
      <c r="J159">
        <v>1</v>
      </c>
    </row>
    <row r="160" spans="1:10" x14ac:dyDescent="0.3">
      <c r="A160" t="s">
        <v>267</v>
      </c>
      <c r="B160" t="s">
        <v>63</v>
      </c>
      <c r="C160">
        <v>4</v>
      </c>
      <c r="D160">
        <v>25180</v>
      </c>
      <c r="E160" t="s">
        <v>66</v>
      </c>
      <c r="F160">
        <v>3374</v>
      </c>
      <c r="G160">
        <v>99</v>
      </c>
      <c r="H160">
        <v>3.4</v>
      </c>
      <c r="I160">
        <v>0.65040130739719582</v>
      </c>
      <c r="J160">
        <v>1</v>
      </c>
    </row>
    <row r="161" spans="1:10" x14ac:dyDescent="0.3">
      <c r="A161" t="s">
        <v>268</v>
      </c>
      <c r="B161" t="s">
        <v>64</v>
      </c>
      <c r="C161">
        <v>4</v>
      </c>
      <c r="D161">
        <v>28826</v>
      </c>
      <c r="E161" t="s">
        <v>67</v>
      </c>
      <c r="F161">
        <v>4379</v>
      </c>
      <c r="G161">
        <v>84</v>
      </c>
      <c r="H161">
        <v>5.6</v>
      </c>
      <c r="I161">
        <v>0.32180788904864033</v>
      </c>
      <c r="J161">
        <v>1</v>
      </c>
    </row>
    <row r="162" spans="1:10" x14ac:dyDescent="0.3">
      <c r="A162" t="s">
        <v>269</v>
      </c>
      <c r="B162" t="s">
        <v>63</v>
      </c>
      <c r="C162">
        <v>4</v>
      </c>
      <c r="D162">
        <v>29943</v>
      </c>
      <c r="E162" t="s">
        <v>68</v>
      </c>
      <c r="F162">
        <v>4452</v>
      </c>
      <c r="G162">
        <v>104</v>
      </c>
      <c r="H162">
        <v>6.4</v>
      </c>
      <c r="I162">
        <v>0.55378777789357436</v>
      </c>
      <c r="J162">
        <v>1</v>
      </c>
    </row>
    <row r="163" spans="1:10" x14ac:dyDescent="0.3">
      <c r="A163" t="s">
        <v>270</v>
      </c>
      <c r="B163" t="s">
        <v>64</v>
      </c>
      <c r="C163">
        <v>2</v>
      </c>
      <c r="D163">
        <v>28950</v>
      </c>
      <c r="E163" t="s">
        <v>66</v>
      </c>
      <c r="F163">
        <v>2659</v>
      </c>
      <c r="G163">
        <v>30</v>
      </c>
      <c r="H163">
        <v>5.7</v>
      </c>
      <c r="I163">
        <v>0.57245256973024949</v>
      </c>
      <c r="J163">
        <v>1</v>
      </c>
    </row>
    <row r="164" spans="1:10" x14ac:dyDescent="0.3">
      <c r="A164" t="s">
        <v>271</v>
      </c>
      <c r="B164" t="s">
        <v>62</v>
      </c>
      <c r="C164">
        <v>6</v>
      </c>
      <c r="D164">
        <v>28091</v>
      </c>
      <c r="E164" t="s">
        <v>68</v>
      </c>
      <c r="F164">
        <v>5345</v>
      </c>
      <c r="G164">
        <v>57</v>
      </c>
      <c r="H164">
        <v>10.3</v>
      </c>
      <c r="I164">
        <v>6.9104820760567787E-2</v>
      </c>
      <c r="J164">
        <v>1</v>
      </c>
    </row>
    <row r="165" spans="1:10" x14ac:dyDescent="0.3">
      <c r="A165" t="s">
        <v>272</v>
      </c>
      <c r="B165" t="s">
        <v>65</v>
      </c>
      <c r="C165">
        <v>4</v>
      </c>
      <c r="D165">
        <v>29407</v>
      </c>
      <c r="E165" t="s">
        <v>69</v>
      </c>
      <c r="F165">
        <v>4690</v>
      </c>
      <c r="G165">
        <v>108</v>
      </c>
      <c r="H165">
        <v>3.1</v>
      </c>
      <c r="I165">
        <v>0.46382818458517761</v>
      </c>
      <c r="J165">
        <v>1</v>
      </c>
    </row>
    <row r="166" spans="1:10" x14ac:dyDescent="0.3">
      <c r="A166" t="s">
        <v>273</v>
      </c>
      <c r="B166" t="s">
        <v>64</v>
      </c>
      <c r="C166">
        <v>5</v>
      </c>
      <c r="D166">
        <v>30592</v>
      </c>
      <c r="E166" t="s">
        <v>66</v>
      </c>
      <c r="F166">
        <v>5967</v>
      </c>
      <c r="G166">
        <v>33</v>
      </c>
      <c r="H166">
        <v>14.5</v>
      </c>
      <c r="I166">
        <v>0.12336622055843649</v>
      </c>
      <c r="J166">
        <v>1</v>
      </c>
    </row>
    <row r="167" spans="1:10" x14ac:dyDescent="0.3">
      <c r="A167" t="s">
        <v>274</v>
      </c>
      <c r="B167" t="s">
        <v>62</v>
      </c>
      <c r="C167">
        <v>2</v>
      </c>
      <c r="D167">
        <v>22281</v>
      </c>
      <c r="E167" t="s">
        <v>67</v>
      </c>
      <c r="F167">
        <v>2711</v>
      </c>
      <c r="G167">
        <v>54</v>
      </c>
      <c r="H167">
        <v>6.3</v>
      </c>
      <c r="I167">
        <v>2.1390614211731496E-2</v>
      </c>
      <c r="J167">
        <v>1</v>
      </c>
    </row>
    <row r="168" spans="1:10" x14ac:dyDescent="0.3">
      <c r="A168" t="s">
        <v>275</v>
      </c>
      <c r="B168" t="s">
        <v>62</v>
      </c>
      <c r="C168">
        <v>6</v>
      </c>
      <c r="D168">
        <v>29150</v>
      </c>
      <c r="E168" t="s">
        <v>67</v>
      </c>
      <c r="F168">
        <v>5898</v>
      </c>
      <c r="G168">
        <v>72</v>
      </c>
      <c r="H168">
        <v>2.7</v>
      </c>
      <c r="I168">
        <v>0.45117374293747992</v>
      </c>
      <c r="J168">
        <v>1</v>
      </c>
    </row>
    <row r="169" spans="1:10" x14ac:dyDescent="0.3">
      <c r="A169" t="s">
        <v>276</v>
      </c>
      <c r="B169" t="s">
        <v>65</v>
      </c>
      <c r="C169">
        <v>5</v>
      </c>
      <c r="D169">
        <v>37047</v>
      </c>
      <c r="E169" t="s">
        <v>69</v>
      </c>
      <c r="F169">
        <v>5819</v>
      </c>
      <c r="G169">
        <v>33</v>
      </c>
      <c r="H169">
        <v>4</v>
      </c>
      <c r="I169">
        <v>0.1983222162917484</v>
      </c>
      <c r="J169">
        <v>1</v>
      </c>
    </row>
    <row r="170" spans="1:10" x14ac:dyDescent="0.3">
      <c r="A170" t="s">
        <v>277</v>
      </c>
      <c r="B170" t="s">
        <v>65</v>
      </c>
      <c r="C170">
        <v>2</v>
      </c>
      <c r="D170">
        <v>7513</v>
      </c>
      <c r="E170" t="s">
        <v>68</v>
      </c>
      <c r="F170">
        <v>4546</v>
      </c>
      <c r="G170">
        <v>39</v>
      </c>
      <c r="H170">
        <v>7.8</v>
      </c>
      <c r="I170">
        <v>0.73876402092503723</v>
      </c>
      <c r="J170">
        <v>1</v>
      </c>
    </row>
    <row r="171" spans="1:10" x14ac:dyDescent="0.3">
      <c r="A171" t="s">
        <v>278</v>
      </c>
      <c r="B171" t="s">
        <v>64</v>
      </c>
      <c r="C171">
        <v>3</v>
      </c>
      <c r="D171">
        <v>32653</v>
      </c>
      <c r="E171" t="s">
        <v>69</v>
      </c>
      <c r="F171">
        <v>4152</v>
      </c>
      <c r="G171">
        <v>60</v>
      </c>
      <c r="H171">
        <v>3</v>
      </c>
      <c r="I171">
        <v>2.3522518411320137E-2</v>
      </c>
      <c r="J171">
        <v>1</v>
      </c>
    </row>
    <row r="172" spans="1:10" x14ac:dyDescent="0.3">
      <c r="A172" t="s">
        <v>279</v>
      </c>
      <c r="B172" t="s">
        <v>63</v>
      </c>
      <c r="C172">
        <v>8</v>
      </c>
      <c r="D172">
        <v>32373</v>
      </c>
      <c r="E172" t="s">
        <v>68</v>
      </c>
      <c r="F172">
        <v>4859</v>
      </c>
      <c r="G172">
        <v>89</v>
      </c>
      <c r="H172">
        <v>11.6</v>
      </c>
      <c r="I172">
        <v>0.28455994653336358</v>
      </c>
      <c r="J172">
        <v>1</v>
      </c>
    </row>
    <row r="173" spans="1:10" x14ac:dyDescent="0.3">
      <c r="A173" t="s">
        <v>280</v>
      </c>
      <c r="B173" t="s">
        <v>62</v>
      </c>
      <c r="C173">
        <v>6</v>
      </c>
      <c r="D173">
        <v>35529</v>
      </c>
      <c r="E173" t="s">
        <v>66</v>
      </c>
      <c r="F173">
        <v>4067</v>
      </c>
      <c r="G173">
        <v>60</v>
      </c>
      <c r="H173">
        <v>14.4</v>
      </c>
      <c r="I173">
        <v>0.1539759168492244</v>
      </c>
      <c r="J173">
        <v>1</v>
      </c>
    </row>
    <row r="174" spans="1:10" x14ac:dyDescent="0.3">
      <c r="A174" t="s">
        <v>281</v>
      </c>
      <c r="B174" t="s">
        <v>64</v>
      </c>
      <c r="C174">
        <v>2</v>
      </c>
      <c r="D174">
        <v>36146</v>
      </c>
      <c r="E174" t="s">
        <v>69</v>
      </c>
      <c r="F174">
        <v>4488</v>
      </c>
      <c r="G174">
        <v>40</v>
      </c>
      <c r="H174">
        <v>8.5</v>
      </c>
      <c r="I174">
        <v>0.90325511019336224</v>
      </c>
      <c r="J174">
        <v>1</v>
      </c>
    </row>
    <row r="175" spans="1:10" x14ac:dyDescent="0.3">
      <c r="A175" t="s">
        <v>282</v>
      </c>
      <c r="B175" t="s">
        <v>65</v>
      </c>
      <c r="C175">
        <v>2</v>
      </c>
      <c r="D175">
        <v>22508</v>
      </c>
      <c r="E175" t="s">
        <v>67</v>
      </c>
      <c r="F175">
        <v>4636</v>
      </c>
      <c r="G175">
        <v>21</v>
      </c>
      <c r="H175">
        <v>9.8000000000000007</v>
      </c>
      <c r="I175">
        <v>0.51973313647215569</v>
      </c>
      <c r="J175">
        <v>1</v>
      </c>
    </row>
    <row r="176" spans="1:10" x14ac:dyDescent="0.3">
      <c r="A176" t="s">
        <v>283</v>
      </c>
      <c r="B176" t="s">
        <v>63</v>
      </c>
      <c r="C176">
        <v>6</v>
      </c>
      <c r="D176">
        <v>24885</v>
      </c>
      <c r="E176" t="s">
        <v>67</v>
      </c>
      <c r="F176">
        <v>4045</v>
      </c>
      <c r="G176">
        <v>59</v>
      </c>
      <c r="H176">
        <v>5.2</v>
      </c>
      <c r="I176">
        <v>0.58107946663683596</v>
      </c>
      <c r="J176">
        <v>1</v>
      </c>
    </row>
    <row r="177" spans="1:10" x14ac:dyDescent="0.3">
      <c r="A177" t="s">
        <v>284</v>
      </c>
      <c r="B177" t="s">
        <v>65</v>
      </c>
      <c r="C177">
        <v>8</v>
      </c>
      <c r="D177">
        <v>20530</v>
      </c>
      <c r="E177" t="s">
        <v>69</v>
      </c>
      <c r="F177">
        <v>6131</v>
      </c>
      <c r="G177">
        <v>41</v>
      </c>
      <c r="H177">
        <v>1.5</v>
      </c>
      <c r="I177">
        <v>0.31188597218011549</v>
      </c>
      <c r="J177">
        <v>1</v>
      </c>
    </row>
    <row r="178" spans="1:10" x14ac:dyDescent="0.3">
      <c r="A178" t="s">
        <v>285</v>
      </c>
      <c r="B178" t="s">
        <v>64</v>
      </c>
      <c r="C178">
        <v>5</v>
      </c>
      <c r="D178">
        <v>22032</v>
      </c>
      <c r="E178" t="s">
        <v>66</v>
      </c>
      <c r="F178">
        <v>3794</v>
      </c>
      <c r="G178">
        <v>112</v>
      </c>
      <c r="H178">
        <v>12.1</v>
      </c>
      <c r="I178">
        <v>0.31263550975805177</v>
      </c>
      <c r="J178">
        <v>1</v>
      </c>
    </row>
    <row r="179" spans="1:10" x14ac:dyDescent="0.3">
      <c r="A179" t="s">
        <v>286</v>
      </c>
      <c r="B179" t="s">
        <v>62</v>
      </c>
      <c r="C179">
        <v>7</v>
      </c>
      <c r="D179">
        <v>25057</v>
      </c>
      <c r="E179" t="s">
        <v>68</v>
      </c>
      <c r="F179">
        <v>5421</v>
      </c>
      <c r="G179">
        <v>94</v>
      </c>
      <c r="H179">
        <v>8.5</v>
      </c>
      <c r="I179">
        <v>0.10801550200561838</v>
      </c>
      <c r="J179">
        <v>1</v>
      </c>
    </row>
    <row r="180" spans="1:10" x14ac:dyDescent="0.3">
      <c r="A180" t="s">
        <v>287</v>
      </c>
      <c r="B180" t="s">
        <v>62</v>
      </c>
      <c r="C180">
        <v>2</v>
      </c>
      <c r="D180">
        <v>41830</v>
      </c>
      <c r="E180" t="s">
        <v>69</v>
      </c>
      <c r="F180">
        <v>3305</v>
      </c>
      <c r="G180">
        <v>114</v>
      </c>
      <c r="H180">
        <v>4.2</v>
      </c>
      <c r="I180">
        <v>0.38907980559631483</v>
      </c>
      <c r="J180">
        <v>1</v>
      </c>
    </row>
    <row r="181" spans="1:10" x14ac:dyDescent="0.3">
      <c r="A181" t="s">
        <v>288</v>
      </c>
      <c r="B181" t="s">
        <v>65</v>
      </c>
      <c r="C181">
        <v>5</v>
      </c>
      <c r="D181">
        <v>29688</v>
      </c>
      <c r="E181" t="s">
        <v>68</v>
      </c>
      <c r="F181">
        <v>4665</v>
      </c>
      <c r="G181">
        <v>96</v>
      </c>
      <c r="H181">
        <v>8.6</v>
      </c>
      <c r="I181">
        <v>0.70492363451379247</v>
      </c>
      <c r="J181">
        <v>1</v>
      </c>
    </row>
    <row r="182" spans="1:10" x14ac:dyDescent="0.3">
      <c r="A182" t="s">
        <v>289</v>
      </c>
      <c r="B182" t="s">
        <v>65</v>
      </c>
      <c r="C182">
        <v>4</v>
      </c>
      <c r="D182">
        <v>25496</v>
      </c>
      <c r="E182" t="s">
        <v>69</v>
      </c>
      <c r="F182">
        <v>3665</v>
      </c>
      <c r="G182">
        <v>47</v>
      </c>
      <c r="H182">
        <v>11.9</v>
      </c>
      <c r="I182">
        <v>0.453960429188765</v>
      </c>
      <c r="J182">
        <v>1</v>
      </c>
    </row>
    <row r="183" spans="1:10" x14ac:dyDescent="0.3">
      <c r="A183" t="s">
        <v>290</v>
      </c>
      <c r="B183" t="s">
        <v>62</v>
      </c>
      <c r="C183">
        <v>8</v>
      </c>
      <c r="D183">
        <v>23892</v>
      </c>
      <c r="E183" t="s">
        <v>67</v>
      </c>
      <c r="F183">
        <v>5125</v>
      </c>
      <c r="G183">
        <v>106</v>
      </c>
      <c r="H183">
        <v>1.4</v>
      </c>
      <c r="I183">
        <v>0.31231588157972268</v>
      </c>
      <c r="J183">
        <v>1</v>
      </c>
    </row>
    <row r="184" spans="1:10" x14ac:dyDescent="0.3">
      <c r="A184" t="s">
        <v>291</v>
      </c>
      <c r="B184" t="s">
        <v>64</v>
      </c>
      <c r="C184">
        <v>6</v>
      </c>
      <c r="D184">
        <v>30819</v>
      </c>
      <c r="E184" t="s">
        <v>68</v>
      </c>
      <c r="F184">
        <v>4357</v>
      </c>
      <c r="G184">
        <v>18</v>
      </c>
      <c r="H184">
        <v>10.6</v>
      </c>
      <c r="I184">
        <v>0.8676059560902224</v>
      </c>
      <c r="J184">
        <v>1</v>
      </c>
    </row>
    <row r="185" spans="1:10" x14ac:dyDescent="0.3">
      <c r="A185" t="s">
        <v>292</v>
      </c>
      <c r="B185" t="s">
        <v>64</v>
      </c>
      <c r="C185">
        <v>6</v>
      </c>
      <c r="D185">
        <v>42133</v>
      </c>
      <c r="E185" t="s">
        <v>68</v>
      </c>
      <c r="F185">
        <v>4204</v>
      </c>
      <c r="G185">
        <v>65</v>
      </c>
      <c r="H185">
        <v>2.1</v>
      </c>
      <c r="I185">
        <v>0.2590718478317483</v>
      </c>
      <c r="J185">
        <v>1</v>
      </c>
    </row>
    <row r="186" spans="1:10" x14ac:dyDescent="0.3">
      <c r="A186" t="s">
        <v>293</v>
      </c>
      <c r="B186" t="s">
        <v>64</v>
      </c>
      <c r="C186">
        <v>3</v>
      </c>
      <c r="D186">
        <v>35659</v>
      </c>
      <c r="E186" t="s">
        <v>68</v>
      </c>
      <c r="F186">
        <v>4079</v>
      </c>
      <c r="G186">
        <v>111</v>
      </c>
      <c r="H186">
        <v>10.8</v>
      </c>
      <c r="I186">
        <v>0.28742725586655171</v>
      </c>
      <c r="J186">
        <v>1</v>
      </c>
    </row>
    <row r="187" spans="1:10" x14ac:dyDescent="0.3">
      <c r="A187" t="s">
        <v>294</v>
      </c>
      <c r="B187" t="s">
        <v>65</v>
      </c>
      <c r="C187">
        <v>5</v>
      </c>
      <c r="D187">
        <v>25912</v>
      </c>
      <c r="E187" t="s">
        <v>69</v>
      </c>
      <c r="F187">
        <v>4289</v>
      </c>
      <c r="G187">
        <v>114</v>
      </c>
      <c r="H187">
        <v>12.1</v>
      </c>
      <c r="I187">
        <v>5.1743714764743154E-2</v>
      </c>
      <c r="J187">
        <v>1</v>
      </c>
    </row>
    <row r="188" spans="1:10" x14ac:dyDescent="0.3">
      <c r="A188" t="s">
        <v>295</v>
      </c>
      <c r="B188" t="s">
        <v>63</v>
      </c>
      <c r="C188">
        <v>3</v>
      </c>
      <c r="D188">
        <v>15225</v>
      </c>
      <c r="E188" t="s">
        <v>67</v>
      </c>
      <c r="F188">
        <v>4297</v>
      </c>
      <c r="G188">
        <v>100</v>
      </c>
      <c r="H188">
        <v>4.5</v>
      </c>
      <c r="I188">
        <v>0.92474702186689661</v>
      </c>
      <c r="J188">
        <v>1</v>
      </c>
    </row>
    <row r="189" spans="1:10" x14ac:dyDescent="0.3">
      <c r="A189" t="s">
        <v>296</v>
      </c>
      <c r="B189" t="s">
        <v>63</v>
      </c>
      <c r="C189">
        <v>8</v>
      </c>
      <c r="D189">
        <v>24775</v>
      </c>
      <c r="E189" t="s">
        <v>67</v>
      </c>
      <c r="F189">
        <v>5023</v>
      </c>
      <c r="G189">
        <v>104</v>
      </c>
      <c r="H189">
        <v>12.1</v>
      </c>
      <c r="I189">
        <v>0.765622692252097</v>
      </c>
      <c r="J189">
        <v>1</v>
      </c>
    </row>
    <row r="190" spans="1:10" x14ac:dyDescent="0.3">
      <c r="A190" t="s">
        <v>297</v>
      </c>
      <c r="B190" t="s">
        <v>64</v>
      </c>
      <c r="C190">
        <v>4</v>
      </c>
      <c r="D190">
        <v>23620</v>
      </c>
      <c r="E190" t="s">
        <v>66</v>
      </c>
      <c r="F190">
        <v>4258</v>
      </c>
      <c r="G190">
        <v>58</v>
      </c>
      <c r="H190">
        <v>6.8</v>
      </c>
      <c r="I190">
        <v>0.78449342781508702</v>
      </c>
      <c r="J190">
        <v>1</v>
      </c>
    </row>
    <row r="191" spans="1:10" x14ac:dyDescent="0.3">
      <c r="A191" t="s">
        <v>298</v>
      </c>
      <c r="B191" t="s">
        <v>62</v>
      </c>
      <c r="C191">
        <v>7</v>
      </c>
      <c r="D191">
        <v>27904</v>
      </c>
      <c r="E191" t="s">
        <v>68</v>
      </c>
      <c r="F191">
        <v>5894</v>
      </c>
      <c r="G191">
        <v>107</v>
      </c>
      <c r="H191">
        <v>14.8</v>
      </c>
      <c r="I191">
        <v>0.87094843028389191</v>
      </c>
      <c r="J191">
        <v>1</v>
      </c>
    </row>
    <row r="192" spans="1:10" x14ac:dyDescent="0.3">
      <c r="A192" t="s">
        <v>299</v>
      </c>
      <c r="B192" t="s">
        <v>65</v>
      </c>
      <c r="C192">
        <v>2</v>
      </c>
      <c r="D192">
        <v>29072</v>
      </c>
      <c r="E192" t="s">
        <v>68</v>
      </c>
      <c r="F192">
        <v>3054</v>
      </c>
      <c r="G192">
        <v>16</v>
      </c>
      <c r="H192">
        <v>5.2</v>
      </c>
      <c r="I192">
        <v>0.34284189403163223</v>
      </c>
      <c r="J192">
        <v>1</v>
      </c>
    </row>
    <row r="193" spans="1:10" x14ac:dyDescent="0.3">
      <c r="A193" t="s">
        <v>300</v>
      </c>
      <c r="B193" t="s">
        <v>63</v>
      </c>
      <c r="C193">
        <v>3</v>
      </c>
      <c r="D193">
        <v>34403</v>
      </c>
      <c r="E193" t="s">
        <v>66</v>
      </c>
      <c r="F193">
        <v>4064</v>
      </c>
      <c r="G193">
        <v>65</v>
      </c>
      <c r="H193">
        <v>3</v>
      </c>
      <c r="I193">
        <v>0.47478668704385307</v>
      </c>
      <c r="J193">
        <v>1</v>
      </c>
    </row>
    <row r="194" spans="1:10" x14ac:dyDescent="0.3">
      <c r="A194" t="s">
        <v>301</v>
      </c>
      <c r="B194" t="s">
        <v>63</v>
      </c>
      <c r="C194">
        <v>5</v>
      </c>
      <c r="D194">
        <v>30371</v>
      </c>
      <c r="E194" t="s">
        <v>67</v>
      </c>
      <c r="F194">
        <v>4950</v>
      </c>
      <c r="G194">
        <v>67</v>
      </c>
      <c r="H194">
        <v>13.7</v>
      </c>
      <c r="I194">
        <v>0.10485859322721536</v>
      </c>
      <c r="J194">
        <v>1</v>
      </c>
    </row>
    <row r="195" spans="1:10" x14ac:dyDescent="0.3">
      <c r="A195" t="s">
        <v>302</v>
      </c>
      <c r="B195" t="s">
        <v>64</v>
      </c>
      <c r="C195">
        <v>8</v>
      </c>
      <c r="D195">
        <v>29242</v>
      </c>
      <c r="E195" t="s">
        <v>66</v>
      </c>
      <c r="F195">
        <v>4730</v>
      </c>
      <c r="G195">
        <v>80</v>
      </c>
      <c r="H195">
        <v>9.1999999999999993</v>
      </c>
      <c r="I195">
        <v>0.58193412558113455</v>
      </c>
      <c r="J195">
        <v>1</v>
      </c>
    </row>
    <row r="196" spans="1:10" x14ac:dyDescent="0.3">
      <c r="A196" t="s">
        <v>303</v>
      </c>
      <c r="B196" t="s">
        <v>65</v>
      </c>
      <c r="C196">
        <v>6</v>
      </c>
      <c r="D196">
        <v>19534</v>
      </c>
      <c r="E196" t="s">
        <v>67</v>
      </c>
      <c r="F196">
        <v>6078</v>
      </c>
      <c r="G196">
        <v>62</v>
      </c>
      <c r="H196">
        <v>2.2999999999999998</v>
      </c>
      <c r="I196">
        <v>0.17112522946689757</v>
      </c>
      <c r="J196">
        <v>1</v>
      </c>
    </row>
    <row r="197" spans="1:10" x14ac:dyDescent="0.3">
      <c r="A197" t="s">
        <v>304</v>
      </c>
      <c r="B197" t="s">
        <v>64</v>
      </c>
      <c r="C197">
        <v>7</v>
      </c>
      <c r="D197">
        <v>27338</v>
      </c>
      <c r="E197" t="s">
        <v>68</v>
      </c>
      <c r="F197">
        <v>4705</v>
      </c>
      <c r="G197">
        <v>101</v>
      </c>
      <c r="H197">
        <v>0.7</v>
      </c>
      <c r="I197">
        <v>0.95659937653537419</v>
      </c>
      <c r="J197">
        <v>1</v>
      </c>
    </row>
    <row r="198" spans="1:10" x14ac:dyDescent="0.3">
      <c r="A198" t="s">
        <v>305</v>
      </c>
      <c r="B198" t="s">
        <v>63</v>
      </c>
      <c r="C198">
        <v>7</v>
      </c>
      <c r="D198">
        <v>20040</v>
      </c>
      <c r="E198" t="s">
        <v>69</v>
      </c>
      <c r="F198">
        <v>6192</v>
      </c>
      <c r="G198">
        <v>117</v>
      </c>
      <c r="H198">
        <v>0.6</v>
      </c>
      <c r="I198">
        <v>0.19848969255362681</v>
      </c>
      <c r="J198">
        <v>1</v>
      </c>
    </row>
    <row r="199" spans="1:10" x14ac:dyDescent="0.3">
      <c r="A199" t="s">
        <v>306</v>
      </c>
      <c r="B199" t="s">
        <v>65</v>
      </c>
      <c r="C199">
        <v>2</v>
      </c>
      <c r="D199">
        <v>31916</v>
      </c>
      <c r="E199" t="s">
        <v>68</v>
      </c>
      <c r="F199">
        <v>3849</v>
      </c>
      <c r="G199">
        <v>53</v>
      </c>
      <c r="H199">
        <v>5.5</v>
      </c>
      <c r="I199">
        <v>4.9008113633194239E-2</v>
      </c>
      <c r="J199">
        <v>1</v>
      </c>
    </row>
    <row r="200" spans="1:10" x14ac:dyDescent="0.3">
      <c r="A200" t="s">
        <v>307</v>
      </c>
      <c r="B200" t="s">
        <v>65</v>
      </c>
      <c r="C200">
        <v>3</v>
      </c>
      <c r="D200">
        <v>37262</v>
      </c>
      <c r="E200" t="s">
        <v>66</v>
      </c>
      <c r="F200">
        <v>4516</v>
      </c>
      <c r="G200">
        <v>28</v>
      </c>
      <c r="H200">
        <v>7.8</v>
      </c>
      <c r="I200">
        <v>0.14353548090911161</v>
      </c>
      <c r="J200">
        <v>1</v>
      </c>
    </row>
    <row r="201" spans="1:10" x14ac:dyDescent="0.3">
      <c r="A201" t="s">
        <v>308</v>
      </c>
      <c r="B201" t="s">
        <v>63</v>
      </c>
      <c r="C201">
        <v>7</v>
      </c>
      <c r="D201">
        <v>30161</v>
      </c>
      <c r="E201" t="s">
        <v>68</v>
      </c>
      <c r="F201">
        <v>4541</v>
      </c>
      <c r="G201">
        <v>58</v>
      </c>
      <c r="H201">
        <v>9.1999999999999993</v>
      </c>
      <c r="I201">
        <v>0.56483408142419789</v>
      </c>
      <c r="J201">
        <v>1</v>
      </c>
    </row>
    <row r="202" spans="1:10" x14ac:dyDescent="0.3">
      <c r="A202" t="s">
        <v>309</v>
      </c>
      <c r="B202" t="s">
        <v>63</v>
      </c>
      <c r="C202">
        <v>3</v>
      </c>
      <c r="D202">
        <v>18935</v>
      </c>
      <c r="E202" t="s">
        <v>67</v>
      </c>
      <c r="F202">
        <v>4709</v>
      </c>
      <c r="G202">
        <v>29</v>
      </c>
      <c r="H202">
        <v>13.2</v>
      </c>
      <c r="I202">
        <v>0.41796033085152151</v>
      </c>
      <c r="J202">
        <v>1</v>
      </c>
    </row>
    <row r="203" spans="1:10" x14ac:dyDescent="0.3">
      <c r="A203" t="s">
        <v>310</v>
      </c>
      <c r="B203" t="s">
        <v>63</v>
      </c>
      <c r="C203">
        <v>5</v>
      </c>
      <c r="D203">
        <v>23861</v>
      </c>
      <c r="E203" t="s">
        <v>66</v>
      </c>
      <c r="F203">
        <v>5945</v>
      </c>
      <c r="G203">
        <v>91</v>
      </c>
      <c r="H203">
        <v>3.5</v>
      </c>
      <c r="I203">
        <v>0.41929336625395075</v>
      </c>
      <c r="J203">
        <v>0</v>
      </c>
    </row>
    <row r="204" spans="1:10" x14ac:dyDescent="0.3">
      <c r="A204" t="s">
        <v>311</v>
      </c>
      <c r="B204" t="s">
        <v>64</v>
      </c>
      <c r="C204">
        <v>6</v>
      </c>
      <c r="D204">
        <v>30323</v>
      </c>
      <c r="E204" t="s">
        <v>67</v>
      </c>
      <c r="F204">
        <v>5395</v>
      </c>
      <c r="G204">
        <v>29</v>
      </c>
      <c r="H204">
        <v>6.7</v>
      </c>
      <c r="I204">
        <v>0.67257935406428915</v>
      </c>
      <c r="J204">
        <v>0</v>
      </c>
    </row>
    <row r="205" spans="1:10" x14ac:dyDescent="0.3">
      <c r="A205" t="s">
        <v>312</v>
      </c>
      <c r="B205" t="s">
        <v>65</v>
      </c>
      <c r="C205">
        <v>8</v>
      </c>
      <c r="D205">
        <v>27664</v>
      </c>
      <c r="E205" t="s">
        <v>67</v>
      </c>
      <c r="F205">
        <v>6942</v>
      </c>
      <c r="G205">
        <v>60</v>
      </c>
      <c r="H205">
        <v>11.2</v>
      </c>
      <c r="I205">
        <v>0.97116528203511165</v>
      </c>
      <c r="J205">
        <v>0</v>
      </c>
    </row>
    <row r="206" spans="1:10" x14ac:dyDescent="0.3">
      <c r="A206" t="s">
        <v>313</v>
      </c>
      <c r="B206" t="s">
        <v>62</v>
      </c>
      <c r="C206">
        <v>2</v>
      </c>
      <c r="D206">
        <v>22468</v>
      </c>
      <c r="E206" t="s">
        <v>69</v>
      </c>
      <c r="F206">
        <v>2752</v>
      </c>
      <c r="G206">
        <v>50</v>
      </c>
      <c r="H206">
        <v>13.9</v>
      </c>
      <c r="I206">
        <v>0.8167267837237594</v>
      </c>
      <c r="J206">
        <v>0</v>
      </c>
    </row>
    <row r="207" spans="1:10" x14ac:dyDescent="0.3">
      <c r="A207" t="s">
        <v>314</v>
      </c>
      <c r="B207" t="s">
        <v>62</v>
      </c>
      <c r="C207">
        <v>8</v>
      </c>
      <c r="D207">
        <v>36674</v>
      </c>
      <c r="E207" t="s">
        <v>69</v>
      </c>
      <c r="F207">
        <v>4730</v>
      </c>
      <c r="G207">
        <v>113</v>
      </c>
      <c r="H207">
        <v>7.2</v>
      </c>
      <c r="I207">
        <v>0.34107322002518337</v>
      </c>
      <c r="J207">
        <v>0</v>
      </c>
    </row>
    <row r="208" spans="1:10" x14ac:dyDescent="0.3">
      <c r="A208" t="s">
        <v>315</v>
      </c>
      <c r="B208" t="s">
        <v>62</v>
      </c>
      <c r="C208">
        <v>2</v>
      </c>
      <c r="D208">
        <v>21108</v>
      </c>
      <c r="E208" t="s">
        <v>69</v>
      </c>
      <c r="F208">
        <v>3739</v>
      </c>
      <c r="G208">
        <v>58</v>
      </c>
      <c r="H208">
        <v>10.4</v>
      </c>
      <c r="I208">
        <v>0.65705648314968812</v>
      </c>
      <c r="J208">
        <v>0</v>
      </c>
    </row>
    <row r="209" spans="1:10" x14ac:dyDescent="0.3">
      <c r="A209" t="s">
        <v>316</v>
      </c>
      <c r="B209" t="s">
        <v>62</v>
      </c>
      <c r="C209">
        <v>7</v>
      </c>
      <c r="D209">
        <v>27803</v>
      </c>
      <c r="E209" t="s">
        <v>68</v>
      </c>
      <c r="F209">
        <v>5478</v>
      </c>
      <c r="G209">
        <v>120</v>
      </c>
      <c r="H209">
        <v>14.2</v>
      </c>
      <c r="I209">
        <v>0.28595907087293893</v>
      </c>
      <c r="J209">
        <v>0</v>
      </c>
    </row>
    <row r="210" spans="1:10" x14ac:dyDescent="0.3">
      <c r="A210" t="s">
        <v>317</v>
      </c>
      <c r="B210" t="s">
        <v>63</v>
      </c>
      <c r="C210">
        <v>8</v>
      </c>
      <c r="D210">
        <v>37239</v>
      </c>
      <c r="E210" t="s">
        <v>68</v>
      </c>
      <c r="F210">
        <v>7041</v>
      </c>
      <c r="G210">
        <v>114</v>
      </c>
      <c r="H210">
        <v>4.8</v>
      </c>
      <c r="I210">
        <v>0.42915867858061618</v>
      </c>
      <c r="J210">
        <v>0</v>
      </c>
    </row>
    <row r="211" spans="1:10" x14ac:dyDescent="0.3">
      <c r="A211" t="s">
        <v>318</v>
      </c>
      <c r="B211" t="s">
        <v>63</v>
      </c>
      <c r="C211">
        <v>3</v>
      </c>
      <c r="D211">
        <v>25603</v>
      </c>
      <c r="E211" t="s">
        <v>68</v>
      </c>
      <c r="F211">
        <v>2757</v>
      </c>
      <c r="G211">
        <v>26</v>
      </c>
      <c r="H211">
        <v>10.199999999999999</v>
      </c>
      <c r="I211">
        <v>0.51944249142275545</v>
      </c>
      <c r="J211">
        <v>0</v>
      </c>
    </row>
    <row r="212" spans="1:10" x14ac:dyDescent="0.3">
      <c r="A212" t="s">
        <v>319</v>
      </c>
      <c r="B212" t="s">
        <v>65</v>
      </c>
      <c r="C212">
        <v>8</v>
      </c>
      <c r="D212">
        <v>18545</v>
      </c>
      <c r="E212" t="s">
        <v>68</v>
      </c>
      <c r="F212">
        <v>5378</v>
      </c>
      <c r="G212">
        <v>82</v>
      </c>
      <c r="H212">
        <v>12.4</v>
      </c>
      <c r="I212">
        <v>1.4887331892076583E-2</v>
      </c>
      <c r="J212">
        <v>0</v>
      </c>
    </row>
    <row r="213" spans="1:10" x14ac:dyDescent="0.3">
      <c r="A213" t="s">
        <v>320</v>
      </c>
      <c r="B213" t="s">
        <v>63</v>
      </c>
      <c r="C213">
        <v>3</v>
      </c>
      <c r="D213">
        <v>26672</v>
      </c>
      <c r="E213" t="s">
        <v>68</v>
      </c>
      <c r="F213">
        <v>3678</v>
      </c>
      <c r="G213">
        <v>101</v>
      </c>
      <c r="H213">
        <v>5.4</v>
      </c>
      <c r="I213">
        <v>0.77322692665378123</v>
      </c>
      <c r="J213">
        <v>0</v>
      </c>
    </row>
    <row r="214" spans="1:10" x14ac:dyDescent="0.3">
      <c r="A214" t="s">
        <v>321</v>
      </c>
      <c r="B214" t="s">
        <v>64</v>
      </c>
      <c r="C214">
        <v>7</v>
      </c>
      <c r="D214">
        <v>23679</v>
      </c>
      <c r="E214" t="s">
        <v>68</v>
      </c>
      <c r="F214">
        <v>5387</v>
      </c>
      <c r="G214">
        <v>102</v>
      </c>
      <c r="H214">
        <v>7.2</v>
      </c>
      <c r="I214">
        <v>0.75487434340012594</v>
      </c>
      <c r="J214">
        <v>0</v>
      </c>
    </row>
    <row r="215" spans="1:10" x14ac:dyDescent="0.3">
      <c r="A215" t="s">
        <v>322</v>
      </c>
      <c r="B215" t="s">
        <v>65</v>
      </c>
      <c r="C215">
        <v>2</v>
      </c>
      <c r="D215">
        <v>32533</v>
      </c>
      <c r="E215" t="s">
        <v>66</v>
      </c>
      <c r="F215">
        <v>2374</v>
      </c>
      <c r="G215">
        <v>119</v>
      </c>
      <c r="H215">
        <v>12.9</v>
      </c>
      <c r="I215">
        <v>0.63036936428433166</v>
      </c>
      <c r="J215">
        <v>0</v>
      </c>
    </row>
    <row r="216" spans="1:10" x14ac:dyDescent="0.3">
      <c r="A216" t="s">
        <v>323</v>
      </c>
      <c r="B216" t="s">
        <v>64</v>
      </c>
      <c r="C216">
        <v>8</v>
      </c>
      <c r="D216">
        <v>27282</v>
      </c>
      <c r="E216" t="s">
        <v>67</v>
      </c>
      <c r="F216">
        <v>4906</v>
      </c>
      <c r="G216">
        <v>77</v>
      </c>
      <c r="H216">
        <v>0.8</v>
      </c>
      <c r="I216">
        <v>7.0628848134885125E-2</v>
      </c>
      <c r="J216">
        <v>0</v>
      </c>
    </row>
    <row r="217" spans="1:10" x14ac:dyDescent="0.3">
      <c r="A217" t="s">
        <v>324</v>
      </c>
      <c r="B217" t="s">
        <v>64</v>
      </c>
      <c r="C217">
        <v>2</v>
      </c>
      <c r="D217">
        <v>18190</v>
      </c>
      <c r="E217" t="s">
        <v>67</v>
      </c>
      <c r="F217">
        <v>3976</v>
      </c>
      <c r="G217">
        <v>89</v>
      </c>
      <c r="H217">
        <v>13.8</v>
      </c>
      <c r="I217">
        <v>5.7351159155760167E-2</v>
      </c>
      <c r="J217">
        <v>0</v>
      </c>
    </row>
    <row r="218" spans="1:10" x14ac:dyDescent="0.3">
      <c r="A218" t="s">
        <v>325</v>
      </c>
      <c r="B218" t="s">
        <v>63</v>
      </c>
      <c r="C218">
        <v>8</v>
      </c>
      <c r="D218">
        <v>28755</v>
      </c>
      <c r="E218" t="s">
        <v>67</v>
      </c>
      <c r="F218">
        <v>4897</v>
      </c>
      <c r="G218">
        <v>93</v>
      </c>
      <c r="H218">
        <v>7.8</v>
      </c>
      <c r="I218">
        <v>0.88962472021591332</v>
      </c>
      <c r="J218">
        <v>0</v>
      </c>
    </row>
    <row r="219" spans="1:10" x14ac:dyDescent="0.3">
      <c r="A219" t="s">
        <v>326</v>
      </c>
      <c r="B219" t="s">
        <v>62</v>
      </c>
      <c r="C219">
        <v>4</v>
      </c>
      <c r="D219">
        <v>31492</v>
      </c>
      <c r="E219" t="s">
        <v>68</v>
      </c>
      <c r="F219">
        <v>5390</v>
      </c>
      <c r="G219">
        <v>18</v>
      </c>
      <c r="H219">
        <v>5.8</v>
      </c>
      <c r="I219">
        <v>4.5170721130639802E-2</v>
      </c>
      <c r="J219">
        <v>0</v>
      </c>
    </row>
    <row r="220" spans="1:10" x14ac:dyDescent="0.3">
      <c r="A220" t="s">
        <v>327</v>
      </c>
      <c r="B220" t="s">
        <v>64</v>
      </c>
      <c r="C220">
        <v>2</v>
      </c>
      <c r="D220">
        <v>29818</v>
      </c>
      <c r="E220" t="s">
        <v>68</v>
      </c>
      <c r="F220">
        <v>4351</v>
      </c>
      <c r="G220">
        <v>119</v>
      </c>
      <c r="H220">
        <v>10.1</v>
      </c>
      <c r="I220">
        <v>0.57756660520696401</v>
      </c>
      <c r="J220">
        <v>0</v>
      </c>
    </row>
    <row r="221" spans="1:10" x14ac:dyDescent="0.3">
      <c r="A221" t="s">
        <v>328</v>
      </c>
      <c r="B221" t="s">
        <v>63</v>
      </c>
      <c r="C221">
        <v>2</v>
      </c>
      <c r="D221">
        <v>24250</v>
      </c>
      <c r="E221" t="s">
        <v>68</v>
      </c>
      <c r="F221">
        <v>2851</v>
      </c>
      <c r="G221">
        <v>53</v>
      </c>
      <c r="H221">
        <v>10.199999999999999</v>
      </c>
      <c r="I221">
        <v>0.64978093051330588</v>
      </c>
      <c r="J221">
        <v>0</v>
      </c>
    </row>
    <row r="222" spans="1:10" x14ac:dyDescent="0.3">
      <c r="A222" t="s">
        <v>329</v>
      </c>
      <c r="B222" t="s">
        <v>64</v>
      </c>
      <c r="C222">
        <v>7</v>
      </c>
      <c r="D222">
        <v>29289</v>
      </c>
      <c r="E222" t="s">
        <v>67</v>
      </c>
      <c r="F222">
        <v>6542</v>
      </c>
      <c r="G222">
        <v>57</v>
      </c>
      <c r="H222">
        <v>2.9</v>
      </c>
      <c r="I222">
        <v>0.32918409385789049</v>
      </c>
      <c r="J222">
        <v>0</v>
      </c>
    </row>
    <row r="223" spans="1:10" x14ac:dyDescent="0.3">
      <c r="A223" t="s">
        <v>330</v>
      </c>
      <c r="B223" t="s">
        <v>65</v>
      </c>
      <c r="C223">
        <v>7</v>
      </c>
      <c r="D223">
        <v>29429</v>
      </c>
      <c r="E223" t="s">
        <v>68</v>
      </c>
      <c r="F223">
        <v>6762</v>
      </c>
      <c r="G223">
        <v>84</v>
      </c>
      <c r="H223">
        <v>8.4</v>
      </c>
      <c r="I223">
        <v>0.51880483884826001</v>
      </c>
      <c r="J223">
        <v>0</v>
      </c>
    </row>
    <row r="224" spans="1:10" x14ac:dyDescent="0.3">
      <c r="A224" t="s">
        <v>331</v>
      </c>
      <c r="B224" t="s">
        <v>65</v>
      </c>
      <c r="C224">
        <v>6</v>
      </c>
      <c r="D224">
        <v>18749</v>
      </c>
      <c r="E224" t="s">
        <v>67</v>
      </c>
      <c r="F224">
        <v>4729</v>
      </c>
      <c r="G224">
        <v>29</v>
      </c>
      <c r="H224">
        <v>14.8</v>
      </c>
      <c r="I224">
        <v>0.29123038872030949</v>
      </c>
      <c r="J224">
        <v>0</v>
      </c>
    </row>
    <row r="225" spans="1:10" x14ac:dyDescent="0.3">
      <c r="A225" t="s">
        <v>332</v>
      </c>
      <c r="B225" t="s">
        <v>63</v>
      </c>
      <c r="C225">
        <v>6</v>
      </c>
      <c r="D225">
        <v>22611</v>
      </c>
      <c r="E225" t="s">
        <v>69</v>
      </c>
      <c r="F225">
        <v>4890</v>
      </c>
      <c r="G225">
        <v>62</v>
      </c>
      <c r="H225">
        <v>11.5</v>
      </c>
      <c r="I225">
        <v>0.46639659866352334</v>
      </c>
      <c r="J225">
        <v>0</v>
      </c>
    </row>
    <row r="226" spans="1:10" x14ac:dyDescent="0.3">
      <c r="A226" t="s">
        <v>333</v>
      </c>
      <c r="B226" t="s">
        <v>65</v>
      </c>
      <c r="C226">
        <v>2</v>
      </c>
      <c r="D226">
        <v>16295</v>
      </c>
      <c r="E226" t="s">
        <v>69</v>
      </c>
      <c r="F226">
        <v>3555</v>
      </c>
      <c r="G226">
        <v>36</v>
      </c>
      <c r="H226">
        <v>7.2</v>
      </c>
      <c r="I226">
        <v>0.41286363913331425</v>
      </c>
      <c r="J226">
        <v>0</v>
      </c>
    </row>
    <row r="227" spans="1:10" x14ac:dyDescent="0.3">
      <c r="A227" t="s">
        <v>334</v>
      </c>
      <c r="B227" t="s">
        <v>62</v>
      </c>
      <c r="C227">
        <v>6</v>
      </c>
      <c r="D227">
        <v>30044</v>
      </c>
      <c r="E227" t="s">
        <v>68</v>
      </c>
      <c r="F227">
        <v>5391</v>
      </c>
      <c r="G227">
        <v>118</v>
      </c>
      <c r="H227">
        <v>3.8</v>
      </c>
      <c r="I227">
        <v>0.39925212256253495</v>
      </c>
      <c r="J227">
        <v>0</v>
      </c>
    </row>
    <row r="228" spans="1:10" x14ac:dyDescent="0.3">
      <c r="A228" t="s">
        <v>335</v>
      </c>
      <c r="B228" t="s">
        <v>65</v>
      </c>
      <c r="C228">
        <v>7</v>
      </c>
      <c r="D228">
        <v>20777</v>
      </c>
      <c r="E228" t="s">
        <v>69</v>
      </c>
      <c r="F228">
        <v>6667</v>
      </c>
      <c r="G228">
        <v>88</v>
      </c>
      <c r="H228">
        <v>2</v>
      </c>
      <c r="I228">
        <v>0.96102404746690184</v>
      </c>
      <c r="J228">
        <v>0</v>
      </c>
    </row>
    <row r="229" spans="1:10" x14ac:dyDescent="0.3">
      <c r="A229" t="s">
        <v>336</v>
      </c>
      <c r="B229" t="s">
        <v>65</v>
      </c>
      <c r="C229">
        <v>2</v>
      </c>
      <c r="D229">
        <v>26752</v>
      </c>
      <c r="E229" t="s">
        <v>69</v>
      </c>
      <c r="F229">
        <v>3866</v>
      </c>
      <c r="G229">
        <v>105</v>
      </c>
      <c r="H229">
        <v>10.7</v>
      </c>
      <c r="I229">
        <v>0.48494026177749761</v>
      </c>
      <c r="J229">
        <v>0</v>
      </c>
    </row>
    <row r="230" spans="1:10" x14ac:dyDescent="0.3">
      <c r="A230" t="s">
        <v>337</v>
      </c>
      <c r="B230" t="s">
        <v>62</v>
      </c>
      <c r="C230">
        <v>5</v>
      </c>
      <c r="D230">
        <v>24669</v>
      </c>
      <c r="E230" t="s">
        <v>69</v>
      </c>
      <c r="F230">
        <v>5293</v>
      </c>
      <c r="G230">
        <v>77</v>
      </c>
      <c r="H230">
        <v>14.4</v>
      </c>
      <c r="I230">
        <v>0.42463666951155188</v>
      </c>
      <c r="J230">
        <v>0</v>
      </c>
    </row>
    <row r="231" spans="1:10" x14ac:dyDescent="0.3">
      <c r="A231" t="s">
        <v>338</v>
      </c>
      <c r="B231" t="s">
        <v>63</v>
      </c>
      <c r="C231">
        <v>6</v>
      </c>
      <c r="D231">
        <v>29246</v>
      </c>
      <c r="E231" t="s">
        <v>69</v>
      </c>
      <c r="F231">
        <v>5422</v>
      </c>
      <c r="G231">
        <v>88</v>
      </c>
      <c r="H231">
        <v>9.8000000000000007</v>
      </c>
      <c r="I231">
        <v>0.93837508275036474</v>
      </c>
      <c r="J231">
        <v>0</v>
      </c>
    </row>
    <row r="232" spans="1:10" x14ac:dyDescent="0.3">
      <c r="A232" t="s">
        <v>339</v>
      </c>
      <c r="B232" t="s">
        <v>64</v>
      </c>
      <c r="C232">
        <v>3</v>
      </c>
      <c r="D232">
        <v>42892</v>
      </c>
      <c r="E232" t="s">
        <v>67</v>
      </c>
      <c r="F232">
        <v>4418</v>
      </c>
      <c r="G232">
        <v>79</v>
      </c>
      <c r="H232">
        <v>9.3000000000000007</v>
      </c>
      <c r="I232">
        <v>0.88619610696316609</v>
      </c>
      <c r="J232">
        <v>0</v>
      </c>
    </row>
    <row r="233" spans="1:10" x14ac:dyDescent="0.3">
      <c r="A233" t="s">
        <v>340</v>
      </c>
      <c r="B233" t="s">
        <v>62</v>
      </c>
      <c r="C233">
        <v>2</v>
      </c>
      <c r="D233">
        <v>23936</v>
      </c>
      <c r="E233" t="s">
        <v>67</v>
      </c>
      <c r="F233">
        <v>2921</v>
      </c>
      <c r="G233">
        <v>101</v>
      </c>
      <c r="H233">
        <v>0.7</v>
      </c>
      <c r="I233">
        <v>5.6450193713995955E-2</v>
      </c>
      <c r="J233">
        <v>0</v>
      </c>
    </row>
    <row r="234" spans="1:10" x14ac:dyDescent="0.3">
      <c r="A234" t="s">
        <v>341</v>
      </c>
      <c r="B234" t="s">
        <v>65</v>
      </c>
      <c r="C234">
        <v>7</v>
      </c>
      <c r="D234">
        <v>29838</v>
      </c>
      <c r="E234" t="s">
        <v>69</v>
      </c>
      <c r="F234">
        <v>4816</v>
      </c>
      <c r="G234">
        <v>94</v>
      </c>
      <c r="H234">
        <v>14.7</v>
      </c>
      <c r="I234">
        <v>0.4255363497626099</v>
      </c>
      <c r="J234">
        <v>0</v>
      </c>
    </row>
    <row r="235" spans="1:10" x14ac:dyDescent="0.3">
      <c r="A235" t="s">
        <v>342</v>
      </c>
      <c r="B235" t="s">
        <v>64</v>
      </c>
      <c r="C235">
        <v>7</v>
      </c>
      <c r="D235">
        <v>30304</v>
      </c>
      <c r="E235" t="s">
        <v>69</v>
      </c>
      <c r="F235">
        <v>4779</v>
      </c>
      <c r="G235">
        <v>88</v>
      </c>
      <c r="H235">
        <v>7.4</v>
      </c>
      <c r="I235">
        <v>0.59613905812809487</v>
      </c>
      <c r="J235">
        <v>0</v>
      </c>
    </row>
    <row r="236" spans="1:10" x14ac:dyDescent="0.3">
      <c r="A236" t="s">
        <v>343</v>
      </c>
      <c r="B236" t="s">
        <v>65</v>
      </c>
      <c r="C236">
        <v>8</v>
      </c>
      <c r="D236">
        <v>29894</v>
      </c>
      <c r="E236" t="s">
        <v>67</v>
      </c>
      <c r="F236">
        <v>7143</v>
      </c>
      <c r="G236">
        <v>111</v>
      </c>
      <c r="H236">
        <v>8.9</v>
      </c>
      <c r="I236">
        <v>0.99848968062517174</v>
      </c>
      <c r="J236">
        <v>0</v>
      </c>
    </row>
    <row r="237" spans="1:10" x14ac:dyDescent="0.3">
      <c r="A237" t="s">
        <v>344</v>
      </c>
      <c r="B237" t="s">
        <v>64</v>
      </c>
      <c r="C237">
        <v>2</v>
      </c>
      <c r="D237">
        <v>23896</v>
      </c>
      <c r="E237" t="s">
        <v>68</v>
      </c>
      <c r="F237">
        <v>2582</v>
      </c>
      <c r="G237">
        <v>65</v>
      </c>
      <c r="H237">
        <v>12.3</v>
      </c>
      <c r="I237">
        <v>0.51562896813602876</v>
      </c>
      <c r="J237">
        <v>0</v>
      </c>
    </row>
    <row r="238" spans="1:10" x14ac:dyDescent="0.3">
      <c r="A238" t="s">
        <v>345</v>
      </c>
      <c r="B238" t="s">
        <v>63</v>
      </c>
      <c r="C238">
        <v>3</v>
      </c>
      <c r="D238">
        <v>27983</v>
      </c>
      <c r="E238" t="s">
        <v>68</v>
      </c>
      <c r="F238">
        <v>3917</v>
      </c>
      <c r="G238">
        <v>120</v>
      </c>
      <c r="H238">
        <v>8.6</v>
      </c>
      <c r="I238">
        <v>0.6651746676230802</v>
      </c>
      <c r="J238">
        <v>0</v>
      </c>
    </row>
    <row r="239" spans="1:10" x14ac:dyDescent="0.3">
      <c r="A239" t="s">
        <v>346</v>
      </c>
      <c r="B239" t="s">
        <v>63</v>
      </c>
      <c r="C239">
        <v>2</v>
      </c>
      <c r="D239">
        <v>30714</v>
      </c>
      <c r="E239" t="s">
        <v>68</v>
      </c>
      <c r="F239">
        <v>3373</v>
      </c>
      <c r="G239">
        <v>92</v>
      </c>
      <c r="H239">
        <v>14.1</v>
      </c>
      <c r="I239">
        <v>0.19963662557178607</v>
      </c>
      <c r="J239">
        <v>0</v>
      </c>
    </row>
    <row r="240" spans="1:10" x14ac:dyDescent="0.3">
      <c r="A240" t="s">
        <v>347</v>
      </c>
      <c r="B240" t="s">
        <v>64</v>
      </c>
      <c r="C240">
        <v>3</v>
      </c>
      <c r="D240">
        <v>26646</v>
      </c>
      <c r="E240" t="s">
        <v>69</v>
      </c>
      <c r="F240">
        <v>3043</v>
      </c>
      <c r="G240">
        <v>59</v>
      </c>
      <c r="H240">
        <v>8.5</v>
      </c>
      <c r="I240">
        <v>4.3112816769060869E-2</v>
      </c>
      <c r="J240">
        <v>0</v>
      </c>
    </row>
    <row r="241" spans="1:10" x14ac:dyDescent="0.3">
      <c r="A241" t="s">
        <v>348</v>
      </c>
      <c r="B241" t="s">
        <v>62</v>
      </c>
      <c r="C241">
        <v>2</v>
      </c>
      <c r="D241">
        <v>24515</v>
      </c>
      <c r="E241" t="s">
        <v>69</v>
      </c>
      <c r="F241">
        <v>3476</v>
      </c>
      <c r="G241">
        <v>19</v>
      </c>
      <c r="H241">
        <v>8</v>
      </c>
      <c r="I241">
        <v>0.3187696872687974</v>
      </c>
      <c r="J241">
        <v>0</v>
      </c>
    </row>
    <row r="242" spans="1:10" x14ac:dyDescent="0.3">
      <c r="A242" t="s">
        <v>349</v>
      </c>
      <c r="B242" t="s">
        <v>63</v>
      </c>
      <c r="C242">
        <v>7</v>
      </c>
      <c r="D242">
        <v>27375</v>
      </c>
      <c r="E242" t="s">
        <v>69</v>
      </c>
      <c r="F242">
        <v>4816</v>
      </c>
      <c r="G242">
        <v>110</v>
      </c>
      <c r="H242">
        <v>2</v>
      </c>
      <c r="I242">
        <v>0.17782305840806967</v>
      </c>
      <c r="J242">
        <v>0</v>
      </c>
    </row>
    <row r="243" spans="1:10" x14ac:dyDescent="0.3">
      <c r="A243" t="s">
        <v>350</v>
      </c>
      <c r="B243" t="s">
        <v>64</v>
      </c>
      <c r="C243">
        <v>4</v>
      </c>
      <c r="D243">
        <v>27245</v>
      </c>
      <c r="E243" t="s">
        <v>68</v>
      </c>
      <c r="F243">
        <v>5381</v>
      </c>
      <c r="G243">
        <v>41</v>
      </c>
      <c r="H243">
        <v>4.9000000000000004</v>
      </c>
      <c r="I243">
        <v>0.90667997146290913</v>
      </c>
      <c r="J243">
        <v>0</v>
      </c>
    </row>
    <row r="244" spans="1:10" x14ac:dyDescent="0.3">
      <c r="A244" t="s">
        <v>351</v>
      </c>
      <c r="B244" t="s">
        <v>62</v>
      </c>
      <c r="C244">
        <v>4</v>
      </c>
      <c r="D244">
        <v>19328</v>
      </c>
      <c r="E244" t="s">
        <v>66</v>
      </c>
      <c r="F244">
        <v>4965</v>
      </c>
      <c r="G244">
        <v>45</v>
      </c>
      <c r="H244">
        <v>0.9</v>
      </c>
      <c r="I244">
        <v>0.50345229015276227</v>
      </c>
      <c r="J244">
        <v>0</v>
      </c>
    </row>
    <row r="245" spans="1:10" x14ac:dyDescent="0.3">
      <c r="A245" t="s">
        <v>352</v>
      </c>
      <c r="B245" t="s">
        <v>64</v>
      </c>
      <c r="C245">
        <v>3</v>
      </c>
      <c r="D245">
        <v>15564</v>
      </c>
      <c r="E245" t="s">
        <v>67</v>
      </c>
      <c r="F245">
        <v>3675</v>
      </c>
      <c r="G245">
        <v>35</v>
      </c>
      <c r="H245">
        <v>13.8</v>
      </c>
      <c r="I245">
        <v>0.28644583240854071</v>
      </c>
      <c r="J245">
        <v>0</v>
      </c>
    </row>
    <row r="246" spans="1:10" x14ac:dyDescent="0.3">
      <c r="A246" t="s">
        <v>353</v>
      </c>
      <c r="B246" t="s">
        <v>63</v>
      </c>
      <c r="C246">
        <v>8</v>
      </c>
      <c r="D246">
        <v>42549</v>
      </c>
      <c r="E246" t="s">
        <v>68</v>
      </c>
      <c r="F246">
        <v>5192</v>
      </c>
      <c r="G246">
        <v>97</v>
      </c>
      <c r="H246">
        <v>0.8</v>
      </c>
      <c r="I246">
        <v>8.8465027236354077E-2</v>
      </c>
      <c r="J246">
        <v>0</v>
      </c>
    </row>
    <row r="247" spans="1:10" x14ac:dyDescent="0.3">
      <c r="A247" t="s">
        <v>354</v>
      </c>
      <c r="B247" t="s">
        <v>64</v>
      </c>
      <c r="C247">
        <v>7</v>
      </c>
      <c r="D247">
        <v>31357</v>
      </c>
      <c r="E247" t="s">
        <v>68</v>
      </c>
      <c r="F247">
        <v>6029</v>
      </c>
      <c r="G247">
        <v>34</v>
      </c>
      <c r="H247">
        <v>8.8000000000000007</v>
      </c>
      <c r="I247">
        <v>0.56745625492543827</v>
      </c>
      <c r="J247">
        <v>0</v>
      </c>
    </row>
    <row r="248" spans="1:10" x14ac:dyDescent="0.3">
      <c r="A248" t="s">
        <v>355</v>
      </c>
      <c r="B248" t="s">
        <v>63</v>
      </c>
      <c r="C248">
        <v>2</v>
      </c>
      <c r="D248">
        <v>34373</v>
      </c>
      <c r="E248" t="s">
        <v>67</v>
      </c>
      <c r="F248">
        <v>3759</v>
      </c>
      <c r="G248">
        <v>111</v>
      </c>
      <c r="H248">
        <v>4.8</v>
      </c>
      <c r="I248">
        <v>0.3425663864252334</v>
      </c>
      <c r="J248">
        <v>0</v>
      </c>
    </row>
    <row r="249" spans="1:10" x14ac:dyDescent="0.3">
      <c r="A249" t="s">
        <v>356</v>
      </c>
      <c r="B249" t="s">
        <v>65</v>
      </c>
      <c r="C249">
        <v>5</v>
      </c>
      <c r="D249">
        <v>32562</v>
      </c>
      <c r="E249" t="s">
        <v>69</v>
      </c>
      <c r="F249">
        <v>3908</v>
      </c>
      <c r="G249">
        <v>24</v>
      </c>
      <c r="H249">
        <v>10.8</v>
      </c>
      <c r="I249">
        <v>0.93276878928086171</v>
      </c>
      <c r="J249">
        <v>0</v>
      </c>
    </row>
    <row r="250" spans="1:10" x14ac:dyDescent="0.3">
      <c r="A250" t="s">
        <v>357</v>
      </c>
      <c r="B250" t="s">
        <v>64</v>
      </c>
      <c r="C250">
        <v>6</v>
      </c>
      <c r="D250">
        <v>23284</v>
      </c>
      <c r="E250" t="s">
        <v>67</v>
      </c>
      <c r="F250">
        <v>5463</v>
      </c>
      <c r="G250">
        <v>42</v>
      </c>
      <c r="H250">
        <v>12.8</v>
      </c>
      <c r="I250">
        <v>0.18501563696849166</v>
      </c>
      <c r="J250">
        <v>0</v>
      </c>
    </row>
    <row r="251" spans="1:10" x14ac:dyDescent="0.3">
      <c r="A251" t="s">
        <v>358</v>
      </c>
      <c r="B251" t="s">
        <v>62</v>
      </c>
      <c r="C251">
        <v>4</v>
      </c>
      <c r="D251">
        <v>30281</v>
      </c>
      <c r="E251" t="s">
        <v>68</v>
      </c>
      <c r="F251">
        <v>5250</v>
      </c>
      <c r="G251">
        <v>29</v>
      </c>
      <c r="H251">
        <v>1.3</v>
      </c>
      <c r="I251">
        <v>0.95221795256260844</v>
      </c>
      <c r="J251">
        <v>0</v>
      </c>
    </row>
    <row r="252" spans="1:10" x14ac:dyDescent="0.3">
      <c r="A252" t="s">
        <v>359</v>
      </c>
      <c r="B252" t="s">
        <v>64</v>
      </c>
      <c r="C252">
        <v>6</v>
      </c>
      <c r="D252">
        <v>27076</v>
      </c>
      <c r="E252" t="s">
        <v>68</v>
      </c>
      <c r="F252">
        <v>4289</v>
      </c>
      <c r="G252">
        <v>15</v>
      </c>
      <c r="H252">
        <v>13.9</v>
      </c>
      <c r="I252">
        <v>0.42453354547095989</v>
      </c>
      <c r="J252">
        <v>0</v>
      </c>
    </row>
    <row r="253" spans="1:10" x14ac:dyDescent="0.3">
      <c r="A253" t="s">
        <v>360</v>
      </c>
      <c r="B253" t="s">
        <v>63</v>
      </c>
      <c r="C253">
        <v>8</v>
      </c>
      <c r="D253">
        <v>30471</v>
      </c>
      <c r="E253" t="s">
        <v>68</v>
      </c>
      <c r="F253">
        <v>5624</v>
      </c>
      <c r="G253">
        <v>39</v>
      </c>
      <c r="H253">
        <v>7.4</v>
      </c>
      <c r="I253">
        <v>0.81161377323168094</v>
      </c>
      <c r="J253">
        <v>0</v>
      </c>
    </row>
    <row r="254" spans="1:10" x14ac:dyDescent="0.3">
      <c r="A254" t="s">
        <v>361</v>
      </c>
      <c r="B254" t="s">
        <v>62</v>
      </c>
      <c r="C254">
        <v>4</v>
      </c>
      <c r="D254">
        <v>30771</v>
      </c>
      <c r="E254" t="s">
        <v>68</v>
      </c>
      <c r="F254">
        <v>3723</v>
      </c>
      <c r="G254">
        <v>34</v>
      </c>
      <c r="H254">
        <v>2.9</v>
      </c>
      <c r="I254">
        <v>0.3723248970355667</v>
      </c>
      <c r="J254">
        <v>0</v>
      </c>
    </row>
    <row r="255" spans="1:10" x14ac:dyDescent="0.3">
      <c r="A255" t="s">
        <v>362</v>
      </c>
      <c r="B255" t="s">
        <v>64</v>
      </c>
      <c r="C255">
        <v>5</v>
      </c>
      <c r="D255">
        <v>30406</v>
      </c>
      <c r="E255" t="s">
        <v>66</v>
      </c>
      <c r="F255">
        <v>4369</v>
      </c>
      <c r="G255">
        <v>97</v>
      </c>
      <c r="H255">
        <v>0.5</v>
      </c>
      <c r="I255">
        <v>0.23154524104306884</v>
      </c>
      <c r="J255">
        <v>0</v>
      </c>
    </row>
    <row r="256" spans="1:10" x14ac:dyDescent="0.3">
      <c r="A256" t="s">
        <v>363</v>
      </c>
      <c r="B256" t="s">
        <v>62</v>
      </c>
      <c r="C256">
        <v>5</v>
      </c>
      <c r="D256">
        <v>20753</v>
      </c>
      <c r="E256" t="s">
        <v>66</v>
      </c>
      <c r="F256">
        <v>5538</v>
      </c>
      <c r="G256">
        <v>106</v>
      </c>
      <c r="H256">
        <v>11.1</v>
      </c>
      <c r="I256">
        <v>0.93276549617359283</v>
      </c>
      <c r="J256">
        <v>0</v>
      </c>
    </row>
    <row r="257" spans="1:10" x14ac:dyDescent="0.3">
      <c r="A257" t="s">
        <v>364</v>
      </c>
      <c r="B257" t="s">
        <v>64</v>
      </c>
      <c r="C257">
        <v>8</v>
      </c>
      <c r="D257">
        <v>22652</v>
      </c>
      <c r="E257" t="s">
        <v>67</v>
      </c>
      <c r="F257">
        <v>4832</v>
      </c>
      <c r="G257">
        <v>26</v>
      </c>
      <c r="H257">
        <v>2.5</v>
      </c>
      <c r="I257">
        <v>0.60404442100732036</v>
      </c>
      <c r="J257">
        <v>0</v>
      </c>
    </row>
    <row r="258" spans="1:10" x14ac:dyDescent="0.3">
      <c r="A258" t="s">
        <v>365</v>
      </c>
      <c r="B258" t="s">
        <v>63</v>
      </c>
      <c r="C258">
        <v>6</v>
      </c>
      <c r="D258">
        <v>30415</v>
      </c>
      <c r="E258" t="s">
        <v>67</v>
      </c>
      <c r="F258">
        <v>4319</v>
      </c>
      <c r="G258">
        <v>91</v>
      </c>
      <c r="H258">
        <v>3.3</v>
      </c>
      <c r="I258">
        <v>0.17268587530946611</v>
      </c>
      <c r="J258">
        <v>0</v>
      </c>
    </row>
    <row r="259" spans="1:10" x14ac:dyDescent="0.3">
      <c r="A259" t="s">
        <v>366</v>
      </c>
      <c r="B259" t="s">
        <v>64</v>
      </c>
      <c r="C259">
        <v>3</v>
      </c>
      <c r="D259">
        <v>36906</v>
      </c>
      <c r="E259" t="s">
        <v>68</v>
      </c>
      <c r="F259">
        <v>4259</v>
      </c>
      <c r="G259">
        <v>88</v>
      </c>
      <c r="H259">
        <v>8</v>
      </c>
      <c r="I259">
        <v>0.83811163510547504</v>
      </c>
      <c r="J259">
        <v>0</v>
      </c>
    </row>
    <row r="260" spans="1:10" x14ac:dyDescent="0.3">
      <c r="A260" t="s">
        <v>367</v>
      </c>
      <c r="B260" t="s">
        <v>63</v>
      </c>
      <c r="C260">
        <v>6</v>
      </c>
      <c r="D260">
        <v>18184</v>
      </c>
      <c r="E260" t="s">
        <v>67</v>
      </c>
      <c r="F260">
        <v>6262</v>
      </c>
      <c r="G260">
        <v>115</v>
      </c>
      <c r="H260">
        <v>5.5</v>
      </c>
      <c r="I260">
        <v>0.86125697746947694</v>
      </c>
      <c r="J260">
        <v>0</v>
      </c>
    </row>
    <row r="261" spans="1:10" x14ac:dyDescent="0.3">
      <c r="A261" t="s">
        <v>368</v>
      </c>
      <c r="B261" t="s">
        <v>63</v>
      </c>
      <c r="C261">
        <v>6</v>
      </c>
      <c r="D261">
        <v>29131</v>
      </c>
      <c r="E261" t="s">
        <v>67</v>
      </c>
      <c r="F261">
        <v>5997</v>
      </c>
      <c r="G261">
        <v>23</v>
      </c>
      <c r="H261">
        <v>8.6</v>
      </c>
      <c r="I261">
        <v>0.99739643262485012</v>
      </c>
      <c r="J261">
        <v>0</v>
      </c>
    </row>
    <row r="262" spans="1:10" x14ac:dyDescent="0.3">
      <c r="A262" t="s">
        <v>369</v>
      </c>
      <c r="B262" t="s">
        <v>63</v>
      </c>
      <c r="C262">
        <v>4</v>
      </c>
      <c r="D262">
        <v>40275</v>
      </c>
      <c r="E262" t="s">
        <v>68</v>
      </c>
      <c r="F262">
        <v>5023</v>
      </c>
      <c r="G262">
        <v>86</v>
      </c>
      <c r="H262">
        <v>13.4</v>
      </c>
      <c r="I262">
        <v>0.18760112691943087</v>
      </c>
      <c r="J262">
        <v>0</v>
      </c>
    </row>
    <row r="263" spans="1:10" x14ac:dyDescent="0.3">
      <c r="A263" t="s">
        <v>370</v>
      </c>
      <c r="B263" t="s">
        <v>64</v>
      </c>
      <c r="C263">
        <v>3</v>
      </c>
      <c r="D263">
        <v>32073</v>
      </c>
      <c r="E263" t="s">
        <v>68</v>
      </c>
      <c r="F263">
        <v>4350</v>
      </c>
      <c r="G263">
        <v>22</v>
      </c>
      <c r="H263">
        <v>2.2999999999999998</v>
      </c>
      <c r="I263">
        <v>0.11837540139663572</v>
      </c>
      <c r="J263">
        <v>0</v>
      </c>
    </row>
    <row r="264" spans="1:10" x14ac:dyDescent="0.3">
      <c r="A264" t="s">
        <v>371</v>
      </c>
      <c r="B264" t="s">
        <v>65</v>
      </c>
      <c r="C264">
        <v>5</v>
      </c>
      <c r="D264">
        <v>16786</v>
      </c>
      <c r="E264" t="s">
        <v>67</v>
      </c>
      <c r="F264">
        <v>3751</v>
      </c>
      <c r="G264">
        <v>114</v>
      </c>
      <c r="H264">
        <v>10.3</v>
      </c>
      <c r="I264">
        <v>0.36985021307663912</v>
      </c>
      <c r="J264">
        <v>0</v>
      </c>
    </row>
    <row r="265" spans="1:10" x14ac:dyDescent="0.3">
      <c r="A265" t="s">
        <v>372</v>
      </c>
      <c r="B265" t="s">
        <v>64</v>
      </c>
      <c r="C265">
        <v>8</v>
      </c>
      <c r="D265">
        <v>36348</v>
      </c>
      <c r="E265" t="s">
        <v>69</v>
      </c>
      <c r="F265">
        <v>5003</v>
      </c>
      <c r="G265">
        <v>111</v>
      </c>
      <c r="H265">
        <v>4.2</v>
      </c>
      <c r="I265">
        <v>0.30994561146187127</v>
      </c>
      <c r="J265">
        <v>0</v>
      </c>
    </row>
    <row r="266" spans="1:10" x14ac:dyDescent="0.3">
      <c r="A266" t="s">
        <v>373</v>
      </c>
      <c r="B266" t="s">
        <v>65</v>
      </c>
      <c r="C266">
        <v>6</v>
      </c>
      <c r="D266">
        <v>31536</v>
      </c>
      <c r="E266" t="s">
        <v>68</v>
      </c>
      <c r="F266">
        <v>3997</v>
      </c>
      <c r="G266">
        <v>64</v>
      </c>
      <c r="H266">
        <v>13.7</v>
      </c>
      <c r="I266">
        <v>1.0682773565150794E-2</v>
      </c>
      <c r="J266">
        <v>0</v>
      </c>
    </row>
    <row r="267" spans="1:10" x14ac:dyDescent="0.3">
      <c r="A267" t="s">
        <v>374</v>
      </c>
      <c r="B267" t="s">
        <v>62</v>
      </c>
      <c r="C267">
        <v>7</v>
      </c>
      <c r="D267">
        <v>21769</v>
      </c>
      <c r="E267" t="s">
        <v>67</v>
      </c>
      <c r="F267">
        <v>6131</v>
      </c>
      <c r="G267">
        <v>38</v>
      </c>
      <c r="H267">
        <v>3.6</v>
      </c>
      <c r="I267">
        <v>9.509331649442021E-2</v>
      </c>
      <c r="J267">
        <v>0</v>
      </c>
    </row>
    <row r="268" spans="1:10" x14ac:dyDescent="0.3">
      <c r="A268" t="s">
        <v>375</v>
      </c>
      <c r="B268" t="s">
        <v>64</v>
      </c>
      <c r="C268">
        <v>6</v>
      </c>
      <c r="D268">
        <v>34621</v>
      </c>
      <c r="E268" t="s">
        <v>69</v>
      </c>
      <c r="F268">
        <v>4173</v>
      </c>
      <c r="G268">
        <v>21</v>
      </c>
      <c r="H268">
        <v>6</v>
      </c>
      <c r="I268">
        <v>0.21879462439130459</v>
      </c>
      <c r="J268">
        <v>0</v>
      </c>
    </row>
    <row r="269" spans="1:10" x14ac:dyDescent="0.3">
      <c r="A269" t="s">
        <v>376</v>
      </c>
      <c r="B269" t="s">
        <v>63</v>
      </c>
      <c r="C269">
        <v>6</v>
      </c>
      <c r="D269">
        <v>38972</v>
      </c>
      <c r="E269" t="s">
        <v>66</v>
      </c>
      <c r="F269">
        <v>5117</v>
      </c>
      <c r="G269">
        <v>73</v>
      </c>
      <c r="H269">
        <v>3.5</v>
      </c>
      <c r="I269">
        <v>0.81810252262821326</v>
      </c>
      <c r="J269">
        <v>0</v>
      </c>
    </row>
    <row r="270" spans="1:10" x14ac:dyDescent="0.3">
      <c r="A270" t="s">
        <v>377</v>
      </c>
      <c r="B270" t="s">
        <v>62</v>
      </c>
      <c r="C270">
        <v>2</v>
      </c>
      <c r="D270">
        <v>39253</v>
      </c>
      <c r="E270" t="s">
        <v>68</v>
      </c>
      <c r="F270">
        <v>4306</v>
      </c>
      <c r="G270">
        <v>43</v>
      </c>
      <c r="H270">
        <v>7.7</v>
      </c>
      <c r="I270">
        <v>0.11174660434653505</v>
      </c>
      <c r="J270">
        <v>0</v>
      </c>
    </row>
    <row r="271" spans="1:10" x14ac:dyDescent="0.3">
      <c r="A271" t="s">
        <v>378</v>
      </c>
      <c r="B271" t="s">
        <v>64</v>
      </c>
      <c r="C271">
        <v>7</v>
      </c>
      <c r="D271">
        <v>32647</v>
      </c>
      <c r="E271" t="s">
        <v>67</v>
      </c>
      <c r="F271">
        <v>6784</v>
      </c>
      <c r="G271">
        <v>120</v>
      </c>
      <c r="H271">
        <v>4</v>
      </c>
      <c r="I271">
        <v>0.98984223486251799</v>
      </c>
      <c r="J271">
        <v>0</v>
      </c>
    </row>
    <row r="272" spans="1:10" x14ac:dyDescent="0.3">
      <c r="A272" t="s">
        <v>379</v>
      </c>
      <c r="B272" t="s">
        <v>62</v>
      </c>
      <c r="C272">
        <v>8</v>
      </c>
      <c r="D272">
        <v>20536</v>
      </c>
      <c r="E272" t="s">
        <v>67</v>
      </c>
      <c r="F272">
        <v>6213</v>
      </c>
      <c r="G272">
        <v>103</v>
      </c>
      <c r="H272">
        <v>10.199999999999999</v>
      </c>
      <c r="I272">
        <v>0.83043808165649491</v>
      </c>
      <c r="J272">
        <v>0</v>
      </c>
    </row>
    <row r="273" spans="1:10" x14ac:dyDescent="0.3">
      <c r="A273" t="s">
        <v>380</v>
      </c>
      <c r="B273" t="s">
        <v>64</v>
      </c>
      <c r="C273">
        <v>3</v>
      </c>
      <c r="D273">
        <v>30399</v>
      </c>
      <c r="E273" t="s">
        <v>67</v>
      </c>
      <c r="F273">
        <v>4678</v>
      </c>
      <c r="G273">
        <v>74</v>
      </c>
      <c r="H273">
        <v>0.5</v>
      </c>
      <c r="I273">
        <v>8.517886574481881E-2</v>
      </c>
      <c r="J273">
        <v>0</v>
      </c>
    </row>
    <row r="274" spans="1:10" x14ac:dyDescent="0.3">
      <c r="A274" t="s">
        <v>381</v>
      </c>
      <c r="B274" t="s">
        <v>65</v>
      </c>
      <c r="C274">
        <v>2</v>
      </c>
      <c r="D274">
        <v>22931</v>
      </c>
      <c r="E274" t="s">
        <v>67</v>
      </c>
      <c r="F274">
        <v>4458</v>
      </c>
      <c r="G274">
        <v>65</v>
      </c>
      <c r="H274">
        <v>6.5</v>
      </c>
      <c r="I274">
        <v>0.60988562571909821</v>
      </c>
      <c r="J274">
        <v>0</v>
      </c>
    </row>
    <row r="275" spans="1:10" x14ac:dyDescent="0.3">
      <c r="A275" t="s">
        <v>382</v>
      </c>
      <c r="B275" t="s">
        <v>64</v>
      </c>
      <c r="C275">
        <v>6</v>
      </c>
      <c r="D275">
        <v>20729</v>
      </c>
      <c r="E275" t="s">
        <v>68</v>
      </c>
      <c r="F275">
        <v>4649</v>
      </c>
      <c r="G275">
        <v>95</v>
      </c>
      <c r="H275">
        <v>13.6</v>
      </c>
      <c r="I275">
        <v>0.13493262584997978</v>
      </c>
      <c r="J275">
        <v>0</v>
      </c>
    </row>
    <row r="276" spans="1:10" x14ac:dyDescent="0.3">
      <c r="A276" t="s">
        <v>383</v>
      </c>
      <c r="B276" t="s">
        <v>62</v>
      </c>
      <c r="C276">
        <v>4</v>
      </c>
      <c r="D276">
        <v>39883</v>
      </c>
      <c r="E276" t="s">
        <v>68</v>
      </c>
      <c r="F276">
        <v>5369</v>
      </c>
      <c r="G276">
        <v>26</v>
      </c>
      <c r="H276">
        <v>10.199999999999999</v>
      </c>
      <c r="I276">
        <v>0.98908612585389244</v>
      </c>
      <c r="J276">
        <v>0</v>
      </c>
    </row>
    <row r="277" spans="1:10" x14ac:dyDescent="0.3">
      <c r="A277" t="s">
        <v>384</v>
      </c>
      <c r="B277" t="s">
        <v>65</v>
      </c>
      <c r="C277">
        <v>6</v>
      </c>
      <c r="D277">
        <v>33521</v>
      </c>
      <c r="E277" t="s">
        <v>68</v>
      </c>
      <c r="F277">
        <v>4637</v>
      </c>
      <c r="G277">
        <v>23</v>
      </c>
      <c r="H277">
        <v>10</v>
      </c>
      <c r="I277">
        <v>0.83784139901821852</v>
      </c>
      <c r="J277">
        <v>0</v>
      </c>
    </row>
    <row r="278" spans="1:10" x14ac:dyDescent="0.3">
      <c r="A278" t="s">
        <v>385</v>
      </c>
      <c r="B278" t="s">
        <v>63</v>
      </c>
      <c r="C278">
        <v>3</v>
      </c>
      <c r="D278">
        <v>35280</v>
      </c>
      <c r="E278" t="s">
        <v>67</v>
      </c>
      <c r="F278">
        <v>2851</v>
      </c>
      <c r="G278">
        <v>70</v>
      </c>
      <c r="H278">
        <v>2.4</v>
      </c>
      <c r="I278">
        <v>0.56815727022482376</v>
      </c>
      <c r="J278">
        <v>0</v>
      </c>
    </row>
    <row r="279" spans="1:10" x14ac:dyDescent="0.3">
      <c r="A279" t="s">
        <v>386</v>
      </c>
      <c r="B279" t="s">
        <v>62</v>
      </c>
      <c r="C279">
        <v>8</v>
      </c>
      <c r="D279">
        <v>31399</v>
      </c>
      <c r="E279" t="s">
        <v>66</v>
      </c>
      <c r="F279">
        <v>5305</v>
      </c>
      <c r="G279">
        <v>36</v>
      </c>
      <c r="H279">
        <v>6.3</v>
      </c>
      <c r="I279">
        <v>0.55932120201828728</v>
      </c>
      <c r="J279">
        <v>0</v>
      </c>
    </row>
    <row r="280" spans="1:10" x14ac:dyDescent="0.3">
      <c r="A280" t="s">
        <v>387</v>
      </c>
      <c r="B280" t="s">
        <v>62</v>
      </c>
      <c r="C280">
        <v>7</v>
      </c>
      <c r="D280">
        <v>20712</v>
      </c>
      <c r="E280" t="s">
        <v>67</v>
      </c>
      <c r="F280">
        <v>4385</v>
      </c>
      <c r="G280">
        <v>91</v>
      </c>
      <c r="H280">
        <v>9.6</v>
      </c>
      <c r="I280">
        <v>0.61376826684539298</v>
      </c>
      <c r="J280">
        <v>0</v>
      </c>
    </row>
    <row r="281" spans="1:10" x14ac:dyDescent="0.3">
      <c r="A281" t="s">
        <v>388</v>
      </c>
      <c r="B281" t="s">
        <v>63</v>
      </c>
      <c r="C281">
        <v>8</v>
      </c>
      <c r="D281">
        <v>31679</v>
      </c>
      <c r="E281" t="s">
        <v>67</v>
      </c>
      <c r="F281">
        <v>6090</v>
      </c>
      <c r="G281">
        <v>33</v>
      </c>
      <c r="H281">
        <v>4.5</v>
      </c>
      <c r="I281">
        <v>0.10012567729490063</v>
      </c>
      <c r="J281">
        <v>0</v>
      </c>
    </row>
    <row r="282" spans="1:10" x14ac:dyDescent="0.3">
      <c r="A282" t="s">
        <v>389</v>
      </c>
      <c r="B282" t="s">
        <v>65</v>
      </c>
      <c r="C282">
        <v>3</v>
      </c>
      <c r="D282">
        <v>30343</v>
      </c>
      <c r="E282" t="s">
        <v>67</v>
      </c>
      <c r="F282">
        <v>4130</v>
      </c>
      <c r="G282">
        <v>101</v>
      </c>
      <c r="H282">
        <v>0.5</v>
      </c>
      <c r="I282">
        <v>0.45249656819413897</v>
      </c>
      <c r="J282">
        <v>0</v>
      </c>
    </row>
    <row r="283" spans="1:10" x14ac:dyDescent="0.3">
      <c r="A283" t="s">
        <v>390</v>
      </c>
      <c r="B283" t="s">
        <v>62</v>
      </c>
      <c r="C283">
        <v>3</v>
      </c>
      <c r="D283">
        <v>29207</v>
      </c>
      <c r="E283" t="s">
        <v>69</v>
      </c>
      <c r="F283">
        <v>2899</v>
      </c>
      <c r="G283">
        <v>51</v>
      </c>
      <c r="H283">
        <v>14.8</v>
      </c>
      <c r="I283">
        <v>0.84024947342983025</v>
      </c>
      <c r="J283">
        <v>0</v>
      </c>
    </row>
    <row r="284" spans="1:10" x14ac:dyDescent="0.3">
      <c r="A284" t="s">
        <v>391</v>
      </c>
      <c r="B284" t="s">
        <v>62</v>
      </c>
      <c r="C284">
        <v>5</v>
      </c>
      <c r="D284">
        <v>28697</v>
      </c>
      <c r="E284" t="s">
        <v>67</v>
      </c>
      <c r="F284">
        <v>5187</v>
      </c>
      <c r="G284">
        <v>26</v>
      </c>
      <c r="H284">
        <v>4.5</v>
      </c>
      <c r="I284">
        <v>0.31143669687300224</v>
      </c>
      <c r="J284">
        <v>0</v>
      </c>
    </row>
    <row r="285" spans="1:10" x14ac:dyDescent="0.3">
      <c r="A285" t="s">
        <v>392</v>
      </c>
      <c r="B285" t="s">
        <v>64</v>
      </c>
      <c r="C285">
        <v>3</v>
      </c>
      <c r="D285">
        <v>26555</v>
      </c>
      <c r="E285" t="s">
        <v>67</v>
      </c>
      <c r="F285">
        <v>3395</v>
      </c>
      <c r="G285">
        <v>91</v>
      </c>
      <c r="H285">
        <v>11.5</v>
      </c>
      <c r="I285">
        <v>0.76420986781471922</v>
      </c>
      <c r="J285">
        <v>0</v>
      </c>
    </row>
    <row r="286" spans="1:10" x14ac:dyDescent="0.3">
      <c r="A286" t="s">
        <v>393</v>
      </c>
      <c r="B286" t="s">
        <v>63</v>
      </c>
      <c r="C286">
        <v>6</v>
      </c>
      <c r="D286">
        <v>20723</v>
      </c>
      <c r="E286" t="s">
        <v>67</v>
      </c>
      <c r="F286">
        <v>6194</v>
      </c>
      <c r="G286">
        <v>117</v>
      </c>
      <c r="H286">
        <v>2.8</v>
      </c>
      <c r="I286">
        <v>0.85547008474076736</v>
      </c>
      <c r="J286">
        <v>0</v>
      </c>
    </row>
    <row r="287" spans="1:10" x14ac:dyDescent="0.3">
      <c r="A287" t="s">
        <v>394</v>
      </c>
      <c r="B287" t="s">
        <v>63</v>
      </c>
      <c r="C287">
        <v>7</v>
      </c>
      <c r="D287">
        <v>29384</v>
      </c>
      <c r="E287" t="s">
        <v>67</v>
      </c>
      <c r="F287">
        <v>4564</v>
      </c>
      <c r="G287">
        <v>16</v>
      </c>
      <c r="H287">
        <v>9.1999999999999993</v>
      </c>
      <c r="I287">
        <v>0.26301539501031268</v>
      </c>
      <c r="J287">
        <v>0</v>
      </c>
    </row>
    <row r="288" spans="1:10" x14ac:dyDescent="0.3">
      <c r="A288" t="s">
        <v>395</v>
      </c>
      <c r="B288" t="s">
        <v>65</v>
      </c>
      <c r="C288">
        <v>5</v>
      </c>
      <c r="D288">
        <v>31582</v>
      </c>
      <c r="E288" t="s">
        <v>69</v>
      </c>
      <c r="F288">
        <v>5847</v>
      </c>
      <c r="G288">
        <v>22</v>
      </c>
      <c r="H288">
        <v>9.4</v>
      </c>
      <c r="I288">
        <v>0.40933858849208926</v>
      </c>
      <c r="J288">
        <v>0</v>
      </c>
    </row>
    <row r="289" spans="1:10" x14ac:dyDescent="0.3">
      <c r="A289" t="s">
        <v>396</v>
      </c>
      <c r="B289" t="s">
        <v>65</v>
      </c>
      <c r="C289">
        <v>7</v>
      </c>
      <c r="D289">
        <v>20584</v>
      </c>
      <c r="E289" t="s">
        <v>68</v>
      </c>
      <c r="F289">
        <v>5303</v>
      </c>
      <c r="G289">
        <v>91</v>
      </c>
      <c r="H289">
        <v>10.199999999999999</v>
      </c>
      <c r="I289">
        <v>0.6419013311976739</v>
      </c>
      <c r="J289">
        <v>0</v>
      </c>
    </row>
    <row r="290" spans="1:10" x14ac:dyDescent="0.3">
      <c r="A290" t="s">
        <v>397</v>
      </c>
      <c r="B290" t="s">
        <v>62</v>
      </c>
      <c r="C290">
        <v>5</v>
      </c>
      <c r="D290">
        <v>39296</v>
      </c>
      <c r="E290" t="s">
        <v>69</v>
      </c>
      <c r="F290">
        <v>4112</v>
      </c>
      <c r="G290">
        <v>54</v>
      </c>
      <c r="H290">
        <v>3.7</v>
      </c>
      <c r="I290">
        <v>6.3963406962710412E-2</v>
      </c>
      <c r="J290">
        <v>0</v>
      </c>
    </row>
    <row r="291" spans="1:10" x14ac:dyDescent="0.3">
      <c r="A291" t="s">
        <v>398</v>
      </c>
      <c r="B291" t="s">
        <v>62</v>
      </c>
      <c r="C291">
        <v>6</v>
      </c>
      <c r="D291">
        <v>27183</v>
      </c>
      <c r="E291" t="s">
        <v>68</v>
      </c>
      <c r="F291">
        <v>5831</v>
      </c>
      <c r="G291">
        <v>21</v>
      </c>
      <c r="H291">
        <v>9.3000000000000007</v>
      </c>
      <c r="I291">
        <v>0.84840840953671492</v>
      </c>
      <c r="J291">
        <v>0</v>
      </c>
    </row>
    <row r="292" spans="1:10" x14ac:dyDescent="0.3">
      <c r="A292" t="s">
        <v>399</v>
      </c>
      <c r="B292" t="s">
        <v>64</v>
      </c>
      <c r="C292">
        <v>4</v>
      </c>
      <c r="D292">
        <v>20316</v>
      </c>
      <c r="E292" t="s">
        <v>68</v>
      </c>
      <c r="F292">
        <v>3478</v>
      </c>
      <c r="G292">
        <v>60</v>
      </c>
      <c r="H292">
        <v>4.5999999999999996</v>
      </c>
      <c r="I292">
        <v>0.5604849696712132</v>
      </c>
      <c r="J292">
        <v>0</v>
      </c>
    </row>
    <row r="293" spans="1:10" x14ac:dyDescent="0.3">
      <c r="A293" t="s">
        <v>400</v>
      </c>
      <c r="B293" t="s">
        <v>63</v>
      </c>
      <c r="C293">
        <v>3</v>
      </c>
      <c r="D293">
        <v>20254</v>
      </c>
      <c r="E293" t="s">
        <v>68</v>
      </c>
      <c r="F293">
        <v>4134</v>
      </c>
      <c r="G293">
        <v>55</v>
      </c>
      <c r="H293">
        <v>4.4000000000000004</v>
      </c>
      <c r="I293">
        <v>0.82845938386117157</v>
      </c>
      <c r="J293">
        <v>0</v>
      </c>
    </row>
    <row r="294" spans="1:10" x14ac:dyDescent="0.3">
      <c r="A294" t="s">
        <v>401</v>
      </c>
      <c r="B294" t="s">
        <v>64</v>
      </c>
      <c r="C294">
        <v>6</v>
      </c>
      <c r="D294">
        <v>13585</v>
      </c>
      <c r="E294" t="s">
        <v>69</v>
      </c>
      <c r="F294">
        <v>4967</v>
      </c>
      <c r="G294">
        <v>57</v>
      </c>
      <c r="H294">
        <v>3.5</v>
      </c>
      <c r="I294">
        <v>0.16340054772584478</v>
      </c>
      <c r="J294">
        <v>0</v>
      </c>
    </row>
    <row r="295" spans="1:10" x14ac:dyDescent="0.3">
      <c r="A295" t="s">
        <v>402</v>
      </c>
      <c r="B295" t="s">
        <v>65</v>
      </c>
      <c r="C295">
        <v>7</v>
      </c>
      <c r="D295">
        <v>33845</v>
      </c>
      <c r="E295" t="s">
        <v>69</v>
      </c>
      <c r="F295">
        <v>6610</v>
      </c>
      <c r="G295">
        <v>120</v>
      </c>
      <c r="H295">
        <v>6</v>
      </c>
      <c r="I295">
        <v>0.96348405549067639</v>
      </c>
      <c r="J295">
        <v>0</v>
      </c>
    </row>
    <row r="296" spans="1:10" x14ac:dyDescent="0.3">
      <c r="A296" t="s">
        <v>403</v>
      </c>
      <c r="B296" t="s">
        <v>63</v>
      </c>
      <c r="C296">
        <v>6</v>
      </c>
      <c r="D296">
        <v>34588</v>
      </c>
      <c r="E296" t="s">
        <v>69</v>
      </c>
      <c r="F296">
        <v>4396</v>
      </c>
      <c r="G296">
        <v>15</v>
      </c>
      <c r="H296">
        <v>11.8</v>
      </c>
      <c r="I296">
        <v>0.53642635937240657</v>
      </c>
      <c r="J296">
        <v>0</v>
      </c>
    </row>
    <row r="297" spans="1:10" x14ac:dyDescent="0.3">
      <c r="A297" t="s">
        <v>404</v>
      </c>
      <c r="B297" t="s">
        <v>63</v>
      </c>
      <c r="C297">
        <v>7</v>
      </c>
      <c r="D297">
        <v>33238</v>
      </c>
      <c r="E297" t="s">
        <v>69</v>
      </c>
      <c r="F297">
        <v>4688</v>
      </c>
      <c r="G297">
        <v>47</v>
      </c>
      <c r="H297">
        <v>6.5</v>
      </c>
      <c r="I297">
        <v>0.45495094815268755</v>
      </c>
      <c r="J297">
        <v>0</v>
      </c>
    </row>
    <row r="298" spans="1:10" x14ac:dyDescent="0.3">
      <c r="A298" t="s">
        <v>405</v>
      </c>
      <c r="B298" t="s">
        <v>65</v>
      </c>
      <c r="C298">
        <v>7</v>
      </c>
      <c r="D298">
        <v>22723</v>
      </c>
      <c r="E298" t="s">
        <v>67</v>
      </c>
      <c r="F298">
        <v>5616</v>
      </c>
      <c r="G298">
        <v>46</v>
      </c>
      <c r="H298">
        <v>2.1</v>
      </c>
      <c r="I298">
        <v>0.48312198089659641</v>
      </c>
      <c r="J298">
        <v>0</v>
      </c>
    </row>
    <row r="299" spans="1:10" x14ac:dyDescent="0.3">
      <c r="A299" t="s">
        <v>406</v>
      </c>
      <c r="B299" t="s">
        <v>63</v>
      </c>
      <c r="C299">
        <v>4</v>
      </c>
      <c r="D299">
        <v>27001</v>
      </c>
      <c r="E299" t="s">
        <v>67</v>
      </c>
      <c r="F299">
        <v>3124</v>
      </c>
      <c r="G299">
        <v>81</v>
      </c>
      <c r="H299">
        <v>8.3000000000000007</v>
      </c>
      <c r="I299">
        <v>0.19486433540180315</v>
      </c>
      <c r="J299">
        <v>0</v>
      </c>
    </row>
    <row r="300" spans="1:10" x14ac:dyDescent="0.3">
      <c r="A300" t="s">
        <v>407</v>
      </c>
      <c r="B300" t="s">
        <v>64</v>
      </c>
      <c r="C300">
        <v>3</v>
      </c>
      <c r="D300">
        <v>27599</v>
      </c>
      <c r="E300" t="s">
        <v>67</v>
      </c>
      <c r="F300">
        <v>4670</v>
      </c>
      <c r="G300">
        <v>56</v>
      </c>
      <c r="H300">
        <v>8.1999999999999993</v>
      </c>
      <c r="I300">
        <v>0.47699219321281305</v>
      </c>
      <c r="J300">
        <v>0</v>
      </c>
    </row>
    <row r="301" spans="1:10" x14ac:dyDescent="0.3">
      <c r="A301" t="s">
        <v>408</v>
      </c>
      <c r="B301" t="s">
        <v>63</v>
      </c>
      <c r="C301">
        <v>6</v>
      </c>
      <c r="D301">
        <v>28642</v>
      </c>
      <c r="E301" t="s">
        <v>69</v>
      </c>
      <c r="F301">
        <v>4236</v>
      </c>
      <c r="G301">
        <v>52</v>
      </c>
      <c r="H301">
        <v>1.4</v>
      </c>
      <c r="I301">
        <v>0.3486893185829405</v>
      </c>
      <c r="J301">
        <v>0</v>
      </c>
    </row>
    <row r="302" spans="1:10" x14ac:dyDescent="0.3">
      <c r="A302" t="s">
        <v>409</v>
      </c>
      <c r="B302" t="s">
        <v>63</v>
      </c>
      <c r="C302">
        <v>6</v>
      </c>
      <c r="D302">
        <v>22281</v>
      </c>
      <c r="E302" t="s">
        <v>68</v>
      </c>
      <c r="F302">
        <v>5536</v>
      </c>
      <c r="G302">
        <v>76</v>
      </c>
      <c r="H302">
        <v>5.5</v>
      </c>
      <c r="I302">
        <v>0.49641013861469319</v>
      </c>
      <c r="J302">
        <v>0</v>
      </c>
    </row>
    <row r="303" spans="1:10" x14ac:dyDescent="0.3">
      <c r="A303" t="s">
        <v>410</v>
      </c>
      <c r="B303" t="s">
        <v>65</v>
      </c>
      <c r="C303">
        <v>5</v>
      </c>
      <c r="D303">
        <v>43890</v>
      </c>
      <c r="E303" t="s">
        <v>67</v>
      </c>
      <c r="F303">
        <v>4934</v>
      </c>
      <c r="G303">
        <v>102</v>
      </c>
      <c r="H303">
        <v>2.2000000000000002</v>
      </c>
      <c r="I303">
        <v>0.92464279125809801</v>
      </c>
      <c r="J303">
        <v>0</v>
      </c>
    </row>
    <row r="304" spans="1:10" x14ac:dyDescent="0.3">
      <c r="A304" t="s">
        <v>411</v>
      </c>
      <c r="B304" t="s">
        <v>63</v>
      </c>
      <c r="C304">
        <v>3</v>
      </c>
      <c r="D304">
        <v>35720</v>
      </c>
      <c r="E304" t="s">
        <v>67</v>
      </c>
      <c r="F304">
        <v>4036</v>
      </c>
      <c r="G304">
        <v>24</v>
      </c>
      <c r="H304">
        <v>15</v>
      </c>
      <c r="I304">
        <v>0.35905246220608755</v>
      </c>
      <c r="J304">
        <v>0</v>
      </c>
    </row>
    <row r="305" spans="1:10" x14ac:dyDescent="0.3">
      <c r="A305" t="s">
        <v>412</v>
      </c>
      <c r="B305" t="s">
        <v>65</v>
      </c>
      <c r="C305">
        <v>8</v>
      </c>
      <c r="D305">
        <v>30529</v>
      </c>
      <c r="E305" t="s">
        <v>66</v>
      </c>
      <c r="F305">
        <v>6815</v>
      </c>
      <c r="G305">
        <v>47</v>
      </c>
      <c r="H305">
        <v>10.9</v>
      </c>
      <c r="I305">
        <v>0.77378340665713818</v>
      </c>
      <c r="J305">
        <v>0</v>
      </c>
    </row>
    <row r="306" spans="1:10" x14ac:dyDescent="0.3">
      <c r="A306" t="s">
        <v>413</v>
      </c>
      <c r="B306" t="s">
        <v>62</v>
      </c>
      <c r="C306">
        <v>6</v>
      </c>
      <c r="D306">
        <v>38186</v>
      </c>
      <c r="E306" t="s">
        <v>67</v>
      </c>
      <c r="F306">
        <v>5233</v>
      </c>
      <c r="G306">
        <v>62</v>
      </c>
      <c r="H306">
        <v>14.6</v>
      </c>
      <c r="I306">
        <v>0.77554817897665684</v>
      </c>
      <c r="J306">
        <v>0</v>
      </c>
    </row>
    <row r="307" spans="1:10" x14ac:dyDescent="0.3">
      <c r="A307" t="s">
        <v>414</v>
      </c>
      <c r="B307" t="s">
        <v>64</v>
      </c>
      <c r="C307">
        <v>4</v>
      </c>
      <c r="D307">
        <v>17754</v>
      </c>
      <c r="E307" t="s">
        <v>68</v>
      </c>
      <c r="F307">
        <v>4601</v>
      </c>
      <c r="G307">
        <v>62</v>
      </c>
      <c r="H307">
        <v>7.1</v>
      </c>
      <c r="I307">
        <v>0.4907515466391269</v>
      </c>
      <c r="J307">
        <v>0</v>
      </c>
    </row>
    <row r="308" spans="1:10" x14ac:dyDescent="0.3">
      <c r="A308" t="s">
        <v>415</v>
      </c>
      <c r="B308" t="s">
        <v>65</v>
      </c>
      <c r="C308">
        <v>6</v>
      </c>
      <c r="D308">
        <v>26888</v>
      </c>
      <c r="E308" t="s">
        <v>68</v>
      </c>
      <c r="F308">
        <v>4495</v>
      </c>
      <c r="G308">
        <v>91</v>
      </c>
      <c r="H308">
        <v>2</v>
      </c>
      <c r="I308">
        <v>9.9748063135930876E-2</v>
      </c>
      <c r="J308">
        <v>0</v>
      </c>
    </row>
    <row r="309" spans="1:10" x14ac:dyDescent="0.3">
      <c r="A309" t="s">
        <v>416</v>
      </c>
      <c r="B309" t="s">
        <v>62</v>
      </c>
      <c r="C309">
        <v>8</v>
      </c>
      <c r="D309">
        <v>31701</v>
      </c>
      <c r="E309" t="s">
        <v>69</v>
      </c>
      <c r="F309">
        <v>4853</v>
      </c>
      <c r="G309">
        <v>72</v>
      </c>
      <c r="H309">
        <v>10.8</v>
      </c>
      <c r="I309">
        <v>0.89272938652491063</v>
      </c>
      <c r="J309">
        <v>0</v>
      </c>
    </row>
    <row r="310" spans="1:10" x14ac:dyDescent="0.3">
      <c r="A310" t="s">
        <v>417</v>
      </c>
      <c r="B310" t="s">
        <v>64</v>
      </c>
      <c r="C310">
        <v>6</v>
      </c>
      <c r="D310">
        <v>35944</v>
      </c>
      <c r="E310" t="s">
        <v>68</v>
      </c>
      <c r="F310">
        <v>5487</v>
      </c>
      <c r="G310">
        <v>18</v>
      </c>
      <c r="H310">
        <v>6</v>
      </c>
      <c r="I310">
        <v>0.49464374454017401</v>
      </c>
      <c r="J310">
        <v>0</v>
      </c>
    </row>
    <row r="311" spans="1:10" x14ac:dyDescent="0.3">
      <c r="A311" t="s">
        <v>418</v>
      </c>
      <c r="B311" t="s">
        <v>62</v>
      </c>
      <c r="C311">
        <v>5</v>
      </c>
      <c r="D311">
        <v>25511</v>
      </c>
      <c r="E311" t="s">
        <v>69</v>
      </c>
      <c r="F311">
        <v>4802</v>
      </c>
      <c r="G311">
        <v>96</v>
      </c>
      <c r="H311">
        <v>12.3</v>
      </c>
      <c r="I311">
        <v>0.61910163948471986</v>
      </c>
      <c r="J311">
        <v>0</v>
      </c>
    </row>
    <row r="312" spans="1:10" x14ac:dyDescent="0.3">
      <c r="A312" t="s">
        <v>419</v>
      </c>
      <c r="B312" t="s">
        <v>65</v>
      </c>
      <c r="C312">
        <v>6</v>
      </c>
      <c r="D312">
        <v>44866</v>
      </c>
      <c r="E312" t="s">
        <v>69</v>
      </c>
      <c r="F312">
        <v>5981</v>
      </c>
      <c r="G312">
        <v>65</v>
      </c>
      <c r="H312">
        <v>5.8</v>
      </c>
      <c r="I312">
        <v>0.20545488497278808</v>
      </c>
      <c r="J312">
        <v>0</v>
      </c>
    </row>
    <row r="313" spans="1:10" x14ac:dyDescent="0.3">
      <c r="A313" t="s">
        <v>420</v>
      </c>
      <c r="B313" t="s">
        <v>63</v>
      </c>
      <c r="C313">
        <v>8</v>
      </c>
      <c r="D313">
        <v>30093</v>
      </c>
      <c r="E313" t="s">
        <v>69</v>
      </c>
      <c r="F313">
        <v>6156</v>
      </c>
      <c r="G313">
        <v>32</v>
      </c>
      <c r="H313">
        <v>2.9</v>
      </c>
      <c r="I313">
        <v>0.80401544600175689</v>
      </c>
      <c r="J313">
        <v>0</v>
      </c>
    </row>
    <row r="314" spans="1:10" x14ac:dyDescent="0.3">
      <c r="A314" t="s">
        <v>421</v>
      </c>
      <c r="B314" t="s">
        <v>64</v>
      </c>
      <c r="C314">
        <v>8</v>
      </c>
      <c r="D314">
        <v>37583</v>
      </c>
      <c r="E314" t="s">
        <v>68</v>
      </c>
      <c r="F314">
        <v>4992</v>
      </c>
      <c r="G314">
        <v>115</v>
      </c>
      <c r="H314">
        <v>7.1</v>
      </c>
      <c r="I314">
        <v>0.94944201399124628</v>
      </c>
      <c r="J314">
        <v>0</v>
      </c>
    </row>
    <row r="315" spans="1:10" x14ac:dyDescent="0.3">
      <c r="A315" t="s">
        <v>422</v>
      </c>
      <c r="B315" t="s">
        <v>65</v>
      </c>
      <c r="C315">
        <v>8</v>
      </c>
      <c r="D315">
        <v>31536</v>
      </c>
      <c r="E315" t="s">
        <v>67</v>
      </c>
      <c r="F315">
        <v>5837</v>
      </c>
      <c r="G315">
        <v>93</v>
      </c>
      <c r="H315">
        <v>8.6</v>
      </c>
      <c r="I315">
        <v>0.33706586638275249</v>
      </c>
      <c r="J315">
        <v>0</v>
      </c>
    </row>
    <row r="316" spans="1:10" x14ac:dyDescent="0.3">
      <c r="A316" t="s">
        <v>423</v>
      </c>
      <c r="B316" t="s">
        <v>64</v>
      </c>
      <c r="C316">
        <v>5</v>
      </c>
      <c r="D316">
        <v>22133</v>
      </c>
      <c r="E316" t="s">
        <v>68</v>
      </c>
      <c r="F316">
        <v>4392</v>
      </c>
      <c r="G316">
        <v>117</v>
      </c>
      <c r="H316">
        <v>5.9</v>
      </c>
      <c r="I316">
        <v>0.77546913046762223</v>
      </c>
      <c r="J316">
        <v>0</v>
      </c>
    </row>
    <row r="317" spans="1:10" x14ac:dyDescent="0.3">
      <c r="A317" t="s">
        <v>424</v>
      </c>
      <c r="B317" t="s">
        <v>63</v>
      </c>
      <c r="C317">
        <v>2</v>
      </c>
      <c r="D317">
        <v>32018</v>
      </c>
      <c r="E317" t="s">
        <v>68</v>
      </c>
      <c r="F317">
        <v>3212</v>
      </c>
      <c r="G317">
        <v>108</v>
      </c>
      <c r="H317">
        <v>1.8</v>
      </c>
      <c r="I317">
        <v>0.98000293745643297</v>
      </c>
      <c r="J317">
        <v>0</v>
      </c>
    </row>
    <row r="318" spans="1:10" x14ac:dyDescent="0.3">
      <c r="A318" t="s">
        <v>425</v>
      </c>
      <c r="B318" t="s">
        <v>65</v>
      </c>
      <c r="C318">
        <v>4</v>
      </c>
      <c r="D318">
        <v>24901</v>
      </c>
      <c r="E318" t="s">
        <v>67</v>
      </c>
      <c r="F318">
        <v>4087</v>
      </c>
      <c r="G318">
        <v>33</v>
      </c>
      <c r="H318">
        <v>5.8</v>
      </c>
      <c r="I318">
        <v>0.71326646588910714</v>
      </c>
      <c r="J318">
        <v>0</v>
      </c>
    </row>
    <row r="319" spans="1:10" x14ac:dyDescent="0.3">
      <c r="A319" t="s">
        <v>426</v>
      </c>
      <c r="B319" t="s">
        <v>65</v>
      </c>
      <c r="C319">
        <v>5</v>
      </c>
      <c r="D319">
        <v>31799</v>
      </c>
      <c r="E319" t="s">
        <v>68</v>
      </c>
      <c r="F319">
        <v>5392</v>
      </c>
      <c r="G319">
        <v>56</v>
      </c>
      <c r="H319">
        <v>4.8</v>
      </c>
      <c r="I319">
        <v>0.1747747415017703</v>
      </c>
      <c r="J319">
        <v>0</v>
      </c>
    </row>
    <row r="320" spans="1:10" x14ac:dyDescent="0.3">
      <c r="A320" t="s">
        <v>427</v>
      </c>
      <c r="B320" t="s">
        <v>62</v>
      </c>
      <c r="C320">
        <v>5</v>
      </c>
      <c r="D320">
        <v>14497</v>
      </c>
      <c r="E320" t="s">
        <v>68</v>
      </c>
      <c r="F320">
        <v>3888</v>
      </c>
      <c r="G320">
        <v>37</v>
      </c>
      <c r="H320">
        <v>14.6</v>
      </c>
      <c r="I320">
        <v>0.52447976535151219</v>
      </c>
      <c r="J320">
        <v>0</v>
      </c>
    </row>
    <row r="321" spans="1:10" x14ac:dyDescent="0.3">
      <c r="A321" t="s">
        <v>428</v>
      </c>
      <c r="B321" t="s">
        <v>65</v>
      </c>
      <c r="C321">
        <v>3</v>
      </c>
      <c r="D321">
        <v>44305</v>
      </c>
      <c r="E321" t="s">
        <v>69</v>
      </c>
      <c r="F321">
        <v>5126</v>
      </c>
      <c r="G321">
        <v>77</v>
      </c>
      <c r="H321">
        <v>10.1</v>
      </c>
      <c r="I321">
        <v>8.3632706704044546E-2</v>
      </c>
      <c r="J321">
        <v>0</v>
      </c>
    </row>
    <row r="322" spans="1:10" x14ac:dyDescent="0.3">
      <c r="A322" t="s">
        <v>429</v>
      </c>
      <c r="B322" t="s">
        <v>65</v>
      </c>
      <c r="C322">
        <v>4</v>
      </c>
      <c r="D322">
        <v>30548</v>
      </c>
      <c r="E322" t="s">
        <v>68</v>
      </c>
      <c r="F322">
        <v>5591</v>
      </c>
      <c r="G322">
        <v>16</v>
      </c>
      <c r="H322">
        <v>3.7</v>
      </c>
      <c r="I322">
        <v>0.899983414113257</v>
      </c>
      <c r="J322">
        <v>0</v>
      </c>
    </row>
    <row r="323" spans="1:10" x14ac:dyDescent="0.3">
      <c r="A323" t="s">
        <v>430</v>
      </c>
      <c r="B323" t="s">
        <v>64</v>
      </c>
      <c r="C323">
        <v>5</v>
      </c>
      <c r="D323">
        <v>26065</v>
      </c>
      <c r="E323" t="s">
        <v>69</v>
      </c>
      <c r="F323">
        <v>3670</v>
      </c>
      <c r="G323">
        <v>102</v>
      </c>
      <c r="H323">
        <v>10.1</v>
      </c>
      <c r="I323">
        <v>0.39486670638603971</v>
      </c>
      <c r="J323">
        <v>0</v>
      </c>
    </row>
    <row r="324" spans="1:10" x14ac:dyDescent="0.3">
      <c r="A324" t="s">
        <v>431</v>
      </c>
      <c r="B324" t="s">
        <v>65</v>
      </c>
      <c r="C324">
        <v>7</v>
      </c>
      <c r="D324">
        <v>30876</v>
      </c>
      <c r="E324" t="s">
        <v>68</v>
      </c>
      <c r="F324">
        <v>5231</v>
      </c>
      <c r="G324">
        <v>28</v>
      </c>
      <c r="H324">
        <v>1.9</v>
      </c>
      <c r="I324">
        <v>0.30390513584810175</v>
      </c>
      <c r="J324">
        <v>0</v>
      </c>
    </row>
    <row r="325" spans="1:10" x14ac:dyDescent="0.3">
      <c r="A325" t="s">
        <v>432</v>
      </c>
      <c r="B325" t="s">
        <v>63</v>
      </c>
      <c r="C325">
        <v>8</v>
      </c>
      <c r="D325">
        <v>38669</v>
      </c>
      <c r="E325" t="s">
        <v>68</v>
      </c>
      <c r="F325">
        <v>6680</v>
      </c>
      <c r="G325">
        <v>50</v>
      </c>
      <c r="H325">
        <v>0.5</v>
      </c>
      <c r="I325">
        <v>0.10377658941733148</v>
      </c>
      <c r="J325">
        <v>0</v>
      </c>
    </row>
    <row r="326" spans="1:10" x14ac:dyDescent="0.3">
      <c r="A326" t="s">
        <v>433</v>
      </c>
      <c r="B326" t="s">
        <v>64</v>
      </c>
      <c r="C326">
        <v>4</v>
      </c>
      <c r="D326">
        <v>27229</v>
      </c>
      <c r="E326" t="s">
        <v>68</v>
      </c>
      <c r="F326">
        <v>3640</v>
      </c>
      <c r="G326">
        <v>48</v>
      </c>
      <c r="H326">
        <v>9.5</v>
      </c>
      <c r="I326">
        <v>0.10298883225487199</v>
      </c>
      <c r="J326">
        <v>0</v>
      </c>
    </row>
    <row r="327" spans="1:10" x14ac:dyDescent="0.3">
      <c r="A327" t="s">
        <v>434</v>
      </c>
      <c r="B327" t="s">
        <v>63</v>
      </c>
      <c r="C327">
        <v>3</v>
      </c>
      <c r="D327">
        <v>25365</v>
      </c>
      <c r="E327" t="s">
        <v>68</v>
      </c>
      <c r="F327">
        <v>4202</v>
      </c>
      <c r="G327">
        <v>47</v>
      </c>
      <c r="H327">
        <v>8.9</v>
      </c>
      <c r="I327">
        <v>0.72548851212292498</v>
      </c>
      <c r="J327">
        <v>0</v>
      </c>
    </row>
    <row r="328" spans="1:10" x14ac:dyDescent="0.3">
      <c r="A328" t="s">
        <v>435</v>
      </c>
      <c r="B328" t="s">
        <v>65</v>
      </c>
      <c r="C328">
        <v>7</v>
      </c>
      <c r="D328">
        <v>38779</v>
      </c>
      <c r="E328" t="s">
        <v>68</v>
      </c>
      <c r="F328">
        <v>5541</v>
      </c>
      <c r="G328">
        <v>86</v>
      </c>
      <c r="H328">
        <v>10.5</v>
      </c>
      <c r="I328">
        <v>0.68029303607091607</v>
      </c>
      <c r="J328">
        <v>0</v>
      </c>
    </row>
    <row r="329" spans="1:10" x14ac:dyDescent="0.3">
      <c r="A329" t="s">
        <v>436</v>
      </c>
      <c r="B329" t="s">
        <v>62</v>
      </c>
      <c r="C329">
        <v>8</v>
      </c>
      <c r="D329">
        <v>24467</v>
      </c>
      <c r="E329" t="s">
        <v>69</v>
      </c>
      <c r="F329">
        <v>6594</v>
      </c>
      <c r="G329">
        <v>72</v>
      </c>
      <c r="H329">
        <v>8</v>
      </c>
      <c r="I329">
        <v>0.20553359022217876</v>
      </c>
      <c r="J329">
        <v>0</v>
      </c>
    </row>
    <row r="330" spans="1:10" x14ac:dyDescent="0.3">
      <c r="A330" t="s">
        <v>437</v>
      </c>
      <c r="B330" t="s">
        <v>65</v>
      </c>
      <c r="C330">
        <v>4</v>
      </c>
      <c r="D330">
        <v>29244</v>
      </c>
      <c r="E330" t="s">
        <v>69</v>
      </c>
      <c r="F330">
        <v>4850</v>
      </c>
      <c r="G330">
        <v>18</v>
      </c>
      <c r="H330">
        <v>9.6</v>
      </c>
      <c r="I330">
        <v>0.8008590988340174</v>
      </c>
      <c r="J330">
        <v>0</v>
      </c>
    </row>
    <row r="331" spans="1:10" x14ac:dyDescent="0.3">
      <c r="A331" t="s">
        <v>438</v>
      </c>
      <c r="B331" t="s">
        <v>64</v>
      </c>
      <c r="C331">
        <v>8</v>
      </c>
      <c r="D331">
        <v>45177</v>
      </c>
      <c r="E331" t="s">
        <v>66</v>
      </c>
      <c r="F331">
        <v>4914</v>
      </c>
      <c r="G331">
        <v>41</v>
      </c>
      <c r="H331">
        <v>13.5</v>
      </c>
      <c r="I331">
        <v>0.93183234477023091</v>
      </c>
      <c r="J331">
        <v>0</v>
      </c>
    </row>
    <row r="332" spans="1:10" x14ac:dyDescent="0.3">
      <c r="A332" t="s">
        <v>439</v>
      </c>
      <c r="B332" t="s">
        <v>64</v>
      </c>
      <c r="C332">
        <v>8</v>
      </c>
      <c r="D332">
        <v>38279</v>
      </c>
      <c r="E332" t="s">
        <v>68</v>
      </c>
      <c r="F332">
        <v>7066</v>
      </c>
      <c r="G332">
        <v>15</v>
      </c>
      <c r="H332">
        <v>3.5</v>
      </c>
      <c r="I332">
        <v>0.64370977363356108</v>
      </c>
      <c r="J332">
        <v>0</v>
      </c>
    </row>
    <row r="333" spans="1:10" x14ac:dyDescent="0.3">
      <c r="A333" t="s">
        <v>440</v>
      </c>
      <c r="B333" t="s">
        <v>64</v>
      </c>
      <c r="C333">
        <v>2</v>
      </c>
      <c r="D333">
        <v>35927</v>
      </c>
      <c r="E333" t="s">
        <v>68</v>
      </c>
      <c r="F333">
        <v>4303</v>
      </c>
      <c r="G333">
        <v>64</v>
      </c>
      <c r="H333">
        <v>8.8000000000000007</v>
      </c>
      <c r="I333">
        <v>0.58816626540745964</v>
      </c>
      <c r="J333">
        <v>0</v>
      </c>
    </row>
    <row r="334" spans="1:10" x14ac:dyDescent="0.3">
      <c r="A334" t="s">
        <v>441</v>
      </c>
      <c r="B334" t="s">
        <v>62</v>
      </c>
      <c r="C334">
        <v>5</v>
      </c>
      <c r="D334">
        <v>36703</v>
      </c>
      <c r="E334" t="s">
        <v>69</v>
      </c>
      <c r="F334">
        <v>4168</v>
      </c>
      <c r="G334">
        <v>25</v>
      </c>
      <c r="H334">
        <v>0.8</v>
      </c>
      <c r="I334">
        <v>0.10486754557674083</v>
      </c>
      <c r="J334">
        <v>0</v>
      </c>
    </row>
    <row r="335" spans="1:10" x14ac:dyDescent="0.3">
      <c r="A335" t="s">
        <v>442</v>
      </c>
      <c r="B335" t="s">
        <v>65</v>
      </c>
      <c r="C335">
        <v>4</v>
      </c>
      <c r="D335">
        <v>33600</v>
      </c>
      <c r="E335" t="s">
        <v>69</v>
      </c>
      <c r="F335">
        <v>4408</v>
      </c>
      <c r="G335">
        <v>94</v>
      </c>
      <c r="H335">
        <v>8.3000000000000007</v>
      </c>
      <c r="I335">
        <v>0.80155930839095368</v>
      </c>
      <c r="J335">
        <v>0</v>
      </c>
    </row>
    <row r="336" spans="1:10" x14ac:dyDescent="0.3">
      <c r="A336" t="s">
        <v>443</v>
      </c>
      <c r="B336" t="s">
        <v>65</v>
      </c>
      <c r="C336">
        <v>3</v>
      </c>
      <c r="D336">
        <v>14671</v>
      </c>
      <c r="E336" t="s">
        <v>67</v>
      </c>
      <c r="F336">
        <v>5148</v>
      </c>
      <c r="G336">
        <v>28</v>
      </c>
      <c r="H336">
        <v>8.1999999999999993</v>
      </c>
      <c r="I336">
        <v>0.70945180156421384</v>
      </c>
      <c r="J336">
        <v>0</v>
      </c>
    </row>
    <row r="337" spans="1:10" x14ac:dyDescent="0.3">
      <c r="A337" t="s">
        <v>444</v>
      </c>
      <c r="B337" t="s">
        <v>63</v>
      </c>
      <c r="C337">
        <v>4</v>
      </c>
      <c r="D337">
        <v>3715</v>
      </c>
      <c r="E337" t="s">
        <v>68</v>
      </c>
      <c r="F337">
        <v>3635</v>
      </c>
      <c r="G337">
        <v>64</v>
      </c>
      <c r="H337">
        <v>11.9</v>
      </c>
      <c r="I337">
        <v>0.20774045027188526</v>
      </c>
      <c r="J337">
        <v>0</v>
      </c>
    </row>
    <row r="338" spans="1:10" x14ac:dyDescent="0.3">
      <c r="A338" t="s">
        <v>445</v>
      </c>
      <c r="B338" t="s">
        <v>65</v>
      </c>
      <c r="C338">
        <v>8</v>
      </c>
      <c r="D338">
        <v>23401</v>
      </c>
      <c r="E338" t="s">
        <v>67</v>
      </c>
      <c r="F338">
        <v>5441</v>
      </c>
      <c r="G338">
        <v>120</v>
      </c>
      <c r="H338">
        <v>1</v>
      </c>
      <c r="I338">
        <v>0.65224057957557557</v>
      </c>
      <c r="J338">
        <v>0</v>
      </c>
    </row>
    <row r="339" spans="1:10" x14ac:dyDescent="0.3">
      <c r="A339" t="s">
        <v>446</v>
      </c>
      <c r="B339" t="s">
        <v>63</v>
      </c>
      <c r="C339">
        <v>8</v>
      </c>
      <c r="D339">
        <v>22074</v>
      </c>
      <c r="E339" t="s">
        <v>68</v>
      </c>
      <c r="F339">
        <v>5760</v>
      </c>
      <c r="G339">
        <v>74</v>
      </c>
      <c r="H339">
        <v>0.9</v>
      </c>
      <c r="I339">
        <v>0.66370939849939059</v>
      </c>
      <c r="J339">
        <v>0</v>
      </c>
    </row>
    <row r="340" spans="1:10" x14ac:dyDescent="0.3">
      <c r="A340" t="s">
        <v>447</v>
      </c>
      <c r="B340" t="s">
        <v>65</v>
      </c>
      <c r="C340">
        <v>8</v>
      </c>
      <c r="D340">
        <v>29418</v>
      </c>
      <c r="E340" t="s">
        <v>67</v>
      </c>
      <c r="F340">
        <v>5020</v>
      </c>
      <c r="G340">
        <v>110</v>
      </c>
      <c r="H340">
        <v>6.2</v>
      </c>
      <c r="I340">
        <v>0.62626107657938768</v>
      </c>
      <c r="J340">
        <v>0</v>
      </c>
    </row>
    <row r="341" spans="1:10" x14ac:dyDescent="0.3">
      <c r="A341" t="s">
        <v>448</v>
      </c>
      <c r="B341" t="s">
        <v>65</v>
      </c>
      <c r="C341">
        <v>5</v>
      </c>
      <c r="D341">
        <v>17342</v>
      </c>
      <c r="E341" t="s">
        <v>66</v>
      </c>
      <c r="F341">
        <v>4842</v>
      </c>
      <c r="G341">
        <v>98</v>
      </c>
      <c r="H341">
        <v>1.5</v>
      </c>
      <c r="I341">
        <v>0.31433050815456487</v>
      </c>
      <c r="J341">
        <v>0</v>
      </c>
    </row>
    <row r="342" spans="1:10" x14ac:dyDescent="0.3">
      <c r="A342" t="s">
        <v>449</v>
      </c>
      <c r="B342" t="s">
        <v>62</v>
      </c>
      <c r="C342">
        <v>5</v>
      </c>
      <c r="D342">
        <v>23752</v>
      </c>
      <c r="E342" t="s">
        <v>67</v>
      </c>
      <c r="F342">
        <v>5249</v>
      </c>
      <c r="G342">
        <v>93</v>
      </c>
      <c r="H342">
        <v>10.6</v>
      </c>
      <c r="I342">
        <v>0.77966432234490812</v>
      </c>
      <c r="J342">
        <v>0</v>
      </c>
    </row>
    <row r="343" spans="1:10" x14ac:dyDescent="0.3">
      <c r="A343" t="s">
        <v>450</v>
      </c>
      <c r="B343" t="s">
        <v>63</v>
      </c>
      <c r="C343">
        <v>8</v>
      </c>
      <c r="D343">
        <v>23333</v>
      </c>
      <c r="E343" t="s">
        <v>69</v>
      </c>
      <c r="F343">
        <v>4930</v>
      </c>
      <c r="G343">
        <v>100</v>
      </c>
      <c r="H343">
        <v>7.9</v>
      </c>
      <c r="I343">
        <v>0.68276322260526134</v>
      </c>
      <c r="J343">
        <v>0</v>
      </c>
    </row>
    <row r="344" spans="1:10" x14ac:dyDescent="0.3">
      <c r="A344" t="s">
        <v>451</v>
      </c>
      <c r="B344" t="s">
        <v>62</v>
      </c>
      <c r="C344">
        <v>8</v>
      </c>
      <c r="D344">
        <v>13803</v>
      </c>
      <c r="E344" t="s">
        <v>66</v>
      </c>
      <c r="F344">
        <v>5220</v>
      </c>
      <c r="G344">
        <v>55</v>
      </c>
      <c r="H344">
        <v>12.9</v>
      </c>
      <c r="I344">
        <v>5.3657909638612944E-2</v>
      </c>
      <c r="J344">
        <v>0</v>
      </c>
    </row>
    <row r="345" spans="1:10" x14ac:dyDescent="0.3">
      <c r="A345" t="s">
        <v>452</v>
      </c>
      <c r="B345" t="s">
        <v>65</v>
      </c>
      <c r="C345">
        <v>6</v>
      </c>
      <c r="D345">
        <v>31238</v>
      </c>
      <c r="E345" t="s">
        <v>68</v>
      </c>
      <c r="F345">
        <v>6086</v>
      </c>
      <c r="G345">
        <v>79</v>
      </c>
      <c r="H345">
        <v>2.4</v>
      </c>
      <c r="I345">
        <v>0.32407132901001956</v>
      </c>
      <c r="J345">
        <v>0</v>
      </c>
    </row>
    <row r="346" spans="1:10" x14ac:dyDescent="0.3">
      <c r="A346" t="s">
        <v>453</v>
      </c>
      <c r="B346" t="s">
        <v>63</v>
      </c>
      <c r="C346">
        <v>3</v>
      </c>
      <c r="D346">
        <v>37224</v>
      </c>
      <c r="E346" t="s">
        <v>68</v>
      </c>
      <c r="F346">
        <v>3735</v>
      </c>
      <c r="G346">
        <v>28</v>
      </c>
      <c r="H346">
        <v>4.5999999999999996</v>
      </c>
      <c r="I346">
        <v>0.94544445743582739</v>
      </c>
      <c r="J346">
        <v>0</v>
      </c>
    </row>
    <row r="347" spans="1:10" x14ac:dyDescent="0.3">
      <c r="A347" t="s">
        <v>454</v>
      </c>
      <c r="B347" t="s">
        <v>62</v>
      </c>
      <c r="C347">
        <v>8</v>
      </c>
      <c r="D347">
        <v>23441</v>
      </c>
      <c r="E347" t="s">
        <v>66</v>
      </c>
      <c r="F347">
        <v>5305</v>
      </c>
      <c r="G347">
        <v>95</v>
      </c>
      <c r="H347">
        <v>1.9</v>
      </c>
      <c r="I347">
        <v>0.14005493289039994</v>
      </c>
      <c r="J347">
        <v>0</v>
      </c>
    </row>
    <row r="348" spans="1:10" x14ac:dyDescent="0.3">
      <c r="A348" t="s">
        <v>455</v>
      </c>
      <c r="B348" t="s">
        <v>62</v>
      </c>
      <c r="C348">
        <v>2</v>
      </c>
      <c r="D348">
        <v>19922</v>
      </c>
      <c r="E348" t="s">
        <v>68</v>
      </c>
      <c r="F348">
        <v>4208</v>
      </c>
      <c r="G348">
        <v>98</v>
      </c>
      <c r="H348">
        <v>11.5</v>
      </c>
      <c r="I348">
        <v>0.76976155241854149</v>
      </c>
      <c r="J348">
        <v>0</v>
      </c>
    </row>
    <row r="349" spans="1:10" x14ac:dyDescent="0.3">
      <c r="A349" t="s">
        <v>456</v>
      </c>
      <c r="B349" t="s">
        <v>64</v>
      </c>
      <c r="C349">
        <v>2</v>
      </c>
      <c r="D349">
        <v>17220</v>
      </c>
      <c r="E349" t="s">
        <v>68</v>
      </c>
      <c r="F349">
        <v>2893</v>
      </c>
      <c r="G349">
        <v>103</v>
      </c>
      <c r="H349">
        <v>7.9</v>
      </c>
      <c r="I349">
        <v>0.92148572261003059</v>
      </c>
      <c r="J349">
        <v>0</v>
      </c>
    </row>
    <row r="350" spans="1:10" x14ac:dyDescent="0.3">
      <c r="A350" t="s">
        <v>457</v>
      </c>
      <c r="B350" t="s">
        <v>65</v>
      </c>
      <c r="C350">
        <v>7</v>
      </c>
      <c r="D350">
        <v>24705</v>
      </c>
      <c r="E350" t="s">
        <v>68</v>
      </c>
      <c r="F350">
        <v>6624</v>
      </c>
      <c r="G350">
        <v>33</v>
      </c>
      <c r="H350">
        <v>3.4</v>
      </c>
      <c r="I350">
        <v>0.46019708246707935</v>
      </c>
      <c r="J350">
        <v>0</v>
      </c>
    </row>
    <row r="351" spans="1:10" x14ac:dyDescent="0.3">
      <c r="A351" t="s">
        <v>458</v>
      </c>
      <c r="B351" t="s">
        <v>65</v>
      </c>
      <c r="C351">
        <v>7</v>
      </c>
      <c r="D351">
        <v>16006</v>
      </c>
      <c r="E351" t="s">
        <v>67</v>
      </c>
      <c r="F351">
        <v>5727</v>
      </c>
      <c r="G351">
        <v>60</v>
      </c>
      <c r="H351">
        <v>5.6</v>
      </c>
      <c r="I351">
        <v>0.84024403002567716</v>
      </c>
      <c r="J351">
        <v>0</v>
      </c>
    </row>
    <row r="352" spans="1:10" x14ac:dyDescent="0.3">
      <c r="A352" t="s">
        <v>459</v>
      </c>
      <c r="B352" t="s">
        <v>63</v>
      </c>
      <c r="C352">
        <v>4</v>
      </c>
      <c r="D352">
        <v>19913</v>
      </c>
      <c r="E352" t="s">
        <v>66</v>
      </c>
      <c r="F352">
        <v>4740</v>
      </c>
      <c r="G352">
        <v>69</v>
      </c>
      <c r="H352">
        <v>4.8</v>
      </c>
      <c r="I352">
        <v>0.68106213790238612</v>
      </c>
      <c r="J352">
        <v>0</v>
      </c>
    </row>
    <row r="353" spans="1:10" x14ac:dyDescent="0.3">
      <c r="A353" t="s">
        <v>460</v>
      </c>
      <c r="B353" t="s">
        <v>63</v>
      </c>
      <c r="C353">
        <v>6</v>
      </c>
      <c r="D353">
        <v>31452</v>
      </c>
      <c r="E353" t="s">
        <v>67</v>
      </c>
      <c r="F353">
        <v>5519</v>
      </c>
      <c r="G353">
        <v>23</v>
      </c>
      <c r="H353">
        <v>14.5</v>
      </c>
      <c r="I353">
        <v>0.39114612143537419</v>
      </c>
      <c r="J353">
        <v>0</v>
      </c>
    </row>
    <row r="354" spans="1:10" x14ac:dyDescent="0.3">
      <c r="A354" t="s">
        <v>461</v>
      </c>
      <c r="B354" t="s">
        <v>63</v>
      </c>
      <c r="C354">
        <v>3</v>
      </c>
      <c r="D354">
        <v>34961</v>
      </c>
      <c r="E354" t="s">
        <v>69</v>
      </c>
      <c r="F354">
        <v>3416</v>
      </c>
      <c r="G354">
        <v>38</v>
      </c>
      <c r="H354">
        <v>6.9</v>
      </c>
      <c r="I354">
        <v>0.75222691005600451</v>
      </c>
      <c r="J354">
        <v>0</v>
      </c>
    </row>
    <row r="355" spans="1:10" x14ac:dyDescent="0.3">
      <c r="A355" t="s">
        <v>462</v>
      </c>
      <c r="B355" t="s">
        <v>63</v>
      </c>
      <c r="C355">
        <v>6</v>
      </c>
      <c r="D355">
        <v>34741</v>
      </c>
      <c r="E355" t="s">
        <v>68</v>
      </c>
      <c r="F355">
        <v>5460</v>
      </c>
      <c r="G355">
        <v>22</v>
      </c>
      <c r="H355">
        <v>11.9</v>
      </c>
      <c r="I355">
        <v>0.46313360843080176</v>
      </c>
      <c r="J355">
        <v>0</v>
      </c>
    </row>
    <row r="356" spans="1:10" x14ac:dyDescent="0.3">
      <c r="A356" t="s">
        <v>463</v>
      </c>
      <c r="B356" t="s">
        <v>65</v>
      </c>
      <c r="C356">
        <v>3</v>
      </c>
      <c r="D356">
        <v>25366</v>
      </c>
      <c r="E356" t="s">
        <v>67</v>
      </c>
      <c r="F356">
        <v>4375</v>
      </c>
      <c r="G356">
        <v>62</v>
      </c>
      <c r="H356">
        <v>7.6</v>
      </c>
      <c r="I356">
        <v>0.91244392956248244</v>
      </c>
      <c r="J356">
        <v>0</v>
      </c>
    </row>
    <row r="357" spans="1:10" x14ac:dyDescent="0.3">
      <c r="A357" t="s">
        <v>464</v>
      </c>
      <c r="B357" t="s">
        <v>64</v>
      </c>
      <c r="C357">
        <v>8</v>
      </c>
      <c r="D357">
        <v>24105</v>
      </c>
      <c r="E357" t="s">
        <v>68</v>
      </c>
      <c r="F357">
        <v>5442</v>
      </c>
      <c r="G357">
        <v>66</v>
      </c>
      <c r="H357">
        <v>11.1</v>
      </c>
      <c r="I357">
        <v>0.79518130887116789</v>
      </c>
      <c r="J357">
        <v>0</v>
      </c>
    </row>
    <row r="358" spans="1:10" x14ac:dyDescent="0.3">
      <c r="A358" t="s">
        <v>465</v>
      </c>
      <c r="B358" t="s">
        <v>63</v>
      </c>
      <c r="C358">
        <v>7</v>
      </c>
      <c r="D358">
        <v>24511</v>
      </c>
      <c r="E358" t="s">
        <v>69</v>
      </c>
      <c r="F358">
        <v>4511</v>
      </c>
      <c r="G358">
        <v>37</v>
      </c>
      <c r="H358">
        <v>8.3000000000000007</v>
      </c>
      <c r="I358">
        <v>0.6580264386760325</v>
      </c>
      <c r="J358">
        <v>0</v>
      </c>
    </row>
    <row r="359" spans="1:10" x14ac:dyDescent="0.3">
      <c r="A359" t="s">
        <v>466</v>
      </c>
      <c r="B359" t="s">
        <v>63</v>
      </c>
      <c r="C359">
        <v>8</v>
      </c>
      <c r="D359">
        <v>41733</v>
      </c>
      <c r="E359" t="s">
        <v>69</v>
      </c>
      <c r="F359">
        <v>5789</v>
      </c>
      <c r="G359">
        <v>60</v>
      </c>
      <c r="H359">
        <v>7.4</v>
      </c>
      <c r="I359">
        <v>0.87935260951844396</v>
      </c>
      <c r="J359">
        <v>0</v>
      </c>
    </row>
    <row r="360" spans="1:10" x14ac:dyDescent="0.3">
      <c r="A360" t="s">
        <v>467</v>
      </c>
      <c r="B360" t="s">
        <v>64</v>
      </c>
      <c r="C360">
        <v>8</v>
      </c>
      <c r="D360">
        <v>24973</v>
      </c>
      <c r="E360" t="s">
        <v>68</v>
      </c>
      <c r="F360">
        <v>6839</v>
      </c>
      <c r="G360">
        <v>104</v>
      </c>
      <c r="H360">
        <v>5.0999999999999996</v>
      </c>
      <c r="I360">
        <v>0.36759197061092219</v>
      </c>
      <c r="J360">
        <v>0</v>
      </c>
    </row>
    <row r="361" spans="1:10" x14ac:dyDescent="0.3">
      <c r="A361" t="s">
        <v>468</v>
      </c>
      <c r="B361" t="s">
        <v>65</v>
      </c>
      <c r="C361">
        <v>3</v>
      </c>
      <c r="D361">
        <v>31597</v>
      </c>
      <c r="E361" t="s">
        <v>68</v>
      </c>
      <c r="F361">
        <v>3708</v>
      </c>
      <c r="G361">
        <v>59</v>
      </c>
      <c r="H361">
        <v>6.9</v>
      </c>
      <c r="I361">
        <v>0.50797439105171516</v>
      </c>
      <c r="J361">
        <v>0</v>
      </c>
    </row>
    <row r="362" spans="1:10" x14ac:dyDescent="0.3">
      <c r="A362" t="s">
        <v>469</v>
      </c>
      <c r="B362" t="s">
        <v>62</v>
      </c>
      <c r="C362">
        <v>3</v>
      </c>
      <c r="D362">
        <v>25429</v>
      </c>
      <c r="E362" t="s">
        <v>68</v>
      </c>
      <c r="F362">
        <v>4545</v>
      </c>
      <c r="G362">
        <v>94</v>
      </c>
      <c r="H362">
        <v>1.4</v>
      </c>
      <c r="I362">
        <v>0.64308477463066904</v>
      </c>
      <c r="J362">
        <v>0</v>
      </c>
    </row>
    <row r="363" spans="1:10" x14ac:dyDescent="0.3">
      <c r="A363" t="s">
        <v>470</v>
      </c>
      <c r="B363" t="s">
        <v>65</v>
      </c>
      <c r="C363">
        <v>2</v>
      </c>
      <c r="D363">
        <v>36595</v>
      </c>
      <c r="E363" t="s">
        <v>68</v>
      </c>
      <c r="F363">
        <v>3420</v>
      </c>
      <c r="G363">
        <v>43</v>
      </c>
      <c r="H363">
        <v>9.1999999999999993</v>
      </c>
      <c r="I363">
        <v>0.75039565395259733</v>
      </c>
      <c r="J363">
        <v>0</v>
      </c>
    </row>
    <row r="364" spans="1:10" x14ac:dyDescent="0.3">
      <c r="A364" t="s">
        <v>471</v>
      </c>
      <c r="B364" t="s">
        <v>65</v>
      </c>
      <c r="C364">
        <v>8</v>
      </c>
      <c r="D364">
        <v>21640</v>
      </c>
      <c r="E364" t="s">
        <v>68</v>
      </c>
      <c r="F364">
        <v>4974</v>
      </c>
      <c r="G364">
        <v>36</v>
      </c>
      <c r="H364">
        <v>8</v>
      </c>
      <c r="I364">
        <v>0.175491996458779</v>
      </c>
      <c r="J364">
        <v>0</v>
      </c>
    </row>
    <row r="365" spans="1:10" x14ac:dyDescent="0.3">
      <c r="A365" t="s">
        <v>472</v>
      </c>
      <c r="B365" t="s">
        <v>65</v>
      </c>
      <c r="C365">
        <v>2</v>
      </c>
      <c r="D365">
        <v>29454</v>
      </c>
      <c r="E365" t="s">
        <v>67</v>
      </c>
      <c r="F365">
        <v>2817</v>
      </c>
      <c r="G365">
        <v>58</v>
      </c>
      <c r="H365">
        <v>1.3</v>
      </c>
      <c r="I365">
        <v>0.79724967329016538</v>
      </c>
      <c r="J365">
        <v>0</v>
      </c>
    </row>
    <row r="366" spans="1:10" x14ac:dyDescent="0.3">
      <c r="A366" t="s">
        <v>473</v>
      </c>
      <c r="B366" t="s">
        <v>64</v>
      </c>
      <c r="C366">
        <v>2</v>
      </c>
      <c r="D366">
        <v>30302</v>
      </c>
      <c r="E366" t="s">
        <v>68</v>
      </c>
      <c r="F366">
        <v>4738</v>
      </c>
      <c r="G366">
        <v>58</v>
      </c>
      <c r="H366">
        <v>10.9</v>
      </c>
      <c r="I366">
        <v>0.72443189588498247</v>
      </c>
      <c r="J366">
        <v>0</v>
      </c>
    </row>
    <row r="367" spans="1:10" x14ac:dyDescent="0.3">
      <c r="A367" t="s">
        <v>474</v>
      </c>
      <c r="B367" t="s">
        <v>62</v>
      </c>
      <c r="C367">
        <v>5</v>
      </c>
      <c r="D367">
        <v>24231</v>
      </c>
      <c r="E367" t="s">
        <v>68</v>
      </c>
      <c r="F367">
        <v>5108</v>
      </c>
      <c r="G367">
        <v>114</v>
      </c>
      <c r="H367">
        <v>10.5</v>
      </c>
      <c r="I367">
        <v>0.38577430016487113</v>
      </c>
      <c r="J367">
        <v>0</v>
      </c>
    </row>
    <row r="368" spans="1:10" x14ac:dyDescent="0.3">
      <c r="A368" t="s">
        <v>475</v>
      </c>
      <c r="B368" t="s">
        <v>63</v>
      </c>
      <c r="C368">
        <v>6</v>
      </c>
      <c r="D368">
        <v>24666</v>
      </c>
      <c r="E368" t="s">
        <v>67</v>
      </c>
      <c r="F368">
        <v>4742</v>
      </c>
      <c r="G368">
        <v>108</v>
      </c>
      <c r="H368">
        <v>7.3</v>
      </c>
      <c r="I368">
        <v>0.84767539726833607</v>
      </c>
      <c r="J368">
        <v>0</v>
      </c>
    </row>
    <row r="369" spans="1:10" x14ac:dyDescent="0.3">
      <c r="A369" t="s">
        <v>476</v>
      </c>
      <c r="B369" t="s">
        <v>64</v>
      </c>
      <c r="C369">
        <v>8</v>
      </c>
      <c r="D369">
        <v>31857</v>
      </c>
      <c r="E369" t="s">
        <v>69</v>
      </c>
      <c r="F369">
        <v>7038</v>
      </c>
      <c r="G369">
        <v>108</v>
      </c>
      <c r="H369">
        <v>1.7</v>
      </c>
      <c r="I369">
        <v>0.88507150032292681</v>
      </c>
      <c r="J369">
        <v>0</v>
      </c>
    </row>
    <row r="370" spans="1:10" x14ac:dyDescent="0.3">
      <c r="A370" t="s">
        <v>477</v>
      </c>
      <c r="B370" t="s">
        <v>62</v>
      </c>
      <c r="C370">
        <v>6</v>
      </c>
      <c r="D370">
        <v>32702</v>
      </c>
      <c r="E370" t="s">
        <v>68</v>
      </c>
      <c r="F370">
        <v>4108</v>
      </c>
      <c r="G370">
        <v>20</v>
      </c>
      <c r="H370">
        <v>2.6</v>
      </c>
      <c r="I370">
        <v>0.17068213785322828</v>
      </c>
      <c r="J370">
        <v>0</v>
      </c>
    </row>
    <row r="371" spans="1:10" x14ac:dyDescent="0.3">
      <c r="A371" t="s">
        <v>478</v>
      </c>
      <c r="B371" t="s">
        <v>64</v>
      </c>
      <c r="C371">
        <v>5</v>
      </c>
      <c r="D371">
        <v>30671</v>
      </c>
      <c r="E371" t="s">
        <v>66</v>
      </c>
      <c r="F371">
        <v>5756</v>
      </c>
      <c r="G371">
        <v>32</v>
      </c>
      <c r="H371">
        <v>10.9</v>
      </c>
      <c r="I371">
        <v>0.62063507109185889</v>
      </c>
      <c r="J371">
        <v>0</v>
      </c>
    </row>
    <row r="372" spans="1:10" x14ac:dyDescent="0.3">
      <c r="A372" t="s">
        <v>479</v>
      </c>
      <c r="B372" t="s">
        <v>62</v>
      </c>
      <c r="C372">
        <v>4</v>
      </c>
      <c r="D372">
        <v>34453</v>
      </c>
      <c r="E372" t="s">
        <v>66</v>
      </c>
      <c r="F372">
        <v>3453</v>
      </c>
      <c r="G372">
        <v>47</v>
      </c>
      <c r="H372">
        <v>6.7</v>
      </c>
      <c r="I372">
        <v>0.45838908396596356</v>
      </c>
      <c r="J372">
        <v>0</v>
      </c>
    </row>
    <row r="373" spans="1:10" x14ac:dyDescent="0.3">
      <c r="A373" t="s">
        <v>480</v>
      </c>
      <c r="B373" t="s">
        <v>63</v>
      </c>
      <c r="C373">
        <v>5</v>
      </c>
      <c r="D373">
        <v>27599</v>
      </c>
      <c r="E373" t="s">
        <v>67</v>
      </c>
      <c r="F373">
        <v>5991</v>
      </c>
      <c r="G373">
        <v>94</v>
      </c>
      <c r="H373">
        <v>8.5</v>
      </c>
      <c r="I373">
        <v>0.99960509184308943</v>
      </c>
      <c r="J373">
        <v>0</v>
      </c>
    </row>
    <row r="374" spans="1:10" x14ac:dyDescent="0.3">
      <c r="A374" t="s">
        <v>481</v>
      </c>
      <c r="B374" t="s">
        <v>62</v>
      </c>
      <c r="C374">
        <v>4</v>
      </c>
      <c r="D374">
        <v>33488</v>
      </c>
      <c r="E374" t="s">
        <v>68</v>
      </c>
      <c r="F374">
        <v>4038</v>
      </c>
      <c r="G374">
        <v>95</v>
      </c>
      <c r="H374">
        <v>11.8</v>
      </c>
      <c r="I374">
        <v>0.25836422742399834</v>
      </c>
      <c r="J374">
        <v>0</v>
      </c>
    </row>
    <row r="375" spans="1:10" x14ac:dyDescent="0.3">
      <c r="A375" t="s">
        <v>482</v>
      </c>
      <c r="B375" t="s">
        <v>63</v>
      </c>
      <c r="C375">
        <v>8</v>
      </c>
      <c r="D375">
        <v>25608</v>
      </c>
      <c r="E375" t="s">
        <v>69</v>
      </c>
      <c r="F375">
        <v>6201</v>
      </c>
      <c r="G375">
        <v>83</v>
      </c>
      <c r="H375">
        <v>13.5</v>
      </c>
      <c r="I375">
        <v>0.71621643218651976</v>
      </c>
      <c r="J375">
        <v>0</v>
      </c>
    </row>
    <row r="376" spans="1:10" x14ac:dyDescent="0.3">
      <c r="A376" t="s">
        <v>483</v>
      </c>
      <c r="B376" t="s">
        <v>63</v>
      </c>
      <c r="C376">
        <v>2</v>
      </c>
      <c r="D376">
        <v>25277</v>
      </c>
      <c r="E376" t="s">
        <v>68</v>
      </c>
      <c r="F376">
        <v>2984</v>
      </c>
      <c r="G376">
        <v>81</v>
      </c>
      <c r="H376">
        <v>10.8</v>
      </c>
      <c r="I376">
        <v>0.14064468438986022</v>
      </c>
      <c r="J376">
        <v>0</v>
      </c>
    </row>
    <row r="377" spans="1:10" x14ac:dyDescent="0.3">
      <c r="A377" t="s">
        <v>484</v>
      </c>
      <c r="B377" t="s">
        <v>65</v>
      </c>
      <c r="C377">
        <v>3</v>
      </c>
      <c r="D377">
        <v>35834</v>
      </c>
      <c r="E377" t="s">
        <v>69</v>
      </c>
      <c r="F377">
        <v>3587</v>
      </c>
      <c r="G377">
        <v>20</v>
      </c>
      <c r="H377">
        <v>13.9</v>
      </c>
      <c r="I377">
        <v>0.27632688285840434</v>
      </c>
      <c r="J377">
        <v>0</v>
      </c>
    </row>
    <row r="378" spans="1:10" x14ac:dyDescent="0.3">
      <c r="A378" t="s">
        <v>485</v>
      </c>
      <c r="B378" t="s">
        <v>63</v>
      </c>
      <c r="C378">
        <v>3</v>
      </c>
      <c r="D378">
        <v>24981</v>
      </c>
      <c r="E378" t="s">
        <v>68</v>
      </c>
      <c r="F378">
        <v>4934</v>
      </c>
      <c r="G378">
        <v>59</v>
      </c>
      <c r="H378">
        <v>0.6</v>
      </c>
      <c r="I378">
        <v>0.37704602565875456</v>
      </c>
      <c r="J378">
        <v>0</v>
      </c>
    </row>
    <row r="379" spans="1:10" x14ac:dyDescent="0.3">
      <c r="A379" t="s">
        <v>486</v>
      </c>
      <c r="B379" t="s">
        <v>65</v>
      </c>
      <c r="C379">
        <v>4</v>
      </c>
      <c r="D379">
        <v>14836</v>
      </c>
      <c r="E379" t="s">
        <v>67</v>
      </c>
      <c r="F379">
        <v>4744</v>
      </c>
      <c r="G379">
        <v>88</v>
      </c>
      <c r="H379">
        <v>8</v>
      </c>
      <c r="I379">
        <v>0.18650350865016674</v>
      </c>
      <c r="J379">
        <v>0</v>
      </c>
    </row>
    <row r="380" spans="1:10" x14ac:dyDescent="0.3">
      <c r="A380" t="s">
        <v>487</v>
      </c>
      <c r="B380" t="s">
        <v>64</v>
      </c>
      <c r="C380">
        <v>6</v>
      </c>
      <c r="D380">
        <v>27866</v>
      </c>
      <c r="E380" t="s">
        <v>68</v>
      </c>
      <c r="F380">
        <v>4292</v>
      </c>
      <c r="G380">
        <v>111</v>
      </c>
      <c r="H380">
        <v>6.3</v>
      </c>
      <c r="I380">
        <v>0.64940187108980452</v>
      </c>
      <c r="J380">
        <v>0</v>
      </c>
    </row>
    <row r="381" spans="1:10" x14ac:dyDescent="0.3">
      <c r="A381" t="s">
        <v>488</v>
      </c>
      <c r="B381" t="s">
        <v>65</v>
      </c>
      <c r="C381">
        <v>5</v>
      </c>
      <c r="D381">
        <v>27063</v>
      </c>
      <c r="E381" t="s">
        <v>67</v>
      </c>
      <c r="F381">
        <v>5991</v>
      </c>
      <c r="G381">
        <v>62</v>
      </c>
      <c r="H381">
        <v>7</v>
      </c>
      <c r="I381">
        <v>0.8600682967201948</v>
      </c>
      <c r="J381">
        <v>0</v>
      </c>
    </row>
    <row r="382" spans="1:10" x14ac:dyDescent="0.3">
      <c r="A382" t="s">
        <v>489</v>
      </c>
      <c r="B382" t="s">
        <v>63</v>
      </c>
      <c r="C382">
        <v>4</v>
      </c>
      <c r="D382">
        <v>18455</v>
      </c>
      <c r="E382" t="s">
        <v>69</v>
      </c>
      <c r="F382">
        <v>3817</v>
      </c>
      <c r="G382">
        <v>75</v>
      </c>
      <c r="H382">
        <v>14.2</v>
      </c>
      <c r="I382">
        <v>0.41128794918800604</v>
      </c>
      <c r="J382">
        <v>0</v>
      </c>
    </row>
    <row r="383" spans="1:10" x14ac:dyDescent="0.3">
      <c r="A383" t="s">
        <v>490</v>
      </c>
      <c r="B383" t="s">
        <v>62</v>
      </c>
      <c r="C383">
        <v>2</v>
      </c>
      <c r="D383">
        <v>28189</v>
      </c>
      <c r="E383" t="s">
        <v>69</v>
      </c>
      <c r="F383">
        <v>3786</v>
      </c>
      <c r="G383">
        <v>85</v>
      </c>
      <c r="H383">
        <v>1.4</v>
      </c>
      <c r="I383">
        <v>0.18931832130222948</v>
      </c>
      <c r="J383">
        <v>0</v>
      </c>
    </row>
    <row r="384" spans="1:10" x14ac:dyDescent="0.3">
      <c r="A384" t="s">
        <v>491</v>
      </c>
      <c r="B384" t="s">
        <v>64</v>
      </c>
      <c r="C384">
        <v>7</v>
      </c>
      <c r="D384">
        <v>27797</v>
      </c>
      <c r="E384" t="s">
        <v>69</v>
      </c>
      <c r="F384">
        <v>4984</v>
      </c>
      <c r="G384">
        <v>112</v>
      </c>
      <c r="H384">
        <v>0.7</v>
      </c>
      <c r="I384">
        <v>0.92311700257720286</v>
      </c>
      <c r="J384">
        <v>0</v>
      </c>
    </row>
    <row r="385" spans="1:10" x14ac:dyDescent="0.3">
      <c r="A385" t="s">
        <v>492</v>
      </c>
      <c r="B385" t="s">
        <v>64</v>
      </c>
      <c r="C385">
        <v>3</v>
      </c>
      <c r="D385">
        <v>14929</v>
      </c>
      <c r="E385" t="s">
        <v>67</v>
      </c>
      <c r="F385">
        <v>2736</v>
      </c>
      <c r="G385">
        <v>101</v>
      </c>
      <c r="H385">
        <v>10.7</v>
      </c>
      <c r="I385">
        <v>0.31086950513735978</v>
      </c>
      <c r="J385">
        <v>0</v>
      </c>
    </row>
    <row r="386" spans="1:10" x14ac:dyDescent="0.3">
      <c r="A386" t="s">
        <v>493</v>
      </c>
      <c r="B386" t="s">
        <v>63</v>
      </c>
      <c r="C386">
        <v>6</v>
      </c>
      <c r="D386">
        <v>24055</v>
      </c>
      <c r="E386" t="s">
        <v>68</v>
      </c>
      <c r="F386">
        <v>6184</v>
      </c>
      <c r="G386">
        <v>71</v>
      </c>
      <c r="H386">
        <v>11.9</v>
      </c>
      <c r="I386">
        <v>7.8588651228976181E-2</v>
      </c>
      <c r="J386">
        <v>0</v>
      </c>
    </row>
    <row r="387" spans="1:10" x14ac:dyDescent="0.3">
      <c r="A387" t="s">
        <v>494</v>
      </c>
      <c r="B387" t="s">
        <v>64</v>
      </c>
      <c r="C387">
        <v>6</v>
      </c>
      <c r="D387">
        <v>19708</v>
      </c>
      <c r="E387" t="s">
        <v>67</v>
      </c>
      <c r="F387">
        <v>6234</v>
      </c>
      <c r="G387">
        <v>75</v>
      </c>
      <c r="H387">
        <v>4.7</v>
      </c>
      <c r="I387">
        <v>0.96990643479801075</v>
      </c>
      <c r="J387">
        <v>0</v>
      </c>
    </row>
    <row r="388" spans="1:10" x14ac:dyDescent="0.3">
      <c r="A388" t="s">
        <v>495</v>
      </c>
      <c r="B388" t="s">
        <v>64</v>
      </c>
      <c r="C388">
        <v>8</v>
      </c>
      <c r="D388">
        <v>19015</v>
      </c>
      <c r="E388" t="s">
        <v>68</v>
      </c>
      <c r="F388">
        <v>6091</v>
      </c>
      <c r="G388">
        <v>98</v>
      </c>
      <c r="H388">
        <v>12.5</v>
      </c>
      <c r="I388">
        <v>0.61059789132349651</v>
      </c>
      <c r="J388">
        <v>0</v>
      </c>
    </row>
    <row r="389" spans="1:10" x14ac:dyDescent="0.3">
      <c r="A389" t="s">
        <v>496</v>
      </c>
      <c r="B389" t="s">
        <v>62</v>
      </c>
      <c r="C389">
        <v>5</v>
      </c>
      <c r="D389">
        <v>15908</v>
      </c>
      <c r="E389" t="s">
        <v>68</v>
      </c>
      <c r="F389">
        <v>5635</v>
      </c>
      <c r="G389">
        <v>81</v>
      </c>
      <c r="H389">
        <v>8.3000000000000007</v>
      </c>
      <c r="I389">
        <v>0.43044338424438411</v>
      </c>
      <c r="J389">
        <v>0</v>
      </c>
    </row>
    <row r="390" spans="1:10" x14ac:dyDescent="0.3">
      <c r="A390" t="s">
        <v>497</v>
      </c>
      <c r="B390" t="s">
        <v>65</v>
      </c>
      <c r="C390">
        <v>4</v>
      </c>
      <c r="D390">
        <v>27691</v>
      </c>
      <c r="E390" t="s">
        <v>67</v>
      </c>
      <c r="F390">
        <v>4631</v>
      </c>
      <c r="G390">
        <v>17</v>
      </c>
      <c r="H390">
        <v>14.2</v>
      </c>
      <c r="I390">
        <v>1.8427000086513656E-2</v>
      </c>
      <c r="J390">
        <v>0</v>
      </c>
    </row>
    <row r="391" spans="1:10" x14ac:dyDescent="0.3">
      <c r="A391" t="s">
        <v>498</v>
      </c>
      <c r="B391" t="s">
        <v>64</v>
      </c>
      <c r="C391">
        <v>5</v>
      </c>
      <c r="D391">
        <v>27753</v>
      </c>
      <c r="E391" t="s">
        <v>68</v>
      </c>
      <c r="F391">
        <v>4110</v>
      </c>
      <c r="G391">
        <v>93</v>
      </c>
      <c r="H391">
        <v>12.6</v>
      </c>
      <c r="I391">
        <v>0.40958176056106532</v>
      </c>
      <c r="J391">
        <v>0</v>
      </c>
    </row>
    <row r="392" spans="1:10" x14ac:dyDescent="0.3">
      <c r="A392" t="s">
        <v>499</v>
      </c>
      <c r="B392" t="s">
        <v>65</v>
      </c>
      <c r="C392">
        <v>5</v>
      </c>
      <c r="D392">
        <v>22031</v>
      </c>
      <c r="E392" t="s">
        <v>67</v>
      </c>
      <c r="F392">
        <v>5690</v>
      </c>
      <c r="G392">
        <v>45</v>
      </c>
      <c r="H392">
        <v>11.9</v>
      </c>
      <c r="I392">
        <v>0.45066994647216729</v>
      </c>
      <c r="J392">
        <v>0</v>
      </c>
    </row>
    <row r="393" spans="1:10" x14ac:dyDescent="0.3">
      <c r="A393" t="s">
        <v>500</v>
      </c>
      <c r="B393" t="s">
        <v>64</v>
      </c>
      <c r="C393">
        <v>4</v>
      </c>
      <c r="D393">
        <v>31551</v>
      </c>
      <c r="E393" t="s">
        <v>67</v>
      </c>
      <c r="F393">
        <v>5255</v>
      </c>
      <c r="G393">
        <v>33</v>
      </c>
      <c r="H393">
        <v>14.6</v>
      </c>
      <c r="I393">
        <v>0.86894547850412684</v>
      </c>
      <c r="J393">
        <v>0</v>
      </c>
    </row>
    <row r="394" spans="1:10" x14ac:dyDescent="0.3">
      <c r="A394" t="s">
        <v>501</v>
      </c>
      <c r="B394" t="s">
        <v>64</v>
      </c>
      <c r="C394">
        <v>8</v>
      </c>
      <c r="D394">
        <v>45440</v>
      </c>
      <c r="E394" t="s">
        <v>67</v>
      </c>
      <c r="F394">
        <v>5329</v>
      </c>
      <c r="G394">
        <v>24</v>
      </c>
      <c r="H394">
        <v>14.4</v>
      </c>
      <c r="I394">
        <v>4.349379208798676E-2</v>
      </c>
      <c r="J394">
        <v>0</v>
      </c>
    </row>
    <row r="395" spans="1:10" x14ac:dyDescent="0.3">
      <c r="A395" t="s">
        <v>502</v>
      </c>
      <c r="B395" t="s">
        <v>64</v>
      </c>
      <c r="C395">
        <v>7</v>
      </c>
      <c r="D395">
        <v>22377</v>
      </c>
      <c r="E395" t="s">
        <v>67</v>
      </c>
      <c r="F395">
        <v>6084</v>
      </c>
      <c r="G395">
        <v>15</v>
      </c>
      <c r="H395">
        <v>0.6</v>
      </c>
      <c r="I395">
        <v>0.30389713013608033</v>
      </c>
      <c r="J395">
        <v>0</v>
      </c>
    </row>
    <row r="396" spans="1:10" x14ac:dyDescent="0.3">
      <c r="A396" t="s">
        <v>503</v>
      </c>
      <c r="B396" t="s">
        <v>65</v>
      </c>
      <c r="C396">
        <v>4</v>
      </c>
      <c r="D396">
        <v>26716</v>
      </c>
      <c r="E396" t="s">
        <v>68</v>
      </c>
      <c r="F396">
        <v>3504</v>
      </c>
      <c r="G396">
        <v>98</v>
      </c>
      <c r="H396">
        <v>9.8000000000000007</v>
      </c>
      <c r="I396">
        <v>0.66430427735214559</v>
      </c>
      <c r="J396">
        <v>0</v>
      </c>
    </row>
    <row r="397" spans="1:10" x14ac:dyDescent="0.3">
      <c r="A397" t="s">
        <v>504</v>
      </c>
      <c r="B397" t="s">
        <v>62</v>
      </c>
      <c r="C397">
        <v>3</v>
      </c>
      <c r="D397">
        <v>17997</v>
      </c>
      <c r="E397" t="s">
        <v>67</v>
      </c>
      <c r="F397">
        <v>4962</v>
      </c>
      <c r="G397">
        <v>34</v>
      </c>
      <c r="H397">
        <v>11.2</v>
      </c>
      <c r="I397">
        <v>0.68821135010305012</v>
      </c>
      <c r="J397">
        <v>0</v>
      </c>
    </row>
    <row r="398" spans="1:10" x14ac:dyDescent="0.3">
      <c r="A398" t="s">
        <v>505</v>
      </c>
      <c r="B398" t="s">
        <v>64</v>
      </c>
      <c r="C398">
        <v>8</v>
      </c>
      <c r="D398">
        <v>22351</v>
      </c>
      <c r="E398" t="s">
        <v>68</v>
      </c>
      <c r="F398">
        <v>5765</v>
      </c>
      <c r="G398">
        <v>114</v>
      </c>
      <c r="H398">
        <v>8.8000000000000007</v>
      </c>
      <c r="I398">
        <v>0.64951142988672861</v>
      </c>
      <c r="J398">
        <v>0</v>
      </c>
    </row>
    <row r="399" spans="1:10" x14ac:dyDescent="0.3">
      <c r="A399" t="s">
        <v>506</v>
      </c>
      <c r="B399" t="s">
        <v>64</v>
      </c>
      <c r="C399">
        <v>8</v>
      </c>
      <c r="D399">
        <v>46835</v>
      </c>
      <c r="E399" t="s">
        <v>68</v>
      </c>
      <c r="F399">
        <v>5149</v>
      </c>
      <c r="G399">
        <v>51</v>
      </c>
      <c r="H399">
        <v>11.7</v>
      </c>
      <c r="I399">
        <v>0.63062990128781882</v>
      </c>
      <c r="J399">
        <v>0</v>
      </c>
    </row>
    <row r="400" spans="1:10" x14ac:dyDescent="0.3">
      <c r="A400" t="s">
        <v>507</v>
      </c>
      <c r="B400" t="s">
        <v>62</v>
      </c>
      <c r="C400">
        <v>3</v>
      </c>
      <c r="D400">
        <v>22553</v>
      </c>
      <c r="E400" t="s">
        <v>67</v>
      </c>
      <c r="F400">
        <v>3580</v>
      </c>
      <c r="G400">
        <v>84</v>
      </c>
      <c r="H400">
        <v>14.9</v>
      </c>
      <c r="I400">
        <v>0.38803649119131622</v>
      </c>
      <c r="J400">
        <v>0</v>
      </c>
    </row>
    <row r="401" spans="1:10" x14ac:dyDescent="0.3">
      <c r="A401" t="s">
        <v>508</v>
      </c>
      <c r="B401" t="s">
        <v>62</v>
      </c>
      <c r="C401">
        <v>2</v>
      </c>
      <c r="D401">
        <v>21091</v>
      </c>
      <c r="E401" t="s">
        <v>69</v>
      </c>
      <c r="F401">
        <v>2407</v>
      </c>
      <c r="G401">
        <v>92</v>
      </c>
      <c r="H401">
        <v>2.2999999999999998</v>
      </c>
      <c r="I401">
        <v>0.24073361323985176</v>
      </c>
      <c r="J401">
        <v>0</v>
      </c>
    </row>
    <row r="402" spans="1:10" x14ac:dyDescent="0.3">
      <c r="A402" t="s">
        <v>509</v>
      </c>
      <c r="B402" t="s">
        <v>65</v>
      </c>
      <c r="C402">
        <v>7</v>
      </c>
      <c r="D402">
        <v>37920</v>
      </c>
      <c r="E402" t="s">
        <v>69</v>
      </c>
      <c r="F402">
        <v>5831</v>
      </c>
      <c r="G402">
        <v>120</v>
      </c>
      <c r="H402">
        <v>8.4</v>
      </c>
      <c r="I402">
        <v>0.44901650996545173</v>
      </c>
      <c r="J40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0E182-C36D-45F4-9E55-CA4F5DE7C58C}">
  <dimension ref="A1:I16"/>
  <sheetViews>
    <sheetView workbookViewId="0">
      <selection activeCell="A26" sqref="A26"/>
    </sheetView>
  </sheetViews>
  <sheetFormatPr defaultRowHeight="14.4" x14ac:dyDescent="0.3"/>
  <cols>
    <col min="1" max="1" width="38.88671875" bestFit="1" customWidth="1"/>
    <col min="2" max="3" width="13.6640625" bestFit="1" customWidth="1"/>
    <col min="4" max="4" width="38.88671875" bestFit="1" customWidth="1"/>
    <col min="5" max="5" width="12.77734375" bestFit="1" customWidth="1"/>
    <col min="6" max="6" width="12.5546875" bestFit="1" customWidth="1"/>
    <col min="7" max="7" width="38.88671875" bestFit="1" customWidth="1"/>
  </cols>
  <sheetData>
    <row r="1" spans="1:9" x14ac:dyDescent="0.3">
      <c r="A1" s="2" t="s">
        <v>74</v>
      </c>
    </row>
    <row r="3" spans="1:9" x14ac:dyDescent="0.3">
      <c r="A3" t="s">
        <v>39</v>
      </c>
      <c r="D3" t="s">
        <v>39</v>
      </c>
      <c r="G3" t="s">
        <v>39</v>
      </c>
    </row>
    <row r="4" spans="1:9" ht="15" thickBot="1" x14ac:dyDescent="0.35">
      <c r="A4" s="14" t="s">
        <v>72</v>
      </c>
      <c r="D4" s="14" t="s">
        <v>24</v>
      </c>
      <c r="G4" s="14" t="s">
        <v>73</v>
      </c>
    </row>
    <row r="5" spans="1:9" s="2" customFormat="1" x14ac:dyDescent="0.3">
      <c r="A5" s="10"/>
      <c r="B5" s="10" t="s">
        <v>27</v>
      </c>
      <c r="C5" s="10" t="s">
        <v>30</v>
      </c>
      <c r="D5" s="10"/>
      <c r="E5" s="10" t="s">
        <v>27</v>
      </c>
      <c r="F5" s="10" t="s">
        <v>30</v>
      </c>
      <c r="G5" s="10"/>
      <c r="H5" s="10" t="s">
        <v>27</v>
      </c>
      <c r="I5" s="10" t="s">
        <v>27</v>
      </c>
    </row>
    <row r="6" spans="1:9" x14ac:dyDescent="0.3">
      <c r="A6" t="s">
        <v>40</v>
      </c>
      <c r="B6" s="13">
        <v>31262.7</v>
      </c>
      <c r="C6" s="13">
        <v>28922.775000000001</v>
      </c>
      <c r="D6" t="s">
        <v>40</v>
      </c>
      <c r="E6" s="13">
        <v>3305.5149999999999</v>
      </c>
      <c r="F6" s="13">
        <v>4660.2950000000001</v>
      </c>
      <c r="G6" t="s">
        <v>40</v>
      </c>
      <c r="H6" s="13">
        <v>29.324999999999999</v>
      </c>
      <c r="I6" s="13">
        <v>64.36</v>
      </c>
    </row>
    <row r="7" spans="1:9" x14ac:dyDescent="0.3">
      <c r="A7" t="s">
        <v>41</v>
      </c>
      <c r="B7" s="13">
        <v>66395312.331658289</v>
      </c>
      <c r="C7" s="13">
        <v>56165470.165201008</v>
      </c>
      <c r="D7" t="s">
        <v>41</v>
      </c>
      <c r="E7" s="13">
        <v>509947.51736180868</v>
      </c>
      <c r="F7" s="13">
        <v>1078058.7919346746</v>
      </c>
      <c r="G7" t="s">
        <v>41</v>
      </c>
      <c r="H7" s="13">
        <v>177.52701005025125</v>
      </c>
      <c r="I7" s="13">
        <v>920.18130653266314</v>
      </c>
    </row>
    <row r="8" spans="1:9" x14ac:dyDescent="0.3">
      <c r="A8" t="s">
        <v>42</v>
      </c>
      <c r="B8" s="13">
        <v>200</v>
      </c>
      <c r="C8" s="13">
        <v>200</v>
      </c>
      <c r="D8" t="s">
        <v>42</v>
      </c>
      <c r="E8" s="13">
        <v>200</v>
      </c>
      <c r="F8" s="13">
        <v>200</v>
      </c>
      <c r="G8" t="s">
        <v>42</v>
      </c>
      <c r="H8" s="13">
        <v>200</v>
      </c>
      <c r="I8" s="13">
        <v>200</v>
      </c>
    </row>
    <row r="9" spans="1:9" x14ac:dyDescent="0.3">
      <c r="A9" t="s">
        <v>43</v>
      </c>
      <c r="B9" s="13">
        <v>61280391.248429649</v>
      </c>
      <c r="C9" s="13"/>
      <c r="D9" t="s">
        <v>43</v>
      </c>
      <c r="E9" s="13">
        <v>794003.1546482417</v>
      </c>
      <c r="F9" s="13"/>
      <c r="G9" t="s">
        <v>43</v>
      </c>
      <c r="H9" s="13">
        <v>548.85415829145722</v>
      </c>
      <c r="I9" s="13"/>
    </row>
    <row r="10" spans="1:9" x14ac:dyDescent="0.3">
      <c r="A10" t="s">
        <v>44</v>
      </c>
      <c r="B10" s="13">
        <v>0</v>
      </c>
      <c r="C10" s="13"/>
      <c r="D10" t="s">
        <v>44</v>
      </c>
      <c r="E10" s="13">
        <v>0</v>
      </c>
      <c r="F10" s="13"/>
      <c r="G10" t="s">
        <v>44</v>
      </c>
      <c r="H10" s="13">
        <v>0</v>
      </c>
      <c r="I10" s="13"/>
    </row>
    <row r="11" spans="1:9" x14ac:dyDescent="0.3">
      <c r="A11" t="s">
        <v>45</v>
      </c>
      <c r="B11" s="13">
        <v>398</v>
      </c>
      <c r="C11" s="13"/>
      <c r="D11" t="s">
        <v>45</v>
      </c>
      <c r="E11" s="13">
        <v>398</v>
      </c>
      <c r="F11" s="13"/>
      <c r="G11" t="s">
        <v>45</v>
      </c>
      <c r="H11" s="13">
        <v>398</v>
      </c>
      <c r="I11" s="13"/>
    </row>
    <row r="12" spans="1:9" x14ac:dyDescent="0.3">
      <c r="A12" t="s">
        <v>46</v>
      </c>
      <c r="B12" s="13">
        <v>2.9891050121668488</v>
      </c>
      <c r="C12" s="13"/>
      <c r="D12" t="s">
        <v>46</v>
      </c>
      <c r="E12" s="13">
        <v>-15.203993062570779</v>
      </c>
      <c r="F12" s="13"/>
      <c r="G12" t="s">
        <v>46</v>
      </c>
      <c r="H12" s="13">
        <v>-14.954560097616747</v>
      </c>
      <c r="I12" s="13"/>
    </row>
    <row r="13" spans="1:9" x14ac:dyDescent="0.3">
      <c r="A13" t="s">
        <v>47</v>
      </c>
      <c r="B13" s="13">
        <v>1.4857682146696258E-3</v>
      </c>
      <c r="C13" s="13"/>
      <c r="D13" t="s">
        <v>47</v>
      </c>
      <c r="E13" s="13">
        <v>8.696570620898406E-42</v>
      </c>
      <c r="F13" s="13"/>
      <c r="G13" t="s">
        <v>47</v>
      </c>
      <c r="H13" s="13">
        <v>9.6253649854078229E-41</v>
      </c>
      <c r="I13" s="13"/>
    </row>
    <row r="14" spans="1:9" x14ac:dyDescent="0.3">
      <c r="A14" t="s">
        <v>48</v>
      </c>
      <c r="B14" s="13">
        <v>1.6486911739598198</v>
      </c>
      <c r="C14" s="13"/>
      <c r="D14" t="s">
        <v>48</v>
      </c>
      <c r="E14" s="13">
        <v>1.6486911739598198</v>
      </c>
      <c r="F14" s="13"/>
      <c r="G14" t="s">
        <v>48</v>
      </c>
      <c r="H14" s="13">
        <v>1.6486911739598198</v>
      </c>
      <c r="I14" s="13"/>
    </row>
    <row r="15" spans="1:9" x14ac:dyDescent="0.3">
      <c r="A15" t="s">
        <v>49</v>
      </c>
      <c r="B15" s="13">
        <v>2.9715364293392515E-3</v>
      </c>
      <c r="C15" s="13"/>
      <c r="D15" t="s">
        <v>49</v>
      </c>
      <c r="E15" s="13">
        <v>1.7393141241796812E-41</v>
      </c>
      <c r="F15" s="13"/>
      <c r="G15" t="s">
        <v>49</v>
      </c>
      <c r="H15" s="13">
        <v>1.9250729970815646E-40</v>
      </c>
      <c r="I15" s="13"/>
    </row>
    <row r="16" spans="1:9" ht="15" thickBot="1" x14ac:dyDescent="0.35">
      <c r="A16" s="8" t="s">
        <v>50</v>
      </c>
      <c r="B16" s="15">
        <v>1.965942323976257</v>
      </c>
      <c r="C16" s="15"/>
      <c r="D16" s="8" t="s">
        <v>50</v>
      </c>
      <c r="E16" s="15">
        <v>1.965942323976257</v>
      </c>
      <c r="F16" s="15"/>
      <c r="G16" s="8" t="s">
        <v>50</v>
      </c>
      <c r="H16" s="15">
        <v>1.965942323976257</v>
      </c>
      <c r="I16" s="15"/>
    </row>
  </sheetData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82CE4-8880-4630-8305-C5304DE1140F}">
  <dimension ref="B2:AQ405"/>
  <sheetViews>
    <sheetView topLeftCell="E1" zoomScaleNormal="100" workbookViewId="0">
      <selection activeCell="I1" sqref="I1:I1048576"/>
    </sheetView>
  </sheetViews>
  <sheetFormatPr defaultRowHeight="14.4" x14ac:dyDescent="0.3"/>
  <cols>
    <col min="2" max="2" width="14.44140625" customWidth="1"/>
    <col min="3" max="3" width="11.33203125" customWidth="1"/>
    <col min="4" max="4" width="14.33203125" bestFit="1" customWidth="1"/>
    <col min="5" max="5" width="14.33203125" customWidth="1"/>
    <col min="6" max="6" width="14.33203125" bestFit="1" customWidth="1"/>
    <col min="7" max="7" width="26" bestFit="1" customWidth="1"/>
    <col min="8" max="8" width="19" bestFit="1" customWidth="1"/>
    <col min="9" max="9" width="19.33203125" bestFit="1" customWidth="1"/>
    <col min="10" max="10" width="23.77734375" bestFit="1" customWidth="1"/>
    <col min="11" max="11" width="19" bestFit="1" customWidth="1"/>
    <col min="12" max="12" width="22.5546875" bestFit="1" customWidth="1"/>
    <col min="13" max="13" width="9.77734375" bestFit="1" customWidth="1"/>
    <col min="16" max="16" width="11" customWidth="1"/>
    <col min="17" max="17" width="12.44140625" customWidth="1"/>
    <col min="18" max="18" width="16.33203125" customWidth="1"/>
    <col min="19" max="19" width="19.5546875" customWidth="1"/>
    <col min="20" max="20" width="9.6640625" bestFit="1" customWidth="1"/>
    <col min="22" max="22" width="18" customWidth="1"/>
    <col min="23" max="23" width="14.21875" customWidth="1"/>
    <col min="24" max="24" width="13.77734375" customWidth="1"/>
    <col min="25" max="25" width="13" customWidth="1"/>
    <col min="27" max="27" width="9.21875" bestFit="1" customWidth="1"/>
    <col min="28" max="28" width="12.5546875" bestFit="1" customWidth="1"/>
    <col min="29" max="29" width="11.5546875" bestFit="1" customWidth="1"/>
    <col min="34" max="34" width="38.88671875" bestFit="1" customWidth="1"/>
    <col min="35" max="36" width="12" bestFit="1" customWidth="1"/>
    <col min="37" max="37" width="38.88671875" bestFit="1" customWidth="1"/>
    <col min="38" max="38" width="12.6640625" bestFit="1" customWidth="1"/>
    <col min="39" max="39" width="12" bestFit="1" customWidth="1"/>
    <col min="40" max="40" width="38.88671875" bestFit="1" customWidth="1"/>
  </cols>
  <sheetData>
    <row r="2" spans="2:29" x14ac:dyDescent="0.3">
      <c r="B2" s="21" t="s">
        <v>61</v>
      </c>
      <c r="C2" s="21"/>
      <c r="D2" s="21"/>
      <c r="E2" s="3"/>
      <c r="F2" s="3"/>
      <c r="H2" s="3"/>
    </row>
    <row r="3" spans="2:29" x14ac:dyDescent="0.3">
      <c r="R3" s="2" t="s">
        <v>28</v>
      </c>
      <c r="S3" s="2" t="s">
        <v>29</v>
      </c>
      <c r="T3" s="2" t="s">
        <v>1</v>
      </c>
    </row>
    <row r="4" spans="2:29" x14ac:dyDescent="0.3">
      <c r="B4" s="19" t="s">
        <v>17</v>
      </c>
      <c r="C4" s="19" t="s">
        <v>21</v>
      </c>
      <c r="D4" s="2" t="s">
        <v>18</v>
      </c>
      <c r="E4" s="2" t="s">
        <v>27</v>
      </c>
      <c r="F4" s="2" t="s">
        <v>18</v>
      </c>
      <c r="G4" s="2" t="s">
        <v>22</v>
      </c>
      <c r="H4" s="2" t="s">
        <v>25</v>
      </c>
      <c r="I4" s="2" t="s">
        <v>19</v>
      </c>
      <c r="J4" s="2" t="s">
        <v>24</v>
      </c>
      <c r="K4" s="2" t="s">
        <v>25</v>
      </c>
      <c r="L4" s="2" t="s">
        <v>20</v>
      </c>
      <c r="M4" s="2" t="s">
        <v>27</v>
      </c>
      <c r="O4" s="6" t="str">
        <f>D4</f>
        <v>Household_Size</v>
      </c>
      <c r="P4" s="6"/>
      <c r="Q4" s="6"/>
      <c r="R4" s="6">
        <f>AVERAGE(D5:D204)</f>
        <v>4.9800000000000004</v>
      </c>
      <c r="S4" s="6">
        <f>AVERAGE(D205:D404)</f>
        <v>5.2149999999999999</v>
      </c>
      <c r="T4">
        <f>R4-S4</f>
        <v>-0.23499999999999943</v>
      </c>
      <c r="V4" s="2" t="s">
        <v>31</v>
      </c>
      <c r="W4" s="2" t="s">
        <v>32</v>
      </c>
      <c r="X4" s="2" t="s">
        <v>33</v>
      </c>
      <c r="Y4" s="2" t="s">
        <v>34</v>
      </c>
      <c r="Z4" s="2" t="s">
        <v>35</v>
      </c>
      <c r="AA4" s="2" t="s">
        <v>36</v>
      </c>
      <c r="AB4" s="2" t="s">
        <v>37</v>
      </c>
      <c r="AC4" s="2" t="s">
        <v>38</v>
      </c>
    </row>
    <row r="5" spans="2:29" x14ac:dyDescent="0.3">
      <c r="B5" t="str">
        <f>"HH"&amp;TEXT(ROW()-4, "000")</f>
        <v>HH001</v>
      </c>
      <c r="C5" t="s">
        <v>63</v>
      </c>
      <c r="D5">
        <v>2</v>
      </c>
      <c r="E5">
        <v>1</v>
      </c>
      <c r="F5">
        <v>2</v>
      </c>
      <c r="G5" s="4">
        <v>19516</v>
      </c>
      <c r="H5">
        <v>36</v>
      </c>
      <c r="I5" t="s">
        <v>68</v>
      </c>
      <c r="J5" s="4">
        <v>2426</v>
      </c>
      <c r="K5">
        <v>36</v>
      </c>
      <c r="L5">
        <f>'KRWSIP_Program_Baseline Data'!H6</f>
        <v>14.1</v>
      </c>
      <c r="M5">
        <v>1</v>
      </c>
      <c r="O5" s="6" t="str">
        <f>G4</f>
        <v>Monthly_Household_Income</v>
      </c>
      <c r="P5" s="6"/>
      <c r="Q5" s="6"/>
      <c r="R5" s="7">
        <f>AVERAGE(G5:G204)</f>
        <v>31262.7</v>
      </c>
      <c r="S5" s="7">
        <f>AVERAGE(G205:G404)</f>
        <v>28922.775000000001</v>
      </c>
      <c r="T5">
        <f>R5-S5</f>
        <v>2339.9249999999993</v>
      </c>
      <c r="V5" s="4">
        <f t="shared" ref="V5:V36" si="0">IF($M5=1,G5,"")</f>
        <v>19516</v>
      </c>
      <c r="W5" s="4">
        <f t="shared" ref="W5:W36" si="1">IF($M205=0, G205,"")</f>
        <v>24830</v>
      </c>
      <c r="X5" s="4">
        <f t="shared" ref="X5:X36" si="2">IF($M5=1,J5,"")</f>
        <v>2426</v>
      </c>
      <c r="Y5" s="4">
        <f t="shared" ref="Y5:Y36" si="3">IF($M205=0,J205,"")</f>
        <v>5681</v>
      </c>
      <c r="Z5" s="4">
        <f t="shared" ref="Z5:Z36" si="4">IF($M5=1,K5,"")</f>
        <v>36</v>
      </c>
      <c r="AA5">
        <f t="shared" ref="AA5:AA36" si="5">IF($M205=0,K205,"")</f>
        <v>88</v>
      </c>
      <c r="AB5">
        <f t="shared" ref="AB5:AB36" si="6">IF($M5=1,L5,"")</f>
        <v>14.1</v>
      </c>
      <c r="AC5">
        <f t="shared" ref="AC5:AC36" si="7">IF($M205=0,L205,"")</f>
        <v>3.5</v>
      </c>
    </row>
    <row r="6" spans="2:29" x14ac:dyDescent="0.3">
      <c r="B6" t="str">
        <f t="shared" ref="B6:B69" si="8">"HH"&amp;TEXT(ROW()-4, "000")</f>
        <v>HH002</v>
      </c>
      <c r="C6" t="s">
        <v>63</v>
      </c>
      <c r="D6">
        <v>3</v>
      </c>
      <c r="E6">
        <v>1</v>
      </c>
      <c r="F6">
        <v>3</v>
      </c>
      <c r="G6" s="4">
        <v>31054</v>
      </c>
      <c r="H6">
        <v>31</v>
      </c>
      <c r="I6" t="s">
        <v>66</v>
      </c>
      <c r="J6" s="4">
        <v>2445</v>
      </c>
      <c r="K6">
        <v>31</v>
      </c>
      <c r="L6">
        <f>'KRWSIP_Program_Baseline Data'!H7</f>
        <v>8.5</v>
      </c>
      <c r="M6">
        <v>1</v>
      </c>
      <c r="O6" s="6" t="str">
        <f>J4</f>
        <v>Annual Health Expenditure</v>
      </c>
      <c r="P6" s="6"/>
      <c r="Q6" s="6"/>
      <c r="R6" s="7">
        <f>AVERAGE(J5:J203)</f>
        <v>3305.7437185929648</v>
      </c>
      <c r="S6" s="7">
        <f>AVERAGE(J205:J404)</f>
        <v>4660.2950000000001</v>
      </c>
      <c r="T6">
        <f>R6-S6</f>
        <v>-1354.5512814070353</v>
      </c>
      <c r="V6" s="4">
        <f t="shared" si="0"/>
        <v>31054</v>
      </c>
      <c r="W6" s="4">
        <f t="shared" si="1"/>
        <v>31429</v>
      </c>
      <c r="X6" s="4">
        <f t="shared" si="2"/>
        <v>2445</v>
      </c>
      <c r="Y6" s="4">
        <f t="shared" si="3"/>
        <v>5077</v>
      </c>
      <c r="Z6" s="4">
        <f t="shared" si="4"/>
        <v>31</v>
      </c>
      <c r="AA6">
        <f t="shared" si="5"/>
        <v>29</v>
      </c>
      <c r="AB6">
        <f t="shared" si="6"/>
        <v>8.5</v>
      </c>
      <c r="AC6">
        <f t="shared" si="7"/>
        <v>6.7</v>
      </c>
    </row>
    <row r="7" spans="2:29" x14ac:dyDescent="0.3">
      <c r="B7" t="str">
        <f t="shared" si="8"/>
        <v>HH003</v>
      </c>
      <c r="C7" t="s">
        <v>64</v>
      </c>
      <c r="D7">
        <v>7</v>
      </c>
      <c r="E7">
        <v>1</v>
      </c>
      <c r="F7">
        <v>7</v>
      </c>
      <c r="G7" s="4">
        <v>39285</v>
      </c>
      <c r="H7">
        <v>20</v>
      </c>
      <c r="I7" t="s">
        <v>66</v>
      </c>
      <c r="J7" s="4">
        <v>4620</v>
      </c>
      <c r="K7">
        <v>20</v>
      </c>
      <c r="L7">
        <f>'KRWSIP_Program_Baseline Data'!H8</f>
        <v>1.9</v>
      </c>
      <c r="M7">
        <v>1</v>
      </c>
      <c r="O7" s="6" t="str">
        <f>K4</f>
        <v>Time to collect Water</v>
      </c>
      <c r="P7" s="6"/>
      <c r="Q7" s="6"/>
      <c r="R7" s="6">
        <f>AVERAGE(K5:K204)</f>
        <v>29.324999999999999</v>
      </c>
      <c r="S7" s="6">
        <f>AVERAGE(K205:K404)</f>
        <v>64.36</v>
      </c>
      <c r="T7">
        <f>R7-S7</f>
        <v>-35.034999999999997</v>
      </c>
      <c r="V7" s="4">
        <f t="shared" si="0"/>
        <v>39285</v>
      </c>
      <c r="W7" s="4">
        <f t="shared" si="1"/>
        <v>28947</v>
      </c>
      <c r="X7" s="4">
        <f t="shared" si="2"/>
        <v>4620</v>
      </c>
      <c r="Y7" s="4">
        <f t="shared" si="3"/>
        <v>6477</v>
      </c>
      <c r="Z7" s="4">
        <f t="shared" si="4"/>
        <v>20</v>
      </c>
      <c r="AA7">
        <f t="shared" si="5"/>
        <v>59</v>
      </c>
      <c r="AB7">
        <f t="shared" si="6"/>
        <v>1.9</v>
      </c>
      <c r="AC7">
        <f t="shared" si="7"/>
        <v>11.2</v>
      </c>
    </row>
    <row r="8" spans="2:29" x14ac:dyDescent="0.3">
      <c r="B8" t="str">
        <f t="shared" si="8"/>
        <v>HH004</v>
      </c>
      <c r="C8" t="s">
        <v>65</v>
      </c>
      <c r="D8">
        <v>8</v>
      </c>
      <c r="E8">
        <v>1</v>
      </c>
      <c r="F8">
        <v>8</v>
      </c>
      <c r="G8" s="4">
        <v>27775</v>
      </c>
      <c r="H8">
        <v>27</v>
      </c>
      <c r="I8" t="s">
        <v>66</v>
      </c>
      <c r="J8" s="4">
        <v>3312</v>
      </c>
      <c r="K8">
        <v>27</v>
      </c>
      <c r="L8">
        <f>'KRWSIP_Program_Baseline Data'!H9</f>
        <v>12.3</v>
      </c>
      <c r="M8">
        <v>1</v>
      </c>
      <c r="O8" s="6" t="str">
        <f>L4</f>
        <v>Distance to Health facility</v>
      </c>
      <c r="P8" s="6"/>
      <c r="Q8" s="6"/>
      <c r="R8" s="6">
        <f>AVERAGE(L5:L204)</f>
        <v>8.1254999999999971</v>
      </c>
      <c r="S8" s="6">
        <f>AVERAGE(L205:L404)</f>
        <v>7.656500000000003</v>
      </c>
      <c r="T8">
        <f>R8-S8</f>
        <v>0.46899999999999409</v>
      </c>
      <c r="V8" s="4">
        <f t="shared" si="0"/>
        <v>27775</v>
      </c>
      <c r="W8" s="4">
        <f t="shared" si="1"/>
        <v>23189</v>
      </c>
      <c r="X8" s="4">
        <f t="shared" si="2"/>
        <v>3312</v>
      </c>
      <c r="Y8" s="4">
        <f t="shared" si="3"/>
        <v>2641</v>
      </c>
      <c r="Z8" s="4">
        <f t="shared" si="4"/>
        <v>27</v>
      </c>
      <c r="AA8">
        <f t="shared" si="5"/>
        <v>46</v>
      </c>
      <c r="AB8">
        <f t="shared" si="6"/>
        <v>12.3</v>
      </c>
      <c r="AC8">
        <f t="shared" si="7"/>
        <v>13.9</v>
      </c>
    </row>
    <row r="9" spans="2:29" x14ac:dyDescent="0.3">
      <c r="B9" t="str">
        <f t="shared" si="8"/>
        <v>HH005</v>
      </c>
      <c r="C9" t="s">
        <v>65</v>
      </c>
      <c r="D9">
        <v>4</v>
      </c>
      <c r="E9">
        <v>1</v>
      </c>
      <c r="F9">
        <v>4</v>
      </c>
      <c r="G9" s="4">
        <v>38113</v>
      </c>
      <c r="H9">
        <v>9</v>
      </c>
      <c r="I9" t="s">
        <v>68</v>
      </c>
      <c r="J9" s="4">
        <v>4120</v>
      </c>
      <c r="K9">
        <v>9</v>
      </c>
      <c r="L9">
        <f>'KRWSIP_Program_Baseline Data'!H10</f>
        <v>14.7</v>
      </c>
      <c r="M9">
        <v>1</v>
      </c>
      <c r="V9" s="4">
        <f t="shared" si="0"/>
        <v>38113</v>
      </c>
      <c r="W9" s="4">
        <f t="shared" si="1"/>
        <v>37703</v>
      </c>
      <c r="X9" s="4">
        <f t="shared" si="2"/>
        <v>4120</v>
      </c>
      <c r="Y9" s="4">
        <f t="shared" si="3"/>
        <v>4626</v>
      </c>
      <c r="Z9" s="4">
        <f t="shared" si="4"/>
        <v>9</v>
      </c>
      <c r="AA9">
        <f t="shared" si="5"/>
        <v>103</v>
      </c>
      <c r="AB9">
        <f t="shared" si="6"/>
        <v>14.7</v>
      </c>
      <c r="AC9">
        <f t="shared" si="7"/>
        <v>7.2</v>
      </c>
    </row>
    <row r="10" spans="2:29" x14ac:dyDescent="0.3">
      <c r="B10" t="str">
        <f t="shared" si="8"/>
        <v>HH006</v>
      </c>
      <c r="C10" t="s">
        <v>64</v>
      </c>
      <c r="D10">
        <v>4</v>
      </c>
      <c r="E10">
        <v>1</v>
      </c>
      <c r="F10">
        <v>4</v>
      </c>
      <c r="G10" s="4">
        <v>36615</v>
      </c>
      <c r="H10">
        <v>40</v>
      </c>
      <c r="I10" t="s">
        <v>69</v>
      </c>
      <c r="J10" s="4">
        <v>2913</v>
      </c>
      <c r="K10">
        <v>40</v>
      </c>
      <c r="L10">
        <f>'KRWSIP_Program_Baseline Data'!H11</f>
        <v>11.3</v>
      </c>
      <c r="M10">
        <v>1</v>
      </c>
      <c r="V10" s="4">
        <f t="shared" si="0"/>
        <v>36615</v>
      </c>
      <c r="W10" s="4">
        <f t="shared" si="1"/>
        <v>21543</v>
      </c>
      <c r="X10" s="4">
        <f t="shared" si="2"/>
        <v>2913</v>
      </c>
      <c r="Y10" s="4">
        <f t="shared" si="3"/>
        <v>3620</v>
      </c>
      <c r="Z10" s="4">
        <f t="shared" si="4"/>
        <v>40</v>
      </c>
      <c r="AA10">
        <f t="shared" si="5"/>
        <v>53</v>
      </c>
      <c r="AB10">
        <f t="shared" si="6"/>
        <v>11.3</v>
      </c>
      <c r="AC10">
        <f t="shared" si="7"/>
        <v>10.4</v>
      </c>
    </row>
    <row r="11" spans="2:29" x14ac:dyDescent="0.3">
      <c r="B11" t="str">
        <f t="shared" si="8"/>
        <v>HH007</v>
      </c>
      <c r="C11" t="s">
        <v>65</v>
      </c>
      <c r="D11">
        <v>2</v>
      </c>
      <c r="E11">
        <v>1</v>
      </c>
      <c r="F11">
        <v>2</v>
      </c>
      <c r="G11" s="4">
        <v>38931</v>
      </c>
      <c r="H11">
        <v>27</v>
      </c>
      <c r="I11" t="s">
        <v>69</v>
      </c>
      <c r="J11" s="4">
        <v>2814</v>
      </c>
      <c r="K11">
        <v>27</v>
      </c>
      <c r="L11">
        <f>'KRWSIP_Program_Baseline Data'!H12</f>
        <v>10.5</v>
      </c>
      <c r="M11">
        <v>1</v>
      </c>
      <c r="V11" s="4">
        <f t="shared" si="0"/>
        <v>38931</v>
      </c>
      <c r="W11" s="4">
        <f t="shared" si="1"/>
        <v>29013</v>
      </c>
      <c r="X11" s="4">
        <f t="shared" si="2"/>
        <v>2814</v>
      </c>
      <c r="Y11" s="4">
        <f t="shared" si="3"/>
        <v>5213</v>
      </c>
      <c r="Z11" s="4">
        <f t="shared" si="4"/>
        <v>27</v>
      </c>
      <c r="AA11">
        <f t="shared" si="5"/>
        <v>114</v>
      </c>
      <c r="AB11">
        <f t="shared" si="6"/>
        <v>10.5</v>
      </c>
      <c r="AC11">
        <f t="shared" si="7"/>
        <v>14.2</v>
      </c>
    </row>
    <row r="12" spans="2:29" x14ac:dyDescent="0.3">
      <c r="B12" t="str">
        <f t="shared" si="8"/>
        <v>HH008</v>
      </c>
      <c r="C12" t="s">
        <v>62</v>
      </c>
      <c r="D12">
        <v>3</v>
      </c>
      <c r="E12">
        <v>1</v>
      </c>
      <c r="F12">
        <v>3</v>
      </c>
      <c r="G12" s="4">
        <v>36812</v>
      </c>
      <c r="H12">
        <v>32</v>
      </c>
      <c r="I12" t="s">
        <v>69</v>
      </c>
      <c r="J12" s="4">
        <v>1836</v>
      </c>
      <c r="K12">
        <v>32</v>
      </c>
      <c r="L12">
        <f>'KRWSIP_Program_Baseline Data'!H13</f>
        <v>11.7</v>
      </c>
      <c r="M12">
        <v>1</v>
      </c>
      <c r="P12" s="5"/>
      <c r="V12" s="4">
        <f t="shared" si="0"/>
        <v>36812</v>
      </c>
      <c r="W12" s="4">
        <f t="shared" si="1"/>
        <v>38238</v>
      </c>
      <c r="X12" s="4">
        <f t="shared" si="2"/>
        <v>1836</v>
      </c>
      <c r="Y12" s="4">
        <f t="shared" si="3"/>
        <v>6971</v>
      </c>
      <c r="Z12" s="4">
        <f t="shared" si="4"/>
        <v>32</v>
      </c>
      <c r="AA12">
        <f t="shared" si="5"/>
        <v>103</v>
      </c>
      <c r="AB12">
        <f t="shared" si="6"/>
        <v>11.7</v>
      </c>
      <c r="AC12">
        <f t="shared" si="7"/>
        <v>4.8</v>
      </c>
    </row>
    <row r="13" spans="2:29" x14ac:dyDescent="0.3">
      <c r="B13" t="str">
        <f t="shared" si="8"/>
        <v>HH009</v>
      </c>
      <c r="C13" t="s">
        <v>62</v>
      </c>
      <c r="D13">
        <v>6</v>
      </c>
      <c r="E13">
        <v>1</v>
      </c>
      <c r="F13">
        <v>6</v>
      </c>
      <c r="G13" s="4">
        <v>26299</v>
      </c>
      <c r="H13">
        <v>17</v>
      </c>
      <c r="I13" t="s">
        <v>66</v>
      </c>
      <c r="J13" s="4">
        <v>3870</v>
      </c>
      <c r="K13">
        <v>17</v>
      </c>
      <c r="L13">
        <f>'KRWSIP_Program_Baseline Data'!H14</f>
        <v>13.7</v>
      </c>
      <c r="M13">
        <v>1</v>
      </c>
      <c r="P13" s="5"/>
      <c r="V13" s="4">
        <f t="shared" si="0"/>
        <v>26299</v>
      </c>
      <c r="W13" s="4">
        <f t="shared" si="1"/>
        <v>26437</v>
      </c>
      <c r="X13" s="4">
        <f t="shared" si="2"/>
        <v>3870</v>
      </c>
      <c r="Y13" s="4">
        <f t="shared" si="3"/>
        <v>2677</v>
      </c>
      <c r="Z13" s="4">
        <f t="shared" si="4"/>
        <v>17</v>
      </c>
      <c r="AA13">
        <f t="shared" si="5"/>
        <v>24</v>
      </c>
      <c r="AB13">
        <f t="shared" si="6"/>
        <v>13.7</v>
      </c>
      <c r="AC13">
        <f t="shared" si="7"/>
        <v>10.199999999999999</v>
      </c>
    </row>
    <row r="14" spans="2:29" x14ac:dyDescent="0.3">
      <c r="B14" t="str">
        <f t="shared" si="8"/>
        <v>HH010</v>
      </c>
      <c r="C14" t="s">
        <v>63</v>
      </c>
      <c r="D14">
        <v>7</v>
      </c>
      <c r="E14">
        <v>1</v>
      </c>
      <c r="F14">
        <v>7</v>
      </c>
      <c r="G14" s="4">
        <v>42237</v>
      </c>
      <c r="H14">
        <v>16</v>
      </c>
      <c r="I14" t="s">
        <v>67</v>
      </c>
      <c r="J14" s="4">
        <v>2944</v>
      </c>
      <c r="K14">
        <v>16</v>
      </c>
      <c r="L14">
        <f>'KRWSIP_Program_Baseline Data'!H15</f>
        <v>0.8</v>
      </c>
      <c r="M14">
        <v>1</v>
      </c>
      <c r="P14" s="5"/>
      <c r="V14" s="4">
        <f t="shared" si="0"/>
        <v>42237</v>
      </c>
      <c r="W14" s="4">
        <f t="shared" si="1"/>
        <v>19219</v>
      </c>
      <c r="X14" s="4">
        <f t="shared" si="2"/>
        <v>2944</v>
      </c>
      <c r="Y14" s="4">
        <f t="shared" si="3"/>
        <v>5116</v>
      </c>
      <c r="Z14" s="4">
        <f t="shared" si="4"/>
        <v>16</v>
      </c>
      <c r="AA14">
        <f t="shared" si="5"/>
        <v>80</v>
      </c>
      <c r="AB14">
        <f t="shared" si="6"/>
        <v>0.8</v>
      </c>
      <c r="AC14">
        <f t="shared" si="7"/>
        <v>12.4</v>
      </c>
    </row>
    <row r="15" spans="2:29" x14ac:dyDescent="0.3">
      <c r="B15" t="str">
        <f t="shared" si="8"/>
        <v>HH011</v>
      </c>
      <c r="C15" t="s">
        <v>62</v>
      </c>
      <c r="D15">
        <v>6</v>
      </c>
      <c r="E15">
        <v>1</v>
      </c>
      <c r="F15">
        <v>6</v>
      </c>
      <c r="G15" s="4">
        <v>41606</v>
      </c>
      <c r="H15">
        <v>26</v>
      </c>
      <c r="I15" t="s">
        <v>69</v>
      </c>
      <c r="J15" s="4">
        <v>3585</v>
      </c>
      <c r="K15">
        <v>26</v>
      </c>
      <c r="L15">
        <f>'KRWSIP_Program_Baseline Data'!H16</f>
        <v>2.1</v>
      </c>
      <c r="M15">
        <v>1</v>
      </c>
      <c r="P15" s="5"/>
      <c r="V15" s="4">
        <f t="shared" si="0"/>
        <v>41606</v>
      </c>
      <c r="W15" s="4">
        <f t="shared" si="1"/>
        <v>27241</v>
      </c>
      <c r="X15" s="4">
        <f t="shared" si="2"/>
        <v>3585</v>
      </c>
      <c r="Y15" s="4">
        <f t="shared" si="3"/>
        <v>3432</v>
      </c>
      <c r="Z15" s="4">
        <f t="shared" si="4"/>
        <v>26</v>
      </c>
      <c r="AA15">
        <f t="shared" si="5"/>
        <v>96</v>
      </c>
      <c r="AB15">
        <f t="shared" si="6"/>
        <v>2.1</v>
      </c>
      <c r="AC15">
        <f t="shared" si="7"/>
        <v>5.4</v>
      </c>
    </row>
    <row r="16" spans="2:29" x14ac:dyDescent="0.3">
      <c r="B16" t="str">
        <f t="shared" si="8"/>
        <v>HH012</v>
      </c>
      <c r="C16" t="s">
        <v>62</v>
      </c>
      <c r="D16">
        <v>2</v>
      </c>
      <c r="E16">
        <v>1</v>
      </c>
      <c r="F16">
        <v>2</v>
      </c>
      <c r="G16" s="4">
        <v>39207</v>
      </c>
      <c r="H16">
        <v>35</v>
      </c>
      <c r="I16" t="s">
        <v>67</v>
      </c>
      <c r="J16" s="4">
        <v>2096</v>
      </c>
      <c r="K16">
        <v>35</v>
      </c>
      <c r="L16">
        <f>'KRWSIP_Program_Baseline Data'!H17</f>
        <v>15</v>
      </c>
      <c r="M16">
        <v>1</v>
      </c>
      <c r="P16" s="5"/>
      <c r="V16" s="4">
        <f t="shared" si="0"/>
        <v>39207</v>
      </c>
      <c r="W16" s="4">
        <f t="shared" si="1"/>
        <v>24530</v>
      </c>
      <c r="X16" s="4">
        <f t="shared" si="2"/>
        <v>2096</v>
      </c>
      <c r="Y16" s="4">
        <f t="shared" si="3"/>
        <v>5334</v>
      </c>
      <c r="Z16" s="4">
        <f t="shared" si="4"/>
        <v>35</v>
      </c>
      <c r="AA16">
        <f t="shared" si="5"/>
        <v>93</v>
      </c>
      <c r="AB16">
        <f t="shared" si="6"/>
        <v>15</v>
      </c>
      <c r="AC16">
        <f t="shared" si="7"/>
        <v>7.2</v>
      </c>
    </row>
    <row r="17" spans="2:29" x14ac:dyDescent="0.3">
      <c r="B17" t="str">
        <f t="shared" si="8"/>
        <v>HH013</v>
      </c>
      <c r="C17" t="s">
        <v>64</v>
      </c>
      <c r="D17">
        <v>4</v>
      </c>
      <c r="E17">
        <v>1</v>
      </c>
      <c r="F17">
        <v>4</v>
      </c>
      <c r="G17" s="4">
        <v>34419</v>
      </c>
      <c r="H17">
        <v>24</v>
      </c>
      <c r="I17" t="s">
        <v>69</v>
      </c>
      <c r="J17" s="4">
        <v>4084</v>
      </c>
      <c r="K17">
        <v>24</v>
      </c>
      <c r="L17">
        <f>'KRWSIP_Program_Baseline Data'!H18</f>
        <v>7.2</v>
      </c>
      <c r="M17">
        <v>1</v>
      </c>
      <c r="P17" s="5"/>
      <c r="V17" s="4">
        <f t="shared" si="0"/>
        <v>34419</v>
      </c>
      <c r="W17" s="4">
        <f t="shared" si="1"/>
        <v>33734</v>
      </c>
      <c r="X17" s="4">
        <f t="shared" si="2"/>
        <v>4084</v>
      </c>
      <c r="Y17" s="4">
        <f t="shared" si="3"/>
        <v>2263</v>
      </c>
      <c r="Z17" s="4">
        <f t="shared" si="4"/>
        <v>24</v>
      </c>
      <c r="AA17">
        <f t="shared" si="5"/>
        <v>119</v>
      </c>
      <c r="AB17">
        <f t="shared" si="6"/>
        <v>7.2</v>
      </c>
      <c r="AC17">
        <f t="shared" si="7"/>
        <v>12.9</v>
      </c>
    </row>
    <row r="18" spans="2:29" x14ac:dyDescent="0.3">
      <c r="B18" t="str">
        <f t="shared" si="8"/>
        <v>HH014</v>
      </c>
      <c r="C18" t="s">
        <v>62</v>
      </c>
      <c r="D18">
        <v>8</v>
      </c>
      <c r="E18">
        <v>1</v>
      </c>
      <c r="F18">
        <v>8</v>
      </c>
      <c r="G18" s="4">
        <v>34518</v>
      </c>
      <c r="H18">
        <v>36</v>
      </c>
      <c r="I18" t="s">
        <v>68</v>
      </c>
      <c r="J18" s="4">
        <v>4850</v>
      </c>
      <c r="K18">
        <v>36</v>
      </c>
      <c r="L18">
        <f>'KRWSIP_Program_Baseline Data'!H19</f>
        <v>11.4</v>
      </c>
      <c r="M18">
        <v>1</v>
      </c>
      <c r="P18" s="5"/>
      <c r="V18" s="4">
        <f t="shared" si="0"/>
        <v>34518</v>
      </c>
      <c r="W18" s="4">
        <f t="shared" si="1"/>
        <v>27872</v>
      </c>
      <c r="X18" s="4">
        <f t="shared" si="2"/>
        <v>4850</v>
      </c>
      <c r="Y18" s="4">
        <f t="shared" si="3"/>
        <v>4830</v>
      </c>
      <c r="Z18" s="4">
        <f t="shared" si="4"/>
        <v>36</v>
      </c>
      <c r="AA18">
        <f t="shared" si="5"/>
        <v>77</v>
      </c>
      <c r="AB18">
        <f t="shared" si="6"/>
        <v>11.4</v>
      </c>
      <c r="AC18">
        <f t="shared" si="7"/>
        <v>0.8</v>
      </c>
    </row>
    <row r="19" spans="2:29" x14ac:dyDescent="0.3">
      <c r="B19" t="str">
        <f t="shared" si="8"/>
        <v>HH015</v>
      </c>
      <c r="C19" t="s">
        <v>62</v>
      </c>
      <c r="D19">
        <v>7</v>
      </c>
      <c r="E19">
        <v>1</v>
      </c>
      <c r="F19">
        <v>7</v>
      </c>
      <c r="G19" s="4">
        <v>19886</v>
      </c>
      <c r="H19">
        <v>38</v>
      </c>
      <c r="I19" t="s">
        <v>68</v>
      </c>
      <c r="J19" s="4">
        <v>3819</v>
      </c>
      <c r="K19">
        <v>38</v>
      </c>
      <c r="L19">
        <f>'KRWSIP_Program_Baseline Data'!H20</f>
        <v>12</v>
      </c>
      <c r="M19">
        <v>1</v>
      </c>
      <c r="P19" s="5"/>
      <c r="V19" s="4">
        <f t="shared" si="0"/>
        <v>19886</v>
      </c>
      <c r="W19" s="4">
        <f t="shared" si="1"/>
        <v>18671</v>
      </c>
      <c r="X19" s="4">
        <f t="shared" si="2"/>
        <v>3819</v>
      </c>
      <c r="Y19" s="4">
        <f t="shared" si="3"/>
        <v>3961</v>
      </c>
      <c r="Z19" s="4">
        <f t="shared" si="4"/>
        <v>38</v>
      </c>
      <c r="AA19">
        <f t="shared" si="5"/>
        <v>88</v>
      </c>
      <c r="AB19">
        <f t="shared" si="6"/>
        <v>12</v>
      </c>
      <c r="AC19">
        <f t="shared" si="7"/>
        <v>13.8</v>
      </c>
    </row>
    <row r="20" spans="2:29" x14ac:dyDescent="0.3">
      <c r="B20" t="str">
        <f t="shared" si="8"/>
        <v>HH016</v>
      </c>
      <c r="C20" t="s">
        <v>63</v>
      </c>
      <c r="D20">
        <v>8</v>
      </c>
      <c r="E20">
        <v>1</v>
      </c>
      <c r="F20">
        <v>8</v>
      </c>
      <c r="G20" s="4">
        <v>33981</v>
      </c>
      <c r="H20">
        <v>21</v>
      </c>
      <c r="I20" t="s">
        <v>67</v>
      </c>
      <c r="J20" s="4">
        <v>4808</v>
      </c>
      <c r="K20">
        <v>21</v>
      </c>
      <c r="L20">
        <f>'KRWSIP_Program_Baseline Data'!H21</f>
        <v>13.9</v>
      </c>
      <c r="M20">
        <v>1</v>
      </c>
      <c r="P20" s="5"/>
      <c r="V20" s="4">
        <f t="shared" si="0"/>
        <v>33981</v>
      </c>
      <c r="W20" s="4">
        <f t="shared" si="1"/>
        <v>29940</v>
      </c>
      <c r="X20" s="4">
        <f t="shared" si="2"/>
        <v>4808</v>
      </c>
      <c r="Y20" s="4">
        <f t="shared" si="3"/>
        <v>4738</v>
      </c>
      <c r="Z20" s="4">
        <f t="shared" si="4"/>
        <v>21</v>
      </c>
      <c r="AA20">
        <f t="shared" si="5"/>
        <v>90</v>
      </c>
      <c r="AB20">
        <f t="shared" si="6"/>
        <v>13.9</v>
      </c>
      <c r="AC20">
        <f t="shared" si="7"/>
        <v>7.8</v>
      </c>
    </row>
    <row r="21" spans="2:29" x14ac:dyDescent="0.3">
      <c r="B21" t="str">
        <f t="shared" si="8"/>
        <v>HH017</v>
      </c>
      <c r="C21" t="s">
        <v>64</v>
      </c>
      <c r="D21">
        <v>5</v>
      </c>
      <c r="E21">
        <v>1</v>
      </c>
      <c r="F21">
        <v>5</v>
      </c>
      <c r="G21" s="4">
        <v>37864</v>
      </c>
      <c r="H21">
        <v>12</v>
      </c>
      <c r="I21" t="s">
        <v>69</v>
      </c>
      <c r="J21" s="4">
        <v>3234</v>
      </c>
      <c r="K21">
        <v>12</v>
      </c>
      <c r="L21">
        <f>'KRWSIP_Program_Baseline Data'!H22</f>
        <v>12.5</v>
      </c>
      <c r="M21">
        <v>1</v>
      </c>
      <c r="P21" s="5"/>
      <c r="V21" s="4">
        <f t="shared" si="0"/>
        <v>37864</v>
      </c>
      <c r="W21" s="4">
        <f t="shared" si="1"/>
        <v>32486</v>
      </c>
      <c r="X21" s="4">
        <f t="shared" si="2"/>
        <v>3234</v>
      </c>
      <c r="Y21" s="4">
        <f t="shared" si="3"/>
        <v>5210</v>
      </c>
      <c r="Z21" s="4">
        <f t="shared" si="4"/>
        <v>12</v>
      </c>
      <c r="AA21">
        <f t="shared" si="5"/>
        <v>18</v>
      </c>
      <c r="AB21">
        <f t="shared" si="6"/>
        <v>12.5</v>
      </c>
      <c r="AC21">
        <f t="shared" si="7"/>
        <v>5.8</v>
      </c>
    </row>
    <row r="22" spans="2:29" x14ac:dyDescent="0.3">
      <c r="B22" t="str">
        <f t="shared" si="8"/>
        <v>HH018</v>
      </c>
      <c r="C22" t="s">
        <v>63</v>
      </c>
      <c r="D22">
        <v>3</v>
      </c>
      <c r="E22">
        <v>1</v>
      </c>
      <c r="F22">
        <v>3</v>
      </c>
      <c r="G22" s="4">
        <v>25876</v>
      </c>
      <c r="H22">
        <v>41</v>
      </c>
      <c r="I22" t="s">
        <v>69</v>
      </c>
      <c r="J22" s="4">
        <v>2759</v>
      </c>
      <c r="K22">
        <v>41</v>
      </c>
      <c r="L22">
        <f>'KRWSIP_Program_Baseline Data'!H23</f>
        <v>4.4000000000000004</v>
      </c>
      <c r="M22">
        <v>1</v>
      </c>
      <c r="P22" s="5"/>
      <c r="V22" s="4">
        <f t="shared" si="0"/>
        <v>25876</v>
      </c>
      <c r="W22" s="4">
        <f t="shared" si="1"/>
        <v>30914</v>
      </c>
      <c r="X22" s="4">
        <f t="shared" si="2"/>
        <v>2759</v>
      </c>
      <c r="Y22" s="4">
        <f t="shared" si="3"/>
        <v>4299</v>
      </c>
      <c r="Z22" s="4">
        <f t="shared" si="4"/>
        <v>41</v>
      </c>
      <c r="AA22">
        <f t="shared" si="5"/>
        <v>110</v>
      </c>
      <c r="AB22">
        <f t="shared" si="6"/>
        <v>4.4000000000000004</v>
      </c>
      <c r="AC22">
        <f t="shared" si="7"/>
        <v>10.1</v>
      </c>
    </row>
    <row r="23" spans="2:29" x14ac:dyDescent="0.3">
      <c r="B23" t="str">
        <f t="shared" si="8"/>
        <v>HH019</v>
      </c>
      <c r="C23" t="s">
        <v>64</v>
      </c>
      <c r="D23">
        <v>3</v>
      </c>
      <c r="E23">
        <v>1</v>
      </c>
      <c r="F23">
        <v>3</v>
      </c>
      <c r="G23" s="4">
        <v>33009</v>
      </c>
      <c r="H23">
        <v>35</v>
      </c>
      <c r="I23" t="s">
        <v>67</v>
      </c>
      <c r="J23" s="4">
        <v>3233</v>
      </c>
      <c r="K23">
        <v>35</v>
      </c>
      <c r="L23">
        <f>'KRWSIP_Program_Baseline Data'!H24</f>
        <v>13.8</v>
      </c>
      <c r="M23">
        <v>1</v>
      </c>
      <c r="P23" s="5"/>
      <c r="V23" s="4">
        <f t="shared" si="0"/>
        <v>33009</v>
      </c>
      <c r="W23" s="4">
        <f t="shared" si="1"/>
        <v>25348</v>
      </c>
      <c r="X23" s="4">
        <f t="shared" si="2"/>
        <v>3233</v>
      </c>
      <c r="Y23" s="4">
        <f t="shared" si="3"/>
        <v>2802</v>
      </c>
      <c r="Z23" s="4">
        <f t="shared" si="4"/>
        <v>35</v>
      </c>
      <c r="AA23">
        <f t="shared" si="5"/>
        <v>51</v>
      </c>
      <c r="AB23">
        <f t="shared" si="6"/>
        <v>13.8</v>
      </c>
      <c r="AC23">
        <f t="shared" si="7"/>
        <v>10.199999999999999</v>
      </c>
    </row>
    <row r="24" spans="2:29" x14ac:dyDescent="0.3">
      <c r="B24" t="str">
        <f t="shared" si="8"/>
        <v>HH020</v>
      </c>
      <c r="C24" t="s">
        <v>62</v>
      </c>
      <c r="D24">
        <v>3</v>
      </c>
      <c r="E24">
        <v>1</v>
      </c>
      <c r="F24">
        <v>3</v>
      </c>
      <c r="G24" s="4">
        <v>19474</v>
      </c>
      <c r="H24">
        <v>12</v>
      </c>
      <c r="I24" t="s">
        <v>68</v>
      </c>
      <c r="J24" s="4">
        <v>3820</v>
      </c>
      <c r="K24">
        <v>12</v>
      </c>
      <c r="L24">
        <f>'KRWSIP_Program_Baseline Data'!H25</f>
        <v>14</v>
      </c>
      <c r="M24">
        <v>1</v>
      </c>
      <c r="P24" s="5"/>
      <c r="V24" s="4">
        <f t="shared" si="0"/>
        <v>19474</v>
      </c>
      <c r="W24" s="4">
        <f t="shared" si="1"/>
        <v>30502</v>
      </c>
      <c r="X24" s="4">
        <f t="shared" si="2"/>
        <v>3820</v>
      </c>
      <c r="Y24" s="4">
        <f t="shared" si="3"/>
        <v>6487</v>
      </c>
      <c r="Z24" s="4">
        <f t="shared" si="4"/>
        <v>12</v>
      </c>
      <c r="AA24">
        <f t="shared" si="5"/>
        <v>52</v>
      </c>
      <c r="AB24">
        <f t="shared" si="6"/>
        <v>14</v>
      </c>
      <c r="AC24">
        <f t="shared" si="7"/>
        <v>2.9</v>
      </c>
    </row>
    <row r="25" spans="2:29" x14ac:dyDescent="0.3">
      <c r="B25" t="str">
        <f t="shared" si="8"/>
        <v>HH021</v>
      </c>
      <c r="C25" t="s">
        <v>63</v>
      </c>
      <c r="D25">
        <v>7</v>
      </c>
      <c r="E25">
        <v>1</v>
      </c>
      <c r="F25">
        <v>7</v>
      </c>
      <c r="G25" s="4">
        <v>43280</v>
      </c>
      <c r="H25">
        <v>26</v>
      </c>
      <c r="I25" t="s">
        <v>68</v>
      </c>
      <c r="J25" s="4">
        <v>3412</v>
      </c>
      <c r="K25">
        <v>26</v>
      </c>
      <c r="L25">
        <f>'KRWSIP_Program_Baseline Data'!H26</f>
        <v>14.9</v>
      </c>
      <c r="M25">
        <v>1</v>
      </c>
      <c r="P25" s="5"/>
      <c r="V25" s="4">
        <f t="shared" si="0"/>
        <v>43280</v>
      </c>
      <c r="W25" s="4">
        <f t="shared" si="1"/>
        <v>30446</v>
      </c>
      <c r="X25" s="4">
        <f t="shared" si="2"/>
        <v>3412</v>
      </c>
      <c r="Y25" s="4">
        <f t="shared" si="3"/>
        <v>6464</v>
      </c>
      <c r="Z25" s="4">
        <f t="shared" si="4"/>
        <v>26</v>
      </c>
      <c r="AA25">
        <f t="shared" si="5"/>
        <v>78</v>
      </c>
      <c r="AB25">
        <f t="shared" si="6"/>
        <v>14.9</v>
      </c>
      <c r="AC25">
        <f t="shared" si="7"/>
        <v>8.4</v>
      </c>
    </row>
    <row r="26" spans="2:29" x14ac:dyDescent="0.3">
      <c r="B26" t="str">
        <f t="shared" si="8"/>
        <v>HH022</v>
      </c>
      <c r="C26" t="s">
        <v>64</v>
      </c>
      <c r="D26">
        <v>6</v>
      </c>
      <c r="E26">
        <v>1</v>
      </c>
      <c r="F26">
        <v>6</v>
      </c>
      <c r="G26" s="4">
        <v>14949</v>
      </c>
      <c r="H26">
        <v>7</v>
      </c>
      <c r="I26" t="s">
        <v>67</v>
      </c>
      <c r="J26" s="4">
        <v>2854</v>
      </c>
      <c r="K26">
        <v>7</v>
      </c>
      <c r="L26">
        <f>'KRWSIP_Program_Baseline Data'!H27</f>
        <v>6.4</v>
      </c>
      <c r="M26">
        <v>1</v>
      </c>
      <c r="P26" s="5"/>
      <c r="V26" s="4">
        <f t="shared" si="0"/>
        <v>14949</v>
      </c>
      <c r="W26" s="4">
        <f t="shared" si="1"/>
        <v>19473</v>
      </c>
      <c r="X26" s="4">
        <f t="shared" si="2"/>
        <v>2854</v>
      </c>
      <c r="Y26" s="4">
        <f t="shared" si="3"/>
        <v>4510</v>
      </c>
      <c r="Z26" s="4">
        <f t="shared" si="4"/>
        <v>7</v>
      </c>
      <c r="AA26">
        <f t="shared" si="5"/>
        <v>29</v>
      </c>
      <c r="AB26">
        <f t="shared" si="6"/>
        <v>6.4</v>
      </c>
      <c r="AC26">
        <f t="shared" si="7"/>
        <v>14.8</v>
      </c>
    </row>
    <row r="27" spans="2:29" x14ac:dyDescent="0.3">
      <c r="B27" t="str">
        <f t="shared" si="8"/>
        <v>HH023</v>
      </c>
      <c r="C27" t="s">
        <v>63</v>
      </c>
      <c r="D27">
        <v>7</v>
      </c>
      <c r="E27">
        <v>1</v>
      </c>
      <c r="F27">
        <v>7</v>
      </c>
      <c r="G27" s="4">
        <v>28760</v>
      </c>
      <c r="H27">
        <v>10</v>
      </c>
      <c r="I27" t="s">
        <v>68</v>
      </c>
      <c r="J27" s="4">
        <v>3390</v>
      </c>
      <c r="K27">
        <v>10</v>
      </c>
      <c r="L27">
        <f>'KRWSIP_Program_Baseline Data'!H28</f>
        <v>11.6</v>
      </c>
      <c r="M27">
        <v>1</v>
      </c>
      <c r="P27" s="5"/>
      <c r="V27" s="4">
        <f t="shared" si="0"/>
        <v>28760</v>
      </c>
      <c r="W27" s="4">
        <f t="shared" si="1"/>
        <v>23706</v>
      </c>
      <c r="X27" s="4">
        <f t="shared" si="2"/>
        <v>3390</v>
      </c>
      <c r="Y27" s="4">
        <f t="shared" si="3"/>
        <v>4879</v>
      </c>
      <c r="Z27" s="4">
        <f t="shared" si="4"/>
        <v>10</v>
      </c>
      <c r="AA27">
        <f t="shared" si="5"/>
        <v>59</v>
      </c>
      <c r="AB27">
        <f t="shared" si="6"/>
        <v>11.6</v>
      </c>
      <c r="AC27">
        <f t="shared" si="7"/>
        <v>11.5</v>
      </c>
    </row>
    <row r="28" spans="2:29" x14ac:dyDescent="0.3">
      <c r="B28" t="str">
        <f t="shared" si="8"/>
        <v>HH024</v>
      </c>
      <c r="C28" t="s">
        <v>63</v>
      </c>
      <c r="D28">
        <v>2</v>
      </c>
      <c r="E28">
        <v>1</v>
      </c>
      <c r="F28">
        <v>2</v>
      </c>
      <c r="G28" s="4">
        <v>26976</v>
      </c>
      <c r="H28">
        <v>22</v>
      </c>
      <c r="I28" t="s">
        <v>68</v>
      </c>
      <c r="J28" s="4">
        <v>3119</v>
      </c>
      <c r="K28">
        <v>22</v>
      </c>
      <c r="L28">
        <f>'KRWSIP_Program_Baseline Data'!H29</f>
        <v>9.8000000000000007</v>
      </c>
      <c r="M28">
        <v>1</v>
      </c>
      <c r="P28" s="5"/>
      <c r="V28" s="4">
        <f t="shared" si="0"/>
        <v>26976</v>
      </c>
      <c r="W28" s="4">
        <f t="shared" si="1"/>
        <v>16949</v>
      </c>
      <c r="X28" s="4">
        <f t="shared" si="2"/>
        <v>3119</v>
      </c>
      <c r="Y28" s="4">
        <f t="shared" si="3"/>
        <v>3355</v>
      </c>
      <c r="Z28" s="4">
        <f t="shared" si="4"/>
        <v>22</v>
      </c>
      <c r="AA28">
        <f t="shared" si="5"/>
        <v>33</v>
      </c>
      <c r="AB28">
        <f t="shared" si="6"/>
        <v>9.8000000000000007</v>
      </c>
      <c r="AC28">
        <f t="shared" si="7"/>
        <v>7.2</v>
      </c>
    </row>
    <row r="29" spans="2:29" x14ac:dyDescent="0.3">
      <c r="B29" t="str">
        <f t="shared" si="8"/>
        <v>HH025</v>
      </c>
      <c r="C29" t="s">
        <v>65</v>
      </c>
      <c r="D29">
        <v>7</v>
      </c>
      <c r="E29">
        <v>1</v>
      </c>
      <c r="F29">
        <v>7</v>
      </c>
      <c r="G29" s="4">
        <v>25861</v>
      </c>
      <c r="H29">
        <v>21</v>
      </c>
      <c r="I29" t="s">
        <v>68</v>
      </c>
      <c r="J29" s="4">
        <v>3826</v>
      </c>
      <c r="K29">
        <v>21</v>
      </c>
      <c r="L29">
        <f>'KRWSIP_Program_Baseline Data'!H30</f>
        <v>1.3</v>
      </c>
      <c r="M29">
        <v>1</v>
      </c>
      <c r="P29" s="5"/>
      <c r="V29" s="4">
        <f t="shared" si="0"/>
        <v>25861</v>
      </c>
      <c r="W29" s="4">
        <f t="shared" si="1"/>
        <v>30735</v>
      </c>
      <c r="X29" s="4">
        <f t="shared" si="2"/>
        <v>3826</v>
      </c>
      <c r="Y29" s="4">
        <f t="shared" si="3"/>
        <v>5281</v>
      </c>
      <c r="Z29" s="4">
        <f t="shared" si="4"/>
        <v>21</v>
      </c>
      <c r="AA29">
        <f t="shared" si="5"/>
        <v>117</v>
      </c>
      <c r="AB29">
        <f t="shared" si="6"/>
        <v>1.3</v>
      </c>
      <c r="AC29">
        <f t="shared" si="7"/>
        <v>3.8</v>
      </c>
    </row>
    <row r="30" spans="2:29" x14ac:dyDescent="0.3">
      <c r="B30" t="str">
        <f t="shared" si="8"/>
        <v>HH026</v>
      </c>
      <c r="C30" t="s">
        <v>62</v>
      </c>
      <c r="D30">
        <v>3</v>
      </c>
      <c r="E30">
        <v>1</v>
      </c>
      <c r="F30">
        <v>3</v>
      </c>
      <c r="G30" s="4">
        <v>49253</v>
      </c>
      <c r="H30">
        <v>24</v>
      </c>
      <c r="I30" t="s">
        <v>67</v>
      </c>
      <c r="J30" s="4">
        <v>3531</v>
      </c>
      <c r="K30">
        <v>24</v>
      </c>
      <c r="L30">
        <f>'KRWSIP_Program_Baseline Data'!H31</f>
        <v>10.4</v>
      </c>
      <c r="M30">
        <v>1</v>
      </c>
      <c r="P30" s="5"/>
      <c r="V30" s="4">
        <f t="shared" si="0"/>
        <v>49253</v>
      </c>
      <c r="W30" s="4">
        <f t="shared" si="1"/>
        <v>21453</v>
      </c>
      <c r="X30" s="4">
        <f t="shared" si="2"/>
        <v>3531</v>
      </c>
      <c r="Y30" s="4">
        <f t="shared" si="3"/>
        <v>6206</v>
      </c>
      <c r="Z30" s="4">
        <f t="shared" si="4"/>
        <v>24</v>
      </c>
      <c r="AA30">
        <f t="shared" si="5"/>
        <v>84</v>
      </c>
      <c r="AB30">
        <f t="shared" si="6"/>
        <v>10.4</v>
      </c>
      <c r="AC30">
        <f t="shared" si="7"/>
        <v>2</v>
      </c>
    </row>
    <row r="31" spans="2:29" x14ac:dyDescent="0.3">
      <c r="B31" t="str">
        <f t="shared" si="8"/>
        <v>HH027</v>
      </c>
      <c r="C31" t="s">
        <v>62</v>
      </c>
      <c r="D31">
        <v>6</v>
      </c>
      <c r="E31">
        <v>1</v>
      </c>
      <c r="F31">
        <v>6</v>
      </c>
      <c r="G31" s="4">
        <v>23567</v>
      </c>
      <c r="H31">
        <v>11</v>
      </c>
      <c r="I31" t="s">
        <v>67</v>
      </c>
      <c r="J31" s="4">
        <v>3346</v>
      </c>
      <c r="K31">
        <v>11</v>
      </c>
      <c r="L31">
        <f>'KRWSIP_Program_Baseline Data'!H32</f>
        <v>8.5</v>
      </c>
      <c r="M31">
        <v>1</v>
      </c>
      <c r="P31" s="5"/>
      <c r="V31" s="4">
        <f t="shared" si="0"/>
        <v>23567</v>
      </c>
      <c r="W31" s="4">
        <f t="shared" si="1"/>
        <v>27934</v>
      </c>
      <c r="X31" s="4">
        <f t="shared" si="2"/>
        <v>3346</v>
      </c>
      <c r="Y31" s="4">
        <f t="shared" si="3"/>
        <v>3830</v>
      </c>
      <c r="Z31" s="4">
        <f t="shared" si="4"/>
        <v>11</v>
      </c>
      <c r="AA31">
        <f t="shared" si="5"/>
        <v>101</v>
      </c>
      <c r="AB31">
        <f t="shared" si="6"/>
        <v>8.5</v>
      </c>
      <c r="AC31">
        <f t="shared" si="7"/>
        <v>10.7</v>
      </c>
    </row>
    <row r="32" spans="2:29" x14ac:dyDescent="0.3">
      <c r="B32" t="str">
        <f t="shared" si="8"/>
        <v>HH028</v>
      </c>
      <c r="C32" t="s">
        <v>65</v>
      </c>
      <c r="D32">
        <v>7</v>
      </c>
      <c r="E32">
        <v>1</v>
      </c>
      <c r="F32">
        <v>7</v>
      </c>
      <c r="G32" s="4">
        <v>31958</v>
      </c>
      <c r="H32">
        <v>10</v>
      </c>
      <c r="I32" t="s">
        <v>67</v>
      </c>
      <c r="J32" s="4">
        <v>3941</v>
      </c>
      <c r="K32">
        <v>10</v>
      </c>
      <c r="L32">
        <f>'KRWSIP_Program_Baseline Data'!H33</f>
        <v>14.1</v>
      </c>
      <c r="M32">
        <v>1</v>
      </c>
      <c r="P32" s="5"/>
      <c r="V32" s="4">
        <f t="shared" si="0"/>
        <v>31958</v>
      </c>
      <c r="W32" s="4">
        <f t="shared" si="1"/>
        <v>25667</v>
      </c>
      <c r="X32" s="4">
        <f t="shared" si="2"/>
        <v>3941</v>
      </c>
      <c r="Y32" s="4">
        <f t="shared" si="3"/>
        <v>5030</v>
      </c>
      <c r="Z32" s="4">
        <f t="shared" si="4"/>
        <v>10</v>
      </c>
      <c r="AA32">
        <f t="shared" si="5"/>
        <v>71</v>
      </c>
      <c r="AB32">
        <f t="shared" si="6"/>
        <v>14.1</v>
      </c>
      <c r="AC32">
        <f t="shared" si="7"/>
        <v>14.4</v>
      </c>
    </row>
    <row r="33" spans="2:43" ht="15" thickBot="1" x14ac:dyDescent="0.35">
      <c r="B33" t="str">
        <f t="shared" si="8"/>
        <v>HH029</v>
      </c>
      <c r="C33" t="s">
        <v>65</v>
      </c>
      <c r="D33">
        <v>5</v>
      </c>
      <c r="E33">
        <v>1</v>
      </c>
      <c r="F33">
        <v>5</v>
      </c>
      <c r="G33" s="4">
        <v>28859</v>
      </c>
      <c r="H33">
        <v>36</v>
      </c>
      <c r="I33" t="s">
        <v>66</v>
      </c>
      <c r="J33" s="4">
        <v>3708</v>
      </c>
      <c r="K33">
        <v>36</v>
      </c>
      <c r="L33">
        <f>'KRWSIP_Program_Baseline Data'!H34</f>
        <v>12.3</v>
      </c>
      <c r="M33">
        <v>1</v>
      </c>
      <c r="P33" s="5"/>
      <c r="V33" s="4">
        <f t="shared" si="0"/>
        <v>28859</v>
      </c>
      <c r="W33" s="4">
        <f t="shared" si="1"/>
        <v>30572</v>
      </c>
      <c r="X33" s="4">
        <f t="shared" si="2"/>
        <v>3708</v>
      </c>
      <c r="Y33" s="4">
        <f t="shared" si="3"/>
        <v>5067</v>
      </c>
      <c r="Z33" s="4">
        <f t="shared" si="4"/>
        <v>36</v>
      </c>
      <c r="AA33">
        <f t="shared" si="5"/>
        <v>84</v>
      </c>
      <c r="AB33">
        <f t="shared" si="6"/>
        <v>12.3</v>
      </c>
      <c r="AC33">
        <f t="shared" si="7"/>
        <v>9.8000000000000007</v>
      </c>
      <c r="AG33" s="8"/>
      <c r="AH33" s="8"/>
      <c r="AI33" s="8"/>
    </row>
    <row r="34" spans="2:43" x14ac:dyDescent="0.3">
      <c r="B34" t="str">
        <f t="shared" si="8"/>
        <v>HH030</v>
      </c>
      <c r="C34" t="s">
        <v>65</v>
      </c>
      <c r="D34">
        <v>4</v>
      </c>
      <c r="E34">
        <v>1</v>
      </c>
      <c r="F34">
        <v>4</v>
      </c>
      <c r="G34" s="4">
        <v>16168</v>
      </c>
      <c r="H34">
        <v>33</v>
      </c>
      <c r="I34" t="s">
        <v>66</v>
      </c>
      <c r="J34" s="4">
        <v>2986</v>
      </c>
      <c r="K34">
        <v>33</v>
      </c>
      <c r="L34">
        <f>'KRWSIP_Program_Baseline Data'!H35</f>
        <v>6.2</v>
      </c>
      <c r="M34">
        <v>1</v>
      </c>
      <c r="P34" s="5"/>
      <c r="V34" s="4">
        <f t="shared" si="0"/>
        <v>16168</v>
      </c>
      <c r="W34" s="4">
        <f t="shared" si="1"/>
        <v>44501</v>
      </c>
      <c r="X34" s="4">
        <f t="shared" si="2"/>
        <v>2986</v>
      </c>
      <c r="Y34" s="4">
        <f t="shared" si="3"/>
        <v>4224</v>
      </c>
      <c r="Z34" s="4">
        <f t="shared" si="4"/>
        <v>33</v>
      </c>
      <c r="AA34">
        <f t="shared" si="5"/>
        <v>73</v>
      </c>
      <c r="AB34">
        <f t="shared" si="6"/>
        <v>6.2</v>
      </c>
      <c r="AC34">
        <f t="shared" si="7"/>
        <v>9.3000000000000007</v>
      </c>
    </row>
    <row r="35" spans="2:43" x14ac:dyDescent="0.3">
      <c r="B35" t="str">
        <f t="shared" si="8"/>
        <v>HH031</v>
      </c>
      <c r="C35" t="s">
        <v>62</v>
      </c>
      <c r="D35">
        <v>7</v>
      </c>
      <c r="E35">
        <v>1</v>
      </c>
      <c r="F35">
        <v>7</v>
      </c>
      <c r="G35" s="4">
        <v>37508</v>
      </c>
      <c r="H35">
        <v>18</v>
      </c>
      <c r="I35" t="s">
        <v>68</v>
      </c>
      <c r="J35" s="4">
        <v>3781</v>
      </c>
      <c r="K35">
        <v>18</v>
      </c>
      <c r="L35">
        <f>'KRWSIP_Program_Baseline Data'!H36</f>
        <v>11.3</v>
      </c>
      <c r="M35">
        <v>1</v>
      </c>
      <c r="P35" s="5"/>
      <c r="V35" s="4">
        <f t="shared" si="0"/>
        <v>37508</v>
      </c>
      <c r="W35" s="4">
        <f t="shared" si="1"/>
        <v>24688</v>
      </c>
      <c r="X35" s="4">
        <f t="shared" si="2"/>
        <v>3781</v>
      </c>
      <c r="Y35" s="4">
        <f t="shared" si="3"/>
        <v>2862</v>
      </c>
      <c r="Z35" s="4">
        <f t="shared" si="4"/>
        <v>18</v>
      </c>
      <c r="AA35">
        <f t="shared" si="5"/>
        <v>96</v>
      </c>
      <c r="AB35">
        <f t="shared" si="6"/>
        <v>11.3</v>
      </c>
      <c r="AC35">
        <f t="shared" si="7"/>
        <v>0.7</v>
      </c>
    </row>
    <row r="36" spans="2:43" ht="15" thickBot="1" x14ac:dyDescent="0.35">
      <c r="B36" t="str">
        <f t="shared" si="8"/>
        <v>HH032</v>
      </c>
      <c r="C36" t="s">
        <v>64</v>
      </c>
      <c r="D36">
        <v>8</v>
      </c>
      <c r="E36">
        <v>1</v>
      </c>
      <c r="F36">
        <v>8</v>
      </c>
      <c r="G36" s="4">
        <v>44355</v>
      </c>
      <c r="H36">
        <v>19</v>
      </c>
      <c r="I36" t="s">
        <v>68</v>
      </c>
      <c r="J36" s="4">
        <v>3636</v>
      </c>
      <c r="K36">
        <v>19</v>
      </c>
      <c r="L36">
        <f>'KRWSIP_Program_Baseline Data'!H37</f>
        <v>8.6999999999999993</v>
      </c>
      <c r="M36">
        <v>1</v>
      </c>
      <c r="P36" s="5"/>
      <c r="V36" s="4">
        <f t="shared" si="0"/>
        <v>44355</v>
      </c>
      <c r="W36" s="4">
        <f t="shared" si="1"/>
        <v>30721</v>
      </c>
      <c r="X36" s="4">
        <f t="shared" si="2"/>
        <v>3636</v>
      </c>
      <c r="Y36" s="4">
        <f t="shared" si="3"/>
        <v>4743</v>
      </c>
      <c r="Z36" s="4">
        <f t="shared" si="4"/>
        <v>19</v>
      </c>
      <c r="AA36">
        <f t="shared" si="5"/>
        <v>85</v>
      </c>
      <c r="AB36">
        <f t="shared" si="6"/>
        <v>8.6999999999999993</v>
      </c>
      <c r="AC36">
        <f t="shared" si="7"/>
        <v>14.7</v>
      </c>
      <c r="AO36" s="8"/>
      <c r="AP36" s="8"/>
      <c r="AQ36" s="8"/>
    </row>
    <row r="37" spans="2:43" x14ac:dyDescent="0.3">
      <c r="B37" t="str">
        <f t="shared" si="8"/>
        <v>HH033</v>
      </c>
      <c r="C37" t="s">
        <v>63</v>
      </c>
      <c r="D37">
        <v>7</v>
      </c>
      <c r="E37">
        <v>1</v>
      </c>
      <c r="F37">
        <v>7</v>
      </c>
      <c r="G37" s="4">
        <v>33293</v>
      </c>
      <c r="H37">
        <v>31</v>
      </c>
      <c r="I37" t="s">
        <v>69</v>
      </c>
      <c r="J37" s="4">
        <v>3166</v>
      </c>
      <c r="K37">
        <v>31</v>
      </c>
      <c r="L37">
        <f>'KRWSIP_Program_Baseline Data'!H38</f>
        <v>1.7</v>
      </c>
      <c r="M37">
        <v>1</v>
      </c>
      <c r="P37" s="5"/>
      <c r="V37" s="4">
        <f t="shared" ref="V37:V68" si="9">IF($M37=1,G37,"")</f>
        <v>33293</v>
      </c>
      <c r="W37" s="4">
        <f t="shared" ref="W37:W68" si="10">IF($M237=0, G237,"")</f>
        <v>31459</v>
      </c>
      <c r="X37" s="4">
        <f t="shared" ref="X37:X68" si="11">IF($M37=1,J37,"")</f>
        <v>3166</v>
      </c>
      <c r="Y37" s="4">
        <f t="shared" ref="Y37:Y68" si="12">IF($M237=0,J237,"")</f>
        <v>4497</v>
      </c>
      <c r="Z37" s="4">
        <f t="shared" ref="Z37:Z68" si="13">IF($M37=1,K37,"")</f>
        <v>31</v>
      </c>
      <c r="AA37">
        <f t="shared" ref="AA37:AA68" si="14">IF($M237=0,K237,"")</f>
        <v>80</v>
      </c>
      <c r="AB37">
        <f t="shared" ref="AB37:AB68" si="15">IF($M37=1,L37,"")</f>
        <v>1.7</v>
      </c>
      <c r="AC37">
        <f t="shared" ref="AC37:AC68" si="16">IF($M237=0,L237,"")</f>
        <v>7.4</v>
      </c>
    </row>
    <row r="38" spans="2:43" x14ac:dyDescent="0.3">
      <c r="B38" t="str">
        <f t="shared" si="8"/>
        <v>HH034</v>
      </c>
      <c r="C38" t="s">
        <v>63</v>
      </c>
      <c r="D38">
        <v>6</v>
      </c>
      <c r="E38">
        <v>1</v>
      </c>
      <c r="F38">
        <v>6</v>
      </c>
      <c r="G38" s="4">
        <v>30523</v>
      </c>
      <c r="H38">
        <v>34</v>
      </c>
      <c r="I38" t="s">
        <v>69</v>
      </c>
      <c r="J38" s="4">
        <v>3626</v>
      </c>
      <c r="K38">
        <v>34</v>
      </c>
      <c r="L38">
        <f>'KRWSIP_Program_Baseline Data'!H39</f>
        <v>3.1</v>
      </c>
      <c r="M38">
        <v>1</v>
      </c>
      <c r="P38" s="5"/>
      <c r="V38" s="4">
        <f t="shared" si="9"/>
        <v>30523</v>
      </c>
      <c r="W38" s="4">
        <f t="shared" si="10"/>
        <v>30781</v>
      </c>
      <c r="X38" s="4">
        <f t="shared" si="11"/>
        <v>3626</v>
      </c>
      <c r="Y38" s="4">
        <f t="shared" si="12"/>
        <v>6881</v>
      </c>
      <c r="Z38" s="4">
        <f t="shared" si="13"/>
        <v>34</v>
      </c>
      <c r="AA38">
        <f t="shared" si="14"/>
        <v>109</v>
      </c>
      <c r="AB38">
        <f t="shared" si="15"/>
        <v>3.1</v>
      </c>
      <c r="AC38">
        <f t="shared" si="16"/>
        <v>8.9</v>
      </c>
    </row>
    <row r="39" spans="2:43" x14ac:dyDescent="0.3">
      <c r="B39" t="str">
        <f t="shared" si="8"/>
        <v>HH035</v>
      </c>
      <c r="C39" t="s">
        <v>64</v>
      </c>
      <c r="D39">
        <v>5</v>
      </c>
      <c r="E39">
        <v>1</v>
      </c>
      <c r="F39">
        <v>5</v>
      </c>
      <c r="G39" s="4">
        <v>29715</v>
      </c>
      <c r="H39">
        <v>34</v>
      </c>
      <c r="I39" t="s">
        <v>67</v>
      </c>
      <c r="J39" s="4">
        <v>3332</v>
      </c>
      <c r="K39">
        <v>34</v>
      </c>
      <c r="L39">
        <f>'KRWSIP_Program_Baseline Data'!H40</f>
        <v>8.1999999999999993</v>
      </c>
      <c r="M39">
        <v>1</v>
      </c>
      <c r="P39" s="5"/>
      <c r="V39" s="4">
        <f t="shared" si="9"/>
        <v>29715</v>
      </c>
      <c r="W39" s="4">
        <f t="shared" si="10"/>
        <v>24452</v>
      </c>
      <c r="X39" s="4">
        <f t="shared" si="11"/>
        <v>3332</v>
      </c>
      <c r="Y39" s="4">
        <f t="shared" si="12"/>
        <v>2404</v>
      </c>
      <c r="Z39" s="4">
        <f t="shared" si="13"/>
        <v>34</v>
      </c>
      <c r="AA39">
        <f t="shared" si="14"/>
        <v>63</v>
      </c>
      <c r="AB39">
        <f t="shared" si="15"/>
        <v>8.1999999999999993</v>
      </c>
      <c r="AC39">
        <f t="shared" si="16"/>
        <v>12.3</v>
      </c>
    </row>
    <row r="40" spans="2:43" x14ac:dyDescent="0.3">
      <c r="B40" t="str">
        <f t="shared" si="8"/>
        <v>HH036</v>
      </c>
      <c r="C40" t="s">
        <v>64</v>
      </c>
      <c r="D40">
        <v>3</v>
      </c>
      <c r="E40">
        <v>1</v>
      </c>
      <c r="F40">
        <v>3</v>
      </c>
      <c r="G40" s="4">
        <v>33894</v>
      </c>
      <c r="H40">
        <v>18</v>
      </c>
      <c r="I40" t="s">
        <v>67</v>
      </c>
      <c r="J40" s="4">
        <v>2342</v>
      </c>
      <c r="K40">
        <v>18</v>
      </c>
      <c r="L40">
        <f>'KRWSIP_Program_Baseline Data'!H41</f>
        <v>12.9</v>
      </c>
      <c r="M40">
        <v>1</v>
      </c>
      <c r="P40" s="5"/>
      <c r="V40" s="4">
        <f t="shared" si="9"/>
        <v>33894</v>
      </c>
      <c r="W40" s="4">
        <f t="shared" si="10"/>
        <v>29348</v>
      </c>
      <c r="X40" s="4">
        <f t="shared" si="11"/>
        <v>2342</v>
      </c>
      <c r="Y40" s="4">
        <f t="shared" si="12"/>
        <v>3779</v>
      </c>
      <c r="Z40" s="4">
        <f t="shared" si="13"/>
        <v>18</v>
      </c>
      <c r="AA40">
        <f t="shared" si="14"/>
        <v>115</v>
      </c>
      <c r="AB40">
        <f t="shared" si="15"/>
        <v>12.9</v>
      </c>
      <c r="AC40">
        <f t="shared" si="16"/>
        <v>8.6</v>
      </c>
    </row>
    <row r="41" spans="2:43" x14ac:dyDescent="0.3">
      <c r="B41" t="str">
        <f t="shared" si="8"/>
        <v>HH037</v>
      </c>
      <c r="C41" t="s">
        <v>63</v>
      </c>
      <c r="D41">
        <v>8</v>
      </c>
      <c r="E41">
        <v>1</v>
      </c>
      <c r="F41">
        <v>8</v>
      </c>
      <c r="G41" s="4">
        <v>21836</v>
      </c>
      <c r="H41">
        <v>44</v>
      </c>
      <c r="I41" t="s">
        <v>66</v>
      </c>
      <c r="J41" s="4">
        <v>4928</v>
      </c>
      <c r="K41">
        <v>44</v>
      </c>
      <c r="L41">
        <f>'KRWSIP_Program_Baseline Data'!H42</f>
        <v>10.6</v>
      </c>
      <c r="M41">
        <v>1</v>
      </c>
      <c r="P41" s="5"/>
      <c r="V41" s="4">
        <f t="shared" si="9"/>
        <v>21836</v>
      </c>
      <c r="W41" s="4">
        <f t="shared" si="10"/>
        <v>32121</v>
      </c>
      <c r="X41" s="4">
        <f t="shared" si="11"/>
        <v>4928</v>
      </c>
      <c r="Y41" s="4">
        <f t="shared" si="12"/>
        <v>3285</v>
      </c>
      <c r="Z41" s="4">
        <f t="shared" si="13"/>
        <v>44</v>
      </c>
      <c r="AA41">
        <f t="shared" si="14"/>
        <v>87</v>
      </c>
      <c r="AB41">
        <f t="shared" si="15"/>
        <v>10.6</v>
      </c>
      <c r="AC41">
        <f t="shared" si="16"/>
        <v>14.1</v>
      </c>
    </row>
    <row r="42" spans="2:43" x14ac:dyDescent="0.3">
      <c r="B42" t="str">
        <f t="shared" si="8"/>
        <v>HH038</v>
      </c>
      <c r="C42" t="s">
        <v>65</v>
      </c>
      <c r="D42">
        <v>6</v>
      </c>
      <c r="E42">
        <v>1</v>
      </c>
      <c r="F42">
        <v>6</v>
      </c>
      <c r="G42" s="4">
        <v>19918</v>
      </c>
      <c r="H42">
        <v>38</v>
      </c>
      <c r="I42" t="s">
        <v>67</v>
      </c>
      <c r="J42" s="4">
        <v>4302</v>
      </c>
      <c r="K42">
        <v>38</v>
      </c>
      <c r="L42">
        <f>'KRWSIP_Program_Baseline Data'!H43</f>
        <v>14.1</v>
      </c>
      <c r="M42">
        <v>1</v>
      </c>
      <c r="P42" s="5"/>
      <c r="V42" s="4">
        <f t="shared" si="9"/>
        <v>19918</v>
      </c>
      <c r="W42" s="4">
        <f t="shared" si="10"/>
        <v>27501</v>
      </c>
      <c r="X42" s="4">
        <f t="shared" si="11"/>
        <v>4302</v>
      </c>
      <c r="Y42" s="4">
        <f t="shared" si="12"/>
        <v>2934</v>
      </c>
      <c r="Z42" s="4">
        <f t="shared" si="13"/>
        <v>38</v>
      </c>
      <c r="AA42">
        <f t="shared" si="14"/>
        <v>56</v>
      </c>
      <c r="AB42">
        <f t="shared" si="15"/>
        <v>14.1</v>
      </c>
      <c r="AC42">
        <f t="shared" si="16"/>
        <v>8.5</v>
      </c>
    </row>
    <row r="43" spans="2:43" x14ac:dyDescent="0.3">
      <c r="B43" t="str">
        <f t="shared" si="8"/>
        <v>HH039</v>
      </c>
      <c r="C43" t="s">
        <v>62</v>
      </c>
      <c r="D43">
        <v>4</v>
      </c>
      <c r="E43">
        <v>1</v>
      </c>
      <c r="F43">
        <v>4</v>
      </c>
      <c r="G43" s="4">
        <v>41914</v>
      </c>
      <c r="H43">
        <v>20</v>
      </c>
      <c r="I43" t="s">
        <v>67</v>
      </c>
      <c r="J43" s="4">
        <v>3485</v>
      </c>
      <c r="K43">
        <v>20</v>
      </c>
      <c r="L43">
        <f>'KRWSIP_Program_Baseline Data'!H44</f>
        <v>13.6</v>
      </c>
      <c r="M43">
        <v>1</v>
      </c>
      <c r="P43" s="5"/>
      <c r="V43" s="4">
        <f t="shared" si="9"/>
        <v>41914</v>
      </c>
      <c r="W43" s="4">
        <f t="shared" si="10"/>
        <v>25656</v>
      </c>
      <c r="X43" s="4">
        <f t="shared" si="11"/>
        <v>3485</v>
      </c>
      <c r="Y43" s="4">
        <f t="shared" si="12"/>
        <v>3376</v>
      </c>
      <c r="Z43" s="4">
        <f t="shared" si="13"/>
        <v>20</v>
      </c>
      <c r="AA43">
        <f t="shared" si="14"/>
        <v>17</v>
      </c>
      <c r="AB43">
        <f t="shared" si="15"/>
        <v>13.6</v>
      </c>
      <c r="AC43">
        <f t="shared" si="16"/>
        <v>8</v>
      </c>
    </row>
    <row r="44" spans="2:43" x14ac:dyDescent="0.3">
      <c r="B44" t="str">
        <f t="shared" si="8"/>
        <v>HH040</v>
      </c>
      <c r="C44" t="s">
        <v>65</v>
      </c>
      <c r="D44">
        <v>2</v>
      </c>
      <c r="E44">
        <v>1</v>
      </c>
      <c r="F44">
        <v>2</v>
      </c>
      <c r="G44" s="4">
        <v>47811</v>
      </c>
      <c r="H44">
        <v>41</v>
      </c>
      <c r="I44" t="s">
        <v>66</v>
      </c>
      <c r="J44" s="4">
        <v>3233</v>
      </c>
      <c r="K44">
        <v>41</v>
      </c>
      <c r="L44">
        <f>'KRWSIP_Program_Baseline Data'!H45</f>
        <v>13.9</v>
      </c>
      <c r="M44">
        <v>1</v>
      </c>
      <c r="P44" s="5"/>
      <c r="V44" s="4">
        <f t="shared" si="9"/>
        <v>47811</v>
      </c>
      <c r="W44" s="4">
        <f t="shared" si="10"/>
        <v>28111</v>
      </c>
      <c r="X44" s="4">
        <f t="shared" si="11"/>
        <v>3233</v>
      </c>
      <c r="Y44" s="4">
        <f t="shared" si="12"/>
        <v>4652</v>
      </c>
      <c r="Z44" s="4">
        <f t="shared" si="13"/>
        <v>41</v>
      </c>
      <c r="AA44">
        <f t="shared" si="14"/>
        <v>100</v>
      </c>
      <c r="AB44">
        <f t="shared" si="15"/>
        <v>13.9</v>
      </c>
      <c r="AC44">
        <f t="shared" si="16"/>
        <v>2</v>
      </c>
    </row>
    <row r="45" spans="2:43" x14ac:dyDescent="0.3">
      <c r="B45" t="str">
        <f t="shared" si="8"/>
        <v>HH041</v>
      </c>
      <c r="C45" t="s">
        <v>64</v>
      </c>
      <c r="D45">
        <v>3</v>
      </c>
      <c r="E45">
        <v>1</v>
      </c>
      <c r="F45">
        <v>3</v>
      </c>
      <c r="G45" s="4">
        <v>31174</v>
      </c>
      <c r="H45">
        <v>33</v>
      </c>
      <c r="I45" t="s">
        <v>67</v>
      </c>
      <c r="J45" s="4">
        <v>2830</v>
      </c>
      <c r="K45">
        <v>33</v>
      </c>
      <c r="L45">
        <f>'KRWSIP_Program_Baseline Data'!H46</f>
        <v>2.2999999999999998</v>
      </c>
      <c r="M45">
        <v>1</v>
      </c>
      <c r="P45" s="5"/>
      <c r="V45" s="4">
        <f t="shared" si="9"/>
        <v>31174</v>
      </c>
      <c r="W45" s="4">
        <f t="shared" si="10"/>
        <v>27997</v>
      </c>
      <c r="X45" s="4">
        <f t="shared" si="11"/>
        <v>2830</v>
      </c>
      <c r="Y45" s="4">
        <f t="shared" si="12"/>
        <v>5067</v>
      </c>
      <c r="Z45" s="4">
        <f t="shared" si="13"/>
        <v>33</v>
      </c>
      <c r="AA45">
        <f t="shared" si="14"/>
        <v>40</v>
      </c>
      <c r="AB45">
        <f t="shared" si="15"/>
        <v>2.2999999999999998</v>
      </c>
      <c r="AC45">
        <f t="shared" si="16"/>
        <v>4.9000000000000004</v>
      </c>
    </row>
    <row r="46" spans="2:43" x14ac:dyDescent="0.3">
      <c r="B46" t="str">
        <f t="shared" si="8"/>
        <v>HH042</v>
      </c>
      <c r="C46" t="s">
        <v>63</v>
      </c>
      <c r="D46">
        <v>7</v>
      </c>
      <c r="E46">
        <v>1</v>
      </c>
      <c r="F46">
        <v>7</v>
      </c>
      <c r="G46" s="4">
        <v>39559</v>
      </c>
      <c r="H46">
        <v>23</v>
      </c>
      <c r="I46" t="s">
        <v>67</v>
      </c>
      <c r="J46" s="4">
        <v>3933</v>
      </c>
      <c r="K46">
        <v>23</v>
      </c>
      <c r="L46">
        <f>'KRWSIP_Program_Baseline Data'!H47</f>
        <v>3.8</v>
      </c>
      <c r="M46">
        <v>1</v>
      </c>
      <c r="P46" s="5"/>
      <c r="V46" s="4">
        <f t="shared" si="9"/>
        <v>39559</v>
      </c>
      <c r="W46" s="4">
        <f t="shared" si="10"/>
        <v>20243</v>
      </c>
      <c r="X46" s="4">
        <f t="shared" si="11"/>
        <v>3933</v>
      </c>
      <c r="Y46" s="4">
        <f t="shared" si="12"/>
        <v>4815</v>
      </c>
      <c r="Z46" s="4">
        <f t="shared" si="13"/>
        <v>23</v>
      </c>
      <c r="AA46">
        <f t="shared" si="14"/>
        <v>41</v>
      </c>
      <c r="AB46">
        <f t="shared" si="15"/>
        <v>3.8</v>
      </c>
      <c r="AC46">
        <f t="shared" si="16"/>
        <v>0.9</v>
      </c>
    </row>
    <row r="47" spans="2:43" x14ac:dyDescent="0.3">
      <c r="B47" t="str">
        <f t="shared" si="8"/>
        <v>HH043</v>
      </c>
      <c r="C47" t="s">
        <v>65</v>
      </c>
      <c r="D47">
        <v>8</v>
      </c>
      <c r="E47">
        <v>1</v>
      </c>
      <c r="F47">
        <v>8</v>
      </c>
      <c r="G47" s="4">
        <v>30923</v>
      </c>
      <c r="H47">
        <v>15</v>
      </c>
      <c r="I47" t="s">
        <v>67</v>
      </c>
      <c r="J47" s="4">
        <v>4010</v>
      </c>
      <c r="K47">
        <v>15</v>
      </c>
      <c r="L47">
        <f>'KRWSIP_Program_Baseline Data'!H48</f>
        <v>5.5</v>
      </c>
      <c r="M47">
        <v>1</v>
      </c>
      <c r="P47" s="5"/>
      <c r="V47" s="4">
        <f t="shared" si="9"/>
        <v>30923</v>
      </c>
      <c r="W47" s="4">
        <f t="shared" si="10"/>
        <v>15965</v>
      </c>
      <c r="X47" s="4">
        <f t="shared" si="11"/>
        <v>4010</v>
      </c>
      <c r="Y47" s="4">
        <f t="shared" si="12"/>
        <v>3598</v>
      </c>
      <c r="Z47" s="4">
        <f t="shared" si="13"/>
        <v>15</v>
      </c>
      <c r="AA47">
        <f t="shared" si="14"/>
        <v>35</v>
      </c>
      <c r="AB47">
        <f t="shared" si="15"/>
        <v>5.5</v>
      </c>
      <c r="AC47">
        <f t="shared" si="16"/>
        <v>13.8</v>
      </c>
    </row>
    <row r="48" spans="2:43" x14ac:dyDescent="0.3">
      <c r="B48" t="str">
        <f t="shared" si="8"/>
        <v>HH044</v>
      </c>
      <c r="C48" t="s">
        <v>64</v>
      </c>
      <c r="D48">
        <v>8</v>
      </c>
      <c r="E48">
        <v>1</v>
      </c>
      <c r="F48">
        <v>8</v>
      </c>
      <c r="G48" s="4">
        <v>31582</v>
      </c>
      <c r="H48">
        <v>36</v>
      </c>
      <c r="I48" t="s">
        <v>67</v>
      </c>
      <c r="J48" s="4">
        <v>4615</v>
      </c>
      <c r="K48">
        <v>36</v>
      </c>
      <c r="L48">
        <f>'KRWSIP_Program_Baseline Data'!H49</f>
        <v>10.9</v>
      </c>
      <c r="M48">
        <v>1</v>
      </c>
      <c r="P48" s="5"/>
      <c r="V48" s="4">
        <f t="shared" si="9"/>
        <v>31582</v>
      </c>
      <c r="W48" s="4">
        <f t="shared" si="10"/>
        <v>44111</v>
      </c>
      <c r="X48" s="4">
        <f t="shared" si="11"/>
        <v>4615</v>
      </c>
      <c r="Y48" s="4">
        <f t="shared" si="12"/>
        <v>5014</v>
      </c>
      <c r="Z48" s="4">
        <f t="shared" si="13"/>
        <v>36</v>
      </c>
      <c r="AA48">
        <f t="shared" si="14"/>
        <v>90</v>
      </c>
      <c r="AB48">
        <f t="shared" si="15"/>
        <v>10.9</v>
      </c>
      <c r="AC48">
        <f t="shared" si="16"/>
        <v>0.8</v>
      </c>
    </row>
    <row r="49" spans="2:29" x14ac:dyDescent="0.3">
      <c r="B49" t="str">
        <f t="shared" si="8"/>
        <v>HH045</v>
      </c>
      <c r="C49" t="s">
        <v>63</v>
      </c>
      <c r="D49">
        <v>7</v>
      </c>
      <c r="E49">
        <v>1</v>
      </c>
      <c r="F49">
        <v>7</v>
      </c>
      <c r="G49" s="4">
        <v>26514</v>
      </c>
      <c r="H49">
        <v>46</v>
      </c>
      <c r="I49" t="s">
        <v>68</v>
      </c>
      <c r="J49" s="4">
        <v>3697</v>
      </c>
      <c r="K49">
        <v>46</v>
      </c>
      <c r="L49">
        <f>'KRWSIP_Program_Baseline Data'!H50</f>
        <v>6.2</v>
      </c>
      <c r="M49">
        <v>1</v>
      </c>
      <c r="P49" s="5"/>
      <c r="V49" s="4">
        <f t="shared" si="9"/>
        <v>26514</v>
      </c>
      <c r="W49" s="4">
        <f t="shared" si="10"/>
        <v>32227</v>
      </c>
      <c r="X49" s="4">
        <f t="shared" si="11"/>
        <v>3697</v>
      </c>
      <c r="Y49" s="4">
        <f t="shared" si="12"/>
        <v>5918</v>
      </c>
      <c r="Z49" s="4">
        <f t="shared" si="13"/>
        <v>46</v>
      </c>
      <c r="AA49">
        <f t="shared" si="14"/>
        <v>33</v>
      </c>
      <c r="AB49">
        <f t="shared" si="15"/>
        <v>6.2</v>
      </c>
      <c r="AC49">
        <f t="shared" si="16"/>
        <v>8.8000000000000007</v>
      </c>
    </row>
    <row r="50" spans="2:29" x14ac:dyDescent="0.3">
      <c r="B50" t="str">
        <f t="shared" si="8"/>
        <v>HH046</v>
      </c>
      <c r="C50" t="s">
        <v>63</v>
      </c>
      <c r="D50">
        <v>3</v>
      </c>
      <c r="E50">
        <v>1</v>
      </c>
      <c r="F50">
        <v>3</v>
      </c>
      <c r="G50" s="4">
        <v>29121</v>
      </c>
      <c r="H50">
        <v>27</v>
      </c>
      <c r="I50" t="s">
        <v>68</v>
      </c>
      <c r="J50" s="4">
        <v>2893</v>
      </c>
      <c r="K50">
        <v>27</v>
      </c>
      <c r="L50">
        <f>'KRWSIP_Program_Baseline Data'!H51</f>
        <v>13.1</v>
      </c>
      <c r="M50">
        <v>1</v>
      </c>
      <c r="P50" s="5"/>
      <c r="V50" s="4">
        <f t="shared" si="9"/>
        <v>29121</v>
      </c>
      <c r="W50" s="4">
        <f t="shared" si="10"/>
        <v>35067</v>
      </c>
      <c r="X50" s="4">
        <f t="shared" si="11"/>
        <v>2893</v>
      </c>
      <c r="Y50" s="4">
        <f t="shared" si="12"/>
        <v>3737</v>
      </c>
      <c r="Z50" s="4">
        <f t="shared" si="13"/>
        <v>27</v>
      </c>
      <c r="AA50">
        <f t="shared" si="14"/>
        <v>107</v>
      </c>
      <c r="AB50">
        <f t="shared" si="15"/>
        <v>13.1</v>
      </c>
      <c r="AC50">
        <f t="shared" si="16"/>
        <v>4.8</v>
      </c>
    </row>
    <row r="51" spans="2:29" x14ac:dyDescent="0.3">
      <c r="B51" t="str">
        <f t="shared" si="8"/>
        <v>HH047</v>
      </c>
      <c r="C51" t="s">
        <v>62</v>
      </c>
      <c r="D51">
        <v>4</v>
      </c>
      <c r="E51">
        <v>1</v>
      </c>
      <c r="F51">
        <v>4</v>
      </c>
      <c r="G51" s="4">
        <v>30844</v>
      </c>
      <c r="H51">
        <v>41</v>
      </c>
      <c r="I51" t="s">
        <v>68</v>
      </c>
      <c r="J51" s="4">
        <v>2389</v>
      </c>
      <c r="K51">
        <v>41</v>
      </c>
      <c r="L51">
        <f>'KRWSIP_Program_Baseline Data'!H52</f>
        <v>11</v>
      </c>
      <c r="M51">
        <v>1</v>
      </c>
      <c r="P51" s="5"/>
      <c r="V51" s="4">
        <f t="shared" si="9"/>
        <v>30844</v>
      </c>
      <c r="W51" s="4">
        <f t="shared" si="10"/>
        <v>33272</v>
      </c>
      <c r="X51" s="4">
        <f t="shared" si="11"/>
        <v>2389</v>
      </c>
      <c r="Y51" s="4">
        <f t="shared" si="12"/>
        <v>3892</v>
      </c>
      <c r="Z51" s="4">
        <f t="shared" si="13"/>
        <v>41</v>
      </c>
      <c r="AA51">
        <f t="shared" si="14"/>
        <v>23</v>
      </c>
      <c r="AB51">
        <f t="shared" si="15"/>
        <v>11</v>
      </c>
      <c r="AC51">
        <f t="shared" si="16"/>
        <v>10.8</v>
      </c>
    </row>
    <row r="52" spans="2:29" x14ac:dyDescent="0.3">
      <c r="B52" t="str">
        <f t="shared" si="8"/>
        <v>HH048</v>
      </c>
      <c r="C52" t="s">
        <v>64</v>
      </c>
      <c r="D52">
        <v>3</v>
      </c>
      <c r="E52">
        <v>1</v>
      </c>
      <c r="F52">
        <v>3</v>
      </c>
      <c r="G52" s="4">
        <v>26406</v>
      </c>
      <c r="H52">
        <v>39</v>
      </c>
      <c r="I52" t="s">
        <v>68</v>
      </c>
      <c r="J52" s="4">
        <v>2060</v>
      </c>
      <c r="K52">
        <v>39</v>
      </c>
      <c r="L52">
        <f>'KRWSIP_Program_Baseline Data'!H53</f>
        <v>1.7</v>
      </c>
      <c r="M52">
        <v>1</v>
      </c>
      <c r="P52" s="5"/>
      <c r="V52" s="4">
        <f t="shared" si="9"/>
        <v>26406</v>
      </c>
      <c r="W52" s="4">
        <f t="shared" si="10"/>
        <v>23768</v>
      </c>
      <c r="X52" s="4">
        <f t="shared" si="11"/>
        <v>2060</v>
      </c>
      <c r="Y52" s="4">
        <f t="shared" si="12"/>
        <v>5204</v>
      </c>
      <c r="Z52" s="4">
        <f t="shared" si="13"/>
        <v>39</v>
      </c>
      <c r="AA52">
        <f t="shared" si="14"/>
        <v>41</v>
      </c>
      <c r="AB52">
        <f t="shared" si="15"/>
        <v>1.7</v>
      </c>
      <c r="AC52">
        <f t="shared" si="16"/>
        <v>12.8</v>
      </c>
    </row>
    <row r="53" spans="2:29" x14ac:dyDescent="0.3">
      <c r="B53" t="str">
        <f t="shared" si="8"/>
        <v>HH049</v>
      </c>
      <c r="C53" t="s">
        <v>63</v>
      </c>
      <c r="D53">
        <v>3</v>
      </c>
      <c r="E53">
        <v>1</v>
      </c>
      <c r="F53">
        <v>3</v>
      </c>
      <c r="G53" s="4">
        <v>32899</v>
      </c>
      <c r="H53">
        <v>36</v>
      </c>
      <c r="I53" t="s">
        <v>68</v>
      </c>
      <c r="J53" s="4">
        <v>2254</v>
      </c>
      <c r="K53">
        <v>36</v>
      </c>
      <c r="L53">
        <f>'KRWSIP_Program_Baseline Data'!H54</f>
        <v>10.8</v>
      </c>
      <c r="M53">
        <v>1</v>
      </c>
      <c r="P53" s="5"/>
      <c r="V53" s="4">
        <f t="shared" si="9"/>
        <v>32899</v>
      </c>
      <c r="W53" s="4">
        <f t="shared" si="10"/>
        <v>30924</v>
      </c>
      <c r="X53" s="4">
        <f t="shared" si="11"/>
        <v>2254</v>
      </c>
      <c r="Y53" s="4">
        <f t="shared" si="12"/>
        <v>5016</v>
      </c>
      <c r="Z53" s="4">
        <f t="shared" si="13"/>
        <v>36</v>
      </c>
      <c r="AA53">
        <f t="shared" si="14"/>
        <v>26</v>
      </c>
      <c r="AB53">
        <f t="shared" si="15"/>
        <v>10.8</v>
      </c>
      <c r="AC53">
        <f t="shared" si="16"/>
        <v>1.3</v>
      </c>
    </row>
    <row r="54" spans="2:29" x14ac:dyDescent="0.3">
      <c r="B54" t="str">
        <f t="shared" si="8"/>
        <v>HH050</v>
      </c>
      <c r="C54" t="s">
        <v>65</v>
      </c>
      <c r="D54">
        <v>6</v>
      </c>
      <c r="E54">
        <v>1</v>
      </c>
      <c r="F54">
        <v>6</v>
      </c>
      <c r="G54" s="4">
        <v>33920</v>
      </c>
      <c r="H54">
        <v>7</v>
      </c>
      <c r="I54" t="s">
        <v>67</v>
      </c>
      <c r="J54" s="4">
        <v>3102</v>
      </c>
      <c r="K54">
        <v>7</v>
      </c>
      <c r="L54">
        <f>'KRWSIP_Program_Baseline Data'!H55</f>
        <v>3.6</v>
      </c>
      <c r="M54">
        <v>1</v>
      </c>
      <c r="P54" s="5"/>
      <c r="V54" s="4">
        <f t="shared" si="9"/>
        <v>33920</v>
      </c>
      <c r="W54" s="4">
        <f t="shared" si="10"/>
        <v>27949</v>
      </c>
      <c r="X54" s="4">
        <f t="shared" si="11"/>
        <v>3102</v>
      </c>
      <c r="Y54" s="4">
        <f t="shared" si="12"/>
        <v>4232</v>
      </c>
      <c r="Z54" s="4">
        <f t="shared" si="13"/>
        <v>7</v>
      </c>
      <c r="AA54">
        <f t="shared" si="14"/>
        <v>15</v>
      </c>
      <c r="AB54">
        <f t="shared" si="15"/>
        <v>3.6</v>
      </c>
      <c r="AC54">
        <f t="shared" si="16"/>
        <v>13.9</v>
      </c>
    </row>
    <row r="55" spans="2:29" x14ac:dyDescent="0.3">
      <c r="B55" t="str">
        <f t="shared" si="8"/>
        <v>HH051</v>
      </c>
      <c r="C55" t="s">
        <v>63</v>
      </c>
      <c r="D55">
        <v>8</v>
      </c>
      <c r="E55">
        <v>1</v>
      </c>
      <c r="F55">
        <v>8</v>
      </c>
      <c r="G55" s="4">
        <v>49779</v>
      </c>
      <c r="H55">
        <v>18</v>
      </c>
      <c r="I55" t="s">
        <v>68</v>
      </c>
      <c r="J55" s="4">
        <v>3994</v>
      </c>
      <c r="K55">
        <v>18</v>
      </c>
      <c r="L55">
        <f>'KRWSIP_Program_Baseline Data'!H56</f>
        <v>12.6</v>
      </c>
      <c r="M55">
        <v>1</v>
      </c>
      <c r="P55" s="5"/>
      <c r="V55" s="4">
        <f t="shared" si="9"/>
        <v>49779</v>
      </c>
      <c r="W55" s="4">
        <f t="shared" si="10"/>
        <v>31868</v>
      </c>
      <c r="X55" s="4">
        <f t="shared" si="11"/>
        <v>3994</v>
      </c>
      <c r="Y55" s="4">
        <f t="shared" si="12"/>
        <v>5429</v>
      </c>
      <c r="Z55" s="4">
        <f t="shared" si="13"/>
        <v>18</v>
      </c>
      <c r="AA55">
        <f t="shared" si="14"/>
        <v>36</v>
      </c>
      <c r="AB55">
        <f t="shared" si="15"/>
        <v>12.6</v>
      </c>
      <c r="AC55">
        <f t="shared" si="16"/>
        <v>7.4</v>
      </c>
    </row>
    <row r="56" spans="2:29" x14ac:dyDescent="0.3">
      <c r="B56" t="str">
        <f t="shared" si="8"/>
        <v>HH052</v>
      </c>
      <c r="C56" t="s">
        <v>65</v>
      </c>
      <c r="D56">
        <v>6</v>
      </c>
      <c r="E56">
        <v>1</v>
      </c>
      <c r="F56">
        <v>6</v>
      </c>
      <c r="G56" s="4">
        <v>48079</v>
      </c>
      <c r="H56">
        <v>45</v>
      </c>
      <c r="I56" t="s">
        <v>69</v>
      </c>
      <c r="J56" s="4">
        <v>4215</v>
      </c>
      <c r="K56">
        <v>45</v>
      </c>
      <c r="L56">
        <f>'KRWSIP_Program_Baseline Data'!H57</f>
        <v>12.4</v>
      </c>
      <c r="M56">
        <v>1</v>
      </c>
      <c r="P56" s="5"/>
      <c r="V56" s="4">
        <f t="shared" si="9"/>
        <v>48079</v>
      </c>
      <c r="W56" s="4">
        <f t="shared" si="10"/>
        <v>31446</v>
      </c>
      <c r="X56" s="4">
        <f t="shared" si="11"/>
        <v>4215</v>
      </c>
      <c r="Y56" s="4">
        <f t="shared" si="12"/>
        <v>3494</v>
      </c>
      <c r="Z56" s="4">
        <f t="shared" si="13"/>
        <v>45</v>
      </c>
      <c r="AA56">
        <f t="shared" si="14"/>
        <v>31</v>
      </c>
      <c r="AB56">
        <f t="shared" si="15"/>
        <v>12.4</v>
      </c>
      <c r="AC56">
        <f t="shared" si="16"/>
        <v>2.9</v>
      </c>
    </row>
    <row r="57" spans="2:29" x14ac:dyDescent="0.3">
      <c r="B57" t="str">
        <f t="shared" si="8"/>
        <v>HH053</v>
      </c>
      <c r="C57" t="s">
        <v>62</v>
      </c>
      <c r="D57">
        <v>5</v>
      </c>
      <c r="E57">
        <v>1</v>
      </c>
      <c r="F57">
        <v>5</v>
      </c>
      <c r="G57" s="4">
        <v>30056</v>
      </c>
      <c r="H57">
        <v>6</v>
      </c>
      <c r="I57" t="s">
        <v>69</v>
      </c>
      <c r="J57" s="4">
        <v>3080</v>
      </c>
      <c r="K57">
        <v>6</v>
      </c>
      <c r="L57">
        <f>'KRWSIP_Program_Baseline Data'!H58</f>
        <v>14.3</v>
      </c>
      <c r="M57">
        <v>1</v>
      </c>
      <c r="P57" s="5"/>
      <c r="V57" s="4">
        <f t="shared" si="9"/>
        <v>30056</v>
      </c>
      <c r="W57" s="4">
        <f t="shared" si="10"/>
        <v>31054</v>
      </c>
      <c r="X57" s="4">
        <f t="shared" si="11"/>
        <v>3080</v>
      </c>
      <c r="Y57" s="4">
        <f t="shared" si="12"/>
        <v>4078</v>
      </c>
      <c r="Z57" s="4">
        <f t="shared" si="13"/>
        <v>6</v>
      </c>
      <c r="AA57">
        <f t="shared" si="14"/>
        <v>90</v>
      </c>
      <c r="AB57">
        <f t="shared" si="15"/>
        <v>14.3</v>
      </c>
      <c r="AC57">
        <f t="shared" si="16"/>
        <v>0.5</v>
      </c>
    </row>
    <row r="58" spans="2:29" x14ac:dyDescent="0.3">
      <c r="B58" t="str">
        <f t="shared" si="8"/>
        <v>HH054</v>
      </c>
      <c r="C58" t="s">
        <v>65</v>
      </c>
      <c r="D58">
        <v>2</v>
      </c>
      <c r="E58">
        <v>1</v>
      </c>
      <c r="F58">
        <v>2</v>
      </c>
      <c r="G58" s="4">
        <v>34663</v>
      </c>
      <c r="H58">
        <v>15</v>
      </c>
      <c r="I58" t="s">
        <v>66</v>
      </c>
      <c r="J58" s="4">
        <v>3164</v>
      </c>
      <c r="K58">
        <v>15</v>
      </c>
      <c r="L58">
        <f>'KRWSIP_Program_Baseline Data'!H59</f>
        <v>11.3</v>
      </c>
      <c r="M58">
        <v>1</v>
      </c>
      <c r="P58" s="5"/>
      <c r="V58" s="4">
        <f t="shared" si="9"/>
        <v>34663</v>
      </c>
      <c r="W58" s="4">
        <f t="shared" si="10"/>
        <v>21741</v>
      </c>
      <c r="X58" s="4">
        <f t="shared" si="11"/>
        <v>3164</v>
      </c>
      <c r="Y58" s="4">
        <f t="shared" si="12"/>
        <v>5536</v>
      </c>
      <c r="Z58" s="4">
        <f t="shared" si="13"/>
        <v>15</v>
      </c>
      <c r="AA58">
        <f t="shared" si="14"/>
        <v>102</v>
      </c>
      <c r="AB58">
        <f t="shared" si="15"/>
        <v>11.3</v>
      </c>
      <c r="AC58">
        <f t="shared" si="16"/>
        <v>11.1</v>
      </c>
    </row>
    <row r="59" spans="2:29" x14ac:dyDescent="0.3">
      <c r="B59" t="str">
        <f t="shared" si="8"/>
        <v>HH055</v>
      </c>
      <c r="C59" t="s">
        <v>63</v>
      </c>
      <c r="D59">
        <v>2</v>
      </c>
      <c r="E59">
        <v>1</v>
      </c>
      <c r="F59">
        <v>2</v>
      </c>
      <c r="G59" s="4">
        <v>25995</v>
      </c>
      <c r="H59">
        <v>22</v>
      </c>
      <c r="I59" t="s">
        <v>68</v>
      </c>
      <c r="J59" s="4">
        <v>1975</v>
      </c>
      <c r="K59">
        <v>22</v>
      </c>
      <c r="L59">
        <f>'KRWSIP_Program_Baseline Data'!H60</f>
        <v>14.2</v>
      </c>
      <c r="M59">
        <v>1</v>
      </c>
      <c r="P59" s="5"/>
      <c r="V59" s="4">
        <f t="shared" si="9"/>
        <v>25995</v>
      </c>
      <c r="W59" s="4">
        <f t="shared" si="10"/>
        <v>23543</v>
      </c>
      <c r="X59" s="4">
        <f t="shared" si="11"/>
        <v>1975</v>
      </c>
      <c r="Y59" s="4">
        <f t="shared" si="12"/>
        <v>4497</v>
      </c>
      <c r="Z59" s="4">
        <f t="shared" si="13"/>
        <v>22</v>
      </c>
      <c r="AA59">
        <f t="shared" si="14"/>
        <v>25</v>
      </c>
      <c r="AB59">
        <f t="shared" si="15"/>
        <v>14.2</v>
      </c>
      <c r="AC59">
        <f t="shared" si="16"/>
        <v>2.5</v>
      </c>
    </row>
    <row r="60" spans="2:29" x14ac:dyDescent="0.3">
      <c r="B60" t="str">
        <f t="shared" si="8"/>
        <v>HH056</v>
      </c>
      <c r="C60" t="s">
        <v>63</v>
      </c>
      <c r="D60">
        <v>7</v>
      </c>
      <c r="E60">
        <v>1</v>
      </c>
      <c r="F60">
        <v>7</v>
      </c>
      <c r="G60" s="4">
        <v>32713</v>
      </c>
      <c r="H60">
        <v>22</v>
      </c>
      <c r="I60" t="s">
        <v>68</v>
      </c>
      <c r="J60" s="4">
        <v>3138</v>
      </c>
      <c r="K60">
        <v>22</v>
      </c>
      <c r="L60">
        <f>'KRWSIP_Program_Baseline Data'!H61</f>
        <v>7.1</v>
      </c>
      <c r="M60">
        <v>1</v>
      </c>
      <c r="P60" s="5"/>
      <c r="V60" s="4">
        <f t="shared" si="9"/>
        <v>32713</v>
      </c>
      <c r="W60" s="4">
        <f t="shared" si="10"/>
        <v>31363</v>
      </c>
      <c r="X60" s="4">
        <f t="shared" si="11"/>
        <v>3138</v>
      </c>
      <c r="Y60" s="4">
        <f t="shared" si="12"/>
        <v>4165</v>
      </c>
      <c r="Z60" s="4">
        <f t="shared" si="13"/>
        <v>22</v>
      </c>
      <c r="AA60">
        <f t="shared" si="14"/>
        <v>87</v>
      </c>
      <c r="AB60">
        <f t="shared" si="15"/>
        <v>7.1</v>
      </c>
      <c r="AC60">
        <f t="shared" si="16"/>
        <v>3.3</v>
      </c>
    </row>
    <row r="61" spans="2:29" x14ac:dyDescent="0.3">
      <c r="B61" t="str">
        <f t="shared" si="8"/>
        <v>HH057</v>
      </c>
      <c r="C61" t="s">
        <v>62</v>
      </c>
      <c r="D61">
        <v>8</v>
      </c>
      <c r="E61">
        <v>1</v>
      </c>
      <c r="F61">
        <v>8</v>
      </c>
      <c r="G61" s="4">
        <v>31060</v>
      </c>
      <c r="H61">
        <v>22</v>
      </c>
      <c r="I61" t="s">
        <v>66</v>
      </c>
      <c r="J61" s="4">
        <v>4591</v>
      </c>
      <c r="K61">
        <v>22</v>
      </c>
      <c r="L61">
        <f>'KRWSIP_Program_Baseline Data'!H62</f>
        <v>3.3</v>
      </c>
      <c r="M61">
        <v>1</v>
      </c>
      <c r="P61" s="5"/>
      <c r="V61" s="4">
        <f t="shared" si="9"/>
        <v>31060</v>
      </c>
      <c r="W61" s="4">
        <f t="shared" si="10"/>
        <v>37995</v>
      </c>
      <c r="X61" s="4">
        <f t="shared" si="11"/>
        <v>4591</v>
      </c>
      <c r="Y61" s="4">
        <f t="shared" si="12"/>
        <v>3976</v>
      </c>
      <c r="Z61" s="4">
        <f t="shared" si="13"/>
        <v>22</v>
      </c>
      <c r="AA61">
        <f t="shared" si="14"/>
        <v>87</v>
      </c>
      <c r="AB61">
        <f t="shared" si="15"/>
        <v>3.3</v>
      </c>
      <c r="AC61">
        <f t="shared" si="16"/>
        <v>8</v>
      </c>
    </row>
    <row r="62" spans="2:29" x14ac:dyDescent="0.3">
      <c r="B62" t="str">
        <f t="shared" si="8"/>
        <v>HH058</v>
      </c>
      <c r="C62" t="s">
        <v>65</v>
      </c>
      <c r="D62">
        <v>2</v>
      </c>
      <c r="E62">
        <v>1</v>
      </c>
      <c r="F62">
        <v>2</v>
      </c>
      <c r="G62" s="4">
        <v>40489</v>
      </c>
      <c r="H62">
        <v>46</v>
      </c>
      <c r="I62" t="s">
        <v>67</v>
      </c>
      <c r="J62" s="4">
        <v>2927</v>
      </c>
      <c r="K62">
        <v>46</v>
      </c>
      <c r="L62">
        <f>'KRWSIP_Program_Baseline Data'!H63</f>
        <v>4.4000000000000004</v>
      </c>
      <c r="M62">
        <v>1</v>
      </c>
      <c r="P62" s="5"/>
      <c r="V62" s="4">
        <f t="shared" si="9"/>
        <v>40489</v>
      </c>
      <c r="W62" s="4">
        <f t="shared" si="10"/>
        <v>18823</v>
      </c>
      <c r="X62" s="4">
        <f t="shared" si="11"/>
        <v>2927</v>
      </c>
      <c r="Y62" s="4">
        <f t="shared" si="12"/>
        <v>6118</v>
      </c>
      <c r="Z62" s="4">
        <f t="shared" si="13"/>
        <v>46</v>
      </c>
      <c r="AA62">
        <f t="shared" si="14"/>
        <v>108</v>
      </c>
      <c r="AB62">
        <f t="shared" si="15"/>
        <v>4.4000000000000004</v>
      </c>
      <c r="AC62">
        <f t="shared" si="16"/>
        <v>5.5</v>
      </c>
    </row>
    <row r="63" spans="2:29" x14ac:dyDescent="0.3">
      <c r="B63" t="str">
        <f t="shared" si="8"/>
        <v>HH059</v>
      </c>
      <c r="C63" t="s">
        <v>62</v>
      </c>
      <c r="D63">
        <v>5</v>
      </c>
      <c r="E63">
        <v>1</v>
      </c>
      <c r="F63">
        <v>5</v>
      </c>
      <c r="G63" s="4">
        <v>22019</v>
      </c>
      <c r="H63">
        <v>43</v>
      </c>
      <c r="I63" t="s">
        <v>68</v>
      </c>
      <c r="J63" s="4">
        <v>3587</v>
      </c>
      <c r="K63">
        <v>43</v>
      </c>
      <c r="L63">
        <f>'KRWSIP_Program_Baseline Data'!H64</f>
        <v>7.8</v>
      </c>
      <c r="M63">
        <v>1</v>
      </c>
      <c r="P63" s="5"/>
      <c r="V63" s="4">
        <f t="shared" si="9"/>
        <v>22019</v>
      </c>
      <c r="W63" s="4">
        <f t="shared" si="10"/>
        <v>29731</v>
      </c>
      <c r="X63" s="4">
        <f t="shared" si="11"/>
        <v>3587</v>
      </c>
      <c r="Y63" s="4">
        <f t="shared" si="12"/>
        <v>5988</v>
      </c>
      <c r="Z63" s="4">
        <f t="shared" si="13"/>
        <v>43</v>
      </c>
      <c r="AA63">
        <f t="shared" si="14"/>
        <v>23</v>
      </c>
      <c r="AB63">
        <f t="shared" si="15"/>
        <v>7.8</v>
      </c>
      <c r="AC63">
        <f t="shared" si="16"/>
        <v>8.6</v>
      </c>
    </row>
    <row r="64" spans="2:29" x14ac:dyDescent="0.3">
      <c r="B64" t="str">
        <f t="shared" si="8"/>
        <v>HH060</v>
      </c>
      <c r="C64" t="s">
        <v>65</v>
      </c>
      <c r="D64">
        <v>8</v>
      </c>
      <c r="E64">
        <v>1</v>
      </c>
      <c r="F64">
        <v>8</v>
      </c>
      <c r="G64" s="4">
        <v>27723</v>
      </c>
      <c r="H64">
        <v>40</v>
      </c>
      <c r="I64" t="s">
        <v>67</v>
      </c>
      <c r="J64" s="4">
        <v>4890</v>
      </c>
      <c r="K64">
        <v>40</v>
      </c>
      <c r="L64">
        <f>'KRWSIP_Program_Baseline Data'!H65</f>
        <v>2.4</v>
      </c>
      <c r="M64">
        <v>1</v>
      </c>
      <c r="P64" s="5"/>
      <c r="V64" s="4">
        <f t="shared" si="9"/>
        <v>27723</v>
      </c>
      <c r="W64" s="4">
        <f t="shared" si="10"/>
        <v>42205</v>
      </c>
      <c r="X64" s="4">
        <f t="shared" si="11"/>
        <v>4890</v>
      </c>
      <c r="Y64" s="4">
        <f t="shared" si="12"/>
        <v>5013</v>
      </c>
      <c r="Z64" s="4">
        <f t="shared" si="13"/>
        <v>40</v>
      </c>
      <c r="AA64">
        <f t="shared" si="14"/>
        <v>78</v>
      </c>
      <c r="AB64">
        <f t="shared" si="15"/>
        <v>2.4</v>
      </c>
      <c r="AC64">
        <f t="shared" si="16"/>
        <v>13.4</v>
      </c>
    </row>
    <row r="65" spans="2:29" x14ac:dyDescent="0.3">
      <c r="B65" t="str">
        <f t="shared" si="8"/>
        <v>HH061</v>
      </c>
      <c r="C65" t="s">
        <v>65</v>
      </c>
      <c r="D65">
        <v>3</v>
      </c>
      <c r="E65">
        <v>1</v>
      </c>
      <c r="F65">
        <v>3</v>
      </c>
      <c r="G65" s="4">
        <v>49585</v>
      </c>
      <c r="H65">
        <v>26</v>
      </c>
      <c r="I65" t="s">
        <v>68</v>
      </c>
      <c r="J65" s="4">
        <v>3018</v>
      </c>
      <c r="K65">
        <v>26</v>
      </c>
      <c r="L65">
        <f>'KRWSIP_Program_Baseline Data'!H66</f>
        <v>13.4</v>
      </c>
      <c r="M65">
        <v>1</v>
      </c>
      <c r="P65" s="5"/>
      <c r="V65" s="4">
        <f t="shared" si="9"/>
        <v>49585</v>
      </c>
      <c r="W65" s="4">
        <f t="shared" si="10"/>
        <v>33592</v>
      </c>
      <c r="X65" s="4">
        <f t="shared" si="11"/>
        <v>3018</v>
      </c>
      <c r="Y65" s="4">
        <f t="shared" si="12"/>
        <v>4343</v>
      </c>
      <c r="Z65" s="4">
        <f t="shared" si="13"/>
        <v>26</v>
      </c>
      <c r="AA65">
        <f t="shared" si="14"/>
        <v>22</v>
      </c>
      <c r="AB65">
        <f t="shared" si="15"/>
        <v>13.4</v>
      </c>
      <c r="AC65">
        <f t="shared" si="16"/>
        <v>2.2999999999999998</v>
      </c>
    </row>
    <row r="66" spans="2:29" x14ac:dyDescent="0.3">
      <c r="B66" t="str">
        <f t="shared" si="8"/>
        <v>HH062</v>
      </c>
      <c r="C66" t="s">
        <v>65</v>
      </c>
      <c r="D66">
        <v>3</v>
      </c>
      <c r="E66">
        <v>1</v>
      </c>
      <c r="F66">
        <v>3</v>
      </c>
      <c r="G66" s="4">
        <v>27168</v>
      </c>
      <c r="H66">
        <v>41</v>
      </c>
      <c r="I66" t="s">
        <v>67</v>
      </c>
      <c r="J66" s="4">
        <v>2839</v>
      </c>
      <c r="K66">
        <v>41</v>
      </c>
      <c r="L66">
        <f>'KRWSIP_Program_Baseline Data'!H67</f>
        <v>14.4</v>
      </c>
      <c r="M66">
        <v>1</v>
      </c>
      <c r="P66" s="5"/>
      <c r="V66" s="4">
        <f t="shared" si="9"/>
        <v>27168</v>
      </c>
      <c r="W66" s="4">
        <f t="shared" si="10"/>
        <v>17359</v>
      </c>
      <c r="X66" s="4">
        <f t="shared" si="11"/>
        <v>2839</v>
      </c>
      <c r="Y66" s="4">
        <f t="shared" si="12"/>
        <v>3490</v>
      </c>
      <c r="Z66" s="4">
        <f t="shared" si="13"/>
        <v>41</v>
      </c>
      <c r="AA66">
        <f t="shared" si="14"/>
        <v>109</v>
      </c>
      <c r="AB66">
        <f t="shared" si="15"/>
        <v>14.4</v>
      </c>
      <c r="AC66">
        <f t="shared" si="16"/>
        <v>10.3</v>
      </c>
    </row>
    <row r="67" spans="2:29" x14ac:dyDescent="0.3">
      <c r="B67" t="str">
        <f t="shared" si="8"/>
        <v>HH063</v>
      </c>
      <c r="C67" t="s">
        <v>62</v>
      </c>
      <c r="D67">
        <v>4</v>
      </c>
      <c r="E67">
        <v>1</v>
      </c>
      <c r="F67">
        <v>4</v>
      </c>
      <c r="G67" s="4">
        <v>30514</v>
      </c>
      <c r="H67">
        <v>32</v>
      </c>
      <c r="I67" t="s">
        <v>68</v>
      </c>
      <c r="J67" s="4">
        <v>3498</v>
      </c>
      <c r="K67">
        <v>32</v>
      </c>
      <c r="L67">
        <f>'KRWSIP_Program_Baseline Data'!H68</f>
        <v>11.3</v>
      </c>
      <c r="M67">
        <v>1</v>
      </c>
      <c r="P67" s="5"/>
      <c r="V67" s="4">
        <f t="shared" si="9"/>
        <v>30514</v>
      </c>
      <c r="W67" s="4">
        <f t="shared" si="10"/>
        <v>37713</v>
      </c>
      <c r="X67" s="4">
        <f t="shared" si="11"/>
        <v>3498</v>
      </c>
      <c r="Y67" s="4">
        <f t="shared" si="12"/>
        <v>4954</v>
      </c>
      <c r="Z67" s="4">
        <f t="shared" si="13"/>
        <v>32</v>
      </c>
      <c r="AA67">
        <f t="shared" si="14"/>
        <v>109</v>
      </c>
      <c r="AB67">
        <f t="shared" si="15"/>
        <v>11.3</v>
      </c>
      <c r="AC67">
        <f t="shared" si="16"/>
        <v>4.2</v>
      </c>
    </row>
    <row r="68" spans="2:29" x14ac:dyDescent="0.3">
      <c r="B68" t="str">
        <f t="shared" si="8"/>
        <v>HH064</v>
      </c>
      <c r="C68" t="s">
        <v>62</v>
      </c>
      <c r="D68">
        <v>3</v>
      </c>
      <c r="E68">
        <v>1</v>
      </c>
      <c r="F68">
        <v>3</v>
      </c>
      <c r="G68" s="4">
        <v>30786</v>
      </c>
      <c r="H68">
        <v>55</v>
      </c>
      <c r="I68" t="s">
        <v>67</v>
      </c>
      <c r="J68" s="4">
        <v>2871</v>
      </c>
      <c r="K68">
        <v>55</v>
      </c>
      <c r="L68">
        <f>'KRWSIP_Program_Baseline Data'!H69</f>
        <v>14.2</v>
      </c>
      <c r="M68">
        <v>1</v>
      </c>
      <c r="P68" s="5"/>
      <c r="V68" s="4">
        <f t="shared" si="9"/>
        <v>30786</v>
      </c>
      <c r="W68" s="4">
        <f t="shared" si="10"/>
        <v>32189</v>
      </c>
      <c r="X68" s="4">
        <f t="shared" si="11"/>
        <v>2871</v>
      </c>
      <c r="Y68" s="4">
        <f t="shared" si="12"/>
        <v>3725</v>
      </c>
      <c r="Z68" s="4">
        <f t="shared" si="13"/>
        <v>55</v>
      </c>
      <c r="AA68">
        <f t="shared" si="14"/>
        <v>64</v>
      </c>
      <c r="AB68">
        <f t="shared" si="15"/>
        <v>14.2</v>
      </c>
      <c r="AC68">
        <f t="shared" si="16"/>
        <v>13.7</v>
      </c>
    </row>
    <row r="69" spans="2:29" x14ac:dyDescent="0.3">
      <c r="B69" t="str">
        <f t="shared" si="8"/>
        <v>HH065</v>
      </c>
      <c r="C69" t="s">
        <v>65</v>
      </c>
      <c r="D69">
        <v>6</v>
      </c>
      <c r="E69">
        <v>1</v>
      </c>
      <c r="F69">
        <v>6</v>
      </c>
      <c r="G69" s="4">
        <v>37782</v>
      </c>
      <c r="H69">
        <v>42</v>
      </c>
      <c r="I69" t="s">
        <v>67</v>
      </c>
      <c r="J69" s="4">
        <v>4110</v>
      </c>
      <c r="K69">
        <v>42</v>
      </c>
      <c r="L69">
        <f>'KRWSIP_Program_Baseline Data'!H70</f>
        <v>6.9</v>
      </c>
      <c r="M69">
        <v>1</v>
      </c>
      <c r="P69" s="5"/>
      <c r="V69" s="4">
        <f t="shared" ref="V69:V100" si="17">IF($M69=1,G69,"")</f>
        <v>37782</v>
      </c>
      <c r="W69" s="4">
        <f t="shared" ref="W69:W100" si="18">IF($M269=0, G269,"")</f>
        <v>22721</v>
      </c>
      <c r="X69" s="4">
        <f t="shared" ref="X69:X100" si="19">IF($M69=1,J69,"")</f>
        <v>4110</v>
      </c>
      <c r="Y69" s="4">
        <f t="shared" ref="Y69:Y100" si="20">IF($M269=0,J269,"")</f>
        <v>5857</v>
      </c>
      <c r="Z69" s="4">
        <f t="shared" ref="Z69:Z100" si="21">IF($M69=1,K69,"")</f>
        <v>42</v>
      </c>
      <c r="AA69">
        <f t="shared" ref="AA69:AA100" si="22">IF($M269=0,K269,"")</f>
        <v>36</v>
      </c>
      <c r="AB69">
        <f t="shared" ref="AB69:AB100" si="23">IF($M69=1,L69,"")</f>
        <v>6.9</v>
      </c>
      <c r="AC69">
        <f t="shared" ref="AC69:AC100" si="24">IF($M269=0,L269,"")</f>
        <v>3.6</v>
      </c>
    </row>
    <row r="70" spans="2:29" x14ac:dyDescent="0.3">
      <c r="B70" t="str">
        <f t="shared" ref="B70:B133" si="25">"HH"&amp;TEXT(ROW()-4, "000")</f>
        <v>HH066</v>
      </c>
      <c r="C70" t="s">
        <v>63</v>
      </c>
      <c r="D70">
        <v>8</v>
      </c>
      <c r="E70">
        <v>1</v>
      </c>
      <c r="F70">
        <v>8</v>
      </c>
      <c r="G70" s="4">
        <v>34928</v>
      </c>
      <c r="H70">
        <v>13</v>
      </c>
      <c r="I70" t="s">
        <v>67</v>
      </c>
      <c r="J70" s="4">
        <v>4427</v>
      </c>
      <c r="K70">
        <v>13</v>
      </c>
      <c r="L70">
        <f>'KRWSIP_Program_Baseline Data'!H71</f>
        <v>10</v>
      </c>
      <c r="M70">
        <v>1</v>
      </c>
      <c r="P70" s="5"/>
      <c r="V70" s="4">
        <f t="shared" si="17"/>
        <v>34928</v>
      </c>
      <c r="W70" s="4">
        <f t="shared" si="18"/>
        <v>35492</v>
      </c>
      <c r="X70" s="4">
        <f t="shared" si="19"/>
        <v>4427</v>
      </c>
      <c r="Y70" s="4">
        <f t="shared" si="20"/>
        <v>4133</v>
      </c>
      <c r="Z70" s="4">
        <f t="shared" si="21"/>
        <v>13</v>
      </c>
      <c r="AA70">
        <f t="shared" si="22"/>
        <v>21</v>
      </c>
      <c r="AB70">
        <f t="shared" si="23"/>
        <v>10</v>
      </c>
      <c r="AC70">
        <f t="shared" si="24"/>
        <v>6</v>
      </c>
    </row>
    <row r="71" spans="2:29" x14ac:dyDescent="0.3">
      <c r="B71" t="str">
        <f t="shared" si="25"/>
        <v>HH067</v>
      </c>
      <c r="C71" t="s">
        <v>65</v>
      </c>
      <c r="D71">
        <v>2</v>
      </c>
      <c r="E71">
        <v>1</v>
      </c>
      <c r="F71">
        <v>2</v>
      </c>
      <c r="G71" s="4">
        <v>23517</v>
      </c>
      <c r="H71">
        <v>28</v>
      </c>
      <c r="I71" t="s">
        <v>68</v>
      </c>
      <c r="J71" s="4">
        <v>2079</v>
      </c>
      <c r="K71">
        <v>28</v>
      </c>
      <c r="L71">
        <f>'KRWSIP_Program_Baseline Data'!H72</f>
        <v>9</v>
      </c>
      <c r="M71">
        <v>1</v>
      </c>
      <c r="P71" s="5"/>
      <c r="V71" s="4">
        <f t="shared" si="17"/>
        <v>23517</v>
      </c>
      <c r="W71" s="4">
        <f t="shared" si="18"/>
        <v>40615</v>
      </c>
      <c r="X71" s="4">
        <f t="shared" si="19"/>
        <v>2079</v>
      </c>
      <c r="Y71" s="4">
        <f t="shared" si="20"/>
        <v>4841</v>
      </c>
      <c r="Z71" s="4">
        <f t="shared" si="21"/>
        <v>28</v>
      </c>
      <c r="AA71">
        <f t="shared" si="22"/>
        <v>69</v>
      </c>
      <c r="AB71">
        <f t="shared" si="23"/>
        <v>9</v>
      </c>
      <c r="AC71">
        <f t="shared" si="24"/>
        <v>3.5</v>
      </c>
    </row>
    <row r="72" spans="2:29" x14ac:dyDescent="0.3">
      <c r="B72" t="str">
        <f t="shared" si="25"/>
        <v>HH068</v>
      </c>
      <c r="C72" t="s">
        <v>65</v>
      </c>
      <c r="D72">
        <v>2</v>
      </c>
      <c r="E72">
        <v>1</v>
      </c>
      <c r="F72">
        <v>2</v>
      </c>
      <c r="G72" s="4">
        <v>37461</v>
      </c>
      <c r="H72">
        <v>10</v>
      </c>
      <c r="I72" t="s">
        <v>68</v>
      </c>
      <c r="J72" s="4">
        <v>2007</v>
      </c>
      <c r="K72">
        <v>10</v>
      </c>
      <c r="L72">
        <f>'KRWSIP_Program_Baseline Data'!H73</f>
        <v>7.1</v>
      </c>
      <c r="M72">
        <v>1</v>
      </c>
      <c r="P72" s="5"/>
      <c r="V72" s="4">
        <f t="shared" si="17"/>
        <v>37461</v>
      </c>
      <c r="W72" s="4">
        <f t="shared" si="18"/>
        <v>40287</v>
      </c>
      <c r="X72" s="4">
        <f t="shared" si="19"/>
        <v>2007</v>
      </c>
      <c r="Y72" s="4">
        <f t="shared" si="20"/>
        <v>4119</v>
      </c>
      <c r="Z72" s="4">
        <f t="shared" si="21"/>
        <v>10</v>
      </c>
      <c r="AA72">
        <f t="shared" si="22"/>
        <v>43</v>
      </c>
      <c r="AB72">
        <f t="shared" si="23"/>
        <v>7.1</v>
      </c>
      <c r="AC72">
        <f t="shared" si="24"/>
        <v>7.7</v>
      </c>
    </row>
    <row r="73" spans="2:29" x14ac:dyDescent="0.3">
      <c r="B73" t="str">
        <f t="shared" si="25"/>
        <v>HH069</v>
      </c>
      <c r="C73" t="s">
        <v>62</v>
      </c>
      <c r="D73">
        <v>8</v>
      </c>
      <c r="E73">
        <v>1</v>
      </c>
      <c r="F73">
        <v>8</v>
      </c>
      <c r="G73" s="4">
        <v>27092</v>
      </c>
      <c r="H73">
        <v>48</v>
      </c>
      <c r="I73" t="s">
        <v>68</v>
      </c>
      <c r="J73" s="4">
        <v>4452</v>
      </c>
      <c r="K73">
        <v>48</v>
      </c>
      <c r="L73">
        <f>'KRWSIP_Program_Baseline Data'!H74</f>
        <v>4.8</v>
      </c>
      <c r="M73">
        <v>1</v>
      </c>
      <c r="P73" s="5"/>
      <c r="V73" s="4">
        <f t="shared" si="17"/>
        <v>27092</v>
      </c>
      <c r="W73" s="4">
        <f t="shared" si="18"/>
        <v>33508</v>
      </c>
      <c r="X73" s="4">
        <f t="shared" si="19"/>
        <v>4452</v>
      </c>
      <c r="Y73" s="4">
        <f t="shared" si="20"/>
        <v>6421</v>
      </c>
      <c r="Z73" s="4">
        <f t="shared" si="21"/>
        <v>48</v>
      </c>
      <c r="AA73">
        <f t="shared" si="22"/>
        <v>111</v>
      </c>
      <c r="AB73">
        <f t="shared" si="23"/>
        <v>4.8</v>
      </c>
      <c r="AC73">
        <f t="shared" si="24"/>
        <v>4</v>
      </c>
    </row>
    <row r="74" spans="2:29" x14ac:dyDescent="0.3">
      <c r="B74" t="str">
        <f t="shared" si="25"/>
        <v>HH070</v>
      </c>
      <c r="C74" t="s">
        <v>65</v>
      </c>
      <c r="D74">
        <v>8</v>
      </c>
      <c r="E74">
        <v>1</v>
      </c>
      <c r="F74">
        <v>8</v>
      </c>
      <c r="G74" s="4">
        <v>19528</v>
      </c>
      <c r="H74">
        <v>21</v>
      </c>
      <c r="I74" t="s">
        <v>68</v>
      </c>
      <c r="J74" s="4">
        <v>3674</v>
      </c>
      <c r="K74">
        <v>21</v>
      </c>
      <c r="L74">
        <f>'KRWSIP_Program_Baseline Data'!H75</f>
        <v>10.4</v>
      </c>
      <c r="M74">
        <v>1</v>
      </c>
      <c r="P74" s="5"/>
      <c r="V74" s="4">
        <f t="shared" si="17"/>
        <v>19528</v>
      </c>
      <c r="W74" s="4">
        <f t="shared" si="18"/>
        <v>21300</v>
      </c>
      <c r="X74" s="4">
        <f t="shared" si="19"/>
        <v>3674</v>
      </c>
      <c r="Y74" s="4">
        <f t="shared" si="20"/>
        <v>6098</v>
      </c>
      <c r="Z74" s="4">
        <f t="shared" si="21"/>
        <v>21</v>
      </c>
      <c r="AA74">
        <f t="shared" si="22"/>
        <v>102</v>
      </c>
      <c r="AB74">
        <f t="shared" si="23"/>
        <v>10.4</v>
      </c>
      <c r="AC74">
        <f t="shared" si="24"/>
        <v>10.199999999999999</v>
      </c>
    </row>
    <row r="75" spans="2:29" x14ac:dyDescent="0.3">
      <c r="B75" t="str">
        <f t="shared" si="25"/>
        <v>HH071</v>
      </c>
      <c r="C75" t="s">
        <v>65</v>
      </c>
      <c r="D75">
        <v>5</v>
      </c>
      <c r="E75">
        <v>1</v>
      </c>
      <c r="F75">
        <v>5</v>
      </c>
      <c r="G75" s="4">
        <v>18069</v>
      </c>
      <c r="H75">
        <v>43</v>
      </c>
      <c r="I75" t="s">
        <v>68</v>
      </c>
      <c r="J75" s="4">
        <v>3575</v>
      </c>
      <c r="K75">
        <v>43</v>
      </c>
      <c r="L75">
        <f>'KRWSIP_Program_Baseline Data'!H76</f>
        <v>0.8</v>
      </c>
      <c r="M75">
        <v>1</v>
      </c>
      <c r="P75" s="5"/>
      <c r="V75" s="4">
        <f t="shared" si="17"/>
        <v>18069</v>
      </c>
      <c r="W75" s="4">
        <f t="shared" si="18"/>
        <v>31521</v>
      </c>
      <c r="X75" s="4">
        <f t="shared" si="19"/>
        <v>3575</v>
      </c>
      <c r="Y75" s="4">
        <f t="shared" si="20"/>
        <v>4541</v>
      </c>
      <c r="Z75" s="4">
        <f t="shared" si="21"/>
        <v>43</v>
      </c>
      <c r="AA75">
        <f t="shared" si="22"/>
        <v>71</v>
      </c>
      <c r="AB75">
        <f t="shared" si="23"/>
        <v>0.8</v>
      </c>
      <c r="AC75">
        <f t="shared" si="24"/>
        <v>0.5</v>
      </c>
    </row>
    <row r="76" spans="2:29" x14ac:dyDescent="0.3">
      <c r="B76" t="str">
        <f t="shared" si="25"/>
        <v>HH072</v>
      </c>
      <c r="C76" t="s">
        <v>65</v>
      </c>
      <c r="D76">
        <v>5</v>
      </c>
      <c r="E76">
        <v>1</v>
      </c>
      <c r="F76">
        <v>5</v>
      </c>
      <c r="G76" s="4">
        <v>18964</v>
      </c>
      <c r="H76">
        <v>42</v>
      </c>
      <c r="I76" t="s">
        <v>67</v>
      </c>
      <c r="J76" s="4">
        <v>3496</v>
      </c>
      <c r="K76">
        <v>42</v>
      </c>
      <c r="L76">
        <f>'KRWSIP_Program_Baseline Data'!H77</f>
        <v>13.5</v>
      </c>
      <c r="M76">
        <v>1</v>
      </c>
      <c r="P76" s="5"/>
      <c r="V76" s="4">
        <f t="shared" si="17"/>
        <v>18964</v>
      </c>
      <c r="W76" s="4">
        <f t="shared" si="18"/>
        <v>23475</v>
      </c>
      <c r="X76" s="4">
        <f t="shared" si="19"/>
        <v>3496</v>
      </c>
      <c r="Y76" s="4">
        <f t="shared" si="20"/>
        <v>4341</v>
      </c>
      <c r="Z76" s="4">
        <f t="shared" si="21"/>
        <v>42</v>
      </c>
      <c r="AA76">
        <f t="shared" si="22"/>
        <v>64</v>
      </c>
      <c r="AB76">
        <f t="shared" si="23"/>
        <v>13.5</v>
      </c>
      <c r="AC76">
        <f t="shared" si="24"/>
        <v>6.5</v>
      </c>
    </row>
    <row r="77" spans="2:29" x14ac:dyDescent="0.3">
      <c r="B77" t="str">
        <f t="shared" si="25"/>
        <v>HH073</v>
      </c>
      <c r="C77" t="s">
        <v>62</v>
      </c>
      <c r="D77">
        <v>4</v>
      </c>
      <c r="E77">
        <v>1</v>
      </c>
      <c r="F77">
        <v>4</v>
      </c>
      <c r="G77" s="4">
        <v>30279</v>
      </c>
      <c r="H77">
        <v>34</v>
      </c>
      <c r="I77" t="s">
        <v>67</v>
      </c>
      <c r="J77" s="4">
        <v>2333</v>
      </c>
      <c r="K77">
        <v>34</v>
      </c>
      <c r="L77">
        <f>'KRWSIP_Program_Baseline Data'!H78</f>
        <v>10.199999999999999</v>
      </c>
      <c r="M77">
        <v>1</v>
      </c>
      <c r="P77" s="5"/>
      <c r="V77" s="4">
        <f t="shared" si="17"/>
        <v>30279</v>
      </c>
      <c r="W77" s="4">
        <f t="shared" si="18"/>
        <v>21594</v>
      </c>
      <c r="X77" s="4">
        <f t="shared" si="19"/>
        <v>2333</v>
      </c>
      <c r="Y77" s="4">
        <f t="shared" si="20"/>
        <v>4600</v>
      </c>
      <c r="Z77" s="4">
        <f t="shared" si="21"/>
        <v>34</v>
      </c>
      <c r="AA77">
        <f t="shared" si="22"/>
        <v>88</v>
      </c>
      <c r="AB77">
        <f t="shared" si="23"/>
        <v>10.199999999999999</v>
      </c>
      <c r="AC77">
        <f t="shared" si="24"/>
        <v>13.6</v>
      </c>
    </row>
    <row r="78" spans="2:29" x14ac:dyDescent="0.3">
      <c r="B78" t="str">
        <f t="shared" si="25"/>
        <v>HH074</v>
      </c>
      <c r="C78" t="s">
        <v>65</v>
      </c>
      <c r="D78">
        <v>8</v>
      </c>
      <c r="E78">
        <v>1</v>
      </c>
      <c r="F78">
        <v>8</v>
      </c>
      <c r="G78" s="4">
        <v>31804</v>
      </c>
      <c r="H78">
        <v>40</v>
      </c>
      <c r="I78" t="s">
        <v>67</v>
      </c>
      <c r="J78" s="4">
        <v>4223</v>
      </c>
      <c r="K78">
        <v>40</v>
      </c>
      <c r="L78">
        <f>'KRWSIP_Program_Baseline Data'!H79</f>
        <v>9</v>
      </c>
      <c r="M78">
        <v>1</v>
      </c>
      <c r="P78" s="5"/>
      <c r="V78" s="4">
        <f t="shared" si="17"/>
        <v>31804</v>
      </c>
      <c r="W78" s="4">
        <f t="shared" si="18"/>
        <v>41069</v>
      </c>
      <c r="X78" s="4">
        <f t="shared" si="19"/>
        <v>4223</v>
      </c>
      <c r="Y78" s="4">
        <f t="shared" si="20"/>
        <v>5327</v>
      </c>
      <c r="Z78" s="4">
        <f t="shared" si="21"/>
        <v>40</v>
      </c>
      <c r="AA78">
        <f t="shared" si="22"/>
        <v>24</v>
      </c>
      <c r="AB78">
        <f t="shared" si="23"/>
        <v>9</v>
      </c>
      <c r="AC78">
        <f t="shared" si="24"/>
        <v>10.199999999999999</v>
      </c>
    </row>
    <row r="79" spans="2:29" x14ac:dyDescent="0.3">
      <c r="B79" t="str">
        <f t="shared" si="25"/>
        <v>HH075</v>
      </c>
      <c r="C79" t="s">
        <v>65</v>
      </c>
      <c r="D79">
        <v>6</v>
      </c>
      <c r="E79">
        <v>1</v>
      </c>
      <c r="F79">
        <v>6</v>
      </c>
      <c r="G79" s="4">
        <v>26038</v>
      </c>
      <c r="H79">
        <v>41</v>
      </c>
      <c r="I79" t="s">
        <v>69</v>
      </c>
      <c r="J79" s="4">
        <v>3524</v>
      </c>
      <c r="K79">
        <v>41</v>
      </c>
      <c r="L79">
        <f>'KRWSIP_Program_Baseline Data'!H80</f>
        <v>8.3000000000000007</v>
      </c>
      <c r="M79">
        <v>1</v>
      </c>
      <c r="P79" s="5"/>
      <c r="V79" s="4">
        <f t="shared" si="17"/>
        <v>26038</v>
      </c>
      <c r="W79" s="4">
        <f t="shared" si="18"/>
        <v>34571</v>
      </c>
      <c r="X79" s="4">
        <f t="shared" si="19"/>
        <v>3524</v>
      </c>
      <c r="Y79" s="4">
        <f t="shared" si="20"/>
        <v>4370</v>
      </c>
      <c r="Z79" s="4">
        <f t="shared" si="21"/>
        <v>41</v>
      </c>
      <c r="AA79">
        <f t="shared" si="22"/>
        <v>23</v>
      </c>
      <c r="AB79">
        <f t="shared" si="23"/>
        <v>8.3000000000000007</v>
      </c>
      <c r="AC79">
        <f t="shared" si="24"/>
        <v>10</v>
      </c>
    </row>
    <row r="80" spans="2:29" x14ac:dyDescent="0.3">
      <c r="B80" t="str">
        <f t="shared" si="25"/>
        <v>HH076</v>
      </c>
      <c r="C80" t="s">
        <v>62</v>
      </c>
      <c r="D80">
        <v>4</v>
      </c>
      <c r="E80">
        <v>1</v>
      </c>
      <c r="F80">
        <v>4</v>
      </c>
      <c r="G80" s="4">
        <v>51473</v>
      </c>
      <c r="H80">
        <v>21</v>
      </c>
      <c r="I80" t="s">
        <v>68</v>
      </c>
      <c r="J80" s="4">
        <v>3540</v>
      </c>
      <c r="K80">
        <v>21</v>
      </c>
      <c r="L80">
        <f>'KRWSIP_Program_Baseline Data'!H81</f>
        <v>5.8</v>
      </c>
      <c r="M80">
        <v>1</v>
      </c>
      <c r="P80" s="5"/>
      <c r="V80" s="4">
        <f t="shared" si="17"/>
        <v>51473</v>
      </c>
      <c r="W80" s="4">
        <f t="shared" si="18"/>
        <v>36009</v>
      </c>
      <c r="X80" s="4">
        <f t="shared" si="19"/>
        <v>3540</v>
      </c>
      <c r="Y80" s="4">
        <f t="shared" si="20"/>
        <v>2685</v>
      </c>
      <c r="Z80" s="4">
        <f t="shared" si="21"/>
        <v>21</v>
      </c>
      <c r="AA80">
        <f t="shared" si="22"/>
        <v>65</v>
      </c>
      <c r="AB80">
        <f t="shared" si="23"/>
        <v>5.8</v>
      </c>
      <c r="AC80">
        <f t="shared" si="24"/>
        <v>2.4</v>
      </c>
    </row>
    <row r="81" spans="2:29" x14ac:dyDescent="0.3">
      <c r="B81" t="str">
        <f t="shared" si="25"/>
        <v>HH077</v>
      </c>
      <c r="C81" t="s">
        <v>64</v>
      </c>
      <c r="D81">
        <v>7</v>
      </c>
      <c r="E81">
        <v>1</v>
      </c>
      <c r="F81">
        <v>7</v>
      </c>
      <c r="G81" s="4">
        <v>23486</v>
      </c>
      <c r="H81">
        <v>42</v>
      </c>
      <c r="I81" t="s">
        <v>68</v>
      </c>
      <c r="J81" s="4">
        <v>3903</v>
      </c>
      <c r="K81">
        <v>42</v>
      </c>
      <c r="L81">
        <f>'KRWSIP_Program_Baseline Data'!H82</f>
        <v>5.9</v>
      </c>
      <c r="M81">
        <v>1</v>
      </c>
      <c r="P81" s="5"/>
      <c r="V81" s="4">
        <f t="shared" si="17"/>
        <v>23486</v>
      </c>
      <c r="W81" s="4">
        <f t="shared" si="18"/>
        <v>32879</v>
      </c>
      <c r="X81" s="4">
        <f t="shared" si="19"/>
        <v>3903</v>
      </c>
      <c r="Y81" s="4">
        <f t="shared" si="20"/>
        <v>5198</v>
      </c>
      <c r="Z81" s="4">
        <f t="shared" si="21"/>
        <v>42</v>
      </c>
      <c r="AA81">
        <f t="shared" si="22"/>
        <v>34</v>
      </c>
      <c r="AB81">
        <f t="shared" si="23"/>
        <v>5.9</v>
      </c>
      <c r="AC81">
        <f t="shared" si="24"/>
        <v>6.3</v>
      </c>
    </row>
    <row r="82" spans="2:29" x14ac:dyDescent="0.3">
      <c r="B82" t="str">
        <f t="shared" si="25"/>
        <v>HH078</v>
      </c>
      <c r="C82" t="s">
        <v>64</v>
      </c>
      <c r="D82">
        <v>4</v>
      </c>
      <c r="E82">
        <v>1</v>
      </c>
      <c r="F82">
        <v>4</v>
      </c>
      <c r="G82" s="4">
        <v>22112</v>
      </c>
      <c r="H82">
        <v>34</v>
      </c>
      <c r="I82" t="s">
        <v>68</v>
      </c>
      <c r="J82" s="4">
        <v>2281</v>
      </c>
      <c r="K82">
        <v>34</v>
      </c>
      <c r="L82">
        <f>'KRWSIP_Program_Baseline Data'!H83</f>
        <v>8.1999999999999993</v>
      </c>
      <c r="M82">
        <v>1</v>
      </c>
      <c r="P82" s="5"/>
      <c r="V82" s="4">
        <f t="shared" si="17"/>
        <v>22112</v>
      </c>
      <c r="W82" s="4">
        <f t="shared" si="18"/>
        <v>21146</v>
      </c>
      <c r="X82" s="4">
        <f t="shared" si="19"/>
        <v>2281</v>
      </c>
      <c r="Y82" s="4">
        <f t="shared" si="20"/>
        <v>4290</v>
      </c>
      <c r="Z82" s="4">
        <f t="shared" si="21"/>
        <v>34</v>
      </c>
      <c r="AA82">
        <f t="shared" si="22"/>
        <v>88</v>
      </c>
      <c r="AB82">
        <f t="shared" si="23"/>
        <v>8.1999999999999993</v>
      </c>
      <c r="AC82">
        <f t="shared" si="24"/>
        <v>9.6</v>
      </c>
    </row>
    <row r="83" spans="2:29" x14ac:dyDescent="0.3">
      <c r="B83" t="str">
        <f t="shared" si="25"/>
        <v>HH079</v>
      </c>
      <c r="C83" t="s">
        <v>64</v>
      </c>
      <c r="D83">
        <v>2</v>
      </c>
      <c r="E83">
        <v>1</v>
      </c>
      <c r="F83">
        <v>2</v>
      </c>
      <c r="G83" s="4">
        <v>38242</v>
      </c>
      <c r="H83">
        <v>25</v>
      </c>
      <c r="I83" t="s">
        <v>67</v>
      </c>
      <c r="J83" s="4">
        <v>1939</v>
      </c>
      <c r="K83">
        <v>25</v>
      </c>
      <c r="L83">
        <f>'KRWSIP_Program_Baseline Data'!H84</f>
        <v>3.1</v>
      </c>
      <c r="M83">
        <v>1</v>
      </c>
      <c r="P83" s="5"/>
      <c r="V83" s="4">
        <f t="shared" si="17"/>
        <v>38242</v>
      </c>
      <c r="W83" s="4">
        <f t="shared" si="18"/>
        <v>33208</v>
      </c>
      <c r="X83" s="4">
        <f t="shared" si="19"/>
        <v>1939</v>
      </c>
      <c r="Y83" s="4">
        <f t="shared" si="20"/>
        <v>5848</v>
      </c>
      <c r="Z83" s="4">
        <f t="shared" si="21"/>
        <v>25</v>
      </c>
      <c r="AA83">
        <f t="shared" si="22"/>
        <v>33</v>
      </c>
      <c r="AB83">
        <f t="shared" si="23"/>
        <v>3.1</v>
      </c>
      <c r="AC83">
        <f t="shared" si="24"/>
        <v>4.5</v>
      </c>
    </row>
    <row r="84" spans="2:29" x14ac:dyDescent="0.3">
      <c r="B84" t="str">
        <f t="shared" si="25"/>
        <v>HH080</v>
      </c>
      <c r="C84" t="s">
        <v>63</v>
      </c>
      <c r="D84">
        <v>8</v>
      </c>
      <c r="E84">
        <v>1</v>
      </c>
      <c r="F84">
        <v>8</v>
      </c>
      <c r="G84" s="4">
        <v>37993</v>
      </c>
      <c r="H84">
        <v>53</v>
      </c>
      <c r="I84" t="s">
        <v>66</v>
      </c>
      <c r="J84" s="4">
        <v>3760</v>
      </c>
      <c r="K84">
        <v>53</v>
      </c>
      <c r="L84">
        <f>'KRWSIP_Program_Baseline Data'!H85</f>
        <v>1.4</v>
      </c>
      <c r="M84">
        <v>1</v>
      </c>
      <c r="P84" s="5"/>
      <c r="V84" s="4">
        <f t="shared" si="17"/>
        <v>37993</v>
      </c>
      <c r="W84" s="4">
        <f t="shared" si="18"/>
        <v>31148</v>
      </c>
      <c r="X84" s="4">
        <f t="shared" si="19"/>
        <v>3760</v>
      </c>
      <c r="Y84" s="4">
        <f t="shared" si="20"/>
        <v>4073</v>
      </c>
      <c r="Z84" s="4">
        <f t="shared" si="21"/>
        <v>53</v>
      </c>
      <c r="AA84">
        <f t="shared" si="22"/>
        <v>99</v>
      </c>
      <c r="AB84">
        <f t="shared" si="23"/>
        <v>1.4</v>
      </c>
      <c r="AC84">
        <f t="shared" si="24"/>
        <v>0.5</v>
      </c>
    </row>
    <row r="85" spans="2:29" x14ac:dyDescent="0.3">
      <c r="B85" t="str">
        <f t="shared" si="25"/>
        <v>HH081</v>
      </c>
      <c r="C85" t="s">
        <v>64</v>
      </c>
      <c r="D85">
        <v>4</v>
      </c>
      <c r="E85">
        <v>1</v>
      </c>
      <c r="F85">
        <v>4</v>
      </c>
      <c r="G85" s="4">
        <v>30619</v>
      </c>
      <c r="H85">
        <v>48</v>
      </c>
      <c r="I85" t="s">
        <v>69</v>
      </c>
      <c r="J85" s="4">
        <v>3045</v>
      </c>
      <c r="K85">
        <v>48</v>
      </c>
      <c r="L85">
        <f>'KRWSIP_Program_Baseline Data'!H86</f>
        <v>6.2</v>
      </c>
      <c r="M85">
        <v>1</v>
      </c>
      <c r="P85" s="5"/>
      <c r="V85" s="4">
        <f t="shared" si="17"/>
        <v>30619</v>
      </c>
      <c r="W85" s="4">
        <f t="shared" si="18"/>
        <v>30092</v>
      </c>
      <c r="X85" s="4">
        <f t="shared" si="19"/>
        <v>3045</v>
      </c>
      <c r="Y85" s="4">
        <f t="shared" si="20"/>
        <v>2726</v>
      </c>
      <c r="Z85" s="4">
        <f t="shared" si="21"/>
        <v>48</v>
      </c>
      <c r="AA85">
        <f t="shared" si="22"/>
        <v>46</v>
      </c>
      <c r="AB85">
        <f t="shared" si="23"/>
        <v>6.2</v>
      </c>
      <c r="AC85">
        <f t="shared" si="24"/>
        <v>14.8</v>
      </c>
    </row>
    <row r="86" spans="2:29" x14ac:dyDescent="0.3">
      <c r="B86" t="str">
        <f t="shared" si="25"/>
        <v>HH082</v>
      </c>
      <c r="C86" t="s">
        <v>64</v>
      </c>
      <c r="D86">
        <v>8</v>
      </c>
      <c r="E86">
        <v>1</v>
      </c>
      <c r="F86">
        <v>8</v>
      </c>
      <c r="G86" s="4">
        <v>35060</v>
      </c>
      <c r="H86">
        <v>22</v>
      </c>
      <c r="I86" t="s">
        <v>66</v>
      </c>
      <c r="J86" s="4">
        <v>3512</v>
      </c>
      <c r="K86">
        <v>22</v>
      </c>
      <c r="L86">
        <f>'KRWSIP_Program_Baseline Data'!H87</f>
        <v>1</v>
      </c>
      <c r="M86">
        <v>1</v>
      </c>
      <c r="P86" s="5"/>
      <c r="V86" s="4">
        <f t="shared" si="17"/>
        <v>35060</v>
      </c>
      <c r="W86" s="4">
        <f t="shared" si="18"/>
        <v>30071</v>
      </c>
      <c r="X86" s="4">
        <f t="shared" si="19"/>
        <v>3512</v>
      </c>
      <c r="Y86" s="4">
        <f t="shared" si="20"/>
        <v>4954</v>
      </c>
      <c r="Z86" s="4">
        <f t="shared" si="21"/>
        <v>22</v>
      </c>
      <c r="AA86">
        <f t="shared" si="22"/>
        <v>25</v>
      </c>
      <c r="AB86">
        <f t="shared" si="23"/>
        <v>1</v>
      </c>
      <c r="AC86">
        <f t="shared" si="24"/>
        <v>4.5</v>
      </c>
    </row>
    <row r="87" spans="2:29" x14ac:dyDescent="0.3">
      <c r="B87" t="str">
        <f t="shared" si="25"/>
        <v>HH083</v>
      </c>
      <c r="C87" t="s">
        <v>65</v>
      </c>
      <c r="D87">
        <v>5</v>
      </c>
      <c r="E87">
        <v>1</v>
      </c>
      <c r="F87">
        <v>5</v>
      </c>
      <c r="G87" s="4">
        <v>32235</v>
      </c>
      <c r="H87">
        <v>43</v>
      </c>
      <c r="I87" t="s">
        <v>69</v>
      </c>
      <c r="J87" s="4">
        <v>3689</v>
      </c>
      <c r="K87">
        <v>43</v>
      </c>
      <c r="L87">
        <f>'KRWSIP_Program_Baseline Data'!H88</f>
        <v>4.7</v>
      </c>
      <c r="M87">
        <v>1</v>
      </c>
      <c r="P87" s="5"/>
      <c r="V87" s="4">
        <f t="shared" si="17"/>
        <v>32235</v>
      </c>
      <c r="W87" s="4">
        <f t="shared" si="18"/>
        <v>27685</v>
      </c>
      <c r="X87" s="4">
        <f t="shared" si="19"/>
        <v>3689</v>
      </c>
      <c r="Y87" s="4">
        <f t="shared" si="20"/>
        <v>3372</v>
      </c>
      <c r="Z87" s="4">
        <f t="shared" si="21"/>
        <v>43</v>
      </c>
      <c r="AA87">
        <f t="shared" si="22"/>
        <v>87</v>
      </c>
      <c r="AB87">
        <f t="shared" si="23"/>
        <v>4.7</v>
      </c>
      <c r="AC87">
        <f t="shared" si="24"/>
        <v>11.5</v>
      </c>
    </row>
    <row r="88" spans="2:29" x14ac:dyDescent="0.3">
      <c r="B88" t="str">
        <f t="shared" si="25"/>
        <v>HH084</v>
      </c>
      <c r="C88" t="s">
        <v>63</v>
      </c>
      <c r="D88">
        <v>4</v>
      </c>
      <c r="E88">
        <v>1</v>
      </c>
      <c r="F88">
        <v>4</v>
      </c>
      <c r="G88" s="4">
        <v>23867</v>
      </c>
      <c r="H88">
        <v>9</v>
      </c>
      <c r="I88" t="s">
        <v>67</v>
      </c>
      <c r="J88" s="4">
        <v>2745</v>
      </c>
      <c r="K88">
        <v>9</v>
      </c>
      <c r="L88">
        <f>'KRWSIP_Program_Baseline Data'!H89</f>
        <v>12</v>
      </c>
      <c r="M88">
        <v>1</v>
      </c>
      <c r="P88" s="5"/>
      <c r="V88" s="4">
        <f t="shared" si="17"/>
        <v>23867</v>
      </c>
      <c r="W88" s="4">
        <f t="shared" si="18"/>
        <v>21616</v>
      </c>
      <c r="X88" s="4">
        <f t="shared" si="19"/>
        <v>2745</v>
      </c>
      <c r="Y88" s="4">
        <f t="shared" si="20"/>
        <v>5826</v>
      </c>
      <c r="Z88" s="4">
        <f t="shared" si="21"/>
        <v>9</v>
      </c>
      <c r="AA88">
        <f t="shared" si="22"/>
        <v>116</v>
      </c>
      <c r="AB88">
        <f t="shared" si="23"/>
        <v>12</v>
      </c>
      <c r="AC88">
        <f t="shared" si="24"/>
        <v>2.8</v>
      </c>
    </row>
    <row r="89" spans="2:29" x14ac:dyDescent="0.3">
      <c r="B89" t="str">
        <f t="shared" si="25"/>
        <v>HH085</v>
      </c>
      <c r="C89" t="s">
        <v>63</v>
      </c>
      <c r="D89">
        <v>6</v>
      </c>
      <c r="E89">
        <v>1</v>
      </c>
      <c r="F89">
        <v>6</v>
      </c>
      <c r="G89" s="4">
        <v>23421</v>
      </c>
      <c r="H89">
        <v>8</v>
      </c>
      <c r="I89" t="s">
        <v>67</v>
      </c>
      <c r="J89" s="4">
        <v>3444</v>
      </c>
      <c r="K89">
        <v>8</v>
      </c>
      <c r="L89">
        <f>'KRWSIP_Program_Baseline Data'!H90</f>
        <v>3.1</v>
      </c>
      <c r="M89">
        <v>1</v>
      </c>
      <c r="P89" s="5"/>
      <c r="V89" s="4">
        <f t="shared" si="17"/>
        <v>23421</v>
      </c>
      <c r="W89" s="4">
        <f t="shared" si="18"/>
        <v>30291</v>
      </c>
      <c r="X89" s="4">
        <f t="shared" si="19"/>
        <v>3444</v>
      </c>
      <c r="Y89" s="4">
        <f t="shared" si="20"/>
        <v>4440</v>
      </c>
      <c r="Z89" s="4">
        <f t="shared" si="21"/>
        <v>8</v>
      </c>
      <c r="AA89">
        <f t="shared" si="22"/>
        <v>16</v>
      </c>
      <c r="AB89">
        <f t="shared" si="23"/>
        <v>3.1</v>
      </c>
      <c r="AC89">
        <f t="shared" si="24"/>
        <v>9.1999999999999993</v>
      </c>
    </row>
    <row r="90" spans="2:29" x14ac:dyDescent="0.3">
      <c r="B90" t="str">
        <f t="shared" si="25"/>
        <v>HH086</v>
      </c>
      <c r="C90" t="s">
        <v>62</v>
      </c>
      <c r="D90">
        <v>3</v>
      </c>
      <c r="E90">
        <v>1</v>
      </c>
      <c r="F90">
        <v>3</v>
      </c>
      <c r="G90" s="4">
        <v>41420</v>
      </c>
      <c r="H90">
        <v>33</v>
      </c>
      <c r="I90" t="s">
        <v>69</v>
      </c>
      <c r="J90" s="4">
        <v>2875</v>
      </c>
      <c r="K90">
        <v>33</v>
      </c>
      <c r="L90">
        <f>'KRWSIP_Program_Baseline Data'!H91</f>
        <v>3.9</v>
      </c>
      <c r="M90">
        <v>1</v>
      </c>
      <c r="P90" s="5"/>
      <c r="V90" s="4">
        <f t="shared" si="17"/>
        <v>41420</v>
      </c>
      <c r="W90" s="4">
        <f t="shared" si="18"/>
        <v>32256</v>
      </c>
      <c r="X90" s="4">
        <f t="shared" si="19"/>
        <v>2875</v>
      </c>
      <c r="Y90" s="4">
        <f t="shared" si="20"/>
        <v>5449</v>
      </c>
      <c r="Z90" s="4">
        <f t="shared" si="21"/>
        <v>33</v>
      </c>
      <c r="AA90">
        <f t="shared" si="22"/>
        <v>22</v>
      </c>
      <c r="AB90">
        <f t="shared" si="23"/>
        <v>3.9</v>
      </c>
      <c r="AC90">
        <f t="shared" si="24"/>
        <v>9.4</v>
      </c>
    </row>
    <row r="91" spans="2:29" x14ac:dyDescent="0.3">
      <c r="B91" t="str">
        <f t="shared" si="25"/>
        <v>HH087</v>
      </c>
      <c r="C91" t="s">
        <v>65</v>
      </c>
      <c r="D91">
        <v>4</v>
      </c>
      <c r="E91">
        <v>1</v>
      </c>
      <c r="F91">
        <v>4</v>
      </c>
      <c r="G91" s="4">
        <v>29430</v>
      </c>
      <c r="H91">
        <v>27</v>
      </c>
      <c r="I91" t="s">
        <v>67</v>
      </c>
      <c r="J91" s="4">
        <v>2909</v>
      </c>
      <c r="K91">
        <v>27</v>
      </c>
      <c r="L91">
        <f>'KRWSIP_Program_Baseline Data'!H92</f>
        <v>9</v>
      </c>
      <c r="M91">
        <v>1</v>
      </c>
      <c r="P91" s="5"/>
      <c r="V91" s="4">
        <f t="shared" si="17"/>
        <v>29430</v>
      </c>
      <c r="W91" s="4">
        <f t="shared" si="18"/>
        <v>21232</v>
      </c>
      <c r="X91" s="4">
        <f t="shared" si="19"/>
        <v>2909</v>
      </c>
      <c r="Y91" s="4">
        <f t="shared" si="20"/>
        <v>5213</v>
      </c>
      <c r="Z91" s="4">
        <f t="shared" si="21"/>
        <v>27</v>
      </c>
      <c r="AA91">
        <f t="shared" si="22"/>
        <v>84</v>
      </c>
      <c r="AB91">
        <f t="shared" si="23"/>
        <v>9</v>
      </c>
      <c r="AC91">
        <f t="shared" si="24"/>
        <v>10.199999999999999</v>
      </c>
    </row>
    <row r="92" spans="2:29" x14ac:dyDescent="0.3">
      <c r="B92" t="str">
        <f t="shared" si="25"/>
        <v>HH088</v>
      </c>
      <c r="C92" t="s">
        <v>63</v>
      </c>
      <c r="D92">
        <v>3</v>
      </c>
      <c r="E92">
        <v>1</v>
      </c>
      <c r="F92">
        <v>3</v>
      </c>
      <c r="G92" s="4">
        <v>23081</v>
      </c>
      <c r="H92">
        <v>26</v>
      </c>
      <c r="I92" t="s">
        <v>67</v>
      </c>
      <c r="J92" s="4">
        <v>2407</v>
      </c>
      <c r="K92">
        <v>26</v>
      </c>
      <c r="L92">
        <f>'KRWSIP_Program_Baseline Data'!H93</f>
        <v>6.1</v>
      </c>
      <c r="M92">
        <v>1</v>
      </c>
      <c r="P92" s="5"/>
      <c r="V92" s="4">
        <f t="shared" si="17"/>
        <v>23081</v>
      </c>
      <c r="W92" s="4">
        <f t="shared" si="18"/>
        <v>40980</v>
      </c>
      <c r="X92" s="4">
        <f t="shared" si="19"/>
        <v>2407</v>
      </c>
      <c r="Y92" s="4">
        <f t="shared" si="20"/>
        <v>4083</v>
      </c>
      <c r="Z92" s="4">
        <f t="shared" si="21"/>
        <v>26</v>
      </c>
      <c r="AA92">
        <f t="shared" si="22"/>
        <v>50</v>
      </c>
      <c r="AB92">
        <f t="shared" si="23"/>
        <v>6.1</v>
      </c>
      <c r="AC92">
        <f t="shared" si="24"/>
        <v>3.7</v>
      </c>
    </row>
    <row r="93" spans="2:29" x14ac:dyDescent="0.3">
      <c r="B93" t="str">
        <f t="shared" si="25"/>
        <v>HH089</v>
      </c>
      <c r="C93" t="s">
        <v>62</v>
      </c>
      <c r="D93">
        <v>4</v>
      </c>
      <c r="E93">
        <v>1</v>
      </c>
      <c r="F93">
        <v>4</v>
      </c>
      <c r="G93" s="4">
        <v>25384</v>
      </c>
      <c r="H93">
        <v>19</v>
      </c>
      <c r="I93" t="s">
        <v>67</v>
      </c>
      <c r="J93" s="4">
        <v>2810</v>
      </c>
      <c r="K93">
        <v>19</v>
      </c>
      <c r="L93">
        <f>'KRWSIP_Program_Baseline Data'!H94</f>
        <v>4.5999999999999996</v>
      </c>
      <c r="M93">
        <v>1</v>
      </c>
      <c r="P93" s="5"/>
      <c r="V93" s="4">
        <f t="shared" si="17"/>
        <v>25384</v>
      </c>
      <c r="W93" s="4">
        <f t="shared" si="18"/>
        <v>28075</v>
      </c>
      <c r="X93" s="4">
        <f t="shared" si="19"/>
        <v>2810</v>
      </c>
      <c r="Y93" s="4">
        <f t="shared" si="20"/>
        <v>5679</v>
      </c>
      <c r="Z93" s="4">
        <f t="shared" si="21"/>
        <v>19</v>
      </c>
      <c r="AA93">
        <f t="shared" si="22"/>
        <v>20</v>
      </c>
      <c r="AB93">
        <f t="shared" si="23"/>
        <v>4.5999999999999996</v>
      </c>
      <c r="AC93">
        <f t="shared" si="24"/>
        <v>9.3000000000000007</v>
      </c>
    </row>
    <row r="94" spans="2:29" x14ac:dyDescent="0.3">
      <c r="B94" t="str">
        <f t="shared" si="25"/>
        <v>HH090</v>
      </c>
      <c r="C94" t="s">
        <v>65</v>
      </c>
      <c r="D94">
        <v>6</v>
      </c>
      <c r="E94">
        <v>1</v>
      </c>
      <c r="F94">
        <v>6</v>
      </c>
      <c r="G94" s="4">
        <v>29883</v>
      </c>
      <c r="H94">
        <v>43</v>
      </c>
      <c r="I94" t="s">
        <v>67</v>
      </c>
      <c r="J94" s="4">
        <v>3424</v>
      </c>
      <c r="K94">
        <v>43</v>
      </c>
      <c r="L94">
        <f>'KRWSIP_Program_Baseline Data'!H95</f>
        <v>5</v>
      </c>
      <c r="M94">
        <v>1</v>
      </c>
      <c r="P94" s="5"/>
      <c r="V94" s="4">
        <f t="shared" si="17"/>
        <v>29883</v>
      </c>
      <c r="W94" s="4">
        <f t="shared" si="18"/>
        <v>20848</v>
      </c>
      <c r="X94" s="4">
        <f t="shared" si="19"/>
        <v>3424</v>
      </c>
      <c r="Y94" s="4">
        <f t="shared" si="20"/>
        <v>3287</v>
      </c>
      <c r="Z94" s="4">
        <f t="shared" si="21"/>
        <v>43</v>
      </c>
      <c r="AA94">
        <f t="shared" si="22"/>
        <v>55</v>
      </c>
      <c r="AB94">
        <f t="shared" si="23"/>
        <v>5</v>
      </c>
      <c r="AC94">
        <f t="shared" si="24"/>
        <v>4.5999999999999996</v>
      </c>
    </row>
    <row r="95" spans="2:29" x14ac:dyDescent="0.3">
      <c r="B95" t="str">
        <f t="shared" si="25"/>
        <v>HH091</v>
      </c>
      <c r="C95" t="s">
        <v>65</v>
      </c>
      <c r="D95">
        <v>5</v>
      </c>
      <c r="E95">
        <v>1</v>
      </c>
      <c r="F95">
        <v>5</v>
      </c>
      <c r="G95" s="4">
        <v>37398</v>
      </c>
      <c r="H95">
        <v>27</v>
      </c>
      <c r="I95" t="s">
        <v>68</v>
      </c>
      <c r="J95" s="4">
        <v>4062</v>
      </c>
      <c r="K95">
        <v>27</v>
      </c>
      <c r="L95">
        <f>'KRWSIP_Program_Baseline Data'!H96</f>
        <v>5.8</v>
      </c>
      <c r="M95">
        <v>1</v>
      </c>
      <c r="P95" s="5"/>
      <c r="V95" s="4">
        <f t="shared" si="17"/>
        <v>37398</v>
      </c>
      <c r="W95" s="4">
        <f t="shared" si="18"/>
        <v>20830</v>
      </c>
      <c r="X95" s="4">
        <f t="shared" si="19"/>
        <v>4062</v>
      </c>
      <c r="Y95" s="4">
        <f t="shared" si="20"/>
        <v>3963</v>
      </c>
      <c r="Z95" s="4">
        <f t="shared" si="21"/>
        <v>27</v>
      </c>
      <c r="AA95">
        <f t="shared" si="22"/>
        <v>51</v>
      </c>
      <c r="AB95">
        <f t="shared" si="23"/>
        <v>5.8</v>
      </c>
      <c r="AC95">
        <f t="shared" si="24"/>
        <v>4.4000000000000004</v>
      </c>
    </row>
    <row r="96" spans="2:29" x14ac:dyDescent="0.3">
      <c r="B96" t="str">
        <f t="shared" si="25"/>
        <v>HH092</v>
      </c>
      <c r="C96" t="s">
        <v>62</v>
      </c>
      <c r="D96">
        <v>6</v>
      </c>
      <c r="E96">
        <v>1</v>
      </c>
      <c r="F96">
        <v>6</v>
      </c>
      <c r="G96" s="4">
        <v>48669</v>
      </c>
      <c r="H96">
        <v>48</v>
      </c>
      <c r="I96" t="s">
        <v>69</v>
      </c>
      <c r="J96" s="4">
        <v>3807</v>
      </c>
      <c r="K96">
        <v>48</v>
      </c>
      <c r="L96">
        <f>'KRWSIP_Program_Baseline Data'!H97</f>
        <v>14.1</v>
      </c>
      <c r="M96">
        <v>1</v>
      </c>
      <c r="P96" s="5"/>
      <c r="V96" s="4">
        <f t="shared" si="17"/>
        <v>48669</v>
      </c>
      <c r="W96" s="4">
        <f t="shared" si="18"/>
        <v>14074</v>
      </c>
      <c r="X96" s="4">
        <f t="shared" si="19"/>
        <v>3807</v>
      </c>
      <c r="Y96" s="4">
        <f t="shared" si="20"/>
        <v>4662</v>
      </c>
      <c r="Z96" s="4">
        <f t="shared" si="21"/>
        <v>48</v>
      </c>
      <c r="AA96">
        <f t="shared" si="22"/>
        <v>56</v>
      </c>
      <c r="AB96">
        <f t="shared" si="23"/>
        <v>14.1</v>
      </c>
      <c r="AC96">
        <f t="shared" si="24"/>
        <v>3.5</v>
      </c>
    </row>
    <row r="97" spans="2:29" x14ac:dyDescent="0.3">
      <c r="B97" t="str">
        <f t="shared" si="25"/>
        <v>HH093</v>
      </c>
      <c r="C97" t="s">
        <v>62</v>
      </c>
      <c r="D97">
        <v>4</v>
      </c>
      <c r="E97">
        <v>1</v>
      </c>
      <c r="F97">
        <v>4</v>
      </c>
      <c r="G97" s="4">
        <v>48620</v>
      </c>
      <c r="H97">
        <v>14</v>
      </c>
      <c r="I97" t="s">
        <v>68</v>
      </c>
      <c r="J97" s="4">
        <v>3656</v>
      </c>
      <c r="K97">
        <v>14</v>
      </c>
      <c r="L97">
        <f>'KRWSIP_Program_Baseline Data'!H98</f>
        <v>1.4</v>
      </c>
      <c r="M97">
        <v>1</v>
      </c>
      <c r="P97" s="5"/>
      <c r="V97" s="4">
        <f t="shared" si="17"/>
        <v>48620</v>
      </c>
      <c r="W97" s="4">
        <f t="shared" si="18"/>
        <v>34866</v>
      </c>
      <c r="X97" s="4">
        <f t="shared" si="19"/>
        <v>3656</v>
      </c>
      <c r="Y97" s="4">
        <f t="shared" si="20"/>
        <v>6348</v>
      </c>
      <c r="Z97" s="4">
        <f t="shared" si="21"/>
        <v>14</v>
      </c>
      <c r="AA97">
        <f t="shared" si="22"/>
        <v>109</v>
      </c>
      <c r="AB97">
        <f t="shared" si="23"/>
        <v>1.4</v>
      </c>
      <c r="AC97">
        <f t="shared" si="24"/>
        <v>6</v>
      </c>
    </row>
    <row r="98" spans="2:29" x14ac:dyDescent="0.3">
      <c r="B98" t="str">
        <f t="shared" si="25"/>
        <v>HH094</v>
      </c>
      <c r="C98" t="s">
        <v>63</v>
      </c>
      <c r="D98">
        <v>6</v>
      </c>
      <c r="E98">
        <v>1</v>
      </c>
      <c r="F98">
        <v>6</v>
      </c>
      <c r="G98" s="4">
        <v>30014</v>
      </c>
      <c r="H98">
        <v>8</v>
      </c>
      <c r="I98" t="s">
        <v>69</v>
      </c>
      <c r="J98" s="4">
        <v>4067</v>
      </c>
      <c r="K98">
        <v>8</v>
      </c>
      <c r="L98">
        <f>'KRWSIP_Program_Baseline Data'!H99</f>
        <v>13.3</v>
      </c>
      <c r="M98">
        <v>1</v>
      </c>
      <c r="P98" s="5"/>
      <c r="V98" s="4">
        <f t="shared" si="17"/>
        <v>30014</v>
      </c>
      <c r="W98" s="4">
        <f t="shared" si="18"/>
        <v>35600</v>
      </c>
      <c r="X98" s="4">
        <f t="shared" si="19"/>
        <v>4067</v>
      </c>
      <c r="Y98" s="4">
        <f t="shared" si="20"/>
        <v>4363</v>
      </c>
      <c r="Z98" s="4">
        <f t="shared" si="21"/>
        <v>8</v>
      </c>
      <c r="AA98">
        <f t="shared" si="22"/>
        <v>15</v>
      </c>
      <c r="AB98">
        <f t="shared" si="23"/>
        <v>13.3</v>
      </c>
      <c r="AC98">
        <f t="shared" si="24"/>
        <v>11.8</v>
      </c>
    </row>
    <row r="99" spans="2:29" x14ac:dyDescent="0.3">
      <c r="B99" t="str">
        <f t="shared" si="25"/>
        <v>HH095</v>
      </c>
      <c r="C99" t="s">
        <v>62</v>
      </c>
      <c r="D99">
        <v>8</v>
      </c>
      <c r="E99">
        <v>1</v>
      </c>
      <c r="F99">
        <v>8</v>
      </c>
      <c r="G99" s="4">
        <v>33626</v>
      </c>
      <c r="H99">
        <v>41</v>
      </c>
      <c r="I99" t="s">
        <v>68</v>
      </c>
      <c r="J99" s="4">
        <v>4929</v>
      </c>
      <c r="K99">
        <v>41</v>
      </c>
      <c r="L99">
        <f>'KRWSIP_Program_Baseline Data'!H100</f>
        <v>0.7</v>
      </c>
      <c r="M99">
        <v>1</v>
      </c>
      <c r="P99" s="5"/>
      <c r="V99" s="4">
        <f t="shared" si="17"/>
        <v>33626</v>
      </c>
      <c r="W99" s="4">
        <f t="shared" si="18"/>
        <v>34739</v>
      </c>
      <c r="X99" s="4">
        <f t="shared" si="19"/>
        <v>4929</v>
      </c>
      <c r="Y99" s="4">
        <f t="shared" si="20"/>
        <v>4632</v>
      </c>
      <c r="Z99" s="4">
        <f t="shared" si="21"/>
        <v>41</v>
      </c>
      <c r="AA99">
        <f t="shared" si="22"/>
        <v>45</v>
      </c>
      <c r="AB99">
        <f t="shared" si="23"/>
        <v>0.7</v>
      </c>
      <c r="AC99">
        <f t="shared" si="24"/>
        <v>6.5</v>
      </c>
    </row>
    <row r="100" spans="2:29" x14ac:dyDescent="0.3">
      <c r="B100" t="str">
        <f t="shared" si="25"/>
        <v>HH096</v>
      </c>
      <c r="C100" t="s">
        <v>65</v>
      </c>
      <c r="D100">
        <v>2</v>
      </c>
      <c r="E100">
        <v>1</v>
      </c>
      <c r="F100">
        <v>2</v>
      </c>
      <c r="G100" s="4">
        <v>37565</v>
      </c>
      <c r="H100">
        <v>52</v>
      </c>
      <c r="I100" t="s">
        <v>67</v>
      </c>
      <c r="J100" s="4">
        <v>3304</v>
      </c>
      <c r="K100">
        <v>52</v>
      </c>
      <c r="L100">
        <f>'KRWSIP_Program_Baseline Data'!H101</f>
        <v>10.1</v>
      </c>
      <c r="M100">
        <v>1</v>
      </c>
      <c r="P100" s="5"/>
      <c r="V100" s="4">
        <f t="shared" si="17"/>
        <v>37565</v>
      </c>
      <c r="W100" s="4">
        <f t="shared" si="18"/>
        <v>23424</v>
      </c>
      <c r="X100" s="4">
        <f t="shared" si="19"/>
        <v>3304</v>
      </c>
      <c r="Y100" s="4">
        <f t="shared" si="20"/>
        <v>5350</v>
      </c>
      <c r="Z100" s="4">
        <f t="shared" si="21"/>
        <v>52</v>
      </c>
      <c r="AA100">
        <f t="shared" si="22"/>
        <v>41</v>
      </c>
      <c r="AB100">
        <f t="shared" si="23"/>
        <v>10.1</v>
      </c>
      <c r="AC100">
        <f t="shared" si="24"/>
        <v>2.1</v>
      </c>
    </row>
    <row r="101" spans="2:29" x14ac:dyDescent="0.3">
      <c r="B101" t="str">
        <f t="shared" si="25"/>
        <v>HH097</v>
      </c>
      <c r="C101" t="s">
        <v>62</v>
      </c>
      <c r="D101">
        <v>3</v>
      </c>
      <c r="E101">
        <v>1</v>
      </c>
      <c r="F101">
        <v>3</v>
      </c>
      <c r="G101" s="4">
        <v>33378</v>
      </c>
      <c r="H101">
        <v>10</v>
      </c>
      <c r="I101" t="s">
        <v>66</v>
      </c>
      <c r="J101" s="4">
        <v>2429</v>
      </c>
      <c r="K101">
        <v>10</v>
      </c>
      <c r="L101">
        <f>'KRWSIP_Program_Baseline Data'!H102</f>
        <v>8.6999999999999993</v>
      </c>
      <c r="M101">
        <v>1</v>
      </c>
      <c r="P101" s="5"/>
      <c r="V101" s="4">
        <f t="shared" ref="V101:V132" si="26">IF($M101=1,G101,"")</f>
        <v>33378</v>
      </c>
      <c r="W101" s="4">
        <f t="shared" ref="W101:W132" si="27">IF($M301=0, G301,"")</f>
        <v>27598</v>
      </c>
      <c r="X101" s="4">
        <f t="shared" ref="X101:X132" si="28">IF($M101=1,J101,"")</f>
        <v>2429</v>
      </c>
      <c r="Y101" s="4">
        <f t="shared" ref="Y101:Y132" si="29">IF($M301=0,J301,"")</f>
        <v>2948</v>
      </c>
      <c r="Z101" s="4">
        <f t="shared" ref="Z101:Z132" si="30">IF($M101=1,K101,"")</f>
        <v>10</v>
      </c>
      <c r="AA101">
        <f t="shared" ref="AA101:AA132" si="31">IF($M301=0,K301,"")</f>
        <v>80</v>
      </c>
      <c r="AB101">
        <f t="shared" ref="AB101:AB132" si="32">IF($M101=1,L101,"")</f>
        <v>8.6999999999999993</v>
      </c>
      <c r="AC101">
        <f t="shared" ref="AC101:AC132" si="33">IF($M301=0,L301,"")</f>
        <v>8.3000000000000007</v>
      </c>
    </row>
    <row r="102" spans="2:29" x14ac:dyDescent="0.3">
      <c r="B102" t="str">
        <f t="shared" si="25"/>
        <v>HH098</v>
      </c>
      <c r="C102" t="s">
        <v>62</v>
      </c>
      <c r="D102">
        <v>6</v>
      </c>
      <c r="E102">
        <v>1</v>
      </c>
      <c r="F102">
        <v>6</v>
      </c>
      <c r="G102" s="4">
        <v>20351</v>
      </c>
      <c r="H102">
        <v>24</v>
      </c>
      <c r="I102" t="s">
        <v>69</v>
      </c>
      <c r="J102" s="4">
        <v>3231</v>
      </c>
      <c r="K102">
        <v>24</v>
      </c>
      <c r="L102">
        <f>'KRWSIP_Program_Baseline Data'!H103</f>
        <v>9.4</v>
      </c>
      <c r="M102">
        <v>1</v>
      </c>
      <c r="P102" s="5"/>
      <c r="V102" s="4">
        <f t="shared" si="26"/>
        <v>20351</v>
      </c>
      <c r="W102" s="4">
        <f t="shared" si="27"/>
        <v>28572</v>
      </c>
      <c r="X102" s="4">
        <f t="shared" si="28"/>
        <v>3231</v>
      </c>
      <c r="Y102" s="4">
        <f t="shared" si="29"/>
        <v>4538</v>
      </c>
      <c r="Z102" s="4">
        <f t="shared" si="30"/>
        <v>24</v>
      </c>
      <c r="AA102">
        <f t="shared" si="31"/>
        <v>53</v>
      </c>
      <c r="AB102">
        <f t="shared" si="32"/>
        <v>9.4</v>
      </c>
      <c r="AC102">
        <f t="shared" si="33"/>
        <v>8.1999999999999993</v>
      </c>
    </row>
    <row r="103" spans="2:29" x14ac:dyDescent="0.3">
      <c r="B103" t="str">
        <f t="shared" si="25"/>
        <v>HH099</v>
      </c>
      <c r="C103" t="s">
        <v>63</v>
      </c>
      <c r="D103">
        <v>5</v>
      </c>
      <c r="E103">
        <v>1</v>
      </c>
      <c r="F103">
        <v>5</v>
      </c>
      <c r="G103" s="4">
        <v>12219</v>
      </c>
      <c r="H103">
        <v>25</v>
      </c>
      <c r="I103" t="s">
        <v>68</v>
      </c>
      <c r="J103" s="4">
        <v>3218</v>
      </c>
      <c r="K103">
        <v>25</v>
      </c>
      <c r="L103">
        <f>'KRWSIP_Program_Baseline Data'!H104</f>
        <v>7.6</v>
      </c>
      <c r="M103">
        <v>1</v>
      </c>
      <c r="P103" s="5"/>
      <c r="V103" s="4">
        <f t="shared" si="26"/>
        <v>12219</v>
      </c>
      <c r="W103" s="4">
        <f t="shared" si="27"/>
        <v>30066</v>
      </c>
      <c r="X103" s="4">
        <f t="shared" si="28"/>
        <v>3218</v>
      </c>
      <c r="Y103" s="4">
        <f t="shared" si="29"/>
        <v>3954</v>
      </c>
      <c r="Z103" s="4">
        <f t="shared" si="30"/>
        <v>25</v>
      </c>
      <c r="AA103">
        <f t="shared" si="31"/>
        <v>49</v>
      </c>
      <c r="AB103">
        <f t="shared" si="32"/>
        <v>7.6</v>
      </c>
      <c r="AC103">
        <f t="shared" si="33"/>
        <v>1.4</v>
      </c>
    </row>
    <row r="104" spans="2:29" x14ac:dyDescent="0.3">
      <c r="B104" t="str">
        <f t="shared" si="25"/>
        <v>HH100</v>
      </c>
      <c r="C104" t="s">
        <v>63</v>
      </c>
      <c r="D104">
        <v>5</v>
      </c>
      <c r="E104">
        <v>1</v>
      </c>
      <c r="F104">
        <v>5</v>
      </c>
      <c r="G104" s="4">
        <v>21912</v>
      </c>
      <c r="H104">
        <v>43</v>
      </c>
      <c r="I104" t="s">
        <v>67</v>
      </c>
      <c r="J104" s="4">
        <v>2593</v>
      </c>
      <c r="K104">
        <v>43</v>
      </c>
      <c r="L104">
        <f>'KRWSIP_Program_Baseline Data'!H105</f>
        <v>4.9000000000000004</v>
      </c>
      <c r="M104">
        <v>1</v>
      </c>
      <c r="P104" s="5"/>
      <c r="V104" s="4">
        <f t="shared" si="26"/>
        <v>21912</v>
      </c>
      <c r="W104" s="4">
        <f t="shared" si="27"/>
        <v>23259</v>
      </c>
      <c r="X104" s="4">
        <f t="shared" si="28"/>
        <v>2593</v>
      </c>
      <c r="Y104" s="4">
        <f t="shared" si="29"/>
        <v>5435</v>
      </c>
      <c r="Z104" s="4">
        <f t="shared" si="30"/>
        <v>43</v>
      </c>
      <c r="AA104">
        <f t="shared" si="31"/>
        <v>69</v>
      </c>
      <c r="AB104">
        <f t="shared" si="32"/>
        <v>4.9000000000000004</v>
      </c>
      <c r="AC104">
        <f t="shared" si="33"/>
        <v>5.5</v>
      </c>
    </row>
    <row r="105" spans="2:29" x14ac:dyDescent="0.3">
      <c r="B105" t="str">
        <f t="shared" si="25"/>
        <v>HH101</v>
      </c>
      <c r="C105" t="s">
        <v>65</v>
      </c>
      <c r="D105">
        <v>8</v>
      </c>
      <c r="E105">
        <v>1</v>
      </c>
      <c r="F105">
        <v>8</v>
      </c>
      <c r="G105" s="4">
        <v>32929</v>
      </c>
      <c r="H105">
        <v>33</v>
      </c>
      <c r="I105" t="s">
        <v>67</v>
      </c>
      <c r="J105" s="4">
        <v>3337</v>
      </c>
      <c r="K105">
        <v>33</v>
      </c>
      <c r="L105">
        <f>'KRWSIP_Program_Baseline Data'!H106</f>
        <v>8.3000000000000007</v>
      </c>
      <c r="M105">
        <v>1</v>
      </c>
      <c r="P105" s="5"/>
      <c r="V105" s="4">
        <f t="shared" si="26"/>
        <v>32929</v>
      </c>
      <c r="W105" s="4">
        <f t="shared" si="27"/>
        <v>45974</v>
      </c>
      <c r="X105" s="4">
        <f t="shared" si="28"/>
        <v>3337</v>
      </c>
      <c r="Y105" s="4">
        <f t="shared" si="29"/>
        <v>4600</v>
      </c>
      <c r="Z105" s="4">
        <f t="shared" si="30"/>
        <v>33</v>
      </c>
      <c r="AA105">
        <f t="shared" si="31"/>
        <v>96</v>
      </c>
      <c r="AB105">
        <f t="shared" si="32"/>
        <v>8.3000000000000007</v>
      </c>
      <c r="AC105">
        <f t="shared" si="33"/>
        <v>2.2000000000000002</v>
      </c>
    </row>
    <row r="106" spans="2:29" x14ac:dyDescent="0.3">
      <c r="B106" t="str">
        <f t="shared" si="25"/>
        <v>HH102</v>
      </c>
      <c r="C106" t="s">
        <v>63</v>
      </c>
      <c r="D106">
        <v>6</v>
      </c>
      <c r="E106">
        <v>1</v>
      </c>
      <c r="F106">
        <v>6</v>
      </c>
      <c r="G106" s="4">
        <v>34127</v>
      </c>
      <c r="H106">
        <v>19</v>
      </c>
      <c r="I106" t="s">
        <v>67</v>
      </c>
      <c r="J106" s="4">
        <v>3130</v>
      </c>
      <c r="K106">
        <v>19</v>
      </c>
      <c r="L106">
        <f>'KRWSIP_Program_Baseline Data'!H107</f>
        <v>4.7</v>
      </c>
      <c r="M106">
        <v>1</v>
      </c>
      <c r="P106" s="5"/>
      <c r="V106" s="4">
        <f t="shared" si="26"/>
        <v>34127</v>
      </c>
      <c r="W106" s="4">
        <f t="shared" si="27"/>
        <v>37000</v>
      </c>
      <c r="X106" s="4">
        <f t="shared" si="28"/>
        <v>3130</v>
      </c>
      <c r="Y106" s="4">
        <f t="shared" si="29"/>
        <v>3837</v>
      </c>
      <c r="Z106" s="4">
        <f t="shared" si="30"/>
        <v>19</v>
      </c>
      <c r="AA106">
        <f t="shared" si="31"/>
        <v>23</v>
      </c>
      <c r="AB106">
        <f t="shared" si="32"/>
        <v>4.7</v>
      </c>
      <c r="AC106">
        <f t="shared" si="33"/>
        <v>15</v>
      </c>
    </row>
    <row r="107" spans="2:29" x14ac:dyDescent="0.3">
      <c r="B107" t="str">
        <f t="shared" si="25"/>
        <v>HH103</v>
      </c>
      <c r="C107" t="s">
        <v>63</v>
      </c>
      <c r="D107">
        <v>5</v>
      </c>
      <c r="E107">
        <v>1</v>
      </c>
      <c r="F107">
        <v>5</v>
      </c>
      <c r="G107" s="4">
        <v>31631</v>
      </c>
      <c r="H107">
        <v>43</v>
      </c>
      <c r="I107" t="s">
        <v>68</v>
      </c>
      <c r="J107" s="4">
        <v>3432</v>
      </c>
      <c r="K107">
        <v>43</v>
      </c>
      <c r="L107">
        <f>'KRWSIP_Program_Baseline Data'!H108</f>
        <v>7.5</v>
      </c>
      <c r="M107">
        <v>1</v>
      </c>
      <c r="P107" s="5"/>
      <c r="V107" s="4">
        <f t="shared" si="26"/>
        <v>31631</v>
      </c>
      <c r="W107" s="4">
        <f t="shared" si="27"/>
        <v>31558</v>
      </c>
      <c r="X107" s="4">
        <f t="shared" si="28"/>
        <v>3432</v>
      </c>
      <c r="Y107" s="4">
        <f t="shared" si="29"/>
        <v>6487</v>
      </c>
      <c r="Z107" s="4">
        <f t="shared" si="30"/>
        <v>43</v>
      </c>
      <c r="AA107">
        <f t="shared" si="31"/>
        <v>46</v>
      </c>
      <c r="AB107">
        <f t="shared" si="32"/>
        <v>7.5</v>
      </c>
      <c r="AC107">
        <f t="shared" si="33"/>
        <v>10.9</v>
      </c>
    </row>
    <row r="108" spans="2:29" x14ac:dyDescent="0.3">
      <c r="B108" t="str">
        <f t="shared" si="25"/>
        <v>HH104</v>
      </c>
      <c r="C108" t="s">
        <v>63</v>
      </c>
      <c r="D108">
        <v>7</v>
      </c>
      <c r="E108">
        <v>1</v>
      </c>
      <c r="F108">
        <v>7</v>
      </c>
      <c r="G108" s="4">
        <v>24820</v>
      </c>
      <c r="H108">
        <v>38</v>
      </c>
      <c r="I108" t="s">
        <v>67</v>
      </c>
      <c r="J108" s="4">
        <v>4170</v>
      </c>
      <c r="K108">
        <v>38</v>
      </c>
      <c r="L108">
        <f>'KRWSIP_Program_Baseline Data'!H109</f>
        <v>9.5</v>
      </c>
      <c r="M108">
        <v>1</v>
      </c>
      <c r="P108" s="5"/>
      <c r="V108" s="4">
        <f t="shared" si="26"/>
        <v>24820</v>
      </c>
      <c r="W108" s="4">
        <f t="shared" si="27"/>
        <v>38958</v>
      </c>
      <c r="X108" s="4">
        <f t="shared" si="28"/>
        <v>4170</v>
      </c>
      <c r="Y108" s="4">
        <f t="shared" si="29"/>
        <v>5124</v>
      </c>
      <c r="Z108" s="4">
        <f t="shared" si="30"/>
        <v>38</v>
      </c>
      <c r="AA108">
        <f t="shared" si="31"/>
        <v>60</v>
      </c>
      <c r="AB108">
        <f t="shared" si="32"/>
        <v>9.5</v>
      </c>
      <c r="AC108">
        <f t="shared" si="33"/>
        <v>14.6</v>
      </c>
    </row>
    <row r="109" spans="2:29" x14ac:dyDescent="0.3">
      <c r="B109" t="str">
        <f t="shared" si="25"/>
        <v>HH105</v>
      </c>
      <c r="C109" t="s">
        <v>64</v>
      </c>
      <c r="D109">
        <v>3</v>
      </c>
      <c r="E109">
        <v>1</v>
      </c>
      <c r="F109">
        <v>3</v>
      </c>
      <c r="G109" s="4">
        <v>35805</v>
      </c>
      <c r="H109">
        <v>51</v>
      </c>
      <c r="I109" t="s">
        <v>69</v>
      </c>
      <c r="J109" s="4">
        <v>3233</v>
      </c>
      <c r="K109">
        <v>51</v>
      </c>
      <c r="L109">
        <f>'KRWSIP_Program_Baseline Data'!H110</f>
        <v>5.3</v>
      </c>
      <c r="M109">
        <v>1</v>
      </c>
      <c r="P109" s="5"/>
      <c r="V109" s="4">
        <f t="shared" si="26"/>
        <v>35805</v>
      </c>
      <c r="W109" s="4">
        <f t="shared" si="27"/>
        <v>18641</v>
      </c>
      <c r="X109" s="4">
        <f t="shared" si="28"/>
        <v>3233</v>
      </c>
      <c r="Y109" s="4">
        <f t="shared" si="29"/>
        <v>4432</v>
      </c>
      <c r="Z109" s="4">
        <f t="shared" si="30"/>
        <v>51</v>
      </c>
      <c r="AA109">
        <f t="shared" si="31"/>
        <v>59</v>
      </c>
      <c r="AB109">
        <f t="shared" si="32"/>
        <v>5.3</v>
      </c>
      <c r="AC109">
        <f t="shared" si="33"/>
        <v>7.1</v>
      </c>
    </row>
    <row r="110" spans="2:29" x14ac:dyDescent="0.3">
      <c r="B110" t="str">
        <f t="shared" si="25"/>
        <v>HH106</v>
      </c>
      <c r="C110" t="s">
        <v>63</v>
      </c>
      <c r="D110">
        <v>2</v>
      </c>
      <c r="E110">
        <v>1</v>
      </c>
      <c r="F110">
        <v>2</v>
      </c>
      <c r="G110" s="4">
        <v>43511</v>
      </c>
      <c r="H110">
        <v>30</v>
      </c>
      <c r="I110" t="s">
        <v>67</v>
      </c>
      <c r="J110" s="4">
        <v>2909</v>
      </c>
      <c r="K110">
        <v>30</v>
      </c>
      <c r="L110">
        <f>'KRWSIP_Program_Baseline Data'!H111</f>
        <v>2.6</v>
      </c>
      <c r="M110">
        <v>1</v>
      </c>
      <c r="P110" s="5"/>
      <c r="V110" s="4">
        <f t="shared" si="26"/>
        <v>43511</v>
      </c>
      <c r="W110" s="4">
        <f t="shared" si="27"/>
        <v>28026</v>
      </c>
      <c r="X110" s="4">
        <f t="shared" si="28"/>
        <v>2909</v>
      </c>
      <c r="Y110" s="4">
        <f t="shared" si="29"/>
        <v>4219</v>
      </c>
      <c r="Z110" s="4">
        <f t="shared" si="30"/>
        <v>30</v>
      </c>
      <c r="AA110">
        <f t="shared" si="31"/>
        <v>82</v>
      </c>
      <c r="AB110">
        <f t="shared" si="32"/>
        <v>2.6</v>
      </c>
      <c r="AC110">
        <f t="shared" si="33"/>
        <v>2</v>
      </c>
    </row>
    <row r="111" spans="2:29" x14ac:dyDescent="0.3">
      <c r="B111" t="str">
        <f t="shared" si="25"/>
        <v>HH107</v>
      </c>
      <c r="C111" t="s">
        <v>65</v>
      </c>
      <c r="D111">
        <v>2</v>
      </c>
      <c r="E111">
        <v>1</v>
      </c>
      <c r="F111">
        <v>2</v>
      </c>
      <c r="G111" s="4">
        <v>36581</v>
      </c>
      <c r="H111">
        <v>16</v>
      </c>
      <c r="I111" t="s">
        <v>69</v>
      </c>
      <c r="J111" s="4">
        <v>2595</v>
      </c>
      <c r="K111">
        <v>16</v>
      </c>
      <c r="L111">
        <f>'KRWSIP_Program_Baseline Data'!H112</f>
        <v>5.5</v>
      </c>
      <c r="M111">
        <v>1</v>
      </c>
      <c r="P111" s="5"/>
      <c r="V111" s="4">
        <f t="shared" si="26"/>
        <v>36581</v>
      </c>
      <c r="W111" s="4">
        <f t="shared" si="27"/>
        <v>32886</v>
      </c>
      <c r="X111" s="4">
        <f t="shared" si="28"/>
        <v>2595</v>
      </c>
      <c r="Y111" s="4">
        <f t="shared" si="29"/>
        <v>4647</v>
      </c>
      <c r="Z111" s="4">
        <f t="shared" si="30"/>
        <v>16</v>
      </c>
      <c r="AA111">
        <f t="shared" si="31"/>
        <v>66</v>
      </c>
      <c r="AB111">
        <f t="shared" si="32"/>
        <v>5.5</v>
      </c>
      <c r="AC111">
        <f t="shared" si="33"/>
        <v>10.8</v>
      </c>
    </row>
    <row r="112" spans="2:29" x14ac:dyDescent="0.3">
      <c r="B112" t="str">
        <f t="shared" si="25"/>
        <v>HH108</v>
      </c>
      <c r="C112" t="s">
        <v>62</v>
      </c>
      <c r="D112">
        <v>7</v>
      </c>
      <c r="E112">
        <v>1</v>
      </c>
      <c r="F112">
        <v>7</v>
      </c>
      <c r="G112" s="4">
        <v>23623</v>
      </c>
      <c r="H112">
        <v>12</v>
      </c>
      <c r="I112" t="s">
        <v>68</v>
      </c>
      <c r="J112" s="4">
        <v>4177</v>
      </c>
      <c r="K112">
        <v>12</v>
      </c>
      <c r="L112">
        <f>'KRWSIP_Program_Baseline Data'!H113</f>
        <v>9.3000000000000007</v>
      </c>
      <c r="M112">
        <v>1</v>
      </c>
      <c r="P112" s="5"/>
      <c r="V112" s="4">
        <f t="shared" si="26"/>
        <v>23623</v>
      </c>
      <c r="W112" s="4">
        <f t="shared" si="27"/>
        <v>37377</v>
      </c>
      <c r="X112" s="4">
        <f t="shared" si="28"/>
        <v>4177</v>
      </c>
      <c r="Y112" s="4">
        <f t="shared" si="29"/>
        <v>5393</v>
      </c>
      <c r="Z112" s="4">
        <f t="shared" si="30"/>
        <v>12</v>
      </c>
      <c r="AA112">
        <f t="shared" si="31"/>
        <v>17</v>
      </c>
      <c r="AB112">
        <f t="shared" si="32"/>
        <v>9.3000000000000007</v>
      </c>
      <c r="AC112">
        <f t="shared" si="33"/>
        <v>6</v>
      </c>
    </row>
    <row r="113" spans="2:29" x14ac:dyDescent="0.3">
      <c r="B113" t="str">
        <f t="shared" si="25"/>
        <v>HH109</v>
      </c>
      <c r="C113" t="s">
        <v>65</v>
      </c>
      <c r="D113">
        <v>3</v>
      </c>
      <c r="E113">
        <v>1</v>
      </c>
      <c r="F113">
        <v>3</v>
      </c>
      <c r="G113" s="4">
        <v>31569</v>
      </c>
      <c r="H113">
        <v>41</v>
      </c>
      <c r="I113" t="s">
        <v>68</v>
      </c>
      <c r="J113" s="4">
        <v>3533</v>
      </c>
      <c r="K113">
        <v>41</v>
      </c>
      <c r="L113">
        <f>'KRWSIP_Program_Baseline Data'!H114</f>
        <v>1.7</v>
      </c>
      <c r="M113">
        <v>1</v>
      </c>
      <c r="P113" s="5"/>
      <c r="V113" s="4">
        <f t="shared" si="26"/>
        <v>31569</v>
      </c>
      <c r="W113" s="4">
        <f t="shared" si="27"/>
        <v>26637</v>
      </c>
      <c r="X113" s="4">
        <f t="shared" si="28"/>
        <v>3533</v>
      </c>
      <c r="Y113" s="4">
        <f t="shared" si="29"/>
        <v>4770</v>
      </c>
      <c r="Z113" s="4">
        <f t="shared" si="30"/>
        <v>41</v>
      </c>
      <c r="AA113">
        <f t="shared" si="31"/>
        <v>88</v>
      </c>
      <c r="AB113">
        <f t="shared" si="32"/>
        <v>1.7</v>
      </c>
      <c r="AC113">
        <f t="shared" si="33"/>
        <v>12.3</v>
      </c>
    </row>
    <row r="114" spans="2:29" x14ac:dyDescent="0.3">
      <c r="B114" t="str">
        <f t="shared" si="25"/>
        <v>HH110</v>
      </c>
      <c r="C114" t="s">
        <v>64</v>
      </c>
      <c r="D114">
        <v>8</v>
      </c>
      <c r="E114">
        <v>1</v>
      </c>
      <c r="F114">
        <v>8</v>
      </c>
      <c r="G114" s="4">
        <v>16579</v>
      </c>
      <c r="H114">
        <v>58</v>
      </c>
      <c r="I114" t="s">
        <v>68</v>
      </c>
      <c r="J114" s="4">
        <v>3860</v>
      </c>
      <c r="K114">
        <v>58</v>
      </c>
      <c r="L114">
        <f>'KRWSIP_Program_Baseline Data'!H115</f>
        <v>4.4000000000000004</v>
      </c>
      <c r="M114">
        <v>1</v>
      </c>
      <c r="P114" s="5"/>
      <c r="V114" s="4">
        <f t="shared" si="26"/>
        <v>16579</v>
      </c>
      <c r="W114" s="4">
        <f t="shared" si="27"/>
        <v>45875</v>
      </c>
      <c r="X114" s="4">
        <f t="shared" si="28"/>
        <v>3860</v>
      </c>
      <c r="Y114" s="4">
        <f t="shared" si="29"/>
        <v>5937</v>
      </c>
      <c r="Z114" s="4">
        <f t="shared" si="30"/>
        <v>58</v>
      </c>
      <c r="AA114">
        <f t="shared" si="31"/>
        <v>60</v>
      </c>
      <c r="AB114">
        <f t="shared" si="32"/>
        <v>4.4000000000000004</v>
      </c>
      <c r="AC114">
        <f t="shared" si="33"/>
        <v>5.8</v>
      </c>
    </row>
    <row r="115" spans="2:29" x14ac:dyDescent="0.3">
      <c r="B115" t="str">
        <f t="shared" si="25"/>
        <v>HH111</v>
      </c>
      <c r="C115" t="s">
        <v>63</v>
      </c>
      <c r="D115">
        <v>5</v>
      </c>
      <c r="E115">
        <v>1</v>
      </c>
      <c r="F115">
        <v>5</v>
      </c>
      <c r="G115" s="4">
        <v>21786</v>
      </c>
      <c r="H115">
        <v>24</v>
      </c>
      <c r="I115" t="s">
        <v>67</v>
      </c>
      <c r="J115" s="4">
        <v>3982</v>
      </c>
      <c r="K115">
        <v>24</v>
      </c>
      <c r="L115">
        <f>'KRWSIP_Program_Baseline Data'!H116</f>
        <v>13.8</v>
      </c>
      <c r="M115">
        <v>1</v>
      </c>
      <c r="P115" s="5"/>
      <c r="V115" s="4">
        <f t="shared" si="26"/>
        <v>21786</v>
      </c>
      <c r="W115" s="4">
        <f t="shared" si="27"/>
        <v>30702</v>
      </c>
      <c r="X115" s="4">
        <f t="shared" si="28"/>
        <v>3982</v>
      </c>
      <c r="Y115" s="4">
        <f t="shared" si="29"/>
        <v>5930</v>
      </c>
      <c r="Z115" s="4">
        <f t="shared" si="30"/>
        <v>24</v>
      </c>
      <c r="AA115">
        <f t="shared" si="31"/>
        <v>32</v>
      </c>
      <c r="AB115">
        <f t="shared" si="32"/>
        <v>13.8</v>
      </c>
      <c r="AC115">
        <f t="shared" si="33"/>
        <v>2.9</v>
      </c>
    </row>
    <row r="116" spans="2:29" x14ac:dyDescent="0.3">
      <c r="B116" t="str">
        <f t="shared" si="25"/>
        <v>HH112</v>
      </c>
      <c r="C116" t="s">
        <v>64</v>
      </c>
      <c r="D116">
        <v>4</v>
      </c>
      <c r="E116">
        <v>1</v>
      </c>
      <c r="F116">
        <v>4</v>
      </c>
      <c r="G116" s="4">
        <v>39478</v>
      </c>
      <c r="H116">
        <v>46</v>
      </c>
      <c r="I116" t="s">
        <v>68</v>
      </c>
      <c r="J116" s="4">
        <v>2487</v>
      </c>
      <c r="K116">
        <v>46</v>
      </c>
      <c r="L116">
        <f>'KRWSIP_Program_Baseline Data'!H117</f>
        <v>9.3000000000000007</v>
      </c>
      <c r="M116">
        <v>1</v>
      </c>
      <c r="P116" s="5"/>
      <c r="V116" s="4">
        <f t="shared" si="26"/>
        <v>39478</v>
      </c>
      <c r="W116" s="4">
        <f t="shared" si="27"/>
        <v>39292</v>
      </c>
      <c r="X116" s="4">
        <f t="shared" si="28"/>
        <v>2487</v>
      </c>
      <c r="Y116" s="4">
        <f t="shared" si="29"/>
        <v>4787</v>
      </c>
      <c r="Z116" s="4">
        <f t="shared" si="30"/>
        <v>46</v>
      </c>
      <c r="AA116">
        <f t="shared" si="31"/>
        <v>114</v>
      </c>
      <c r="AB116">
        <f t="shared" si="32"/>
        <v>9.3000000000000007</v>
      </c>
      <c r="AC116">
        <f t="shared" si="33"/>
        <v>7.1</v>
      </c>
    </row>
    <row r="117" spans="2:29" x14ac:dyDescent="0.3">
      <c r="B117" t="str">
        <f t="shared" si="25"/>
        <v>HH113</v>
      </c>
      <c r="C117" t="s">
        <v>63</v>
      </c>
      <c r="D117">
        <v>3</v>
      </c>
      <c r="E117">
        <v>1</v>
      </c>
      <c r="F117">
        <v>3</v>
      </c>
      <c r="G117" s="4">
        <v>39361</v>
      </c>
      <c r="H117">
        <v>6</v>
      </c>
      <c r="I117" t="s">
        <v>67</v>
      </c>
      <c r="J117" s="4">
        <v>3271</v>
      </c>
      <c r="K117">
        <v>6</v>
      </c>
      <c r="L117">
        <f>'KRWSIP_Program_Baseline Data'!H118</f>
        <v>8.6</v>
      </c>
      <c r="M117">
        <v>1</v>
      </c>
      <c r="P117" s="5"/>
      <c r="V117" s="4">
        <f t="shared" si="26"/>
        <v>39361</v>
      </c>
      <c r="W117" s="4">
        <f t="shared" si="27"/>
        <v>33071</v>
      </c>
      <c r="X117" s="4">
        <f t="shared" si="28"/>
        <v>3271</v>
      </c>
      <c r="Y117" s="4">
        <f t="shared" si="29"/>
        <v>5736</v>
      </c>
      <c r="Z117" s="4">
        <f t="shared" si="30"/>
        <v>6</v>
      </c>
      <c r="AA117">
        <f t="shared" si="31"/>
        <v>86</v>
      </c>
      <c r="AB117">
        <f t="shared" si="32"/>
        <v>8.6</v>
      </c>
      <c r="AC117">
        <f t="shared" si="33"/>
        <v>8.6</v>
      </c>
    </row>
    <row r="118" spans="2:29" x14ac:dyDescent="0.3">
      <c r="B118" t="str">
        <f t="shared" si="25"/>
        <v>HH114</v>
      </c>
      <c r="C118" t="s">
        <v>65</v>
      </c>
      <c r="D118">
        <v>3</v>
      </c>
      <c r="E118">
        <v>1</v>
      </c>
      <c r="F118">
        <v>3</v>
      </c>
      <c r="G118" s="4">
        <v>33176</v>
      </c>
      <c r="H118">
        <v>16</v>
      </c>
      <c r="I118" t="s">
        <v>69</v>
      </c>
      <c r="J118" s="4">
        <v>3271</v>
      </c>
      <c r="K118">
        <v>16</v>
      </c>
      <c r="L118">
        <f>'KRWSIP_Program_Baseline Data'!H119</f>
        <v>0.5</v>
      </c>
      <c r="M118">
        <v>1</v>
      </c>
      <c r="P118" s="5"/>
      <c r="V118" s="4">
        <f t="shared" si="26"/>
        <v>33176</v>
      </c>
      <c r="W118" s="4">
        <f t="shared" si="27"/>
        <v>22866</v>
      </c>
      <c r="X118" s="4">
        <f t="shared" si="28"/>
        <v>3271</v>
      </c>
      <c r="Y118" s="4">
        <f t="shared" si="29"/>
        <v>4167</v>
      </c>
      <c r="Z118" s="4">
        <f t="shared" si="30"/>
        <v>16</v>
      </c>
      <c r="AA118">
        <f t="shared" si="31"/>
        <v>106</v>
      </c>
      <c r="AB118">
        <f t="shared" si="32"/>
        <v>0.5</v>
      </c>
      <c r="AC118">
        <f t="shared" si="33"/>
        <v>5.9</v>
      </c>
    </row>
    <row r="119" spans="2:29" x14ac:dyDescent="0.3">
      <c r="B119" t="str">
        <f t="shared" si="25"/>
        <v>HH115</v>
      </c>
      <c r="C119" t="s">
        <v>64</v>
      </c>
      <c r="D119">
        <v>8</v>
      </c>
      <c r="E119">
        <v>1</v>
      </c>
      <c r="F119">
        <v>8</v>
      </c>
      <c r="G119" s="4">
        <v>40783</v>
      </c>
      <c r="H119">
        <v>24</v>
      </c>
      <c r="I119" t="s">
        <v>68</v>
      </c>
      <c r="J119" s="4">
        <v>4445</v>
      </c>
      <c r="K119">
        <v>24</v>
      </c>
      <c r="L119">
        <f>'KRWSIP_Program_Baseline Data'!H120</f>
        <v>2.4</v>
      </c>
      <c r="M119">
        <v>1</v>
      </c>
      <c r="P119" s="5"/>
      <c r="V119" s="4">
        <f t="shared" si="26"/>
        <v>40783</v>
      </c>
      <c r="W119" s="4">
        <f t="shared" si="27"/>
        <v>32929</v>
      </c>
      <c r="X119" s="4">
        <f t="shared" si="28"/>
        <v>4445</v>
      </c>
      <c r="Y119" s="4">
        <f t="shared" si="29"/>
        <v>3185</v>
      </c>
      <c r="Z119" s="4">
        <f t="shared" si="30"/>
        <v>24</v>
      </c>
      <c r="AA119">
        <f t="shared" si="31"/>
        <v>104</v>
      </c>
      <c r="AB119">
        <f t="shared" si="32"/>
        <v>2.4</v>
      </c>
      <c r="AC119">
        <f t="shared" si="33"/>
        <v>1.8</v>
      </c>
    </row>
    <row r="120" spans="2:29" x14ac:dyDescent="0.3">
      <c r="B120" t="str">
        <f t="shared" si="25"/>
        <v>HH116</v>
      </c>
      <c r="C120" t="s">
        <v>65</v>
      </c>
      <c r="D120">
        <v>8</v>
      </c>
      <c r="E120">
        <v>1</v>
      </c>
      <c r="F120">
        <v>8</v>
      </c>
      <c r="G120" s="4">
        <v>30621</v>
      </c>
      <c r="H120">
        <v>24</v>
      </c>
      <c r="I120" t="s">
        <v>69</v>
      </c>
      <c r="J120" s="4">
        <v>4243</v>
      </c>
      <c r="K120">
        <v>24</v>
      </c>
      <c r="L120">
        <f>'KRWSIP_Program_Baseline Data'!H121</f>
        <v>8</v>
      </c>
      <c r="M120">
        <v>1</v>
      </c>
      <c r="P120" s="5"/>
      <c r="V120" s="4">
        <f t="shared" si="26"/>
        <v>30621</v>
      </c>
      <c r="W120" s="4">
        <f t="shared" si="27"/>
        <v>25641</v>
      </c>
      <c r="X120" s="4">
        <f t="shared" si="28"/>
        <v>4243</v>
      </c>
      <c r="Y120" s="4">
        <f t="shared" si="29"/>
        <v>4004</v>
      </c>
      <c r="Z120" s="4">
        <f t="shared" si="30"/>
        <v>24</v>
      </c>
      <c r="AA120">
        <f t="shared" si="31"/>
        <v>32</v>
      </c>
      <c r="AB120">
        <f t="shared" si="32"/>
        <v>8</v>
      </c>
      <c r="AC120">
        <f t="shared" si="33"/>
        <v>5.8</v>
      </c>
    </row>
    <row r="121" spans="2:29" x14ac:dyDescent="0.3">
      <c r="B121" t="str">
        <f t="shared" si="25"/>
        <v>HH117</v>
      </c>
      <c r="C121" t="s">
        <v>64</v>
      </c>
      <c r="D121">
        <v>4</v>
      </c>
      <c r="E121">
        <v>1</v>
      </c>
      <c r="F121">
        <v>4</v>
      </c>
      <c r="G121" s="4">
        <v>29396</v>
      </c>
      <c r="H121">
        <v>34</v>
      </c>
      <c r="I121" t="s">
        <v>68</v>
      </c>
      <c r="J121" s="4">
        <v>3932</v>
      </c>
      <c r="K121">
        <v>34</v>
      </c>
      <c r="L121">
        <f>'KRWSIP_Program_Baseline Data'!H122</f>
        <v>7</v>
      </c>
      <c r="M121">
        <v>1</v>
      </c>
      <c r="P121" s="5"/>
      <c r="V121" s="4">
        <f t="shared" si="26"/>
        <v>29396</v>
      </c>
      <c r="W121" s="4">
        <f t="shared" si="27"/>
        <v>33356</v>
      </c>
      <c r="X121" s="4">
        <f t="shared" si="28"/>
        <v>3932</v>
      </c>
      <c r="Y121" s="4">
        <f t="shared" si="29"/>
        <v>5031</v>
      </c>
      <c r="Z121" s="4">
        <f t="shared" si="30"/>
        <v>34</v>
      </c>
      <c r="AA121">
        <f t="shared" si="31"/>
        <v>56</v>
      </c>
      <c r="AB121">
        <f t="shared" si="32"/>
        <v>7</v>
      </c>
      <c r="AC121">
        <f t="shared" si="33"/>
        <v>4.8</v>
      </c>
    </row>
    <row r="122" spans="2:29" x14ac:dyDescent="0.3">
      <c r="B122" t="str">
        <f t="shared" si="25"/>
        <v>HH118</v>
      </c>
      <c r="C122" t="s">
        <v>65</v>
      </c>
      <c r="D122">
        <v>8</v>
      </c>
      <c r="E122">
        <v>1</v>
      </c>
      <c r="F122">
        <v>8</v>
      </c>
      <c r="G122" s="4">
        <v>45470</v>
      </c>
      <c r="H122">
        <v>30</v>
      </c>
      <c r="I122" t="s">
        <v>68</v>
      </c>
      <c r="J122" s="4">
        <v>3847</v>
      </c>
      <c r="K122">
        <v>30</v>
      </c>
      <c r="L122">
        <f>'KRWSIP_Program_Baseline Data'!H123</f>
        <v>6.7</v>
      </c>
      <c r="M122">
        <v>1</v>
      </c>
      <c r="P122" s="5"/>
      <c r="V122" s="4">
        <f t="shared" si="26"/>
        <v>45470</v>
      </c>
      <c r="W122" s="4">
        <f t="shared" si="27"/>
        <v>15163</v>
      </c>
      <c r="X122" s="4">
        <f t="shared" si="28"/>
        <v>3847</v>
      </c>
      <c r="Y122" s="4">
        <f t="shared" si="29"/>
        <v>3877</v>
      </c>
      <c r="Z122" s="4">
        <f t="shared" si="30"/>
        <v>30</v>
      </c>
      <c r="AA122">
        <f t="shared" si="31"/>
        <v>36</v>
      </c>
      <c r="AB122">
        <f t="shared" si="32"/>
        <v>6.7</v>
      </c>
      <c r="AC122">
        <f t="shared" si="33"/>
        <v>14.6</v>
      </c>
    </row>
    <row r="123" spans="2:29" x14ac:dyDescent="0.3">
      <c r="B123" t="str">
        <f t="shared" si="25"/>
        <v>HH119</v>
      </c>
      <c r="C123" t="s">
        <v>65</v>
      </c>
      <c r="D123">
        <v>8</v>
      </c>
      <c r="E123">
        <v>1</v>
      </c>
      <c r="F123">
        <v>8</v>
      </c>
      <c r="G123" s="4">
        <v>18851</v>
      </c>
      <c r="H123">
        <v>45</v>
      </c>
      <c r="I123" t="s">
        <v>68</v>
      </c>
      <c r="J123" s="4">
        <v>3552</v>
      </c>
      <c r="K123">
        <v>45</v>
      </c>
      <c r="L123">
        <f>'KRWSIP_Program_Baseline Data'!H124</f>
        <v>3.3</v>
      </c>
      <c r="M123">
        <v>1</v>
      </c>
      <c r="P123" s="5"/>
      <c r="V123" s="4">
        <f t="shared" si="26"/>
        <v>18851</v>
      </c>
      <c r="W123" s="4">
        <f t="shared" si="27"/>
        <v>45334</v>
      </c>
      <c r="X123" s="4">
        <f t="shared" si="28"/>
        <v>3552</v>
      </c>
      <c r="Y123" s="4">
        <f t="shared" si="29"/>
        <v>4822</v>
      </c>
      <c r="Z123" s="4">
        <f t="shared" si="30"/>
        <v>45</v>
      </c>
      <c r="AA123">
        <f t="shared" si="31"/>
        <v>73</v>
      </c>
      <c r="AB123">
        <f t="shared" si="32"/>
        <v>3.3</v>
      </c>
      <c r="AC123">
        <f t="shared" si="33"/>
        <v>10.1</v>
      </c>
    </row>
    <row r="124" spans="2:29" x14ac:dyDescent="0.3">
      <c r="B124" t="str">
        <f t="shared" si="25"/>
        <v>HH120</v>
      </c>
      <c r="C124" t="s">
        <v>62</v>
      </c>
      <c r="D124">
        <v>5</v>
      </c>
      <c r="E124">
        <v>1</v>
      </c>
      <c r="F124">
        <v>5</v>
      </c>
      <c r="G124" s="4">
        <v>46270</v>
      </c>
      <c r="H124">
        <v>39</v>
      </c>
      <c r="I124" t="s">
        <v>67</v>
      </c>
      <c r="J124" s="4">
        <v>2738</v>
      </c>
      <c r="K124">
        <v>39</v>
      </c>
      <c r="L124">
        <f>'KRWSIP_Program_Baseline Data'!H125</f>
        <v>2.2999999999999998</v>
      </c>
      <c r="M124">
        <v>1</v>
      </c>
      <c r="P124" s="5"/>
      <c r="V124" s="4">
        <f t="shared" si="26"/>
        <v>46270</v>
      </c>
      <c r="W124" s="4">
        <f t="shared" si="27"/>
        <v>31617</v>
      </c>
      <c r="X124" s="4">
        <f t="shared" si="28"/>
        <v>2738</v>
      </c>
      <c r="Y124" s="4">
        <f t="shared" si="29"/>
        <v>5501</v>
      </c>
      <c r="Z124" s="4">
        <f t="shared" si="30"/>
        <v>39</v>
      </c>
      <c r="AA124">
        <f t="shared" si="31"/>
        <v>15</v>
      </c>
      <c r="AB124">
        <f t="shared" si="32"/>
        <v>2.2999999999999998</v>
      </c>
      <c r="AC124">
        <f t="shared" si="33"/>
        <v>3.7</v>
      </c>
    </row>
    <row r="125" spans="2:29" x14ac:dyDescent="0.3">
      <c r="B125" t="str">
        <f t="shared" si="25"/>
        <v>HH121</v>
      </c>
      <c r="C125" t="s">
        <v>64</v>
      </c>
      <c r="D125">
        <v>2</v>
      </c>
      <c r="E125">
        <v>1</v>
      </c>
      <c r="F125">
        <v>2</v>
      </c>
      <c r="G125" s="4">
        <v>27903</v>
      </c>
      <c r="H125">
        <v>10</v>
      </c>
      <c r="I125" t="s">
        <v>69</v>
      </c>
      <c r="J125" s="4">
        <v>2073</v>
      </c>
      <c r="K125">
        <v>10</v>
      </c>
      <c r="L125">
        <f>'KRWSIP_Program_Baseline Data'!H126</f>
        <v>6.2</v>
      </c>
      <c r="M125">
        <v>1</v>
      </c>
      <c r="P125" s="5"/>
      <c r="V125" s="4">
        <f t="shared" si="26"/>
        <v>27903</v>
      </c>
      <c r="W125" s="4">
        <f t="shared" si="27"/>
        <v>27347</v>
      </c>
      <c r="X125" s="4">
        <f t="shared" si="28"/>
        <v>2073</v>
      </c>
      <c r="Y125" s="4">
        <f t="shared" si="29"/>
        <v>3540</v>
      </c>
      <c r="Z125" s="4">
        <f t="shared" si="30"/>
        <v>10</v>
      </c>
      <c r="AA125">
        <f t="shared" si="31"/>
        <v>94</v>
      </c>
      <c r="AB125">
        <f t="shared" si="32"/>
        <v>6.2</v>
      </c>
      <c r="AC125">
        <f t="shared" si="33"/>
        <v>10.1</v>
      </c>
    </row>
    <row r="126" spans="2:29" x14ac:dyDescent="0.3">
      <c r="B126" t="str">
        <f t="shared" si="25"/>
        <v>HH122</v>
      </c>
      <c r="C126" t="s">
        <v>65</v>
      </c>
      <c r="D126">
        <v>6</v>
      </c>
      <c r="E126">
        <v>1</v>
      </c>
      <c r="F126">
        <v>6</v>
      </c>
      <c r="G126" s="4">
        <v>26461</v>
      </c>
      <c r="H126">
        <v>31</v>
      </c>
      <c r="I126" t="s">
        <v>68</v>
      </c>
      <c r="J126" s="4">
        <v>2714</v>
      </c>
      <c r="K126">
        <v>31</v>
      </c>
      <c r="L126">
        <f>'KRWSIP_Program_Baseline Data'!H127</f>
        <v>12.5</v>
      </c>
      <c r="M126">
        <v>1</v>
      </c>
      <c r="P126" s="5"/>
      <c r="V126" s="4">
        <f t="shared" si="26"/>
        <v>26461</v>
      </c>
      <c r="W126" s="4">
        <f t="shared" si="27"/>
        <v>32302</v>
      </c>
      <c r="X126" s="4">
        <f t="shared" si="28"/>
        <v>2714</v>
      </c>
      <c r="Y126" s="4">
        <f t="shared" si="29"/>
        <v>4872</v>
      </c>
      <c r="Z126" s="4">
        <f t="shared" si="30"/>
        <v>31</v>
      </c>
      <c r="AA126">
        <f t="shared" si="31"/>
        <v>27</v>
      </c>
      <c r="AB126">
        <f t="shared" si="32"/>
        <v>12.5</v>
      </c>
      <c r="AC126">
        <f t="shared" si="33"/>
        <v>1.9</v>
      </c>
    </row>
    <row r="127" spans="2:29" x14ac:dyDescent="0.3">
      <c r="B127" t="str">
        <f t="shared" si="25"/>
        <v>HH123</v>
      </c>
      <c r="C127" t="s">
        <v>63</v>
      </c>
      <c r="D127">
        <v>4</v>
      </c>
      <c r="E127">
        <v>1</v>
      </c>
      <c r="F127">
        <v>4</v>
      </c>
      <c r="G127" s="4">
        <v>22831</v>
      </c>
      <c r="H127">
        <v>12</v>
      </c>
      <c r="I127" t="s">
        <v>68</v>
      </c>
      <c r="J127" s="4">
        <v>2973</v>
      </c>
      <c r="K127">
        <v>12</v>
      </c>
      <c r="L127">
        <f>'KRWSIP_Program_Baseline Data'!H128</f>
        <v>12.2</v>
      </c>
      <c r="M127">
        <v>1</v>
      </c>
      <c r="P127" s="5"/>
      <c r="V127" s="4">
        <f t="shared" si="26"/>
        <v>22831</v>
      </c>
      <c r="W127" s="4">
        <f t="shared" si="27"/>
        <v>39919</v>
      </c>
      <c r="X127" s="4">
        <f t="shared" si="28"/>
        <v>2973</v>
      </c>
      <c r="Y127" s="4">
        <f t="shared" si="29"/>
        <v>6518</v>
      </c>
      <c r="Z127" s="4">
        <f t="shared" si="30"/>
        <v>12</v>
      </c>
      <c r="AA127">
        <f t="shared" si="31"/>
        <v>50</v>
      </c>
      <c r="AB127">
        <f t="shared" si="32"/>
        <v>12.2</v>
      </c>
      <c r="AC127">
        <f t="shared" si="33"/>
        <v>0.5</v>
      </c>
    </row>
    <row r="128" spans="2:29" x14ac:dyDescent="0.3">
      <c r="B128" t="str">
        <f t="shared" si="25"/>
        <v>HH124</v>
      </c>
      <c r="C128" t="s">
        <v>64</v>
      </c>
      <c r="D128">
        <v>2</v>
      </c>
      <c r="E128">
        <v>1</v>
      </c>
      <c r="F128">
        <v>2</v>
      </c>
      <c r="G128" s="4">
        <v>40237</v>
      </c>
      <c r="H128">
        <v>32</v>
      </c>
      <c r="I128" t="s">
        <v>68</v>
      </c>
      <c r="J128" s="4">
        <v>3382</v>
      </c>
      <c r="K128">
        <v>32</v>
      </c>
      <c r="L128">
        <f>'KRWSIP_Program_Baseline Data'!H129</f>
        <v>7</v>
      </c>
      <c r="M128">
        <v>1</v>
      </c>
      <c r="P128" s="5"/>
      <c r="V128" s="4">
        <f t="shared" si="26"/>
        <v>40237</v>
      </c>
      <c r="W128" s="4">
        <f t="shared" si="27"/>
        <v>28503</v>
      </c>
      <c r="X128" s="4">
        <f t="shared" si="28"/>
        <v>3382</v>
      </c>
      <c r="Y128" s="4">
        <f t="shared" si="29"/>
        <v>3587</v>
      </c>
      <c r="Z128" s="4">
        <f t="shared" si="30"/>
        <v>32</v>
      </c>
      <c r="AA128">
        <f t="shared" si="31"/>
        <v>45</v>
      </c>
      <c r="AB128">
        <f t="shared" si="32"/>
        <v>7</v>
      </c>
      <c r="AC128">
        <f t="shared" si="33"/>
        <v>9.5</v>
      </c>
    </row>
    <row r="129" spans="2:29" x14ac:dyDescent="0.3">
      <c r="B129" t="str">
        <f t="shared" si="25"/>
        <v>HH125</v>
      </c>
      <c r="C129" t="s">
        <v>64</v>
      </c>
      <c r="D129">
        <v>5</v>
      </c>
      <c r="E129">
        <v>1</v>
      </c>
      <c r="F129">
        <v>5</v>
      </c>
      <c r="G129" s="4">
        <v>23497</v>
      </c>
      <c r="H129">
        <v>7</v>
      </c>
      <c r="I129" t="s">
        <v>67</v>
      </c>
      <c r="J129" s="4">
        <v>3935</v>
      </c>
      <c r="K129">
        <v>7</v>
      </c>
      <c r="L129">
        <f>'KRWSIP_Program_Baseline Data'!H130</f>
        <v>14.3</v>
      </c>
      <c r="M129">
        <v>1</v>
      </c>
      <c r="P129" s="5"/>
      <c r="V129" s="4">
        <f t="shared" si="26"/>
        <v>23497</v>
      </c>
      <c r="W129" s="4">
        <f t="shared" si="27"/>
        <v>26173</v>
      </c>
      <c r="X129" s="4">
        <f t="shared" si="28"/>
        <v>3935</v>
      </c>
      <c r="Y129" s="4">
        <f t="shared" si="29"/>
        <v>4035</v>
      </c>
      <c r="Z129" s="4">
        <f t="shared" si="30"/>
        <v>7</v>
      </c>
      <c r="AA129">
        <f t="shared" si="31"/>
        <v>45</v>
      </c>
      <c r="AB129">
        <f t="shared" si="32"/>
        <v>14.3</v>
      </c>
      <c r="AC129">
        <f t="shared" si="33"/>
        <v>8.9</v>
      </c>
    </row>
    <row r="130" spans="2:29" x14ac:dyDescent="0.3">
      <c r="B130" t="str">
        <f t="shared" si="25"/>
        <v>HH126</v>
      </c>
      <c r="C130" t="s">
        <v>63</v>
      </c>
      <c r="D130">
        <v>7</v>
      </c>
      <c r="E130">
        <v>1</v>
      </c>
      <c r="F130">
        <v>7</v>
      </c>
      <c r="G130" s="4">
        <v>29370</v>
      </c>
      <c r="H130">
        <v>21</v>
      </c>
      <c r="I130" t="s">
        <v>68</v>
      </c>
      <c r="J130" s="4">
        <v>3962</v>
      </c>
      <c r="K130">
        <v>21</v>
      </c>
      <c r="L130">
        <f>'KRWSIP_Program_Baseline Data'!H131</f>
        <v>3.4</v>
      </c>
      <c r="M130">
        <v>1</v>
      </c>
      <c r="P130" s="5"/>
      <c r="V130" s="4">
        <f t="shared" si="26"/>
        <v>29370</v>
      </c>
      <c r="W130" s="4">
        <f t="shared" si="27"/>
        <v>40416</v>
      </c>
      <c r="X130" s="4">
        <f t="shared" si="28"/>
        <v>3962</v>
      </c>
      <c r="Y130" s="4">
        <f t="shared" si="29"/>
        <v>5540</v>
      </c>
      <c r="Z130" s="4">
        <f t="shared" si="30"/>
        <v>21</v>
      </c>
      <c r="AA130">
        <f t="shared" si="31"/>
        <v>85</v>
      </c>
      <c r="AB130">
        <f t="shared" si="32"/>
        <v>3.4</v>
      </c>
      <c r="AC130">
        <f t="shared" si="33"/>
        <v>10.5</v>
      </c>
    </row>
    <row r="131" spans="2:29" x14ac:dyDescent="0.3">
      <c r="B131" t="str">
        <f t="shared" si="25"/>
        <v>HH127</v>
      </c>
      <c r="C131" t="s">
        <v>62</v>
      </c>
      <c r="D131">
        <v>4</v>
      </c>
      <c r="E131">
        <v>1</v>
      </c>
      <c r="F131">
        <v>4</v>
      </c>
      <c r="G131" s="4">
        <v>18680</v>
      </c>
      <c r="H131">
        <v>47</v>
      </c>
      <c r="I131" t="s">
        <v>69</v>
      </c>
      <c r="J131" s="4">
        <v>3132</v>
      </c>
      <c r="K131">
        <v>47</v>
      </c>
      <c r="L131">
        <f>'KRWSIP_Program_Baseline Data'!H132</f>
        <v>2.8</v>
      </c>
      <c r="M131">
        <v>1</v>
      </c>
      <c r="P131" s="5"/>
      <c r="V131" s="4">
        <f t="shared" si="26"/>
        <v>18680</v>
      </c>
      <c r="W131" s="4">
        <f t="shared" si="27"/>
        <v>25180</v>
      </c>
      <c r="X131" s="4">
        <f t="shared" si="28"/>
        <v>3132</v>
      </c>
      <c r="Y131" s="4">
        <f t="shared" si="29"/>
        <v>6459</v>
      </c>
      <c r="Z131" s="4">
        <f t="shared" si="30"/>
        <v>47</v>
      </c>
      <c r="AA131">
        <f t="shared" si="31"/>
        <v>67</v>
      </c>
      <c r="AB131">
        <f t="shared" si="32"/>
        <v>2.8</v>
      </c>
      <c r="AC131">
        <f t="shared" si="33"/>
        <v>8</v>
      </c>
    </row>
    <row r="132" spans="2:29" x14ac:dyDescent="0.3">
      <c r="B132" t="str">
        <f t="shared" si="25"/>
        <v>HH128</v>
      </c>
      <c r="C132" t="s">
        <v>64</v>
      </c>
      <c r="D132">
        <v>3</v>
      </c>
      <c r="E132">
        <v>1</v>
      </c>
      <c r="F132">
        <v>3</v>
      </c>
      <c r="G132" s="4">
        <v>34590</v>
      </c>
      <c r="H132">
        <v>35</v>
      </c>
      <c r="I132" t="s">
        <v>69</v>
      </c>
      <c r="J132" s="4">
        <v>2940</v>
      </c>
      <c r="K132">
        <v>35</v>
      </c>
      <c r="L132">
        <f>'KRWSIP_Program_Baseline Data'!H133</f>
        <v>13.7</v>
      </c>
      <c r="M132">
        <v>1</v>
      </c>
      <c r="P132" s="5"/>
      <c r="V132" s="4">
        <f t="shared" si="26"/>
        <v>34590</v>
      </c>
      <c r="W132" s="4">
        <f t="shared" si="27"/>
        <v>30610</v>
      </c>
      <c r="X132" s="4">
        <f t="shared" si="28"/>
        <v>2940</v>
      </c>
      <c r="Y132" s="4">
        <f t="shared" si="29"/>
        <v>4805</v>
      </c>
      <c r="Z132" s="4">
        <f t="shared" si="30"/>
        <v>35</v>
      </c>
      <c r="AA132">
        <f t="shared" si="31"/>
        <v>16</v>
      </c>
      <c r="AB132">
        <f t="shared" si="32"/>
        <v>13.7</v>
      </c>
      <c r="AC132">
        <f t="shared" si="33"/>
        <v>9.6</v>
      </c>
    </row>
    <row r="133" spans="2:29" x14ac:dyDescent="0.3">
      <c r="B133" t="str">
        <f t="shared" si="25"/>
        <v>HH129</v>
      </c>
      <c r="C133" t="s">
        <v>63</v>
      </c>
      <c r="D133">
        <v>7</v>
      </c>
      <c r="E133">
        <v>1</v>
      </c>
      <c r="F133">
        <v>7</v>
      </c>
      <c r="G133" s="4">
        <v>35986</v>
      </c>
      <c r="H133">
        <v>37</v>
      </c>
      <c r="I133" t="s">
        <v>69</v>
      </c>
      <c r="J133" s="4">
        <v>3219</v>
      </c>
      <c r="K133">
        <v>37</v>
      </c>
      <c r="L133">
        <f>'KRWSIP_Program_Baseline Data'!H134</f>
        <v>14.8</v>
      </c>
      <c r="M133">
        <v>1</v>
      </c>
      <c r="P133" s="5"/>
      <c r="V133" s="4">
        <f t="shared" ref="V133:V164" si="34">IF($M133=1,G133,"")</f>
        <v>35986</v>
      </c>
      <c r="W133" s="4">
        <f t="shared" ref="W133:W164" si="35">IF($M333=0, G333,"")</f>
        <v>46962</v>
      </c>
      <c r="X133" s="4">
        <f t="shared" ref="X133:X164" si="36">IF($M133=1,J133,"")</f>
        <v>3219</v>
      </c>
      <c r="Y133" s="4">
        <f t="shared" ref="Y133:Y164" si="37">IF($M333=0,J333,"")</f>
        <v>4671</v>
      </c>
      <c r="Z133" s="4">
        <f t="shared" ref="Z133:Z164" si="38">IF($M133=1,K133,"")</f>
        <v>37</v>
      </c>
      <c r="AA133">
        <f t="shared" ref="AA133:AA164" si="39">IF($M333=0,K333,"")</f>
        <v>39</v>
      </c>
      <c r="AB133">
        <f t="shared" ref="AB133:AB164" si="40">IF($M133=1,L133,"")</f>
        <v>14.8</v>
      </c>
      <c r="AC133">
        <f t="shared" ref="AC133:AC164" si="41">IF($M333=0,L333,"")</f>
        <v>13.5</v>
      </c>
    </row>
    <row r="134" spans="2:29" x14ac:dyDescent="0.3">
      <c r="B134" t="str">
        <f t="shared" ref="B134:B197" si="42">"HH"&amp;TEXT(ROW()-4, "000")</f>
        <v>HH130</v>
      </c>
      <c r="C134" t="s">
        <v>62</v>
      </c>
      <c r="D134">
        <v>2</v>
      </c>
      <c r="E134">
        <v>1</v>
      </c>
      <c r="F134">
        <v>2</v>
      </c>
      <c r="G134" s="4">
        <v>28896</v>
      </c>
      <c r="H134">
        <v>51</v>
      </c>
      <c r="I134" t="s">
        <v>68</v>
      </c>
      <c r="J134" s="4">
        <v>1824</v>
      </c>
      <c r="K134">
        <v>51</v>
      </c>
      <c r="L134">
        <f>'KRWSIP_Program_Baseline Data'!H135</f>
        <v>14.5</v>
      </c>
      <c r="M134">
        <v>1</v>
      </c>
      <c r="P134" s="5"/>
      <c r="V134" s="4">
        <f t="shared" si="34"/>
        <v>28896</v>
      </c>
      <c r="W134" s="4">
        <f t="shared" si="35"/>
        <v>40174</v>
      </c>
      <c r="X134" s="4">
        <f t="shared" si="36"/>
        <v>1824</v>
      </c>
      <c r="Y134" s="4">
        <f t="shared" si="37"/>
        <v>7028</v>
      </c>
      <c r="Z134" s="4">
        <f t="shared" si="38"/>
        <v>51</v>
      </c>
      <c r="AA134">
        <f t="shared" si="39"/>
        <v>15</v>
      </c>
      <c r="AB134">
        <f t="shared" si="40"/>
        <v>14.5</v>
      </c>
      <c r="AC134">
        <f t="shared" si="41"/>
        <v>3.5</v>
      </c>
    </row>
    <row r="135" spans="2:29" x14ac:dyDescent="0.3">
      <c r="B135" t="str">
        <f t="shared" si="42"/>
        <v>HH131</v>
      </c>
      <c r="C135" t="s">
        <v>63</v>
      </c>
      <c r="D135">
        <v>2</v>
      </c>
      <c r="E135">
        <v>1</v>
      </c>
      <c r="F135">
        <v>2</v>
      </c>
      <c r="G135" s="4">
        <v>46459</v>
      </c>
      <c r="H135">
        <v>56</v>
      </c>
      <c r="I135" t="s">
        <v>67</v>
      </c>
      <c r="J135" s="4">
        <v>2751</v>
      </c>
      <c r="K135">
        <v>56</v>
      </c>
      <c r="L135">
        <f>'KRWSIP_Program_Baseline Data'!H136</f>
        <v>14</v>
      </c>
      <c r="M135">
        <v>1</v>
      </c>
      <c r="P135" s="5"/>
      <c r="V135" s="4">
        <f t="shared" si="34"/>
        <v>46459</v>
      </c>
      <c r="W135" s="4">
        <f t="shared" si="35"/>
        <v>36795</v>
      </c>
      <c r="X135" s="4">
        <f t="shared" si="36"/>
        <v>2751</v>
      </c>
      <c r="Y135" s="4">
        <f t="shared" si="37"/>
        <v>4189</v>
      </c>
      <c r="Z135" s="4">
        <f t="shared" si="38"/>
        <v>56</v>
      </c>
      <c r="AA135">
        <f t="shared" si="39"/>
        <v>59</v>
      </c>
      <c r="AB135">
        <f t="shared" si="40"/>
        <v>14</v>
      </c>
      <c r="AC135">
        <f t="shared" si="41"/>
        <v>8.8000000000000007</v>
      </c>
    </row>
    <row r="136" spans="2:29" x14ac:dyDescent="0.3">
      <c r="B136" t="str">
        <f t="shared" si="42"/>
        <v>HH132</v>
      </c>
      <c r="C136" t="s">
        <v>63</v>
      </c>
      <c r="D136">
        <v>7</v>
      </c>
      <c r="E136">
        <v>1</v>
      </c>
      <c r="F136">
        <v>7</v>
      </c>
      <c r="G136" s="4">
        <v>41213</v>
      </c>
      <c r="H136">
        <v>6</v>
      </c>
      <c r="I136" t="s">
        <v>67</v>
      </c>
      <c r="J136" s="4">
        <v>3431</v>
      </c>
      <c r="K136">
        <v>6</v>
      </c>
      <c r="L136">
        <f>'KRWSIP_Program_Baseline Data'!H137</f>
        <v>2.1</v>
      </c>
      <c r="M136">
        <v>1</v>
      </c>
      <c r="P136" s="5"/>
      <c r="V136" s="4">
        <f t="shared" si="34"/>
        <v>41213</v>
      </c>
      <c r="W136" s="4">
        <f t="shared" si="35"/>
        <v>37569</v>
      </c>
      <c r="X136" s="4">
        <f t="shared" si="36"/>
        <v>3431</v>
      </c>
      <c r="Y136" s="4">
        <f t="shared" si="37"/>
        <v>4150</v>
      </c>
      <c r="Z136" s="4">
        <f t="shared" si="38"/>
        <v>6</v>
      </c>
      <c r="AA136">
        <f t="shared" si="39"/>
        <v>25</v>
      </c>
      <c r="AB136">
        <f t="shared" si="40"/>
        <v>2.1</v>
      </c>
      <c r="AC136">
        <f t="shared" si="41"/>
        <v>0.8</v>
      </c>
    </row>
    <row r="137" spans="2:29" x14ac:dyDescent="0.3">
      <c r="B137" t="str">
        <f t="shared" si="42"/>
        <v>HH133</v>
      </c>
      <c r="C137" t="s">
        <v>65</v>
      </c>
      <c r="D137">
        <v>7</v>
      </c>
      <c r="E137">
        <v>1</v>
      </c>
      <c r="F137">
        <v>7</v>
      </c>
      <c r="G137" s="4">
        <v>26232</v>
      </c>
      <c r="H137">
        <v>25</v>
      </c>
      <c r="I137" t="s">
        <v>67</v>
      </c>
      <c r="J137" s="4">
        <v>4092</v>
      </c>
      <c r="K137">
        <v>25</v>
      </c>
      <c r="L137">
        <f>'KRWSIP_Program_Baseline Data'!H138</f>
        <v>7.3</v>
      </c>
      <c r="M137">
        <v>1</v>
      </c>
      <c r="P137" s="5"/>
      <c r="V137" s="4">
        <f t="shared" si="34"/>
        <v>26232</v>
      </c>
      <c r="W137" s="4">
        <f t="shared" si="35"/>
        <v>34993</v>
      </c>
      <c r="X137" s="4">
        <f t="shared" si="36"/>
        <v>4092</v>
      </c>
      <c r="Y137" s="4">
        <f t="shared" si="37"/>
        <v>4191</v>
      </c>
      <c r="Z137" s="4">
        <f t="shared" si="38"/>
        <v>25</v>
      </c>
      <c r="AA137">
        <f t="shared" si="39"/>
        <v>90</v>
      </c>
      <c r="AB137">
        <f t="shared" si="40"/>
        <v>7.3</v>
      </c>
      <c r="AC137">
        <f t="shared" si="41"/>
        <v>8.3000000000000007</v>
      </c>
    </row>
    <row r="138" spans="2:29" x14ac:dyDescent="0.3">
      <c r="B138" t="str">
        <f t="shared" si="42"/>
        <v>HH134</v>
      </c>
      <c r="C138" t="s">
        <v>63</v>
      </c>
      <c r="D138">
        <v>6</v>
      </c>
      <c r="E138">
        <v>1</v>
      </c>
      <c r="F138">
        <v>6</v>
      </c>
      <c r="G138" s="4">
        <v>25489</v>
      </c>
      <c r="H138">
        <v>22</v>
      </c>
      <c r="I138" t="s">
        <v>68</v>
      </c>
      <c r="J138" s="4">
        <v>4003</v>
      </c>
      <c r="K138">
        <v>22</v>
      </c>
      <c r="L138">
        <f>'KRWSIP_Program_Baseline Data'!H139</f>
        <v>14.3</v>
      </c>
      <c r="M138">
        <v>1</v>
      </c>
      <c r="P138" s="5"/>
      <c r="V138" s="4">
        <f t="shared" si="34"/>
        <v>25489</v>
      </c>
      <c r="W138" s="4">
        <f t="shared" si="35"/>
        <v>15301</v>
      </c>
      <c r="X138" s="4">
        <f t="shared" si="36"/>
        <v>4003</v>
      </c>
      <c r="Y138" s="4">
        <f t="shared" si="37"/>
        <v>4986</v>
      </c>
      <c r="Z138" s="4">
        <f t="shared" si="38"/>
        <v>22</v>
      </c>
      <c r="AA138">
        <f t="shared" si="39"/>
        <v>27</v>
      </c>
      <c r="AB138">
        <f t="shared" si="40"/>
        <v>14.3</v>
      </c>
      <c r="AC138">
        <f t="shared" si="41"/>
        <v>8.1999999999999993</v>
      </c>
    </row>
    <row r="139" spans="2:29" x14ac:dyDescent="0.3">
      <c r="B139" t="str">
        <f t="shared" si="42"/>
        <v>HH135</v>
      </c>
      <c r="C139" t="s">
        <v>62</v>
      </c>
      <c r="D139">
        <v>8</v>
      </c>
      <c r="E139">
        <v>1</v>
      </c>
      <c r="F139">
        <v>8</v>
      </c>
      <c r="G139" s="4">
        <v>29283</v>
      </c>
      <c r="H139">
        <v>10</v>
      </c>
      <c r="I139" t="s">
        <v>69</v>
      </c>
      <c r="J139" s="4">
        <v>4465</v>
      </c>
      <c r="K139">
        <v>10</v>
      </c>
      <c r="L139">
        <f>'KRWSIP_Program_Baseline Data'!H140</f>
        <v>12.2</v>
      </c>
      <c r="M139">
        <v>1</v>
      </c>
      <c r="P139" s="5"/>
      <c r="V139" s="4">
        <f t="shared" si="34"/>
        <v>29283</v>
      </c>
      <c r="W139" s="4">
        <f t="shared" si="35"/>
        <v>3822</v>
      </c>
      <c r="X139" s="4">
        <f t="shared" si="36"/>
        <v>4465</v>
      </c>
      <c r="Y139" s="4">
        <f t="shared" si="37"/>
        <v>3513</v>
      </c>
      <c r="Z139" s="4">
        <f t="shared" si="38"/>
        <v>10</v>
      </c>
      <c r="AA139">
        <f t="shared" si="39"/>
        <v>61</v>
      </c>
      <c r="AB139">
        <f t="shared" si="40"/>
        <v>12.2</v>
      </c>
      <c r="AC139">
        <f t="shared" si="41"/>
        <v>11.9</v>
      </c>
    </row>
    <row r="140" spans="2:29" x14ac:dyDescent="0.3">
      <c r="B140" t="str">
        <f t="shared" si="42"/>
        <v>HH136</v>
      </c>
      <c r="C140" t="s">
        <v>65</v>
      </c>
      <c r="D140">
        <v>3</v>
      </c>
      <c r="E140">
        <v>1</v>
      </c>
      <c r="F140">
        <v>3</v>
      </c>
      <c r="G140" s="4">
        <v>28816</v>
      </c>
      <c r="H140">
        <v>19</v>
      </c>
      <c r="I140" t="s">
        <v>69</v>
      </c>
      <c r="J140" s="4">
        <v>2679</v>
      </c>
      <c r="K140">
        <v>19</v>
      </c>
      <c r="L140">
        <f>'KRWSIP_Program_Baseline Data'!H141</f>
        <v>14.8</v>
      </c>
      <c r="M140">
        <v>1</v>
      </c>
      <c r="P140" s="5"/>
      <c r="V140" s="4">
        <f t="shared" si="34"/>
        <v>28816</v>
      </c>
      <c r="W140" s="4">
        <f t="shared" si="35"/>
        <v>24123</v>
      </c>
      <c r="X140" s="4">
        <f t="shared" si="36"/>
        <v>2679</v>
      </c>
      <c r="Y140" s="4">
        <f t="shared" si="37"/>
        <v>5379</v>
      </c>
      <c r="Z140" s="4">
        <f t="shared" si="38"/>
        <v>19</v>
      </c>
      <c r="AA140">
        <f t="shared" si="39"/>
        <v>109</v>
      </c>
      <c r="AB140">
        <f t="shared" si="40"/>
        <v>14.8</v>
      </c>
      <c r="AC140">
        <f t="shared" si="41"/>
        <v>1</v>
      </c>
    </row>
    <row r="141" spans="2:29" x14ac:dyDescent="0.3">
      <c r="B141" t="str">
        <f t="shared" si="42"/>
        <v>HH137</v>
      </c>
      <c r="C141" t="s">
        <v>65</v>
      </c>
      <c r="D141">
        <v>3</v>
      </c>
      <c r="E141">
        <v>1</v>
      </c>
      <c r="F141">
        <v>3</v>
      </c>
      <c r="G141" s="4">
        <v>23821</v>
      </c>
      <c r="H141">
        <v>52</v>
      </c>
      <c r="I141" t="s">
        <v>67</v>
      </c>
      <c r="J141" s="4">
        <v>2609</v>
      </c>
      <c r="K141">
        <v>52</v>
      </c>
      <c r="L141">
        <f>'KRWSIP_Program_Baseline Data'!H142</f>
        <v>9.1</v>
      </c>
      <c r="M141">
        <v>1</v>
      </c>
      <c r="P141" s="5"/>
      <c r="V141" s="4">
        <f t="shared" si="34"/>
        <v>23821</v>
      </c>
      <c r="W141" s="4">
        <f t="shared" si="35"/>
        <v>22665</v>
      </c>
      <c r="X141" s="4">
        <f t="shared" si="36"/>
        <v>2609</v>
      </c>
      <c r="Y141" s="4">
        <f t="shared" si="37"/>
        <v>5647</v>
      </c>
      <c r="Z141" s="4">
        <f t="shared" si="38"/>
        <v>52</v>
      </c>
      <c r="AA141">
        <f t="shared" si="39"/>
        <v>71</v>
      </c>
      <c r="AB141">
        <f t="shared" si="40"/>
        <v>9.1</v>
      </c>
      <c r="AC141">
        <f t="shared" si="41"/>
        <v>0.9</v>
      </c>
    </row>
    <row r="142" spans="2:29" x14ac:dyDescent="0.3">
      <c r="B142" t="str">
        <f t="shared" si="42"/>
        <v>HH138</v>
      </c>
      <c r="C142" t="s">
        <v>62</v>
      </c>
      <c r="D142">
        <v>2</v>
      </c>
      <c r="E142">
        <v>1</v>
      </c>
      <c r="F142">
        <v>2</v>
      </c>
      <c r="G142" s="4">
        <v>37205</v>
      </c>
      <c r="H142">
        <v>44</v>
      </c>
      <c r="I142" t="s">
        <v>68</v>
      </c>
      <c r="J142" s="4">
        <v>2765</v>
      </c>
      <c r="K142">
        <v>44</v>
      </c>
      <c r="L142">
        <f>'KRWSIP_Program_Baseline Data'!H143</f>
        <v>1.6</v>
      </c>
      <c r="M142">
        <v>1</v>
      </c>
      <c r="P142" s="5"/>
      <c r="V142" s="4">
        <f t="shared" si="34"/>
        <v>37205</v>
      </c>
      <c r="W142" s="4">
        <f t="shared" si="35"/>
        <v>30282</v>
      </c>
      <c r="X142" s="4">
        <f t="shared" si="36"/>
        <v>2765</v>
      </c>
      <c r="Y142" s="4">
        <f t="shared" si="37"/>
        <v>4887</v>
      </c>
      <c r="Z142" s="4">
        <f t="shared" si="38"/>
        <v>44</v>
      </c>
      <c r="AA142">
        <f t="shared" si="39"/>
        <v>102</v>
      </c>
      <c r="AB142">
        <f t="shared" si="40"/>
        <v>1.6</v>
      </c>
      <c r="AC142">
        <f t="shared" si="41"/>
        <v>6.2</v>
      </c>
    </row>
    <row r="143" spans="2:29" x14ac:dyDescent="0.3">
      <c r="B143" t="str">
        <f t="shared" si="42"/>
        <v>HH139</v>
      </c>
      <c r="C143" t="s">
        <v>65</v>
      </c>
      <c r="D143">
        <v>8</v>
      </c>
      <c r="E143">
        <v>1</v>
      </c>
      <c r="F143">
        <v>8</v>
      </c>
      <c r="G143" s="4">
        <v>25786</v>
      </c>
      <c r="H143">
        <v>14</v>
      </c>
      <c r="I143" t="s">
        <v>67</v>
      </c>
      <c r="J143" s="4">
        <v>4042</v>
      </c>
      <c r="K143">
        <v>14</v>
      </c>
      <c r="L143">
        <f>'KRWSIP_Program_Baseline Data'!H144</f>
        <v>12.5</v>
      </c>
      <c r="M143">
        <v>1</v>
      </c>
      <c r="P143" s="5"/>
      <c r="V143" s="4">
        <f t="shared" si="34"/>
        <v>25786</v>
      </c>
      <c r="W143" s="4">
        <f t="shared" si="35"/>
        <v>17971</v>
      </c>
      <c r="X143" s="4">
        <f t="shared" si="36"/>
        <v>4042</v>
      </c>
      <c r="Y143" s="4">
        <f t="shared" si="37"/>
        <v>4797</v>
      </c>
      <c r="Z143" s="4">
        <f t="shared" si="38"/>
        <v>14</v>
      </c>
      <c r="AA143">
        <f t="shared" si="39"/>
        <v>88</v>
      </c>
      <c r="AB143">
        <f t="shared" si="40"/>
        <v>12.5</v>
      </c>
      <c r="AC143">
        <f t="shared" si="41"/>
        <v>1.5</v>
      </c>
    </row>
    <row r="144" spans="2:29" x14ac:dyDescent="0.3">
      <c r="B144" t="str">
        <f t="shared" si="42"/>
        <v>HH140</v>
      </c>
      <c r="C144" t="s">
        <v>65</v>
      </c>
      <c r="D144">
        <v>2</v>
      </c>
      <c r="E144">
        <v>1</v>
      </c>
      <c r="F144">
        <v>2</v>
      </c>
      <c r="G144" s="4">
        <v>36946</v>
      </c>
      <c r="H144">
        <v>49</v>
      </c>
      <c r="I144" t="s">
        <v>68</v>
      </c>
      <c r="J144" s="4">
        <v>1956</v>
      </c>
      <c r="K144">
        <v>49</v>
      </c>
      <c r="L144">
        <f>'KRWSIP_Program_Baseline Data'!H145</f>
        <v>1.5</v>
      </c>
      <c r="M144">
        <v>1</v>
      </c>
      <c r="P144" s="5"/>
      <c r="V144" s="4">
        <f t="shared" si="34"/>
        <v>36946</v>
      </c>
      <c r="W144" s="4">
        <f t="shared" si="35"/>
        <v>24891</v>
      </c>
      <c r="X144" s="4">
        <f t="shared" si="36"/>
        <v>1956</v>
      </c>
      <c r="Y144" s="4">
        <f t="shared" si="37"/>
        <v>5028</v>
      </c>
      <c r="Z144" s="4">
        <f t="shared" si="38"/>
        <v>49</v>
      </c>
      <c r="AA144">
        <f t="shared" si="39"/>
        <v>87</v>
      </c>
      <c r="AB144">
        <f t="shared" si="40"/>
        <v>1.5</v>
      </c>
      <c r="AC144">
        <f t="shared" si="41"/>
        <v>10.6</v>
      </c>
    </row>
    <row r="145" spans="2:29" x14ac:dyDescent="0.3">
      <c r="B145" t="str">
        <f t="shared" si="42"/>
        <v>HH141</v>
      </c>
      <c r="C145" t="s">
        <v>65</v>
      </c>
      <c r="D145">
        <v>8</v>
      </c>
      <c r="E145">
        <v>1</v>
      </c>
      <c r="F145">
        <v>8</v>
      </c>
      <c r="G145" s="4">
        <v>37987</v>
      </c>
      <c r="H145">
        <v>44</v>
      </c>
      <c r="I145" t="s">
        <v>68</v>
      </c>
      <c r="J145" s="4">
        <v>4305</v>
      </c>
      <c r="K145">
        <v>44</v>
      </c>
      <c r="L145">
        <f>'KRWSIP_Program_Baseline Data'!H146</f>
        <v>7.2</v>
      </c>
      <c r="M145">
        <v>1</v>
      </c>
      <c r="P145" s="5"/>
      <c r="V145" s="4">
        <f t="shared" si="34"/>
        <v>37987</v>
      </c>
      <c r="W145" s="4">
        <f t="shared" si="35"/>
        <v>23802</v>
      </c>
      <c r="X145" s="4">
        <f t="shared" si="36"/>
        <v>4305</v>
      </c>
      <c r="Y145" s="4">
        <f t="shared" si="37"/>
        <v>4866</v>
      </c>
      <c r="Z145" s="4">
        <f t="shared" si="38"/>
        <v>44</v>
      </c>
      <c r="AA145">
        <f t="shared" si="39"/>
        <v>91</v>
      </c>
      <c r="AB145">
        <f t="shared" si="40"/>
        <v>7.2</v>
      </c>
      <c r="AC145">
        <f t="shared" si="41"/>
        <v>7.9</v>
      </c>
    </row>
    <row r="146" spans="2:29" x14ac:dyDescent="0.3">
      <c r="B146" t="str">
        <f t="shared" si="42"/>
        <v>HH142</v>
      </c>
      <c r="C146" t="s">
        <v>62</v>
      </c>
      <c r="D146">
        <v>2</v>
      </c>
      <c r="E146">
        <v>1</v>
      </c>
      <c r="F146">
        <v>2</v>
      </c>
      <c r="G146" s="4">
        <v>28533</v>
      </c>
      <c r="H146">
        <v>53</v>
      </c>
      <c r="I146" t="s">
        <v>68</v>
      </c>
      <c r="J146" s="4">
        <v>2322</v>
      </c>
      <c r="K146">
        <v>53</v>
      </c>
      <c r="L146">
        <f>'KRWSIP_Program_Baseline Data'!H147</f>
        <v>5.7</v>
      </c>
      <c r="M146">
        <v>1</v>
      </c>
      <c r="P146" s="5"/>
      <c r="V146" s="4">
        <f t="shared" si="34"/>
        <v>28533</v>
      </c>
      <c r="W146" s="4">
        <f t="shared" si="35"/>
        <v>14157</v>
      </c>
      <c r="X146" s="4">
        <f t="shared" si="36"/>
        <v>2322</v>
      </c>
      <c r="Y146" s="4">
        <f t="shared" si="37"/>
        <v>4923</v>
      </c>
      <c r="Z146" s="4">
        <f t="shared" si="38"/>
        <v>53</v>
      </c>
      <c r="AA146">
        <f t="shared" si="39"/>
        <v>52</v>
      </c>
      <c r="AB146">
        <f t="shared" si="40"/>
        <v>5.7</v>
      </c>
      <c r="AC146">
        <f t="shared" si="41"/>
        <v>12.9</v>
      </c>
    </row>
    <row r="147" spans="2:29" x14ac:dyDescent="0.3">
      <c r="B147" t="str">
        <f t="shared" si="42"/>
        <v>HH143</v>
      </c>
      <c r="C147" t="s">
        <v>64</v>
      </c>
      <c r="D147">
        <v>2</v>
      </c>
      <c r="E147">
        <v>1</v>
      </c>
      <c r="F147">
        <v>2</v>
      </c>
      <c r="G147" s="4">
        <v>30684</v>
      </c>
      <c r="H147">
        <v>12</v>
      </c>
      <c r="I147" t="s">
        <v>68</v>
      </c>
      <c r="J147" s="4">
        <v>2351</v>
      </c>
      <c r="K147">
        <v>12</v>
      </c>
      <c r="L147">
        <f>'KRWSIP_Program_Baseline Data'!H148</f>
        <v>9.1999999999999993</v>
      </c>
      <c r="M147">
        <v>1</v>
      </c>
      <c r="P147" s="5"/>
      <c r="V147" s="4">
        <f t="shared" si="34"/>
        <v>30684</v>
      </c>
      <c r="W147" s="4">
        <f t="shared" si="35"/>
        <v>32393</v>
      </c>
      <c r="X147" s="4">
        <f t="shared" si="36"/>
        <v>2351</v>
      </c>
      <c r="Y147" s="4">
        <f t="shared" si="37"/>
        <v>5797</v>
      </c>
      <c r="Z147" s="4">
        <f t="shared" si="38"/>
        <v>12</v>
      </c>
      <c r="AA147">
        <f t="shared" si="39"/>
        <v>73</v>
      </c>
      <c r="AB147">
        <f t="shared" si="40"/>
        <v>9.1999999999999993</v>
      </c>
      <c r="AC147">
        <f t="shared" si="41"/>
        <v>2.4</v>
      </c>
    </row>
    <row r="148" spans="2:29" x14ac:dyDescent="0.3">
      <c r="B148" t="str">
        <f t="shared" si="42"/>
        <v>HH144</v>
      </c>
      <c r="C148" t="s">
        <v>63</v>
      </c>
      <c r="D148">
        <v>8</v>
      </c>
      <c r="E148">
        <v>1</v>
      </c>
      <c r="F148">
        <v>8</v>
      </c>
      <c r="G148" s="4">
        <v>31449</v>
      </c>
      <c r="H148">
        <v>33</v>
      </c>
      <c r="I148" t="s">
        <v>68</v>
      </c>
      <c r="J148" s="4">
        <v>4606</v>
      </c>
      <c r="K148">
        <v>33</v>
      </c>
      <c r="L148">
        <f>'KRWSIP_Program_Baseline Data'!H149</f>
        <v>1.3</v>
      </c>
      <c r="M148">
        <v>1</v>
      </c>
      <c r="P148" s="5"/>
      <c r="V148" s="4">
        <f t="shared" si="34"/>
        <v>31449</v>
      </c>
      <c r="W148" s="4">
        <f t="shared" si="35"/>
        <v>38960</v>
      </c>
      <c r="X148" s="4">
        <f t="shared" si="36"/>
        <v>4606</v>
      </c>
      <c r="Y148" s="4">
        <f t="shared" si="37"/>
        <v>3478</v>
      </c>
      <c r="Z148" s="4">
        <f t="shared" si="38"/>
        <v>33</v>
      </c>
      <c r="AA148">
        <f t="shared" si="39"/>
        <v>27</v>
      </c>
      <c r="AB148">
        <f t="shared" si="40"/>
        <v>1.3</v>
      </c>
      <c r="AC148">
        <f t="shared" si="41"/>
        <v>4.5999999999999996</v>
      </c>
    </row>
    <row r="149" spans="2:29" x14ac:dyDescent="0.3">
      <c r="B149" t="str">
        <f t="shared" si="42"/>
        <v>HH145</v>
      </c>
      <c r="C149" t="s">
        <v>63</v>
      </c>
      <c r="D149">
        <v>7</v>
      </c>
      <c r="E149">
        <v>1</v>
      </c>
      <c r="F149">
        <v>7</v>
      </c>
      <c r="G149" s="4">
        <v>23416</v>
      </c>
      <c r="H149">
        <v>18</v>
      </c>
      <c r="I149" t="s">
        <v>69</v>
      </c>
      <c r="J149" s="4">
        <v>3228</v>
      </c>
      <c r="K149">
        <v>18</v>
      </c>
      <c r="L149">
        <f>'KRWSIP_Program_Baseline Data'!H150</f>
        <v>14.1</v>
      </c>
      <c r="M149">
        <v>1</v>
      </c>
      <c r="P149" s="5"/>
      <c r="V149" s="4">
        <f t="shared" si="34"/>
        <v>23416</v>
      </c>
      <c r="W149" s="4">
        <f t="shared" si="35"/>
        <v>23984</v>
      </c>
      <c r="X149" s="4">
        <f t="shared" si="36"/>
        <v>3228</v>
      </c>
      <c r="Y149" s="4">
        <f t="shared" si="37"/>
        <v>5117</v>
      </c>
      <c r="Z149" s="4">
        <f t="shared" si="38"/>
        <v>18</v>
      </c>
      <c r="AA149">
        <f t="shared" si="39"/>
        <v>95</v>
      </c>
      <c r="AB149">
        <f t="shared" si="40"/>
        <v>14.1</v>
      </c>
      <c r="AC149">
        <f t="shared" si="41"/>
        <v>1.9</v>
      </c>
    </row>
    <row r="150" spans="2:29" x14ac:dyDescent="0.3">
      <c r="B150" t="str">
        <f t="shared" si="42"/>
        <v>HH146</v>
      </c>
      <c r="C150" t="s">
        <v>65</v>
      </c>
      <c r="D150">
        <v>7</v>
      </c>
      <c r="E150">
        <v>1</v>
      </c>
      <c r="F150">
        <v>7</v>
      </c>
      <c r="G150" s="4">
        <v>30711</v>
      </c>
      <c r="H150">
        <v>35</v>
      </c>
      <c r="I150" t="s">
        <v>67</v>
      </c>
      <c r="J150" s="4">
        <v>4076</v>
      </c>
      <c r="K150">
        <v>35</v>
      </c>
      <c r="L150">
        <f>'KRWSIP_Program_Baseline Data'!H151</f>
        <v>12.3</v>
      </c>
      <c r="M150">
        <v>1</v>
      </c>
      <c r="P150" s="5"/>
      <c r="V150" s="4">
        <f t="shared" si="34"/>
        <v>30711</v>
      </c>
      <c r="W150" s="4">
        <f t="shared" si="35"/>
        <v>20810</v>
      </c>
      <c r="X150" s="4">
        <f t="shared" si="36"/>
        <v>4076</v>
      </c>
      <c r="Y150" s="4">
        <f t="shared" si="37"/>
        <v>4084</v>
      </c>
      <c r="Z150" s="4">
        <f t="shared" si="38"/>
        <v>35</v>
      </c>
      <c r="AA150">
        <f t="shared" si="39"/>
        <v>91</v>
      </c>
      <c r="AB150">
        <f t="shared" si="40"/>
        <v>12.3</v>
      </c>
      <c r="AC150">
        <f t="shared" si="41"/>
        <v>11.5</v>
      </c>
    </row>
    <row r="151" spans="2:29" x14ac:dyDescent="0.3">
      <c r="B151" t="str">
        <f t="shared" si="42"/>
        <v>HH147</v>
      </c>
      <c r="C151" t="s">
        <v>65</v>
      </c>
      <c r="D151">
        <v>7</v>
      </c>
      <c r="E151">
        <v>1</v>
      </c>
      <c r="F151">
        <v>7</v>
      </c>
      <c r="G151" s="4">
        <v>45848</v>
      </c>
      <c r="H151">
        <v>37</v>
      </c>
      <c r="I151" t="s">
        <v>68</v>
      </c>
      <c r="J151" s="4">
        <v>2831</v>
      </c>
      <c r="K151">
        <v>37</v>
      </c>
      <c r="L151">
        <f>'KRWSIP_Program_Baseline Data'!H152</f>
        <v>5.4</v>
      </c>
      <c r="M151">
        <v>1</v>
      </c>
      <c r="P151" s="5"/>
      <c r="V151" s="4">
        <f t="shared" si="34"/>
        <v>45848</v>
      </c>
      <c r="W151" s="4">
        <f t="shared" si="35"/>
        <v>17932</v>
      </c>
      <c r="X151" s="4">
        <f t="shared" si="36"/>
        <v>2831</v>
      </c>
      <c r="Y151" s="4">
        <f t="shared" si="37"/>
        <v>2754</v>
      </c>
      <c r="Z151" s="4">
        <f t="shared" si="38"/>
        <v>37</v>
      </c>
      <c r="AA151">
        <f t="shared" si="39"/>
        <v>103</v>
      </c>
      <c r="AB151">
        <f t="shared" si="40"/>
        <v>5.4</v>
      </c>
      <c r="AC151">
        <f t="shared" si="41"/>
        <v>7.9</v>
      </c>
    </row>
    <row r="152" spans="2:29" x14ac:dyDescent="0.3">
      <c r="B152" t="str">
        <f t="shared" si="42"/>
        <v>HH148</v>
      </c>
      <c r="C152" t="s">
        <v>64</v>
      </c>
      <c r="D152">
        <v>8</v>
      </c>
      <c r="E152">
        <v>1</v>
      </c>
      <c r="F152">
        <v>8</v>
      </c>
      <c r="G152" s="4">
        <v>18675</v>
      </c>
      <c r="H152">
        <v>14</v>
      </c>
      <c r="I152" t="s">
        <v>68</v>
      </c>
      <c r="J152" s="4">
        <v>3832</v>
      </c>
      <c r="K152">
        <v>14</v>
      </c>
      <c r="L152">
        <f>'KRWSIP_Program_Baseline Data'!H153</f>
        <v>11.7</v>
      </c>
      <c r="M152">
        <v>1</v>
      </c>
      <c r="P152" s="5"/>
      <c r="V152" s="4">
        <f t="shared" si="34"/>
        <v>18675</v>
      </c>
      <c r="W152" s="4">
        <f t="shared" si="35"/>
        <v>25912</v>
      </c>
      <c r="X152" s="4">
        <f t="shared" si="36"/>
        <v>3832</v>
      </c>
      <c r="Y152" s="4">
        <f t="shared" si="37"/>
        <v>6546</v>
      </c>
      <c r="Z152" s="4">
        <f t="shared" si="38"/>
        <v>14</v>
      </c>
      <c r="AA152">
        <f t="shared" si="39"/>
        <v>32</v>
      </c>
      <c r="AB152">
        <f t="shared" si="40"/>
        <v>11.7</v>
      </c>
      <c r="AC152">
        <f t="shared" si="41"/>
        <v>3.4</v>
      </c>
    </row>
    <row r="153" spans="2:29" x14ac:dyDescent="0.3">
      <c r="B153" t="str">
        <f t="shared" si="42"/>
        <v>HH149</v>
      </c>
      <c r="C153" t="s">
        <v>65</v>
      </c>
      <c r="D153">
        <v>6</v>
      </c>
      <c r="E153">
        <v>1</v>
      </c>
      <c r="F153">
        <v>6</v>
      </c>
      <c r="G153" s="4">
        <v>36957</v>
      </c>
      <c r="H153">
        <v>28</v>
      </c>
      <c r="I153" t="s">
        <v>68</v>
      </c>
      <c r="J153" s="4">
        <v>3251</v>
      </c>
      <c r="K153">
        <v>28</v>
      </c>
      <c r="L153">
        <f>'KRWSIP_Program_Baseline Data'!H154</f>
        <v>2.5</v>
      </c>
      <c r="M153">
        <v>1</v>
      </c>
      <c r="P153" s="5"/>
      <c r="V153" s="4">
        <f t="shared" si="34"/>
        <v>36957</v>
      </c>
      <c r="W153" s="4">
        <f t="shared" si="35"/>
        <v>16504</v>
      </c>
      <c r="X153" s="4">
        <f t="shared" si="36"/>
        <v>3251</v>
      </c>
      <c r="Y153" s="4">
        <f t="shared" si="37"/>
        <v>5642</v>
      </c>
      <c r="Z153" s="4">
        <f t="shared" si="38"/>
        <v>28</v>
      </c>
      <c r="AA153">
        <f t="shared" si="39"/>
        <v>55</v>
      </c>
      <c r="AB153">
        <f t="shared" si="40"/>
        <v>2.5</v>
      </c>
      <c r="AC153">
        <f t="shared" si="41"/>
        <v>5.6</v>
      </c>
    </row>
    <row r="154" spans="2:29" x14ac:dyDescent="0.3">
      <c r="B154" t="str">
        <f t="shared" si="42"/>
        <v>HH150</v>
      </c>
      <c r="C154" t="s">
        <v>65</v>
      </c>
      <c r="D154">
        <v>2</v>
      </c>
      <c r="E154">
        <v>1</v>
      </c>
      <c r="F154">
        <v>2</v>
      </c>
      <c r="G154" s="4">
        <v>31633</v>
      </c>
      <c r="H154">
        <v>19</v>
      </c>
      <c r="I154" t="s">
        <v>66</v>
      </c>
      <c r="J154" s="4">
        <v>1860</v>
      </c>
      <c r="K154">
        <v>19</v>
      </c>
      <c r="L154">
        <f>'KRWSIP_Program_Baseline Data'!H155</f>
        <v>2.2000000000000002</v>
      </c>
      <c r="M154">
        <v>1</v>
      </c>
      <c r="P154" s="5"/>
      <c r="V154" s="4">
        <f t="shared" si="34"/>
        <v>31633</v>
      </c>
      <c r="W154" s="4">
        <f t="shared" si="35"/>
        <v>20582</v>
      </c>
      <c r="X154" s="4">
        <f t="shared" si="36"/>
        <v>1860</v>
      </c>
      <c r="Y154" s="4">
        <f t="shared" si="37"/>
        <v>4458</v>
      </c>
      <c r="Z154" s="4">
        <f t="shared" si="38"/>
        <v>19</v>
      </c>
      <c r="AA154">
        <f t="shared" si="39"/>
        <v>68</v>
      </c>
      <c r="AB154">
        <f t="shared" si="40"/>
        <v>2.2000000000000002</v>
      </c>
      <c r="AC154">
        <f t="shared" si="41"/>
        <v>4.8</v>
      </c>
    </row>
    <row r="155" spans="2:29" x14ac:dyDescent="0.3">
      <c r="B155" t="str">
        <f t="shared" si="42"/>
        <v>HH151</v>
      </c>
      <c r="C155" t="s">
        <v>63</v>
      </c>
      <c r="D155">
        <v>5</v>
      </c>
      <c r="E155">
        <v>1</v>
      </c>
      <c r="F155">
        <v>5</v>
      </c>
      <c r="G155" s="4">
        <v>21083</v>
      </c>
      <c r="H155">
        <v>22</v>
      </c>
      <c r="I155" t="s">
        <v>68</v>
      </c>
      <c r="J155" s="4">
        <v>3556</v>
      </c>
      <c r="K155">
        <v>22</v>
      </c>
      <c r="L155">
        <f>'KRWSIP_Program_Baseline Data'!H156</f>
        <v>3.2</v>
      </c>
      <c r="M155">
        <v>1</v>
      </c>
      <c r="P155" s="5"/>
      <c r="V155" s="4">
        <f t="shared" si="34"/>
        <v>21083</v>
      </c>
      <c r="W155" s="4">
        <f t="shared" si="35"/>
        <v>33012</v>
      </c>
      <c r="X155" s="4">
        <f t="shared" si="36"/>
        <v>3556</v>
      </c>
      <c r="Y155" s="4">
        <f t="shared" si="37"/>
        <v>5462</v>
      </c>
      <c r="Z155" s="4">
        <f t="shared" si="38"/>
        <v>22</v>
      </c>
      <c r="AA155">
        <f t="shared" si="39"/>
        <v>22</v>
      </c>
      <c r="AB155">
        <f t="shared" si="40"/>
        <v>3.2</v>
      </c>
      <c r="AC155">
        <f t="shared" si="41"/>
        <v>14.5</v>
      </c>
    </row>
    <row r="156" spans="2:29" x14ac:dyDescent="0.3">
      <c r="B156" t="str">
        <f t="shared" si="42"/>
        <v>HH152</v>
      </c>
      <c r="C156" t="s">
        <v>63</v>
      </c>
      <c r="D156">
        <v>5</v>
      </c>
      <c r="E156">
        <v>1</v>
      </c>
      <c r="F156">
        <v>5</v>
      </c>
      <c r="G156" s="4">
        <v>14693</v>
      </c>
      <c r="H156">
        <v>36</v>
      </c>
      <c r="I156" t="s">
        <v>68</v>
      </c>
      <c r="J156" s="4">
        <v>3117</v>
      </c>
      <c r="K156">
        <v>36</v>
      </c>
      <c r="L156">
        <f>'KRWSIP_Program_Baseline Data'!H157</f>
        <v>9.1999999999999993</v>
      </c>
      <c r="M156">
        <v>1</v>
      </c>
      <c r="P156" s="5"/>
      <c r="V156" s="4">
        <f t="shared" si="34"/>
        <v>14693</v>
      </c>
      <c r="W156" s="4">
        <f t="shared" si="35"/>
        <v>35868</v>
      </c>
      <c r="X156" s="4">
        <f t="shared" si="36"/>
        <v>3117</v>
      </c>
      <c r="Y156" s="4">
        <f t="shared" si="37"/>
        <v>3371</v>
      </c>
      <c r="Z156" s="4">
        <f t="shared" si="38"/>
        <v>36</v>
      </c>
      <c r="AA156">
        <f t="shared" si="39"/>
        <v>37</v>
      </c>
      <c r="AB156">
        <f t="shared" si="40"/>
        <v>9.1999999999999993</v>
      </c>
      <c r="AC156">
        <f t="shared" si="41"/>
        <v>6.9</v>
      </c>
    </row>
    <row r="157" spans="2:29" x14ac:dyDescent="0.3">
      <c r="B157" t="str">
        <f t="shared" si="42"/>
        <v>HH153</v>
      </c>
      <c r="C157" t="s">
        <v>63</v>
      </c>
      <c r="D157">
        <v>7</v>
      </c>
      <c r="E157">
        <v>1</v>
      </c>
      <c r="F157">
        <v>7</v>
      </c>
      <c r="G157" s="4">
        <v>24963</v>
      </c>
      <c r="H157">
        <v>41</v>
      </c>
      <c r="I157" t="s">
        <v>66</v>
      </c>
      <c r="J157" s="4">
        <v>4285</v>
      </c>
      <c r="K157">
        <v>41</v>
      </c>
      <c r="L157">
        <f>'KRWSIP_Program_Baseline Data'!H158</f>
        <v>12.5</v>
      </c>
      <c r="M157">
        <v>1</v>
      </c>
      <c r="P157" s="5"/>
      <c r="V157" s="4">
        <f t="shared" si="34"/>
        <v>24963</v>
      </c>
      <c r="W157" s="4">
        <f t="shared" si="35"/>
        <v>36105</v>
      </c>
      <c r="X157" s="4">
        <f t="shared" si="36"/>
        <v>4285</v>
      </c>
      <c r="Y157" s="4">
        <f t="shared" si="37"/>
        <v>5323</v>
      </c>
      <c r="Z157" s="4">
        <f t="shared" si="38"/>
        <v>41</v>
      </c>
      <c r="AA157">
        <f t="shared" si="39"/>
        <v>20</v>
      </c>
      <c r="AB157">
        <f t="shared" si="40"/>
        <v>12.5</v>
      </c>
      <c r="AC157">
        <f t="shared" si="41"/>
        <v>11.9</v>
      </c>
    </row>
    <row r="158" spans="2:29" x14ac:dyDescent="0.3">
      <c r="B158" t="str">
        <f t="shared" si="42"/>
        <v>HH154</v>
      </c>
      <c r="C158" t="s">
        <v>64</v>
      </c>
      <c r="D158">
        <v>2</v>
      </c>
      <c r="E158">
        <v>1</v>
      </c>
      <c r="F158">
        <v>2</v>
      </c>
      <c r="G158" s="4">
        <v>18571</v>
      </c>
      <c r="H158">
        <v>43</v>
      </c>
      <c r="I158" t="s">
        <v>68</v>
      </c>
      <c r="J158" s="4">
        <v>1900</v>
      </c>
      <c r="K158">
        <v>43</v>
      </c>
      <c r="L158">
        <f>'KRWSIP_Program_Baseline Data'!H159</f>
        <v>8.3000000000000007</v>
      </c>
      <c r="M158">
        <v>1</v>
      </c>
      <c r="P158" s="5"/>
      <c r="V158" s="4">
        <f t="shared" si="34"/>
        <v>18571</v>
      </c>
      <c r="W158" s="4">
        <f t="shared" si="35"/>
        <v>26285</v>
      </c>
      <c r="X158" s="4">
        <f t="shared" si="36"/>
        <v>1900</v>
      </c>
      <c r="Y158" s="4">
        <f t="shared" si="37"/>
        <v>4161</v>
      </c>
      <c r="Z158" s="4">
        <f t="shared" si="38"/>
        <v>43</v>
      </c>
      <c r="AA158">
        <f t="shared" si="39"/>
        <v>58</v>
      </c>
      <c r="AB158">
        <f t="shared" si="40"/>
        <v>8.3000000000000007</v>
      </c>
      <c r="AC158">
        <f t="shared" si="41"/>
        <v>7.6</v>
      </c>
    </row>
    <row r="159" spans="2:29" x14ac:dyDescent="0.3">
      <c r="B159" t="str">
        <f t="shared" si="42"/>
        <v>HH155</v>
      </c>
      <c r="C159" t="s">
        <v>65</v>
      </c>
      <c r="D159">
        <v>5</v>
      </c>
      <c r="E159">
        <v>1</v>
      </c>
      <c r="F159">
        <v>5</v>
      </c>
      <c r="G159" s="4">
        <v>36459</v>
      </c>
      <c r="H159">
        <v>20</v>
      </c>
      <c r="I159" t="s">
        <v>67</v>
      </c>
      <c r="J159" s="4">
        <v>2777</v>
      </c>
      <c r="K159">
        <v>20</v>
      </c>
      <c r="L159">
        <f>'KRWSIP_Program_Baseline Data'!H160</f>
        <v>14.2</v>
      </c>
      <c r="M159">
        <v>1</v>
      </c>
      <c r="P159" s="5"/>
      <c r="V159" s="4">
        <f t="shared" si="34"/>
        <v>36459</v>
      </c>
      <c r="W159" s="4">
        <f t="shared" si="35"/>
        <v>24838</v>
      </c>
      <c r="X159" s="4">
        <f t="shared" si="36"/>
        <v>2777</v>
      </c>
      <c r="Y159" s="4">
        <f t="shared" si="37"/>
        <v>5261</v>
      </c>
      <c r="Z159" s="4">
        <f t="shared" si="38"/>
        <v>20</v>
      </c>
      <c r="AA159">
        <f t="shared" si="39"/>
        <v>64</v>
      </c>
      <c r="AB159">
        <f t="shared" si="40"/>
        <v>14.2</v>
      </c>
      <c r="AC159">
        <f t="shared" si="41"/>
        <v>11.1</v>
      </c>
    </row>
    <row r="160" spans="2:29" x14ac:dyDescent="0.3">
      <c r="B160" t="str">
        <f t="shared" si="42"/>
        <v>HH156</v>
      </c>
      <c r="C160" t="s">
        <v>63</v>
      </c>
      <c r="D160">
        <v>2</v>
      </c>
      <c r="E160">
        <v>1</v>
      </c>
      <c r="F160">
        <v>2</v>
      </c>
      <c r="G160" s="4">
        <v>25376</v>
      </c>
      <c r="H160">
        <v>7</v>
      </c>
      <c r="I160" t="s">
        <v>67</v>
      </c>
      <c r="J160" s="4">
        <v>3340</v>
      </c>
      <c r="K160">
        <v>7</v>
      </c>
      <c r="L160">
        <f>'KRWSIP_Program_Baseline Data'!H161</f>
        <v>8.5</v>
      </c>
      <c r="M160">
        <v>1</v>
      </c>
      <c r="P160" s="5"/>
      <c r="V160" s="4">
        <f t="shared" si="34"/>
        <v>25376</v>
      </c>
      <c r="W160" s="4">
        <f t="shared" si="35"/>
        <v>25324</v>
      </c>
      <c r="X160" s="4">
        <f t="shared" si="36"/>
        <v>3340</v>
      </c>
      <c r="Y160" s="4">
        <f t="shared" si="37"/>
        <v>4319</v>
      </c>
      <c r="Z160" s="4">
        <f t="shared" si="38"/>
        <v>7</v>
      </c>
      <c r="AA160">
        <f t="shared" si="39"/>
        <v>34</v>
      </c>
      <c r="AB160">
        <f t="shared" si="40"/>
        <v>8.5</v>
      </c>
      <c r="AC160">
        <f t="shared" si="41"/>
        <v>8.3000000000000007</v>
      </c>
    </row>
    <row r="161" spans="2:29" x14ac:dyDescent="0.3">
      <c r="B161" t="str">
        <f t="shared" si="42"/>
        <v>HH157</v>
      </c>
      <c r="C161" t="s">
        <v>62</v>
      </c>
      <c r="D161">
        <v>4</v>
      </c>
      <c r="E161">
        <v>1</v>
      </c>
      <c r="F161">
        <v>4</v>
      </c>
      <c r="G161" s="4">
        <v>23927</v>
      </c>
      <c r="H161">
        <v>36</v>
      </c>
      <c r="I161" t="s">
        <v>67</v>
      </c>
      <c r="J161" s="4">
        <v>3496</v>
      </c>
      <c r="K161">
        <v>36</v>
      </c>
      <c r="L161">
        <f>'KRWSIP_Program_Baseline Data'!H162</f>
        <v>14</v>
      </c>
      <c r="M161">
        <v>1</v>
      </c>
      <c r="P161" s="5"/>
      <c r="V161" s="4">
        <f t="shared" si="34"/>
        <v>23927</v>
      </c>
      <c r="W161" s="4">
        <f t="shared" si="35"/>
        <v>42798</v>
      </c>
      <c r="X161" s="4">
        <f t="shared" si="36"/>
        <v>3496</v>
      </c>
      <c r="Y161" s="4">
        <f t="shared" si="37"/>
        <v>5464</v>
      </c>
      <c r="Z161" s="4">
        <f t="shared" si="38"/>
        <v>36</v>
      </c>
      <c r="AA161">
        <f t="shared" si="39"/>
        <v>59</v>
      </c>
      <c r="AB161">
        <f t="shared" si="40"/>
        <v>14</v>
      </c>
      <c r="AC161">
        <f t="shared" si="41"/>
        <v>7.4</v>
      </c>
    </row>
    <row r="162" spans="2:29" x14ac:dyDescent="0.3">
      <c r="B162" t="str">
        <f t="shared" si="42"/>
        <v>HH158</v>
      </c>
      <c r="C162" t="s">
        <v>63</v>
      </c>
      <c r="D162">
        <v>4</v>
      </c>
      <c r="E162">
        <v>1</v>
      </c>
      <c r="F162">
        <v>4</v>
      </c>
      <c r="G162" s="4">
        <v>27668</v>
      </c>
      <c r="H162">
        <v>47</v>
      </c>
      <c r="I162" t="s">
        <v>66</v>
      </c>
      <c r="J162" s="4">
        <v>2249</v>
      </c>
      <c r="K162">
        <v>47</v>
      </c>
      <c r="L162">
        <f>'KRWSIP_Program_Baseline Data'!H163</f>
        <v>3.4</v>
      </c>
      <c r="M162">
        <v>1</v>
      </c>
      <c r="P162" s="5"/>
      <c r="V162" s="4">
        <f t="shared" si="34"/>
        <v>27668</v>
      </c>
      <c r="W162" s="4">
        <f t="shared" si="35"/>
        <v>25581</v>
      </c>
      <c r="X162" s="4">
        <f t="shared" si="36"/>
        <v>2249</v>
      </c>
      <c r="Y162" s="4">
        <f t="shared" si="37"/>
        <v>6587</v>
      </c>
      <c r="Z162" s="4">
        <f t="shared" si="38"/>
        <v>47</v>
      </c>
      <c r="AA162">
        <f t="shared" si="39"/>
        <v>95</v>
      </c>
      <c r="AB162">
        <f t="shared" si="40"/>
        <v>3.4</v>
      </c>
      <c r="AC162">
        <f t="shared" si="41"/>
        <v>5.0999999999999996</v>
      </c>
    </row>
    <row r="163" spans="2:29" x14ac:dyDescent="0.3">
      <c r="B163" t="str">
        <f t="shared" si="42"/>
        <v>HH159</v>
      </c>
      <c r="C163" t="s">
        <v>64</v>
      </c>
      <c r="D163">
        <v>4</v>
      </c>
      <c r="E163">
        <v>1</v>
      </c>
      <c r="F163">
        <v>4</v>
      </c>
      <c r="G163" s="4">
        <v>31420</v>
      </c>
      <c r="H163">
        <v>31</v>
      </c>
      <c r="I163" t="s">
        <v>67</v>
      </c>
      <c r="J163" s="4">
        <v>3264</v>
      </c>
      <c r="K163">
        <v>31</v>
      </c>
      <c r="L163">
        <f>'KRWSIP_Program_Baseline Data'!H164</f>
        <v>5.6</v>
      </c>
      <c r="M163">
        <v>1</v>
      </c>
      <c r="P163" s="5"/>
      <c r="V163" s="4">
        <f t="shared" si="34"/>
        <v>31420</v>
      </c>
      <c r="W163" s="4">
        <f t="shared" si="35"/>
        <v>32352</v>
      </c>
      <c r="X163" s="4">
        <f t="shared" si="36"/>
        <v>3264</v>
      </c>
      <c r="Y163" s="4">
        <f t="shared" si="37"/>
        <v>3695</v>
      </c>
      <c r="Z163" s="4">
        <f t="shared" si="38"/>
        <v>31</v>
      </c>
      <c r="AA163">
        <f t="shared" si="39"/>
        <v>57</v>
      </c>
      <c r="AB163">
        <f t="shared" si="40"/>
        <v>5.6</v>
      </c>
      <c r="AC163">
        <f t="shared" si="41"/>
        <v>6.9</v>
      </c>
    </row>
    <row r="164" spans="2:29" x14ac:dyDescent="0.3">
      <c r="B164" t="str">
        <f t="shared" si="42"/>
        <v>HH160</v>
      </c>
      <c r="C164" t="s">
        <v>63</v>
      </c>
      <c r="D164">
        <v>4</v>
      </c>
      <c r="E164">
        <v>1</v>
      </c>
      <c r="F164">
        <v>4</v>
      </c>
      <c r="G164" s="4">
        <v>33489</v>
      </c>
      <c r="H164">
        <v>50</v>
      </c>
      <c r="I164" t="s">
        <v>68</v>
      </c>
      <c r="J164" s="4">
        <v>2995</v>
      </c>
      <c r="K164">
        <v>50</v>
      </c>
      <c r="L164">
        <f>'KRWSIP_Program_Baseline Data'!H165</f>
        <v>6.4</v>
      </c>
      <c r="M164">
        <v>1</v>
      </c>
      <c r="P164" s="5"/>
      <c r="V164" s="4">
        <f t="shared" si="34"/>
        <v>33489</v>
      </c>
      <c r="W164" s="4">
        <f t="shared" si="35"/>
        <v>26399</v>
      </c>
      <c r="X164" s="4">
        <f t="shared" si="36"/>
        <v>2995</v>
      </c>
      <c r="Y164" s="4">
        <f t="shared" si="37"/>
        <v>4333</v>
      </c>
      <c r="Z164" s="4">
        <f t="shared" si="38"/>
        <v>50</v>
      </c>
      <c r="AA164">
        <f t="shared" si="39"/>
        <v>88</v>
      </c>
      <c r="AB164">
        <f t="shared" si="40"/>
        <v>6.4</v>
      </c>
      <c r="AC164">
        <f t="shared" si="41"/>
        <v>1.4</v>
      </c>
    </row>
    <row r="165" spans="2:29" x14ac:dyDescent="0.3">
      <c r="B165" t="str">
        <f t="shared" si="42"/>
        <v>HH161</v>
      </c>
      <c r="C165" t="s">
        <v>64</v>
      </c>
      <c r="D165">
        <v>2</v>
      </c>
      <c r="E165">
        <v>1</v>
      </c>
      <c r="F165">
        <v>2</v>
      </c>
      <c r="G165" s="4">
        <v>32316</v>
      </c>
      <c r="H165">
        <v>14</v>
      </c>
      <c r="I165" t="s">
        <v>66</v>
      </c>
      <c r="J165" s="4">
        <v>1861</v>
      </c>
      <c r="K165">
        <v>14</v>
      </c>
      <c r="L165">
        <f>'KRWSIP_Program_Baseline Data'!H166</f>
        <v>5.7</v>
      </c>
      <c r="M165">
        <v>1</v>
      </c>
      <c r="P165" s="5"/>
      <c r="V165" s="4">
        <f t="shared" ref="V165:V196" si="43">IF($M165=1,G165,"")</f>
        <v>32316</v>
      </c>
      <c r="W165" s="4">
        <f t="shared" ref="W165:W196" si="44">IF($M365=0, G365,"")</f>
        <v>37995</v>
      </c>
      <c r="X165" s="4">
        <f t="shared" ref="X165:X196" si="45">IF($M165=1,J165,"")</f>
        <v>1861</v>
      </c>
      <c r="Y165" s="4">
        <f t="shared" ref="Y165:Y196" si="46">IF($M365=0,J365,"")</f>
        <v>3194</v>
      </c>
      <c r="Z165" s="4">
        <f t="shared" ref="Z165:Z196" si="47">IF($M165=1,K165,"")</f>
        <v>14</v>
      </c>
      <c r="AA165">
        <f t="shared" ref="AA165:AA196" si="48">IF($M365=0,K365,"")</f>
        <v>40</v>
      </c>
      <c r="AB165">
        <f t="shared" ref="AB165:AB196" si="49">IF($M165=1,L165,"")</f>
        <v>5.7</v>
      </c>
      <c r="AC165">
        <f t="shared" ref="AC165:AC196" si="50">IF($M365=0,L365,"")</f>
        <v>9.1999999999999993</v>
      </c>
    </row>
    <row r="166" spans="2:29" x14ac:dyDescent="0.3">
      <c r="B166" t="str">
        <f t="shared" si="42"/>
        <v>HH162</v>
      </c>
      <c r="C166" t="s">
        <v>62</v>
      </c>
      <c r="D166">
        <v>6</v>
      </c>
      <c r="E166">
        <v>1</v>
      </c>
      <c r="F166">
        <v>6</v>
      </c>
      <c r="G166" s="4">
        <v>31359</v>
      </c>
      <c r="H166">
        <v>25</v>
      </c>
      <c r="I166" t="s">
        <v>68</v>
      </c>
      <c r="J166" s="4">
        <v>3536</v>
      </c>
      <c r="K166">
        <v>25</v>
      </c>
      <c r="L166">
        <f>'KRWSIP_Program_Baseline Data'!H167</f>
        <v>10.3</v>
      </c>
      <c r="M166">
        <v>1</v>
      </c>
      <c r="P166" s="5"/>
      <c r="V166" s="4">
        <f t="shared" si="43"/>
        <v>31359</v>
      </c>
      <c r="W166" s="4">
        <f t="shared" si="44"/>
        <v>22307</v>
      </c>
      <c r="X166" s="4">
        <f t="shared" si="45"/>
        <v>3536</v>
      </c>
      <c r="Y166" s="4">
        <f t="shared" si="46"/>
        <v>4682</v>
      </c>
      <c r="Z166" s="4">
        <f t="shared" si="47"/>
        <v>25</v>
      </c>
      <c r="AA166">
        <f t="shared" si="48"/>
        <v>33</v>
      </c>
      <c r="AB166">
        <f t="shared" si="49"/>
        <v>10.3</v>
      </c>
      <c r="AC166">
        <f t="shared" si="50"/>
        <v>8</v>
      </c>
    </row>
    <row r="167" spans="2:29" x14ac:dyDescent="0.3">
      <c r="B167" t="str">
        <f t="shared" si="42"/>
        <v>HH163</v>
      </c>
      <c r="C167" t="s">
        <v>65</v>
      </c>
      <c r="D167">
        <v>4</v>
      </c>
      <c r="E167">
        <v>1</v>
      </c>
      <c r="F167">
        <v>4</v>
      </c>
      <c r="G167" s="4">
        <v>31860</v>
      </c>
      <c r="H167">
        <v>48</v>
      </c>
      <c r="I167" t="s">
        <v>69</v>
      </c>
      <c r="J167" s="4">
        <v>3193</v>
      </c>
      <c r="K167">
        <v>48</v>
      </c>
      <c r="L167">
        <f>'KRWSIP_Program_Baseline Data'!H168</f>
        <v>3.1</v>
      </c>
      <c r="M167">
        <v>1</v>
      </c>
      <c r="P167" s="5"/>
      <c r="V167" s="4">
        <f t="shared" si="43"/>
        <v>31860</v>
      </c>
      <c r="W167" s="4">
        <f t="shared" si="44"/>
        <v>30219</v>
      </c>
      <c r="X167" s="4">
        <f t="shared" si="45"/>
        <v>3193</v>
      </c>
      <c r="Y167" s="4">
        <f t="shared" si="46"/>
        <v>2721</v>
      </c>
      <c r="Z167" s="4">
        <f t="shared" si="47"/>
        <v>48</v>
      </c>
      <c r="AA167">
        <f t="shared" si="48"/>
        <v>56</v>
      </c>
      <c r="AB167">
        <f t="shared" si="49"/>
        <v>3.1</v>
      </c>
      <c r="AC167">
        <f t="shared" si="50"/>
        <v>1.3</v>
      </c>
    </row>
    <row r="168" spans="2:29" x14ac:dyDescent="0.3">
      <c r="B168" t="str">
        <f t="shared" si="42"/>
        <v>HH164</v>
      </c>
      <c r="C168" t="s">
        <v>64</v>
      </c>
      <c r="D168">
        <v>5</v>
      </c>
      <c r="E168">
        <v>1</v>
      </c>
      <c r="F168">
        <v>5</v>
      </c>
      <c r="G168" s="4">
        <v>34057</v>
      </c>
      <c r="H168">
        <v>13</v>
      </c>
      <c r="I168" t="s">
        <v>66</v>
      </c>
      <c r="J168" s="4">
        <v>3970</v>
      </c>
      <c r="K168">
        <v>13</v>
      </c>
      <c r="L168">
        <f>'KRWSIP_Program_Baseline Data'!H169</f>
        <v>14.5</v>
      </c>
      <c r="M168">
        <v>1</v>
      </c>
      <c r="P168" s="5"/>
      <c r="V168" s="4">
        <f t="shared" si="43"/>
        <v>34057</v>
      </c>
      <c r="W168" s="4">
        <f t="shared" si="44"/>
        <v>31220</v>
      </c>
      <c r="X168" s="4">
        <f t="shared" si="45"/>
        <v>3970</v>
      </c>
      <c r="Y168" s="4">
        <f t="shared" si="46"/>
        <v>4583</v>
      </c>
      <c r="Z168" s="4">
        <f t="shared" si="47"/>
        <v>13</v>
      </c>
      <c r="AA168">
        <f t="shared" si="48"/>
        <v>55</v>
      </c>
      <c r="AB168">
        <f t="shared" si="49"/>
        <v>14.5</v>
      </c>
      <c r="AC168">
        <f t="shared" si="50"/>
        <v>10.9</v>
      </c>
    </row>
    <row r="169" spans="2:29" x14ac:dyDescent="0.3">
      <c r="B169" t="str">
        <f t="shared" si="42"/>
        <v>HH165</v>
      </c>
      <c r="C169" t="s">
        <v>62</v>
      </c>
      <c r="D169">
        <v>2</v>
      </c>
      <c r="E169">
        <v>1</v>
      </c>
      <c r="F169">
        <v>2</v>
      </c>
      <c r="G169" s="4">
        <v>24879</v>
      </c>
      <c r="H169">
        <v>24</v>
      </c>
      <c r="I169" t="s">
        <v>67</v>
      </c>
      <c r="J169" s="4">
        <v>1982</v>
      </c>
      <c r="K169">
        <v>24</v>
      </c>
      <c r="L169">
        <f>'KRWSIP_Program_Baseline Data'!H170</f>
        <v>6.3</v>
      </c>
      <c r="M169">
        <v>1</v>
      </c>
      <c r="P169" s="5"/>
      <c r="V169" s="4">
        <f t="shared" si="43"/>
        <v>24879</v>
      </c>
      <c r="W169" s="4">
        <f t="shared" si="44"/>
        <v>24882</v>
      </c>
      <c r="X169" s="4">
        <f t="shared" si="45"/>
        <v>1982</v>
      </c>
      <c r="Y169" s="4">
        <f t="shared" si="46"/>
        <v>4923</v>
      </c>
      <c r="Z169" s="4">
        <f t="shared" si="47"/>
        <v>24</v>
      </c>
      <c r="AA169">
        <f t="shared" si="48"/>
        <v>113</v>
      </c>
      <c r="AB169">
        <f t="shared" si="49"/>
        <v>6.3</v>
      </c>
      <c r="AC169">
        <f t="shared" si="50"/>
        <v>10.5</v>
      </c>
    </row>
    <row r="170" spans="2:29" x14ac:dyDescent="0.3">
      <c r="B170" t="str">
        <f t="shared" si="42"/>
        <v>HH166</v>
      </c>
      <c r="C170" t="s">
        <v>62</v>
      </c>
      <c r="D170">
        <v>6</v>
      </c>
      <c r="E170">
        <v>1</v>
      </c>
      <c r="F170">
        <v>6</v>
      </c>
      <c r="G170" s="4">
        <v>31713</v>
      </c>
      <c r="H170">
        <v>29</v>
      </c>
      <c r="I170" t="s">
        <v>67</v>
      </c>
      <c r="J170" s="4">
        <v>4307</v>
      </c>
      <c r="K170">
        <v>29</v>
      </c>
      <c r="L170">
        <f>'KRWSIP_Program_Baseline Data'!H171</f>
        <v>2.7</v>
      </c>
      <c r="M170">
        <v>1</v>
      </c>
      <c r="P170" s="5"/>
      <c r="V170" s="4">
        <f t="shared" si="43"/>
        <v>31713</v>
      </c>
      <c r="W170" s="4">
        <f t="shared" si="44"/>
        <v>25813</v>
      </c>
      <c r="X170" s="4">
        <f t="shared" si="45"/>
        <v>4307</v>
      </c>
      <c r="Y170" s="4">
        <f t="shared" si="46"/>
        <v>4588</v>
      </c>
      <c r="Z170" s="4">
        <f t="shared" si="47"/>
        <v>29</v>
      </c>
      <c r="AA170">
        <f t="shared" si="48"/>
        <v>98</v>
      </c>
      <c r="AB170">
        <f t="shared" si="49"/>
        <v>2.7</v>
      </c>
      <c r="AC170">
        <f t="shared" si="50"/>
        <v>7.3</v>
      </c>
    </row>
    <row r="171" spans="2:29" x14ac:dyDescent="0.3">
      <c r="B171" t="str">
        <f t="shared" si="42"/>
        <v>HH167</v>
      </c>
      <c r="C171" t="s">
        <v>65</v>
      </c>
      <c r="D171">
        <v>5</v>
      </c>
      <c r="E171">
        <v>1</v>
      </c>
      <c r="F171">
        <v>5</v>
      </c>
      <c r="G171" s="4">
        <v>40739</v>
      </c>
      <c r="H171">
        <v>16</v>
      </c>
      <c r="I171" t="s">
        <v>69</v>
      </c>
      <c r="J171" s="4">
        <v>3867</v>
      </c>
      <c r="K171">
        <v>16</v>
      </c>
      <c r="L171">
        <f>'KRWSIP_Program_Baseline Data'!H172</f>
        <v>4</v>
      </c>
      <c r="M171">
        <v>1</v>
      </c>
      <c r="P171" s="5"/>
      <c r="V171" s="4">
        <f t="shared" si="43"/>
        <v>40739</v>
      </c>
      <c r="W171" s="4">
        <f t="shared" si="44"/>
        <v>32858</v>
      </c>
      <c r="X171" s="4">
        <f t="shared" si="45"/>
        <v>3867</v>
      </c>
      <c r="Y171" s="4">
        <f t="shared" si="46"/>
        <v>6616</v>
      </c>
      <c r="Z171" s="4">
        <f t="shared" si="47"/>
        <v>16</v>
      </c>
      <c r="AA171">
        <f t="shared" si="48"/>
        <v>98</v>
      </c>
      <c r="AB171">
        <f t="shared" si="49"/>
        <v>4</v>
      </c>
      <c r="AC171">
        <f t="shared" si="50"/>
        <v>1.7</v>
      </c>
    </row>
    <row r="172" spans="2:29" x14ac:dyDescent="0.3">
      <c r="B172" t="str">
        <f t="shared" si="42"/>
        <v>HH168</v>
      </c>
      <c r="C172" t="s">
        <v>65</v>
      </c>
      <c r="D172">
        <v>2</v>
      </c>
      <c r="E172">
        <v>1</v>
      </c>
      <c r="F172">
        <v>2</v>
      </c>
      <c r="G172" s="4">
        <v>8197</v>
      </c>
      <c r="H172">
        <v>19</v>
      </c>
      <c r="I172" t="s">
        <v>68</v>
      </c>
      <c r="J172" s="4">
        <v>3101</v>
      </c>
      <c r="K172">
        <v>19</v>
      </c>
      <c r="L172">
        <f>'KRWSIP_Program_Baseline Data'!H173</f>
        <v>7.8</v>
      </c>
      <c r="M172">
        <v>1</v>
      </c>
      <c r="P172" s="5"/>
      <c r="V172" s="4">
        <f t="shared" si="43"/>
        <v>8197</v>
      </c>
      <c r="W172" s="4">
        <f t="shared" si="44"/>
        <v>34289</v>
      </c>
      <c r="X172" s="4">
        <f t="shared" si="45"/>
        <v>3101</v>
      </c>
      <c r="Y172" s="4">
        <f t="shared" si="46"/>
        <v>3941</v>
      </c>
      <c r="Z172" s="4">
        <f t="shared" si="47"/>
        <v>19</v>
      </c>
      <c r="AA172">
        <f t="shared" si="48"/>
        <v>20</v>
      </c>
      <c r="AB172">
        <f t="shared" si="49"/>
        <v>7.8</v>
      </c>
      <c r="AC172">
        <f t="shared" si="50"/>
        <v>2.6</v>
      </c>
    </row>
    <row r="173" spans="2:29" x14ac:dyDescent="0.3">
      <c r="B173" t="str">
        <f t="shared" si="42"/>
        <v>HH169</v>
      </c>
      <c r="C173" t="s">
        <v>64</v>
      </c>
      <c r="D173">
        <v>3</v>
      </c>
      <c r="E173">
        <v>1</v>
      </c>
      <c r="F173">
        <v>3</v>
      </c>
      <c r="G173" s="4">
        <v>35487</v>
      </c>
      <c r="H173">
        <v>24</v>
      </c>
      <c r="I173" t="s">
        <v>69</v>
      </c>
      <c r="J173" s="4">
        <v>2973</v>
      </c>
      <c r="K173">
        <v>24</v>
      </c>
      <c r="L173">
        <f>'KRWSIP_Program_Baseline Data'!H174</f>
        <v>3</v>
      </c>
      <c r="M173">
        <v>1</v>
      </c>
      <c r="P173" s="5"/>
      <c r="V173" s="4">
        <f t="shared" si="43"/>
        <v>35487</v>
      </c>
      <c r="W173" s="4">
        <f t="shared" si="44"/>
        <v>31559</v>
      </c>
      <c r="X173" s="4">
        <f t="shared" si="45"/>
        <v>2973</v>
      </c>
      <c r="Y173" s="4">
        <f t="shared" si="46"/>
        <v>5588</v>
      </c>
      <c r="Z173" s="4">
        <f t="shared" si="47"/>
        <v>24</v>
      </c>
      <c r="AA173">
        <f t="shared" si="48"/>
        <v>29</v>
      </c>
      <c r="AB173">
        <f t="shared" si="49"/>
        <v>3</v>
      </c>
      <c r="AC173">
        <f t="shared" si="50"/>
        <v>10.9</v>
      </c>
    </row>
    <row r="174" spans="2:29" x14ac:dyDescent="0.3">
      <c r="B174" t="str">
        <f t="shared" si="42"/>
        <v>HH170</v>
      </c>
      <c r="C174" t="s">
        <v>63</v>
      </c>
      <c r="D174">
        <v>8</v>
      </c>
      <c r="E174">
        <v>1</v>
      </c>
      <c r="F174">
        <v>8</v>
      </c>
      <c r="G174" s="4">
        <v>35873</v>
      </c>
      <c r="H174">
        <v>44</v>
      </c>
      <c r="I174" t="s">
        <v>68</v>
      </c>
      <c r="J174" s="4">
        <v>3191</v>
      </c>
      <c r="K174">
        <v>44</v>
      </c>
      <c r="L174">
        <f>'KRWSIP_Program_Baseline Data'!H175</f>
        <v>11.6</v>
      </c>
      <c r="M174">
        <v>1</v>
      </c>
      <c r="P174" s="5"/>
      <c r="V174" s="4">
        <f t="shared" si="43"/>
        <v>35873</v>
      </c>
      <c r="W174" s="4">
        <f t="shared" si="44"/>
        <v>35539</v>
      </c>
      <c r="X174" s="4">
        <f t="shared" si="45"/>
        <v>3191</v>
      </c>
      <c r="Y174" s="4">
        <f t="shared" si="46"/>
        <v>3321</v>
      </c>
      <c r="Z174" s="4">
        <f t="shared" si="47"/>
        <v>44</v>
      </c>
      <c r="AA174">
        <f t="shared" si="48"/>
        <v>47</v>
      </c>
      <c r="AB174">
        <f t="shared" si="49"/>
        <v>11.6</v>
      </c>
      <c r="AC174">
        <f t="shared" si="50"/>
        <v>6.7</v>
      </c>
    </row>
    <row r="175" spans="2:29" x14ac:dyDescent="0.3">
      <c r="B175" t="str">
        <f t="shared" si="42"/>
        <v>HH171</v>
      </c>
      <c r="C175" t="s">
        <v>62</v>
      </c>
      <c r="D175">
        <v>6</v>
      </c>
      <c r="E175">
        <v>1</v>
      </c>
      <c r="F175">
        <v>6</v>
      </c>
      <c r="G175" s="4">
        <v>39641</v>
      </c>
      <c r="H175">
        <v>22</v>
      </c>
      <c r="I175" t="s">
        <v>66</v>
      </c>
      <c r="J175" s="4">
        <v>2978</v>
      </c>
      <c r="K175">
        <v>22</v>
      </c>
      <c r="L175">
        <f>'KRWSIP_Program_Baseline Data'!H176</f>
        <v>14.4</v>
      </c>
      <c r="M175">
        <v>1</v>
      </c>
      <c r="P175" s="5"/>
      <c r="V175" s="4">
        <f t="shared" si="43"/>
        <v>39641</v>
      </c>
      <c r="W175" s="4">
        <f t="shared" si="44"/>
        <v>28300</v>
      </c>
      <c r="X175" s="4">
        <f t="shared" si="45"/>
        <v>2978</v>
      </c>
      <c r="Y175" s="4">
        <f t="shared" si="46"/>
        <v>5935</v>
      </c>
      <c r="Z175" s="4">
        <f t="shared" si="47"/>
        <v>22</v>
      </c>
      <c r="AA175">
        <f t="shared" si="48"/>
        <v>90</v>
      </c>
      <c r="AB175">
        <f t="shared" si="49"/>
        <v>14.4</v>
      </c>
      <c r="AC175">
        <f t="shared" si="50"/>
        <v>8.5</v>
      </c>
    </row>
    <row r="176" spans="2:29" x14ac:dyDescent="0.3">
      <c r="B176" t="str">
        <f t="shared" si="42"/>
        <v>HH172</v>
      </c>
      <c r="C176" t="s">
        <v>64</v>
      </c>
      <c r="D176">
        <v>2</v>
      </c>
      <c r="E176">
        <v>1</v>
      </c>
      <c r="F176">
        <v>2</v>
      </c>
      <c r="G176" s="4">
        <v>40193</v>
      </c>
      <c r="H176">
        <v>15</v>
      </c>
      <c r="I176" t="s">
        <v>69</v>
      </c>
      <c r="J176" s="4">
        <v>3286</v>
      </c>
      <c r="K176">
        <v>15</v>
      </c>
      <c r="L176">
        <f>'KRWSIP_Program_Baseline Data'!H177</f>
        <v>8.5</v>
      </c>
      <c r="M176">
        <v>1</v>
      </c>
      <c r="P176" s="5"/>
      <c r="V176" s="4">
        <f t="shared" si="43"/>
        <v>40193</v>
      </c>
      <c r="W176" s="4">
        <f t="shared" si="44"/>
        <v>34234</v>
      </c>
      <c r="X176" s="4">
        <f t="shared" si="45"/>
        <v>3286</v>
      </c>
      <c r="Y176" s="4">
        <f t="shared" si="46"/>
        <v>3989</v>
      </c>
      <c r="Z176" s="4">
        <f t="shared" si="47"/>
        <v>15</v>
      </c>
      <c r="AA176">
        <f t="shared" si="48"/>
        <v>92</v>
      </c>
      <c r="AB176">
        <f t="shared" si="49"/>
        <v>8.5</v>
      </c>
      <c r="AC176">
        <f t="shared" si="50"/>
        <v>11.8</v>
      </c>
    </row>
    <row r="177" spans="2:29" x14ac:dyDescent="0.3">
      <c r="B177" t="str">
        <f t="shared" si="42"/>
        <v>HH173</v>
      </c>
      <c r="C177" t="s">
        <v>65</v>
      </c>
      <c r="D177">
        <v>2</v>
      </c>
      <c r="E177">
        <v>1</v>
      </c>
      <c r="F177">
        <v>2</v>
      </c>
      <c r="G177" s="4">
        <v>24837</v>
      </c>
      <c r="H177">
        <v>10</v>
      </c>
      <c r="I177" t="s">
        <v>67</v>
      </c>
      <c r="J177" s="4">
        <v>3155</v>
      </c>
      <c r="K177">
        <v>10</v>
      </c>
      <c r="L177">
        <f>'KRWSIP_Program_Baseline Data'!H178</f>
        <v>9.8000000000000007</v>
      </c>
      <c r="M177">
        <v>1</v>
      </c>
      <c r="P177" s="5"/>
      <c r="V177" s="4">
        <f t="shared" si="43"/>
        <v>24837</v>
      </c>
      <c r="W177" s="4">
        <f t="shared" si="44"/>
        <v>26706</v>
      </c>
      <c r="X177" s="4">
        <f t="shared" si="45"/>
        <v>3155</v>
      </c>
      <c r="Y177" s="4">
        <f t="shared" si="46"/>
        <v>5836</v>
      </c>
      <c r="Z177" s="4">
        <f t="shared" si="47"/>
        <v>10</v>
      </c>
      <c r="AA177">
        <f t="shared" si="48"/>
        <v>82</v>
      </c>
      <c r="AB177">
        <f t="shared" si="49"/>
        <v>9.8000000000000007</v>
      </c>
      <c r="AC177">
        <f t="shared" si="50"/>
        <v>13.5</v>
      </c>
    </row>
    <row r="178" spans="2:29" x14ac:dyDescent="0.3">
      <c r="B178" t="str">
        <f t="shared" si="42"/>
        <v>HH174</v>
      </c>
      <c r="C178" t="s">
        <v>63</v>
      </c>
      <c r="D178">
        <v>6</v>
      </c>
      <c r="E178">
        <v>1</v>
      </c>
      <c r="F178">
        <v>6</v>
      </c>
      <c r="G178" s="4">
        <v>27614</v>
      </c>
      <c r="H178">
        <v>21</v>
      </c>
      <c r="I178" t="s">
        <v>67</v>
      </c>
      <c r="J178" s="4">
        <v>2655</v>
      </c>
      <c r="K178">
        <v>21</v>
      </c>
      <c r="L178">
        <f>'KRWSIP_Program_Baseline Data'!H179</f>
        <v>5.2</v>
      </c>
      <c r="M178">
        <v>1</v>
      </c>
      <c r="P178" s="5"/>
      <c r="V178" s="4">
        <f t="shared" si="43"/>
        <v>27614</v>
      </c>
      <c r="W178" s="4">
        <f t="shared" si="44"/>
        <v>25900</v>
      </c>
      <c r="X178" s="4">
        <f t="shared" si="45"/>
        <v>2655</v>
      </c>
      <c r="Y178" s="4">
        <f t="shared" si="46"/>
        <v>2888</v>
      </c>
      <c r="Z178" s="4">
        <f t="shared" si="47"/>
        <v>21</v>
      </c>
      <c r="AA178">
        <f t="shared" si="48"/>
        <v>78</v>
      </c>
      <c r="AB178">
        <f t="shared" si="49"/>
        <v>5.2</v>
      </c>
      <c r="AC178">
        <f t="shared" si="50"/>
        <v>10.8</v>
      </c>
    </row>
    <row r="179" spans="2:29" x14ac:dyDescent="0.3">
      <c r="B179" t="str">
        <f t="shared" si="42"/>
        <v>HH175</v>
      </c>
      <c r="C179" t="s">
        <v>65</v>
      </c>
      <c r="D179">
        <v>8</v>
      </c>
      <c r="E179">
        <v>1</v>
      </c>
      <c r="F179">
        <v>8</v>
      </c>
      <c r="G179" s="4">
        <v>22978</v>
      </c>
      <c r="H179">
        <v>15</v>
      </c>
      <c r="I179" t="s">
        <v>69</v>
      </c>
      <c r="J179" s="4">
        <v>4305</v>
      </c>
      <c r="K179">
        <v>15</v>
      </c>
      <c r="L179">
        <f>'KRWSIP_Program_Baseline Data'!H180</f>
        <v>1.5</v>
      </c>
      <c r="M179">
        <v>1</v>
      </c>
      <c r="P179" s="5"/>
      <c r="V179" s="4">
        <f t="shared" si="43"/>
        <v>22978</v>
      </c>
      <c r="W179" s="4">
        <f t="shared" si="44"/>
        <v>37188</v>
      </c>
      <c r="X179" s="4">
        <f t="shared" si="45"/>
        <v>4305</v>
      </c>
      <c r="Y179" s="4">
        <f t="shared" si="46"/>
        <v>3505</v>
      </c>
      <c r="Z179" s="4">
        <f t="shared" si="47"/>
        <v>15</v>
      </c>
      <c r="AA179">
        <f t="shared" si="48"/>
        <v>19</v>
      </c>
      <c r="AB179">
        <f t="shared" si="49"/>
        <v>1.5</v>
      </c>
      <c r="AC179">
        <f t="shared" si="50"/>
        <v>13.9</v>
      </c>
    </row>
    <row r="180" spans="2:29" x14ac:dyDescent="0.3">
      <c r="B180" t="str">
        <f t="shared" si="42"/>
        <v>HH176</v>
      </c>
      <c r="C180" t="s">
        <v>64</v>
      </c>
      <c r="D180">
        <v>5</v>
      </c>
      <c r="E180">
        <v>1</v>
      </c>
      <c r="F180">
        <v>5</v>
      </c>
      <c r="G180" s="4">
        <v>24462</v>
      </c>
      <c r="H180">
        <v>48</v>
      </c>
      <c r="I180" t="s">
        <v>66</v>
      </c>
      <c r="J180" s="4">
        <v>2827</v>
      </c>
      <c r="K180">
        <v>48</v>
      </c>
      <c r="L180">
        <f>'KRWSIP_Program_Baseline Data'!H181</f>
        <v>12.1</v>
      </c>
      <c r="M180">
        <v>1</v>
      </c>
      <c r="P180" s="5"/>
      <c r="V180" s="4">
        <f t="shared" si="43"/>
        <v>24462</v>
      </c>
      <c r="W180" s="4">
        <f t="shared" si="44"/>
        <v>25534</v>
      </c>
      <c r="X180" s="4">
        <f t="shared" si="45"/>
        <v>2827</v>
      </c>
      <c r="Y180" s="4">
        <f t="shared" si="46"/>
        <v>4840</v>
      </c>
      <c r="Z180" s="4">
        <f t="shared" si="47"/>
        <v>48</v>
      </c>
      <c r="AA180">
        <f t="shared" si="48"/>
        <v>54</v>
      </c>
      <c r="AB180">
        <f t="shared" si="49"/>
        <v>12.1</v>
      </c>
      <c r="AC180">
        <f t="shared" si="50"/>
        <v>0.6</v>
      </c>
    </row>
    <row r="181" spans="2:29" x14ac:dyDescent="0.3">
      <c r="B181" t="str">
        <f t="shared" si="42"/>
        <v>HH177</v>
      </c>
      <c r="C181" t="s">
        <v>62</v>
      </c>
      <c r="D181">
        <v>7</v>
      </c>
      <c r="E181">
        <v>1</v>
      </c>
      <c r="F181">
        <v>7</v>
      </c>
      <c r="G181" s="4">
        <v>27767</v>
      </c>
      <c r="H181">
        <v>45</v>
      </c>
      <c r="I181" t="s">
        <v>68</v>
      </c>
      <c r="J181" s="4">
        <v>3525</v>
      </c>
      <c r="K181">
        <v>45</v>
      </c>
      <c r="L181">
        <f>'KRWSIP_Program_Baseline Data'!H182</f>
        <v>8.5</v>
      </c>
      <c r="M181">
        <v>1</v>
      </c>
      <c r="P181" s="5"/>
      <c r="V181" s="4">
        <f t="shared" si="43"/>
        <v>27767</v>
      </c>
      <c r="W181" s="4">
        <f t="shared" si="44"/>
        <v>15349</v>
      </c>
      <c r="X181" s="4">
        <f t="shared" si="45"/>
        <v>3525</v>
      </c>
      <c r="Y181" s="4">
        <f t="shared" si="46"/>
        <v>4711</v>
      </c>
      <c r="Z181" s="4">
        <f t="shared" si="47"/>
        <v>45</v>
      </c>
      <c r="AA181">
        <f t="shared" si="48"/>
        <v>81</v>
      </c>
      <c r="AB181">
        <f t="shared" si="49"/>
        <v>8.5</v>
      </c>
      <c r="AC181">
        <f t="shared" si="50"/>
        <v>8</v>
      </c>
    </row>
    <row r="182" spans="2:29" x14ac:dyDescent="0.3">
      <c r="B182" t="str">
        <f t="shared" si="42"/>
        <v>HH178</v>
      </c>
      <c r="C182" t="s">
        <v>62</v>
      </c>
      <c r="D182">
        <v>2</v>
      </c>
      <c r="E182">
        <v>1</v>
      </c>
      <c r="F182">
        <v>2</v>
      </c>
      <c r="G182" s="4">
        <v>46188</v>
      </c>
      <c r="H182">
        <v>41</v>
      </c>
      <c r="I182" t="s">
        <v>69</v>
      </c>
      <c r="J182" s="4">
        <v>2308</v>
      </c>
      <c r="K182">
        <v>41</v>
      </c>
      <c r="L182">
        <f>'KRWSIP_Program_Baseline Data'!H183</f>
        <v>4.2</v>
      </c>
      <c r="M182">
        <v>1</v>
      </c>
      <c r="P182" s="5"/>
      <c r="V182" s="4">
        <f t="shared" si="43"/>
        <v>46188</v>
      </c>
      <c r="W182" s="4">
        <f t="shared" si="44"/>
        <v>28502</v>
      </c>
      <c r="X182" s="4">
        <f t="shared" si="45"/>
        <v>2308</v>
      </c>
      <c r="Y182" s="4">
        <f t="shared" si="46"/>
        <v>4190</v>
      </c>
      <c r="Z182" s="4">
        <f t="shared" si="47"/>
        <v>41</v>
      </c>
      <c r="AA182">
        <f t="shared" si="48"/>
        <v>100</v>
      </c>
      <c r="AB182">
        <f t="shared" si="49"/>
        <v>4.2</v>
      </c>
      <c r="AC182">
        <f t="shared" si="50"/>
        <v>6.3</v>
      </c>
    </row>
    <row r="183" spans="2:29" x14ac:dyDescent="0.3">
      <c r="B183" t="str">
        <f t="shared" si="42"/>
        <v>HH179</v>
      </c>
      <c r="C183" t="s">
        <v>65</v>
      </c>
      <c r="D183">
        <v>5</v>
      </c>
      <c r="E183">
        <v>1</v>
      </c>
      <c r="F183">
        <v>5</v>
      </c>
      <c r="G183" s="4">
        <v>32265</v>
      </c>
      <c r="H183">
        <v>39</v>
      </c>
      <c r="I183" t="s">
        <v>68</v>
      </c>
      <c r="J183" s="4">
        <v>3472</v>
      </c>
      <c r="K183">
        <v>39</v>
      </c>
      <c r="L183">
        <f>'KRWSIP_Program_Baseline Data'!H184</f>
        <v>8.6</v>
      </c>
      <c r="M183">
        <v>1</v>
      </c>
      <c r="P183" s="5"/>
      <c r="V183" s="4">
        <f t="shared" si="43"/>
        <v>32265</v>
      </c>
      <c r="W183" s="4">
        <f t="shared" si="44"/>
        <v>27897</v>
      </c>
      <c r="X183" s="4">
        <f t="shared" si="45"/>
        <v>3472</v>
      </c>
      <c r="Y183" s="4">
        <f t="shared" si="46"/>
        <v>5891</v>
      </c>
      <c r="Z183" s="4">
        <f t="shared" si="47"/>
        <v>39</v>
      </c>
      <c r="AA183">
        <f t="shared" si="48"/>
        <v>59</v>
      </c>
      <c r="AB183">
        <f t="shared" si="49"/>
        <v>8.6</v>
      </c>
      <c r="AC183">
        <f t="shared" si="50"/>
        <v>7</v>
      </c>
    </row>
    <row r="184" spans="2:29" x14ac:dyDescent="0.3">
      <c r="B184" t="str">
        <f t="shared" si="42"/>
        <v>HH180</v>
      </c>
      <c r="C184" t="s">
        <v>65</v>
      </c>
      <c r="D184">
        <v>4</v>
      </c>
      <c r="E184">
        <v>1</v>
      </c>
      <c r="F184">
        <v>4</v>
      </c>
      <c r="G184" s="4">
        <v>27999</v>
      </c>
      <c r="H184">
        <v>19</v>
      </c>
      <c r="I184" t="s">
        <v>69</v>
      </c>
      <c r="J184" s="4">
        <v>2521</v>
      </c>
      <c r="K184">
        <v>19</v>
      </c>
      <c r="L184">
        <f>'KRWSIP_Program_Baseline Data'!H185</f>
        <v>11.9</v>
      </c>
      <c r="M184">
        <v>1</v>
      </c>
      <c r="P184" s="5"/>
      <c r="V184" s="4">
        <f t="shared" si="43"/>
        <v>27999</v>
      </c>
      <c r="W184" s="4">
        <f t="shared" si="44"/>
        <v>18940</v>
      </c>
      <c r="X184" s="4">
        <f t="shared" si="45"/>
        <v>2521</v>
      </c>
      <c r="Y184" s="4">
        <f t="shared" si="46"/>
        <v>3573</v>
      </c>
      <c r="Z184" s="4">
        <f t="shared" si="47"/>
        <v>19</v>
      </c>
      <c r="AA184">
        <f t="shared" si="48"/>
        <v>74</v>
      </c>
      <c r="AB184">
        <f t="shared" si="49"/>
        <v>11.9</v>
      </c>
      <c r="AC184">
        <f t="shared" si="50"/>
        <v>14.2</v>
      </c>
    </row>
    <row r="185" spans="2:29" x14ac:dyDescent="0.3">
      <c r="B185" t="str">
        <f t="shared" si="42"/>
        <v>HH181</v>
      </c>
      <c r="C185" t="s">
        <v>62</v>
      </c>
      <c r="D185">
        <v>8</v>
      </c>
      <c r="E185">
        <v>1</v>
      </c>
      <c r="F185">
        <v>8</v>
      </c>
      <c r="G185" s="4">
        <v>26572</v>
      </c>
      <c r="H185">
        <v>43</v>
      </c>
      <c r="I185" t="s">
        <v>67</v>
      </c>
      <c r="J185" s="4">
        <v>3541</v>
      </c>
      <c r="K185">
        <v>43</v>
      </c>
      <c r="L185">
        <f>'KRWSIP_Program_Baseline Data'!H186</f>
        <v>1.4</v>
      </c>
      <c r="M185">
        <v>1</v>
      </c>
      <c r="P185" s="5"/>
      <c r="V185" s="4">
        <f t="shared" si="43"/>
        <v>26572</v>
      </c>
      <c r="W185" s="4">
        <f t="shared" si="44"/>
        <v>28813</v>
      </c>
      <c r="X185" s="4">
        <f t="shared" si="45"/>
        <v>3541</v>
      </c>
      <c r="Y185" s="4">
        <f t="shared" si="46"/>
        <v>3649</v>
      </c>
      <c r="Z185" s="4">
        <f t="shared" si="47"/>
        <v>43</v>
      </c>
      <c r="AA185">
        <f t="shared" si="48"/>
        <v>81</v>
      </c>
      <c r="AB185">
        <f t="shared" si="49"/>
        <v>1.4</v>
      </c>
      <c r="AC185">
        <f t="shared" si="50"/>
        <v>1.4</v>
      </c>
    </row>
    <row r="186" spans="2:29" x14ac:dyDescent="0.3">
      <c r="B186" t="str">
        <f t="shared" si="42"/>
        <v>HH182</v>
      </c>
      <c r="C186" t="s">
        <v>64</v>
      </c>
      <c r="D186">
        <v>6</v>
      </c>
      <c r="E186">
        <v>1</v>
      </c>
      <c r="F186">
        <v>6</v>
      </c>
      <c r="G186" s="4">
        <v>34448</v>
      </c>
      <c r="H186">
        <v>7</v>
      </c>
      <c r="I186" t="s">
        <v>68</v>
      </c>
      <c r="J186" s="4">
        <v>2876</v>
      </c>
      <c r="K186">
        <v>7</v>
      </c>
      <c r="L186">
        <f>'KRWSIP_Program_Baseline Data'!H187</f>
        <v>10.6</v>
      </c>
      <c r="M186">
        <v>1</v>
      </c>
      <c r="P186" s="5"/>
      <c r="V186" s="4">
        <f t="shared" si="43"/>
        <v>34448</v>
      </c>
      <c r="W186" s="4">
        <f t="shared" si="44"/>
        <v>28779</v>
      </c>
      <c r="X186" s="4">
        <f t="shared" si="45"/>
        <v>2876</v>
      </c>
      <c r="Y186" s="4">
        <f t="shared" si="46"/>
        <v>4675</v>
      </c>
      <c r="Z186" s="4">
        <f t="shared" si="47"/>
        <v>7</v>
      </c>
      <c r="AA186">
        <f t="shared" si="48"/>
        <v>106</v>
      </c>
      <c r="AB186">
        <f t="shared" si="49"/>
        <v>10.6</v>
      </c>
      <c r="AC186">
        <f t="shared" si="50"/>
        <v>0.7</v>
      </c>
    </row>
    <row r="187" spans="2:29" x14ac:dyDescent="0.3">
      <c r="B187" t="str">
        <f t="shared" si="42"/>
        <v>HH183</v>
      </c>
      <c r="C187" t="s">
        <v>64</v>
      </c>
      <c r="D187">
        <v>6</v>
      </c>
      <c r="E187">
        <v>1</v>
      </c>
      <c r="F187">
        <v>6</v>
      </c>
      <c r="G187" s="4">
        <v>46606</v>
      </c>
      <c r="H187">
        <v>23</v>
      </c>
      <c r="I187" t="s">
        <v>68</v>
      </c>
      <c r="J187" s="4">
        <v>2919</v>
      </c>
      <c r="K187">
        <v>23</v>
      </c>
      <c r="L187">
        <f>'KRWSIP_Program_Baseline Data'!H188</f>
        <v>2.1</v>
      </c>
      <c r="M187">
        <v>1</v>
      </c>
      <c r="P187" s="5"/>
      <c r="V187" s="4">
        <f t="shared" si="43"/>
        <v>46606</v>
      </c>
      <c r="W187" s="4">
        <f t="shared" si="44"/>
        <v>15597</v>
      </c>
      <c r="X187" s="4">
        <f t="shared" si="45"/>
        <v>2919</v>
      </c>
      <c r="Y187" s="4">
        <f t="shared" si="46"/>
        <v>2638</v>
      </c>
      <c r="Z187" s="4">
        <f t="shared" si="47"/>
        <v>23</v>
      </c>
      <c r="AA187">
        <f t="shared" si="48"/>
        <v>97</v>
      </c>
      <c r="AB187">
        <f t="shared" si="49"/>
        <v>2.1</v>
      </c>
      <c r="AC187">
        <f t="shared" si="50"/>
        <v>10.7</v>
      </c>
    </row>
    <row r="188" spans="2:29" x14ac:dyDescent="0.3">
      <c r="B188" t="str">
        <f t="shared" si="42"/>
        <v>HH184</v>
      </c>
      <c r="C188" t="s">
        <v>64</v>
      </c>
      <c r="D188">
        <v>3</v>
      </c>
      <c r="E188">
        <v>1</v>
      </c>
      <c r="F188">
        <v>3</v>
      </c>
      <c r="G188" s="4">
        <v>38903</v>
      </c>
      <c r="H188">
        <v>55</v>
      </c>
      <c r="I188" t="s">
        <v>68</v>
      </c>
      <c r="J188" s="4">
        <v>2918</v>
      </c>
      <c r="K188">
        <v>55</v>
      </c>
      <c r="L188">
        <f>'KRWSIP_Program_Baseline Data'!H189</f>
        <v>10.8</v>
      </c>
      <c r="M188">
        <v>1</v>
      </c>
      <c r="P188" s="5"/>
      <c r="V188" s="4">
        <f t="shared" si="43"/>
        <v>38903</v>
      </c>
      <c r="W188" s="4">
        <f t="shared" si="44"/>
        <v>25237</v>
      </c>
      <c r="X188" s="4">
        <f t="shared" si="45"/>
        <v>2918</v>
      </c>
      <c r="Y188" s="4">
        <f t="shared" si="46"/>
        <v>5995</v>
      </c>
      <c r="Z188" s="4">
        <f t="shared" si="47"/>
        <v>55</v>
      </c>
      <c r="AA188">
        <f t="shared" si="48"/>
        <v>67</v>
      </c>
      <c r="AB188">
        <f t="shared" si="49"/>
        <v>10.8</v>
      </c>
      <c r="AC188">
        <f t="shared" si="50"/>
        <v>11.9</v>
      </c>
    </row>
    <row r="189" spans="2:29" x14ac:dyDescent="0.3">
      <c r="B189" t="str">
        <f t="shared" si="42"/>
        <v>HH185</v>
      </c>
      <c r="C189" t="s">
        <v>65</v>
      </c>
      <c r="D189">
        <v>5</v>
      </c>
      <c r="E189">
        <v>1</v>
      </c>
      <c r="F189">
        <v>5</v>
      </c>
      <c r="G189" s="4">
        <v>28107</v>
      </c>
      <c r="H189">
        <v>42</v>
      </c>
      <c r="I189" t="s">
        <v>69</v>
      </c>
      <c r="J189" s="4">
        <v>3026</v>
      </c>
      <c r="K189">
        <v>42</v>
      </c>
      <c r="L189">
        <f>'KRWSIP_Program_Baseline Data'!H190</f>
        <v>12.1</v>
      </c>
      <c r="M189">
        <v>1</v>
      </c>
      <c r="P189" s="5"/>
      <c r="V189" s="4">
        <f t="shared" si="43"/>
        <v>28107</v>
      </c>
      <c r="W189" s="4">
        <f t="shared" si="44"/>
        <v>20136</v>
      </c>
      <c r="X189" s="4">
        <f t="shared" si="45"/>
        <v>3026</v>
      </c>
      <c r="Y189" s="4">
        <f t="shared" si="46"/>
        <v>5863</v>
      </c>
      <c r="Z189" s="4">
        <f t="shared" si="47"/>
        <v>42</v>
      </c>
      <c r="AA189">
        <f t="shared" si="48"/>
        <v>71</v>
      </c>
      <c r="AB189">
        <f t="shared" si="49"/>
        <v>12.1</v>
      </c>
      <c r="AC189">
        <f t="shared" si="50"/>
        <v>4.7</v>
      </c>
    </row>
    <row r="190" spans="2:29" x14ac:dyDescent="0.3">
      <c r="B190" t="str">
        <f t="shared" si="42"/>
        <v>HH186</v>
      </c>
      <c r="C190" t="s">
        <v>63</v>
      </c>
      <c r="D190">
        <v>3</v>
      </c>
      <c r="E190">
        <v>1</v>
      </c>
      <c r="F190">
        <v>3</v>
      </c>
      <c r="G190" s="4">
        <v>16912</v>
      </c>
      <c r="H190">
        <v>39</v>
      </c>
      <c r="I190" t="s">
        <v>67</v>
      </c>
      <c r="J190" s="4">
        <v>2898</v>
      </c>
      <c r="K190">
        <v>39</v>
      </c>
      <c r="L190">
        <f>'KRWSIP_Program_Baseline Data'!H191</f>
        <v>4.5</v>
      </c>
      <c r="M190">
        <v>1</v>
      </c>
      <c r="P190" s="5"/>
      <c r="V190" s="4">
        <f t="shared" si="43"/>
        <v>16912</v>
      </c>
      <c r="W190" s="4">
        <f t="shared" si="44"/>
        <v>19730</v>
      </c>
      <c r="X190" s="4">
        <f t="shared" si="45"/>
        <v>2898</v>
      </c>
      <c r="Y190" s="4">
        <f t="shared" si="46"/>
        <v>5694</v>
      </c>
      <c r="Z190" s="4">
        <f t="shared" si="47"/>
        <v>39</v>
      </c>
      <c r="AA190">
        <f t="shared" si="48"/>
        <v>92</v>
      </c>
      <c r="AB190">
        <f t="shared" si="49"/>
        <v>4.5</v>
      </c>
      <c r="AC190">
        <f t="shared" si="50"/>
        <v>12.5</v>
      </c>
    </row>
    <row r="191" spans="2:29" x14ac:dyDescent="0.3">
      <c r="B191" t="str">
        <f t="shared" si="42"/>
        <v>HH187</v>
      </c>
      <c r="C191" t="s">
        <v>63</v>
      </c>
      <c r="D191">
        <v>8</v>
      </c>
      <c r="E191">
        <v>1</v>
      </c>
      <c r="F191">
        <v>8</v>
      </c>
      <c r="G191" s="4">
        <v>27487</v>
      </c>
      <c r="H191">
        <v>40</v>
      </c>
      <c r="I191" t="s">
        <v>67</v>
      </c>
      <c r="J191" s="4">
        <v>3594</v>
      </c>
      <c r="K191">
        <v>40</v>
      </c>
      <c r="L191">
        <f>'KRWSIP_Program_Baseline Data'!H192</f>
        <v>12.1</v>
      </c>
      <c r="M191">
        <v>1</v>
      </c>
      <c r="P191" s="5"/>
      <c r="V191" s="4">
        <f t="shared" si="43"/>
        <v>27487</v>
      </c>
      <c r="W191" s="4">
        <f t="shared" si="44"/>
        <v>16575</v>
      </c>
      <c r="X191" s="4">
        <f t="shared" si="45"/>
        <v>3594</v>
      </c>
      <c r="Y191" s="4">
        <f t="shared" si="46"/>
        <v>5435</v>
      </c>
      <c r="Z191" s="4">
        <f t="shared" si="47"/>
        <v>40</v>
      </c>
      <c r="AA191">
        <f t="shared" si="48"/>
        <v>75</v>
      </c>
      <c r="AB191">
        <f t="shared" si="49"/>
        <v>12.1</v>
      </c>
      <c r="AC191">
        <f t="shared" si="50"/>
        <v>8.3000000000000007</v>
      </c>
    </row>
    <row r="192" spans="2:29" x14ac:dyDescent="0.3">
      <c r="B192" t="str">
        <f t="shared" si="42"/>
        <v>HH188</v>
      </c>
      <c r="C192" t="s">
        <v>64</v>
      </c>
      <c r="D192">
        <v>4</v>
      </c>
      <c r="E192">
        <v>1</v>
      </c>
      <c r="F192">
        <v>4</v>
      </c>
      <c r="G192" s="4">
        <v>25887</v>
      </c>
      <c r="H192">
        <v>21</v>
      </c>
      <c r="I192" t="s">
        <v>66</v>
      </c>
      <c r="J192" s="4">
        <v>3110</v>
      </c>
      <c r="K192">
        <v>21</v>
      </c>
      <c r="L192">
        <f>'KRWSIP_Program_Baseline Data'!H193</f>
        <v>6.8</v>
      </c>
      <c r="M192">
        <v>1</v>
      </c>
      <c r="P192" s="5"/>
      <c r="V192" s="4">
        <f t="shared" si="43"/>
        <v>25887</v>
      </c>
      <c r="W192" s="4">
        <f t="shared" si="44"/>
        <v>28836</v>
      </c>
      <c r="X192" s="4">
        <f t="shared" si="45"/>
        <v>3110</v>
      </c>
      <c r="Y192" s="4">
        <f t="shared" si="46"/>
        <v>4442</v>
      </c>
      <c r="Z192" s="4">
        <f t="shared" si="47"/>
        <v>21</v>
      </c>
      <c r="AA192">
        <f t="shared" si="48"/>
        <v>17</v>
      </c>
      <c r="AB192">
        <f t="shared" si="49"/>
        <v>6.8</v>
      </c>
      <c r="AC192">
        <f t="shared" si="50"/>
        <v>14.2</v>
      </c>
    </row>
    <row r="193" spans="2:29" x14ac:dyDescent="0.3">
      <c r="B193" t="str">
        <f t="shared" si="42"/>
        <v>HH189</v>
      </c>
      <c r="C193" t="s">
        <v>62</v>
      </c>
      <c r="D193">
        <v>7</v>
      </c>
      <c r="E193">
        <v>1</v>
      </c>
      <c r="F193">
        <v>7</v>
      </c>
      <c r="G193" s="4">
        <v>30649</v>
      </c>
      <c r="H193">
        <v>45</v>
      </c>
      <c r="I193" t="s">
        <v>68</v>
      </c>
      <c r="J193" s="4">
        <v>4311</v>
      </c>
      <c r="K193">
        <v>45</v>
      </c>
      <c r="L193">
        <f>'KRWSIP_Program_Baseline Data'!H194</f>
        <v>14.8</v>
      </c>
      <c r="M193">
        <v>1</v>
      </c>
      <c r="P193" s="5"/>
      <c r="V193" s="4">
        <f t="shared" si="43"/>
        <v>30649</v>
      </c>
      <c r="W193" s="4">
        <f t="shared" si="44"/>
        <v>29029</v>
      </c>
      <c r="X193" s="4">
        <f t="shared" si="45"/>
        <v>4311</v>
      </c>
      <c r="Y193" s="4">
        <f t="shared" si="46"/>
        <v>3893</v>
      </c>
      <c r="Z193" s="4">
        <f t="shared" si="47"/>
        <v>45</v>
      </c>
      <c r="AA193">
        <f t="shared" si="48"/>
        <v>92</v>
      </c>
      <c r="AB193">
        <f t="shared" si="49"/>
        <v>14.8</v>
      </c>
      <c r="AC193">
        <f t="shared" si="50"/>
        <v>12.6</v>
      </c>
    </row>
    <row r="194" spans="2:29" x14ac:dyDescent="0.3">
      <c r="B194" t="str">
        <f t="shared" si="42"/>
        <v>HH190</v>
      </c>
      <c r="C194" t="s">
        <v>65</v>
      </c>
      <c r="D194">
        <v>2</v>
      </c>
      <c r="E194">
        <v>1</v>
      </c>
      <c r="F194">
        <v>2</v>
      </c>
      <c r="G194" s="4">
        <v>32001</v>
      </c>
      <c r="H194">
        <v>8</v>
      </c>
      <c r="I194" t="s">
        <v>68</v>
      </c>
      <c r="J194" s="4">
        <v>2136</v>
      </c>
      <c r="K194">
        <v>8</v>
      </c>
      <c r="L194">
        <f>'KRWSIP_Program_Baseline Data'!H195</f>
        <v>5.2</v>
      </c>
      <c r="M194">
        <v>1</v>
      </c>
      <c r="P194" s="5"/>
      <c r="V194" s="4">
        <f t="shared" si="43"/>
        <v>32001</v>
      </c>
      <c r="W194" s="4">
        <f t="shared" si="44"/>
        <v>22527</v>
      </c>
      <c r="X194" s="4">
        <f t="shared" si="45"/>
        <v>2136</v>
      </c>
      <c r="Y194" s="4">
        <f t="shared" si="46"/>
        <v>5554</v>
      </c>
      <c r="Z194" s="4">
        <f t="shared" si="47"/>
        <v>8</v>
      </c>
      <c r="AA194">
        <f t="shared" si="48"/>
        <v>43</v>
      </c>
      <c r="AB194">
        <f t="shared" si="49"/>
        <v>5.2</v>
      </c>
      <c r="AC194">
        <f t="shared" si="50"/>
        <v>11.9</v>
      </c>
    </row>
    <row r="195" spans="2:29" x14ac:dyDescent="0.3">
      <c r="B195" t="str">
        <f t="shared" si="42"/>
        <v>HH191</v>
      </c>
      <c r="C195" t="s">
        <v>63</v>
      </c>
      <c r="D195">
        <v>3</v>
      </c>
      <c r="E195">
        <v>1</v>
      </c>
      <c r="F195">
        <v>3</v>
      </c>
      <c r="G195" s="4">
        <v>37381</v>
      </c>
      <c r="H195">
        <v>29</v>
      </c>
      <c r="I195" t="s">
        <v>66</v>
      </c>
      <c r="J195" s="4">
        <v>2757</v>
      </c>
      <c r="K195">
        <v>29</v>
      </c>
      <c r="L195">
        <f>'KRWSIP_Program_Baseline Data'!H196</f>
        <v>3</v>
      </c>
      <c r="M195">
        <v>1</v>
      </c>
      <c r="P195" s="5"/>
      <c r="V195" s="4">
        <f t="shared" si="43"/>
        <v>37381</v>
      </c>
      <c r="W195" s="4">
        <f t="shared" si="44"/>
        <v>32959</v>
      </c>
      <c r="X195" s="4">
        <f t="shared" si="45"/>
        <v>2757</v>
      </c>
      <c r="Y195" s="4">
        <f t="shared" si="46"/>
        <v>5038</v>
      </c>
      <c r="Z195" s="4">
        <f t="shared" si="47"/>
        <v>29</v>
      </c>
      <c r="AA195">
        <f t="shared" si="48"/>
        <v>32</v>
      </c>
      <c r="AB195">
        <f t="shared" si="49"/>
        <v>3</v>
      </c>
      <c r="AC195">
        <f t="shared" si="50"/>
        <v>14.6</v>
      </c>
    </row>
    <row r="196" spans="2:29" x14ac:dyDescent="0.3">
      <c r="B196" t="str">
        <f t="shared" si="42"/>
        <v>HH192</v>
      </c>
      <c r="C196" t="s">
        <v>63</v>
      </c>
      <c r="D196">
        <v>5</v>
      </c>
      <c r="E196">
        <v>1</v>
      </c>
      <c r="F196">
        <v>5</v>
      </c>
      <c r="G196" s="4">
        <v>33809</v>
      </c>
      <c r="H196">
        <v>26</v>
      </c>
      <c r="I196" t="s">
        <v>67</v>
      </c>
      <c r="J196" s="4">
        <v>3301</v>
      </c>
      <c r="K196">
        <v>26</v>
      </c>
      <c r="L196">
        <f>'KRWSIP_Program_Baseline Data'!H197</f>
        <v>13.7</v>
      </c>
      <c r="M196">
        <v>1</v>
      </c>
      <c r="P196" s="5"/>
      <c r="V196" s="4">
        <f t="shared" si="43"/>
        <v>33809</v>
      </c>
      <c r="W196" s="4">
        <f t="shared" si="44"/>
        <v>46512</v>
      </c>
      <c r="X196" s="4">
        <f t="shared" si="45"/>
        <v>3301</v>
      </c>
      <c r="Y196" s="4">
        <f t="shared" si="46"/>
        <v>5077</v>
      </c>
      <c r="Z196" s="4">
        <f t="shared" si="47"/>
        <v>26</v>
      </c>
      <c r="AA196">
        <f t="shared" si="48"/>
        <v>22</v>
      </c>
      <c r="AB196">
        <f t="shared" si="49"/>
        <v>13.7</v>
      </c>
      <c r="AC196">
        <f t="shared" si="50"/>
        <v>14.4</v>
      </c>
    </row>
    <row r="197" spans="2:29" x14ac:dyDescent="0.3">
      <c r="B197" t="str">
        <f t="shared" si="42"/>
        <v>HH193</v>
      </c>
      <c r="C197" t="s">
        <v>64</v>
      </c>
      <c r="D197">
        <v>8</v>
      </c>
      <c r="E197">
        <v>1</v>
      </c>
      <c r="F197">
        <v>8</v>
      </c>
      <c r="G197" s="4">
        <v>32746</v>
      </c>
      <c r="H197">
        <v>39</v>
      </c>
      <c r="I197" t="s">
        <v>66</v>
      </c>
      <c r="J197" s="4">
        <v>3151</v>
      </c>
      <c r="K197">
        <v>39</v>
      </c>
      <c r="L197">
        <f>'KRWSIP_Program_Baseline Data'!H198</f>
        <v>9.1999999999999993</v>
      </c>
      <c r="M197">
        <v>1</v>
      </c>
      <c r="P197" s="5"/>
      <c r="V197" s="4">
        <f t="shared" ref="V197:V204" si="51">IF($M197=1,G197,"")</f>
        <v>32746</v>
      </c>
      <c r="W197" s="4">
        <f t="shared" ref="W197:W204" si="52">IF($M397=0, G397,"")</f>
        <v>23056</v>
      </c>
      <c r="X197" s="4">
        <f t="shared" ref="X197:X204" si="53">IF($M197=1,J197,"")</f>
        <v>3151</v>
      </c>
      <c r="Y197" s="4">
        <f t="shared" ref="Y197:Y204" si="54">IF($M397=0,J397,"")</f>
        <v>5915</v>
      </c>
      <c r="Z197" s="4">
        <f t="shared" ref="Z197:Z204" si="55">IF($M197=1,K197,"")</f>
        <v>39</v>
      </c>
      <c r="AA197">
        <f t="shared" ref="AA197:AA204" si="56">IF($M397=0,K397,"")</f>
        <v>14</v>
      </c>
      <c r="AB197">
        <f t="shared" ref="AB197:AB204" si="57">IF($M197=1,L197,"")</f>
        <v>9.1999999999999993</v>
      </c>
      <c r="AC197">
        <f t="shared" ref="AC197:AC204" si="58">IF($M397=0,L397,"")</f>
        <v>0.6</v>
      </c>
    </row>
    <row r="198" spans="2:29" x14ac:dyDescent="0.3">
      <c r="B198" t="str">
        <f t="shared" ref="B198:B261" si="59">"HH"&amp;TEXT(ROW()-4, "000")</f>
        <v>HH194</v>
      </c>
      <c r="C198" t="s">
        <v>65</v>
      </c>
      <c r="D198">
        <v>6</v>
      </c>
      <c r="E198">
        <v>1</v>
      </c>
      <c r="F198">
        <v>6</v>
      </c>
      <c r="G198" s="4">
        <v>21358</v>
      </c>
      <c r="H198">
        <v>28</v>
      </c>
      <c r="I198" t="s">
        <v>67</v>
      </c>
      <c r="J198" s="4">
        <v>4290</v>
      </c>
      <c r="K198">
        <v>28</v>
      </c>
      <c r="L198">
        <f>'KRWSIP_Program_Baseline Data'!H199</f>
        <v>2.2999999999999998</v>
      </c>
      <c r="M198">
        <v>1</v>
      </c>
      <c r="P198" s="5"/>
      <c r="V198" s="4">
        <f t="shared" si="51"/>
        <v>21358</v>
      </c>
      <c r="W198" s="4">
        <f t="shared" si="52"/>
        <v>27507</v>
      </c>
      <c r="X198" s="4">
        <f t="shared" si="53"/>
        <v>4290</v>
      </c>
      <c r="Y198" s="4">
        <f t="shared" si="54"/>
        <v>3355</v>
      </c>
      <c r="Z198" s="4">
        <f t="shared" si="55"/>
        <v>28</v>
      </c>
      <c r="AA198">
        <f t="shared" si="56"/>
        <v>97</v>
      </c>
      <c r="AB198">
        <f t="shared" si="57"/>
        <v>2.2999999999999998</v>
      </c>
      <c r="AC198">
        <f t="shared" si="58"/>
        <v>9.8000000000000007</v>
      </c>
    </row>
    <row r="199" spans="2:29" x14ac:dyDescent="0.3">
      <c r="B199" t="str">
        <f t="shared" si="59"/>
        <v>HH195</v>
      </c>
      <c r="C199" t="s">
        <v>64</v>
      </c>
      <c r="D199">
        <v>7</v>
      </c>
      <c r="E199">
        <v>1</v>
      </c>
      <c r="F199">
        <v>7</v>
      </c>
      <c r="G199" s="4">
        <v>29710</v>
      </c>
      <c r="H199">
        <v>50</v>
      </c>
      <c r="I199" t="s">
        <v>68</v>
      </c>
      <c r="J199" s="4">
        <v>3146</v>
      </c>
      <c r="K199">
        <v>50</v>
      </c>
      <c r="L199">
        <f>'KRWSIP_Program_Baseline Data'!H200</f>
        <v>0.7</v>
      </c>
      <c r="M199">
        <v>1</v>
      </c>
      <c r="P199" s="5"/>
      <c r="V199" s="4">
        <f t="shared" si="51"/>
        <v>29710</v>
      </c>
      <c r="W199" s="4">
        <f t="shared" si="52"/>
        <v>18773</v>
      </c>
      <c r="X199" s="4">
        <f t="shared" si="53"/>
        <v>3146</v>
      </c>
      <c r="Y199" s="4">
        <f t="shared" si="54"/>
        <v>4621</v>
      </c>
      <c r="Z199" s="4">
        <f t="shared" si="55"/>
        <v>50</v>
      </c>
      <c r="AA199">
        <f t="shared" si="56"/>
        <v>31</v>
      </c>
      <c r="AB199">
        <f t="shared" si="57"/>
        <v>0.7</v>
      </c>
      <c r="AC199">
        <f t="shared" si="58"/>
        <v>11.2</v>
      </c>
    </row>
    <row r="200" spans="2:29" x14ac:dyDescent="0.3">
      <c r="B200" t="str">
        <f t="shared" si="59"/>
        <v>HH196</v>
      </c>
      <c r="C200" t="s">
        <v>63</v>
      </c>
      <c r="D200">
        <v>7</v>
      </c>
      <c r="E200">
        <v>1</v>
      </c>
      <c r="F200">
        <v>7</v>
      </c>
      <c r="G200" s="4">
        <v>21689</v>
      </c>
      <c r="H200">
        <v>50</v>
      </c>
      <c r="I200" t="s">
        <v>69</v>
      </c>
      <c r="J200" s="4">
        <v>4495</v>
      </c>
      <c r="K200">
        <v>50</v>
      </c>
      <c r="L200">
        <f>'KRWSIP_Program_Baseline Data'!H201</f>
        <v>0.6</v>
      </c>
      <c r="M200">
        <v>1</v>
      </c>
      <c r="P200" s="5"/>
      <c r="V200" s="4">
        <f t="shared" si="51"/>
        <v>21689</v>
      </c>
      <c r="W200" s="4">
        <f t="shared" si="52"/>
        <v>23111</v>
      </c>
      <c r="X200" s="4">
        <f t="shared" si="53"/>
        <v>4495</v>
      </c>
      <c r="Y200" s="4">
        <f t="shared" si="54"/>
        <v>5391</v>
      </c>
      <c r="Z200" s="4">
        <f t="shared" si="55"/>
        <v>50</v>
      </c>
      <c r="AA200">
        <f t="shared" si="56"/>
        <v>106</v>
      </c>
      <c r="AB200">
        <f t="shared" si="57"/>
        <v>0.6</v>
      </c>
      <c r="AC200">
        <f t="shared" si="58"/>
        <v>8.8000000000000007</v>
      </c>
    </row>
    <row r="201" spans="2:29" x14ac:dyDescent="0.3">
      <c r="B201" t="str">
        <f t="shared" si="59"/>
        <v>HH197</v>
      </c>
      <c r="C201" t="s">
        <v>65</v>
      </c>
      <c r="D201">
        <v>2</v>
      </c>
      <c r="E201">
        <v>1</v>
      </c>
      <c r="F201">
        <v>2</v>
      </c>
      <c r="G201" s="4">
        <v>35225</v>
      </c>
      <c r="H201">
        <v>24</v>
      </c>
      <c r="I201" t="s">
        <v>68</v>
      </c>
      <c r="J201" s="4">
        <v>2844</v>
      </c>
      <c r="K201">
        <v>24</v>
      </c>
      <c r="L201">
        <f>'KRWSIP_Program_Baseline Data'!H202</f>
        <v>5.5</v>
      </c>
      <c r="M201">
        <v>1</v>
      </c>
      <c r="P201" s="5"/>
      <c r="V201" s="4">
        <f t="shared" si="51"/>
        <v>35225</v>
      </c>
      <c r="W201" s="4">
        <f t="shared" si="52"/>
        <v>48708</v>
      </c>
      <c r="X201" s="4">
        <f t="shared" si="53"/>
        <v>2844</v>
      </c>
      <c r="Y201" s="4">
        <f t="shared" si="54"/>
        <v>4920</v>
      </c>
      <c r="Z201" s="4">
        <f t="shared" si="55"/>
        <v>24</v>
      </c>
      <c r="AA201">
        <f t="shared" si="56"/>
        <v>49</v>
      </c>
      <c r="AB201">
        <f t="shared" si="57"/>
        <v>5.5</v>
      </c>
      <c r="AC201">
        <f t="shared" si="58"/>
        <v>11.7</v>
      </c>
    </row>
    <row r="202" spans="2:29" x14ac:dyDescent="0.3">
      <c r="B202" t="str">
        <f t="shared" si="59"/>
        <v>HH198</v>
      </c>
      <c r="C202" t="s">
        <v>65</v>
      </c>
      <c r="D202">
        <v>3</v>
      </c>
      <c r="E202">
        <v>1</v>
      </c>
      <c r="F202">
        <v>3</v>
      </c>
      <c r="G202" s="4">
        <v>41466</v>
      </c>
      <c r="H202">
        <v>13</v>
      </c>
      <c r="I202" t="s">
        <v>66</v>
      </c>
      <c r="J202" s="4">
        <v>3031</v>
      </c>
      <c r="K202">
        <v>13</v>
      </c>
      <c r="L202">
        <f>'KRWSIP_Program_Baseline Data'!H203</f>
        <v>7.8</v>
      </c>
      <c r="M202">
        <v>1</v>
      </c>
      <c r="P202" s="5"/>
      <c r="V202" s="4">
        <f t="shared" si="51"/>
        <v>41466</v>
      </c>
      <c r="W202" s="4">
        <f t="shared" si="52"/>
        <v>23170</v>
      </c>
      <c r="X202" s="4">
        <f t="shared" si="53"/>
        <v>3031</v>
      </c>
      <c r="Y202" s="4">
        <f t="shared" si="54"/>
        <v>3406</v>
      </c>
      <c r="Z202" s="4">
        <f t="shared" si="55"/>
        <v>13</v>
      </c>
      <c r="AA202">
        <f t="shared" si="56"/>
        <v>76</v>
      </c>
      <c r="AB202">
        <f t="shared" si="57"/>
        <v>7.8</v>
      </c>
      <c r="AC202">
        <f t="shared" si="58"/>
        <v>14.9</v>
      </c>
    </row>
    <row r="203" spans="2:29" x14ac:dyDescent="0.3">
      <c r="B203" t="str">
        <f t="shared" si="59"/>
        <v>HH199</v>
      </c>
      <c r="C203" t="s">
        <v>63</v>
      </c>
      <c r="D203">
        <v>7</v>
      </c>
      <c r="E203">
        <v>1</v>
      </c>
      <c r="F203">
        <v>7</v>
      </c>
      <c r="G203" s="4">
        <v>33124</v>
      </c>
      <c r="H203">
        <v>29</v>
      </c>
      <c r="I203" t="s">
        <v>68</v>
      </c>
      <c r="J203" s="4">
        <v>3173</v>
      </c>
      <c r="K203">
        <v>29</v>
      </c>
      <c r="L203">
        <f>'KRWSIP_Program_Baseline Data'!H204</f>
        <v>9.1999999999999993</v>
      </c>
      <c r="M203">
        <v>1</v>
      </c>
      <c r="P203" s="5"/>
      <c r="V203" s="4">
        <f t="shared" si="51"/>
        <v>33124</v>
      </c>
      <c r="W203" s="4">
        <f t="shared" si="52"/>
        <v>21581</v>
      </c>
      <c r="X203" s="4">
        <f t="shared" si="53"/>
        <v>3173</v>
      </c>
      <c r="Y203" s="4">
        <f t="shared" si="54"/>
        <v>2304</v>
      </c>
      <c r="Z203" s="4">
        <f t="shared" si="55"/>
        <v>29</v>
      </c>
      <c r="AA203">
        <f t="shared" si="56"/>
        <v>83</v>
      </c>
      <c r="AB203">
        <f t="shared" si="57"/>
        <v>9.1999999999999993</v>
      </c>
      <c r="AC203">
        <f t="shared" si="58"/>
        <v>2.2999999999999998</v>
      </c>
    </row>
    <row r="204" spans="2:29" x14ac:dyDescent="0.3">
      <c r="B204" t="str">
        <f t="shared" si="59"/>
        <v>HH200</v>
      </c>
      <c r="C204" t="s">
        <v>63</v>
      </c>
      <c r="D204">
        <v>3</v>
      </c>
      <c r="E204">
        <v>1</v>
      </c>
      <c r="F204">
        <v>3</v>
      </c>
      <c r="G204" s="4">
        <v>21060</v>
      </c>
      <c r="H204">
        <v>13</v>
      </c>
      <c r="I204" t="s">
        <v>67</v>
      </c>
      <c r="J204" s="4">
        <v>3260</v>
      </c>
      <c r="K204">
        <v>13</v>
      </c>
      <c r="L204">
        <f>'KRWSIP_Program_Baseline Data'!H205</f>
        <v>13.2</v>
      </c>
      <c r="M204">
        <v>1</v>
      </c>
      <c r="P204" s="5"/>
      <c r="V204" s="4">
        <f t="shared" si="51"/>
        <v>21060</v>
      </c>
      <c r="W204" s="4">
        <f t="shared" si="52"/>
        <v>39267</v>
      </c>
      <c r="X204" s="4">
        <f t="shared" si="53"/>
        <v>3260</v>
      </c>
      <c r="Y204" s="4">
        <f t="shared" si="54"/>
        <v>5753</v>
      </c>
      <c r="Z204" s="4">
        <f t="shared" si="55"/>
        <v>13</v>
      </c>
      <c r="AA204">
        <f t="shared" si="56"/>
        <v>117</v>
      </c>
      <c r="AB204">
        <f t="shared" si="57"/>
        <v>13.2</v>
      </c>
      <c r="AC204">
        <f t="shared" si="58"/>
        <v>8.4</v>
      </c>
    </row>
    <row r="205" spans="2:29" x14ac:dyDescent="0.3">
      <c r="B205" t="str">
        <f t="shared" si="59"/>
        <v>HH201</v>
      </c>
      <c r="C205" t="s">
        <v>63</v>
      </c>
      <c r="D205">
        <v>5</v>
      </c>
      <c r="E205">
        <v>0</v>
      </c>
      <c r="F205">
        <v>5</v>
      </c>
      <c r="G205" s="4">
        <v>24830</v>
      </c>
      <c r="H205">
        <v>88</v>
      </c>
      <c r="I205" t="s">
        <v>66</v>
      </c>
      <c r="J205" s="4">
        <v>5681</v>
      </c>
      <c r="K205">
        <v>88</v>
      </c>
      <c r="L205">
        <f>'KRWSIP_Program_Baseline Data'!H206</f>
        <v>3.5</v>
      </c>
      <c r="M205">
        <v>0</v>
      </c>
      <c r="P205" s="5"/>
      <c r="V205" s="4">
        <f>AVERAGE(V5:V204)</f>
        <v>31262.7</v>
      </c>
      <c r="W205" s="4">
        <f t="shared" ref="W205:AC205" si="60">AVERAGE(W5:W204)</f>
        <v>28922.775000000001</v>
      </c>
      <c r="X205" s="4">
        <f t="shared" si="60"/>
        <v>3305.5149999999999</v>
      </c>
      <c r="Y205" s="4">
        <f t="shared" si="60"/>
        <v>4660.2950000000001</v>
      </c>
      <c r="Z205" s="4">
        <f t="shared" si="60"/>
        <v>29.324999999999999</v>
      </c>
      <c r="AA205" s="4">
        <f t="shared" si="60"/>
        <v>64.36</v>
      </c>
      <c r="AB205" s="4">
        <f t="shared" si="60"/>
        <v>8.1254999999999971</v>
      </c>
      <c r="AC205" s="4">
        <f t="shared" si="60"/>
        <v>7.656500000000003</v>
      </c>
    </row>
    <row r="206" spans="2:29" x14ac:dyDescent="0.3">
      <c r="B206" t="str">
        <f t="shared" si="59"/>
        <v>HH202</v>
      </c>
      <c r="C206" t="s">
        <v>64</v>
      </c>
      <c r="D206">
        <v>6</v>
      </c>
      <c r="E206">
        <v>0</v>
      </c>
      <c r="F206">
        <v>6</v>
      </c>
      <c r="G206" s="4">
        <v>31429</v>
      </c>
      <c r="H206">
        <v>29</v>
      </c>
      <c r="I206" t="s">
        <v>67</v>
      </c>
      <c r="J206" s="4">
        <v>5077</v>
      </c>
      <c r="K206">
        <v>29</v>
      </c>
      <c r="L206">
        <f>'KRWSIP_Program_Baseline Data'!H207</f>
        <v>6.7</v>
      </c>
      <c r="M206">
        <v>0</v>
      </c>
      <c r="P206" s="5"/>
      <c r="W206" s="5">
        <f>V205-W205</f>
        <v>2339.9249999999993</v>
      </c>
      <c r="X206" t="str">
        <f>IF($M206=1,J206,"")</f>
        <v/>
      </c>
      <c r="Y206" s="5">
        <f>Y205-X205</f>
        <v>1354.7800000000002</v>
      </c>
      <c r="Z206" s="5"/>
      <c r="AA206" s="5">
        <f>Z205-AA205</f>
        <v>-35.034999999999997</v>
      </c>
      <c r="AC206" s="5">
        <f>AB205-AC205</f>
        <v>0.46899999999999409</v>
      </c>
    </row>
    <row r="207" spans="2:29" x14ac:dyDescent="0.3">
      <c r="B207" t="str">
        <f t="shared" si="59"/>
        <v>HH203</v>
      </c>
      <c r="C207" t="s">
        <v>65</v>
      </c>
      <c r="D207">
        <v>8</v>
      </c>
      <c r="E207">
        <v>0</v>
      </c>
      <c r="F207">
        <v>8</v>
      </c>
      <c r="G207" s="4">
        <v>28947</v>
      </c>
      <c r="H207">
        <v>59</v>
      </c>
      <c r="I207" t="s">
        <v>67</v>
      </c>
      <c r="J207" s="4">
        <v>6477</v>
      </c>
      <c r="K207">
        <v>59</v>
      </c>
      <c r="L207">
        <f>'KRWSIP_Program_Baseline Data'!H208</f>
        <v>11.2</v>
      </c>
      <c r="M207">
        <v>0</v>
      </c>
      <c r="P207" s="5"/>
      <c r="V207" t="str">
        <f>IF($M207=1,G207,"")</f>
        <v/>
      </c>
      <c r="X207" t="str">
        <f>IF($M207=1,J207,"")</f>
        <v/>
      </c>
    </row>
    <row r="208" spans="2:29" x14ac:dyDescent="0.3">
      <c r="B208" t="str">
        <f t="shared" si="59"/>
        <v>HH204</v>
      </c>
      <c r="C208" t="s">
        <v>62</v>
      </c>
      <c r="D208">
        <v>2</v>
      </c>
      <c r="E208">
        <v>0</v>
      </c>
      <c r="F208">
        <v>2</v>
      </c>
      <c r="G208" s="4">
        <v>23189</v>
      </c>
      <c r="H208">
        <v>46</v>
      </c>
      <c r="I208" t="s">
        <v>69</v>
      </c>
      <c r="J208" s="4">
        <v>2641</v>
      </c>
      <c r="K208">
        <v>46</v>
      </c>
      <c r="L208">
        <f>'KRWSIP_Program_Baseline Data'!H209</f>
        <v>13.9</v>
      </c>
      <c r="M208">
        <v>0</v>
      </c>
      <c r="P208" s="5"/>
      <c r="V208" t="str">
        <f>IF($M208=1,G208,"")</f>
        <v/>
      </c>
      <c r="X208" t="str">
        <f>IF($M208=1,J208,"")</f>
        <v/>
      </c>
    </row>
    <row r="209" spans="2:36" x14ac:dyDescent="0.3">
      <c r="B209" t="str">
        <f t="shared" si="59"/>
        <v>HH205</v>
      </c>
      <c r="C209" t="s">
        <v>62</v>
      </c>
      <c r="D209">
        <v>8</v>
      </c>
      <c r="E209">
        <v>0</v>
      </c>
      <c r="F209">
        <v>8</v>
      </c>
      <c r="G209" s="4">
        <v>37703</v>
      </c>
      <c r="H209">
        <v>103</v>
      </c>
      <c r="I209" t="s">
        <v>69</v>
      </c>
      <c r="J209" s="4">
        <v>4626</v>
      </c>
      <c r="K209">
        <v>103</v>
      </c>
      <c r="L209">
        <f>'KRWSIP_Program_Baseline Data'!H210</f>
        <v>7.2</v>
      </c>
      <c r="M209">
        <v>0</v>
      </c>
      <c r="P209" s="5"/>
    </row>
    <row r="210" spans="2:36" x14ac:dyDescent="0.3">
      <c r="B210" t="str">
        <f t="shared" si="59"/>
        <v>HH206</v>
      </c>
      <c r="C210" t="s">
        <v>62</v>
      </c>
      <c r="D210">
        <v>2</v>
      </c>
      <c r="E210">
        <v>0</v>
      </c>
      <c r="F210">
        <v>2</v>
      </c>
      <c r="G210" s="4">
        <v>21543</v>
      </c>
      <c r="H210">
        <v>53</v>
      </c>
      <c r="I210" t="s">
        <v>69</v>
      </c>
      <c r="J210" s="4">
        <v>3620</v>
      </c>
      <c r="K210">
        <v>53</v>
      </c>
      <c r="L210">
        <f>'KRWSIP_Program_Baseline Data'!H211</f>
        <v>10.4</v>
      </c>
      <c r="M210">
        <v>0</v>
      </c>
      <c r="P210" s="5"/>
    </row>
    <row r="211" spans="2:36" x14ac:dyDescent="0.3">
      <c r="B211" t="str">
        <f t="shared" si="59"/>
        <v>HH207</v>
      </c>
      <c r="C211" t="s">
        <v>62</v>
      </c>
      <c r="D211">
        <v>7</v>
      </c>
      <c r="E211">
        <v>0</v>
      </c>
      <c r="F211">
        <v>7</v>
      </c>
      <c r="G211" s="4">
        <v>29013</v>
      </c>
      <c r="H211">
        <v>114</v>
      </c>
      <c r="I211" t="s">
        <v>68</v>
      </c>
      <c r="J211" s="4">
        <v>5213</v>
      </c>
      <c r="K211">
        <v>114</v>
      </c>
      <c r="L211">
        <f>'KRWSIP_Program_Baseline Data'!H212</f>
        <v>14.2</v>
      </c>
      <c r="M211">
        <v>0</v>
      </c>
      <c r="P211" s="5"/>
    </row>
    <row r="212" spans="2:36" x14ac:dyDescent="0.3">
      <c r="B212" t="str">
        <f t="shared" si="59"/>
        <v>HH208</v>
      </c>
      <c r="C212" t="s">
        <v>63</v>
      </c>
      <c r="D212">
        <v>8</v>
      </c>
      <c r="E212">
        <v>0</v>
      </c>
      <c r="F212">
        <v>8</v>
      </c>
      <c r="G212" s="4">
        <v>38238</v>
      </c>
      <c r="H212">
        <v>103</v>
      </c>
      <c r="I212" t="s">
        <v>68</v>
      </c>
      <c r="J212" s="4">
        <v>6971</v>
      </c>
      <c r="K212">
        <v>103</v>
      </c>
      <c r="L212">
        <f>'KRWSIP_Program_Baseline Data'!H213</f>
        <v>4.8</v>
      </c>
      <c r="M212">
        <v>0</v>
      </c>
      <c r="P212" s="5"/>
    </row>
    <row r="213" spans="2:36" x14ac:dyDescent="0.3">
      <c r="B213" t="str">
        <f t="shared" si="59"/>
        <v>HH209</v>
      </c>
      <c r="C213" t="s">
        <v>63</v>
      </c>
      <c r="D213">
        <v>3</v>
      </c>
      <c r="E213">
        <v>0</v>
      </c>
      <c r="F213">
        <v>3</v>
      </c>
      <c r="G213" s="4">
        <v>26437</v>
      </c>
      <c r="H213">
        <v>24</v>
      </c>
      <c r="I213" t="s">
        <v>68</v>
      </c>
      <c r="J213" s="4">
        <v>2677</v>
      </c>
      <c r="K213">
        <v>24</v>
      </c>
      <c r="L213">
        <f>'KRWSIP_Program_Baseline Data'!H214</f>
        <v>10.199999999999999</v>
      </c>
      <c r="M213">
        <v>0</v>
      </c>
      <c r="P213" s="5"/>
    </row>
    <row r="214" spans="2:36" x14ac:dyDescent="0.3">
      <c r="B214" t="str">
        <f t="shared" si="59"/>
        <v>HH210</v>
      </c>
      <c r="C214" t="s">
        <v>65</v>
      </c>
      <c r="D214">
        <v>8</v>
      </c>
      <c r="E214">
        <v>0</v>
      </c>
      <c r="F214">
        <v>8</v>
      </c>
      <c r="G214" s="4">
        <v>19219</v>
      </c>
      <c r="H214">
        <v>80</v>
      </c>
      <c r="I214" t="s">
        <v>68</v>
      </c>
      <c r="J214" s="4">
        <v>5116</v>
      </c>
      <c r="K214">
        <v>80</v>
      </c>
      <c r="L214">
        <f>'KRWSIP_Program_Baseline Data'!H215</f>
        <v>12.4</v>
      </c>
      <c r="M214">
        <v>0</v>
      </c>
      <c r="P214" s="5"/>
    </row>
    <row r="215" spans="2:36" x14ac:dyDescent="0.3">
      <c r="B215" t="str">
        <f t="shared" si="59"/>
        <v>HH211</v>
      </c>
      <c r="C215" t="s">
        <v>63</v>
      </c>
      <c r="D215">
        <v>3</v>
      </c>
      <c r="E215">
        <v>0</v>
      </c>
      <c r="F215">
        <v>3</v>
      </c>
      <c r="G215" s="4">
        <v>27241</v>
      </c>
      <c r="H215">
        <v>96</v>
      </c>
      <c r="I215" t="s">
        <v>68</v>
      </c>
      <c r="J215" s="4">
        <v>3432</v>
      </c>
      <c r="K215">
        <v>96</v>
      </c>
      <c r="L215">
        <f>'KRWSIP_Program_Baseline Data'!H216</f>
        <v>5.4</v>
      </c>
      <c r="M215">
        <v>0</v>
      </c>
      <c r="P215" s="5"/>
    </row>
    <row r="216" spans="2:36" x14ac:dyDescent="0.3">
      <c r="B216" t="str">
        <f t="shared" si="59"/>
        <v>HH212</v>
      </c>
      <c r="C216" t="s">
        <v>64</v>
      </c>
      <c r="D216">
        <v>7</v>
      </c>
      <c r="E216">
        <v>0</v>
      </c>
      <c r="F216">
        <v>7</v>
      </c>
      <c r="G216" s="4">
        <v>24530</v>
      </c>
      <c r="H216">
        <v>93</v>
      </c>
      <c r="I216" t="s">
        <v>68</v>
      </c>
      <c r="J216" s="4">
        <v>5334</v>
      </c>
      <c r="K216">
        <v>93</v>
      </c>
      <c r="L216">
        <f>'KRWSIP_Program_Baseline Data'!H217</f>
        <v>7.2</v>
      </c>
      <c r="M216">
        <v>0</v>
      </c>
      <c r="P216" s="5"/>
    </row>
    <row r="217" spans="2:36" ht="15" thickBot="1" x14ac:dyDescent="0.35">
      <c r="B217" t="str">
        <f t="shared" si="59"/>
        <v>HH213</v>
      </c>
      <c r="C217" t="s">
        <v>65</v>
      </c>
      <c r="D217">
        <v>2</v>
      </c>
      <c r="E217">
        <v>0</v>
      </c>
      <c r="F217">
        <v>2</v>
      </c>
      <c r="G217" s="4">
        <v>33734</v>
      </c>
      <c r="H217">
        <v>119</v>
      </c>
      <c r="I217" t="s">
        <v>66</v>
      </c>
      <c r="J217" s="4">
        <v>2263</v>
      </c>
      <c r="K217">
        <v>119</v>
      </c>
      <c r="L217">
        <f>'KRWSIP_Program_Baseline Data'!H218</f>
        <v>12.9</v>
      </c>
      <c r="M217">
        <v>0</v>
      </c>
      <c r="P217" s="5"/>
      <c r="AH217" s="8"/>
      <c r="AI217" s="8"/>
      <c r="AJ217" s="8"/>
    </row>
    <row r="218" spans="2:36" x14ac:dyDescent="0.3">
      <c r="B218" t="str">
        <f t="shared" si="59"/>
        <v>HH214</v>
      </c>
      <c r="C218" t="s">
        <v>64</v>
      </c>
      <c r="D218">
        <v>8</v>
      </c>
      <c r="E218">
        <v>0</v>
      </c>
      <c r="F218">
        <v>8</v>
      </c>
      <c r="G218" s="4">
        <v>27872</v>
      </c>
      <c r="H218">
        <v>77</v>
      </c>
      <c r="I218" t="s">
        <v>67</v>
      </c>
      <c r="J218" s="4">
        <v>4830</v>
      </c>
      <c r="K218">
        <v>77</v>
      </c>
      <c r="L218">
        <f>'KRWSIP_Program_Baseline Data'!H219</f>
        <v>0.8</v>
      </c>
      <c r="M218">
        <v>0</v>
      </c>
      <c r="P218" s="5"/>
    </row>
    <row r="219" spans="2:36" x14ac:dyDescent="0.3">
      <c r="B219" t="str">
        <f t="shared" si="59"/>
        <v>HH215</v>
      </c>
      <c r="C219" t="s">
        <v>64</v>
      </c>
      <c r="D219">
        <v>2</v>
      </c>
      <c r="E219">
        <v>0</v>
      </c>
      <c r="F219">
        <v>2</v>
      </c>
      <c r="G219" s="4">
        <v>18671</v>
      </c>
      <c r="H219">
        <v>88</v>
      </c>
      <c r="I219" t="s">
        <v>67</v>
      </c>
      <c r="J219" s="4">
        <v>3961</v>
      </c>
      <c r="K219">
        <v>88</v>
      </c>
      <c r="L219">
        <f>'KRWSIP_Program_Baseline Data'!H220</f>
        <v>13.8</v>
      </c>
      <c r="M219">
        <v>0</v>
      </c>
      <c r="P219" s="5"/>
    </row>
    <row r="220" spans="2:36" x14ac:dyDescent="0.3">
      <c r="B220" t="str">
        <f t="shared" si="59"/>
        <v>HH216</v>
      </c>
      <c r="C220" t="s">
        <v>63</v>
      </c>
      <c r="D220">
        <v>8</v>
      </c>
      <c r="E220">
        <v>0</v>
      </c>
      <c r="F220">
        <v>8</v>
      </c>
      <c r="G220" s="4">
        <v>29940</v>
      </c>
      <c r="H220">
        <v>90</v>
      </c>
      <c r="I220" t="s">
        <v>67</v>
      </c>
      <c r="J220" s="4">
        <v>4738</v>
      </c>
      <c r="K220">
        <v>90</v>
      </c>
      <c r="L220">
        <f>'KRWSIP_Program_Baseline Data'!H221</f>
        <v>7.8</v>
      </c>
      <c r="M220">
        <v>0</v>
      </c>
      <c r="P220" s="5"/>
    </row>
    <row r="221" spans="2:36" x14ac:dyDescent="0.3">
      <c r="B221" t="str">
        <f t="shared" si="59"/>
        <v>HH217</v>
      </c>
      <c r="C221" t="s">
        <v>62</v>
      </c>
      <c r="D221">
        <v>4</v>
      </c>
      <c r="E221">
        <v>0</v>
      </c>
      <c r="F221">
        <v>4</v>
      </c>
      <c r="G221" s="4">
        <v>32486</v>
      </c>
      <c r="H221">
        <v>18</v>
      </c>
      <c r="I221" t="s">
        <v>68</v>
      </c>
      <c r="J221" s="4">
        <v>5210</v>
      </c>
      <c r="K221">
        <v>18</v>
      </c>
      <c r="L221">
        <f>'KRWSIP_Program_Baseline Data'!H222</f>
        <v>5.8</v>
      </c>
      <c r="M221">
        <v>0</v>
      </c>
      <c r="P221" s="5"/>
    </row>
    <row r="222" spans="2:36" x14ac:dyDescent="0.3">
      <c r="B222" t="str">
        <f t="shared" si="59"/>
        <v>HH218</v>
      </c>
      <c r="C222" t="s">
        <v>64</v>
      </c>
      <c r="D222">
        <v>2</v>
      </c>
      <c r="E222">
        <v>0</v>
      </c>
      <c r="F222">
        <v>2</v>
      </c>
      <c r="G222" s="4">
        <v>30914</v>
      </c>
      <c r="H222">
        <v>110</v>
      </c>
      <c r="I222" t="s">
        <v>68</v>
      </c>
      <c r="J222" s="4">
        <v>4299</v>
      </c>
      <c r="K222">
        <v>110</v>
      </c>
      <c r="L222">
        <f>'KRWSIP_Program_Baseline Data'!H223</f>
        <v>10.1</v>
      </c>
      <c r="M222">
        <v>0</v>
      </c>
      <c r="P222" s="5"/>
    </row>
    <row r="223" spans="2:36" x14ac:dyDescent="0.3">
      <c r="B223" t="str">
        <f t="shared" si="59"/>
        <v>HH219</v>
      </c>
      <c r="C223" t="s">
        <v>63</v>
      </c>
      <c r="D223">
        <v>2</v>
      </c>
      <c r="E223">
        <v>0</v>
      </c>
      <c r="F223">
        <v>2</v>
      </c>
      <c r="G223" s="4">
        <v>25348</v>
      </c>
      <c r="H223">
        <v>51</v>
      </c>
      <c r="I223" t="s">
        <v>68</v>
      </c>
      <c r="J223" s="4">
        <v>2802</v>
      </c>
      <c r="K223">
        <v>51</v>
      </c>
      <c r="L223">
        <f>'KRWSIP_Program_Baseline Data'!H224</f>
        <v>10.199999999999999</v>
      </c>
      <c r="M223">
        <v>0</v>
      </c>
      <c r="P223" s="5"/>
    </row>
    <row r="224" spans="2:36" x14ac:dyDescent="0.3">
      <c r="B224" t="str">
        <f t="shared" si="59"/>
        <v>HH220</v>
      </c>
      <c r="C224" t="s">
        <v>64</v>
      </c>
      <c r="D224">
        <v>7</v>
      </c>
      <c r="E224">
        <v>0</v>
      </c>
      <c r="F224">
        <v>7</v>
      </c>
      <c r="G224" s="4">
        <v>30502</v>
      </c>
      <c r="H224">
        <v>52</v>
      </c>
      <c r="I224" t="s">
        <v>67</v>
      </c>
      <c r="J224" s="4">
        <v>6487</v>
      </c>
      <c r="K224">
        <v>52</v>
      </c>
      <c r="L224">
        <f>'KRWSIP_Program_Baseline Data'!H225</f>
        <v>2.9</v>
      </c>
      <c r="M224">
        <v>0</v>
      </c>
      <c r="P224" s="5"/>
    </row>
    <row r="225" spans="2:22" x14ac:dyDescent="0.3">
      <c r="B225" t="str">
        <f t="shared" si="59"/>
        <v>HH221</v>
      </c>
      <c r="C225" t="s">
        <v>65</v>
      </c>
      <c r="D225">
        <v>7</v>
      </c>
      <c r="E225">
        <v>0</v>
      </c>
      <c r="F225">
        <v>7</v>
      </c>
      <c r="G225" s="4">
        <v>30446</v>
      </c>
      <c r="H225">
        <v>78</v>
      </c>
      <c r="I225" t="s">
        <v>68</v>
      </c>
      <c r="J225" s="4">
        <v>6464</v>
      </c>
      <c r="K225">
        <v>78</v>
      </c>
      <c r="L225">
        <f>'KRWSIP_Program_Baseline Data'!H226</f>
        <v>8.4</v>
      </c>
      <c r="M225">
        <v>0</v>
      </c>
      <c r="P225" s="5"/>
    </row>
    <row r="226" spans="2:22" x14ac:dyDescent="0.3">
      <c r="B226" t="str">
        <f t="shared" si="59"/>
        <v>HH222</v>
      </c>
      <c r="C226" t="s">
        <v>65</v>
      </c>
      <c r="D226">
        <v>6</v>
      </c>
      <c r="E226">
        <v>0</v>
      </c>
      <c r="F226">
        <v>6</v>
      </c>
      <c r="G226" s="4">
        <v>19473</v>
      </c>
      <c r="H226">
        <v>29</v>
      </c>
      <c r="I226" t="s">
        <v>67</v>
      </c>
      <c r="J226" s="4">
        <v>4510</v>
      </c>
      <c r="K226">
        <v>29</v>
      </c>
      <c r="L226">
        <f>'KRWSIP_Program_Baseline Data'!H227</f>
        <v>14.8</v>
      </c>
      <c r="M226">
        <v>0</v>
      </c>
      <c r="P226" s="5"/>
    </row>
    <row r="227" spans="2:22" x14ac:dyDescent="0.3">
      <c r="B227" t="str">
        <f t="shared" si="59"/>
        <v>HH223</v>
      </c>
      <c r="C227" t="s">
        <v>63</v>
      </c>
      <c r="D227">
        <v>6</v>
      </c>
      <c r="E227">
        <v>0</v>
      </c>
      <c r="F227">
        <v>6</v>
      </c>
      <c r="G227" s="4">
        <v>23706</v>
      </c>
      <c r="H227">
        <v>59</v>
      </c>
      <c r="I227" t="s">
        <v>69</v>
      </c>
      <c r="J227" s="4">
        <v>4879</v>
      </c>
      <c r="K227">
        <v>59</v>
      </c>
      <c r="L227">
        <f>'KRWSIP_Program_Baseline Data'!H228</f>
        <v>11.5</v>
      </c>
      <c r="M227">
        <v>0</v>
      </c>
      <c r="P227" s="5"/>
    </row>
    <row r="228" spans="2:22" x14ac:dyDescent="0.3">
      <c r="B228" t="str">
        <f t="shared" si="59"/>
        <v>HH224</v>
      </c>
      <c r="C228" t="s">
        <v>65</v>
      </c>
      <c r="D228">
        <v>2</v>
      </c>
      <c r="E228">
        <v>0</v>
      </c>
      <c r="F228">
        <v>2</v>
      </c>
      <c r="G228" s="4">
        <v>16949</v>
      </c>
      <c r="H228">
        <v>33</v>
      </c>
      <c r="I228" t="s">
        <v>69</v>
      </c>
      <c r="J228" s="4">
        <v>3355</v>
      </c>
      <c r="K228">
        <v>33</v>
      </c>
      <c r="L228">
        <f>'KRWSIP_Program_Baseline Data'!H229</f>
        <v>7.2</v>
      </c>
      <c r="M228">
        <v>0</v>
      </c>
      <c r="P228" s="5"/>
    </row>
    <row r="229" spans="2:22" x14ac:dyDescent="0.3">
      <c r="B229" t="str">
        <f t="shared" si="59"/>
        <v>HH225</v>
      </c>
      <c r="C229" t="s">
        <v>62</v>
      </c>
      <c r="D229">
        <v>6</v>
      </c>
      <c r="E229">
        <v>0</v>
      </c>
      <c r="F229">
        <v>6</v>
      </c>
      <c r="G229" s="4">
        <v>30735</v>
      </c>
      <c r="H229">
        <v>117</v>
      </c>
      <c r="I229" t="s">
        <v>68</v>
      </c>
      <c r="J229" s="4">
        <v>5281</v>
      </c>
      <c r="K229">
        <v>117</v>
      </c>
      <c r="L229">
        <f>'KRWSIP_Program_Baseline Data'!H230</f>
        <v>3.8</v>
      </c>
      <c r="M229">
        <v>0</v>
      </c>
      <c r="P229" s="5"/>
    </row>
    <row r="230" spans="2:22" x14ac:dyDescent="0.3">
      <c r="B230" t="str">
        <f t="shared" si="59"/>
        <v>HH226</v>
      </c>
      <c r="C230" t="s">
        <v>65</v>
      </c>
      <c r="D230">
        <v>7</v>
      </c>
      <c r="E230">
        <v>0</v>
      </c>
      <c r="F230">
        <v>7</v>
      </c>
      <c r="G230" s="4">
        <v>21453</v>
      </c>
      <c r="H230">
        <v>84</v>
      </c>
      <c r="I230" t="s">
        <v>69</v>
      </c>
      <c r="J230" s="4">
        <v>6206</v>
      </c>
      <c r="K230">
        <v>84</v>
      </c>
      <c r="L230">
        <f>'KRWSIP_Program_Baseline Data'!H231</f>
        <v>2</v>
      </c>
      <c r="M230">
        <v>0</v>
      </c>
      <c r="P230" s="5"/>
    </row>
    <row r="231" spans="2:22" x14ac:dyDescent="0.3">
      <c r="B231" t="str">
        <f t="shared" si="59"/>
        <v>HH227</v>
      </c>
      <c r="C231" t="s">
        <v>65</v>
      </c>
      <c r="D231">
        <v>2</v>
      </c>
      <c r="E231">
        <v>0</v>
      </c>
      <c r="F231">
        <v>2</v>
      </c>
      <c r="G231" s="4">
        <v>27934</v>
      </c>
      <c r="H231">
        <v>101</v>
      </c>
      <c r="I231" t="s">
        <v>69</v>
      </c>
      <c r="J231" s="4">
        <v>3830</v>
      </c>
      <c r="K231">
        <v>101</v>
      </c>
      <c r="L231">
        <f>'KRWSIP_Program_Baseline Data'!H232</f>
        <v>10.7</v>
      </c>
      <c r="M231">
        <v>0</v>
      </c>
      <c r="P231" s="5"/>
    </row>
    <row r="232" spans="2:22" x14ac:dyDescent="0.3">
      <c r="B232" t="str">
        <f t="shared" si="59"/>
        <v>HH228</v>
      </c>
      <c r="C232" t="s">
        <v>62</v>
      </c>
      <c r="D232">
        <v>5</v>
      </c>
      <c r="E232">
        <v>0</v>
      </c>
      <c r="F232">
        <v>5</v>
      </c>
      <c r="G232" s="4">
        <v>25667</v>
      </c>
      <c r="H232">
        <v>71</v>
      </c>
      <c r="I232" t="s">
        <v>69</v>
      </c>
      <c r="J232" s="4">
        <v>5030</v>
      </c>
      <c r="K232">
        <v>71</v>
      </c>
      <c r="L232">
        <f>'KRWSIP_Program_Baseline Data'!H233</f>
        <v>14.4</v>
      </c>
      <c r="M232">
        <v>0</v>
      </c>
      <c r="P232" s="5"/>
      <c r="V232" t="str">
        <f t="shared" ref="V232:V263" si="61">IF($M232=1,G232,"")</f>
        <v/>
      </c>
    </row>
    <row r="233" spans="2:22" x14ac:dyDescent="0.3">
      <c r="B233" t="str">
        <f t="shared" si="59"/>
        <v>HH229</v>
      </c>
      <c r="C233" t="s">
        <v>63</v>
      </c>
      <c r="D233">
        <v>6</v>
      </c>
      <c r="E233">
        <v>0</v>
      </c>
      <c r="F233">
        <v>6</v>
      </c>
      <c r="G233" s="4">
        <v>30572</v>
      </c>
      <c r="H233">
        <v>84</v>
      </c>
      <c r="I233" t="s">
        <v>69</v>
      </c>
      <c r="J233" s="4">
        <v>5067</v>
      </c>
      <c r="K233">
        <v>84</v>
      </c>
      <c r="L233">
        <f>'KRWSIP_Program_Baseline Data'!H234</f>
        <v>9.8000000000000007</v>
      </c>
      <c r="M233">
        <v>0</v>
      </c>
      <c r="P233" s="5"/>
      <c r="V233" t="str">
        <f t="shared" si="61"/>
        <v/>
      </c>
    </row>
    <row r="234" spans="2:22" x14ac:dyDescent="0.3">
      <c r="B234" t="str">
        <f t="shared" si="59"/>
        <v>HH230</v>
      </c>
      <c r="C234" t="s">
        <v>64</v>
      </c>
      <c r="D234">
        <v>3</v>
      </c>
      <c r="E234">
        <v>0</v>
      </c>
      <c r="F234">
        <v>3</v>
      </c>
      <c r="G234" s="4">
        <v>44501</v>
      </c>
      <c r="H234">
        <v>73</v>
      </c>
      <c r="I234" t="s">
        <v>67</v>
      </c>
      <c r="J234" s="4">
        <v>4224</v>
      </c>
      <c r="K234">
        <v>73</v>
      </c>
      <c r="L234">
        <f>'KRWSIP_Program_Baseline Data'!H235</f>
        <v>9.3000000000000007</v>
      </c>
      <c r="M234">
        <v>0</v>
      </c>
      <c r="P234" s="5"/>
      <c r="V234" t="str">
        <f t="shared" si="61"/>
        <v/>
      </c>
    </row>
    <row r="235" spans="2:22" x14ac:dyDescent="0.3">
      <c r="B235" t="str">
        <f t="shared" si="59"/>
        <v>HH231</v>
      </c>
      <c r="C235" t="s">
        <v>62</v>
      </c>
      <c r="D235">
        <v>2</v>
      </c>
      <c r="E235">
        <v>0</v>
      </c>
      <c r="F235">
        <v>2</v>
      </c>
      <c r="G235" s="4">
        <v>24688</v>
      </c>
      <c r="H235">
        <v>96</v>
      </c>
      <c r="I235" t="s">
        <v>67</v>
      </c>
      <c r="J235" s="4">
        <v>2862</v>
      </c>
      <c r="K235">
        <v>96</v>
      </c>
      <c r="L235">
        <f>'KRWSIP_Program_Baseline Data'!H236</f>
        <v>0.7</v>
      </c>
      <c r="M235">
        <v>0</v>
      </c>
      <c r="P235" s="5"/>
      <c r="V235" t="str">
        <f t="shared" si="61"/>
        <v/>
      </c>
    </row>
    <row r="236" spans="2:22" x14ac:dyDescent="0.3">
      <c r="B236" t="str">
        <f t="shared" si="59"/>
        <v>HH232</v>
      </c>
      <c r="C236" t="s">
        <v>65</v>
      </c>
      <c r="D236">
        <v>7</v>
      </c>
      <c r="E236">
        <v>0</v>
      </c>
      <c r="F236">
        <v>7</v>
      </c>
      <c r="G236" s="4">
        <v>30721</v>
      </c>
      <c r="H236">
        <v>85</v>
      </c>
      <c r="I236" t="s">
        <v>69</v>
      </c>
      <c r="J236" s="4">
        <v>4743</v>
      </c>
      <c r="K236">
        <v>85</v>
      </c>
      <c r="L236">
        <f>'KRWSIP_Program_Baseline Data'!H237</f>
        <v>14.7</v>
      </c>
      <c r="M236">
        <v>0</v>
      </c>
      <c r="P236" s="5"/>
      <c r="V236" t="str">
        <f t="shared" si="61"/>
        <v/>
      </c>
    </row>
    <row r="237" spans="2:22" x14ac:dyDescent="0.3">
      <c r="B237" t="str">
        <f t="shared" si="59"/>
        <v>HH233</v>
      </c>
      <c r="C237" t="s">
        <v>64</v>
      </c>
      <c r="D237">
        <v>7</v>
      </c>
      <c r="E237">
        <v>0</v>
      </c>
      <c r="F237">
        <v>7</v>
      </c>
      <c r="G237" s="4">
        <v>31459</v>
      </c>
      <c r="H237">
        <v>80</v>
      </c>
      <c r="I237" t="s">
        <v>69</v>
      </c>
      <c r="J237" s="4">
        <v>4497</v>
      </c>
      <c r="K237">
        <v>80</v>
      </c>
      <c r="L237">
        <f>'KRWSIP_Program_Baseline Data'!H238</f>
        <v>7.4</v>
      </c>
      <c r="M237">
        <v>0</v>
      </c>
      <c r="P237" s="5"/>
      <c r="V237" t="str">
        <f t="shared" si="61"/>
        <v/>
      </c>
    </row>
    <row r="238" spans="2:22" x14ac:dyDescent="0.3">
      <c r="B238" t="str">
        <f t="shared" si="59"/>
        <v>HH234</v>
      </c>
      <c r="C238" t="s">
        <v>65</v>
      </c>
      <c r="D238">
        <v>8</v>
      </c>
      <c r="E238">
        <v>0</v>
      </c>
      <c r="F238">
        <v>8</v>
      </c>
      <c r="G238" s="4">
        <v>30781</v>
      </c>
      <c r="H238">
        <v>109</v>
      </c>
      <c r="I238" t="s">
        <v>67</v>
      </c>
      <c r="J238" s="4">
        <v>6881</v>
      </c>
      <c r="K238">
        <v>109</v>
      </c>
      <c r="L238">
        <f>'KRWSIP_Program_Baseline Data'!H239</f>
        <v>8.9</v>
      </c>
      <c r="M238">
        <v>0</v>
      </c>
      <c r="P238" s="5"/>
      <c r="V238" t="str">
        <f t="shared" si="61"/>
        <v/>
      </c>
    </row>
    <row r="239" spans="2:22" x14ac:dyDescent="0.3">
      <c r="B239" t="str">
        <f t="shared" si="59"/>
        <v>HH235</v>
      </c>
      <c r="C239" t="s">
        <v>64</v>
      </c>
      <c r="D239">
        <v>2</v>
      </c>
      <c r="E239">
        <v>0</v>
      </c>
      <c r="F239">
        <v>2</v>
      </c>
      <c r="G239" s="4">
        <v>24452</v>
      </c>
      <c r="H239">
        <v>63</v>
      </c>
      <c r="I239" t="s">
        <v>68</v>
      </c>
      <c r="J239" s="4">
        <v>2404</v>
      </c>
      <c r="K239">
        <v>63</v>
      </c>
      <c r="L239">
        <f>'KRWSIP_Program_Baseline Data'!H240</f>
        <v>12.3</v>
      </c>
      <c r="M239">
        <v>0</v>
      </c>
      <c r="P239" s="5"/>
      <c r="V239" t="str">
        <f t="shared" si="61"/>
        <v/>
      </c>
    </row>
    <row r="240" spans="2:22" x14ac:dyDescent="0.3">
      <c r="B240" t="str">
        <f t="shared" si="59"/>
        <v>HH236</v>
      </c>
      <c r="C240" t="s">
        <v>63</v>
      </c>
      <c r="D240">
        <v>3</v>
      </c>
      <c r="E240">
        <v>0</v>
      </c>
      <c r="F240">
        <v>3</v>
      </c>
      <c r="G240" s="4">
        <v>29348</v>
      </c>
      <c r="H240">
        <v>115</v>
      </c>
      <c r="I240" t="s">
        <v>68</v>
      </c>
      <c r="J240" s="4">
        <v>3779</v>
      </c>
      <c r="K240">
        <v>115</v>
      </c>
      <c r="L240">
        <f>'KRWSIP_Program_Baseline Data'!H241</f>
        <v>8.6</v>
      </c>
      <c r="M240">
        <v>0</v>
      </c>
      <c r="P240" s="5"/>
      <c r="V240" t="str">
        <f t="shared" si="61"/>
        <v/>
      </c>
    </row>
    <row r="241" spans="2:22" x14ac:dyDescent="0.3">
      <c r="B241" t="str">
        <f t="shared" si="59"/>
        <v>HH237</v>
      </c>
      <c r="C241" t="s">
        <v>63</v>
      </c>
      <c r="D241">
        <v>2</v>
      </c>
      <c r="E241">
        <v>0</v>
      </c>
      <c r="F241">
        <v>2</v>
      </c>
      <c r="G241" s="4">
        <v>32121</v>
      </c>
      <c r="H241">
        <v>87</v>
      </c>
      <c r="I241" t="s">
        <v>68</v>
      </c>
      <c r="J241" s="4">
        <v>3285</v>
      </c>
      <c r="K241">
        <v>87</v>
      </c>
      <c r="L241">
        <f>'KRWSIP_Program_Baseline Data'!H242</f>
        <v>14.1</v>
      </c>
      <c r="M241">
        <v>0</v>
      </c>
      <c r="P241" s="5"/>
      <c r="V241" t="str">
        <f t="shared" si="61"/>
        <v/>
      </c>
    </row>
    <row r="242" spans="2:22" x14ac:dyDescent="0.3">
      <c r="B242" t="str">
        <f t="shared" si="59"/>
        <v>HH238</v>
      </c>
      <c r="C242" t="s">
        <v>64</v>
      </c>
      <c r="D242">
        <v>3</v>
      </c>
      <c r="E242">
        <v>0</v>
      </c>
      <c r="F242">
        <v>3</v>
      </c>
      <c r="G242" s="4">
        <v>27501</v>
      </c>
      <c r="H242">
        <v>56</v>
      </c>
      <c r="I242" t="s">
        <v>69</v>
      </c>
      <c r="J242" s="4">
        <v>2934</v>
      </c>
      <c r="K242">
        <v>56</v>
      </c>
      <c r="L242">
        <f>'KRWSIP_Program_Baseline Data'!H243</f>
        <v>8.5</v>
      </c>
      <c r="M242">
        <v>0</v>
      </c>
      <c r="P242" s="5"/>
      <c r="V242" t="str">
        <f t="shared" si="61"/>
        <v/>
      </c>
    </row>
    <row r="243" spans="2:22" x14ac:dyDescent="0.3">
      <c r="B243" t="str">
        <f t="shared" si="59"/>
        <v>HH239</v>
      </c>
      <c r="C243" t="s">
        <v>62</v>
      </c>
      <c r="D243">
        <v>2</v>
      </c>
      <c r="E243">
        <v>0</v>
      </c>
      <c r="F243">
        <v>2</v>
      </c>
      <c r="G243" s="4">
        <v>25656</v>
      </c>
      <c r="H243">
        <v>17</v>
      </c>
      <c r="I243" t="s">
        <v>69</v>
      </c>
      <c r="J243" s="4">
        <v>3376</v>
      </c>
      <c r="K243">
        <v>17</v>
      </c>
      <c r="L243">
        <f>'KRWSIP_Program_Baseline Data'!H244</f>
        <v>8</v>
      </c>
      <c r="M243">
        <v>0</v>
      </c>
      <c r="P243" s="5"/>
      <c r="V243" t="str">
        <f t="shared" si="61"/>
        <v/>
      </c>
    </row>
    <row r="244" spans="2:22" x14ac:dyDescent="0.3">
      <c r="B244" t="str">
        <f t="shared" si="59"/>
        <v>HH240</v>
      </c>
      <c r="C244" t="s">
        <v>63</v>
      </c>
      <c r="D244">
        <v>7</v>
      </c>
      <c r="E244">
        <v>0</v>
      </c>
      <c r="F244">
        <v>7</v>
      </c>
      <c r="G244" s="4">
        <v>28111</v>
      </c>
      <c r="H244">
        <v>100</v>
      </c>
      <c r="I244" t="s">
        <v>69</v>
      </c>
      <c r="J244" s="4">
        <v>4652</v>
      </c>
      <c r="K244">
        <v>100</v>
      </c>
      <c r="L244">
        <f>'KRWSIP_Program_Baseline Data'!H245</f>
        <v>2</v>
      </c>
      <c r="M244">
        <v>0</v>
      </c>
      <c r="P244" s="5"/>
      <c r="V244" t="str">
        <f t="shared" si="61"/>
        <v/>
      </c>
    </row>
    <row r="245" spans="2:22" x14ac:dyDescent="0.3">
      <c r="B245" t="str">
        <f t="shared" si="59"/>
        <v>HH241</v>
      </c>
      <c r="C245" t="s">
        <v>64</v>
      </c>
      <c r="D245">
        <v>4</v>
      </c>
      <c r="E245">
        <v>0</v>
      </c>
      <c r="F245">
        <v>4</v>
      </c>
      <c r="G245" s="4">
        <v>27997</v>
      </c>
      <c r="H245">
        <v>40</v>
      </c>
      <c r="I245" t="s">
        <v>68</v>
      </c>
      <c r="J245" s="4">
        <v>5067</v>
      </c>
      <c r="K245">
        <v>40</v>
      </c>
      <c r="L245">
        <f>'KRWSIP_Program_Baseline Data'!H246</f>
        <v>4.9000000000000004</v>
      </c>
      <c r="M245">
        <v>0</v>
      </c>
      <c r="P245" s="5"/>
      <c r="V245" t="str">
        <f t="shared" si="61"/>
        <v/>
      </c>
    </row>
    <row r="246" spans="2:22" x14ac:dyDescent="0.3">
      <c r="B246" t="str">
        <f t="shared" si="59"/>
        <v>HH242</v>
      </c>
      <c r="C246" t="s">
        <v>62</v>
      </c>
      <c r="D246">
        <v>4</v>
      </c>
      <c r="E246">
        <v>0</v>
      </c>
      <c r="F246">
        <v>4</v>
      </c>
      <c r="G246" s="4">
        <v>20243</v>
      </c>
      <c r="H246">
        <v>41</v>
      </c>
      <c r="I246" t="s">
        <v>66</v>
      </c>
      <c r="J246" s="4">
        <v>4815</v>
      </c>
      <c r="K246">
        <v>41</v>
      </c>
      <c r="L246">
        <f>'KRWSIP_Program_Baseline Data'!H247</f>
        <v>0.9</v>
      </c>
      <c r="M246">
        <v>0</v>
      </c>
      <c r="P246" s="5"/>
      <c r="V246" t="str">
        <f t="shared" si="61"/>
        <v/>
      </c>
    </row>
    <row r="247" spans="2:22" x14ac:dyDescent="0.3">
      <c r="B247" t="str">
        <f t="shared" si="59"/>
        <v>HH243</v>
      </c>
      <c r="C247" t="s">
        <v>64</v>
      </c>
      <c r="D247">
        <v>3</v>
      </c>
      <c r="E247">
        <v>0</v>
      </c>
      <c r="F247">
        <v>3</v>
      </c>
      <c r="G247" s="4">
        <v>15965</v>
      </c>
      <c r="H247">
        <v>35</v>
      </c>
      <c r="I247" t="s">
        <v>67</v>
      </c>
      <c r="J247" s="4">
        <v>3598</v>
      </c>
      <c r="K247">
        <v>35</v>
      </c>
      <c r="L247">
        <f>'KRWSIP_Program_Baseline Data'!H248</f>
        <v>13.8</v>
      </c>
      <c r="M247">
        <v>0</v>
      </c>
      <c r="P247" s="5"/>
      <c r="V247" t="str">
        <f t="shared" si="61"/>
        <v/>
      </c>
    </row>
    <row r="248" spans="2:22" x14ac:dyDescent="0.3">
      <c r="B248" t="str">
        <f t="shared" si="59"/>
        <v>HH244</v>
      </c>
      <c r="C248" t="s">
        <v>63</v>
      </c>
      <c r="D248">
        <v>8</v>
      </c>
      <c r="E248">
        <v>0</v>
      </c>
      <c r="F248">
        <v>8</v>
      </c>
      <c r="G248" s="4">
        <v>44111</v>
      </c>
      <c r="H248">
        <v>90</v>
      </c>
      <c r="I248" t="s">
        <v>68</v>
      </c>
      <c r="J248" s="4">
        <v>5014</v>
      </c>
      <c r="K248">
        <v>90</v>
      </c>
      <c r="L248">
        <f>'KRWSIP_Program_Baseline Data'!H249</f>
        <v>0.8</v>
      </c>
      <c r="M248">
        <v>0</v>
      </c>
      <c r="P248" s="5"/>
      <c r="V248" t="str">
        <f t="shared" si="61"/>
        <v/>
      </c>
    </row>
    <row r="249" spans="2:22" x14ac:dyDescent="0.3">
      <c r="B249" t="str">
        <f t="shared" si="59"/>
        <v>HH245</v>
      </c>
      <c r="C249" t="s">
        <v>64</v>
      </c>
      <c r="D249">
        <v>7</v>
      </c>
      <c r="E249">
        <v>0</v>
      </c>
      <c r="F249">
        <v>7</v>
      </c>
      <c r="G249" s="4">
        <v>32227</v>
      </c>
      <c r="H249">
        <v>33</v>
      </c>
      <c r="I249" t="s">
        <v>68</v>
      </c>
      <c r="J249" s="4">
        <v>5918</v>
      </c>
      <c r="K249">
        <v>33</v>
      </c>
      <c r="L249">
        <f>'KRWSIP_Program_Baseline Data'!H250</f>
        <v>8.8000000000000007</v>
      </c>
      <c r="M249">
        <v>0</v>
      </c>
      <c r="P249" s="5"/>
      <c r="V249" t="str">
        <f t="shared" si="61"/>
        <v/>
      </c>
    </row>
    <row r="250" spans="2:22" x14ac:dyDescent="0.3">
      <c r="B250" t="str">
        <f t="shared" si="59"/>
        <v>HH246</v>
      </c>
      <c r="C250" t="s">
        <v>63</v>
      </c>
      <c r="D250">
        <v>2</v>
      </c>
      <c r="E250">
        <v>0</v>
      </c>
      <c r="F250">
        <v>2</v>
      </c>
      <c r="G250" s="4">
        <v>35067</v>
      </c>
      <c r="H250">
        <v>107</v>
      </c>
      <c r="I250" t="s">
        <v>67</v>
      </c>
      <c r="J250" s="4">
        <v>3737</v>
      </c>
      <c r="K250">
        <v>107</v>
      </c>
      <c r="L250">
        <f>'KRWSIP_Program_Baseline Data'!H251</f>
        <v>4.8</v>
      </c>
      <c r="M250">
        <v>0</v>
      </c>
      <c r="P250" s="5"/>
      <c r="V250" t="str">
        <f t="shared" si="61"/>
        <v/>
      </c>
    </row>
    <row r="251" spans="2:22" x14ac:dyDescent="0.3">
      <c r="B251" t="str">
        <f t="shared" si="59"/>
        <v>HH247</v>
      </c>
      <c r="C251" t="s">
        <v>65</v>
      </c>
      <c r="D251">
        <v>5</v>
      </c>
      <c r="E251">
        <v>0</v>
      </c>
      <c r="F251">
        <v>5</v>
      </c>
      <c r="G251" s="4">
        <v>33272</v>
      </c>
      <c r="H251">
        <v>23</v>
      </c>
      <c r="I251" t="s">
        <v>69</v>
      </c>
      <c r="J251" s="4">
        <v>3892</v>
      </c>
      <c r="K251">
        <v>23</v>
      </c>
      <c r="L251">
        <f>'KRWSIP_Program_Baseline Data'!H252</f>
        <v>10.8</v>
      </c>
      <c r="M251">
        <v>0</v>
      </c>
      <c r="P251" s="5"/>
      <c r="V251" t="str">
        <f t="shared" si="61"/>
        <v/>
      </c>
    </row>
    <row r="252" spans="2:22" x14ac:dyDescent="0.3">
      <c r="B252" t="str">
        <f t="shared" si="59"/>
        <v>HH248</v>
      </c>
      <c r="C252" t="s">
        <v>64</v>
      </c>
      <c r="D252">
        <v>6</v>
      </c>
      <c r="E252">
        <v>0</v>
      </c>
      <c r="F252">
        <v>6</v>
      </c>
      <c r="G252" s="4">
        <v>23768</v>
      </c>
      <c r="H252">
        <v>41</v>
      </c>
      <c r="I252" t="s">
        <v>67</v>
      </c>
      <c r="J252" s="4">
        <v>5204</v>
      </c>
      <c r="K252">
        <v>41</v>
      </c>
      <c r="L252">
        <f>'KRWSIP_Program_Baseline Data'!H253</f>
        <v>12.8</v>
      </c>
      <c r="M252">
        <v>0</v>
      </c>
      <c r="P252" s="5"/>
      <c r="V252" t="str">
        <f t="shared" si="61"/>
        <v/>
      </c>
    </row>
    <row r="253" spans="2:22" x14ac:dyDescent="0.3">
      <c r="B253" t="str">
        <f t="shared" si="59"/>
        <v>HH249</v>
      </c>
      <c r="C253" t="s">
        <v>62</v>
      </c>
      <c r="D253">
        <v>4</v>
      </c>
      <c r="E253">
        <v>0</v>
      </c>
      <c r="F253">
        <v>4</v>
      </c>
      <c r="G253" s="4">
        <v>30924</v>
      </c>
      <c r="H253">
        <v>26</v>
      </c>
      <c r="I253" t="s">
        <v>68</v>
      </c>
      <c r="J253" s="4">
        <v>5016</v>
      </c>
      <c r="K253">
        <v>26</v>
      </c>
      <c r="L253">
        <f>'KRWSIP_Program_Baseline Data'!H254</f>
        <v>1.3</v>
      </c>
      <c r="M253">
        <v>0</v>
      </c>
      <c r="P253" s="5"/>
      <c r="V253" t="str">
        <f t="shared" si="61"/>
        <v/>
      </c>
    </row>
    <row r="254" spans="2:22" x14ac:dyDescent="0.3">
      <c r="B254" t="str">
        <f t="shared" si="59"/>
        <v>HH250</v>
      </c>
      <c r="C254" t="s">
        <v>64</v>
      </c>
      <c r="D254">
        <v>6</v>
      </c>
      <c r="E254">
        <v>0</v>
      </c>
      <c r="F254">
        <v>6</v>
      </c>
      <c r="G254" s="4">
        <v>27949</v>
      </c>
      <c r="H254">
        <v>15</v>
      </c>
      <c r="I254" t="s">
        <v>68</v>
      </c>
      <c r="J254" s="4">
        <v>4232</v>
      </c>
      <c r="K254">
        <v>15</v>
      </c>
      <c r="L254">
        <f>'KRWSIP_Program_Baseline Data'!H255</f>
        <v>13.9</v>
      </c>
      <c r="M254">
        <v>0</v>
      </c>
      <c r="P254" s="5"/>
      <c r="V254" t="str">
        <f t="shared" si="61"/>
        <v/>
      </c>
    </row>
    <row r="255" spans="2:22" x14ac:dyDescent="0.3">
      <c r="B255" t="str">
        <f t="shared" si="59"/>
        <v>HH251</v>
      </c>
      <c r="C255" t="s">
        <v>63</v>
      </c>
      <c r="D255">
        <v>8</v>
      </c>
      <c r="E255">
        <v>0</v>
      </c>
      <c r="F255">
        <v>8</v>
      </c>
      <c r="G255" s="4">
        <v>31868</v>
      </c>
      <c r="H255">
        <v>36</v>
      </c>
      <c r="I255" t="s">
        <v>68</v>
      </c>
      <c r="J255" s="4">
        <v>5429</v>
      </c>
      <c r="K255">
        <v>36</v>
      </c>
      <c r="L255">
        <f>'KRWSIP_Program_Baseline Data'!H256</f>
        <v>7.4</v>
      </c>
      <c r="M255">
        <v>0</v>
      </c>
      <c r="P255" s="5"/>
      <c r="V255" t="str">
        <f t="shared" si="61"/>
        <v/>
      </c>
    </row>
    <row r="256" spans="2:22" x14ac:dyDescent="0.3">
      <c r="B256" t="str">
        <f t="shared" si="59"/>
        <v>HH252</v>
      </c>
      <c r="C256" t="s">
        <v>62</v>
      </c>
      <c r="D256">
        <v>4</v>
      </c>
      <c r="E256">
        <v>0</v>
      </c>
      <c r="F256">
        <v>4</v>
      </c>
      <c r="G256" s="4">
        <v>31446</v>
      </c>
      <c r="H256">
        <v>31</v>
      </c>
      <c r="I256" t="s">
        <v>68</v>
      </c>
      <c r="J256" s="4">
        <v>3494</v>
      </c>
      <c r="K256">
        <v>31</v>
      </c>
      <c r="L256">
        <f>'KRWSIP_Program_Baseline Data'!H257</f>
        <v>2.9</v>
      </c>
      <c r="M256">
        <v>0</v>
      </c>
      <c r="P256" s="5"/>
      <c r="V256" t="str">
        <f t="shared" si="61"/>
        <v/>
      </c>
    </row>
    <row r="257" spans="2:22" x14ac:dyDescent="0.3">
      <c r="B257" t="str">
        <f t="shared" si="59"/>
        <v>HH253</v>
      </c>
      <c r="C257" t="s">
        <v>64</v>
      </c>
      <c r="D257">
        <v>5</v>
      </c>
      <c r="E257">
        <v>0</v>
      </c>
      <c r="F257">
        <v>5</v>
      </c>
      <c r="G257" s="4">
        <v>31054</v>
      </c>
      <c r="H257">
        <v>90</v>
      </c>
      <c r="I257" t="s">
        <v>66</v>
      </c>
      <c r="J257" s="4">
        <v>4078</v>
      </c>
      <c r="K257">
        <v>90</v>
      </c>
      <c r="L257">
        <f>'KRWSIP_Program_Baseline Data'!H258</f>
        <v>0.5</v>
      </c>
      <c r="M257">
        <v>0</v>
      </c>
      <c r="P257" s="5"/>
      <c r="V257" t="str">
        <f t="shared" si="61"/>
        <v/>
      </c>
    </row>
    <row r="258" spans="2:22" x14ac:dyDescent="0.3">
      <c r="B258" t="str">
        <f t="shared" si="59"/>
        <v>HH254</v>
      </c>
      <c r="C258" t="s">
        <v>62</v>
      </c>
      <c r="D258">
        <v>5</v>
      </c>
      <c r="E258">
        <v>0</v>
      </c>
      <c r="F258">
        <v>5</v>
      </c>
      <c r="G258" s="4">
        <v>21741</v>
      </c>
      <c r="H258">
        <v>102</v>
      </c>
      <c r="I258" t="s">
        <v>66</v>
      </c>
      <c r="J258" s="4">
        <v>5536</v>
      </c>
      <c r="K258">
        <v>102</v>
      </c>
      <c r="L258">
        <f>'KRWSIP_Program_Baseline Data'!H259</f>
        <v>11.1</v>
      </c>
      <c r="M258">
        <v>0</v>
      </c>
      <c r="P258" s="5"/>
      <c r="V258" t="str">
        <f t="shared" si="61"/>
        <v/>
      </c>
    </row>
    <row r="259" spans="2:22" x14ac:dyDescent="0.3">
      <c r="B259" t="str">
        <f t="shared" si="59"/>
        <v>HH255</v>
      </c>
      <c r="C259" t="s">
        <v>64</v>
      </c>
      <c r="D259">
        <v>8</v>
      </c>
      <c r="E259">
        <v>0</v>
      </c>
      <c r="F259">
        <v>8</v>
      </c>
      <c r="G259" s="4">
        <v>23543</v>
      </c>
      <c r="H259">
        <v>25</v>
      </c>
      <c r="I259" t="s">
        <v>67</v>
      </c>
      <c r="J259" s="4">
        <v>4497</v>
      </c>
      <c r="K259">
        <v>25</v>
      </c>
      <c r="L259">
        <f>'KRWSIP_Program_Baseline Data'!H260</f>
        <v>2.5</v>
      </c>
      <c r="M259">
        <v>0</v>
      </c>
      <c r="P259" s="5"/>
      <c r="V259" t="str">
        <f t="shared" si="61"/>
        <v/>
      </c>
    </row>
    <row r="260" spans="2:22" x14ac:dyDescent="0.3">
      <c r="B260" t="str">
        <f t="shared" si="59"/>
        <v>HH256</v>
      </c>
      <c r="C260" t="s">
        <v>63</v>
      </c>
      <c r="D260">
        <v>6</v>
      </c>
      <c r="E260">
        <v>0</v>
      </c>
      <c r="F260">
        <v>6</v>
      </c>
      <c r="G260" s="4">
        <v>31363</v>
      </c>
      <c r="H260">
        <v>87</v>
      </c>
      <c r="I260" t="s">
        <v>67</v>
      </c>
      <c r="J260" s="4">
        <v>4165</v>
      </c>
      <c r="K260">
        <v>87</v>
      </c>
      <c r="L260">
        <f>'KRWSIP_Program_Baseline Data'!H261</f>
        <v>3.3</v>
      </c>
      <c r="M260">
        <v>0</v>
      </c>
      <c r="P260" s="5"/>
      <c r="V260" t="str">
        <f t="shared" si="61"/>
        <v/>
      </c>
    </row>
    <row r="261" spans="2:22" x14ac:dyDescent="0.3">
      <c r="B261" t="str">
        <f t="shared" si="59"/>
        <v>HH257</v>
      </c>
      <c r="C261" t="s">
        <v>64</v>
      </c>
      <c r="D261">
        <v>3</v>
      </c>
      <c r="E261">
        <v>0</v>
      </c>
      <c r="F261">
        <v>3</v>
      </c>
      <c r="G261" s="4">
        <v>37995</v>
      </c>
      <c r="H261">
        <v>87</v>
      </c>
      <c r="I261" t="s">
        <v>68</v>
      </c>
      <c r="J261" s="4">
        <v>3976</v>
      </c>
      <c r="K261">
        <v>87</v>
      </c>
      <c r="L261">
        <f>'KRWSIP_Program_Baseline Data'!H262</f>
        <v>8</v>
      </c>
      <c r="M261">
        <v>0</v>
      </c>
      <c r="P261" s="5"/>
      <c r="V261" t="str">
        <f t="shared" si="61"/>
        <v/>
      </c>
    </row>
    <row r="262" spans="2:22" x14ac:dyDescent="0.3">
      <c r="B262" t="str">
        <f t="shared" ref="B262:B325" si="62">"HH"&amp;TEXT(ROW()-4, "000")</f>
        <v>HH258</v>
      </c>
      <c r="C262" t="s">
        <v>63</v>
      </c>
      <c r="D262">
        <v>6</v>
      </c>
      <c r="E262">
        <v>0</v>
      </c>
      <c r="F262">
        <v>6</v>
      </c>
      <c r="G262" s="4">
        <v>18823</v>
      </c>
      <c r="H262">
        <v>108</v>
      </c>
      <c r="I262" t="s">
        <v>67</v>
      </c>
      <c r="J262" s="4">
        <v>6118</v>
      </c>
      <c r="K262">
        <v>108</v>
      </c>
      <c r="L262">
        <f>'KRWSIP_Program_Baseline Data'!H263</f>
        <v>5.5</v>
      </c>
      <c r="M262">
        <v>0</v>
      </c>
      <c r="P262" s="5"/>
      <c r="V262" t="str">
        <f t="shared" si="61"/>
        <v/>
      </c>
    </row>
    <row r="263" spans="2:22" x14ac:dyDescent="0.3">
      <c r="B263" t="str">
        <f t="shared" si="62"/>
        <v>HH259</v>
      </c>
      <c r="C263" t="s">
        <v>63</v>
      </c>
      <c r="D263">
        <v>6</v>
      </c>
      <c r="E263">
        <v>0</v>
      </c>
      <c r="F263">
        <v>6</v>
      </c>
      <c r="G263" s="4">
        <v>29731</v>
      </c>
      <c r="H263">
        <v>23</v>
      </c>
      <c r="I263" t="s">
        <v>67</v>
      </c>
      <c r="J263" s="4">
        <v>5988</v>
      </c>
      <c r="K263">
        <v>23</v>
      </c>
      <c r="L263">
        <f>'KRWSIP_Program_Baseline Data'!H264</f>
        <v>8.6</v>
      </c>
      <c r="M263">
        <v>0</v>
      </c>
      <c r="P263" s="5"/>
      <c r="V263" t="str">
        <f t="shared" si="61"/>
        <v/>
      </c>
    </row>
    <row r="264" spans="2:22" x14ac:dyDescent="0.3">
      <c r="B264" t="str">
        <f t="shared" si="62"/>
        <v>HH260</v>
      </c>
      <c r="C264" t="s">
        <v>63</v>
      </c>
      <c r="D264">
        <v>4</v>
      </c>
      <c r="E264">
        <v>0</v>
      </c>
      <c r="F264">
        <v>4</v>
      </c>
      <c r="G264" s="4">
        <v>42205</v>
      </c>
      <c r="H264">
        <v>78</v>
      </c>
      <c r="I264" t="s">
        <v>68</v>
      </c>
      <c r="J264" s="4">
        <v>5013</v>
      </c>
      <c r="K264">
        <v>78</v>
      </c>
      <c r="L264">
        <f>'KRWSIP_Program_Baseline Data'!H265</f>
        <v>13.4</v>
      </c>
      <c r="M264">
        <v>0</v>
      </c>
      <c r="P264" s="5"/>
      <c r="V264" t="str">
        <f t="shared" ref="V264:V295" si="63">IF($M264=1,G264,"")</f>
        <v/>
      </c>
    </row>
    <row r="265" spans="2:22" x14ac:dyDescent="0.3">
      <c r="B265" t="str">
        <f t="shared" si="62"/>
        <v>HH261</v>
      </c>
      <c r="C265" t="s">
        <v>64</v>
      </c>
      <c r="D265">
        <v>3</v>
      </c>
      <c r="E265">
        <v>0</v>
      </c>
      <c r="F265">
        <v>3</v>
      </c>
      <c r="G265" s="4">
        <v>33592</v>
      </c>
      <c r="H265">
        <v>22</v>
      </c>
      <c r="I265" t="s">
        <v>68</v>
      </c>
      <c r="J265" s="4">
        <v>4343</v>
      </c>
      <c r="K265">
        <v>22</v>
      </c>
      <c r="L265">
        <f>'KRWSIP_Program_Baseline Data'!H266</f>
        <v>2.2999999999999998</v>
      </c>
      <c r="M265">
        <v>0</v>
      </c>
      <c r="P265" s="5"/>
      <c r="V265" t="str">
        <f t="shared" si="63"/>
        <v/>
      </c>
    </row>
    <row r="266" spans="2:22" x14ac:dyDescent="0.3">
      <c r="B266" t="str">
        <f t="shared" si="62"/>
        <v>HH262</v>
      </c>
      <c r="C266" t="s">
        <v>65</v>
      </c>
      <c r="D266">
        <v>5</v>
      </c>
      <c r="E266">
        <v>0</v>
      </c>
      <c r="F266">
        <v>5</v>
      </c>
      <c r="G266" s="4">
        <v>17359</v>
      </c>
      <c r="H266">
        <v>109</v>
      </c>
      <c r="I266" t="s">
        <v>67</v>
      </c>
      <c r="J266" s="4">
        <v>3490</v>
      </c>
      <c r="K266">
        <v>109</v>
      </c>
      <c r="L266">
        <f>'KRWSIP_Program_Baseline Data'!H267</f>
        <v>10.3</v>
      </c>
      <c r="M266">
        <v>0</v>
      </c>
      <c r="P266" s="5"/>
      <c r="V266" t="str">
        <f t="shared" si="63"/>
        <v/>
      </c>
    </row>
    <row r="267" spans="2:22" x14ac:dyDescent="0.3">
      <c r="B267" t="str">
        <f t="shared" si="62"/>
        <v>HH263</v>
      </c>
      <c r="C267" t="s">
        <v>64</v>
      </c>
      <c r="D267">
        <v>8</v>
      </c>
      <c r="E267">
        <v>0</v>
      </c>
      <c r="F267">
        <v>8</v>
      </c>
      <c r="G267" s="4">
        <v>37713</v>
      </c>
      <c r="H267">
        <v>109</v>
      </c>
      <c r="I267" t="s">
        <v>69</v>
      </c>
      <c r="J267" s="4">
        <v>4954</v>
      </c>
      <c r="K267">
        <v>109</v>
      </c>
      <c r="L267">
        <f>'KRWSIP_Program_Baseline Data'!H268</f>
        <v>4.2</v>
      </c>
      <c r="M267">
        <v>0</v>
      </c>
      <c r="P267" s="5"/>
      <c r="V267" t="str">
        <f t="shared" si="63"/>
        <v/>
      </c>
    </row>
    <row r="268" spans="2:22" x14ac:dyDescent="0.3">
      <c r="B268" t="str">
        <f t="shared" si="62"/>
        <v>HH264</v>
      </c>
      <c r="C268" t="s">
        <v>65</v>
      </c>
      <c r="D268">
        <v>6</v>
      </c>
      <c r="E268">
        <v>0</v>
      </c>
      <c r="F268">
        <v>6</v>
      </c>
      <c r="G268" s="4">
        <v>32189</v>
      </c>
      <c r="H268">
        <v>64</v>
      </c>
      <c r="I268" t="s">
        <v>68</v>
      </c>
      <c r="J268" s="4">
        <v>3725</v>
      </c>
      <c r="K268">
        <v>64</v>
      </c>
      <c r="L268">
        <f>'KRWSIP_Program_Baseline Data'!H269</f>
        <v>13.7</v>
      </c>
      <c r="M268">
        <v>0</v>
      </c>
      <c r="P268" s="5"/>
      <c r="V268" t="str">
        <f t="shared" si="63"/>
        <v/>
      </c>
    </row>
    <row r="269" spans="2:22" x14ac:dyDescent="0.3">
      <c r="B269" t="str">
        <f t="shared" si="62"/>
        <v>HH265</v>
      </c>
      <c r="C269" t="s">
        <v>62</v>
      </c>
      <c r="D269">
        <v>7</v>
      </c>
      <c r="E269">
        <v>0</v>
      </c>
      <c r="F269">
        <v>7</v>
      </c>
      <c r="G269" s="4">
        <v>22721</v>
      </c>
      <c r="H269">
        <v>36</v>
      </c>
      <c r="I269" t="s">
        <v>67</v>
      </c>
      <c r="J269" s="4">
        <v>5857</v>
      </c>
      <c r="K269">
        <v>36</v>
      </c>
      <c r="L269">
        <f>'KRWSIP_Program_Baseline Data'!H270</f>
        <v>3.6</v>
      </c>
      <c r="M269">
        <v>0</v>
      </c>
      <c r="P269" s="5"/>
      <c r="V269" t="str">
        <f t="shared" si="63"/>
        <v/>
      </c>
    </row>
    <row r="270" spans="2:22" x14ac:dyDescent="0.3">
      <c r="B270" t="str">
        <f t="shared" si="62"/>
        <v>HH266</v>
      </c>
      <c r="C270" t="s">
        <v>64</v>
      </c>
      <c r="D270">
        <v>6</v>
      </c>
      <c r="E270">
        <v>0</v>
      </c>
      <c r="F270">
        <v>6</v>
      </c>
      <c r="G270" s="4">
        <v>35492</v>
      </c>
      <c r="H270">
        <v>21</v>
      </c>
      <c r="I270" t="s">
        <v>69</v>
      </c>
      <c r="J270" s="4">
        <v>4133</v>
      </c>
      <c r="K270">
        <v>21</v>
      </c>
      <c r="L270">
        <f>'KRWSIP_Program_Baseline Data'!H271</f>
        <v>6</v>
      </c>
      <c r="M270">
        <v>0</v>
      </c>
      <c r="P270" s="5"/>
      <c r="V270" t="str">
        <f t="shared" si="63"/>
        <v/>
      </c>
    </row>
    <row r="271" spans="2:22" x14ac:dyDescent="0.3">
      <c r="B271" t="str">
        <f t="shared" si="62"/>
        <v>HH267</v>
      </c>
      <c r="C271" t="s">
        <v>63</v>
      </c>
      <c r="D271">
        <v>6</v>
      </c>
      <c r="E271">
        <v>0</v>
      </c>
      <c r="F271">
        <v>6</v>
      </c>
      <c r="G271" s="4">
        <v>40615</v>
      </c>
      <c r="H271">
        <v>69</v>
      </c>
      <c r="I271" t="s">
        <v>66</v>
      </c>
      <c r="J271" s="4">
        <v>4841</v>
      </c>
      <c r="K271">
        <v>69</v>
      </c>
      <c r="L271">
        <f>'KRWSIP_Program_Baseline Data'!H272</f>
        <v>3.5</v>
      </c>
      <c r="M271">
        <v>0</v>
      </c>
      <c r="P271" s="5"/>
      <c r="V271" t="str">
        <f t="shared" si="63"/>
        <v/>
      </c>
    </row>
    <row r="272" spans="2:22" x14ac:dyDescent="0.3">
      <c r="B272" t="str">
        <f t="shared" si="62"/>
        <v>HH268</v>
      </c>
      <c r="C272" t="s">
        <v>62</v>
      </c>
      <c r="D272">
        <v>2</v>
      </c>
      <c r="E272">
        <v>0</v>
      </c>
      <c r="F272">
        <v>2</v>
      </c>
      <c r="G272" s="4">
        <v>40287</v>
      </c>
      <c r="H272">
        <v>43</v>
      </c>
      <c r="I272" t="s">
        <v>68</v>
      </c>
      <c r="J272" s="4">
        <v>4119</v>
      </c>
      <c r="K272">
        <v>43</v>
      </c>
      <c r="L272">
        <f>'KRWSIP_Program_Baseline Data'!H273</f>
        <v>7.7</v>
      </c>
      <c r="M272">
        <v>0</v>
      </c>
      <c r="P272" s="5"/>
      <c r="V272" t="str">
        <f t="shared" si="63"/>
        <v/>
      </c>
    </row>
    <row r="273" spans="2:22" x14ac:dyDescent="0.3">
      <c r="B273" t="str">
        <f t="shared" si="62"/>
        <v>HH269</v>
      </c>
      <c r="C273" t="s">
        <v>64</v>
      </c>
      <c r="D273">
        <v>7</v>
      </c>
      <c r="E273">
        <v>0</v>
      </c>
      <c r="F273">
        <v>7</v>
      </c>
      <c r="G273" s="4">
        <v>33508</v>
      </c>
      <c r="H273">
        <v>111</v>
      </c>
      <c r="I273" t="s">
        <v>67</v>
      </c>
      <c r="J273" s="4">
        <v>6421</v>
      </c>
      <c r="K273">
        <v>111</v>
      </c>
      <c r="L273">
        <f>'KRWSIP_Program_Baseline Data'!H274</f>
        <v>4</v>
      </c>
      <c r="M273">
        <v>0</v>
      </c>
      <c r="P273" s="5"/>
      <c r="V273" t="str">
        <f t="shared" si="63"/>
        <v/>
      </c>
    </row>
    <row r="274" spans="2:22" x14ac:dyDescent="0.3">
      <c r="B274" t="str">
        <f t="shared" si="62"/>
        <v>HH270</v>
      </c>
      <c r="C274" t="s">
        <v>62</v>
      </c>
      <c r="D274">
        <v>8</v>
      </c>
      <c r="E274">
        <v>0</v>
      </c>
      <c r="F274">
        <v>8</v>
      </c>
      <c r="G274" s="4">
        <v>21300</v>
      </c>
      <c r="H274">
        <v>102</v>
      </c>
      <c r="I274" t="s">
        <v>67</v>
      </c>
      <c r="J274" s="4">
        <v>6098</v>
      </c>
      <c r="K274">
        <v>102</v>
      </c>
      <c r="L274">
        <f>'KRWSIP_Program_Baseline Data'!H275</f>
        <v>10.199999999999999</v>
      </c>
      <c r="M274">
        <v>0</v>
      </c>
      <c r="P274" s="5"/>
      <c r="V274" t="str">
        <f t="shared" si="63"/>
        <v/>
      </c>
    </row>
    <row r="275" spans="2:22" x14ac:dyDescent="0.3">
      <c r="B275" t="str">
        <f t="shared" si="62"/>
        <v>HH271</v>
      </c>
      <c r="C275" t="s">
        <v>64</v>
      </c>
      <c r="D275">
        <v>3</v>
      </c>
      <c r="E275">
        <v>0</v>
      </c>
      <c r="F275">
        <v>3</v>
      </c>
      <c r="G275" s="4">
        <v>31521</v>
      </c>
      <c r="H275">
        <v>71</v>
      </c>
      <c r="I275" t="s">
        <v>67</v>
      </c>
      <c r="J275" s="4">
        <v>4541</v>
      </c>
      <c r="K275">
        <v>71</v>
      </c>
      <c r="L275">
        <f>'KRWSIP_Program_Baseline Data'!H276</f>
        <v>0.5</v>
      </c>
      <c r="M275">
        <v>0</v>
      </c>
      <c r="P275" s="5"/>
      <c r="V275" t="str">
        <f t="shared" si="63"/>
        <v/>
      </c>
    </row>
    <row r="276" spans="2:22" x14ac:dyDescent="0.3">
      <c r="B276" t="str">
        <f t="shared" si="62"/>
        <v>HH272</v>
      </c>
      <c r="C276" t="s">
        <v>65</v>
      </c>
      <c r="D276">
        <v>2</v>
      </c>
      <c r="E276">
        <v>0</v>
      </c>
      <c r="F276">
        <v>2</v>
      </c>
      <c r="G276" s="4">
        <v>23475</v>
      </c>
      <c r="H276">
        <v>64</v>
      </c>
      <c r="I276" t="s">
        <v>67</v>
      </c>
      <c r="J276" s="4">
        <v>4341</v>
      </c>
      <c r="K276">
        <v>64</v>
      </c>
      <c r="L276">
        <f>'KRWSIP_Program_Baseline Data'!H277</f>
        <v>6.5</v>
      </c>
      <c r="M276">
        <v>0</v>
      </c>
      <c r="P276" s="5"/>
      <c r="V276" t="str">
        <f t="shared" si="63"/>
        <v/>
      </c>
    </row>
    <row r="277" spans="2:22" x14ac:dyDescent="0.3">
      <c r="B277" t="str">
        <f t="shared" si="62"/>
        <v>HH273</v>
      </c>
      <c r="C277" t="s">
        <v>64</v>
      </c>
      <c r="D277">
        <v>6</v>
      </c>
      <c r="E277">
        <v>0</v>
      </c>
      <c r="F277">
        <v>6</v>
      </c>
      <c r="G277" s="4">
        <v>21594</v>
      </c>
      <c r="H277">
        <v>88</v>
      </c>
      <c r="I277" t="s">
        <v>68</v>
      </c>
      <c r="J277" s="4">
        <v>4600</v>
      </c>
      <c r="K277">
        <v>88</v>
      </c>
      <c r="L277">
        <f>'KRWSIP_Program_Baseline Data'!H278</f>
        <v>13.6</v>
      </c>
      <c r="M277">
        <v>0</v>
      </c>
      <c r="P277" s="5"/>
      <c r="V277" t="str">
        <f t="shared" si="63"/>
        <v/>
      </c>
    </row>
    <row r="278" spans="2:22" x14ac:dyDescent="0.3">
      <c r="B278" t="str">
        <f t="shared" si="62"/>
        <v>HH274</v>
      </c>
      <c r="C278" t="s">
        <v>62</v>
      </c>
      <c r="D278">
        <v>4</v>
      </c>
      <c r="E278">
        <v>0</v>
      </c>
      <c r="F278">
        <v>4</v>
      </c>
      <c r="G278" s="4">
        <v>41069</v>
      </c>
      <c r="H278">
        <v>24</v>
      </c>
      <c r="I278" t="s">
        <v>68</v>
      </c>
      <c r="J278" s="4">
        <v>5327</v>
      </c>
      <c r="K278">
        <v>24</v>
      </c>
      <c r="L278">
        <f>'KRWSIP_Program_Baseline Data'!H279</f>
        <v>10.199999999999999</v>
      </c>
      <c r="M278">
        <v>0</v>
      </c>
      <c r="P278" s="5"/>
      <c r="V278" t="str">
        <f t="shared" si="63"/>
        <v/>
      </c>
    </row>
    <row r="279" spans="2:22" x14ac:dyDescent="0.3">
      <c r="B279" t="str">
        <f t="shared" si="62"/>
        <v>HH275</v>
      </c>
      <c r="C279" t="s">
        <v>65</v>
      </c>
      <c r="D279">
        <v>6</v>
      </c>
      <c r="E279">
        <v>0</v>
      </c>
      <c r="F279">
        <v>6</v>
      </c>
      <c r="G279" s="4">
        <v>34571</v>
      </c>
      <c r="H279">
        <v>23</v>
      </c>
      <c r="I279" t="s">
        <v>68</v>
      </c>
      <c r="J279" s="4">
        <v>4370</v>
      </c>
      <c r="K279">
        <v>23</v>
      </c>
      <c r="L279">
        <f>'KRWSIP_Program_Baseline Data'!H280</f>
        <v>10</v>
      </c>
      <c r="M279">
        <v>0</v>
      </c>
      <c r="P279" s="5"/>
      <c r="V279" t="str">
        <f t="shared" si="63"/>
        <v/>
      </c>
    </row>
    <row r="280" spans="2:22" x14ac:dyDescent="0.3">
      <c r="B280" t="str">
        <f t="shared" si="62"/>
        <v>HH276</v>
      </c>
      <c r="C280" t="s">
        <v>63</v>
      </c>
      <c r="D280">
        <v>3</v>
      </c>
      <c r="E280">
        <v>0</v>
      </c>
      <c r="F280">
        <v>3</v>
      </c>
      <c r="G280" s="4">
        <v>36009</v>
      </c>
      <c r="H280">
        <v>65</v>
      </c>
      <c r="I280" t="s">
        <v>67</v>
      </c>
      <c r="J280" s="4">
        <v>2685</v>
      </c>
      <c r="K280">
        <v>65</v>
      </c>
      <c r="L280">
        <f>'KRWSIP_Program_Baseline Data'!H281</f>
        <v>2.4</v>
      </c>
      <c r="M280">
        <v>0</v>
      </c>
      <c r="P280" s="5"/>
      <c r="V280" t="str">
        <f t="shared" si="63"/>
        <v/>
      </c>
    </row>
    <row r="281" spans="2:22" x14ac:dyDescent="0.3">
      <c r="B281" t="str">
        <f t="shared" si="62"/>
        <v>HH277</v>
      </c>
      <c r="C281" t="s">
        <v>62</v>
      </c>
      <c r="D281">
        <v>8</v>
      </c>
      <c r="E281">
        <v>0</v>
      </c>
      <c r="F281">
        <v>8</v>
      </c>
      <c r="G281" s="4">
        <v>32879</v>
      </c>
      <c r="H281">
        <v>34</v>
      </c>
      <c r="I281" t="s">
        <v>66</v>
      </c>
      <c r="J281" s="4">
        <v>5198</v>
      </c>
      <c r="K281">
        <v>34</v>
      </c>
      <c r="L281">
        <f>'KRWSIP_Program_Baseline Data'!H282</f>
        <v>6.3</v>
      </c>
      <c r="M281">
        <v>0</v>
      </c>
      <c r="P281" s="5"/>
      <c r="V281" t="str">
        <f t="shared" si="63"/>
        <v/>
      </c>
    </row>
    <row r="282" spans="2:22" x14ac:dyDescent="0.3">
      <c r="B282" t="str">
        <f t="shared" si="62"/>
        <v>HH278</v>
      </c>
      <c r="C282" t="s">
        <v>62</v>
      </c>
      <c r="D282">
        <v>7</v>
      </c>
      <c r="E282">
        <v>0</v>
      </c>
      <c r="F282">
        <v>7</v>
      </c>
      <c r="G282" s="4">
        <v>21146</v>
      </c>
      <c r="H282">
        <v>88</v>
      </c>
      <c r="I282" t="s">
        <v>67</v>
      </c>
      <c r="J282" s="4">
        <v>4290</v>
      </c>
      <c r="K282">
        <v>88</v>
      </c>
      <c r="L282">
        <f>'KRWSIP_Program_Baseline Data'!H283</f>
        <v>9.6</v>
      </c>
      <c r="M282">
        <v>0</v>
      </c>
      <c r="P282" s="5"/>
      <c r="V282" t="str">
        <f t="shared" si="63"/>
        <v/>
      </c>
    </row>
    <row r="283" spans="2:22" x14ac:dyDescent="0.3">
      <c r="B283" t="str">
        <f t="shared" si="62"/>
        <v>HH279</v>
      </c>
      <c r="C283" t="s">
        <v>63</v>
      </c>
      <c r="D283">
        <v>8</v>
      </c>
      <c r="E283">
        <v>0</v>
      </c>
      <c r="F283">
        <v>8</v>
      </c>
      <c r="G283" s="4">
        <v>33208</v>
      </c>
      <c r="H283">
        <v>33</v>
      </c>
      <c r="I283" t="s">
        <v>67</v>
      </c>
      <c r="J283" s="4">
        <v>5848</v>
      </c>
      <c r="K283">
        <v>33</v>
      </c>
      <c r="L283">
        <f>'KRWSIP_Program_Baseline Data'!H284</f>
        <v>4.5</v>
      </c>
      <c r="M283">
        <v>0</v>
      </c>
      <c r="P283" s="5"/>
      <c r="V283" t="str">
        <f t="shared" si="63"/>
        <v/>
      </c>
    </row>
    <row r="284" spans="2:22" x14ac:dyDescent="0.3">
      <c r="B284" t="str">
        <f t="shared" si="62"/>
        <v>HH280</v>
      </c>
      <c r="C284" t="s">
        <v>65</v>
      </c>
      <c r="D284">
        <v>3</v>
      </c>
      <c r="E284">
        <v>0</v>
      </c>
      <c r="F284">
        <v>3</v>
      </c>
      <c r="G284" s="4">
        <v>31148</v>
      </c>
      <c r="H284">
        <v>99</v>
      </c>
      <c r="I284" t="s">
        <v>67</v>
      </c>
      <c r="J284" s="4">
        <v>4073</v>
      </c>
      <c r="K284">
        <v>99</v>
      </c>
      <c r="L284">
        <f>'KRWSIP_Program_Baseline Data'!H285</f>
        <v>0.5</v>
      </c>
      <c r="M284">
        <v>0</v>
      </c>
      <c r="P284" s="5"/>
      <c r="V284" t="str">
        <f t="shared" si="63"/>
        <v/>
      </c>
    </row>
    <row r="285" spans="2:22" x14ac:dyDescent="0.3">
      <c r="B285" t="str">
        <f t="shared" si="62"/>
        <v>HH281</v>
      </c>
      <c r="C285" t="s">
        <v>62</v>
      </c>
      <c r="D285">
        <v>3</v>
      </c>
      <c r="E285">
        <v>0</v>
      </c>
      <c r="F285">
        <v>3</v>
      </c>
      <c r="G285" s="4">
        <v>30092</v>
      </c>
      <c r="H285">
        <v>46</v>
      </c>
      <c r="I285" t="s">
        <v>69</v>
      </c>
      <c r="J285" s="4">
        <v>2726</v>
      </c>
      <c r="K285">
        <v>46</v>
      </c>
      <c r="L285">
        <f>'KRWSIP_Program_Baseline Data'!H286</f>
        <v>14.8</v>
      </c>
      <c r="M285">
        <v>0</v>
      </c>
      <c r="P285" s="5"/>
      <c r="V285" t="str">
        <f t="shared" si="63"/>
        <v/>
      </c>
    </row>
    <row r="286" spans="2:22" x14ac:dyDescent="0.3">
      <c r="B286" t="str">
        <f t="shared" si="62"/>
        <v>HH282</v>
      </c>
      <c r="C286" t="s">
        <v>62</v>
      </c>
      <c r="D286">
        <v>5</v>
      </c>
      <c r="E286">
        <v>0</v>
      </c>
      <c r="F286">
        <v>5</v>
      </c>
      <c r="G286" s="4">
        <v>30071</v>
      </c>
      <c r="H286">
        <v>25</v>
      </c>
      <c r="I286" t="s">
        <v>67</v>
      </c>
      <c r="J286" s="4">
        <v>4954</v>
      </c>
      <c r="K286">
        <v>25</v>
      </c>
      <c r="L286">
        <f>'KRWSIP_Program_Baseline Data'!H287</f>
        <v>4.5</v>
      </c>
      <c r="M286">
        <v>0</v>
      </c>
      <c r="P286" s="5"/>
      <c r="V286" t="str">
        <f t="shared" si="63"/>
        <v/>
      </c>
    </row>
    <row r="287" spans="2:22" x14ac:dyDescent="0.3">
      <c r="B287" t="str">
        <f t="shared" si="62"/>
        <v>HH283</v>
      </c>
      <c r="C287" t="s">
        <v>64</v>
      </c>
      <c r="D287">
        <v>3</v>
      </c>
      <c r="E287">
        <v>0</v>
      </c>
      <c r="F287">
        <v>3</v>
      </c>
      <c r="G287" s="4">
        <v>27685</v>
      </c>
      <c r="H287">
        <v>87</v>
      </c>
      <c r="I287" t="s">
        <v>67</v>
      </c>
      <c r="J287" s="4">
        <v>3372</v>
      </c>
      <c r="K287">
        <v>87</v>
      </c>
      <c r="L287">
        <f>'KRWSIP_Program_Baseline Data'!H288</f>
        <v>11.5</v>
      </c>
      <c r="M287">
        <v>0</v>
      </c>
      <c r="P287" s="5"/>
      <c r="V287" t="str">
        <f t="shared" si="63"/>
        <v/>
      </c>
    </row>
    <row r="288" spans="2:22" x14ac:dyDescent="0.3">
      <c r="B288" t="str">
        <f t="shared" si="62"/>
        <v>HH284</v>
      </c>
      <c r="C288" t="s">
        <v>63</v>
      </c>
      <c r="D288">
        <v>6</v>
      </c>
      <c r="E288">
        <v>0</v>
      </c>
      <c r="F288">
        <v>6</v>
      </c>
      <c r="G288" s="4">
        <v>21616</v>
      </c>
      <c r="H288">
        <v>116</v>
      </c>
      <c r="I288" t="s">
        <v>67</v>
      </c>
      <c r="J288" s="4">
        <v>5826</v>
      </c>
      <c r="K288">
        <v>116</v>
      </c>
      <c r="L288">
        <f>'KRWSIP_Program_Baseline Data'!H289</f>
        <v>2.8</v>
      </c>
      <c r="M288">
        <v>0</v>
      </c>
      <c r="P288" s="5"/>
      <c r="V288" t="str">
        <f t="shared" si="63"/>
        <v/>
      </c>
    </row>
    <row r="289" spans="2:22" x14ac:dyDescent="0.3">
      <c r="B289" t="str">
        <f t="shared" si="62"/>
        <v>HH285</v>
      </c>
      <c r="C289" t="s">
        <v>63</v>
      </c>
      <c r="D289">
        <v>7</v>
      </c>
      <c r="E289">
        <v>0</v>
      </c>
      <c r="F289">
        <v>7</v>
      </c>
      <c r="G289" s="4">
        <v>30291</v>
      </c>
      <c r="H289">
        <v>16</v>
      </c>
      <c r="I289" t="s">
        <v>67</v>
      </c>
      <c r="J289" s="4">
        <v>4440</v>
      </c>
      <c r="K289">
        <v>16</v>
      </c>
      <c r="L289">
        <f>'KRWSIP_Program_Baseline Data'!H290</f>
        <v>9.1999999999999993</v>
      </c>
      <c r="M289">
        <v>0</v>
      </c>
      <c r="P289" s="5"/>
      <c r="V289" t="str">
        <f t="shared" si="63"/>
        <v/>
      </c>
    </row>
    <row r="290" spans="2:22" x14ac:dyDescent="0.3">
      <c r="B290" t="str">
        <f t="shared" si="62"/>
        <v>HH286</v>
      </c>
      <c r="C290" t="s">
        <v>65</v>
      </c>
      <c r="D290">
        <v>5</v>
      </c>
      <c r="E290">
        <v>0</v>
      </c>
      <c r="F290">
        <v>5</v>
      </c>
      <c r="G290" s="4">
        <v>32256</v>
      </c>
      <c r="H290">
        <v>22</v>
      </c>
      <c r="I290" t="s">
        <v>69</v>
      </c>
      <c r="J290" s="4">
        <v>5449</v>
      </c>
      <c r="K290">
        <v>22</v>
      </c>
      <c r="L290">
        <f>'KRWSIP_Program_Baseline Data'!H291</f>
        <v>9.4</v>
      </c>
      <c r="M290">
        <v>0</v>
      </c>
      <c r="P290" s="5"/>
      <c r="V290" t="str">
        <f t="shared" si="63"/>
        <v/>
      </c>
    </row>
    <row r="291" spans="2:22" x14ac:dyDescent="0.3">
      <c r="B291" t="str">
        <f t="shared" si="62"/>
        <v>HH287</v>
      </c>
      <c r="C291" t="s">
        <v>65</v>
      </c>
      <c r="D291">
        <v>7</v>
      </c>
      <c r="E291">
        <v>0</v>
      </c>
      <c r="F291">
        <v>7</v>
      </c>
      <c r="G291" s="4">
        <v>21232</v>
      </c>
      <c r="H291">
        <v>84</v>
      </c>
      <c r="I291" t="s">
        <v>68</v>
      </c>
      <c r="J291" s="4">
        <v>5213</v>
      </c>
      <c r="K291">
        <v>84</v>
      </c>
      <c r="L291">
        <f>'KRWSIP_Program_Baseline Data'!H292</f>
        <v>10.199999999999999</v>
      </c>
      <c r="M291">
        <v>0</v>
      </c>
      <c r="P291" s="5"/>
      <c r="V291" t="str">
        <f t="shared" si="63"/>
        <v/>
      </c>
    </row>
    <row r="292" spans="2:22" x14ac:dyDescent="0.3">
      <c r="B292" t="str">
        <f t="shared" si="62"/>
        <v>HH288</v>
      </c>
      <c r="C292" t="s">
        <v>62</v>
      </c>
      <c r="D292">
        <v>5</v>
      </c>
      <c r="E292">
        <v>0</v>
      </c>
      <c r="F292">
        <v>5</v>
      </c>
      <c r="G292" s="4">
        <v>40980</v>
      </c>
      <c r="H292">
        <v>50</v>
      </c>
      <c r="I292" t="s">
        <v>69</v>
      </c>
      <c r="J292" s="4">
        <v>4083</v>
      </c>
      <c r="K292">
        <v>50</v>
      </c>
      <c r="L292">
        <f>'KRWSIP_Program_Baseline Data'!H293</f>
        <v>3.7</v>
      </c>
      <c r="M292">
        <v>0</v>
      </c>
      <c r="P292" s="5"/>
      <c r="V292" t="str">
        <f t="shared" si="63"/>
        <v/>
      </c>
    </row>
    <row r="293" spans="2:22" x14ac:dyDescent="0.3">
      <c r="B293" t="str">
        <f t="shared" si="62"/>
        <v>HH289</v>
      </c>
      <c r="C293" t="s">
        <v>62</v>
      </c>
      <c r="D293">
        <v>6</v>
      </c>
      <c r="E293">
        <v>0</v>
      </c>
      <c r="F293">
        <v>6</v>
      </c>
      <c r="G293" s="4">
        <v>28075</v>
      </c>
      <c r="H293">
        <v>20</v>
      </c>
      <c r="I293" t="s">
        <v>68</v>
      </c>
      <c r="J293" s="4">
        <v>5679</v>
      </c>
      <c r="K293">
        <v>20</v>
      </c>
      <c r="L293">
        <f>'KRWSIP_Program_Baseline Data'!H294</f>
        <v>9.3000000000000007</v>
      </c>
      <c r="M293">
        <v>0</v>
      </c>
      <c r="P293" s="5"/>
      <c r="V293" t="str">
        <f t="shared" si="63"/>
        <v/>
      </c>
    </row>
    <row r="294" spans="2:22" x14ac:dyDescent="0.3">
      <c r="B294" t="str">
        <f t="shared" si="62"/>
        <v>HH290</v>
      </c>
      <c r="C294" t="s">
        <v>64</v>
      </c>
      <c r="D294">
        <v>4</v>
      </c>
      <c r="E294">
        <v>0</v>
      </c>
      <c r="F294">
        <v>4</v>
      </c>
      <c r="G294" s="4">
        <v>20848</v>
      </c>
      <c r="H294">
        <v>55</v>
      </c>
      <c r="I294" t="s">
        <v>68</v>
      </c>
      <c r="J294" s="4">
        <v>3287</v>
      </c>
      <c r="K294">
        <v>55</v>
      </c>
      <c r="L294">
        <f>'KRWSIP_Program_Baseline Data'!H295</f>
        <v>4.5999999999999996</v>
      </c>
      <c r="M294">
        <v>0</v>
      </c>
      <c r="P294" s="5"/>
      <c r="V294" t="str">
        <f t="shared" si="63"/>
        <v/>
      </c>
    </row>
    <row r="295" spans="2:22" x14ac:dyDescent="0.3">
      <c r="B295" t="str">
        <f t="shared" si="62"/>
        <v>HH291</v>
      </c>
      <c r="C295" t="s">
        <v>63</v>
      </c>
      <c r="D295">
        <v>3</v>
      </c>
      <c r="E295">
        <v>0</v>
      </c>
      <c r="F295">
        <v>3</v>
      </c>
      <c r="G295" s="4">
        <v>20830</v>
      </c>
      <c r="H295">
        <v>51</v>
      </c>
      <c r="I295" t="s">
        <v>68</v>
      </c>
      <c r="J295" s="4">
        <v>3963</v>
      </c>
      <c r="K295">
        <v>51</v>
      </c>
      <c r="L295">
        <f>'KRWSIP_Program_Baseline Data'!H296</f>
        <v>4.4000000000000004</v>
      </c>
      <c r="M295">
        <v>0</v>
      </c>
      <c r="P295" s="5"/>
      <c r="V295" t="str">
        <f t="shared" si="63"/>
        <v/>
      </c>
    </row>
    <row r="296" spans="2:22" x14ac:dyDescent="0.3">
      <c r="B296" t="str">
        <f t="shared" si="62"/>
        <v>HH292</v>
      </c>
      <c r="C296" t="s">
        <v>64</v>
      </c>
      <c r="D296">
        <v>6</v>
      </c>
      <c r="E296">
        <v>0</v>
      </c>
      <c r="F296">
        <v>6</v>
      </c>
      <c r="G296" s="4">
        <v>14074</v>
      </c>
      <c r="H296">
        <v>56</v>
      </c>
      <c r="I296" t="s">
        <v>69</v>
      </c>
      <c r="J296" s="4">
        <v>4662</v>
      </c>
      <c r="K296">
        <v>56</v>
      </c>
      <c r="L296">
        <f>'KRWSIP_Program_Baseline Data'!H297</f>
        <v>3.5</v>
      </c>
      <c r="M296">
        <v>0</v>
      </c>
      <c r="P296" s="5"/>
      <c r="V296" t="str">
        <f t="shared" ref="V296:V327" si="64">IF($M296=1,G296,"")</f>
        <v/>
      </c>
    </row>
    <row r="297" spans="2:22" x14ac:dyDescent="0.3">
      <c r="B297" t="str">
        <f t="shared" si="62"/>
        <v>HH293</v>
      </c>
      <c r="C297" t="s">
        <v>65</v>
      </c>
      <c r="D297">
        <v>7</v>
      </c>
      <c r="E297">
        <v>0</v>
      </c>
      <c r="F297">
        <v>7</v>
      </c>
      <c r="G297" s="4">
        <v>34866</v>
      </c>
      <c r="H297">
        <v>109</v>
      </c>
      <c r="I297" t="s">
        <v>69</v>
      </c>
      <c r="J297" s="4">
        <v>6348</v>
      </c>
      <c r="K297">
        <v>109</v>
      </c>
      <c r="L297">
        <f>'KRWSIP_Program_Baseline Data'!H298</f>
        <v>6</v>
      </c>
      <c r="M297">
        <v>0</v>
      </c>
      <c r="P297" s="5"/>
      <c r="V297" t="str">
        <f t="shared" si="64"/>
        <v/>
      </c>
    </row>
    <row r="298" spans="2:22" x14ac:dyDescent="0.3">
      <c r="B298" t="str">
        <f t="shared" si="62"/>
        <v>HH294</v>
      </c>
      <c r="C298" t="s">
        <v>63</v>
      </c>
      <c r="D298">
        <v>6</v>
      </c>
      <c r="E298">
        <v>0</v>
      </c>
      <c r="F298">
        <v>6</v>
      </c>
      <c r="G298" s="4">
        <v>35600</v>
      </c>
      <c r="H298">
        <v>15</v>
      </c>
      <c r="I298" t="s">
        <v>69</v>
      </c>
      <c r="J298" s="4">
        <v>4363</v>
      </c>
      <c r="K298">
        <v>15</v>
      </c>
      <c r="L298">
        <f>'KRWSIP_Program_Baseline Data'!H299</f>
        <v>11.8</v>
      </c>
      <c r="M298">
        <v>0</v>
      </c>
      <c r="P298" s="5"/>
      <c r="V298" t="str">
        <f t="shared" si="64"/>
        <v/>
      </c>
    </row>
    <row r="299" spans="2:22" x14ac:dyDescent="0.3">
      <c r="B299" t="str">
        <f t="shared" si="62"/>
        <v>HH295</v>
      </c>
      <c r="C299" t="s">
        <v>63</v>
      </c>
      <c r="D299">
        <v>7</v>
      </c>
      <c r="E299">
        <v>0</v>
      </c>
      <c r="F299">
        <v>7</v>
      </c>
      <c r="G299" s="4">
        <v>34739</v>
      </c>
      <c r="H299">
        <v>45</v>
      </c>
      <c r="I299" t="s">
        <v>69</v>
      </c>
      <c r="J299" s="4">
        <v>4632</v>
      </c>
      <c r="K299">
        <v>45</v>
      </c>
      <c r="L299">
        <f>'KRWSIP_Program_Baseline Data'!H300</f>
        <v>6.5</v>
      </c>
      <c r="M299">
        <v>0</v>
      </c>
      <c r="P299" s="5"/>
      <c r="V299" t="str">
        <f t="shared" si="64"/>
        <v/>
      </c>
    </row>
    <row r="300" spans="2:22" x14ac:dyDescent="0.3">
      <c r="B300" t="str">
        <f t="shared" si="62"/>
        <v>HH296</v>
      </c>
      <c r="C300" t="s">
        <v>65</v>
      </c>
      <c r="D300">
        <v>7</v>
      </c>
      <c r="E300">
        <v>0</v>
      </c>
      <c r="F300">
        <v>7</v>
      </c>
      <c r="G300" s="4">
        <v>23424</v>
      </c>
      <c r="H300">
        <v>41</v>
      </c>
      <c r="I300" t="s">
        <v>67</v>
      </c>
      <c r="J300" s="4">
        <v>5350</v>
      </c>
      <c r="K300">
        <v>41</v>
      </c>
      <c r="L300">
        <f>'KRWSIP_Program_Baseline Data'!H301</f>
        <v>2.1</v>
      </c>
      <c r="M300">
        <v>0</v>
      </c>
      <c r="P300" s="5"/>
      <c r="V300" t="str">
        <f t="shared" si="64"/>
        <v/>
      </c>
    </row>
    <row r="301" spans="2:22" x14ac:dyDescent="0.3">
      <c r="B301" t="str">
        <f t="shared" si="62"/>
        <v>HH297</v>
      </c>
      <c r="C301" t="s">
        <v>63</v>
      </c>
      <c r="D301">
        <v>4</v>
      </c>
      <c r="E301">
        <v>0</v>
      </c>
      <c r="F301">
        <v>4</v>
      </c>
      <c r="G301" s="4">
        <v>27598</v>
      </c>
      <c r="H301">
        <v>80</v>
      </c>
      <c r="I301" t="s">
        <v>67</v>
      </c>
      <c r="J301" s="4">
        <v>2948</v>
      </c>
      <c r="K301">
        <v>80</v>
      </c>
      <c r="L301">
        <f>'KRWSIP_Program_Baseline Data'!H302</f>
        <v>8.3000000000000007</v>
      </c>
      <c r="M301">
        <v>0</v>
      </c>
      <c r="P301" s="5"/>
      <c r="V301" t="str">
        <f t="shared" si="64"/>
        <v/>
      </c>
    </row>
    <row r="302" spans="2:22" x14ac:dyDescent="0.3">
      <c r="B302" t="str">
        <f t="shared" si="62"/>
        <v>HH298</v>
      </c>
      <c r="C302" t="s">
        <v>64</v>
      </c>
      <c r="D302">
        <v>3</v>
      </c>
      <c r="E302">
        <v>0</v>
      </c>
      <c r="F302">
        <v>3</v>
      </c>
      <c r="G302" s="4">
        <v>28572</v>
      </c>
      <c r="H302">
        <v>53</v>
      </c>
      <c r="I302" t="s">
        <v>67</v>
      </c>
      <c r="J302" s="4">
        <v>4538</v>
      </c>
      <c r="K302">
        <v>53</v>
      </c>
      <c r="L302">
        <f>'KRWSIP_Program_Baseline Data'!H303</f>
        <v>8.1999999999999993</v>
      </c>
      <c r="M302">
        <v>0</v>
      </c>
      <c r="P302" s="5"/>
      <c r="V302" t="str">
        <f t="shared" si="64"/>
        <v/>
      </c>
    </row>
    <row r="303" spans="2:22" x14ac:dyDescent="0.3">
      <c r="B303" t="str">
        <f t="shared" si="62"/>
        <v>HH299</v>
      </c>
      <c r="C303" t="s">
        <v>63</v>
      </c>
      <c r="D303">
        <v>6</v>
      </c>
      <c r="E303">
        <v>0</v>
      </c>
      <c r="F303">
        <v>6</v>
      </c>
      <c r="G303" s="4">
        <v>30066</v>
      </c>
      <c r="H303">
        <v>49</v>
      </c>
      <c r="I303" t="s">
        <v>69</v>
      </c>
      <c r="J303" s="4">
        <v>3954</v>
      </c>
      <c r="K303">
        <v>49</v>
      </c>
      <c r="L303">
        <f>'KRWSIP_Program_Baseline Data'!H304</f>
        <v>1.4</v>
      </c>
      <c r="M303">
        <v>0</v>
      </c>
      <c r="P303" s="5"/>
      <c r="V303" t="str">
        <f t="shared" si="64"/>
        <v/>
      </c>
    </row>
    <row r="304" spans="2:22" x14ac:dyDescent="0.3">
      <c r="B304" t="str">
        <f t="shared" si="62"/>
        <v>HH300</v>
      </c>
      <c r="C304" t="s">
        <v>63</v>
      </c>
      <c r="D304">
        <v>6</v>
      </c>
      <c r="E304">
        <v>0</v>
      </c>
      <c r="F304">
        <v>6</v>
      </c>
      <c r="G304" s="4">
        <v>23259</v>
      </c>
      <c r="H304">
        <v>69</v>
      </c>
      <c r="I304" t="s">
        <v>68</v>
      </c>
      <c r="J304" s="4">
        <v>5435</v>
      </c>
      <c r="K304">
        <v>69</v>
      </c>
      <c r="L304">
        <f>'KRWSIP_Program_Baseline Data'!H305</f>
        <v>5.5</v>
      </c>
      <c r="M304">
        <v>0</v>
      </c>
      <c r="P304" s="5"/>
      <c r="V304" t="str">
        <f t="shared" si="64"/>
        <v/>
      </c>
    </row>
    <row r="305" spans="2:22" x14ac:dyDescent="0.3">
      <c r="B305" t="str">
        <f t="shared" si="62"/>
        <v>HH301</v>
      </c>
      <c r="C305" t="s">
        <v>65</v>
      </c>
      <c r="D305">
        <v>5</v>
      </c>
      <c r="E305">
        <v>0</v>
      </c>
      <c r="F305">
        <v>5</v>
      </c>
      <c r="G305" s="4">
        <v>45974</v>
      </c>
      <c r="H305">
        <v>96</v>
      </c>
      <c r="I305" t="s">
        <v>67</v>
      </c>
      <c r="J305" s="4">
        <v>4600</v>
      </c>
      <c r="K305">
        <v>96</v>
      </c>
      <c r="L305">
        <f>'KRWSIP_Program_Baseline Data'!H306</f>
        <v>2.2000000000000002</v>
      </c>
      <c r="M305">
        <v>0</v>
      </c>
      <c r="P305" s="5"/>
      <c r="V305" t="str">
        <f t="shared" si="64"/>
        <v/>
      </c>
    </row>
    <row r="306" spans="2:22" x14ac:dyDescent="0.3">
      <c r="B306" t="str">
        <f t="shared" si="62"/>
        <v>HH302</v>
      </c>
      <c r="C306" t="s">
        <v>63</v>
      </c>
      <c r="D306">
        <v>3</v>
      </c>
      <c r="E306">
        <v>0</v>
      </c>
      <c r="F306">
        <v>3</v>
      </c>
      <c r="G306" s="4">
        <v>37000</v>
      </c>
      <c r="H306">
        <v>23</v>
      </c>
      <c r="I306" t="s">
        <v>67</v>
      </c>
      <c r="J306" s="4">
        <v>3837</v>
      </c>
      <c r="K306">
        <v>23</v>
      </c>
      <c r="L306">
        <f>'KRWSIP_Program_Baseline Data'!H307</f>
        <v>15</v>
      </c>
      <c r="M306">
        <v>0</v>
      </c>
      <c r="P306" s="5"/>
      <c r="V306" t="str">
        <f t="shared" si="64"/>
        <v/>
      </c>
    </row>
    <row r="307" spans="2:22" x14ac:dyDescent="0.3">
      <c r="B307" t="str">
        <f t="shared" si="62"/>
        <v>HH303</v>
      </c>
      <c r="C307" t="s">
        <v>65</v>
      </c>
      <c r="D307">
        <v>8</v>
      </c>
      <c r="E307">
        <v>0</v>
      </c>
      <c r="F307">
        <v>8</v>
      </c>
      <c r="G307" s="4">
        <v>31558</v>
      </c>
      <c r="H307">
        <v>46</v>
      </c>
      <c r="I307" t="s">
        <v>66</v>
      </c>
      <c r="J307" s="4">
        <v>6487</v>
      </c>
      <c r="K307">
        <v>46</v>
      </c>
      <c r="L307">
        <f>'KRWSIP_Program_Baseline Data'!H308</f>
        <v>10.9</v>
      </c>
      <c r="M307">
        <v>0</v>
      </c>
      <c r="P307" s="5"/>
      <c r="V307" t="str">
        <f t="shared" si="64"/>
        <v/>
      </c>
    </row>
    <row r="308" spans="2:22" x14ac:dyDescent="0.3">
      <c r="B308" t="str">
        <f t="shared" si="62"/>
        <v>HH304</v>
      </c>
      <c r="C308" t="s">
        <v>62</v>
      </c>
      <c r="D308">
        <v>6</v>
      </c>
      <c r="E308">
        <v>0</v>
      </c>
      <c r="F308">
        <v>6</v>
      </c>
      <c r="G308" s="4">
        <v>38958</v>
      </c>
      <c r="H308">
        <v>60</v>
      </c>
      <c r="I308" t="s">
        <v>67</v>
      </c>
      <c r="J308" s="4">
        <v>5124</v>
      </c>
      <c r="K308">
        <v>60</v>
      </c>
      <c r="L308">
        <f>'KRWSIP_Program_Baseline Data'!H309</f>
        <v>14.6</v>
      </c>
      <c r="M308">
        <v>0</v>
      </c>
      <c r="P308" s="5"/>
      <c r="V308" t="str">
        <f t="shared" si="64"/>
        <v/>
      </c>
    </row>
    <row r="309" spans="2:22" x14ac:dyDescent="0.3">
      <c r="B309" t="str">
        <f t="shared" si="62"/>
        <v>HH305</v>
      </c>
      <c r="C309" t="s">
        <v>64</v>
      </c>
      <c r="D309">
        <v>4</v>
      </c>
      <c r="E309">
        <v>0</v>
      </c>
      <c r="F309">
        <v>4</v>
      </c>
      <c r="G309" s="4">
        <v>18641</v>
      </c>
      <c r="H309">
        <v>59</v>
      </c>
      <c r="I309" t="s">
        <v>68</v>
      </c>
      <c r="J309" s="4">
        <v>4432</v>
      </c>
      <c r="K309">
        <v>59</v>
      </c>
      <c r="L309">
        <f>'KRWSIP_Program_Baseline Data'!H310</f>
        <v>7.1</v>
      </c>
      <c r="M309">
        <v>0</v>
      </c>
      <c r="P309" s="5"/>
      <c r="V309" t="str">
        <f t="shared" si="64"/>
        <v/>
      </c>
    </row>
    <row r="310" spans="2:22" x14ac:dyDescent="0.3">
      <c r="B310" t="str">
        <f t="shared" si="62"/>
        <v>HH306</v>
      </c>
      <c r="C310" t="s">
        <v>65</v>
      </c>
      <c r="D310">
        <v>6</v>
      </c>
      <c r="E310">
        <v>0</v>
      </c>
      <c r="F310">
        <v>6</v>
      </c>
      <c r="G310" s="4">
        <v>28026</v>
      </c>
      <c r="H310">
        <v>82</v>
      </c>
      <c r="I310" t="s">
        <v>68</v>
      </c>
      <c r="J310" s="4">
        <v>4219</v>
      </c>
      <c r="K310">
        <v>82</v>
      </c>
      <c r="L310">
        <f>'KRWSIP_Program_Baseline Data'!H311</f>
        <v>2</v>
      </c>
      <c r="M310">
        <v>0</v>
      </c>
      <c r="P310" s="5"/>
      <c r="V310" t="str">
        <f t="shared" si="64"/>
        <v/>
      </c>
    </row>
    <row r="311" spans="2:22" x14ac:dyDescent="0.3">
      <c r="B311" t="str">
        <f t="shared" si="62"/>
        <v>HH307</v>
      </c>
      <c r="C311" t="s">
        <v>62</v>
      </c>
      <c r="D311">
        <v>8</v>
      </c>
      <c r="E311">
        <v>0</v>
      </c>
      <c r="F311">
        <v>8</v>
      </c>
      <c r="G311" s="4">
        <v>32886</v>
      </c>
      <c r="H311">
        <v>66</v>
      </c>
      <c r="I311" t="s">
        <v>69</v>
      </c>
      <c r="J311" s="4">
        <v>4647</v>
      </c>
      <c r="K311">
        <v>66</v>
      </c>
      <c r="L311">
        <f>'KRWSIP_Program_Baseline Data'!H312</f>
        <v>10.8</v>
      </c>
      <c r="M311">
        <v>0</v>
      </c>
      <c r="P311" s="5"/>
      <c r="V311" t="str">
        <f t="shared" si="64"/>
        <v/>
      </c>
    </row>
    <row r="312" spans="2:22" x14ac:dyDescent="0.3">
      <c r="B312" t="str">
        <f t="shared" si="62"/>
        <v>HH308</v>
      </c>
      <c r="C312" t="s">
        <v>64</v>
      </c>
      <c r="D312">
        <v>6</v>
      </c>
      <c r="E312">
        <v>0</v>
      </c>
      <c r="F312">
        <v>6</v>
      </c>
      <c r="G312" s="4">
        <v>37377</v>
      </c>
      <c r="H312">
        <v>17</v>
      </c>
      <c r="I312" t="s">
        <v>68</v>
      </c>
      <c r="J312" s="4">
        <v>5393</v>
      </c>
      <c r="K312">
        <v>17</v>
      </c>
      <c r="L312">
        <f>'KRWSIP_Program_Baseline Data'!H313</f>
        <v>6</v>
      </c>
      <c r="M312">
        <v>0</v>
      </c>
      <c r="P312" s="5"/>
      <c r="V312" t="str">
        <f t="shared" si="64"/>
        <v/>
      </c>
    </row>
    <row r="313" spans="2:22" x14ac:dyDescent="0.3">
      <c r="B313" t="str">
        <f t="shared" si="62"/>
        <v>HH309</v>
      </c>
      <c r="C313" t="s">
        <v>62</v>
      </c>
      <c r="D313">
        <v>5</v>
      </c>
      <c r="E313">
        <v>0</v>
      </c>
      <c r="F313">
        <v>5</v>
      </c>
      <c r="G313" s="4">
        <v>26637</v>
      </c>
      <c r="H313">
        <v>88</v>
      </c>
      <c r="I313" t="s">
        <v>69</v>
      </c>
      <c r="J313" s="4">
        <v>4770</v>
      </c>
      <c r="K313">
        <v>88</v>
      </c>
      <c r="L313">
        <f>'KRWSIP_Program_Baseline Data'!H314</f>
        <v>12.3</v>
      </c>
      <c r="M313">
        <v>0</v>
      </c>
      <c r="P313" s="5"/>
      <c r="V313" t="str">
        <f t="shared" si="64"/>
        <v/>
      </c>
    </row>
    <row r="314" spans="2:22" x14ac:dyDescent="0.3">
      <c r="B314" t="str">
        <f t="shared" si="62"/>
        <v>HH310</v>
      </c>
      <c r="C314" t="s">
        <v>65</v>
      </c>
      <c r="D314">
        <v>6</v>
      </c>
      <c r="E314">
        <v>0</v>
      </c>
      <c r="F314">
        <v>6</v>
      </c>
      <c r="G314" s="4">
        <v>45875</v>
      </c>
      <c r="H314">
        <v>60</v>
      </c>
      <c r="I314" t="s">
        <v>69</v>
      </c>
      <c r="J314" s="4">
        <v>5937</v>
      </c>
      <c r="K314">
        <v>60</v>
      </c>
      <c r="L314">
        <f>'KRWSIP_Program_Baseline Data'!H315</f>
        <v>5.8</v>
      </c>
      <c r="M314">
        <v>0</v>
      </c>
      <c r="P314" s="5"/>
      <c r="V314" t="str">
        <f t="shared" si="64"/>
        <v/>
      </c>
    </row>
    <row r="315" spans="2:22" x14ac:dyDescent="0.3">
      <c r="B315" t="str">
        <f t="shared" si="62"/>
        <v>HH311</v>
      </c>
      <c r="C315" t="s">
        <v>63</v>
      </c>
      <c r="D315">
        <v>8</v>
      </c>
      <c r="E315">
        <v>0</v>
      </c>
      <c r="F315">
        <v>8</v>
      </c>
      <c r="G315" s="4">
        <v>30702</v>
      </c>
      <c r="H315">
        <v>32</v>
      </c>
      <c r="I315" t="s">
        <v>69</v>
      </c>
      <c r="J315" s="4">
        <v>5930</v>
      </c>
      <c r="K315">
        <v>32</v>
      </c>
      <c r="L315">
        <f>'KRWSIP_Program_Baseline Data'!H316</f>
        <v>2.9</v>
      </c>
      <c r="M315">
        <v>0</v>
      </c>
      <c r="P315" s="5"/>
      <c r="V315" t="str">
        <f t="shared" si="64"/>
        <v/>
      </c>
    </row>
    <row r="316" spans="2:22" x14ac:dyDescent="0.3">
      <c r="B316" t="str">
        <f t="shared" si="62"/>
        <v>HH312</v>
      </c>
      <c r="C316" t="s">
        <v>64</v>
      </c>
      <c r="D316">
        <v>8</v>
      </c>
      <c r="E316">
        <v>0</v>
      </c>
      <c r="F316">
        <v>8</v>
      </c>
      <c r="G316" s="4">
        <v>39292</v>
      </c>
      <c r="H316">
        <v>114</v>
      </c>
      <c r="I316" t="s">
        <v>68</v>
      </c>
      <c r="J316" s="4">
        <v>4787</v>
      </c>
      <c r="K316">
        <v>114</v>
      </c>
      <c r="L316">
        <f>'KRWSIP_Program_Baseline Data'!H317</f>
        <v>7.1</v>
      </c>
      <c r="M316">
        <v>0</v>
      </c>
      <c r="P316" s="5"/>
      <c r="V316" t="str">
        <f t="shared" si="64"/>
        <v/>
      </c>
    </row>
    <row r="317" spans="2:22" x14ac:dyDescent="0.3">
      <c r="B317" t="str">
        <f t="shared" si="62"/>
        <v>HH313</v>
      </c>
      <c r="C317" t="s">
        <v>65</v>
      </c>
      <c r="D317">
        <v>8</v>
      </c>
      <c r="E317">
        <v>0</v>
      </c>
      <c r="F317">
        <v>8</v>
      </c>
      <c r="G317" s="4">
        <v>33071</v>
      </c>
      <c r="H317">
        <v>86</v>
      </c>
      <c r="I317" t="s">
        <v>67</v>
      </c>
      <c r="J317" s="4">
        <v>5736</v>
      </c>
      <c r="K317">
        <v>86</v>
      </c>
      <c r="L317">
        <f>'KRWSIP_Program_Baseline Data'!H318</f>
        <v>8.6</v>
      </c>
      <c r="M317">
        <v>0</v>
      </c>
      <c r="P317" s="5"/>
      <c r="V317" t="str">
        <f t="shared" si="64"/>
        <v/>
      </c>
    </row>
    <row r="318" spans="2:22" x14ac:dyDescent="0.3">
      <c r="B318" t="str">
        <f t="shared" si="62"/>
        <v>HH314</v>
      </c>
      <c r="C318" t="s">
        <v>64</v>
      </c>
      <c r="D318">
        <v>5</v>
      </c>
      <c r="E318">
        <v>0</v>
      </c>
      <c r="F318">
        <v>5</v>
      </c>
      <c r="G318" s="4">
        <v>22866</v>
      </c>
      <c r="H318">
        <v>106</v>
      </c>
      <c r="I318" t="s">
        <v>68</v>
      </c>
      <c r="J318" s="4">
        <v>4167</v>
      </c>
      <c r="K318">
        <v>106</v>
      </c>
      <c r="L318">
        <f>'KRWSIP_Program_Baseline Data'!H319</f>
        <v>5.9</v>
      </c>
      <c r="M318">
        <v>0</v>
      </c>
      <c r="P318" s="5"/>
      <c r="V318" t="str">
        <f t="shared" si="64"/>
        <v/>
      </c>
    </row>
    <row r="319" spans="2:22" x14ac:dyDescent="0.3">
      <c r="B319" t="str">
        <f t="shared" si="62"/>
        <v>HH315</v>
      </c>
      <c r="C319" t="s">
        <v>63</v>
      </c>
      <c r="D319">
        <v>2</v>
      </c>
      <c r="E319">
        <v>0</v>
      </c>
      <c r="F319">
        <v>2</v>
      </c>
      <c r="G319" s="4">
        <v>32929</v>
      </c>
      <c r="H319">
        <v>104</v>
      </c>
      <c r="I319" t="s">
        <v>68</v>
      </c>
      <c r="J319" s="4">
        <v>3185</v>
      </c>
      <c r="K319">
        <v>104</v>
      </c>
      <c r="L319">
        <f>'KRWSIP_Program_Baseline Data'!H320</f>
        <v>1.8</v>
      </c>
      <c r="M319">
        <v>0</v>
      </c>
      <c r="P319" s="5"/>
      <c r="V319" t="str">
        <f t="shared" si="64"/>
        <v/>
      </c>
    </row>
    <row r="320" spans="2:22" x14ac:dyDescent="0.3">
      <c r="B320" t="str">
        <f t="shared" si="62"/>
        <v>HH316</v>
      </c>
      <c r="C320" t="s">
        <v>65</v>
      </c>
      <c r="D320">
        <v>4</v>
      </c>
      <c r="E320">
        <v>0</v>
      </c>
      <c r="F320">
        <v>4</v>
      </c>
      <c r="G320" s="4">
        <v>25641</v>
      </c>
      <c r="H320">
        <v>32</v>
      </c>
      <c r="I320" t="s">
        <v>67</v>
      </c>
      <c r="J320" s="4">
        <v>4004</v>
      </c>
      <c r="K320">
        <v>32</v>
      </c>
      <c r="L320">
        <f>'KRWSIP_Program_Baseline Data'!H321</f>
        <v>5.8</v>
      </c>
      <c r="M320">
        <v>0</v>
      </c>
      <c r="P320" s="5"/>
      <c r="V320" t="str">
        <f t="shared" si="64"/>
        <v/>
      </c>
    </row>
    <row r="321" spans="2:22" x14ac:dyDescent="0.3">
      <c r="B321" t="str">
        <f t="shared" si="62"/>
        <v>HH317</v>
      </c>
      <c r="C321" t="s">
        <v>65</v>
      </c>
      <c r="D321">
        <v>5</v>
      </c>
      <c r="E321">
        <v>0</v>
      </c>
      <c r="F321">
        <v>5</v>
      </c>
      <c r="G321" s="4">
        <v>33356</v>
      </c>
      <c r="H321">
        <v>56</v>
      </c>
      <c r="I321" t="s">
        <v>68</v>
      </c>
      <c r="J321" s="4">
        <v>5031</v>
      </c>
      <c r="K321">
        <v>56</v>
      </c>
      <c r="L321">
        <f>'KRWSIP_Program_Baseline Data'!H322</f>
        <v>4.8</v>
      </c>
      <c r="M321">
        <v>0</v>
      </c>
      <c r="P321" s="5"/>
      <c r="V321" t="str">
        <f t="shared" si="64"/>
        <v/>
      </c>
    </row>
    <row r="322" spans="2:22" x14ac:dyDescent="0.3">
      <c r="B322" t="str">
        <f t="shared" si="62"/>
        <v>HH318</v>
      </c>
      <c r="C322" t="s">
        <v>62</v>
      </c>
      <c r="D322">
        <v>5</v>
      </c>
      <c r="E322">
        <v>0</v>
      </c>
      <c r="F322">
        <v>5</v>
      </c>
      <c r="G322" s="4">
        <v>15163</v>
      </c>
      <c r="H322">
        <v>36</v>
      </c>
      <c r="I322" t="s">
        <v>68</v>
      </c>
      <c r="J322" s="4">
        <v>3877</v>
      </c>
      <c r="K322">
        <v>36</v>
      </c>
      <c r="L322">
        <f>'KRWSIP_Program_Baseline Data'!H323</f>
        <v>14.6</v>
      </c>
      <c r="M322">
        <v>0</v>
      </c>
      <c r="P322" s="5"/>
      <c r="V322" t="str">
        <f t="shared" si="64"/>
        <v/>
      </c>
    </row>
    <row r="323" spans="2:22" x14ac:dyDescent="0.3">
      <c r="B323" t="str">
        <f t="shared" si="62"/>
        <v>HH319</v>
      </c>
      <c r="C323" t="s">
        <v>65</v>
      </c>
      <c r="D323">
        <v>3</v>
      </c>
      <c r="E323">
        <v>0</v>
      </c>
      <c r="F323">
        <v>3</v>
      </c>
      <c r="G323" s="4">
        <v>45334</v>
      </c>
      <c r="H323">
        <v>73</v>
      </c>
      <c r="I323" t="s">
        <v>69</v>
      </c>
      <c r="J323" s="4">
        <v>4822</v>
      </c>
      <c r="K323">
        <v>73</v>
      </c>
      <c r="L323">
        <f>'KRWSIP_Program_Baseline Data'!H324</f>
        <v>10.1</v>
      </c>
      <c r="M323">
        <v>0</v>
      </c>
      <c r="P323" s="5"/>
      <c r="V323" t="str">
        <f t="shared" si="64"/>
        <v/>
      </c>
    </row>
    <row r="324" spans="2:22" x14ac:dyDescent="0.3">
      <c r="B324" t="str">
        <f t="shared" si="62"/>
        <v>HH320</v>
      </c>
      <c r="C324" t="s">
        <v>65</v>
      </c>
      <c r="D324">
        <v>4</v>
      </c>
      <c r="E324">
        <v>0</v>
      </c>
      <c r="F324">
        <v>4</v>
      </c>
      <c r="G324" s="4">
        <v>31617</v>
      </c>
      <c r="H324">
        <v>15</v>
      </c>
      <c r="I324" t="s">
        <v>68</v>
      </c>
      <c r="J324" s="4">
        <v>5501</v>
      </c>
      <c r="K324">
        <v>15</v>
      </c>
      <c r="L324">
        <f>'KRWSIP_Program_Baseline Data'!H325</f>
        <v>3.7</v>
      </c>
      <c r="M324">
        <v>0</v>
      </c>
      <c r="P324" s="5"/>
      <c r="V324" t="str">
        <f t="shared" si="64"/>
        <v/>
      </c>
    </row>
    <row r="325" spans="2:22" x14ac:dyDescent="0.3">
      <c r="B325" t="str">
        <f t="shared" si="62"/>
        <v>HH321</v>
      </c>
      <c r="C325" t="s">
        <v>64</v>
      </c>
      <c r="D325">
        <v>5</v>
      </c>
      <c r="E325">
        <v>0</v>
      </c>
      <c r="F325">
        <v>5</v>
      </c>
      <c r="G325" s="4">
        <v>27347</v>
      </c>
      <c r="H325">
        <v>94</v>
      </c>
      <c r="I325" t="s">
        <v>69</v>
      </c>
      <c r="J325" s="4">
        <v>3540</v>
      </c>
      <c r="K325">
        <v>94</v>
      </c>
      <c r="L325">
        <f>'KRWSIP_Program_Baseline Data'!H326</f>
        <v>10.1</v>
      </c>
      <c r="M325">
        <v>0</v>
      </c>
      <c r="P325" s="5"/>
      <c r="V325" t="str">
        <f t="shared" si="64"/>
        <v/>
      </c>
    </row>
    <row r="326" spans="2:22" x14ac:dyDescent="0.3">
      <c r="B326" t="str">
        <f t="shared" ref="B326:B389" si="65">"HH"&amp;TEXT(ROW()-4, "000")</f>
        <v>HH322</v>
      </c>
      <c r="C326" t="s">
        <v>65</v>
      </c>
      <c r="D326">
        <v>7</v>
      </c>
      <c r="E326">
        <v>0</v>
      </c>
      <c r="F326">
        <v>7</v>
      </c>
      <c r="G326" s="4">
        <v>32302</v>
      </c>
      <c r="H326">
        <v>27</v>
      </c>
      <c r="I326" t="s">
        <v>68</v>
      </c>
      <c r="J326" s="4">
        <v>4872</v>
      </c>
      <c r="K326">
        <v>27</v>
      </c>
      <c r="L326">
        <f>'KRWSIP_Program_Baseline Data'!H327</f>
        <v>1.9</v>
      </c>
      <c r="M326">
        <v>0</v>
      </c>
      <c r="P326" s="5"/>
      <c r="V326" t="str">
        <f t="shared" si="64"/>
        <v/>
      </c>
    </row>
    <row r="327" spans="2:22" x14ac:dyDescent="0.3">
      <c r="B327" t="str">
        <f t="shared" si="65"/>
        <v>HH323</v>
      </c>
      <c r="C327" t="s">
        <v>63</v>
      </c>
      <c r="D327">
        <v>8</v>
      </c>
      <c r="E327">
        <v>0</v>
      </c>
      <c r="F327">
        <v>8</v>
      </c>
      <c r="G327" s="4">
        <v>39919</v>
      </c>
      <c r="H327">
        <v>50</v>
      </c>
      <c r="I327" t="s">
        <v>68</v>
      </c>
      <c r="J327" s="4">
        <v>6518</v>
      </c>
      <c r="K327">
        <v>50</v>
      </c>
      <c r="L327">
        <f>'KRWSIP_Program_Baseline Data'!H328</f>
        <v>0.5</v>
      </c>
      <c r="M327">
        <v>0</v>
      </c>
      <c r="P327" s="5"/>
      <c r="V327" t="str">
        <f t="shared" si="64"/>
        <v/>
      </c>
    </row>
    <row r="328" spans="2:22" x14ac:dyDescent="0.3">
      <c r="B328" t="str">
        <f t="shared" si="65"/>
        <v>HH324</v>
      </c>
      <c r="C328" t="s">
        <v>64</v>
      </c>
      <c r="D328">
        <v>4</v>
      </c>
      <c r="E328">
        <v>0</v>
      </c>
      <c r="F328">
        <v>4</v>
      </c>
      <c r="G328" s="4">
        <v>28503</v>
      </c>
      <c r="H328">
        <v>45</v>
      </c>
      <c r="I328" t="s">
        <v>68</v>
      </c>
      <c r="J328" s="4">
        <v>3587</v>
      </c>
      <c r="K328">
        <v>45</v>
      </c>
      <c r="L328">
        <f>'KRWSIP_Program_Baseline Data'!H329</f>
        <v>9.5</v>
      </c>
      <c r="M328">
        <v>0</v>
      </c>
      <c r="P328" s="5"/>
      <c r="V328" t="str">
        <f t="shared" ref="V328:V359" si="66">IF($M328=1,G328,"")</f>
        <v/>
      </c>
    </row>
    <row r="329" spans="2:22" x14ac:dyDescent="0.3">
      <c r="B329" t="str">
        <f t="shared" si="65"/>
        <v>HH325</v>
      </c>
      <c r="C329" t="s">
        <v>63</v>
      </c>
      <c r="D329">
        <v>3</v>
      </c>
      <c r="E329">
        <v>0</v>
      </c>
      <c r="F329">
        <v>3</v>
      </c>
      <c r="G329" s="4">
        <v>26173</v>
      </c>
      <c r="H329">
        <v>45</v>
      </c>
      <c r="I329" t="s">
        <v>68</v>
      </c>
      <c r="J329" s="4">
        <v>4035</v>
      </c>
      <c r="K329">
        <v>45</v>
      </c>
      <c r="L329">
        <f>'KRWSIP_Program_Baseline Data'!H330</f>
        <v>8.9</v>
      </c>
      <c r="M329">
        <v>0</v>
      </c>
      <c r="P329" s="5"/>
      <c r="V329" t="str">
        <f t="shared" si="66"/>
        <v/>
      </c>
    </row>
    <row r="330" spans="2:22" x14ac:dyDescent="0.3">
      <c r="B330" t="str">
        <f t="shared" si="65"/>
        <v>HH326</v>
      </c>
      <c r="C330" t="s">
        <v>65</v>
      </c>
      <c r="D330">
        <v>7</v>
      </c>
      <c r="E330">
        <v>0</v>
      </c>
      <c r="F330">
        <v>7</v>
      </c>
      <c r="G330" s="4">
        <v>40416</v>
      </c>
      <c r="H330">
        <v>85</v>
      </c>
      <c r="I330" t="s">
        <v>68</v>
      </c>
      <c r="J330" s="4">
        <v>5540</v>
      </c>
      <c r="K330">
        <v>85</v>
      </c>
      <c r="L330">
        <f>'KRWSIP_Program_Baseline Data'!H331</f>
        <v>10.5</v>
      </c>
      <c r="M330">
        <v>0</v>
      </c>
      <c r="P330" s="5"/>
      <c r="V330" t="str">
        <f t="shared" si="66"/>
        <v/>
      </c>
    </row>
    <row r="331" spans="2:22" x14ac:dyDescent="0.3">
      <c r="B331" t="str">
        <f t="shared" si="65"/>
        <v>HH327</v>
      </c>
      <c r="C331" t="s">
        <v>62</v>
      </c>
      <c r="D331">
        <v>8</v>
      </c>
      <c r="E331">
        <v>0</v>
      </c>
      <c r="F331">
        <v>8</v>
      </c>
      <c r="G331" s="4">
        <v>25180</v>
      </c>
      <c r="H331">
        <v>67</v>
      </c>
      <c r="I331" t="s">
        <v>69</v>
      </c>
      <c r="J331" s="4">
        <v>6459</v>
      </c>
      <c r="K331">
        <v>67</v>
      </c>
      <c r="L331">
        <f>'KRWSIP_Program_Baseline Data'!H332</f>
        <v>8</v>
      </c>
      <c r="M331">
        <v>0</v>
      </c>
      <c r="P331" s="5"/>
      <c r="V331" t="str">
        <f t="shared" si="66"/>
        <v/>
      </c>
    </row>
    <row r="332" spans="2:22" x14ac:dyDescent="0.3">
      <c r="B332" t="str">
        <f t="shared" si="65"/>
        <v>HH328</v>
      </c>
      <c r="C332" t="s">
        <v>65</v>
      </c>
      <c r="D332">
        <v>4</v>
      </c>
      <c r="E332">
        <v>0</v>
      </c>
      <c r="F332">
        <v>4</v>
      </c>
      <c r="G332" s="4">
        <v>30610</v>
      </c>
      <c r="H332">
        <v>16</v>
      </c>
      <c r="I332" t="s">
        <v>69</v>
      </c>
      <c r="J332" s="4">
        <v>4805</v>
      </c>
      <c r="K332">
        <v>16</v>
      </c>
      <c r="L332">
        <f>'KRWSIP_Program_Baseline Data'!H333</f>
        <v>9.6</v>
      </c>
      <c r="M332">
        <v>0</v>
      </c>
      <c r="P332" s="5"/>
      <c r="V332" t="str">
        <f t="shared" si="66"/>
        <v/>
      </c>
    </row>
    <row r="333" spans="2:22" x14ac:dyDescent="0.3">
      <c r="B333" t="str">
        <f t="shared" si="65"/>
        <v>HH329</v>
      </c>
      <c r="C333" t="s">
        <v>64</v>
      </c>
      <c r="D333">
        <v>8</v>
      </c>
      <c r="E333">
        <v>0</v>
      </c>
      <c r="F333">
        <v>8</v>
      </c>
      <c r="G333" s="4">
        <v>46962</v>
      </c>
      <c r="H333">
        <v>39</v>
      </c>
      <c r="I333" t="s">
        <v>66</v>
      </c>
      <c r="J333" s="4">
        <v>4671</v>
      </c>
      <c r="K333">
        <v>39</v>
      </c>
      <c r="L333">
        <f>'KRWSIP_Program_Baseline Data'!H334</f>
        <v>13.5</v>
      </c>
      <c r="M333">
        <v>0</v>
      </c>
      <c r="P333" s="5"/>
      <c r="V333" t="str">
        <f t="shared" si="66"/>
        <v/>
      </c>
    </row>
    <row r="334" spans="2:22" x14ac:dyDescent="0.3">
      <c r="B334" t="str">
        <f t="shared" si="65"/>
        <v>HH330</v>
      </c>
      <c r="C334" t="s">
        <v>64</v>
      </c>
      <c r="D334">
        <v>8</v>
      </c>
      <c r="E334">
        <v>0</v>
      </c>
      <c r="F334">
        <v>8</v>
      </c>
      <c r="G334" s="4">
        <v>40174</v>
      </c>
      <c r="H334">
        <v>15</v>
      </c>
      <c r="I334" t="s">
        <v>68</v>
      </c>
      <c r="J334" s="4">
        <v>7028</v>
      </c>
      <c r="K334">
        <v>15</v>
      </c>
      <c r="L334">
        <f>'KRWSIP_Program_Baseline Data'!H335</f>
        <v>3.5</v>
      </c>
      <c r="M334">
        <v>0</v>
      </c>
      <c r="P334" s="5"/>
      <c r="V334" t="str">
        <f t="shared" si="66"/>
        <v/>
      </c>
    </row>
    <row r="335" spans="2:22" x14ac:dyDescent="0.3">
      <c r="B335" t="str">
        <f t="shared" si="65"/>
        <v>HH331</v>
      </c>
      <c r="C335" t="s">
        <v>64</v>
      </c>
      <c r="D335">
        <v>2</v>
      </c>
      <c r="E335">
        <v>0</v>
      </c>
      <c r="F335">
        <v>2</v>
      </c>
      <c r="G335" s="4">
        <v>36795</v>
      </c>
      <c r="H335">
        <v>59</v>
      </c>
      <c r="I335" t="s">
        <v>68</v>
      </c>
      <c r="J335" s="4">
        <v>4189</v>
      </c>
      <c r="K335">
        <v>59</v>
      </c>
      <c r="L335">
        <f>'KRWSIP_Program_Baseline Data'!H336</f>
        <v>8.8000000000000007</v>
      </c>
      <c r="M335">
        <v>0</v>
      </c>
      <c r="P335" s="5"/>
      <c r="V335" t="str">
        <f t="shared" si="66"/>
        <v/>
      </c>
    </row>
    <row r="336" spans="2:22" x14ac:dyDescent="0.3">
      <c r="B336" t="str">
        <f t="shared" si="65"/>
        <v>HH332</v>
      </c>
      <c r="C336" t="s">
        <v>62</v>
      </c>
      <c r="D336">
        <v>5</v>
      </c>
      <c r="E336">
        <v>0</v>
      </c>
      <c r="F336">
        <v>5</v>
      </c>
      <c r="G336" s="4">
        <v>37569</v>
      </c>
      <c r="H336">
        <v>25</v>
      </c>
      <c r="I336" t="s">
        <v>69</v>
      </c>
      <c r="J336" s="4">
        <v>4150</v>
      </c>
      <c r="K336">
        <v>25</v>
      </c>
      <c r="L336">
        <f>'KRWSIP_Program_Baseline Data'!H337</f>
        <v>0.8</v>
      </c>
      <c r="M336">
        <v>0</v>
      </c>
      <c r="P336" s="5"/>
      <c r="V336" t="str">
        <f t="shared" si="66"/>
        <v/>
      </c>
    </row>
    <row r="337" spans="2:22" x14ac:dyDescent="0.3">
      <c r="B337" t="str">
        <f t="shared" si="65"/>
        <v>HH333</v>
      </c>
      <c r="C337" t="s">
        <v>65</v>
      </c>
      <c r="D337">
        <v>4</v>
      </c>
      <c r="E337">
        <v>0</v>
      </c>
      <c r="F337">
        <v>4</v>
      </c>
      <c r="G337" s="4">
        <v>34993</v>
      </c>
      <c r="H337">
        <v>90</v>
      </c>
      <c r="I337" t="s">
        <v>69</v>
      </c>
      <c r="J337" s="4">
        <v>4191</v>
      </c>
      <c r="K337">
        <v>90</v>
      </c>
      <c r="L337">
        <f>'KRWSIP_Program_Baseline Data'!H338</f>
        <v>8.3000000000000007</v>
      </c>
      <c r="M337">
        <v>0</v>
      </c>
      <c r="P337" s="5"/>
      <c r="V337" t="str">
        <f t="shared" si="66"/>
        <v/>
      </c>
    </row>
    <row r="338" spans="2:22" x14ac:dyDescent="0.3">
      <c r="B338" t="str">
        <f t="shared" si="65"/>
        <v>HH334</v>
      </c>
      <c r="C338" t="s">
        <v>65</v>
      </c>
      <c r="D338">
        <v>3</v>
      </c>
      <c r="E338">
        <v>0</v>
      </c>
      <c r="F338">
        <v>3</v>
      </c>
      <c r="G338" s="4">
        <v>15301</v>
      </c>
      <c r="H338">
        <v>27</v>
      </c>
      <c r="I338" t="s">
        <v>67</v>
      </c>
      <c r="J338" s="4">
        <v>4986</v>
      </c>
      <c r="K338">
        <v>27</v>
      </c>
      <c r="L338">
        <f>'KRWSIP_Program_Baseline Data'!H339</f>
        <v>8.1999999999999993</v>
      </c>
      <c r="M338">
        <v>0</v>
      </c>
      <c r="P338" s="5"/>
      <c r="V338" t="str">
        <f t="shared" si="66"/>
        <v/>
      </c>
    </row>
    <row r="339" spans="2:22" x14ac:dyDescent="0.3">
      <c r="B339" t="str">
        <f t="shared" si="65"/>
        <v>HH335</v>
      </c>
      <c r="C339" t="s">
        <v>63</v>
      </c>
      <c r="D339">
        <v>4</v>
      </c>
      <c r="E339">
        <v>0</v>
      </c>
      <c r="F339">
        <v>4</v>
      </c>
      <c r="G339" s="4">
        <v>3822</v>
      </c>
      <c r="H339">
        <v>61</v>
      </c>
      <c r="I339" t="s">
        <v>68</v>
      </c>
      <c r="J339" s="4">
        <v>3513</v>
      </c>
      <c r="K339">
        <v>61</v>
      </c>
      <c r="L339">
        <f>'KRWSIP_Program_Baseline Data'!H340</f>
        <v>11.9</v>
      </c>
      <c r="M339">
        <v>0</v>
      </c>
      <c r="P339" s="5"/>
      <c r="V339" t="str">
        <f t="shared" si="66"/>
        <v/>
      </c>
    </row>
    <row r="340" spans="2:22" x14ac:dyDescent="0.3">
      <c r="B340" t="str">
        <f t="shared" si="65"/>
        <v>HH336</v>
      </c>
      <c r="C340" t="s">
        <v>65</v>
      </c>
      <c r="D340">
        <v>8</v>
      </c>
      <c r="E340">
        <v>0</v>
      </c>
      <c r="F340">
        <v>8</v>
      </c>
      <c r="G340" s="4">
        <v>24123</v>
      </c>
      <c r="H340">
        <v>109</v>
      </c>
      <c r="I340" t="s">
        <v>67</v>
      </c>
      <c r="J340" s="4">
        <v>5379</v>
      </c>
      <c r="K340">
        <v>109</v>
      </c>
      <c r="L340">
        <f>'KRWSIP_Program_Baseline Data'!H341</f>
        <v>1</v>
      </c>
      <c r="M340">
        <v>0</v>
      </c>
      <c r="P340" s="5"/>
      <c r="V340" t="str">
        <f t="shared" si="66"/>
        <v/>
      </c>
    </row>
    <row r="341" spans="2:22" x14ac:dyDescent="0.3">
      <c r="B341" t="str">
        <f t="shared" si="65"/>
        <v>HH337</v>
      </c>
      <c r="C341" t="s">
        <v>63</v>
      </c>
      <c r="D341">
        <v>8</v>
      </c>
      <c r="E341">
        <v>0</v>
      </c>
      <c r="F341">
        <v>8</v>
      </c>
      <c r="G341" s="4">
        <v>22665</v>
      </c>
      <c r="H341">
        <v>71</v>
      </c>
      <c r="I341" t="s">
        <v>68</v>
      </c>
      <c r="J341" s="4">
        <v>5647</v>
      </c>
      <c r="K341">
        <v>71</v>
      </c>
      <c r="L341">
        <f>'KRWSIP_Program_Baseline Data'!H342</f>
        <v>0.9</v>
      </c>
      <c r="M341">
        <v>0</v>
      </c>
      <c r="P341" s="5"/>
      <c r="V341" t="str">
        <f t="shared" si="66"/>
        <v/>
      </c>
    </row>
    <row r="342" spans="2:22" x14ac:dyDescent="0.3">
      <c r="B342" t="str">
        <f t="shared" si="65"/>
        <v>HH338</v>
      </c>
      <c r="C342" t="s">
        <v>65</v>
      </c>
      <c r="D342">
        <v>8</v>
      </c>
      <c r="E342">
        <v>0</v>
      </c>
      <c r="F342">
        <v>8</v>
      </c>
      <c r="G342" s="4">
        <v>30282</v>
      </c>
      <c r="H342">
        <v>102</v>
      </c>
      <c r="I342" t="s">
        <v>67</v>
      </c>
      <c r="J342" s="4">
        <v>4887</v>
      </c>
      <c r="K342">
        <v>102</v>
      </c>
      <c r="L342">
        <f>'KRWSIP_Program_Baseline Data'!H343</f>
        <v>6.2</v>
      </c>
      <c r="M342">
        <v>0</v>
      </c>
      <c r="P342" s="5"/>
      <c r="V342" t="str">
        <f t="shared" si="66"/>
        <v/>
      </c>
    </row>
    <row r="343" spans="2:22" x14ac:dyDescent="0.3">
      <c r="B343" t="str">
        <f t="shared" si="65"/>
        <v>HH339</v>
      </c>
      <c r="C343" t="s">
        <v>65</v>
      </c>
      <c r="D343">
        <v>5</v>
      </c>
      <c r="E343">
        <v>0</v>
      </c>
      <c r="F343">
        <v>5</v>
      </c>
      <c r="G343" s="4">
        <v>17971</v>
      </c>
      <c r="H343">
        <v>88</v>
      </c>
      <c r="I343" t="s">
        <v>66</v>
      </c>
      <c r="J343" s="4">
        <v>4797</v>
      </c>
      <c r="K343">
        <v>88</v>
      </c>
      <c r="L343">
        <f>'KRWSIP_Program_Baseline Data'!H344</f>
        <v>1.5</v>
      </c>
      <c r="M343">
        <v>0</v>
      </c>
      <c r="P343" s="5"/>
      <c r="V343" t="str">
        <f t="shared" si="66"/>
        <v/>
      </c>
    </row>
    <row r="344" spans="2:22" x14ac:dyDescent="0.3">
      <c r="B344" t="str">
        <f t="shared" si="65"/>
        <v>HH340</v>
      </c>
      <c r="C344" t="s">
        <v>62</v>
      </c>
      <c r="D344">
        <v>5</v>
      </c>
      <c r="E344">
        <v>0</v>
      </c>
      <c r="F344">
        <v>5</v>
      </c>
      <c r="G344" s="4">
        <v>24891</v>
      </c>
      <c r="H344">
        <v>87</v>
      </c>
      <c r="I344" t="s">
        <v>67</v>
      </c>
      <c r="J344" s="4">
        <v>5028</v>
      </c>
      <c r="K344">
        <v>87</v>
      </c>
      <c r="L344">
        <f>'KRWSIP_Program_Baseline Data'!H345</f>
        <v>10.6</v>
      </c>
      <c r="M344">
        <v>0</v>
      </c>
      <c r="P344" s="5"/>
      <c r="V344" t="str">
        <f t="shared" si="66"/>
        <v/>
      </c>
    </row>
    <row r="345" spans="2:22" x14ac:dyDescent="0.3">
      <c r="B345" t="str">
        <f t="shared" si="65"/>
        <v>HH341</v>
      </c>
      <c r="C345" t="s">
        <v>63</v>
      </c>
      <c r="D345">
        <v>8</v>
      </c>
      <c r="E345">
        <v>0</v>
      </c>
      <c r="F345">
        <v>8</v>
      </c>
      <c r="G345" s="4">
        <v>23802</v>
      </c>
      <c r="H345">
        <v>91</v>
      </c>
      <c r="I345" t="s">
        <v>69</v>
      </c>
      <c r="J345" s="4">
        <v>4866</v>
      </c>
      <c r="K345">
        <v>91</v>
      </c>
      <c r="L345">
        <f>'KRWSIP_Program_Baseline Data'!H346</f>
        <v>7.9</v>
      </c>
      <c r="M345">
        <v>0</v>
      </c>
      <c r="P345" s="5"/>
      <c r="V345" t="str">
        <f t="shared" si="66"/>
        <v/>
      </c>
    </row>
    <row r="346" spans="2:22" x14ac:dyDescent="0.3">
      <c r="B346" t="str">
        <f t="shared" si="65"/>
        <v>HH342</v>
      </c>
      <c r="C346" t="s">
        <v>62</v>
      </c>
      <c r="D346">
        <v>8</v>
      </c>
      <c r="E346">
        <v>0</v>
      </c>
      <c r="F346">
        <v>8</v>
      </c>
      <c r="G346" s="4">
        <v>14157</v>
      </c>
      <c r="H346">
        <v>52</v>
      </c>
      <c r="I346" t="s">
        <v>66</v>
      </c>
      <c r="J346" s="4">
        <v>4923</v>
      </c>
      <c r="K346">
        <v>52</v>
      </c>
      <c r="L346">
        <f>'KRWSIP_Program_Baseline Data'!H347</f>
        <v>12.9</v>
      </c>
      <c r="M346">
        <v>0</v>
      </c>
      <c r="P346" s="5"/>
      <c r="V346" t="str">
        <f t="shared" si="66"/>
        <v/>
      </c>
    </row>
    <row r="347" spans="2:22" x14ac:dyDescent="0.3">
      <c r="B347" t="str">
        <f t="shared" si="65"/>
        <v>HH343</v>
      </c>
      <c r="C347" t="s">
        <v>65</v>
      </c>
      <c r="D347">
        <v>6</v>
      </c>
      <c r="E347">
        <v>0</v>
      </c>
      <c r="F347">
        <v>6</v>
      </c>
      <c r="G347" s="4">
        <v>32393</v>
      </c>
      <c r="H347">
        <v>73</v>
      </c>
      <c r="I347" t="s">
        <v>68</v>
      </c>
      <c r="J347" s="4">
        <v>5797</v>
      </c>
      <c r="K347">
        <v>73</v>
      </c>
      <c r="L347">
        <f>'KRWSIP_Program_Baseline Data'!H348</f>
        <v>2.4</v>
      </c>
      <c r="M347">
        <v>0</v>
      </c>
      <c r="P347" s="5"/>
      <c r="V347" t="str">
        <f t="shared" si="66"/>
        <v/>
      </c>
    </row>
    <row r="348" spans="2:22" x14ac:dyDescent="0.3">
      <c r="B348" t="str">
        <f t="shared" si="65"/>
        <v>HH344</v>
      </c>
      <c r="C348" t="s">
        <v>63</v>
      </c>
      <c r="D348">
        <v>3</v>
      </c>
      <c r="E348">
        <v>0</v>
      </c>
      <c r="F348">
        <v>3</v>
      </c>
      <c r="G348" s="4">
        <v>38960</v>
      </c>
      <c r="H348">
        <v>27</v>
      </c>
      <c r="I348" t="s">
        <v>68</v>
      </c>
      <c r="J348" s="4">
        <v>3478</v>
      </c>
      <c r="K348">
        <v>27</v>
      </c>
      <c r="L348">
        <f>'KRWSIP_Program_Baseline Data'!H349</f>
        <v>4.5999999999999996</v>
      </c>
      <c r="M348">
        <v>0</v>
      </c>
      <c r="P348" s="5"/>
      <c r="V348" t="str">
        <f t="shared" si="66"/>
        <v/>
      </c>
    </row>
    <row r="349" spans="2:22" x14ac:dyDescent="0.3">
      <c r="B349" t="str">
        <f t="shared" si="65"/>
        <v>HH345</v>
      </c>
      <c r="C349" t="s">
        <v>62</v>
      </c>
      <c r="D349">
        <v>8</v>
      </c>
      <c r="E349">
        <v>0</v>
      </c>
      <c r="F349">
        <v>8</v>
      </c>
      <c r="G349" s="4">
        <v>23984</v>
      </c>
      <c r="H349">
        <v>95</v>
      </c>
      <c r="I349" t="s">
        <v>66</v>
      </c>
      <c r="J349" s="4">
        <v>5117</v>
      </c>
      <c r="K349">
        <v>95</v>
      </c>
      <c r="L349">
        <f>'KRWSIP_Program_Baseline Data'!H350</f>
        <v>1.9</v>
      </c>
      <c r="M349">
        <v>0</v>
      </c>
      <c r="P349" s="5"/>
      <c r="V349" t="str">
        <f t="shared" si="66"/>
        <v/>
      </c>
    </row>
    <row r="350" spans="2:22" x14ac:dyDescent="0.3">
      <c r="B350" t="str">
        <f t="shared" si="65"/>
        <v>HH346</v>
      </c>
      <c r="C350" t="s">
        <v>62</v>
      </c>
      <c r="D350">
        <v>2</v>
      </c>
      <c r="E350">
        <v>0</v>
      </c>
      <c r="F350">
        <v>2</v>
      </c>
      <c r="G350" s="4">
        <v>20810</v>
      </c>
      <c r="H350">
        <v>91</v>
      </c>
      <c r="I350" t="s">
        <v>68</v>
      </c>
      <c r="J350" s="4">
        <v>4084</v>
      </c>
      <c r="K350">
        <v>91</v>
      </c>
      <c r="L350">
        <f>'KRWSIP_Program_Baseline Data'!H351</f>
        <v>11.5</v>
      </c>
      <c r="M350">
        <v>0</v>
      </c>
      <c r="P350" s="5"/>
      <c r="V350" t="str">
        <f t="shared" si="66"/>
        <v/>
      </c>
    </row>
    <row r="351" spans="2:22" x14ac:dyDescent="0.3">
      <c r="B351" t="str">
        <f t="shared" si="65"/>
        <v>HH347</v>
      </c>
      <c r="C351" t="s">
        <v>64</v>
      </c>
      <c r="D351">
        <v>2</v>
      </c>
      <c r="E351">
        <v>0</v>
      </c>
      <c r="F351">
        <v>2</v>
      </c>
      <c r="G351" s="4">
        <v>17932</v>
      </c>
      <c r="H351">
        <v>103</v>
      </c>
      <c r="I351" t="s">
        <v>68</v>
      </c>
      <c r="J351" s="4">
        <v>2754</v>
      </c>
      <c r="K351">
        <v>103</v>
      </c>
      <c r="L351">
        <f>'KRWSIP_Program_Baseline Data'!H352</f>
        <v>7.9</v>
      </c>
      <c r="M351">
        <v>0</v>
      </c>
      <c r="P351" s="5"/>
      <c r="V351" t="str">
        <f t="shared" si="66"/>
        <v/>
      </c>
    </row>
    <row r="352" spans="2:22" x14ac:dyDescent="0.3">
      <c r="B352" t="str">
        <f t="shared" si="65"/>
        <v>HH348</v>
      </c>
      <c r="C352" t="s">
        <v>65</v>
      </c>
      <c r="D352">
        <v>7</v>
      </c>
      <c r="E352">
        <v>0</v>
      </c>
      <c r="F352">
        <v>7</v>
      </c>
      <c r="G352" s="4">
        <v>25912</v>
      </c>
      <c r="H352">
        <v>32</v>
      </c>
      <c r="I352" t="s">
        <v>68</v>
      </c>
      <c r="J352" s="4">
        <v>6546</v>
      </c>
      <c r="K352">
        <v>32</v>
      </c>
      <c r="L352">
        <f>'KRWSIP_Program_Baseline Data'!H353</f>
        <v>3.4</v>
      </c>
      <c r="M352">
        <v>0</v>
      </c>
      <c r="P352" s="5"/>
      <c r="V352" t="str">
        <f t="shared" si="66"/>
        <v/>
      </c>
    </row>
    <row r="353" spans="2:22" x14ac:dyDescent="0.3">
      <c r="B353" t="str">
        <f t="shared" si="65"/>
        <v>HH349</v>
      </c>
      <c r="C353" t="s">
        <v>65</v>
      </c>
      <c r="D353">
        <v>7</v>
      </c>
      <c r="E353">
        <v>0</v>
      </c>
      <c r="F353">
        <v>7</v>
      </c>
      <c r="G353" s="4">
        <v>16504</v>
      </c>
      <c r="H353">
        <v>55</v>
      </c>
      <c r="I353" t="s">
        <v>67</v>
      </c>
      <c r="J353" s="4">
        <v>5642</v>
      </c>
      <c r="K353">
        <v>55</v>
      </c>
      <c r="L353">
        <f>'KRWSIP_Program_Baseline Data'!H354</f>
        <v>5.6</v>
      </c>
      <c r="M353">
        <v>0</v>
      </c>
      <c r="P353" s="5"/>
      <c r="V353" t="str">
        <f t="shared" si="66"/>
        <v/>
      </c>
    </row>
    <row r="354" spans="2:22" x14ac:dyDescent="0.3">
      <c r="B354" t="str">
        <f t="shared" si="65"/>
        <v>HH350</v>
      </c>
      <c r="C354" t="s">
        <v>63</v>
      </c>
      <c r="D354">
        <v>4</v>
      </c>
      <c r="E354">
        <v>0</v>
      </c>
      <c r="F354">
        <v>4</v>
      </c>
      <c r="G354" s="4">
        <v>20582</v>
      </c>
      <c r="H354">
        <v>68</v>
      </c>
      <c r="I354" t="s">
        <v>66</v>
      </c>
      <c r="J354" s="4">
        <v>4458</v>
      </c>
      <c r="K354">
        <v>68</v>
      </c>
      <c r="L354">
        <f>'KRWSIP_Program_Baseline Data'!H355</f>
        <v>4.8</v>
      </c>
      <c r="M354">
        <v>0</v>
      </c>
      <c r="P354" s="5"/>
      <c r="V354" t="str">
        <f t="shared" si="66"/>
        <v/>
      </c>
    </row>
    <row r="355" spans="2:22" x14ac:dyDescent="0.3">
      <c r="B355" t="str">
        <f t="shared" si="65"/>
        <v>HH351</v>
      </c>
      <c r="C355" t="s">
        <v>63</v>
      </c>
      <c r="D355">
        <v>6</v>
      </c>
      <c r="E355">
        <v>0</v>
      </c>
      <c r="F355">
        <v>6</v>
      </c>
      <c r="G355" s="4">
        <v>33012</v>
      </c>
      <c r="H355">
        <v>22</v>
      </c>
      <c r="I355" t="s">
        <v>67</v>
      </c>
      <c r="J355" s="4">
        <v>5462</v>
      </c>
      <c r="K355">
        <v>22</v>
      </c>
      <c r="L355">
        <f>'KRWSIP_Program_Baseline Data'!H356</f>
        <v>14.5</v>
      </c>
      <c r="M355">
        <v>0</v>
      </c>
      <c r="P355" s="5"/>
      <c r="V355" t="str">
        <f t="shared" si="66"/>
        <v/>
      </c>
    </row>
    <row r="356" spans="2:22" x14ac:dyDescent="0.3">
      <c r="B356" t="str">
        <f t="shared" si="65"/>
        <v>HH352</v>
      </c>
      <c r="C356" t="s">
        <v>63</v>
      </c>
      <c r="D356">
        <v>3</v>
      </c>
      <c r="E356">
        <v>0</v>
      </c>
      <c r="F356">
        <v>3</v>
      </c>
      <c r="G356" s="4">
        <v>35868</v>
      </c>
      <c r="H356">
        <v>37</v>
      </c>
      <c r="I356" t="s">
        <v>69</v>
      </c>
      <c r="J356" s="4">
        <v>3371</v>
      </c>
      <c r="K356">
        <v>37</v>
      </c>
      <c r="L356">
        <f>'KRWSIP_Program_Baseline Data'!H357</f>
        <v>6.9</v>
      </c>
      <c r="M356">
        <v>0</v>
      </c>
      <c r="P356" s="5"/>
      <c r="V356" t="str">
        <f t="shared" si="66"/>
        <v/>
      </c>
    </row>
    <row r="357" spans="2:22" x14ac:dyDescent="0.3">
      <c r="B357" t="str">
        <f t="shared" si="65"/>
        <v>HH353</v>
      </c>
      <c r="C357" t="s">
        <v>63</v>
      </c>
      <c r="D357">
        <v>6</v>
      </c>
      <c r="E357">
        <v>0</v>
      </c>
      <c r="F357">
        <v>6</v>
      </c>
      <c r="G357" s="4">
        <v>36105</v>
      </c>
      <c r="H357">
        <v>20</v>
      </c>
      <c r="I357" t="s">
        <v>68</v>
      </c>
      <c r="J357" s="4">
        <v>5323</v>
      </c>
      <c r="K357">
        <v>20</v>
      </c>
      <c r="L357">
        <f>'KRWSIP_Program_Baseline Data'!H358</f>
        <v>11.9</v>
      </c>
      <c r="M357">
        <v>0</v>
      </c>
      <c r="P357" s="5"/>
      <c r="V357" t="str">
        <f t="shared" si="66"/>
        <v/>
      </c>
    </row>
    <row r="358" spans="2:22" x14ac:dyDescent="0.3">
      <c r="B358" t="str">
        <f t="shared" si="65"/>
        <v>HH354</v>
      </c>
      <c r="C358" t="s">
        <v>65</v>
      </c>
      <c r="D358">
        <v>3</v>
      </c>
      <c r="E358">
        <v>0</v>
      </c>
      <c r="F358">
        <v>3</v>
      </c>
      <c r="G358" s="4">
        <v>26285</v>
      </c>
      <c r="H358">
        <v>58</v>
      </c>
      <c r="I358" t="s">
        <v>67</v>
      </c>
      <c r="J358" s="4">
        <v>4161</v>
      </c>
      <c r="K358">
        <v>58</v>
      </c>
      <c r="L358">
        <f>'KRWSIP_Program_Baseline Data'!H359</f>
        <v>7.6</v>
      </c>
      <c r="M358">
        <v>0</v>
      </c>
      <c r="P358" s="5"/>
      <c r="V358" t="str">
        <f t="shared" si="66"/>
        <v/>
      </c>
    </row>
    <row r="359" spans="2:22" x14ac:dyDescent="0.3">
      <c r="B359" t="str">
        <f t="shared" si="65"/>
        <v>HH355</v>
      </c>
      <c r="C359" t="s">
        <v>64</v>
      </c>
      <c r="D359">
        <v>8</v>
      </c>
      <c r="E359">
        <v>0</v>
      </c>
      <c r="F359">
        <v>8</v>
      </c>
      <c r="G359" s="4">
        <v>24838</v>
      </c>
      <c r="H359">
        <v>64</v>
      </c>
      <c r="I359" t="s">
        <v>68</v>
      </c>
      <c r="J359" s="4">
        <v>5261</v>
      </c>
      <c r="K359">
        <v>64</v>
      </c>
      <c r="L359">
        <f>'KRWSIP_Program_Baseline Data'!H360</f>
        <v>11.1</v>
      </c>
      <c r="M359">
        <v>0</v>
      </c>
      <c r="P359" s="5"/>
      <c r="V359" t="str">
        <f t="shared" si="66"/>
        <v/>
      </c>
    </row>
    <row r="360" spans="2:22" x14ac:dyDescent="0.3">
      <c r="B360" t="str">
        <f t="shared" si="65"/>
        <v>HH356</v>
      </c>
      <c r="C360" t="s">
        <v>63</v>
      </c>
      <c r="D360">
        <v>7</v>
      </c>
      <c r="E360">
        <v>0</v>
      </c>
      <c r="F360">
        <v>7</v>
      </c>
      <c r="G360" s="4">
        <v>25324</v>
      </c>
      <c r="H360">
        <v>34</v>
      </c>
      <c r="I360" t="s">
        <v>69</v>
      </c>
      <c r="J360" s="4">
        <v>4319</v>
      </c>
      <c r="K360">
        <v>34</v>
      </c>
      <c r="L360">
        <f>'KRWSIP_Program_Baseline Data'!H361</f>
        <v>8.3000000000000007</v>
      </c>
      <c r="M360">
        <v>0</v>
      </c>
      <c r="P360" s="5"/>
      <c r="V360" t="str">
        <f t="shared" ref="V360:V391" si="67">IF($M360=1,G360,"")</f>
        <v/>
      </c>
    </row>
    <row r="361" spans="2:22" x14ac:dyDescent="0.3">
      <c r="B361" t="str">
        <f t="shared" si="65"/>
        <v>HH357</v>
      </c>
      <c r="C361" t="s">
        <v>63</v>
      </c>
      <c r="D361">
        <v>8</v>
      </c>
      <c r="E361">
        <v>0</v>
      </c>
      <c r="F361">
        <v>8</v>
      </c>
      <c r="G361" s="4">
        <v>42798</v>
      </c>
      <c r="H361">
        <v>59</v>
      </c>
      <c r="I361" t="s">
        <v>69</v>
      </c>
      <c r="J361" s="4">
        <v>5464</v>
      </c>
      <c r="K361">
        <v>59</v>
      </c>
      <c r="L361">
        <f>'KRWSIP_Program_Baseline Data'!H362</f>
        <v>7.4</v>
      </c>
      <c r="M361">
        <v>0</v>
      </c>
      <c r="P361" s="5"/>
      <c r="V361" t="str">
        <f t="shared" si="67"/>
        <v/>
      </c>
    </row>
    <row r="362" spans="2:22" x14ac:dyDescent="0.3">
      <c r="B362" t="str">
        <f t="shared" si="65"/>
        <v>HH358</v>
      </c>
      <c r="C362" t="s">
        <v>64</v>
      </c>
      <c r="D362">
        <v>8</v>
      </c>
      <c r="E362">
        <v>0</v>
      </c>
      <c r="F362">
        <v>8</v>
      </c>
      <c r="G362" s="4">
        <v>25581</v>
      </c>
      <c r="H362">
        <v>95</v>
      </c>
      <c r="I362" t="s">
        <v>68</v>
      </c>
      <c r="J362" s="4">
        <v>6587</v>
      </c>
      <c r="K362">
        <v>95</v>
      </c>
      <c r="L362">
        <f>'KRWSIP_Program_Baseline Data'!H363</f>
        <v>5.0999999999999996</v>
      </c>
      <c r="M362">
        <v>0</v>
      </c>
      <c r="P362" s="5"/>
      <c r="V362" t="str">
        <f t="shared" si="67"/>
        <v/>
      </c>
    </row>
    <row r="363" spans="2:22" x14ac:dyDescent="0.3">
      <c r="B363" t="str">
        <f t="shared" si="65"/>
        <v>HH359</v>
      </c>
      <c r="C363" t="s">
        <v>65</v>
      </c>
      <c r="D363">
        <v>3</v>
      </c>
      <c r="E363">
        <v>0</v>
      </c>
      <c r="F363">
        <v>3</v>
      </c>
      <c r="G363" s="4">
        <v>32352</v>
      </c>
      <c r="H363">
        <v>57</v>
      </c>
      <c r="I363" t="s">
        <v>68</v>
      </c>
      <c r="J363" s="4">
        <v>3695</v>
      </c>
      <c r="K363">
        <v>57</v>
      </c>
      <c r="L363">
        <f>'KRWSIP_Program_Baseline Data'!H364</f>
        <v>6.9</v>
      </c>
      <c r="M363">
        <v>0</v>
      </c>
      <c r="P363" s="5"/>
      <c r="V363" t="str">
        <f t="shared" si="67"/>
        <v/>
      </c>
    </row>
    <row r="364" spans="2:22" x14ac:dyDescent="0.3">
      <c r="B364" t="str">
        <f t="shared" si="65"/>
        <v>HH360</v>
      </c>
      <c r="C364" t="s">
        <v>62</v>
      </c>
      <c r="D364">
        <v>3</v>
      </c>
      <c r="E364">
        <v>0</v>
      </c>
      <c r="F364">
        <v>3</v>
      </c>
      <c r="G364" s="4">
        <v>26399</v>
      </c>
      <c r="H364">
        <v>88</v>
      </c>
      <c r="I364" t="s">
        <v>68</v>
      </c>
      <c r="J364" s="4">
        <v>4333</v>
      </c>
      <c r="K364">
        <v>88</v>
      </c>
      <c r="L364">
        <f>'KRWSIP_Program_Baseline Data'!H365</f>
        <v>1.4</v>
      </c>
      <c r="M364">
        <v>0</v>
      </c>
      <c r="P364" s="5"/>
      <c r="V364" t="str">
        <f t="shared" si="67"/>
        <v/>
      </c>
    </row>
    <row r="365" spans="2:22" x14ac:dyDescent="0.3">
      <c r="B365" t="str">
        <f t="shared" si="65"/>
        <v>HH361</v>
      </c>
      <c r="C365" t="s">
        <v>65</v>
      </c>
      <c r="D365">
        <v>2</v>
      </c>
      <c r="E365">
        <v>0</v>
      </c>
      <c r="F365">
        <v>2</v>
      </c>
      <c r="G365" s="4">
        <v>37995</v>
      </c>
      <c r="H365">
        <v>40</v>
      </c>
      <c r="I365" t="s">
        <v>68</v>
      </c>
      <c r="J365" s="4">
        <v>3194</v>
      </c>
      <c r="K365">
        <v>40</v>
      </c>
      <c r="L365">
        <f>'KRWSIP_Program_Baseline Data'!H366</f>
        <v>9.1999999999999993</v>
      </c>
      <c r="M365">
        <v>0</v>
      </c>
      <c r="P365" s="5"/>
      <c r="V365" t="str">
        <f t="shared" si="67"/>
        <v/>
      </c>
    </row>
    <row r="366" spans="2:22" x14ac:dyDescent="0.3">
      <c r="B366" t="str">
        <f t="shared" si="65"/>
        <v>HH362</v>
      </c>
      <c r="C366" t="s">
        <v>65</v>
      </c>
      <c r="D366">
        <v>8</v>
      </c>
      <c r="E366">
        <v>0</v>
      </c>
      <c r="F366">
        <v>8</v>
      </c>
      <c r="G366" s="4">
        <v>22307</v>
      </c>
      <c r="H366">
        <v>33</v>
      </c>
      <c r="I366" t="s">
        <v>68</v>
      </c>
      <c r="J366" s="4">
        <v>4682</v>
      </c>
      <c r="K366">
        <v>33</v>
      </c>
      <c r="L366">
        <f>'KRWSIP_Program_Baseline Data'!H367</f>
        <v>8</v>
      </c>
      <c r="M366">
        <v>0</v>
      </c>
      <c r="P366" s="5"/>
      <c r="V366" t="str">
        <f t="shared" si="67"/>
        <v/>
      </c>
    </row>
    <row r="367" spans="2:22" x14ac:dyDescent="0.3">
      <c r="B367" t="str">
        <f t="shared" si="65"/>
        <v>HH363</v>
      </c>
      <c r="C367" t="s">
        <v>65</v>
      </c>
      <c r="D367">
        <v>2</v>
      </c>
      <c r="E367">
        <v>0</v>
      </c>
      <c r="F367">
        <v>2</v>
      </c>
      <c r="G367" s="4">
        <v>30219</v>
      </c>
      <c r="H367">
        <v>56</v>
      </c>
      <c r="I367" t="s">
        <v>67</v>
      </c>
      <c r="J367" s="4">
        <v>2721</v>
      </c>
      <c r="K367">
        <v>56</v>
      </c>
      <c r="L367">
        <f>'KRWSIP_Program_Baseline Data'!H368</f>
        <v>1.3</v>
      </c>
      <c r="M367">
        <v>0</v>
      </c>
      <c r="P367" s="5"/>
      <c r="V367" t="str">
        <f t="shared" si="67"/>
        <v/>
      </c>
    </row>
    <row r="368" spans="2:22" x14ac:dyDescent="0.3">
      <c r="B368" t="str">
        <f t="shared" si="65"/>
        <v>HH364</v>
      </c>
      <c r="C368" t="s">
        <v>64</v>
      </c>
      <c r="D368">
        <v>2</v>
      </c>
      <c r="E368">
        <v>0</v>
      </c>
      <c r="F368">
        <v>2</v>
      </c>
      <c r="G368" s="4">
        <v>31220</v>
      </c>
      <c r="H368">
        <v>55</v>
      </c>
      <c r="I368" t="s">
        <v>68</v>
      </c>
      <c r="J368" s="4">
        <v>4583</v>
      </c>
      <c r="K368">
        <v>55</v>
      </c>
      <c r="L368">
        <f>'KRWSIP_Program_Baseline Data'!H369</f>
        <v>10.9</v>
      </c>
      <c r="M368">
        <v>0</v>
      </c>
      <c r="P368" s="5"/>
      <c r="V368" t="str">
        <f t="shared" si="67"/>
        <v/>
      </c>
    </row>
    <row r="369" spans="2:22" x14ac:dyDescent="0.3">
      <c r="B369" t="str">
        <f t="shared" si="65"/>
        <v>HH365</v>
      </c>
      <c r="C369" t="s">
        <v>62</v>
      </c>
      <c r="D369">
        <v>5</v>
      </c>
      <c r="E369">
        <v>0</v>
      </c>
      <c r="F369">
        <v>5</v>
      </c>
      <c r="G369" s="4">
        <v>24882</v>
      </c>
      <c r="H369">
        <v>113</v>
      </c>
      <c r="I369" t="s">
        <v>68</v>
      </c>
      <c r="J369" s="4">
        <v>4923</v>
      </c>
      <c r="K369">
        <v>113</v>
      </c>
      <c r="L369">
        <f>'KRWSIP_Program_Baseline Data'!H370</f>
        <v>10.5</v>
      </c>
      <c r="M369">
        <v>0</v>
      </c>
      <c r="P369" s="5"/>
      <c r="V369" t="str">
        <f t="shared" si="67"/>
        <v/>
      </c>
    </row>
    <row r="370" spans="2:22" x14ac:dyDescent="0.3">
      <c r="B370" t="str">
        <f t="shared" si="65"/>
        <v>HH366</v>
      </c>
      <c r="C370" t="s">
        <v>63</v>
      </c>
      <c r="D370">
        <v>6</v>
      </c>
      <c r="E370">
        <v>0</v>
      </c>
      <c r="F370">
        <v>6</v>
      </c>
      <c r="G370" s="4">
        <v>25813</v>
      </c>
      <c r="H370">
        <v>98</v>
      </c>
      <c r="I370" t="s">
        <v>67</v>
      </c>
      <c r="J370" s="4">
        <v>4588</v>
      </c>
      <c r="K370">
        <v>98</v>
      </c>
      <c r="L370">
        <f>'KRWSIP_Program_Baseline Data'!H371</f>
        <v>7.3</v>
      </c>
      <c r="M370">
        <v>0</v>
      </c>
      <c r="P370" s="5"/>
      <c r="V370" t="str">
        <f t="shared" si="67"/>
        <v/>
      </c>
    </row>
    <row r="371" spans="2:22" x14ac:dyDescent="0.3">
      <c r="B371" t="str">
        <f t="shared" si="65"/>
        <v>HH367</v>
      </c>
      <c r="C371" t="s">
        <v>64</v>
      </c>
      <c r="D371">
        <v>8</v>
      </c>
      <c r="E371">
        <v>0</v>
      </c>
      <c r="F371">
        <v>8</v>
      </c>
      <c r="G371" s="4">
        <v>32858</v>
      </c>
      <c r="H371">
        <v>98</v>
      </c>
      <c r="I371" t="s">
        <v>69</v>
      </c>
      <c r="J371" s="4">
        <v>6616</v>
      </c>
      <c r="K371">
        <v>98</v>
      </c>
      <c r="L371">
        <f>'KRWSIP_Program_Baseline Data'!H372</f>
        <v>1.7</v>
      </c>
      <c r="M371">
        <v>0</v>
      </c>
      <c r="P371" s="5"/>
      <c r="V371" t="str">
        <f t="shared" si="67"/>
        <v/>
      </c>
    </row>
    <row r="372" spans="2:22" x14ac:dyDescent="0.3">
      <c r="B372" t="str">
        <f t="shared" si="65"/>
        <v>HH368</v>
      </c>
      <c r="C372" t="s">
        <v>62</v>
      </c>
      <c r="D372">
        <v>6</v>
      </c>
      <c r="E372">
        <v>0</v>
      </c>
      <c r="F372">
        <v>6</v>
      </c>
      <c r="G372" s="4">
        <v>34289</v>
      </c>
      <c r="H372">
        <v>20</v>
      </c>
      <c r="I372" t="s">
        <v>68</v>
      </c>
      <c r="J372" s="4">
        <v>3941</v>
      </c>
      <c r="K372">
        <v>20</v>
      </c>
      <c r="L372">
        <f>'KRWSIP_Program_Baseline Data'!H373</f>
        <v>2.6</v>
      </c>
      <c r="M372">
        <v>0</v>
      </c>
      <c r="P372" s="5"/>
      <c r="V372" t="str">
        <f t="shared" si="67"/>
        <v/>
      </c>
    </row>
    <row r="373" spans="2:22" x14ac:dyDescent="0.3">
      <c r="B373" t="str">
        <f t="shared" si="65"/>
        <v>HH369</v>
      </c>
      <c r="C373" t="s">
        <v>64</v>
      </c>
      <c r="D373">
        <v>5</v>
      </c>
      <c r="E373">
        <v>0</v>
      </c>
      <c r="F373">
        <v>5</v>
      </c>
      <c r="G373" s="4">
        <v>31559</v>
      </c>
      <c r="H373">
        <v>29</v>
      </c>
      <c r="I373" t="s">
        <v>66</v>
      </c>
      <c r="J373" s="4">
        <v>5588</v>
      </c>
      <c r="K373">
        <v>29</v>
      </c>
      <c r="L373">
        <f>'KRWSIP_Program_Baseline Data'!H374</f>
        <v>10.9</v>
      </c>
      <c r="M373">
        <v>0</v>
      </c>
      <c r="P373" s="5"/>
      <c r="V373" t="str">
        <f t="shared" si="67"/>
        <v/>
      </c>
    </row>
    <row r="374" spans="2:22" x14ac:dyDescent="0.3">
      <c r="B374" t="str">
        <f t="shared" si="65"/>
        <v>HH370</v>
      </c>
      <c r="C374" t="s">
        <v>62</v>
      </c>
      <c r="D374">
        <v>4</v>
      </c>
      <c r="E374">
        <v>0</v>
      </c>
      <c r="F374">
        <v>4</v>
      </c>
      <c r="G374" s="4">
        <v>35539</v>
      </c>
      <c r="H374">
        <v>47</v>
      </c>
      <c r="I374" t="s">
        <v>66</v>
      </c>
      <c r="J374" s="4">
        <v>3321</v>
      </c>
      <c r="K374">
        <v>47</v>
      </c>
      <c r="L374">
        <f>'KRWSIP_Program_Baseline Data'!H375</f>
        <v>6.7</v>
      </c>
      <c r="M374">
        <v>0</v>
      </c>
      <c r="P374" s="5"/>
      <c r="V374" t="str">
        <f t="shared" si="67"/>
        <v/>
      </c>
    </row>
    <row r="375" spans="2:22" x14ac:dyDescent="0.3">
      <c r="B375" t="str">
        <f t="shared" si="65"/>
        <v>HH371</v>
      </c>
      <c r="C375" t="s">
        <v>63</v>
      </c>
      <c r="D375">
        <v>5</v>
      </c>
      <c r="E375">
        <v>0</v>
      </c>
      <c r="F375">
        <v>5</v>
      </c>
      <c r="G375" s="4">
        <v>28300</v>
      </c>
      <c r="H375">
        <v>90</v>
      </c>
      <c r="I375" t="s">
        <v>67</v>
      </c>
      <c r="J375" s="4">
        <v>5935</v>
      </c>
      <c r="K375">
        <v>90</v>
      </c>
      <c r="L375">
        <f>'KRWSIP_Program_Baseline Data'!H376</f>
        <v>8.5</v>
      </c>
      <c r="M375">
        <v>0</v>
      </c>
      <c r="P375" s="5"/>
      <c r="V375" t="str">
        <f t="shared" si="67"/>
        <v/>
      </c>
    </row>
    <row r="376" spans="2:22" x14ac:dyDescent="0.3">
      <c r="B376" t="str">
        <f t="shared" si="65"/>
        <v>HH372</v>
      </c>
      <c r="C376" t="s">
        <v>62</v>
      </c>
      <c r="D376">
        <v>4</v>
      </c>
      <c r="E376">
        <v>0</v>
      </c>
      <c r="F376">
        <v>4</v>
      </c>
      <c r="G376" s="4">
        <v>34234</v>
      </c>
      <c r="H376">
        <v>92</v>
      </c>
      <c r="I376" t="s">
        <v>68</v>
      </c>
      <c r="J376" s="4">
        <v>3989</v>
      </c>
      <c r="K376">
        <v>92</v>
      </c>
      <c r="L376">
        <f>'KRWSIP_Program_Baseline Data'!H377</f>
        <v>11.8</v>
      </c>
      <c r="M376">
        <v>0</v>
      </c>
      <c r="P376" s="5"/>
      <c r="V376" t="str">
        <f t="shared" si="67"/>
        <v/>
      </c>
    </row>
    <row r="377" spans="2:22" x14ac:dyDescent="0.3">
      <c r="B377" t="str">
        <f t="shared" si="65"/>
        <v>HH373</v>
      </c>
      <c r="C377" t="s">
        <v>63</v>
      </c>
      <c r="D377">
        <v>8</v>
      </c>
      <c r="E377">
        <v>0</v>
      </c>
      <c r="F377">
        <v>8</v>
      </c>
      <c r="G377" s="4">
        <v>26706</v>
      </c>
      <c r="H377">
        <v>82</v>
      </c>
      <c r="I377" t="s">
        <v>69</v>
      </c>
      <c r="J377" s="4">
        <v>5836</v>
      </c>
      <c r="K377">
        <v>82</v>
      </c>
      <c r="L377">
        <f>'KRWSIP_Program_Baseline Data'!H378</f>
        <v>13.5</v>
      </c>
      <c r="M377">
        <v>0</v>
      </c>
      <c r="P377" s="5"/>
      <c r="V377" t="str">
        <f t="shared" si="67"/>
        <v/>
      </c>
    </row>
    <row r="378" spans="2:22" x14ac:dyDescent="0.3">
      <c r="B378" t="str">
        <f t="shared" si="65"/>
        <v>HH374</v>
      </c>
      <c r="C378" t="s">
        <v>63</v>
      </c>
      <c r="D378">
        <v>2</v>
      </c>
      <c r="E378">
        <v>0</v>
      </c>
      <c r="F378">
        <v>2</v>
      </c>
      <c r="G378" s="4">
        <v>25900</v>
      </c>
      <c r="H378">
        <v>78</v>
      </c>
      <c r="I378" t="s">
        <v>68</v>
      </c>
      <c r="J378" s="4">
        <v>2888</v>
      </c>
      <c r="K378">
        <v>78</v>
      </c>
      <c r="L378">
        <f>'KRWSIP_Program_Baseline Data'!H379</f>
        <v>10.8</v>
      </c>
      <c r="M378">
        <v>0</v>
      </c>
      <c r="P378" s="5"/>
      <c r="V378" t="str">
        <f t="shared" si="67"/>
        <v/>
      </c>
    </row>
    <row r="379" spans="2:22" x14ac:dyDescent="0.3">
      <c r="B379" t="str">
        <f t="shared" si="65"/>
        <v>HH375</v>
      </c>
      <c r="C379" t="s">
        <v>65</v>
      </c>
      <c r="D379">
        <v>3</v>
      </c>
      <c r="E379">
        <v>0</v>
      </c>
      <c r="F379">
        <v>3</v>
      </c>
      <c r="G379" s="4">
        <v>37188</v>
      </c>
      <c r="H379">
        <v>19</v>
      </c>
      <c r="I379" t="s">
        <v>69</v>
      </c>
      <c r="J379" s="4">
        <v>3505</v>
      </c>
      <c r="K379">
        <v>19</v>
      </c>
      <c r="L379">
        <f>'KRWSIP_Program_Baseline Data'!H380</f>
        <v>13.9</v>
      </c>
      <c r="M379">
        <v>0</v>
      </c>
      <c r="P379" s="5"/>
      <c r="V379" t="str">
        <f t="shared" si="67"/>
        <v/>
      </c>
    </row>
    <row r="380" spans="2:22" x14ac:dyDescent="0.3">
      <c r="B380" t="str">
        <f t="shared" si="65"/>
        <v>HH376</v>
      </c>
      <c r="C380" t="s">
        <v>63</v>
      </c>
      <c r="D380">
        <v>3</v>
      </c>
      <c r="E380">
        <v>0</v>
      </c>
      <c r="F380">
        <v>3</v>
      </c>
      <c r="G380" s="4">
        <v>25534</v>
      </c>
      <c r="H380">
        <v>54</v>
      </c>
      <c r="I380" t="s">
        <v>68</v>
      </c>
      <c r="J380" s="4">
        <v>4840</v>
      </c>
      <c r="K380">
        <v>54</v>
      </c>
      <c r="L380">
        <f>'KRWSIP_Program_Baseline Data'!H381</f>
        <v>0.6</v>
      </c>
      <c r="M380">
        <v>0</v>
      </c>
      <c r="P380" s="5"/>
      <c r="V380" t="str">
        <f t="shared" si="67"/>
        <v/>
      </c>
    </row>
    <row r="381" spans="2:22" x14ac:dyDescent="0.3">
      <c r="B381" t="str">
        <f t="shared" si="65"/>
        <v>HH377</v>
      </c>
      <c r="C381" t="s">
        <v>65</v>
      </c>
      <c r="D381">
        <v>4</v>
      </c>
      <c r="E381">
        <v>0</v>
      </c>
      <c r="F381">
        <v>4</v>
      </c>
      <c r="G381" s="4">
        <v>15349</v>
      </c>
      <c r="H381">
        <v>81</v>
      </c>
      <c r="I381" t="s">
        <v>67</v>
      </c>
      <c r="J381" s="4">
        <v>4711</v>
      </c>
      <c r="K381">
        <v>81</v>
      </c>
      <c r="L381">
        <f>'KRWSIP_Program_Baseline Data'!H382</f>
        <v>8</v>
      </c>
      <c r="M381">
        <v>0</v>
      </c>
      <c r="P381" s="5"/>
      <c r="V381" t="str">
        <f t="shared" si="67"/>
        <v/>
      </c>
    </row>
    <row r="382" spans="2:22" x14ac:dyDescent="0.3">
      <c r="B382" t="str">
        <f t="shared" si="65"/>
        <v>HH378</v>
      </c>
      <c r="C382" t="s">
        <v>64</v>
      </c>
      <c r="D382">
        <v>6</v>
      </c>
      <c r="E382">
        <v>0</v>
      </c>
      <c r="F382">
        <v>6</v>
      </c>
      <c r="G382" s="4">
        <v>28502</v>
      </c>
      <c r="H382">
        <v>100</v>
      </c>
      <c r="I382" t="s">
        <v>68</v>
      </c>
      <c r="J382" s="4">
        <v>4190</v>
      </c>
      <c r="K382">
        <v>100</v>
      </c>
      <c r="L382">
        <f>'KRWSIP_Program_Baseline Data'!H383</f>
        <v>6.3</v>
      </c>
      <c r="M382">
        <v>0</v>
      </c>
      <c r="P382" s="5"/>
      <c r="V382" t="str">
        <f t="shared" si="67"/>
        <v/>
      </c>
    </row>
    <row r="383" spans="2:22" x14ac:dyDescent="0.3">
      <c r="B383" t="str">
        <f t="shared" si="65"/>
        <v>HH379</v>
      </c>
      <c r="C383" t="s">
        <v>65</v>
      </c>
      <c r="D383">
        <v>5</v>
      </c>
      <c r="E383">
        <v>0</v>
      </c>
      <c r="F383">
        <v>5</v>
      </c>
      <c r="G383" s="4">
        <v>27897</v>
      </c>
      <c r="H383">
        <v>59</v>
      </c>
      <c r="I383" t="s">
        <v>67</v>
      </c>
      <c r="J383" s="4">
        <v>5891</v>
      </c>
      <c r="K383">
        <v>59</v>
      </c>
      <c r="L383">
        <f>'KRWSIP_Program_Baseline Data'!H384</f>
        <v>7</v>
      </c>
      <c r="M383">
        <v>0</v>
      </c>
      <c r="P383" s="5"/>
      <c r="V383" t="str">
        <f t="shared" si="67"/>
        <v/>
      </c>
    </row>
    <row r="384" spans="2:22" x14ac:dyDescent="0.3">
      <c r="B384" t="str">
        <f t="shared" si="65"/>
        <v>HH380</v>
      </c>
      <c r="C384" t="s">
        <v>63</v>
      </c>
      <c r="D384">
        <v>4</v>
      </c>
      <c r="E384">
        <v>0</v>
      </c>
      <c r="F384">
        <v>4</v>
      </c>
      <c r="G384" s="4">
        <v>18940</v>
      </c>
      <c r="H384">
        <v>74</v>
      </c>
      <c r="I384" t="s">
        <v>69</v>
      </c>
      <c r="J384" s="4">
        <v>3573</v>
      </c>
      <c r="K384">
        <v>74</v>
      </c>
      <c r="L384">
        <f>'KRWSIP_Program_Baseline Data'!H385</f>
        <v>14.2</v>
      </c>
      <c r="M384">
        <v>0</v>
      </c>
      <c r="P384" s="5"/>
      <c r="V384" t="str">
        <f t="shared" si="67"/>
        <v/>
      </c>
    </row>
    <row r="385" spans="2:22" x14ac:dyDescent="0.3">
      <c r="B385" t="str">
        <f t="shared" si="65"/>
        <v>HH381</v>
      </c>
      <c r="C385" t="s">
        <v>62</v>
      </c>
      <c r="D385">
        <v>2</v>
      </c>
      <c r="E385">
        <v>0</v>
      </c>
      <c r="F385">
        <v>2</v>
      </c>
      <c r="G385" s="4">
        <v>28813</v>
      </c>
      <c r="H385">
        <v>81</v>
      </c>
      <c r="I385" t="s">
        <v>69</v>
      </c>
      <c r="J385" s="4">
        <v>3649</v>
      </c>
      <c r="K385">
        <v>81</v>
      </c>
      <c r="L385">
        <f>'KRWSIP_Program_Baseline Data'!H386</f>
        <v>1.4</v>
      </c>
      <c r="M385">
        <v>0</v>
      </c>
      <c r="P385" s="5"/>
      <c r="V385" t="str">
        <f t="shared" si="67"/>
        <v/>
      </c>
    </row>
    <row r="386" spans="2:22" x14ac:dyDescent="0.3">
      <c r="B386" t="str">
        <f t="shared" si="65"/>
        <v>HH382</v>
      </c>
      <c r="C386" t="s">
        <v>64</v>
      </c>
      <c r="D386">
        <v>7</v>
      </c>
      <c r="E386">
        <v>0</v>
      </c>
      <c r="F386">
        <v>7</v>
      </c>
      <c r="G386" s="4">
        <v>28779</v>
      </c>
      <c r="H386">
        <v>106</v>
      </c>
      <c r="I386" t="s">
        <v>69</v>
      </c>
      <c r="J386" s="4">
        <v>4675</v>
      </c>
      <c r="K386">
        <v>106</v>
      </c>
      <c r="L386">
        <f>'KRWSIP_Program_Baseline Data'!H387</f>
        <v>0.7</v>
      </c>
      <c r="M386">
        <v>0</v>
      </c>
      <c r="P386" s="5"/>
      <c r="V386" t="str">
        <f t="shared" si="67"/>
        <v/>
      </c>
    </row>
    <row r="387" spans="2:22" x14ac:dyDescent="0.3">
      <c r="B387" t="str">
        <f t="shared" si="65"/>
        <v>HH383</v>
      </c>
      <c r="C387" t="s">
        <v>64</v>
      </c>
      <c r="D387">
        <v>3</v>
      </c>
      <c r="E387">
        <v>0</v>
      </c>
      <c r="F387">
        <v>3</v>
      </c>
      <c r="G387" s="4">
        <v>15597</v>
      </c>
      <c r="H387">
        <v>97</v>
      </c>
      <c r="I387" t="s">
        <v>67</v>
      </c>
      <c r="J387" s="4">
        <v>2638</v>
      </c>
      <c r="K387">
        <v>97</v>
      </c>
      <c r="L387">
        <f>'KRWSIP_Program_Baseline Data'!H388</f>
        <v>10.7</v>
      </c>
      <c r="M387">
        <v>0</v>
      </c>
      <c r="P387" s="5"/>
      <c r="V387" t="str">
        <f t="shared" si="67"/>
        <v/>
      </c>
    </row>
    <row r="388" spans="2:22" x14ac:dyDescent="0.3">
      <c r="B388" t="str">
        <f t="shared" si="65"/>
        <v>HH384</v>
      </c>
      <c r="C388" t="s">
        <v>63</v>
      </c>
      <c r="D388">
        <v>6</v>
      </c>
      <c r="E388">
        <v>0</v>
      </c>
      <c r="F388">
        <v>6</v>
      </c>
      <c r="G388" s="4">
        <v>25237</v>
      </c>
      <c r="H388">
        <v>67</v>
      </c>
      <c r="I388" t="s">
        <v>68</v>
      </c>
      <c r="J388" s="4">
        <v>5995</v>
      </c>
      <c r="K388">
        <v>67</v>
      </c>
      <c r="L388">
        <f>'KRWSIP_Program_Baseline Data'!H389</f>
        <v>11.9</v>
      </c>
      <c r="M388">
        <v>0</v>
      </c>
      <c r="P388" s="5"/>
      <c r="V388" t="str">
        <f t="shared" si="67"/>
        <v/>
      </c>
    </row>
    <row r="389" spans="2:22" x14ac:dyDescent="0.3">
      <c r="B389" t="str">
        <f t="shared" si="65"/>
        <v>HH385</v>
      </c>
      <c r="C389" t="s">
        <v>64</v>
      </c>
      <c r="D389">
        <v>6</v>
      </c>
      <c r="E389">
        <v>0</v>
      </c>
      <c r="F389">
        <v>6</v>
      </c>
      <c r="G389" s="4">
        <v>20136</v>
      </c>
      <c r="H389">
        <v>71</v>
      </c>
      <c r="I389" t="s">
        <v>67</v>
      </c>
      <c r="J389" s="4">
        <v>5863</v>
      </c>
      <c r="K389">
        <v>71</v>
      </c>
      <c r="L389">
        <f>'KRWSIP_Program_Baseline Data'!H390</f>
        <v>4.7</v>
      </c>
      <c r="M389">
        <v>0</v>
      </c>
      <c r="P389" s="5"/>
      <c r="V389" t="str">
        <f t="shared" si="67"/>
        <v/>
      </c>
    </row>
    <row r="390" spans="2:22" x14ac:dyDescent="0.3">
      <c r="B390" t="str">
        <f t="shared" ref="B390:B404" si="68">"HH"&amp;TEXT(ROW()-4, "000")</f>
        <v>HH386</v>
      </c>
      <c r="C390" t="s">
        <v>64</v>
      </c>
      <c r="D390">
        <v>8</v>
      </c>
      <c r="E390">
        <v>0</v>
      </c>
      <c r="F390">
        <v>8</v>
      </c>
      <c r="G390" s="4">
        <v>19730</v>
      </c>
      <c r="H390">
        <v>92</v>
      </c>
      <c r="I390" t="s">
        <v>68</v>
      </c>
      <c r="J390" s="4">
        <v>5694</v>
      </c>
      <c r="K390">
        <v>92</v>
      </c>
      <c r="L390">
        <f>'KRWSIP_Program_Baseline Data'!H391</f>
        <v>12.5</v>
      </c>
      <c r="M390">
        <v>0</v>
      </c>
      <c r="P390" s="5"/>
      <c r="V390" t="str">
        <f t="shared" si="67"/>
        <v/>
      </c>
    </row>
    <row r="391" spans="2:22" x14ac:dyDescent="0.3">
      <c r="B391" t="str">
        <f t="shared" si="68"/>
        <v>HH387</v>
      </c>
      <c r="C391" t="s">
        <v>62</v>
      </c>
      <c r="D391">
        <v>5</v>
      </c>
      <c r="E391">
        <v>0</v>
      </c>
      <c r="F391">
        <v>5</v>
      </c>
      <c r="G391" s="4">
        <v>16575</v>
      </c>
      <c r="H391">
        <v>75</v>
      </c>
      <c r="I391" t="s">
        <v>68</v>
      </c>
      <c r="J391" s="4">
        <v>5435</v>
      </c>
      <c r="K391">
        <v>75</v>
      </c>
      <c r="L391">
        <f>'KRWSIP_Program_Baseline Data'!H392</f>
        <v>8.3000000000000007</v>
      </c>
      <c r="M391">
        <v>0</v>
      </c>
      <c r="P391" s="5"/>
      <c r="V391" t="str">
        <f t="shared" si="67"/>
        <v/>
      </c>
    </row>
    <row r="392" spans="2:22" x14ac:dyDescent="0.3">
      <c r="B392" t="str">
        <f t="shared" si="68"/>
        <v>HH388</v>
      </c>
      <c r="C392" t="s">
        <v>65</v>
      </c>
      <c r="D392">
        <v>4</v>
      </c>
      <c r="E392">
        <v>0</v>
      </c>
      <c r="F392">
        <v>4</v>
      </c>
      <c r="G392" s="4">
        <v>28836</v>
      </c>
      <c r="H392">
        <v>17</v>
      </c>
      <c r="I392" t="s">
        <v>67</v>
      </c>
      <c r="J392" s="4">
        <v>4442</v>
      </c>
      <c r="K392">
        <v>17</v>
      </c>
      <c r="L392">
        <f>'KRWSIP_Program_Baseline Data'!H393</f>
        <v>14.2</v>
      </c>
      <c r="M392">
        <v>0</v>
      </c>
      <c r="P392" s="5"/>
      <c r="V392" t="str">
        <f t="shared" ref="V392:V405" si="69">IF($M392=1,G392,"")</f>
        <v/>
      </c>
    </row>
    <row r="393" spans="2:22" x14ac:dyDescent="0.3">
      <c r="B393" t="str">
        <f t="shared" si="68"/>
        <v>HH389</v>
      </c>
      <c r="C393" t="s">
        <v>64</v>
      </c>
      <c r="D393">
        <v>5</v>
      </c>
      <c r="E393">
        <v>0</v>
      </c>
      <c r="F393">
        <v>5</v>
      </c>
      <c r="G393" s="4">
        <v>29029</v>
      </c>
      <c r="H393">
        <v>92</v>
      </c>
      <c r="I393" t="s">
        <v>68</v>
      </c>
      <c r="J393" s="4">
        <v>3893</v>
      </c>
      <c r="K393">
        <v>92</v>
      </c>
      <c r="L393">
        <f>'KRWSIP_Program_Baseline Data'!H394</f>
        <v>12.6</v>
      </c>
      <c r="M393">
        <v>0</v>
      </c>
      <c r="P393" s="5"/>
      <c r="V393" t="str">
        <f t="shared" si="69"/>
        <v/>
      </c>
    </row>
    <row r="394" spans="2:22" x14ac:dyDescent="0.3">
      <c r="B394" t="str">
        <f t="shared" si="68"/>
        <v>HH390</v>
      </c>
      <c r="C394" t="s">
        <v>65</v>
      </c>
      <c r="D394">
        <v>5</v>
      </c>
      <c r="E394">
        <v>0</v>
      </c>
      <c r="F394">
        <v>5</v>
      </c>
      <c r="G394" s="4">
        <v>22527</v>
      </c>
      <c r="H394">
        <v>43</v>
      </c>
      <c r="I394" t="s">
        <v>67</v>
      </c>
      <c r="J394" s="4">
        <v>5554</v>
      </c>
      <c r="K394">
        <v>43</v>
      </c>
      <c r="L394">
        <f>'KRWSIP_Program_Baseline Data'!H395</f>
        <v>11.9</v>
      </c>
      <c r="M394">
        <v>0</v>
      </c>
      <c r="P394" s="5"/>
      <c r="V394" t="str">
        <f t="shared" si="69"/>
        <v/>
      </c>
    </row>
    <row r="395" spans="2:22" x14ac:dyDescent="0.3">
      <c r="B395" t="str">
        <f t="shared" si="68"/>
        <v>HH391</v>
      </c>
      <c r="C395" t="s">
        <v>64</v>
      </c>
      <c r="D395">
        <v>4</v>
      </c>
      <c r="E395">
        <v>0</v>
      </c>
      <c r="F395">
        <v>4</v>
      </c>
      <c r="G395" s="4">
        <v>32959</v>
      </c>
      <c r="H395">
        <v>32</v>
      </c>
      <c r="I395" t="s">
        <v>67</v>
      </c>
      <c r="J395" s="4">
        <v>5038</v>
      </c>
      <c r="K395">
        <v>32</v>
      </c>
      <c r="L395">
        <f>'KRWSIP_Program_Baseline Data'!H396</f>
        <v>14.6</v>
      </c>
      <c r="M395">
        <v>0</v>
      </c>
      <c r="P395" s="5"/>
      <c r="V395" t="str">
        <f t="shared" si="69"/>
        <v/>
      </c>
    </row>
    <row r="396" spans="2:22" x14ac:dyDescent="0.3">
      <c r="B396" t="str">
        <f t="shared" si="68"/>
        <v>HH392</v>
      </c>
      <c r="C396" t="s">
        <v>64</v>
      </c>
      <c r="D396">
        <v>8</v>
      </c>
      <c r="E396">
        <v>0</v>
      </c>
      <c r="F396">
        <v>8</v>
      </c>
      <c r="G396" s="4">
        <v>46512</v>
      </c>
      <c r="H396">
        <v>22</v>
      </c>
      <c r="I396" t="s">
        <v>67</v>
      </c>
      <c r="J396" s="4">
        <v>5077</v>
      </c>
      <c r="K396">
        <v>22</v>
      </c>
      <c r="L396">
        <f>'KRWSIP_Program_Baseline Data'!H397</f>
        <v>14.4</v>
      </c>
      <c r="M396">
        <v>0</v>
      </c>
      <c r="P396" s="5"/>
      <c r="V396" t="str">
        <f t="shared" si="69"/>
        <v/>
      </c>
    </row>
    <row r="397" spans="2:22" x14ac:dyDescent="0.3">
      <c r="B397" t="str">
        <f t="shared" si="68"/>
        <v>HH393</v>
      </c>
      <c r="C397" t="s">
        <v>64</v>
      </c>
      <c r="D397">
        <v>7</v>
      </c>
      <c r="E397">
        <v>0</v>
      </c>
      <c r="F397">
        <v>7</v>
      </c>
      <c r="G397" s="4">
        <v>23056</v>
      </c>
      <c r="H397">
        <v>14</v>
      </c>
      <c r="I397" t="s">
        <v>67</v>
      </c>
      <c r="J397" s="4">
        <v>5915</v>
      </c>
      <c r="K397">
        <v>14</v>
      </c>
      <c r="L397">
        <f>'KRWSIP_Program_Baseline Data'!H398</f>
        <v>0.6</v>
      </c>
      <c r="M397">
        <v>0</v>
      </c>
      <c r="P397" s="5"/>
      <c r="V397" t="str">
        <f t="shared" si="69"/>
        <v/>
      </c>
    </row>
    <row r="398" spans="2:22" x14ac:dyDescent="0.3">
      <c r="B398" t="str">
        <f t="shared" si="68"/>
        <v>HH394</v>
      </c>
      <c r="C398" t="s">
        <v>65</v>
      </c>
      <c r="D398">
        <v>4</v>
      </c>
      <c r="E398">
        <v>0</v>
      </c>
      <c r="F398">
        <v>4</v>
      </c>
      <c r="G398" s="4">
        <v>27507</v>
      </c>
      <c r="H398">
        <v>97</v>
      </c>
      <c r="I398" t="s">
        <v>68</v>
      </c>
      <c r="J398" s="4">
        <v>3355</v>
      </c>
      <c r="K398">
        <v>97</v>
      </c>
      <c r="L398">
        <f>'KRWSIP_Program_Baseline Data'!H399</f>
        <v>9.8000000000000007</v>
      </c>
      <c r="M398">
        <v>0</v>
      </c>
      <c r="P398" s="5"/>
      <c r="V398" t="str">
        <f t="shared" si="69"/>
        <v/>
      </c>
    </row>
    <row r="399" spans="2:22" x14ac:dyDescent="0.3">
      <c r="B399" t="str">
        <f t="shared" si="68"/>
        <v>HH395</v>
      </c>
      <c r="C399" t="s">
        <v>62</v>
      </c>
      <c r="D399">
        <v>3</v>
      </c>
      <c r="E399">
        <v>0</v>
      </c>
      <c r="F399">
        <v>3</v>
      </c>
      <c r="G399" s="4">
        <v>18773</v>
      </c>
      <c r="H399">
        <v>31</v>
      </c>
      <c r="I399" t="s">
        <v>67</v>
      </c>
      <c r="J399" s="4">
        <v>4621</v>
      </c>
      <c r="K399">
        <v>31</v>
      </c>
      <c r="L399">
        <f>'KRWSIP_Program_Baseline Data'!H400</f>
        <v>11.2</v>
      </c>
      <c r="M399">
        <v>0</v>
      </c>
      <c r="P399" s="5"/>
      <c r="V399" t="str">
        <f t="shared" si="69"/>
        <v/>
      </c>
    </row>
    <row r="400" spans="2:22" x14ac:dyDescent="0.3">
      <c r="B400" t="str">
        <f t="shared" si="68"/>
        <v>HH396</v>
      </c>
      <c r="C400" t="s">
        <v>64</v>
      </c>
      <c r="D400">
        <v>8</v>
      </c>
      <c r="E400">
        <v>0</v>
      </c>
      <c r="F400">
        <v>8</v>
      </c>
      <c r="G400" s="4">
        <v>23111</v>
      </c>
      <c r="H400">
        <v>106</v>
      </c>
      <c r="I400" t="s">
        <v>68</v>
      </c>
      <c r="J400" s="4">
        <v>5391</v>
      </c>
      <c r="K400">
        <v>106</v>
      </c>
      <c r="L400">
        <f>'KRWSIP_Program_Baseline Data'!H401</f>
        <v>8.8000000000000007</v>
      </c>
      <c r="M400">
        <v>0</v>
      </c>
      <c r="P400" s="5"/>
      <c r="V400" t="str">
        <f t="shared" si="69"/>
        <v/>
      </c>
    </row>
    <row r="401" spans="2:22" x14ac:dyDescent="0.3">
      <c r="B401" t="str">
        <f t="shared" si="68"/>
        <v>HH397</v>
      </c>
      <c r="C401" t="s">
        <v>64</v>
      </c>
      <c r="D401">
        <v>8</v>
      </c>
      <c r="E401">
        <v>0</v>
      </c>
      <c r="F401">
        <v>8</v>
      </c>
      <c r="G401" s="4">
        <v>48708</v>
      </c>
      <c r="H401">
        <v>49</v>
      </c>
      <c r="I401" t="s">
        <v>68</v>
      </c>
      <c r="J401" s="4">
        <v>4920</v>
      </c>
      <c r="K401">
        <v>49</v>
      </c>
      <c r="L401">
        <f>'KRWSIP_Program_Baseline Data'!H402</f>
        <v>11.7</v>
      </c>
      <c r="M401">
        <v>0</v>
      </c>
      <c r="P401" s="5"/>
      <c r="V401" t="str">
        <f t="shared" si="69"/>
        <v/>
      </c>
    </row>
    <row r="402" spans="2:22" x14ac:dyDescent="0.3">
      <c r="B402" t="str">
        <f t="shared" si="68"/>
        <v>HH398</v>
      </c>
      <c r="C402" t="s">
        <v>62</v>
      </c>
      <c r="D402">
        <v>3</v>
      </c>
      <c r="E402">
        <v>0</v>
      </c>
      <c r="F402">
        <v>3</v>
      </c>
      <c r="G402" s="4">
        <v>23170</v>
      </c>
      <c r="H402">
        <v>76</v>
      </c>
      <c r="I402" t="s">
        <v>67</v>
      </c>
      <c r="J402" s="4">
        <v>3406</v>
      </c>
      <c r="K402">
        <v>76</v>
      </c>
      <c r="L402">
        <f>'KRWSIP_Program_Baseline Data'!H403</f>
        <v>14.9</v>
      </c>
      <c r="M402">
        <v>0</v>
      </c>
      <c r="P402" s="5"/>
      <c r="V402" t="str">
        <f t="shared" si="69"/>
        <v/>
      </c>
    </row>
    <row r="403" spans="2:22" x14ac:dyDescent="0.3">
      <c r="B403" t="str">
        <f t="shared" si="68"/>
        <v>HH399</v>
      </c>
      <c r="C403" t="s">
        <v>62</v>
      </c>
      <c r="D403">
        <v>2</v>
      </c>
      <c r="E403">
        <v>0</v>
      </c>
      <c r="F403">
        <v>2</v>
      </c>
      <c r="G403" s="4">
        <v>21581</v>
      </c>
      <c r="H403">
        <v>83</v>
      </c>
      <c r="I403" t="s">
        <v>69</v>
      </c>
      <c r="J403" s="4">
        <v>2304</v>
      </c>
      <c r="K403">
        <v>83</v>
      </c>
      <c r="L403">
        <f>'KRWSIP_Program_Baseline Data'!H404</f>
        <v>2.2999999999999998</v>
      </c>
      <c r="M403">
        <v>0</v>
      </c>
      <c r="P403" s="5"/>
      <c r="V403" t="str">
        <f t="shared" si="69"/>
        <v/>
      </c>
    </row>
    <row r="404" spans="2:22" x14ac:dyDescent="0.3">
      <c r="B404" t="str">
        <f t="shared" si="68"/>
        <v>HH400</v>
      </c>
      <c r="C404" t="s">
        <v>65</v>
      </c>
      <c r="D404">
        <v>7</v>
      </c>
      <c r="E404">
        <v>0</v>
      </c>
      <c r="F404">
        <v>7</v>
      </c>
      <c r="G404" s="4">
        <v>39267</v>
      </c>
      <c r="H404">
        <v>117</v>
      </c>
      <c r="I404" t="s">
        <v>69</v>
      </c>
      <c r="J404" s="4">
        <v>5753</v>
      </c>
      <c r="K404">
        <v>117</v>
      </c>
      <c r="L404">
        <f>'KRWSIP_Program_Baseline Data'!H405</f>
        <v>8.4</v>
      </c>
      <c r="M404">
        <v>0</v>
      </c>
      <c r="P404" s="5"/>
      <c r="V404" t="str">
        <f t="shared" si="69"/>
        <v/>
      </c>
    </row>
    <row r="405" spans="2:22" x14ac:dyDescent="0.3">
      <c r="V405" t="str">
        <f t="shared" si="69"/>
        <v/>
      </c>
    </row>
  </sheetData>
  <mergeCells count="1">
    <mergeCell ref="B2:D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37BD-2522-4FA5-8DF3-D6ADCA5D5849}">
  <dimension ref="A2:J402"/>
  <sheetViews>
    <sheetView workbookViewId="0">
      <selection activeCell="B1" sqref="B1:B1048576"/>
    </sheetView>
  </sheetViews>
  <sheetFormatPr defaultRowHeight="14.4" x14ac:dyDescent="0.3"/>
  <cols>
    <col min="1" max="1" width="12.21875" bestFit="1" customWidth="1"/>
    <col min="2" max="2" width="11.6640625" bestFit="1" customWidth="1"/>
    <col min="3" max="3" width="14.33203125" bestFit="1" customWidth="1"/>
    <col min="4" max="4" width="9.77734375" bestFit="1" customWidth="1"/>
    <col min="5" max="5" width="14.33203125" bestFit="1" customWidth="1"/>
    <col min="6" max="6" width="26" bestFit="1" customWidth="1"/>
    <col min="7" max="7" width="19" bestFit="1" customWidth="1"/>
    <col min="8" max="8" width="19.33203125" bestFit="1" customWidth="1"/>
    <col min="9" max="9" width="23.77734375" bestFit="1" customWidth="1"/>
    <col min="10" max="10" width="22.5546875" bestFit="1" customWidth="1"/>
  </cols>
  <sheetData>
    <row r="2" spans="1:10" x14ac:dyDescent="0.3">
      <c r="A2" s="2" t="s">
        <v>17</v>
      </c>
      <c r="B2" s="2" t="s">
        <v>21</v>
      </c>
      <c r="C2" s="2" t="s">
        <v>18</v>
      </c>
      <c r="D2" s="2" t="s">
        <v>27</v>
      </c>
      <c r="E2" s="2" t="s">
        <v>18</v>
      </c>
      <c r="F2" s="2" t="s">
        <v>22</v>
      </c>
      <c r="G2" s="2" t="s">
        <v>25</v>
      </c>
      <c r="H2" s="2" t="s">
        <v>19</v>
      </c>
      <c r="I2" s="2" t="s">
        <v>24</v>
      </c>
      <c r="J2" s="2" t="s">
        <v>20</v>
      </c>
    </row>
    <row r="3" spans="1:10" x14ac:dyDescent="0.3">
      <c r="A3" t="s">
        <v>110</v>
      </c>
      <c r="B3" t="s">
        <v>63</v>
      </c>
      <c r="C3">
        <v>2</v>
      </c>
      <c r="D3">
        <v>1</v>
      </c>
      <c r="E3">
        <v>2</v>
      </c>
      <c r="F3">
        <v>19516</v>
      </c>
      <c r="G3">
        <v>36</v>
      </c>
      <c r="H3" t="s">
        <v>68</v>
      </c>
      <c r="I3">
        <v>2426</v>
      </c>
      <c r="J3">
        <v>14.1</v>
      </c>
    </row>
    <row r="4" spans="1:10" x14ac:dyDescent="0.3">
      <c r="A4" t="s">
        <v>111</v>
      </c>
      <c r="B4" t="s">
        <v>63</v>
      </c>
      <c r="C4">
        <v>3</v>
      </c>
      <c r="D4">
        <v>1</v>
      </c>
      <c r="E4">
        <v>3</v>
      </c>
      <c r="F4">
        <v>31054</v>
      </c>
      <c r="G4">
        <v>31</v>
      </c>
      <c r="H4" t="s">
        <v>66</v>
      </c>
      <c r="I4">
        <v>2445</v>
      </c>
      <c r="J4">
        <v>8.5</v>
      </c>
    </row>
    <row r="5" spans="1:10" x14ac:dyDescent="0.3">
      <c r="A5" t="s">
        <v>112</v>
      </c>
      <c r="B5" t="s">
        <v>64</v>
      </c>
      <c r="C5">
        <v>7</v>
      </c>
      <c r="D5">
        <v>1</v>
      </c>
      <c r="E5">
        <v>7</v>
      </c>
      <c r="F5">
        <v>39285</v>
      </c>
      <c r="G5">
        <v>20</v>
      </c>
      <c r="H5" t="s">
        <v>66</v>
      </c>
      <c r="I5">
        <v>4620</v>
      </c>
      <c r="J5">
        <v>1.9</v>
      </c>
    </row>
    <row r="6" spans="1:10" x14ac:dyDescent="0.3">
      <c r="A6" t="s">
        <v>113</v>
      </c>
      <c r="B6" t="s">
        <v>65</v>
      </c>
      <c r="C6">
        <v>8</v>
      </c>
      <c r="D6">
        <v>1</v>
      </c>
      <c r="E6">
        <v>8</v>
      </c>
      <c r="F6">
        <v>27775</v>
      </c>
      <c r="G6">
        <v>27</v>
      </c>
      <c r="H6" t="s">
        <v>66</v>
      </c>
      <c r="I6">
        <v>3312</v>
      </c>
      <c r="J6">
        <v>12.3</v>
      </c>
    </row>
    <row r="7" spans="1:10" x14ac:dyDescent="0.3">
      <c r="A7" t="s">
        <v>114</v>
      </c>
      <c r="B7" t="s">
        <v>65</v>
      </c>
      <c r="C7">
        <v>4</v>
      </c>
      <c r="D7">
        <v>1</v>
      </c>
      <c r="E7">
        <v>4</v>
      </c>
      <c r="F7">
        <v>38113</v>
      </c>
      <c r="G7">
        <v>9</v>
      </c>
      <c r="H7" t="s">
        <v>68</v>
      </c>
      <c r="I7">
        <v>4120</v>
      </c>
      <c r="J7">
        <v>14.7</v>
      </c>
    </row>
    <row r="8" spans="1:10" x14ac:dyDescent="0.3">
      <c r="A8" t="s">
        <v>115</v>
      </c>
      <c r="B8" t="s">
        <v>64</v>
      </c>
      <c r="C8">
        <v>4</v>
      </c>
      <c r="D8">
        <v>1</v>
      </c>
      <c r="E8">
        <v>4</v>
      </c>
      <c r="F8">
        <v>36615</v>
      </c>
      <c r="G8">
        <v>40</v>
      </c>
      <c r="H8" t="s">
        <v>69</v>
      </c>
      <c r="I8">
        <v>2913</v>
      </c>
      <c r="J8">
        <v>11.3</v>
      </c>
    </row>
    <row r="9" spans="1:10" x14ac:dyDescent="0.3">
      <c r="A9" t="s">
        <v>116</v>
      </c>
      <c r="B9" t="s">
        <v>65</v>
      </c>
      <c r="C9">
        <v>2</v>
      </c>
      <c r="D9">
        <v>1</v>
      </c>
      <c r="E9">
        <v>2</v>
      </c>
      <c r="F9">
        <v>38931</v>
      </c>
      <c r="G9">
        <v>27</v>
      </c>
      <c r="H9" t="s">
        <v>69</v>
      </c>
      <c r="I9">
        <v>2814</v>
      </c>
      <c r="J9">
        <v>10.5</v>
      </c>
    </row>
    <row r="10" spans="1:10" x14ac:dyDescent="0.3">
      <c r="A10" t="s">
        <v>117</v>
      </c>
      <c r="B10" t="s">
        <v>62</v>
      </c>
      <c r="C10">
        <v>3</v>
      </c>
      <c r="D10">
        <v>1</v>
      </c>
      <c r="E10">
        <v>3</v>
      </c>
      <c r="F10">
        <v>36812</v>
      </c>
      <c r="G10">
        <v>32</v>
      </c>
      <c r="H10" t="s">
        <v>69</v>
      </c>
      <c r="I10">
        <v>1836</v>
      </c>
      <c r="J10">
        <v>11.7</v>
      </c>
    </row>
    <row r="11" spans="1:10" x14ac:dyDescent="0.3">
      <c r="A11" t="s">
        <v>118</v>
      </c>
      <c r="B11" t="s">
        <v>62</v>
      </c>
      <c r="C11">
        <v>6</v>
      </c>
      <c r="D11">
        <v>1</v>
      </c>
      <c r="E11">
        <v>6</v>
      </c>
      <c r="F11">
        <v>26299</v>
      </c>
      <c r="G11">
        <v>17</v>
      </c>
      <c r="H11" t="s">
        <v>66</v>
      </c>
      <c r="I11">
        <v>3870</v>
      </c>
      <c r="J11">
        <v>13.7</v>
      </c>
    </row>
    <row r="12" spans="1:10" x14ac:dyDescent="0.3">
      <c r="A12" t="s">
        <v>119</v>
      </c>
      <c r="B12" t="s">
        <v>63</v>
      </c>
      <c r="C12">
        <v>7</v>
      </c>
      <c r="D12">
        <v>1</v>
      </c>
      <c r="E12">
        <v>7</v>
      </c>
      <c r="F12">
        <v>42237</v>
      </c>
      <c r="G12">
        <v>16</v>
      </c>
      <c r="H12" t="s">
        <v>67</v>
      </c>
      <c r="I12">
        <v>2944</v>
      </c>
      <c r="J12">
        <v>0.8</v>
      </c>
    </row>
    <row r="13" spans="1:10" x14ac:dyDescent="0.3">
      <c r="A13" t="s">
        <v>120</v>
      </c>
      <c r="B13" t="s">
        <v>62</v>
      </c>
      <c r="C13">
        <v>6</v>
      </c>
      <c r="D13">
        <v>1</v>
      </c>
      <c r="E13">
        <v>6</v>
      </c>
      <c r="F13">
        <v>41606</v>
      </c>
      <c r="G13">
        <v>26</v>
      </c>
      <c r="H13" t="s">
        <v>69</v>
      </c>
      <c r="I13">
        <v>3585</v>
      </c>
      <c r="J13">
        <v>2.1</v>
      </c>
    </row>
    <row r="14" spans="1:10" x14ac:dyDescent="0.3">
      <c r="A14" t="s">
        <v>121</v>
      </c>
      <c r="B14" t="s">
        <v>62</v>
      </c>
      <c r="C14">
        <v>2</v>
      </c>
      <c r="D14">
        <v>1</v>
      </c>
      <c r="E14">
        <v>2</v>
      </c>
      <c r="F14">
        <v>39207</v>
      </c>
      <c r="G14">
        <v>35</v>
      </c>
      <c r="H14" t="s">
        <v>67</v>
      </c>
      <c r="I14">
        <v>2096</v>
      </c>
      <c r="J14">
        <v>15</v>
      </c>
    </row>
    <row r="15" spans="1:10" x14ac:dyDescent="0.3">
      <c r="A15" t="s">
        <v>122</v>
      </c>
      <c r="B15" t="s">
        <v>64</v>
      </c>
      <c r="C15">
        <v>4</v>
      </c>
      <c r="D15">
        <v>1</v>
      </c>
      <c r="E15">
        <v>4</v>
      </c>
      <c r="F15">
        <v>34419</v>
      </c>
      <c r="G15">
        <v>24</v>
      </c>
      <c r="H15" t="s">
        <v>69</v>
      </c>
      <c r="I15">
        <v>4084</v>
      </c>
      <c r="J15">
        <v>7.2</v>
      </c>
    </row>
    <row r="16" spans="1:10" x14ac:dyDescent="0.3">
      <c r="A16" t="s">
        <v>123</v>
      </c>
      <c r="B16" t="s">
        <v>62</v>
      </c>
      <c r="C16">
        <v>8</v>
      </c>
      <c r="D16">
        <v>1</v>
      </c>
      <c r="E16">
        <v>8</v>
      </c>
      <c r="F16">
        <v>34518</v>
      </c>
      <c r="G16">
        <v>36</v>
      </c>
      <c r="H16" t="s">
        <v>68</v>
      </c>
      <c r="I16">
        <v>4850</v>
      </c>
      <c r="J16">
        <v>11.4</v>
      </c>
    </row>
    <row r="17" spans="1:10" x14ac:dyDescent="0.3">
      <c r="A17" t="s">
        <v>124</v>
      </c>
      <c r="B17" t="s">
        <v>62</v>
      </c>
      <c r="C17">
        <v>7</v>
      </c>
      <c r="D17">
        <v>1</v>
      </c>
      <c r="E17">
        <v>7</v>
      </c>
      <c r="F17">
        <v>19886</v>
      </c>
      <c r="G17">
        <v>38</v>
      </c>
      <c r="H17" t="s">
        <v>68</v>
      </c>
      <c r="I17">
        <v>3819</v>
      </c>
      <c r="J17">
        <v>12</v>
      </c>
    </row>
    <row r="18" spans="1:10" x14ac:dyDescent="0.3">
      <c r="A18" t="s">
        <v>125</v>
      </c>
      <c r="B18" t="s">
        <v>63</v>
      </c>
      <c r="C18">
        <v>8</v>
      </c>
      <c r="D18">
        <v>1</v>
      </c>
      <c r="E18">
        <v>8</v>
      </c>
      <c r="F18">
        <v>33981</v>
      </c>
      <c r="G18">
        <v>21</v>
      </c>
      <c r="H18" t="s">
        <v>67</v>
      </c>
      <c r="I18">
        <v>4808</v>
      </c>
      <c r="J18">
        <v>13.9</v>
      </c>
    </row>
    <row r="19" spans="1:10" x14ac:dyDescent="0.3">
      <c r="A19" t="s">
        <v>126</v>
      </c>
      <c r="B19" t="s">
        <v>64</v>
      </c>
      <c r="C19">
        <v>5</v>
      </c>
      <c r="D19">
        <v>1</v>
      </c>
      <c r="E19">
        <v>5</v>
      </c>
      <c r="F19">
        <v>37864</v>
      </c>
      <c r="G19">
        <v>12</v>
      </c>
      <c r="H19" t="s">
        <v>69</v>
      </c>
      <c r="I19">
        <v>3234</v>
      </c>
      <c r="J19">
        <v>12.5</v>
      </c>
    </row>
    <row r="20" spans="1:10" x14ac:dyDescent="0.3">
      <c r="A20" t="s">
        <v>127</v>
      </c>
      <c r="B20" t="s">
        <v>63</v>
      </c>
      <c r="C20">
        <v>3</v>
      </c>
      <c r="D20">
        <v>1</v>
      </c>
      <c r="E20">
        <v>3</v>
      </c>
      <c r="F20">
        <v>25876</v>
      </c>
      <c r="G20">
        <v>41</v>
      </c>
      <c r="H20" t="s">
        <v>69</v>
      </c>
      <c r="I20">
        <v>2759</v>
      </c>
      <c r="J20">
        <v>4.4000000000000004</v>
      </c>
    </row>
    <row r="21" spans="1:10" x14ac:dyDescent="0.3">
      <c r="A21" t="s">
        <v>128</v>
      </c>
      <c r="B21" t="s">
        <v>64</v>
      </c>
      <c r="C21">
        <v>3</v>
      </c>
      <c r="D21">
        <v>1</v>
      </c>
      <c r="E21">
        <v>3</v>
      </c>
      <c r="F21">
        <v>33009</v>
      </c>
      <c r="G21">
        <v>35</v>
      </c>
      <c r="H21" t="s">
        <v>67</v>
      </c>
      <c r="I21">
        <v>3233</v>
      </c>
      <c r="J21">
        <v>13.8</v>
      </c>
    </row>
    <row r="22" spans="1:10" x14ac:dyDescent="0.3">
      <c r="A22" t="s">
        <v>129</v>
      </c>
      <c r="B22" t="s">
        <v>62</v>
      </c>
      <c r="C22">
        <v>3</v>
      </c>
      <c r="D22">
        <v>1</v>
      </c>
      <c r="E22">
        <v>3</v>
      </c>
      <c r="F22">
        <v>19474</v>
      </c>
      <c r="G22">
        <v>12</v>
      </c>
      <c r="H22" t="s">
        <v>68</v>
      </c>
      <c r="I22">
        <v>3820</v>
      </c>
      <c r="J22">
        <v>14</v>
      </c>
    </row>
    <row r="23" spans="1:10" x14ac:dyDescent="0.3">
      <c r="A23" t="s">
        <v>130</v>
      </c>
      <c r="B23" t="s">
        <v>63</v>
      </c>
      <c r="C23">
        <v>7</v>
      </c>
      <c r="D23">
        <v>1</v>
      </c>
      <c r="E23">
        <v>7</v>
      </c>
      <c r="F23">
        <v>43280</v>
      </c>
      <c r="G23">
        <v>26</v>
      </c>
      <c r="H23" t="s">
        <v>68</v>
      </c>
      <c r="I23">
        <v>3412</v>
      </c>
      <c r="J23">
        <v>14.9</v>
      </c>
    </row>
    <row r="24" spans="1:10" x14ac:dyDescent="0.3">
      <c r="A24" t="s">
        <v>131</v>
      </c>
      <c r="B24" t="s">
        <v>64</v>
      </c>
      <c r="C24">
        <v>6</v>
      </c>
      <c r="D24">
        <v>1</v>
      </c>
      <c r="E24">
        <v>6</v>
      </c>
      <c r="F24">
        <v>14949</v>
      </c>
      <c r="G24">
        <v>7</v>
      </c>
      <c r="H24" t="s">
        <v>67</v>
      </c>
      <c r="I24">
        <v>2854</v>
      </c>
      <c r="J24">
        <v>6.4</v>
      </c>
    </row>
    <row r="25" spans="1:10" x14ac:dyDescent="0.3">
      <c r="A25" t="s">
        <v>132</v>
      </c>
      <c r="B25" t="s">
        <v>63</v>
      </c>
      <c r="C25">
        <v>7</v>
      </c>
      <c r="D25">
        <v>1</v>
      </c>
      <c r="E25">
        <v>7</v>
      </c>
      <c r="F25">
        <v>28760</v>
      </c>
      <c r="G25">
        <v>10</v>
      </c>
      <c r="H25" t="s">
        <v>68</v>
      </c>
      <c r="I25">
        <v>3390</v>
      </c>
      <c r="J25">
        <v>11.6</v>
      </c>
    </row>
    <row r="26" spans="1:10" x14ac:dyDescent="0.3">
      <c r="A26" t="s">
        <v>133</v>
      </c>
      <c r="B26" t="s">
        <v>63</v>
      </c>
      <c r="C26">
        <v>2</v>
      </c>
      <c r="D26">
        <v>1</v>
      </c>
      <c r="E26">
        <v>2</v>
      </c>
      <c r="F26">
        <v>26976</v>
      </c>
      <c r="G26">
        <v>22</v>
      </c>
      <c r="H26" t="s">
        <v>68</v>
      </c>
      <c r="I26">
        <v>3119</v>
      </c>
      <c r="J26">
        <v>9.8000000000000007</v>
      </c>
    </row>
    <row r="27" spans="1:10" x14ac:dyDescent="0.3">
      <c r="A27" t="s">
        <v>134</v>
      </c>
      <c r="B27" t="s">
        <v>65</v>
      </c>
      <c r="C27">
        <v>7</v>
      </c>
      <c r="D27">
        <v>1</v>
      </c>
      <c r="E27">
        <v>7</v>
      </c>
      <c r="F27">
        <v>25861</v>
      </c>
      <c r="G27">
        <v>21</v>
      </c>
      <c r="H27" t="s">
        <v>68</v>
      </c>
      <c r="I27">
        <v>3826</v>
      </c>
      <c r="J27">
        <v>1.3</v>
      </c>
    </row>
    <row r="28" spans="1:10" x14ac:dyDescent="0.3">
      <c r="A28" t="s">
        <v>135</v>
      </c>
      <c r="B28" t="s">
        <v>62</v>
      </c>
      <c r="C28">
        <v>3</v>
      </c>
      <c r="D28">
        <v>1</v>
      </c>
      <c r="E28">
        <v>3</v>
      </c>
      <c r="F28">
        <v>49253</v>
      </c>
      <c r="G28">
        <v>24</v>
      </c>
      <c r="H28" t="s">
        <v>67</v>
      </c>
      <c r="I28">
        <v>3531</v>
      </c>
      <c r="J28">
        <v>10.4</v>
      </c>
    </row>
    <row r="29" spans="1:10" x14ac:dyDescent="0.3">
      <c r="A29" t="s">
        <v>136</v>
      </c>
      <c r="B29" t="s">
        <v>62</v>
      </c>
      <c r="C29">
        <v>6</v>
      </c>
      <c r="D29">
        <v>1</v>
      </c>
      <c r="E29">
        <v>6</v>
      </c>
      <c r="F29">
        <v>23567</v>
      </c>
      <c r="G29">
        <v>11</v>
      </c>
      <c r="H29" t="s">
        <v>67</v>
      </c>
      <c r="I29">
        <v>3346</v>
      </c>
      <c r="J29">
        <v>8.5</v>
      </c>
    </row>
    <row r="30" spans="1:10" x14ac:dyDescent="0.3">
      <c r="A30" t="s">
        <v>137</v>
      </c>
      <c r="B30" t="s">
        <v>65</v>
      </c>
      <c r="C30">
        <v>7</v>
      </c>
      <c r="D30">
        <v>1</v>
      </c>
      <c r="E30">
        <v>7</v>
      </c>
      <c r="F30">
        <v>31958</v>
      </c>
      <c r="G30">
        <v>10</v>
      </c>
      <c r="H30" t="s">
        <v>67</v>
      </c>
      <c r="I30">
        <v>3941</v>
      </c>
      <c r="J30">
        <v>14.1</v>
      </c>
    </row>
    <row r="31" spans="1:10" x14ac:dyDescent="0.3">
      <c r="A31" t="s">
        <v>138</v>
      </c>
      <c r="B31" t="s">
        <v>65</v>
      </c>
      <c r="C31">
        <v>5</v>
      </c>
      <c r="D31">
        <v>1</v>
      </c>
      <c r="E31">
        <v>5</v>
      </c>
      <c r="F31">
        <v>28859</v>
      </c>
      <c r="G31">
        <v>36</v>
      </c>
      <c r="H31" t="s">
        <v>66</v>
      </c>
      <c r="I31">
        <v>3708</v>
      </c>
      <c r="J31">
        <v>12.3</v>
      </c>
    </row>
    <row r="32" spans="1:10" x14ac:dyDescent="0.3">
      <c r="A32" t="s">
        <v>139</v>
      </c>
      <c r="B32" t="s">
        <v>65</v>
      </c>
      <c r="C32">
        <v>4</v>
      </c>
      <c r="D32">
        <v>1</v>
      </c>
      <c r="E32">
        <v>4</v>
      </c>
      <c r="F32">
        <v>16168</v>
      </c>
      <c r="G32">
        <v>33</v>
      </c>
      <c r="H32" t="s">
        <v>66</v>
      </c>
      <c r="I32">
        <v>2986</v>
      </c>
      <c r="J32">
        <v>6.2</v>
      </c>
    </row>
    <row r="33" spans="1:10" x14ac:dyDescent="0.3">
      <c r="A33" t="s">
        <v>140</v>
      </c>
      <c r="B33" t="s">
        <v>62</v>
      </c>
      <c r="C33">
        <v>7</v>
      </c>
      <c r="D33">
        <v>1</v>
      </c>
      <c r="E33">
        <v>7</v>
      </c>
      <c r="F33">
        <v>37508</v>
      </c>
      <c r="G33">
        <v>18</v>
      </c>
      <c r="H33" t="s">
        <v>68</v>
      </c>
      <c r="I33">
        <v>3781</v>
      </c>
      <c r="J33">
        <v>11.3</v>
      </c>
    </row>
    <row r="34" spans="1:10" x14ac:dyDescent="0.3">
      <c r="A34" t="s">
        <v>141</v>
      </c>
      <c r="B34" t="s">
        <v>64</v>
      </c>
      <c r="C34">
        <v>8</v>
      </c>
      <c r="D34">
        <v>1</v>
      </c>
      <c r="E34">
        <v>8</v>
      </c>
      <c r="F34">
        <v>44355</v>
      </c>
      <c r="G34">
        <v>19</v>
      </c>
      <c r="H34" t="s">
        <v>68</v>
      </c>
      <c r="I34">
        <v>3636</v>
      </c>
      <c r="J34">
        <v>8.6999999999999993</v>
      </c>
    </row>
    <row r="35" spans="1:10" x14ac:dyDescent="0.3">
      <c r="A35" t="s">
        <v>142</v>
      </c>
      <c r="B35" t="s">
        <v>63</v>
      </c>
      <c r="C35">
        <v>7</v>
      </c>
      <c r="D35">
        <v>1</v>
      </c>
      <c r="E35">
        <v>7</v>
      </c>
      <c r="F35">
        <v>33293</v>
      </c>
      <c r="G35">
        <v>31</v>
      </c>
      <c r="H35" t="s">
        <v>69</v>
      </c>
      <c r="I35">
        <v>3166</v>
      </c>
      <c r="J35">
        <v>1.7</v>
      </c>
    </row>
    <row r="36" spans="1:10" x14ac:dyDescent="0.3">
      <c r="A36" t="s">
        <v>143</v>
      </c>
      <c r="B36" t="s">
        <v>63</v>
      </c>
      <c r="C36">
        <v>6</v>
      </c>
      <c r="D36">
        <v>1</v>
      </c>
      <c r="E36">
        <v>6</v>
      </c>
      <c r="F36">
        <v>30523</v>
      </c>
      <c r="G36">
        <v>34</v>
      </c>
      <c r="H36" t="s">
        <v>69</v>
      </c>
      <c r="I36">
        <v>3626</v>
      </c>
      <c r="J36">
        <v>3.1</v>
      </c>
    </row>
    <row r="37" spans="1:10" x14ac:dyDescent="0.3">
      <c r="A37" t="s">
        <v>144</v>
      </c>
      <c r="B37" t="s">
        <v>64</v>
      </c>
      <c r="C37">
        <v>5</v>
      </c>
      <c r="D37">
        <v>1</v>
      </c>
      <c r="E37">
        <v>5</v>
      </c>
      <c r="F37">
        <v>29715</v>
      </c>
      <c r="G37">
        <v>34</v>
      </c>
      <c r="H37" t="s">
        <v>67</v>
      </c>
      <c r="I37">
        <v>3332</v>
      </c>
      <c r="J37">
        <v>8.1999999999999993</v>
      </c>
    </row>
    <row r="38" spans="1:10" x14ac:dyDescent="0.3">
      <c r="A38" t="s">
        <v>145</v>
      </c>
      <c r="B38" t="s">
        <v>64</v>
      </c>
      <c r="C38">
        <v>3</v>
      </c>
      <c r="D38">
        <v>1</v>
      </c>
      <c r="E38">
        <v>3</v>
      </c>
      <c r="F38">
        <v>33894</v>
      </c>
      <c r="G38">
        <v>18</v>
      </c>
      <c r="H38" t="s">
        <v>67</v>
      </c>
      <c r="I38">
        <v>2342</v>
      </c>
      <c r="J38">
        <v>12.9</v>
      </c>
    </row>
    <row r="39" spans="1:10" x14ac:dyDescent="0.3">
      <c r="A39" t="s">
        <v>146</v>
      </c>
      <c r="B39" t="s">
        <v>63</v>
      </c>
      <c r="C39">
        <v>8</v>
      </c>
      <c r="D39">
        <v>1</v>
      </c>
      <c r="E39">
        <v>8</v>
      </c>
      <c r="F39">
        <v>21836</v>
      </c>
      <c r="G39">
        <v>44</v>
      </c>
      <c r="H39" t="s">
        <v>66</v>
      </c>
      <c r="I39">
        <v>4928</v>
      </c>
      <c r="J39">
        <v>10.6</v>
      </c>
    </row>
    <row r="40" spans="1:10" x14ac:dyDescent="0.3">
      <c r="A40" t="s">
        <v>147</v>
      </c>
      <c r="B40" t="s">
        <v>65</v>
      </c>
      <c r="C40">
        <v>6</v>
      </c>
      <c r="D40">
        <v>1</v>
      </c>
      <c r="E40">
        <v>6</v>
      </c>
      <c r="F40">
        <v>19918</v>
      </c>
      <c r="G40">
        <v>38</v>
      </c>
      <c r="H40" t="s">
        <v>67</v>
      </c>
      <c r="I40">
        <v>4302</v>
      </c>
      <c r="J40">
        <v>14.1</v>
      </c>
    </row>
    <row r="41" spans="1:10" x14ac:dyDescent="0.3">
      <c r="A41" t="s">
        <v>148</v>
      </c>
      <c r="B41" t="s">
        <v>62</v>
      </c>
      <c r="C41">
        <v>4</v>
      </c>
      <c r="D41">
        <v>1</v>
      </c>
      <c r="E41">
        <v>4</v>
      </c>
      <c r="F41">
        <v>41914</v>
      </c>
      <c r="G41">
        <v>20</v>
      </c>
      <c r="H41" t="s">
        <v>67</v>
      </c>
      <c r="I41">
        <v>3485</v>
      </c>
      <c r="J41">
        <v>13.6</v>
      </c>
    </row>
    <row r="42" spans="1:10" x14ac:dyDescent="0.3">
      <c r="A42" t="s">
        <v>149</v>
      </c>
      <c r="B42" t="s">
        <v>65</v>
      </c>
      <c r="C42">
        <v>2</v>
      </c>
      <c r="D42">
        <v>1</v>
      </c>
      <c r="E42">
        <v>2</v>
      </c>
      <c r="F42">
        <v>47811</v>
      </c>
      <c r="G42">
        <v>41</v>
      </c>
      <c r="H42" t="s">
        <v>66</v>
      </c>
      <c r="I42">
        <v>3233</v>
      </c>
      <c r="J42">
        <v>13.9</v>
      </c>
    </row>
    <row r="43" spans="1:10" x14ac:dyDescent="0.3">
      <c r="A43" t="s">
        <v>150</v>
      </c>
      <c r="B43" t="s">
        <v>64</v>
      </c>
      <c r="C43">
        <v>3</v>
      </c>
      <c r="D43">
        <v>1</v>
      </c>
      <c r="E43">
        <v>3</v>
      </c>
      <c r="F43">
        <v>31174</v>
      </c>
      <c r="G43">
        <v>33</v>
      </c>
      <c r="H43" t="s">
        <v>67</v>
      </c>
      <c r="I43">
        <v>2830</v>
      </c>
      <c r="J43">
        <v>2.2999999999999998</v>
      </c>
    </row>
    <row r="44" spans="1:10" x14ac:dyDescent="0.3">
      <c r="A44" t="s">
        <v>151</v>
      </c>
      <c r="B44" t="s">
        <v>63</v>
      </c>
      <c r="C44">
        <v>7</v>
      </c>
      <c r="D44">
        <v>1</v>
      </c>
      <c r="E44">
        <v>7</v>
      </c>
      <c r="F44">
        <v>39559</v>
      </c>
      <c r="G44">
        <v>23</v>
      </c>
      <c r="H44" t="s">
        <v>67</v>
      </c>
      <c r="I44">
        <v>3933</v>
      </c>
      <c r="J44">
        <v>3.8</v>
      </c>
    </row>
    <row r="45" spans="1:10" x14ac:dyDescent="0.3">
      <c r="A45" t="s">
        <v>152</v>
      </c>
      <c r="B45" t="s">
        <v>65</v>
      </c>
      <c r="C45">
        <v>8</v>
      </c>
      <c r="D45">
        <v>1</v>
      </c>
      <c r="E45">
        <v>8</v>
      </c>
      <c r="F45">
        <v>30923</v>
      </c>
      <c r="G45">
        <v>15</v>
      </c>
      <c r="H45" t="s">
        <v>67</v>
      </c>
      <c r="I45">
        <v>4010</v>
      </c>
      <c r="J45">
        <v>5.5</v>
      </c>
    </row>
    <row r="46" spans="1:10" x14ac:dyDescent="0.3">
      <c r="A46" t="s">
        <v>153</v>
      </c>
      <c r="B46" t="s">
        <v>64</v>
      </c>
      <c r="C46">
        <v>8</v>
      </c>
      <c r="D46">
        <v>1</v>
      </c>
      <c r="E46">
        <v>8</v>
      </c>
      <c r="F46">
        <v>31582</v>
      </c>
      <c r="G46">
        <v>36</v>
      </c>
      <c r="H46" t="s">
        <v>67</v>
      </c>
      <c r="I46">
        <v>4615</v>
      </c>
      <c r="J46">
        <v>10.9</v>
      </c>
    </row>
    <row r="47" spans="1:10" x14ac:dyDescent="0.3">
      <c r="A47" t="s">
        <v>154</v>
      </c>
      <c r="B47" t="s">
        <v>63</v>
      </c>
      <c r="C47">
        <v>7</v>
      </c>
      <c r="D47">
        <v>1</v>
      </c>
      <c r="E47">
        <v>7</v>
      </c>
      <c r="F47">
        <v>26514</v>
      </c>
      <c r="G47">
        <v>46</v>
      </c>
      <c r="H47" t="s">
        <v>68</v>
      </c>
      <c r="I47">
        <v>3697</v>
      </c>
      <c r="J47">
        <v>6.2</v>
      </c>
    </row>
    <row r="48" spans="1:10" x14ac:dyDescent="0.3">
      <c r="A48" t="s">
        <v>155</v>
      </c>
      <c r="B48" t="s">
        <v>63</v>
      </c>
      <c r="C48">
        <v>3</v>
      </c>
      <c r="D48">
        <v>1</v>
      </c>
      <c r="E48">
        <v>3</v>
      </c>
      <c r="F48">
        <v>29121</v>
      </c>
      <c r="G48">
        <v>27</v>
      </c>
      <c r="H48" t="s">
        <v>68</v>
      </c>
      <c r="I48">
        <v>2893</v>
      </c>
      <c r="J48">
        <v>13.1</v>
      </c>
    </row>
    <row r="49" spans="1:10" x14ac:dyDescent="0.3">
      <c r="A49" t="s">
        <v>156</v>
      </c>
      <c r="B49" t="s">
        <v>62</v>
      </c>
      <c r="C49">
        <v>4</v>
      </c>
      <c r="D49">
        <v>1</v>
      </c>
      <c r="E49">
        <v>4</v>
      </c>
      <c r="F49">
        <v>30844</v>
      </c>
      <c r="G49">
        <v>41</v>
      </c>
      <c r="H49" t="s">
        <v>68</v>
      </c>
      <c r="I49">
        <v>2389</v>
      </c>
      <c r="J49">
        <v>11</v>
      </c>
    </row>
    <row r="50" spans="1:10" x14ac:dyDescent="0.3">
      <c r="A50" t="s">
        <v>157</v>
      </c>
      <c r="B50" t="s">
        <v>64</v>
      </c>
      <c r="C50">
        <v>3</v>
      </c>
      <c r="D50">
        <v>1</v>
      </c>
      <c r="E50">
        <v>3</v>
      </c>
      <c r="F50">
        <v>26406</v>
      </c>
      <c r="G50">
        <v>39</v>
      </c>
      <c r="H50" t="s">
        <v>68</v>
      </c>
      <c r="I50">
        <v>2060</v>
      </c>
      <c r="J50">
        <v>1.7</v>
      </c>
    </row>
    <row r="51" spans="1:10" x14ac:dyDescent="0.3">
      <c r="A51" t="s">
        <v>158</v>
      </c>
      <c r="B51" t="s">
        <v>63</v>
      </c>
      <c r="C51">
        <v>3</v>
      </c>
      <c r="D51">
        <v>1</v>
      </c>
      <c r="E51">
        <v>3</v>
      </c>
      <c r="F51">
        <v>32899</v>
      </c>
      <c r="G51">
        <v>36</v>
      </c>
      <c r="H51" t="s">
        <v>68</v>
      </c>
      <c r="I51">
        <v>2254</v>
      </c>
      <c r="J51">
        <v>10.8</v>
      </c>
    </row>
    <row r="52" spans="1:10" x14ac:dyDescent="0.3">
      <c r="A52" t="s">
        <v>159</v>
      </c>
      <c r="B52" t="s">
        <v>65</v>
      </c>
      <c r="C52">
        <v>6</v>
      </c>
      <c r="D52">
        <v>1</v>
      </c>
      <c r="E52">
        <v>6</v>
      </c>
      <c r="F52">
        <v>33920</v>
      </c>
      <c r="G52">
        <v>7</v>
      </c>
      <c r="H52" t="s">
        <v>67</v>
      </c>
      <c r="I52">
        <v>3102</v>
      </c>
      <c r="J52">
        <v>3.6</v>
      </c>
    </row>
    <row r="53" spans="1:10" x14ac:dyDescent="0.3">
      <c r="A53" t="s">
        <v>160</v>
      </c>
      <c r="B53" t="s">
        <v>63</v>
      </c>
      <c r="C53">
        <v>8</v>
      </c>
      <c r="D53">
        <v>1</v>
      </c>
      <c r="E53">
        <v>8</v>
      </c>
      <c r="F53">
        <v>49779</v>
      </c>
      <c r="G53">
        <v>18</v>
      </c>
      <c r="H53" t="s">
        <v>68</v>
      </c>
      <c r="I53">
        <v>3994</v>
      </c>
      <c r="J53">
        <v>12.6</v>
      </c>
    </row>
    <row r="54" spans="1:10" x14ac:dyDescent="0.3">
      <c r="A54" t="s">
        <v>161</v>
      </c>
      <c r="B54" t="s">
        <v>65</v>
      </c>
      <c r="C54">
        <v>6</v>
      </c>
      <c r="D54">
        <v>1</v>
      </c>
      <c r="E54">
        <v>6</v>
      </c>
      <c r="F54">
        <v>48079</v>
      </c>
      <c r="G54">
        <v>45</v>
      </c>
      <c r="H54" t="s">
        <v>69</v>
      </c>
      <c r="I54">
        <v>4215</v>
      </c>
      <c r="J54">
        <v>12.4</v>
      </c>
    </row>
    <row r="55" spans="1:10" x14ac:dyDescent="0.3">
      <c r="A55" t="s">
        <v>162</v>
      </c>
      <c r="B55" t="s">
        <v>62</v>
      </c>
      <c r="C55">
        <v>5</v>
      </c>
      <c r="D55">
        <v>1</v>
      </c>
      <c r="E55">
        <v>5</v>
      </c>
      <c r="F55">
        <v>30056</v>
      </c>
      <c r="G55">
        <v>6</v>
      </c>
      <c r="H55" t="s">
        <v>69</v>
      </c>
      <c r="I55">
        <v>3080</v>
      </c>
      <c r="J55">
        <v>14.3</v>
      </c>
    </row>
    <row r="56" spans="1:10" x14ac:dyDescent="0.3">
      <c r="A56" t="s">
        <v>163</v>
      </c>
      <c r="B56" t="s">
        <v>65</v>
      </c>
      <c r="C56">
        <v>2</v>
      </c>
      <c r="D56">
        <v>1</v>
      </c>
      <c r="E56">
        <v>2</v>
      </c>
      <c r="F56">
        <v>34663</v>
      </c>
      <c r="G56">
        <v>15</v>
      </c>
      <c r="H56" t="s">
        <v>66</v>
      </c>
      <c r="I56">
        <v>3164</v>
      </c>
      <c r="J56">
        <v>11.3</v>
      </c>
    </row>
    <row r="57" spans="1:10" x14ac:dyDescent="0.3">
      <c r="A57" t="s">
        <v>164</v>
      </c>
      <c r="B57" t="s">
        <v>63</v>
      </c>
      <c r="C57">
        <v>2</v>
      </c>
      <c r="D57">
        <v>1</v>
      </c>
      <c r="E57">
        <v>2</v>
      </c>
      <c r="F57">
        <v>25995</v>
      </c>
      <c r="G57">
        <v>22</v>
      </c>
      <c r="H57" t="s">
        <v>68</v>
      </c>
      <c r="I57">
        <v>1975</v>
      </c>
      <c r="J57">
        <v>14.2</v>
      </c>
    </row>
    <row r="58" spans="1:10" x14ac:dyDescent="0.3">
      <c r="A58" t="s">
        <v>165</v>
      </c>
      <c r="B58" t="s">
        <v>63</v>
      </c>
      <c r="C58">
        <v>7</v>
      </c>
      <c r="D58">
        <v>1</v>
      </c>
      <c r="E58">
        <v>7</v>
      </c>
      <c r="F58">
        <v>32713</v>
      </c>
      <c r="G58">
        <v>22</v>
      </c>
      <c r="H58" t="s">
        <v>68</v>
      </c>
      <c r="I58">
        <v>3138</v>
      </c>
      <c r="J58">
        <v>7.1</v>
      </c>
    </row>
    <row r="59" spans="1:10" x14ac:dyDescent="0.3">
      <c r="A59" t="s">
        <v>166</v>
      </c>
      <c r="B59" t="s">
        <v>62</v>
      </c>
      <c r="C59">
        <v>8</v>
      </c>
      <c r="D59">
        <v>1</v>
      </c>
      <c r="E59">
        <v>8</v>
      </c>
      <c r="F59">
        <v>31060</v>
      </c>
      <c r="G59">
        <v>22</v>
      </c>
      <c r="H59" t="s">
        <v>66</v>
      </c>
      <c r="I59">
        <v>4591</v>
      </c>
      <c r="J59">
        <v>3.3</v>
      </c>
    </row>
    <row r="60" spans="1:10" x14ac:dyDescent="0.3">
      <c r="A60" t="s">
        <v>167</v>
      </c>
      <c r="B60" t="s">
        <v>65</v>
      </c>
      <c r="C60">
        <v>2</v>
      </c>
      <c r="D60">
        <v>1</v>
      </c>
      <c r="E60">
        <v>2</v>
      </c>
      <c r="F60">
        <v>40489</v>
      </c>
      <c r="G60">
        <v>46</v>
      </c>
      <c r="H60" t="s">
        <v>67</v>
      </c>
      <c r="I60">
        <v>2927</v>
      </c>
      <c r="J60">
        <v>4.4000000000000004</v>
      </c>
    </row>
    <row r="61" spans="1:10" x14ac:dyDescent="0.3">
      <c r="A61" t="s">
        <v>168</v>
      </c>
      <c r="B61" t="s">
        <v>62</v>
      </c>
      <c r="C61">
        <v>5</v>
      </c>
      <c r="D61">
        <v>1</v>
      </c>
      <c r="E61">
        <v>5</v>
      </c>
      <c r="F61">
        <v>22019</v>
      </c>
      <c r="G61">
        <v>43</v>
      </c>
      <c r="H61" t="s">
        <v>68</v>
      </c>
      <c r="I61">
        <v>3587</v>
      </c>
      <c r="J61">
        <v>7.8</v>
      </c>
    </row>
    <row r="62" spans="1:10" x14ac:dyDescent="0.3">
      <c r="A62" t="s">
        <v>169</v>
      </c>
      <c r="B62" t="s">
        <v>65</v>
      </c>
      <c r="C62">
        <v>8</v>
      </c>
      <c r="D62">
        <v>1</v>
      </c>
      <c r="E62">
        <v>8</v>
      </c>
      <c r="F62">
        <v>27723</v>
      </c>
      <c r="G62">
        <v>40</v>
      </c>
      <c r="H62" t="s">
        <v>67</v>
      </c>
      <c r="I62">
        <v>4890</v>
      </c>
      <c r="J62">
        <v>2.4</v>
      </c>
    </row>
    <row r="63" spans="1:10" x14ac:dyDescent="0.3">
      <c r="A63" t="s">
        <v>170</v>
      </c>
      <c r="B63" t="s">
        <v>65</v>
      </c>
      <c r="C63">
        <v>3</v>
      </c>
      <c r="D63">
        <v>1</v>
      </c>
      <c r="E63">
        <v>3</v>
      </c>
      <c r="F63">
        <v>49585</v>
      </c>
      <c r="G63">
        <v>26</v>
      </c>
      <c r="H63" t="s">
        <v>68</v>
      </c>
      <c r="I63">
        <v>3018</v>
      </c>
      <c r="J63">
        <v>13.4</v>
      </c>
    </row>
    <row r="64" spans="1:10" x14ac:dyDescent="0.3">
      <c r="A64" t="s">
        <v>171</v>
      </c>
      <c r="B64" t="s">
        <v>65</v>
      </c>
      <c r="C64">
        <v>3</v>
      </c>
      <c r="D64">
        <v>1</v>
      </c>
      <c r="E64">
        <v>3</v>
      </c>
      <c r="F64">
        <v>27168</v>
      </c>
      <c r="G64">
        <v>41</v>
      </c>
      <c r="H64" t="s">
        <v>67</v>
      </c>
      <c r="I64">
        <v>2839</v>
      </c>
      <c r="J64">
        <v>14.4</v>
      </c>
    </row>
    <row r="65" spans="1:10" x14ac:dyDescent="0.3">
      <c r="A65" t="s">
        <v>172</v>
      </c>
      <c r="B65" t="s">
        <v>62</v>
      </c>
      <c r="C65">
        <v>4</v>
      </c>
      <c r="D65">
        <v>1</v>
      </c>
      <c r="E65">
        <v>4</v>
      </c>
      <c r="F65">
        <v>30514</v>
      </c>
      <c r="G65">
        <v>32</v>
      </c>
      <c r="H65" t="s">
        <v>68</v>
      </c>
      <c r="I65">
        <v>3498</v>
      </c>
      <c r="J65">
        <v>11.3</v>
      </c>
    </row>
    <row r="66" spans="1:10" x14ac:dyDescent="0.3">
      <c r="A66" t="s">
        <v>173</v>
      </c>
      <c r="B66" t="s">
        <v>62</v>
      </c>
      <c r="C66">
        <v>3</v>
      </c>
      <c r="D66">
        <v>1</v>
      </c>
      <c r="E66">
        <v>3</v>
      </c>
      <c r="F66">
        <v>30786</v>
      </c>
      <c r="G66">
        <v>55</v>
      </c>
      <c r="H66" t="s">
        <v>67</v>
      </c>
      <c r="I66">
        <v>2871</v>
      </c>
      <c r="J66">
        <v>14.2</v>
      </c>
    </row>
    <row r="67" spans="1:10" x14ac:dyDescent="0.3">
      <c r="A67" t="s">
        <v>174</v>
      </c>
      <c r="B67" t="s">
        <v>65</v>
      </c>
      <c r="C67">
        <v>6</v>
      </c>
      <c r="D67">
        <v>1</v>
      </c>
      <c r="E67">
        <v>6</v>
      </c>
      <c r="F67">
        <v>37782</v>
      </c>
      <c r="G67">
        <v>42</v>
      </c>
      <c r="H67" t="s">
        <v>67</v>
      </c>
      <c r="I67">
        <v>4110</v>
      </c>
      <c r="J67">
        <v>6.9</v>
      </c>
    </row>
    <row r="68" spans="1:10" x14ac:dyDescent="0.3">
      <c r="A68" t="s">
        <v>175</v>
      </c>
      <c r="B68" t="s">
        <v>63</v>
      </c>
      <c r="C68">
        <v>8</v>
      </c>
      <c r="D68">
        <v>1</v>
      </c>
      <c r="E68">
        <v>8</v>
      </c>
      <c r="F68">
        <v>34928</v>
      </c>
      <c r="G68">
        <v>13</v>
      </c>
      <c r="H68" t="s">
        <v>67</v>
      </c>
      <c r="I68">
        <v>4427</v>
      </c>
      <c r="J68">
        <v>10</v>
      </c>
    </row>
    <row r="69" spans="1:10" x14ac:dyDescent="0.3">
      <c r="A69" t="s">
        <v>176</v>
      </c>
      <c r="B69" t="s">
        <v>65</v>
      </c>
      <c r="C69">
        <v>2</v>
      </c>
      <c r="D69">
        <v>1</v>
      </c>
      <c r="E69">
        <v>2</v>
      </c>
      <c r="F69">
        <v>23517</v>
      </c>
      <c r="G69">
        <v>28</v>
      </c>
      <c r="H69" t="s">
        <v>68</v>
      </c>
      <c r="I69">
        <v>2079</v>
      </c>
      <c r="J69">
        <v>9</v>
      </c>
    </row>
    <row r="70" spans="1:10" x14ac:dyDescent="0.3">
      <c r="A70" t="s">
        <v>177</v>
      </c>
      <c r="B70" t="s">
        <v>65</v>
      </c>
      <c r="C70">
        <v>2</v>
      </c>
      <c r="D70">
        <v>1</v>
      </c>
      <c r="E70">
        <v>2</v>
      </c>
      <c r="F70">
        <v>37461</v>
      </c>
      <c r="G70">
        <v>10</v>
      </c>
      <c r="H70" t="s">
        <v>68</v>
      </c>
      <c r="I70">
        <v>2007</v>
      </c>
      <c r="J70">
        <v>7.1</v>
      </c>
    </row>
    <row r="71" spans="1:10" x14ac:dyDescent="0.3">
      <c r="A71" t="s">
        <v>178</v>
      </c>
      <c r="B71" t="s">
        <v>62</v>
      </c>
      <c r="C71">
        <v>8</v>
      </c>
      <c r="D71">
        <v>1</v>
      </c>
      <c r="E71">
        <v>8</v>
      </c>
      <c r="F71">
        <v>27092</v>
      </c>
      <c r="G71">
        <v>48</v>
      </c>
      <c r="H71" t="s">
        <v>68</v>
      </c>
      <c r="I71">
        <v>4452</v>
      </c>
      <c r="J71">
        <v>4.8</v>
      </c>
    </row>
    <row r="72" spans="1:10" x14ac:dyDescent="0.3">
      <c r="A72" t="s">
        <v>179</v>
      </c>
      <c r="B72" t="s">
        <v>65</v>
      </c>
      <c r="C72">
        <v>8</v>
      </c>
      <c r="D72">
        <v>1</v>
      </c>
      <c r="E72">
        <v>8</v>
      </c>
      <c r="F72">
        <v>19528</v>
      </c>
      <c r="G72">
        <v>21</v>
      </c>
      <c r="H72" t="s">
        <v>68</v>
      </c>
      <c r="I72">
        <v>3674</v>
      </c>
      <c r="J72">
        <v>10.4</v>
      </c>
    </row>
    <row r="73" spans="1:10" x14ac:dyDescent="0.3">
      <c r="A73" t="s">
        <v>180</v>
      </c>
      <c r="B73" t="s">
        <v>65</v>
      </c>
      <c r="C73">
        <v>5</v>
      </c>
      <c r="D73">
        <v>1</v>
      </c>
      <c r="E73">
        <v>5</v>
      </c>
      <c r="F73">
        <v>18069</v>
      </c>
      <c r="G73">
        <v>43</v>
      </c>
      <c r="H73" t="s">
        <v>68</v>
      </c>
      <c r="I73">
        <v>3575</v>
      </c>
      <c r="J73">
        <v>0.8</v>
      </c>
    </row>
    <row r="74" spans="1:10" x14ac:dyDescent="0.3">
      <c r="A74" t="s">
        <v>181</v>
      </c>
      <c r="B74" t="s">
        <v>65</v>
      </c>
      <c r="C74">
        <v>5</v>
      </c>
      <c r="D74">
        <v>1</v>
      </c>
      <c r="E74">
        <v>5</v>
      </c>
      <c r="F74">
        <v>18964</v>
      </c>
      <c r="G74">
        <v>42</v>
      </c>
      <c r="H74" t="s">
        <v>67</v>
      </c>
      <c r="I74">
        <v>3496</v>
      </c>
      <c r="J74">
        <v>13.5</v>
      </c>
    </row>
    <row r="75" spans="1:10" x14ac:dyDescent="0.3">
      <c r="A75" t="s">
        <v>182</v>
      </c>
      <c r="B75" t="s">
        <v>62</v>
      </c>
      <c r="C75">
        <v>4</v>
      </c>
      <c r="D75">
        <v>1</v>
      </c>
      <c r="E75">
        <v>4</v>
      </c>
      <c r="F75">
        <v>30279</v>
      </c>
      <c r="G75">
        <v>34</v>
      </c>
      <c r="H75" t="s">
        <v>67</v>
      </c>
      <c r="I75">
        <v>2333</v>
      </c>
      <c r="J75">
        <v>10.199999999999999</v>
      </c>
    </row>
    <row r="76" spans="1:10" x14ac:dyDescent="0.3">
      <c r="A76" t="s">
        <v>183</v>
      </c>
      <c r="B76" t="s">
        <v>65</v>
      </c>
      <c r="C76">
        <v>8</v>
      </c>
      <c r="D76">
        <v>1</v>
      </c>
      <c r="E76">
        <v>8</v>
      </c>
      <c r="F76">
        <v>31804</v>
      </c>
      <c r="G76">
        <v>40</v>
      </c>
      <c r="H76" t="s">
        <v>67</v>
      </c>
      <c r="I76">
        <v>4223</v>
      </c>
      <c r="J76">
        <v>9</v>
      </c>
    </row>
    <row r="77" spans="1:10" x14ac:dyDescent="0.3">
      <c r="A77" t="s">
        <v>184</v>
      </c>
      <c r="B77" t="s">
        <v>65</v>
      </c>
      <c r="C77">
        <v>6</v>
      </c>
      <c r="D77">
        <v>1</v>
      </c>
      <c r="E77">
        <v>6</v>
      </c>
      <c r="F77">
        <v>26038</v>
      </c>
      <c r="G77">
        <v>41</v>
      </c>
      <c r="H77" t="s">
        <v>69</v>
      </c>
      <c r="I77">
        <v>3524</v>
      </c>
      <c r="J77">
        <v>8.3000000000000007</v>
      </c>
    </row>
    <row r="78" spans="1:10" x14ac:dyDescent="0.3">
      <c r="A78" t="s">
        <v>185</v>
      </c>
      <c r="B78" t="s">
        <v>62</v>
      </c>
      <c r="C78">
        <v>4</v>
      </c>
      <c r="D78">
        <v>1</v>
      </c>
      <c r="E78">
        <v>4</v>
      </c>
      <c r="F78">
        <v>51473</v>
      </c>
      <c r="G78">
        <v>21</v>
      </c>
      <c r="H78" t="s">
        <v>68</v>
      </c>
      <c r="I78">
        <v>3540</v>
      </c>
      <c r="J78">
        <v>5.8</v>
      </c>
    </row>
    <row r="79" spans="1:10" x14ac:dyDescent="0.3">
      <c r="A79" t="s">
        <v>186</v>
      </c>
      <c r="B79" t="s">
        <v>64</v>
      </c>
      <c r="C79">
        <v>7</v>
      </c>
      <c r="D79">
        <v>1</v>
      </c>
      <c r="E79">
        <v>7</v>
      </c>
      <c r="F79">
        <v>23486</v>
      </c>
      <c r="G79">
        <v>42</v>
      </c>
      <c r="H79" t="s">
        <v>68</v>
      </c>
      <c r="I79">
        <v>3903</v>
      </c>
      <c r="J79">
        <v>5.9</v>
      </c>
    </row>
    <row r="80" spans="1:10" x14ac:dyDescent="0.3">
      <c r="A80" t="s">
        <v>187</v>
      </c>
      <c r="B80" t="s">
        <v>64</v>
      </c>
      <c r="C80">
        <v>4</v>
      </c>
      <c r="D80">
        <v>1</v>
      </c>
      <c r="E80">
        <v>4</v>
      </c>
      <c r="F80">
        <v>22112</v>
      </c>
      <c r="G80">
        <v>34</v>
      </c>
      <c r="H80" t="s">
        <v>68</v>
      </c>
      <c r="I80">
        <v>2281</v>
      </c>
      <c r="J80">
        <v>8.1999999999999993</v>
      </c>
    </row>
    <row r="81" spans="1:10" x14ac:dyDescent="0.3">
      <c r="A81" t="s">
        <v>188</v>
      </c>
      <c r="B81" t="s">
        <v>64</v>
      </c>
      <c r="C81">
        <v>2</v>
      </c>
      <c r="D81">
        <v>1</v>
      </c>
      <c r="E81">
        <v>2</v>
      </c>
      <c r="F81">
        <v>38242</v>
      </c>
      <c r="G81">
        <v>25</v>
      </c>
      <c r="H81" t="s">
        <v>67</v>
      </c>
      <c r="I81">
        <v>1939</v>
      </c>
      <c r="J81">
        <v>3.1</v>
      </c>
    </row>
    <row r="82" spans="1:10" x14ac:dyDescent="0.3">
      <c r="A82" t="s">
        <v>189</v>
      </c>
      <c r="B82" t="s">
        <v>63</v>
      </c>
      <c r="C82">
        <v>8</v>
      </c>
      <c r="D82">
        <v>1</v>
      </c>
      <c r="E82">
        <v>8</v>
      </c>
      <c r="F82">
        <v>37993</v>
      </c>
      <c r="G82">
        <v>53</v>
      </c>
      <c r="H82" t="s">
        <v>66</v>
      </c>
      <c r="I82">
        <v>3760</v>
      </c>
      <c r="J82">
        <v>1.4</v>
      </c>
    </row>
    <row r="83" spans="1:10" x14ac:dyDescent="0.3">
      <c r="A83" t="s">
        <v>190</v>
      </c>
      <c r="B83" t="s">
        <v>64</v>
      </c>
      <c r="C83">
        <v>4</v>
      </c>
      <c r="D83">
        <v>1</v>
      </c>
      <c r="E83">
        <v>4</v>
      </c>
      <c r="F83">
        <v>30619</v>
      </c>
      <c r="G83">
        <v>48</v>
      </c>
      <c r="H83" t="s">
        <v>69</v>
      </c>
      <c r="I83">
        <v>3045</v>
      </c>
      <c r="J83">
        <v>6.2</v>
      </c>
    </row>
    <row r="84" spans="1:10" x14ac:dyDescent="0.3">
      <c r="A84" t="s">
        <v>191</v>
      </c>
      <c r="B84" t="s">
        <v>64</v>
      </c>
      <c r="C84">
        <v>8</v>
      </c>
      <c r="D84">
        <v>1</v>
      </c>
      <c r="E84">
        <v>8</v>
      </c>
      <c r="F84">
        <v>35060</v>
      </c>
      <c r="G84">
        <v>22</v>
      </c>
      <c r="H84" t="s">
        <v>66</v>
      </c>
      <c r="I84">
        <v>3512</v>
      </c>
      <c r="J84">
        <v>1</v>
      </c>
    </row>
    <row r="85" spans="1:10" x14ac:dyDescent="0.3">
      <c r="A85" t="s">
        <v>192</v>
      </c>
      <c r="B85" t="s">
        <v>65</v>
      </c>
      <c r="C85">
        <v>5</v>
      </c>
      <c r="D85">
        <v>1</v>
      </c>
      <c r="E85">
        <v>5</v>
      </c>
      <c r="F85">
        <v>32235</v>
      </c>
      <c r="G85">
        <v>43</v>
      </c>
      <c r="H85" t="s">
        <v>69</v>
      </c>
      <c r="I85">
        <v>3689</v>
      </c>
      <c r="J85">
        <v>4.7</v>
      </c>
    </row>
    <row r="86" spans="1:10" x14ac:dyDescent="0.3">
      <c r="A86" t="s">
        <v>193</v>
      </c>
      <c r="B86" t="s">
        <v>63</v>
      </c>
      <c r="C86">
        <v>4</v>
      </c>
      <c r="D86">
        <v>1</v>
      </c>
      <c r="E86">
        <v>4</v>
      </c>
      <c r="F86">
        <v>23867</v>
      </c>
      <c r="G86">
        <v>9</v>
      </c>
      <c r="H86" t="s">
        <v>67</v>
      </c>
      <c r="I86">
        <v>2745</v>
      </c>
      <c r="J86">
        <v>12</v>
      </c>
    </row>
    <row r="87" spans="1:10" x14ac:dyDescent="0.3">
      <c r="A87" t="s">
        <v>194</v>
      </c>
      <c r="B87" t="s">
        <v>63</v>
      </c>
      <c r="C87">
        <v>6</v>
      </c>
      <c r="D87">
        <v>1</v>
      </c>
      <c r="E87">
        <v>6</v>
      </c>
      <c r="F87">
        <v>23421</v>
      </c>
      <c r="G87">
        <v>8</v>
      </c>
      <c r="H87" t="s">
        <v>67</v>
      </c>
      <c r="I87">
        <v>3444</v>
      </c>
      <c r="J87">
        <v>3.1</v>
      </c>
    </row>
    <row r="88" spans="1:10" x14ac:dyDescent="0.3">
      <c r="A88" t="s">
        <v>195</v>
      </c>
      <c r="B88" t="s">
        <v>62</v>
      </c>
      <c r="C88">
        <v>3</v>
      </c>
      <c r="D88">
        <v>1</v>
      </c>
      <c r="E88">
        <v>3</v>
      </c>
      <c r="F88">
        <v>41420</v>
      </c>
      <c r="G88">
        <v>33</v>
      </c>
      <c r="H88" t="s">
        <v>69</v>
      </c>
      <c r="I88">
        <v>2875</v>
      </c>
      <c r="J88">
        <v>3.9</v>
      </c>
    </row>
    <row r="89" spans="1:10" x14ac:dyDescent="0.3">
      <c r="A89" t="s">
        <v>196</v>
      </c>
      <c r="B89" t="s">
        <v>65</v>
      </c>
      <c r="C89">
        <v>4</v>
      </c>
      <c r="D89">
        <v>1</v>
      </c>
      <c r="E89">
        <v>4</v>
      </c>
      <c r="F89">
        <v>29430</v>
      </c>
      <c r="G89">
        <v>27</v>
      </c>
      <c r="H89" t="s">
        <v>67</v>
      </c>
      <c r="I89">
        <v>2909</v>
      </c>
      <c r="J89">
        <v>9</v>
      </c>
    </row>
    <row r="90" spans="1:10" x14ac:dyDescent="0.3">
      <c r="A90" t="s">
        <v>197</v>
      </c>
      <c r="B90" t="s">
        <v>63</v>
      </c>
      <c r="C90">
        <v>3</v>
      </c>
      <c r="D90">
        <v>1</v>
      </c>
      <c r="E90">
        <v>3</v>
      </c>
      <c r="F90">
        <v>23081</v>
      </c>
      <c r="G90">
        <v>26</v>
      </c>
      <c r="H90" t="s">
        <v>67</v>
      </c>
      <c r="I90">
        <v>2407</v>
      </c>
      <c r="J90">
        <v>6.1</v>
      </c>
    </row>
    <row r="91" spans="1:10" x14ac:dyDescent="0.3">
      <c r="A91" t="s">
        <v>198</v>
      </c>
      <c r="B91" t="s">
        <v>62</v>
      </c>
      <c r="C91">
        <v>4</v>
      </c>
      <c r="D91">
        <v>1</v>
      </c>
      <c r="E91">
        <v>4</v>
      </c>
      <c r="F91">
        <v>25384</v>
      </c>
      <c r="G91">
        <v>19</v>
      </c>
      <c r="H91" t="s">
        <v>67</v>
      </c>
      <c r="I91">
        <v>2810</v>
      </c>
      <c r="J91">
        <v>4.5999999999999996</v>
      </c>
    </row>
    <row r="92" spans="1:10" x14ac:dyDescent="0.3">
      <c r="A92" t="s">
        <v>199</v>
      </c>
      <c r="B92" t="s">
        <v>65</v>
      </c>
      <c r="C92">
        <v>6</v>
      </c>
      <c r="D92">
        <v>1</v>
      </c>
      <c r="E92">
        <v>6</v>
      </c>
      <c r="F92">
        <v>29883</v>
      </c>
      <c r="G92">
        <v>43</v>
      </c>
      <c r="H92" t="s">
        <v>67</v>
      </c>
      <c r="I92">
        <v>3424</v>
      </c>
      <c r="J92">
        <v>5</v>
      </c>
    </row>
    <row r="93" spans="1:10" x14ac:dyDescent="0.3">
      <c r="A93" t="s">
        <v>200</v>
      </c>
      <c r="B93" t="s">
        <v>65</v>
      </c>
      <c r="C93">
        <v>5</v>
      </c>
      <c r="D93">
        <v>1</v>
      </c>
      <c r="E93">
        <v>5</v>
      </c>
      <c r="F93">
        <v>37398</v>
      </c>
      <c r="G93">
        <v>27</v>
      </c>
      <c r="H93" t="s">
        <v>68</v>
      </c>
      <c r="I93">
        <v>4062</v>
      </c>
      <c r="J93">
        <v>5.8</v>
      </c>
    </row>
    <row r="94" spans="1:10" x14ac:dyDescent="0.3">
      <c r="A94" t="s">
        <v>201</v>
      </c>
      <c r="B94" t="s">
        <v>62</v>
      </c>
      <c r="C94">
        <v>6</v>
      </c>
      <c r="D94">
        <v>1</v>
      </c>
      <c r="E94">
        <v>6</v>
      </c>
      <c r="F94">
        <v>48669</v>
      </c>
      <c r="G94">
        <v>48</v>
      </c>
      <c r="H94" t="s">
        <v>69</v>
      </c>
      <c r="I94">
        <v>3807</v>
      </c>
      <c r="J94">
        <v>14.1</v>
      </c>
    </row>
    <row r="95" spans="1:10" x14ac:dyDescent="0.3">
      <c r="A95" t="s">
        <v>202</v>
      </c>
      <c r="B95" t="s">
        <v>62</v>
      </c>
      <c r="C95">
        <v>4</v>
      </c>
      <c r="D95">
        <v>1</v>
      </c>
      <c r="E95">
        <v>4</v>
      </c>
      <c r="F95">
        <v>48620</v>
      </c>
      <c r="G95">
        <v>14</v>
      </c>
      <c r="H95" t="s">
        <v>68</v>
      </c>
      <c r="I95">
        <v>3656</v>
      </c>
      <c r="J95">
        <v>1.4</v>
      </c>
    </row>
    <row r="96" spans="1:10" x14ac:dyDescent="0.3">
      <c r="A96" t="s">
        <v>203</v>
      </c>
      <c r="B96" t="s">
        <v>63</v>
      </c>
      <c r="C96">
        <v>6</v>
      </c>
      <c r="D96">
        <v>1</v>
      </c>
      <c r="E96">
        <v>6</v>
      </c>
      <c r="F96">
        <v>30014</v>
      </c>
      <c r="G96">
        <v>8</v>
      </c>
      <c r="H96" t="s">
        <v>69</v>
      </c>
      <c r="I96">
        <v>4067</v>
      </c>
      <c r="J96">
        <v>13.3</v>
      </c>
    </row>
    <row r="97" spans="1:10" x14ac:dyDescent="0.3">
      <c r="A97" t="s">
        <v>204</v>
      </c>
      <c r="B97" t="s">
        <v>62</v>
      </c>
      <c r="C97">
        <v>8</v>
      </c>
      <c r="D97">
        <v>1</v>
      </c>
      <c r="E97">
        <v>8</v>
      </c>
      <c r="F97">
        <v>33626</v>
      </c>
      <c r="G97">
        <v>41</v>
      </c>
      <c r="H97" t="s">
        <v>68</v>
      </c>
      <c r="I97">
        <v>4929</v>
      </c>
      <c r="J97">
        <v>0.7</v>
      </c>
    </row>
    <row r="98" spans="1:10" x14ac:dyDescent="0.3">
      <c r="A98" t="s">
        <v>205</v>
      </c>
      <c r="B98" t="s">
        <v>65</v>
      </c>
      <c r="C98">
        <v>2</v>
      </c>
      <c r="D98">
        <v>1</v>
      </c>
      <c r="E98">
        <v>2</v>
      </c>
      <c r="F98">
        <v>37565</v>
      </c>
      <c r="G98">
        <v>52</v>
      </c>
      <c r="H98" t="s">
        <v>67</v>
      </c>
      <c r="I98">
        <v>3304</v>
      </c>
      <c r="J98">
        <v>10.1</v>
      </c>
    </row>
    <row r="99" spans="1:10" x14ac:dyDescent="0.3">
      <c r="A99" t="s">
        <v>206</v>
      </c>
      <c r="B99" t="s">
        <v>62</v>
      </c>
      <c r="C99">
        <v>3</v>
      </c>
      <c r="D99">
        <v>1</v>
      </c>
      <c r="E99">
        <v>3</v>
      </c>
      <c r="F99">
        <v>33378</v>
      </c>
      <c r="G99">
        <v>10</v>
      </c>
      <c r="H99" t="s">
        <v>66</v>
      </c>
      <c r="I99">
        <v>2429</v>
      </c>
      <c r="J99">
        <v>8.6999999999999993</v>
      </c>
    </row>
    <row r="100" spans="1:10" x14ac:dyDescent="0.3">
      <c r="A100" t="s">
        <v>207</v>
      </c>
      <c r="B100" t="s">
        <v>62</v>
      </c>
      <c r="C100">
        <v>6</v>
      </c>
      <c r="D100">
        <v>1</v>
      </c>
      <c r="E100">
        <v>6</v>
      </c>
      <c r="F100">
        <v>20351</v>
      </c>
      <c r="G100">
        <v>24</v>
      </c>
      <c r="H100" t="s">
        <v>69</v>
      </c>
      <c r="I100">
        <v>3231</v>
      </c>
      <c r="J100">
        <v>9.4</v>
      </c>
    </row>
    <row r="101" spans="1:10" x14ac:dyDescent="0.3">
      <c r="A101" t="s">
        <v>208</v>
      </c>
      <c r="B101" t="s">
        <v>63</v>
      </c>
      <c r="C101">
        <v>5</v>
      </c>
      <c r="D101">
        <v>1</v>
      </c>
      <c r="E101">
        <v>5</v>
      </c>
      <c r="F101">
        <v>12219</v>
      </c>
      <c r="G101">
        <v>25</v>
      </c>
      <c r="H101" t="s">
        <v>68</v>
      </c>
      <c r="I101">
        <v>3218</v>
      </c>
      <c r="J101">
        <v>7.6</v>
      </c>
    </row>
    <row r="102" spans="1:10" x14ac:dyDescent="0.3">
      <c r="A102" t="s">
        <v>209</v>
      </c>
      <c r="B102" t="s">
        <v>63</v>
      </c>
      <c r="C102">
        <v>5</v>
      </c>
      <c r="D102">
        <v>1</v>
      </c>
      <c r="E102">
        <v>5</v>
      </c>
      <c r="F102">
        <v>21912</v>
      </c>
      <c r="G102">
        <v>43</v>
      </c>
      <c r="H102" t="s">
        <v>67</v>
      </c>
      <c r="I102">
        <v>2593</v>
      </c>
      <c r="J102">
        <v>4.9000000000000004</v>
      </c>
    </row>
    <row r="103" spans="1:10" x14ac:dyDescent="0.3">
      <c r="A103" t="s">
        <v>210</v>
      </c>
      <c r="B103" t="s">
        <v>65</v>
      </c>
      <c r="C103">
        <v>8</v>
      </c>
      <c r="D103">
        <v>1</v>
      </c>
      <c r="E103">
        <v>8</v>
      </c>
      <c r="F103">
        <v>32929</v>
      </c>
      <c r="G103">
        <v>33</v>
      </c>
      <c r="H103" t="s">
        <v>67</v>
      </c>
      <c r="I103">
        <v>3337</v>
      </c>
      <c r="J103">
        <v>8.3000000000000007</v>
      </c>
    </row>
    <row r="104" spans="1:10" x14ac:dyDescent="0.3">
      <c r="A104" t="s">
        <v>211</v>
      </c>
      <c r="B104" t="s">
        <v>63</v>
      </c>
      <c r="C104">
        <v>6</v>
      </c>
      <c r="D104">
        <v>1</v>
      </c>
      <c r="E104">
        <v>6</v>
      </c>
      <c r="F104">
        <v>34127</v>
      </c>
      <c r="G104">
        <v>19</v>
      </c>
      <c r="H104" t="s">
        <v>67</v>
      </c>
      <c r="I104">
        <v>3130</v>
      </c>
      <c r="J104">
        <v>4.7</v>
      </c>
    </row>
    <row r="105" spans="1:10" x14ac:dyDescent="0.3">
      <c r="A105" t="s">
        <v>212</v>
      </c>
      <c r="B105" t="s">
        <v>63</v>
      </c>
      <c r="C105">
        <v>5</v>
      </c>
      <c r="D105">
        <v>1</v>
      </c>
      <c r="E105">
        <v>5</v>
      </c>
      <c r="F105">
        <v>31631</v>
      </c>
      <c r="G105">
        <v>43</v>
      </c>
      <c r="H105" t="s">
        <v>68</v>
      </c>
      <c r="I105">
        <v>3432</v>
      </c>
      <c r="J105">
        <v>7.5</v>
      </c>
    </row>
    <row r="106" spans="1:10" x14ac:dyDescent="0.3">
      <c r="A106" t="s">
        <v>213</v>
      </c>
      <c r="B106" t="s">
        <v>63</v>
      </c>
      <c r="C106">
        <v>7</v>
      </c>
      <c r="D106">
        <v>1</v>
      </c>
      <c r="E106">
        <v>7</v>
      </c>
      <c r="F106">
        <v>24820</v>
      </c>
      <c r="G106">
        <v>38</v>
      </c>
      <c r="H106" t="s">
        <v>67</v>
      </c>
      <c r="I106">
        <v>4170</v>
      </c>
      <c r="J106">
        <v>9.5</v>
      </c>
    </row>
    <row r="107" spans="1:10" x14ac:dyDescent="0.3">
      <c r="A107" t="s">
        <v>214</v>
      </c>
      <c r="B107" t="s">
        <v>64</v>
      </c>
      <c r="C107">
        <v>3</v>
      </c>
      <c r="D107">
        <v>1</v>
      </c>
      <c r="E107">
        <v>3</v>
      </c>
      <c r="F107">
        <v>35805</v>
      </c>
      <c r="G107">
        <v>51</v>
      </c>
      <c r="H107" t="s">
        <v>69</v>
      </c>
      <c r="I107">
        <v>3233</v>
      </c>
      <c r="J107">
        <v>5.3</v>
      </c>
    </row>
    <row r="108" spans="1:10" x14ac:dyDescent="0.3">
      <c r="A108" t="s">
        <v>215</v>
      </c>
      <c r="B108" t="s">
        <v>63</v>
      </c>
      <c r="C108">
        <v>2</v>
      </c>
      <c r="D108">
        <v>1</v>
      </c>
      <c r="E108">
        <v>2</v>
      </c>
      <c r="F108">
        <v>43511</v>
      </c>
      <c r="G108">
        <v>30</v>
      </c>
      <c r="H108" t="s">
        <v>67</v>
      </c>
      <c r="I108">
        <v>2909</v>
      </c>
      <c r="J108">
        <v>2.6</v>
      </c>
    </row>
    <row r="109" spans="1:10" x14ac:dyDescent="0.3">
      <c r="A109" t="s">
        <v>216</v>
      </c>
      <c r="B109" t="s">
        <v>65</v>
      </c>
      <c r="C109">
        <v>2</v>
      </c>
      <c r="D109">
        <v>1</v>
      </c>
      <c r="E109">
        <v>2</v>
      </c>
      <c r="F109">
        <v>36581</v>
      </c>
      <c r="G109">
        <v>16</v>
      </c>
      <c r="H109" t="s">
        <v>69</v>
      </c>
      <c r="I109">
        <v>2595</v>
      </c>
      <c r="J109">
        <v>5.5</v>
      </c>
    </row>
    <row r="110" spans="1:10" x14ac:dyDescent="0.3">
      <c r="A110" t="s">
        <v>217</v>
      </c>
      <c r="B110" t="s">
        <v>62</v>
      </c>
      <c r="C110">
        <v>7</v>
      </c>
      <c r="D110">
        <v>1</v>
      </c>
      <c r="E110">
        <v>7</v>
      </c>
      <c r="F110">
        <v>23623</v>
      </c>
      <c r="G110">
        <v>12</v>
      </c>
      <c r="H110" t="s">
        <v>68</v>
      </c>
      <c r="I110">
        <v>4177</v>
      </c>
      <c r="J110">
        <v>9.3000000000000007</v>
      </c>
    </row>
    <row r="111" spans="1:10" x14ac:dyDescent="0.3">
      <c r="A111" t="s">
        <v>218</v>
      </c>
      <c r="B111" t="s">
        <v>65</v>
      </c>
      <c r="C111">
        <v>3</v>
      </c>
      <c r="D111">
        <v>1</v>
      </c>
      <c r="E111">
        <v>3</v>
      </c>
      <c r="F111">
        <v>31569</v>
      </c>
      <c r="G111">
        <v>41</v>
      </c>
      <c r="H111" t="s">
        <v>68</v>
      </c>
      <c r="I111">
        <v>3533</v>
      </c>
      <c r="J111">
        <v>1.7</v>
      </c>
    </row>
    <row r="112" spans="1:10" x14ac:dyDescent="0.3">
      <c r="A112" t="s">
        <v>219</v>
      </c>
      <c r="B112" t="s">
        <v>64</v>
      </c>
      <c r="C112">
        <v>8</v>
      </c>
      <c r="D112">
        <v>1</v>
      </c>
      <c r="E112">
        <v>8</v>
      </c>
      <c r="F112">
        <v>16579</v>
      </c>
      <c r="G112">
        <v>58</v>
      </c>
      <c r="H112" t="s">
        <v>68</v>
      </c>
      <c r="I112">
        <v>3860</v>
      </c>
      <c r="J112">
        <v>4.4000000000000004</v>
      </c>
    </row>
    <row r="113" spans="1:10" x14ac:dyDescent="0.3">
      <c r="A113" t="s">
        <v>220</v>
      </c>
      <c r="B113" t="s">
        <v>63</v>
      </c>
      <c r="C113">
        <v>5</v>
      </c>
      <c r="D113">
        <v>1</v>
      </c>
      <c r="E113">
        <v>5</v>
      </c>
      <c r="F113">
        <v>21786</v>
      </c>
      <c r="G113">
        <v>24</v>
      </c>
      <c r="H113" t="s">
        <v>67</v>
      </c>
      <c r="I113">
        <v>3982</v>
      </c>
      <c r="J113">
        <v>13.8</v>
      </c>
    </row>
    <row r="114" spans="1:10" x14ac:dyDescent="0.3">
      <c r="A114" t="s">
        <v>221</v>
      </c>
      <c r="B114" t="s">
        <v>64</v>
      </c>
      <c r="C114">
        <v>4</v>
      </c>
      <c r="D114">
        <v>1</v>
      </c>
      <c r="E114">
        <v>4</v>
      </c>
      <c r="F114">
        <v>39478</v>
      </c>
      <c r="G114">
        <v>46</v>
      </c>
      <c r="H114" t="s">
        <v>68</v>
      </c>
      <c r="I114">
        <v>2487</v>
      </c>
      <c r="J114">
        <v>9.3000000000000007</v>
      </c>
    </row>
    <row r="115" spans="1:10" x14ac:dyDescent="0.3">
      <c r="A115" t="s">
        <v>222</v>
      </c>
      <c r="B115" t="s">
        <v>63</v>
      </c>
      <c r="C115">
        <v>3</v>
      </c>
      <c r="D115">
        <v>1</v>
      </c>
      <c r="E115">
        <v>3</v>
      </c>
      <c r="F115">
        <v>39361</v>
      </c>
      <c r="G115">
        <v>6</v>
      </c>
      <c r="H115" t="s">
        <v>67</v>
      </c>
      <c r="I115">
        <v>3271</v>
      </c>
      <c r="J115">
        <v>8.6</v>
      </c>
    </row>
    <row r="116" spans="1:10" x14ac:dyDescent="0.3">
      <c r="A116" t="s">
        <v>223</v>
      </c>
      <c r="B116" t="s">
        <v>65</v>
      </c>
      <c r="C116">
        <v>3</v>
      </c>
      <c r="D116">
        <v>1</v>
      </c>
      <c r="E116">
        <v>3</v>
      </c>
      <c r="F116">
        <v>33176</v>
      </c>
      <c r="G116">
        <v>16</v>
      </c>
      <c r="H116" t="s">
        <v>69</v>
      </c>
      <c r="I116">
        <v>3271</v>
      </c>
      <c r="J116">
        <v>0.5</v>
      </c>
    </row>
    <row r="117" spans="1:10" x14ac:dyDescent="0.3">
      <c r="A117" t="s">
        <v>224</v>
      </c>
      <c r="B117" t="s">
        <v>64</v>
      </c>
      <c r="C117">
        <v>8</v>
      </c>
      <c r="D117">
        <v>1</v>
      </c>
      <c r="E117">
        <v>8</v>
      </c>
      <c r="F117">
        <v>40783</v>
      </c>
      <c r="G117">
        <v>24</v>
      </c>
      <c r="H117" t="s">
        <v>68</v>
      </c>
      <c r="I117">
        <v>4445</v>
      </c>
      <c r="J117">
        <v>2.4</v>
      </c>
    </row>
    <row r="118" spans="1:10" x14ac:dyDescent="0.3">
      <c r="A118" t="s">
        <v>225</v>
      </c>
      <c r="B118" t="s">
        <v>65</v>
      </c>
      <c r="C118">
        <v>8</v>
      </c>
      <c r="D118">
        <v>1</v>
      </c>
      <c r="E118">
        <v>8</v>
      </c>
      <c r="F118">
        <v>30621</v>
      </c>
      <c r="G118">
        <v>24</v>
      </c>
      <c r="H118" t="s">
        <v>69</v>
      </c>
      <c r="I118">
        <v>4243</v>
      </c>
      <c r="J118">
        <v>8</v>
      </c>
    </row>
    <row r="119" spans="1:10" x14ac:dyDescent="0.3">
      <c r="A119" t="s">
        <v>226</v>
      </c>
      <c r="B119" t="s">
        <v>64</v>
      </c>
      <c r="C119">
        <v>4</v>
      </c>
      <c r="D119">
        <v>1</v>
      </c>
      <c r="E119">
        <v>4</v>
      </c>
      <c r="F119">
        <v>29396</v>
      </c>
      <c r="G119">
        <v>34</v>
      </c>
      <c r="H119" t="s">
        <v>68</v>
      </c>
      <c r="I119">
        <v>3932</v>
      </c>
      <c r="J119">
        <v>7</v>
      </c>
    </row>
    <row r="120" spans="1:10" x14ac:dyDescent="0.3">
      <c r="A120" t="s">
        <v>227</v>
      </c>
      <c r="B120" t="s">
        <v>65</v>
      </c>
      <c r="C120">
        <v>8</v>
      </c>
      <c r="D120">
        <v>1</v>
      </c>
      <c r="E120">
        <v>8</v>
      </c>
      <c r="F120">
        <v>45470</v>
      </c>
      <c r="G120">
        <v>30</v>
      </c>
      <c r="H120" t="s">
        <v>68</v>
      </c>
      <c r="I120">
        <v>3847</v>
      </c>
      <c r="J120">
        <v>6.7</v>
      </c>
    </row>
    <row r="121" spans="1:10" x14ac:dyDescent="0.3">
      <c r="A121" t="s">
        <v>228</v>
      </c>
      <c r="B121" t="s">
        <v>65</v>
      </c>
      <c r="C121">
        <v>8</v>
      </c>
      <c r="D121">
        <v>1</v>
      </c>
      <c r="E121">
        <v>8</v>
      </c>
      <c r="F121">
        <v>18851</v>
      </c>
      <c r="G121">
        <v>45</v>
      </c>
      <c r="H121" t="s">
        <v>68</v>
      </c>
      <c r="I121">
        <v>3552</v>
      </c>
      <c r="J121">
        <v>3.3</v>
      </c>
    </row>
    <row r="122" spans="1:10" x14ac:dyDescent="0.3">
      <c r="A122" t="s">
        <v>229</v>
      </c>
      <c r="B122" t="s">
        <v>62</v>
      </c>
      <c r="C122">
        <v>5</v>
      </c>
      <c r="D122">
        <v>1</v>
      </c>
      <c r="E122">
        <v>5</v>
      </c>
      <c r="F122">
        <v>46270</v>
      </c>
      <c r="G122">
        <v>39</v>
      </c>
      <c r="H122" t="s">
        <v>67</v>
      </c>
      <c r="I122">
        <v>2738</v>
      </c>
      <c r="J122">
        <v>2.2999999999999998</v>
      </c>
    </row>
    <row r="123" spans="1:10" x14ac:dyDescent="0.3">
      <c r="A123" t="s">
        <v>230</v>
      </c>
      <c r="B123" t="s">
        <v>64</v>
      </c>
      <c r="C123">
        <v>2</v>
      </c>
      <c r="D123">
        <v>1</v>
      </c>
      <c r="E123">
        <v>2</v>
      </c>
      <c r="F123">
        <v>27903</v>
      </c>
      <c r="G123">
        <v>10</v>
      </c>
      <c r="H123" t="s">
        <v>69</v>
      </c>
      <c r="I123">
        <v>2073</v>
      </c>
      <c r="J123">
        <v>6.2</v>
      </c>
    </row>
    <row r="124" spans="1:10" x14ac:dyDescent="0.3">
      <c r="A124" t="s">
        <v>231</v>
      </c>
      <c r="B124" t="s">
        <v>65</v>
      </c>
      <c r="C124">
        <v>6</v>
      </c>
      <c r="D124">
        <v>1</v>
      </c>
      <c r="E124">
        <v>6</v>
      </c>
      <c r="F124">
        <v>26461</v>
      </c>
      <c r="G124">
        <v>31</v>
      </c>
      <c r="H124" t="s">
        <v>68</v>
      </c>
      <c r="I124">
        <v>2714</v>
      </c>
      <c r="J124">
        <v>12.5</v>
      </c>
    </row>
    <row r="125" spans="1:10" x14ac:dyDescent="0.3">
      <c r="A125" t="s">
        <v>232</v>
      </c>
      <c r="B125" t="s">
        <v>63</v>
      </c>
      <c r="C125">
        <v>4</v>
      </c>
      <c r="D125">
        <v>1</v>
      </c>
      <c r="E125">
        <v>4</v>
      </c>
      <c r="F125">
        <v>22831</v>
      </c>
      <c r="G125">
        <v>12</v>
      </c>
      <c r="H125" t="s">
        <v>68</v>
      </c>
      <c r="I125">
        <v>2973</v>
      </c>
      <c r="J125">
        <v>12.2</v>
      </c>
    </row>
    <row r="126" spans="1:10" x14ac:dyDescent="0.3">
      <c r="A126" t="s">
        <v>233</v>
      </c>
      <c r="B126" t="s">
        <v>64</v>
      </c>
      <c r="C126">
        <v>2</v>
      </c>
      <c r="D126">
        <v>1</v>
      </c>
      <c r="E126">
        <v>2</v>
      </c>
      <c r="F126">
        <v>40237</v>
      </c>
      <c r="G126">
        <v>32</v>
      </c>
      <c r="H126" t="s">
        <v>68</v>
      </c>
      <c r="I126">
        <v>3382</v>
      </c>
      <c r="J126">
        <v>7</v>
      </c>
    </row>
    <row r="127" spans="1:10" x14ac:dyDescent="0.3">
      <c r="A127" t="s">
        <v>234</v>
      </c>
      <c r="B127" t="s">
        <v>64</v>
      </c>
      <c r="C127">
        <v>5</v>
      </c>
      <c r="D127">
        <v>1</v>
      </c>
      <c r="E127">
        <v>5</v>
      </c>
      <c r="F127">
        <v>23497</v>
      </c>
      <c r="G127">
        <v>7</v>
      </c>
      <c r="H127" t="s">
        <v>67</v>
      </c>
      <c r="I127">
        <v>3935</v>
      </c>
      <c r="J127">
        <v>14.3</v>
      </c>
    </row>
    <row r="128" spans="1:10" x14ac:dyDescent="0.3">
      <c r="A128" t="s">
        <v>235</v>
      </c>
      <c r="B128" t="s">
        <v>63</v>
      </c>
      <c r="C128">
        <v>7</v>
      </c>
      <c r="D128">
        <v>1</v>
      </c>
      <c r="E128">
        <v>7</v>
      </c>
      <c r="F128">
        <v>29370</v>
      </c>
      <c r="G128">
        <v>21</v>
      </c>
      <c r="H128" t="s">
        <v>68</v>
      </c>
      <c r="I128">
        <v>3962</v>
      </c>
      <c r="J128">
        <v>3.4</v>
      </c>
    </row>
    <row r="129" spans="1:10" x14ac:dyDescent="0.3">
      <c r="A129" t="s">
        <v>236</v>
      </c>
      <c r="B129" t="s">
        <v>62</v>
      </c>
      <c r="C129">
        <v>4</v>
      </c>
      <c r="D129">
        <v>1</v>
      </c>
      <c r="E129">
        <v>4</v>
      </c>
      <c r="F129">
        <v>18680</v>
      </c>
      <c r="G129">
        <v>47</v>
      </c>
      <c r="H129" t="s">
        <v>69</v>
      </c>
      <c r="I129">
        <v>3132</v>
      </c>
      <c r="J129">
        <v>2.8</v>
      </c>
    </row>
    <row r="130" spans="1:10" x14ac:dyDescent="0.3">
      <c r="A130" t="s">
        <v>237</v>
      </c>
      <c r="B130" t="s">
        <v>64</v>
      </c>
      <c r="C130">
        <v>3</v>
      </c>
      <c r="D130">
        <v>1</v>
      </c>
      <c r="E130">
        <v>3</v>
      </c>
      <c r="F130">
        <v>34590</v>
      </c>
      <c r="G130">
        <v>35</v>
      </c>
      <c r="H130" t="s">
        <v>69</v>
      </c>
      <c r="I130">
        <v>2940</v>
      </c>
      <c r="J130">
        <v>13.7</v>
      </c>
    </row>
    <row r="131" spans="1:10" x14ac:dyDescent="0.3">
      <c r="A131" t="s">
        <v>238</v>
      </c>
      <c r="B131" t="s">
        <v>63</v>
      </c>
      <c r="C131">
        <v>7</v>
      </c>
      <c r="D131">
        <v>1</v>
      </c>
      <c r="E131">
        <v>7</v>
      </c>
      <c r="F131">
        <v>35986</v>
      </c>
      <c r="G131">
        <v>37</v>
      </c>
      <c r="H131" t="s">
        <v>69</v>
      </c>
      <c r="I131">
        <v>3219</v>
      </c>
      <c r="J131">
        <v>14.8</v>
      </c>
    </row>
    <row r="132" spans="1:10" x14ac:dyDescent="0.3">
      <c r="A132" t="s">
        <v>239</v>
      </c>
      <c r="B132" t="s">
        <v>62</v>
      </c>
      <c r="C132">
        <v>2</v>
      </c>
      <c r="D132">
        <v>1</v>
      </c>
      <c r="E132">
        <v>2</v>
      </c>
      <c r="F132">
        <v>28896</v>
      </c>
      <c r="G132">
        <v>51</v>
      </c>
      <c r="H132" t="s">
        <v>68</v>
      </c>
      <c r="I132">
        <v>1824</v>
      </c>
      <c r="J132">
        <v>14.5</v>
      </c>
    </row>
    <row r="133" spans="1:10" x14ac:dyDescent="0.3">
      <c r="A133" t="s">
        <v>240</v>
      </c>
      <c r="B133" t="s">
        <v>63</v>
      </c>
      <c r="C133">
        <v>2</v>
      </c>
      <c r="D133">
        <v>1</v>
      </c>
      <c r="E133">
        <v>2</v>
      </c>
      <c r="F133">
        <v>46459</v>
      </c>
      <c r="G133">
        <v>56</v>
      </c>
      <c r="H133" t="s">
        <v>67</v>
      </c>
      <c r="I133">
        <v>2751</v>
      </c>
      <c r="J133">
        <v>14</v>
      </c>
    </row>
    <row r="134" spans="1:10" x14ac:dyDescent="0.3">
      <c r="A134" t="s">
        <v>241</v>
      </c>
      <c r="B134" t="s">
        <v>63</v>
      </c>
      <c r="C134">
        <v>7</v>
      </c>
      <c r="D134">
        <v>1</v>
      </c>
      <c r="E134">
        <v>7</v>
      </c>
      <c r="F134">
        <v>41213</v>
      </c>
      <c r="G134">
        <v>6</v>
      </c>
      <c r="H134" t="s">
        <v>67</v>
      </c>
      <c r="I134">
        <v>3431</v>
      </c>
      <c r="J134">
        <v>2.1</v>
      </c>
    </row>
    <row r="135" spans="1:10" x14ac:dyDescent="0.3">
      <c r="A135" t="s">
        <v>242</v>
      </c>
      <c r="B135" t="s">
        <v>65</v>
      </c>
      <c r="C135">
        <v>7</v>
      </c>
      <c r="D135">
        <v>1</v>
      </c>
      <c r="E135">
        <v>7</v>
      </c>
      <c r="F135">
        <v>26232</v>
      </c>
      <c r="G135">
        <v>25</v>
      </c>
      <c r="H135" t="s">
        <v>67</v>
      </c>
      <c r="I135">
        <v>4092</v>
      </c>
      <c r="J135">
        <v>7.3</v>
      </c>
    </row>
    <row r="136" spans="1:10" x14ac:dyDescent="0.3">
      <c r="A136" t="s">
        <v>243</v>
      </c>
      <c r="B136" t="s">
        <v>63</v>
      </c>
      <c r="C136">
        <v>6</v>
      </c>
      <c r="D136">
        <v>1</v>
      </c>
      <c r="E136">
        <v>6</v>
      </c>
      <c r="F136">
        <v>25489</v>
      </c>
      <c r="G136">
        <v>22</v>
      </c>
      <c r="H136" t="s">
        <v>68</v>
      </c>
      <c r="I136">
        <v>4003</v>
      </c>
      <c r="J136">
        <v>14.3</v>
      </c>
    </row>
    <row r="137" spans="1:10" x14ac:dyDescent="0.3">
      <c r="A137" t="s">
        <v>244</v>
      </c>
      <c r="B137" t="s">
        <v>62</v>
      </c>
      <c r="C137">
        <v>8</v>
      </c>
      <c r="D137">
        <v>1</v>
      </c>
      <c r="E137">
        <v>8</v>
      </c>
      <c r="F137">
        <v>29283</v>
      </c>
      <c r="G137">
        <v>10</v>
      </c>
      <c r="H137" t="s">
        <v>69</v>
      </c>
      <c r="I137">
        <v>4465</v>
      </c>
      <c r="J137">
        <v>12.2</v>
      </c>
    </row>
    <row r="138" spans="1:10" x14ac:dyDescent="0.3">
      <c r="A138" t="s">
        <v>245</v>
      </c>
      <c r="B138" t="s">
        <v>65</v>
      </c>
      <c r="C138">
        <v>3</v>
      </c>
      <c r="D138">
        <v>1</v>
      </c>
      <c r="E138">
        <v>3</v>
      </c>
      <c r="F138">
        <v>28816</v>
      </c>
      <c r="G138">
        <v>19</v>
      </c>
      <c r="H138" t="s">
        <v>69</v>
      </c>
      <c r="I138">
        <v>2679</v>
      </c>
      <c r="J138">
        <v>14.8</v>
      </c>
    </row>
    <row r="139" spans="1:10" x14ac:dyDescent="0.3">
      <c r="A139" t="s">
        <v>246</v>
      </c>
      <c r="B139" t="s">
        <v>65</v>
      </c>
      <c r="C139">
        <v>3</v>
      </c>
      <c r="D139">
        <v>1</v>
      </c>
      <c r="E139">
        <v>3</v>
      </c>
      <c r="F139">
        <v>23821</v>
      </c>
      <c r="G139">
        <v>52</v>
      </c>
      <c r="H139" t="s">
        <v>67</v>
      </c>
      <c r="I139">
        <v>2609</v>
      </c>
      <c r="J139">
        <v>9.1</v>
      </c>
    </row>
    <row r="140" spans="1:10" x14ac:dyDescent="0.3">
      <c r="A140" t="s">
        <v>247</v>
      </c>
      <c r="B140" t="s">
        <v>62</v>
      </c>
      <c r="C140">
        <v>2</v>
      </c>
      <c r="D140">
        <v>1</v>
      </c>
      <c r="E140">
        <v>2</v>
      </c>
      <c r="F140">
        <v>37205</v>
      </c>
      <c r="G140">
        <v>44</v>
      </c>
      <c r="H140" t="s">
        <v>68</v>
      </c>
      <c r="I140">
        <v>2765</v>
      </c>
      <c r="J140">
        <v>1.6</v>
      </c>
    </row>
    <row r="141" spans="1:10" x14ac:dyDescent="0.3">
      <c r="A141" t="s">
        <v>248</v>
      </c>
      <c r="B141" t="s">
        <v>65</v>
      </c>
      <c r="C141">
        <v>8</v>
      </c>
      <c r="D141">
        <v>1</v>
      </c>
      <c r="E141">
        <v>8</v>
      </c>
      <c r="F141">
        <v>25786</v>
      </c>
      <c r="G141">
        <v>14</v>
      </c>
      <c r="H141" t="s">
        <v>67</v>
      </c>
      <c r="I141">
        <v>4042</v>
      </c>
      <c r="J141">
        <v>12.5</v>
      </c>
    </row>
    <row r="142" spans="1:10" x14ac:dyDescent="0.3">
      <c r="A142" t="s">
        <v>249</v>
      </c>
      <c r="B142" t="s">
        <v>65</v>
      </c>
      <c r="C142">
        <v>2</v>
      </c>
      <c r="D142">
        <v>1</v>
      </c>
      <c r="E142">
        <v>2</v>
      </c>
      <c r="F142">
        <v>36946</v>
      </c>
      <c r="G142">
        <v>49</v>
      </c>
      <c r="H142" t="s">
        <v>68</v>
      </c>
      <c r="I142">
        <v>1956</v>
      </c>
      <c r="J142">
        <v>1.5</v>
      </c>
    </row>
    <row r="143" spans="1:10" x14ac:dyDescent="0.3">
      <c r="A143" t="s">
        <v>250</v>
      </c>
      <c r="B143" t="s">
        <v>65</v>
      </c>
      <c r="C143">
        <v>8</v>
      </c>
      <c r="D143">
        <v>1</v>
      </c>
      <c r="E143">
        <v>8</v>
      </c>
      <c r="F143">
        <v>37987</v>
      </c>
      <c r="G143">
        <v>44</v>
      </c>
      <c r="H143" t="s">
        <v>68</v>
      </c>
      <c r="I143">
        <v>4305</v>
      </c>
      <c r="J143">
        <v>7.2</v>
      </c>
    </row>
    <row r="144" spans="1:10" x14ac:dyDescent="0.3">
      <c r="A144" t="s">
        <v>251</v>
      </c>
      <c r="B144" t="s">
        <v>62</v>
      </c>
      <c r="C144">
        <v>2</v>
      </c>
      <c r="D144">
        <v>1</v>
      </c>
      <c r="E144">
        <v>2</v>
      </c>
      <c r="F144">
        <v>28533</v>
      </c>
      <c r="G144">
        <v>53</v>
      </c>
      <c r="H144" t="s">
        <v>68</v>
      </c>
      <c r="I144">
        <v>2322</v>
      </c>
      <c r="J144">
        <v>5.7</v>
      </c>
    </row>
    <row r="145" spans="1:10" x14ac:dyDescent="0.3">
      <c r="A145" t="s">
        <v>252</v>
      </c>
      <c r="B145" t="s">
        <v>64</v>
      </c>
      <c r="C145">
        <v>2</v>
      </c>
      <c r="D145">
        <v>1</v>
      </c>
      <c r="E145">
        <v>2</v>
      </c>
      <c r="F145">
        <v>30684</v>
      </c>
      <c r="G145">
        <v>12</v>
      </c>
      <c r="H145" t="s">
        <v>68</v>
      </c>
      <c r="I145">
        <v>2351</v>
      </c>
      <c r="J145">
        <v>9.1999999999999993</v>
      </c>
    </row>
    <row r="146" spans="1:10" x14ac:dyDescent="0.3">
      <c r="A146" t="s">
        <v>253</v>
      </c>
      <c r="B146" t="s">
        <v>63</v>
      </c>
      <c r="C146">
        <v>8</v>
      </c>
      <c r="D146">
        <v>1</v>
      </c>
      <c r="E146">
        <v>8</v>
      </c>
      <c r="F146">
        <v>31449</v>
      </c>
      <c r="G146">
        <v>33</v>
      </c>
      <c r="H146" t="s">
        <v>68</v>
      </c>
      <c r="I146">
        <v>4606</v>
      </c>
      <c r="J146">
        <v>1.3</v>
      </c>
    </row>
    <row r="147" spans="1:10" x14ac:dyDescent="0.3">
      <c r="A147" t="s">
        <v>254</v>
      </c>
      <c r="B147" t="s">
        <v>63</v>
      </c>
      <c r="C147">
        <v>7</v>
      </c>
      <c r="D147">
        <v>1</v>
      </c>
      <c r="E147">
        <v>7</v>
      </c>
      <c r="F147">
        <v>23416</v>
      </c>
      <c r="G147">
        <v>18</v>
      </c>
      <c r="H147" t="s">
        <v>69</v>
      </c>
      <c r="I147">
        <v>3228</v>
      </c>
      <c r="J147">
        <v>14.1</v>
      </c>
    </row>
    <row r="148" spans="1:10" x14ac:dyDescent="0.3">
      <c r="A148" t="s">
        <v>255</v>
      </c>
      <c r="B148" t="s">
        <v>65</v>
      </c>
      <c r="C148">
        <v>7</v>
      </c>
      <c r="D148">
        <v>1</v>
      </c>
      <c r="E148">
        <v>7</v>
      </c>
      <c r="F148">
        <v>30711</v>
      </c>
      <c r="G148">
        <v>35</v>
      </c>
      <c r="H148" t="s">
        <v>67</v>
      </c>
      <c r="I148">
        <v>4076</v>
      </c>
      <c r="J148">
        <v>12.3</v>
      </c>
    </row>
    <row r="149" spans="1:10" x14ac:dyDescent="0.3">
      <c r="A149" t="s">
        <v>256</v>
      </c>
      <c r="B149" t="s">
        <v>65</v>
      </c>
      <c r="C149">
        <v>7</v>
      </c>
      <c r="D149">
        <v>1</v>
      </c>
      <c r="E149">
        <v>7</v>
      </c>
      <c r="F149">
        <v>45848</v>
      </c>
      <c r="G149">
        <v>37</v>
      </c>
      <c r="H149" t="s">
        <v>68</v>
      </c>
      <c r="I149">
        <v>2831</v>
      </c>
      <c r="J149">
        <v>5.4</v>
      </c>
    </row>
    <row r="150" spans="1:10" x14ac:dyDescent="0.3">
      <c r="A150" t="s">
        <v>257</v>
      </c>
      <c r="B150" t="s">
        <v>64</v>
      </c>
      <c r="C150">
        <v>8</v>
      </c>
      <c r="D150">
        <v>1</v>
      </c>
      <c r="E150">
        <v>8</v>
      </c>
      <c r="F150">
        <v>18675</v>
      </c>
      <c r="G150">
        <v>14</v>
      </c>
      <c r="H150" t="s">
        <v>68</v>
      </c>
      <c r="I150">
        <v>3832</v>
      </c>
      <c r="J150">
        <v>11.7</v>
      </c>
    </row>
    <row r="151" spans="1:10" x14ac:dyDescent="0.3">
      <c r="A151" t="s">
        <v>258</v>
      </c>
      <c r="B151" t="s">
        <v>65</v>
      </c>
      <c r="C151">
        <v>6</v>
      </c>
      <c r="D151">
        <v>1</v>
      </c>
      <c r="E151">
        <v>6</v>
      </c>
      <c r="F151">
        <v>36957</v>
      </c>
      <c r="G151">
        <v>28</v>
      </c>
      <c r="H151" t="s">
        <v>68</v>
      </c>
      <c r="I151">
        <v>3251</v>
      </c>
      <c r="J151">
        <v>2.5</v>
      </c>
    </row>
    <row r="152" spans="1:10" x14ac:dyDescent="0.3">
      <c r="A152" t="s">
        <v>259</v>
      </c>
      <c r="B152" t="s">
        <v>65</v>
      </c>
      <c r="C152">
        <v>2</v>
      </c>
      <c r="D152">
        <v>1</v>
      </c>
      <c r="E152">
        <v>2</v>
      </c>
      <c r="F152">
        <v>31633</v>
      </c>
      <c r="G152">
        <v>19</v>
      </c>
      <c r="H152" t="s">
        <v>66</v>
      </c>
      <c r="I152">
        <v>1860</v>
      </c>
      <c r="J152">
        <v>2.2000000000000002</v>
      </c>
    </row>
    <row r="153" spans="1:10" x14ac:dyDescent="0.3">
      <c r="A153" t="s">
        <v>260</v>
      </c>
      <c r="B153" t="s">
        <v>63</v>
      </c>
      <c r="C153">
        <v>5</v>
      </c>
      <c r="D153">
        <v>1</v>
      </c>
      <c r="E153">
        <v>5</v>
      </c>
      <c r="F153">
        <v>21083</v>
      </c>
      <c r="G153">
        <v>22</v>
      </c>
      <c r="H153" t="s">
        <v>68</v>
      </c>
      <c r="I153">
        <v>3556</v>
      </c>
      <c r="J153">
        <v>3.2</v>
      </c>
    </row>
    <row r="154" spans="1:10" x14ac:dyDescent="0.3">
      <c r="A154" t="s">
        <v>261</v>
      </c>
      <c r="B154" t="s">
        <v>63</v>
      </c>
      <c r="C154">
        <v>5</v>
      </c>
      <c r="D154">
        <v>1</v>
      </c>
      <c r="E154">
        <v>5</v>
      </c>
      <c r="F154">
        <v>14693</v>
      </c>
      <c r="G154">
        <v>36</v>
      </c>
      <c r="H154" t="s">
        <v>68</v>
      </c>
      <c r="I154">
        <v>3117</v>
      </c>
      <c r="J154">
        <v>9.1999999999999993</v>
      </c>
    </row>
    <row r="155" spans="1:10" x14ac:dyDescent="0.3">
      <c r="A155" t="s">
        <v>262</v>
      </c>
      <c r="B155" t="s">
        <v>63</v>
      </c>
      <c r="C155">
        <v>7</v>
      </c>
      <c r="D155">
        <v>1</v>
      </c>
      <c r="E155">
        <v>7</v>
      </c>
      <c r="F155">
        <v>24963</v>
      </c>
      <c r="G155">
        <v>41</v>
      </c>
      <c r="H155" t="s">
        <v>66</v>
      </c>
      <c r="I155">
        <v>4285</v>
      </c>
      <c r="J155">
        <v>12.5</v>
      </c>
    </row>
    <row r="156" spans="1:10" x14ac:dyDescent="0.3">
      <c r="A156" t="s">
        <v>263</v>
      </c>
      <c r="B156" t="s">
        <v>64</v>
      </c>
      <c r="C156">
        <v>2</v>
      </c>
      <c r="D156">
        <v>1</v>
      </c>
      <c r="E156">
        <v>2</v>
      </c>
      <c r="F156">
        <v>18571</v>
      </c>
      <c r="G156">
        <v>43</v>
      </c>
      <c r="H156" t="s">
        <v>68</v>
      </c>
      <c r="I156">
        <v>1900</v>
      </c>
      <c r="J156">
        <v>8.3000000000000007</v>
      </c>
    </row>
    <row r="157" spans="1:10" x14ac:dyDescent="0.3">
      <c r="A157" t="s">
        <v>264</v>
      </c>
      <c r="B157" t="s">
        <v>65</v>
      </c>
      <c r="C157">
        <v>5</v>
      </c>
      <c r="D157">
        <v>1</v>
      </c>
      <c r="E157">
        <v>5</v>
      </c>
      <c r="F157">
        <v>36459</v>
      </c>
      <c r="G157">
        <v>20</v>
      </c>
      <c r="H157" t="s">
        <v>67</v>
      </c>
      <c r="I157">
        <v>2777</v>
      </c>
      <c r="J157">
        <v>14.2</v>
      </c>
    </row>
    <row r="158" spans="1:10" x14ac:dyDescent="0.3">
      <c r="A158" t="s">
        <v>265</v>
      </c>
      <c r="B158" t="s">
        <v>63</v>
      </c>
      <c r="C158">
        <v>2</v>
      </c>
      <c r="D158">
        <v>1</v>
      </c>
      <c r="E158">
        <v>2</v>
      </c>
      <c r="F158">
        <v>25376</v>
      </c>
      <c r="G158">
        <v>7</v>
      </c>
      <c r="H158" t="s">
        <v>67</v>
      </c>
      <c r="I158">
        <v>3340</v>
      </c>
      <c r="J158">
        <v>8.5</v>
      </c>
    </row>
    <row r="159" spans="1:10" x14ac:dyDescent="0.3">
      <c r="A159" t="s">
        <v>266</v>
      </c>
      <c r="B159" t="s">
        <v>62</v>
      </c>
      <c r="C159">
        <v>4</v>
      </c>
      <c r="D159">
        <v>1</v>
      </c>
      <c r="E159">
        <v>4</v>
      </c>
      <c r="F159">
        <v>23927</v>
      </c>
      <c r="G159">
        <v>36</v>
      </c>
      <c r="H159" t="s">
        <v>67</v>
      </c>
      <c r="I159">
        <v>3496</v>
      </c>
      <c r="J159">
        <v>14</v>
      </c>
    </row>
    <row r="160" spans="1:10" x14ac:dyDescent="0.3">
      <c r="A160" t="s">
        <v>267</v>
      </c>
      <c r="B160" t="s">
        <v>63</v>
      </c>
      <c r="C160">
        <v>4</v>
      </c>
      <c r="D160">
        <v>1</v>
      </c>
      <c r="E160">
        <v>4</v>
      </c>
      <c r="F160">
        <v>27668</v>
      </c>
      <c r="G160">
        <v>47</v>
      </c>
      <c r="H160" t="s">
        <v>66</v>
      </c>
      <c r="I160">
        <v>2249</v>
      </c>
      <c r="J160">
        <v>3.4</v>
      </c>
    </row>
    <row r="161" spans="1:10" x14ac:dyDescent="0.3">
      <c r="A161" t="s">
        <v>268</v>
      </c>
      <c r="B161" t="s">
        <v>64</v>
      </c>
      <c r="C161">
        <v>4</v>
      </c>
      <c r="D161">
        <v>1</v>
      </c>
      <c r="E161">
        <v>4</v>
      </c>
      <c r="F161">
        <v>31420</v>
      </c>
      <c r="G161">
        <v>31</v>
      </c>
      <c r="H161" t="s">
        <v>67</v>
      </c>
      <c r="I161">
        <v>3264</v>
      </c>
      <c r="J161">
        <v>5.6</v>
      </c>
    </row>
    <row r="162" spans="1:10" x14ac:dyDescent="0.3">
      <c r="A162" t="s">
        <v>269</v>
      </c>
      <c r="B162" t="s">
        <v>63</v>
      </c>
      <c r="C162">
        <v>4</v>
      </c>
      <c r="D162">
        <v>1</v>
      </c>
      <c r="E162">
        <v>4</v>
      </c>
      <c r="F162">
        <v>33489</v>
      </c>
      <c r="G162">
        <v>50</v>
      </c>
      <c r="H162" t="s">
        <v>68</v>
      </c>
      <c r="I162">
        <v>2995</v>
      </c>
      <c r="J162">
        <v>6.4</v>
      </c>
    </row>
    <row r="163" spans="1:10" x14ac:dyDescent="0.3">
      <c r="A163" t="s">
        <v>270</v>
      </c>
      <c r="B163" t="s">
        <v>64</v>
      </c>
      <c r="C163">
        <v>2</v>
      </c>
      <c r="D163">
        <v>1</v>
      </c>
      <c r="E163">
        <v>2</v>
      </c>
      <c r="F163">
        <v>32316</v>
      </c>
      <c r="G163">
        <v>14</v>
      </c>
      <c r="H163" t="s">
        <v>66</v>
      </c>
      <c r="I163">
        <v>1861</v>
      </c>
      <c r="J163">
        <v>5.7</v>
      </c>
    </row>
    <row r="164" spans="1:10" x14ac:dyDescent="0.3">
      <c r="A164" t="s">
        <v>271</v>
      </c>
      <c r="B164" t="s">
        <v>62</v>
      </c>
      <c r="C164">
        <v>6</v>
      </c>
      <c r="D164">
        <v>1</v>
      </c>
      <c r="E164">
        <v>6</v>
      </c>
      <c r="F164">
        <v>31359</v>
      </c>
      <c r="G164">
        <v>25</v>
      </c>
      <c r="H164" t="s">
        <v>68</v>
      </c>
      <c r="I164">
        <v>3536</v>
      </c>
      <c r="J164">
        <v>10.3</v>
      </c>
    </row>
    <row r="165" spans="1:10" x14ac:dyDescent="0.3">
      <c r="A165" t="s">
        <v>272</v>
      </c>
      <c r="B165" t="s">
        <v>65</v>
      </c>
      <c r="C165">
        <v>4</v>
      </c>
      <c r="D165">
        <v>1</v>
      </c>
      <c r="E165">
        <v>4</v>
      </c>
      <c r="F165">
        <v>31860</v>
      </c>
      <c r="G165">
        <v>48</v>
      </c>
      <c r="H165" t="s">
        <v>69</v>
      </c>
      <c r="I165">
        <v>3193</v>
      </c>
      <c r="J165">
        <v>3.1</v>
      </c>
    </row>
    <row r="166" spans="1:10" x14ac:dyDescent="0.3">
      <c r="A166" t="s">
        <v>273</v>
      </c>
      <c r="B166" t="s">
        <v>64</v>
      </c>
      <c r="C166">
        <v>5</v>
      </c>
      <c r="D166">
        <v>1</v>
      </c>
      <c r="E166">
        <v>5</v>
      </c>
      <c r="F166">
        <v>34057</v>
      </c>
      <c r="G166">
        <v>13</v>
      </c>
      <c r="H166" t="s">
        <v>66</v>
      </c>
      <c r="I166">
        <v>3970</v>
      </c>
      <c r="J166">
        <v>14.5</v>
      </c>
    </row>
    <row r="167" spans="1:10" x14ac:dyDescent="0.3">
      <c r="A167" t="s">
        <v>274</v>
      </c>
      <c r="B167" t="s">
        <v>62</v>
      </c>
      <c r="C167">
        <v>2</v>
      </c>
      <c r="D167">
        <v>1</v>
      </c>
      <c r="E167">
        <v>2</v>
      </c>
      <c r="F167">
        <v>24879</v>
      </c>
      <c r="G167">
        <v>24</v>
      </c>
      <c r="H167" t="s">
        <v>67</v>
      </c>
      <c r="I167">
        <v>1982</v>
      </c>
      <c r="J167">
        <v>6.3</v>
      </c>
    </row>
    <row r="168" spans="1:10" x14ac:dyDescent="0.3">
      <c r="A168" t="s">
        <v>275</v>
      </c>
      <c r="B168" t="s">
        <v>62</v>
      </c>
      <c r="C168">
        <v>6</v>
      </c>
      <c r="D168">
        <v>1</v>
      </c>
      <c r="E168">
        <v>6</v>
      </c>
      <c r="F168">
        <v>31713</v>
      </c>
      <c r="G168">
        <v>29</v>
      </c>
      <c r="H168" t="s">
        <v>67</v>
      </c>
      <c r="I168">
        <v>4307</v>
      </c>
      <c r="J168">
        <v>2.7</v>
      </c>
    </row>
    <row r="169" spans="1:10" x14ac:dyDescent="0.3">
      <c r="A169" t="s">
        <v>276</v>
      </c>
      <c r="B169" t="s">
        <v>65</v>
      </c>
      <c r="C169">
        <v>5</v>
      </c>
      <c r="D169">
        <v>1</v>
      </c>
      <c r="E169">
        <v>5</v>
      </c>
      <c r="F169">
        <v>40739</v>
      </c>
      <c r="G169">
        <v>16</v>
      </c>
      <c r="H169" t="s">
        <v>69</v>
      </c>
      <c r="I169">
        <v>3867</v>
      </c>
      <c r="J169">
        <v>4</v>
      </c>
    </row>
    <row r="170" spans="1:10" x14ac:dyDescent="0.3">
      <c r="A170" t="s">
        <v>277</v>
      </c>
      <c r="B170" t="s">
        <v>65</v>
      </c>
      <c r="C170">
        <v>2</v>
      </c>
      <c r="D170">
        <v>1</v>
      </c>
      <c r="E170">
        <v>2</v>
      </c>
      <c r="F170">
        <v>8197</v>
      </c>
      <c r="G170">
        <v>19</v>
      </c>
      <c r="H170" t="s">
        <v>68</v>
      </c>
      <c r="I170">
        <v>3101</v>
      </c>
      <c r="J170">
        <v>7.8</v>
      </c>
    </row>
    <row r="171" spans="1:10" x14ac:dyDescent="0.3">
      <c r="A171" t="s">
        <v>278</v>
      </c>
      <c r="B171" t="s">
        <v>64</v>
      </c>
      <c r="C171">
        <v>3</v>
      </c>
      <c r="D171">
        <v>1</v>
      </c>
      <c r="E171">
        <v>3</v>
      </c>
      <c r="F171">
        <v>35487</v>
      </c>
      <c r="G171">
        <v>24</v>
      </c>
      <c r="H171" t="s">
        <v>69</v>
      </c>
      <c r="I171">
        <v>2973</v>
      </c>
      <c r="J171">
        <v>3</v>
      </c>
    </row>
    <row r="172" spans="1:10" x14ac:dyDescent="0.3">
      <c r="A172" t="s">
        <v>279</v>
      </c>
      <c r="B172" t="s">
        <v>63</v>
      </c>
      <c r="C172">
        <v>8</v>
      </c>
      <c r="D172">
        <v>1</v>
      </c>
      <c r="E172">
        <v>8</v>
      </c>
      <c r="F172">
        <v>35873</v>
      </c>
      <c r="G172">
        <v>44</v>
      </c>
      <c r="H172" t="s">
        <v>68</v>
      </c>
      <c r="I172">
        <v>3191</v>
      </c>
      <c r="J172">
        <v>11.6</v>
      </c>
    </row>
    <row r="173" spans="1:10" x14ac:dyDescent="0.3">
      <c r="A173" t="s">
        <v>280</v>
      </c>
      <c r="B173" t="s">
        <v>62</v>
      </c>
      <c r="C173">
        <v>6</v>
      </c>
      <c r="D173">
        <v>1</v>
      </c>
      <c r="E173">
        <v>6</v>
      </c>
      <c r="F173">
        <v>39641</v>
      </c>
      <c r="G173">
        <v>22</v>
      </c>
      <c r="H173" t="s">
        <v>66</v>
      </c>
      <c r="I173">
        <v>2978</v>
      </c>
      <c r="J173">
        <v>14.4</v>
      </c>
    </row>
    <row r="174" spans="1:10" x14ac:dyDescent="0.3">
      <c r="A174" t="s">
        <v>281</v>
      </c>
      <c r="B174" t="s">
        <v>64</v>
      </c>
      <c r="C174">
        <v>2</v>
      </c>
      <c r="D174">
        <v>1</v>
      </c>
      <c r="E174">
        <v>2</v>
      </c>
      <c r="F174">
        <v>40193</v>
      </c>
      <c r="G174">
        <v>15</v>
      </c>
      <c r="H174" t="s">
        <v>69</v>
      </c>
      <c r="I174">
        <v>3286</v>
      </c>
      <c r="J174">
        <v>8.5</v>
      </c>
    </row>
    <row r="175" spans="1:10" x14ac:dyDescent="0.3">
      <c r="A175" t="s">
        <v>282</v>
      </c>
      <c r="B175" t="s">
        <v>65</v>
      </c>
      <c r="C175">
        <v>2</v>
      </c>
      <c r="D175">
        <v>1</v>
      </c>
      <c r="E175">
        <v>2</v>
      </c>
      <c r="F175">
        <v>24837</v>
      </c>
      <c r="G175">
        <v>10</v>
      </c>
      <c r="H175" t="s">
        <v>67</v>
      </c>
      <c r="I175">
        <v>3155</v>
      </c>
      <c r="J175">
        <v>9.8000000000000007</v>
      </c>
    </row>
    <row r="176" spans="1:10" x14ac:dyDescent="0.3">
      <c r="A176" t="s">
        <v>283</v>
      </c>
      <c r="B176" t="s">
        <v>63</v>
      </c>
      <c r="C176">
        <v>6</v>
      </c>
      <c r="D176">
        <v>1</v>
      </c>
      <c r="E176">
        <v>6</v>
      </c>
      <c r="F176">
        <v>27614</v>
      </c>
      <c r="G176">
        <v>21</v>
      </c>
      <c r="H176" t="s">
        <v>67</v>
      </c>
      <c r="I176">
        <v>2655</v>
      </c>
      <c r="J176">
        <v>5.2</v>
      </c>
    </row>
    <row r="177" spans="1:10" x14ac:dyDescent="0.3">
      <c r="A177" t="s">
        <v>284</v>
      </c>
      <c r="B177" t="s">
        <v>65</v>
      </c>
      <c r="C177">
        <v>8</v>
      </c>
      <c r="D177">
        <v>1</v>
      </c>
      <c r="E177">
        <v>8</v>
      </c>
      <c r="F177">
        <v>22978</v>
      </c>
      <c r="G177">
        <v>15</v>
      </c>
      <c r="H177" t="s">
        <v>69</v>
      </c>
      <c r="I177">
        <v>4305</v>
      </c>
      <c r="J177">
        <v>1.5</v>
      </c>
    </row>
    <row r="178" spans="1:10" x14ac:dyDescent="0.3">
      <c r="A178" t="s">
        <v>285</v>
      </c>
      <c r="B178" t="s">
        <v>64</v>
      </c>
      <c r="C178">
        <v>5</v>
      </c>
      <c r="D178">
        <v>1</v>
      </c>
      <c r="E178">
        <v>5</v>
      </c>
      <c r="F178">
        <v>24462</v>
      </c>
      <c r="G178">
        <v>48</v>
      </c>
      <c r="H178" t="s">
        <v>66</v>
      </c>
      <c r="I178">
        <v>2827</v>
      </c>
      <c r="J178">
        <v>12.1</v>
      </c>
    </row>
    <row r="179" spans="1:10" x14ac:dyDescent="0.3">
      <c r="A179" t="s">
        <v>286</v>
      </c>
      <c r="B179" t="s">
        <v>62</v>
      </c>
      <c r="C179">
        <v>7</v>
      </c>
      <c r="D179">
        <v>1</v>
      </c>
      <c r="E179">
        <v>7</v>
      </c>
      <c r="F179">
        <v>27767</v>
      </c>
      <c r="G179">
        <v>45</v>
      </c>
      <c r="H179" t="s">
        <v>68</v>
      </c>
      <c r="I179">
        <v>3525</v>
      </c>
      <c r="J179">
        <v>8.5</v>
      </c>
    </row>
    <row r="180" spans="1:10" x14ac:dyDescent="0.3">
      <c r="A180" t="s">
        <v>287</v>
      </c>
      <c r="B180" t="s">
        <v>62</v>
      </c>
      <c r="C180">
        <v>2</v>
      </c>
      <c r="D180">
        <v>1</v>
      </c>
      <c r="E180">
        <v>2</v>
      </c>
      <c r="F180">
        <v>46188</v>
      </c>
      <c r="G180">
        <v>41</v>
      </c>
      <c r="H180" t="s">
        <v>69</v>
      </c>
      <c r="I180">
        <v>2308</v>
      </c>
      <c r="J180">
        <v>4.2</v>
      </c>
    </row>
    <row r="181" spans="1:10" x14ac:dyDescent="0.3">
      <c r="A181" t="s">
        <v>288</v>
      </c>
      <c r="B181" t="s">
        <v>65</v>
      </c>
      <c r="C181">
        <v>5</v>
      </c>
      <c r="D181">
        <v>1</v>
      </c>
      <c r="E181">
        <v>5</v>
      </c>
      <c r="F181">
        <v>32265</v>
      </c>
      <c r="G181">
        <v>39</v>
      </c>
      <c r="H181" t="s">
        <v>68</v>
      </c>
      <c r="I181">
        <v>3472</v>
      </c>
      <c r="J181">
        <v>8.6</v>
      </c>
    </row>
    <row r="182" spans="1:10" x14ac:dyDescent="0.3">
      <c r="A182" t="s">
        <v>289</v>
      </c>
      <c r="B182" t="s">
        <v>65</v>
      </c>
      <c r="C182">
        <v>4</v>
      </c>
      <c r="D182">
        <v>1</v>
      </c>
      <c r="E182">
        <v>4</v>
      </c>
      <c r="F182">
        <v>27999</v>
      </c>
      <c r="G182">
        <v>19</v>
      </c>
      <c r="H182" t="s">
        <v>69</v>
      </c>
      <c r="I182">
        <v>2521</v>
      </c>
      <c r="J182">
        <v>11.9</v>
      </c>
    </row>
    <row r="183" spans="1:10" x14ac:dyDescent="0.3">
      <c r="A183" t="s">
        <v>290</v>
      </c>
      <c r="B183" t="s">
        <v>62</v>
      </c>
      <c r="C183">
        <v>8</v>
      </c>
      <c r="D183">
        <v>1</v>
      </c>
      <c r="E183">
        <v>8</v>
      </c>
      <c r="F183">
        <v>26572</v>
      </c>
      <c r="G183">
        <v>43</v>
      </c>
      <c r="H183" t="s">
        <v>67</v>
      </c>
      <c r="I183">
        <v>3541</v>
      </c>
      <c r="J183">
        <v>1.4</v>
      </c>
    </row>
    <row r="184" spans="1:10" x14ac:dyDescent="0.3">
      <c r="A184" t="s">
        <v>291</v>
      </c>
      <c r="B184" t="s">
        <v>64</v>
      </c>
      <c r="C184">
        <v>6</v>
      </c>
      <c r="D184">
        <v>1</v>
      </c>
      <c r="E184">
        <v>6</v>
      </c>
      <c r="F184">
        <v>34448</v>
      </c>
      <c r="G184">
        <v>7</v>
      </c>
      <c r="H184" t="s">
        <v>68</v>
      </c>
      <c r="I184">
        <v>2876</v>
      </c>
      <c r="J184">
        <v>10.6</v>
      </c>
    </row>
    <row r="185" spans="1:10" x14ac:dyDescent="0.3">
      <c r="A185" t="s">
        <v>292</v>
      </c>
      <c r="B185" t="s">
        <v>64</v>
      </c>
      <c r="C185">
        <v>6</v>
      </c>
      <c r="D185">
        <v>1</v>
      </c>
      <c r="E185">
        <v>6</v>
      </c>
      <c r="F185">
        <v>46606</v>
      </c>
      <c r="G185">
        <v>23</v>
      </c>
      <c r="H185" t="s">
        <v>68</v>
      </c>
      <c r="I185">
        <v>2919</v>
      </c>
      <c r="J185">
        <v>2.1</v>
      </c>
    </row>
    <row r="186" spans="1:10" x14ac:dyDescent="0.3">
      <c r="A186" t="s">
        <v>293</v>
      </c>
      <c r="B186" t="s">
        <v>64</v>
      </c>
      <c r="C186">
        <v>3</v>
      </c>
      <c r="D186">
        <v>1</v>
      </c>
      <c r="E186">
        <v>3</v>
      </c>
      <c r="F186">
        <v>38903</v>
      </c>
      <c r="G186">
        <v>55</v>
      </c>
      <c r="H186" t="s">
        <v>68</v>
      </c>
      <c r="I186">
        <v>2918</v>
      </c>
      <c r="J186">
        <v>10.8</v>
      </c>
    </row>
    <row r="187" spans="1:10" x14ac:dyDescent="0.3">
      <c r="A187" t="s">
        <v>294</v>
      </c>
      <c r="B187" t="s">
        <v>65</v>
      </c>
      <c r="C187">
        <v>5</v>
      </c>
      <c r="D187">
        <v>1</v>
      </c>
      <c r="E187">
        <v>5</v>
      </c>
      <c r="F187">
        <v>28107</v>
      </c>
      <c r="G187">
        <v>42</v>
      </c>
      <c r="H187" t="s">
        <v>69</v>
      </c>
      <c r="I187">
        <v>3026</v>
      </c>
      <c r="J187">
        <v>12.1</v>
      </c>
    </row>
    <row r="188" spans="1:10" x14ac:dyDescent="0.3">
      <c r="A188" t="s">
        <v>295</v>
      </c>
      <c r="B188" t="s">
        <v>63</v>
      </c>
      <c r="C188">
        <v>3</v>
      </c>
      <c r="D188">
        <v>1</v>
      </c>
      <c r="E188">
        <v>3</v>
      </c>
      <c r="F188">
        <v>16912</v>
      </c>
      <c r="G188">
        <v>39</v>
      </c>
      <c r="H188" t="s">
        <v>67</v>
      </c>
      <c r="I188">
        <v>2898</v>
      </c>
      <c r="J188">
        <v>4.5</v>
      </c>
    </row>
    <row r="189" spans="1:10" x14ac:dyDescent="0.3">
      <c r="A189" t="s">
        <v>296</v>
      </c>
      <c r="B189" t="s">
        <v>63</v>
      </c>
      <c r="C189">
        <v>8</v>
      </c>
      <c r="D189">
        <v>1</v>
      </c>
      <c r="E189">
        <v>8</v>
      </c>
      <c r="F189">
        <v>27487</v>
      </c>
      <c r="G189">
        <v>40</v>
      </c>
      <c r="H189" t="s">
        <v>67</v>
      </c>
      <c r="I189">
        <v>3594</v>
      </c>
      <c r="J189">
        <v>12.1</v>
      </c>
    </row>
    <row r="190" spans="1:10" x14ac:dyDescent="0.3">
      <c r="A190" t="s">
        <v>297</v>
      </c>
      <c r="B190" t="s">
        <v>64</v>
      </c>
      <c r="C190">
        <v>4</v>
      </c>
      <c r="D190">
        <v>1</v>
      </c>
      <c r="E190">
        <v>4</v>
      </c>
      <c r="F190">
        <v>25887</v>
      </c>
      <c r="G190">
        <v>21</v>
      </c>
      <c r="H190" t="s">
        <v>66</v>
      </c>
      <c r="I190">
        <v>3110</v>
      </c>
      <c r="J190">
        <v>6.8</v>
      </c>
    </row>
    <row r="191" spans="1:10" x14ac:dyDescent="0.3">
      <c r="A191" t="s">
        <v>298</v>
      </c>
      <c r="B191" t="s">
        <v>62</v>
      </c>
      <c r="C191">
        <v>7</v>
      </c>
      <c r="D191">
        <v>1</v>
      </c>
      <c r="E191">
        <v>7</v>
      </c>
      <c r="F191">
        <v>30649</v>
      </c>
      <c r="G191">
        <v>45</v>
      </c>
      <c r="H191" t="s">
        <v>68</v>
      </c>
      <c r="I191">
        <v>4311</v>
      </c>
      <c r="J191">
        <v>14.8</v>
      </c>
    </row>
    <row r="192" spans="1:10" x14ac:dyDescent="0.3">
      <c r="A192" t="s">
        <v>299</v>
      </c>
      <c r="B192" t="s">
        <v>65</v>
      </c>
      <c r="C192">
        <v>2</v>
      </c>
      <c r="D192">
        <v>1</v>
      </c>
      <c r="E192">
        <v>2</v>
      </c>
      <c r="F192">
        <v>32001</v>
      </c>
      <c r="G192">
        <v>8</v>
      </c>
      <c r="H192" t="s">
        <v>68</v>
      </c>
      <c r="I192">
        <v>2136</v>
      </c>
      <c r="J192">
        <v>5.2</v>
      </c>
    </row>
    <row r="193" spans="1:10" x14ac:dyDescent="0.3">
      <c r="A193" t="s">
        <v>300</v>
      </c>
      <c r="B193" t="s">
        <v>63</v>
      </c>
      <c r="C193">
        <v>3</v>
      </c>
      <c r="D193">
        <v>1</v>
      </c>
      <c r="E193">
        <v>3</v>
      </c>
      <c r="F193">
        <v>37381</v>
      </c>
      <c r="G193">
        <v>29</v>
      </c>
      <c r="H193" t="s">
        <v>66</v>
      </c>
      <c r="I193">
        <v>2757</v>
      </c>
      <c r="J193">
        <v>3</v>
      </c>
    </row>
    <row r="194" spans="1:10" x14ac:dyDescent="0.3">
      <c r="A194" t="s">
        <v>301</v>
      </c>
      <c r="B194" t="s">
        <v>63</v>
      </c>
      <c r="C194">
        <v>5</v>
      </c>
      <c r="D194">
        <v>1</v>
      </c>
      <c r="E194">
        <v>5</v>
      </c>
      <c r="F194">
        <v>33809</v>
      </c>
      <c r="G194">
        <v>26</v>
      </c>
      <c r="H194" t="s">
        <v>67</v>
      </c>
      <c r="I194">
        <v>3301</v>
      </c>
      <c r="J194">
        <v>13.7</v>
      </c>
    </row>
    <row r="195" spans="1:10" x14ac:dyDescent="0.3">
      <c r="A195" t="s">
        <v>302</v>
      </c>
      <c r="B195" t="s">
        <v>64</v>
      </c>
      <c r="C195">
        <v>8</v>
      </c>
      <c r="D195">
        <v>1</v>
      </c>
      <c r="E195">
        <v>8</v>
      </c>
      <c r="F195">
        <v>32746</v>
      </c>
      <c r="G195">
        <v>39</v>
      </c>
      <c r="H195" t="s">
        <v>66</v>
      </c>
      <c r="I195">
        <v>3151</v>
      </c>
      <c r="J195">
        <v>9.1999999999999993</v>
      </c>
    </row>
    <row r="196" spans="1:10" x14ac:dyDescent="0.3">
      <c r="A196" t="s">
        <v>303</v>
      </c>
      <c r="B196" t="s">
        <v>65</v>
      </c>
      <c r="C196">
        <v>6</v>
      </c>
      <c r="D196">
        <v>1</v>
      </c>
      <c r="E196">
        <v>6</v>
      </c>
      <c r="F196">
        <v>21358</v>
      </c>
      <c r="G196">
        <v>28</v>
      </c>
      <c r="H196" t="s">
        <v>67</v>
      </c>
      <c r="I196">
        <v>4290</v>
      </c>
      <c r="J196">
        <v>2.2999999999999998</v>
      </c>
    </row>
    <row r="197" spans="1:10" x14ac:dyDescent="0.3">
      <c r="A197" t="s">
        <v>304</v>
      </c>
      <c r="B197" t="s">
        <v>64</v>
      </c>
      <c r="C197">
        <v>7</v>
      </c>
      <c r="D197">
        <v>1</v>
      </c>
      <c r="E197">
        <v>7</v>
      </c>
      <c r="F197">
        <v>29710</v>
      </c>
      <c r="G197">
        <v>50</v>
      </c>
      <c r="H197" t="s">
        <v>68</v>
      </c>
      <c r="I197">
        <v>3146</v>
      </c>
      <c r="J197">
        <v>0.7</v>
      </c>
    </row>
    <row r="198" spans="1:10" x14ac:dyDescent="0.3">
      <c r="A198" t="s">
        <v>305</v>
      </c>
      <c r="B198" t="s">
        <v>63</v>
      </c>
      <c r="C198">
        <v>7</v>
      </c>
      <c r="D198">
        <v>1</v>
      </c>
      <c r="E198">
        <v>7</v>
      </c>
      <c r="F198">
        <v>21689</v>
      </c>
      <c r="G198">
        <v>50</v>
      </c>
      <c r="H198" t="s">
        <v>69</v>
      </c>
      <c r="I198">
        <v>4495</v>
      </c>
      <c r="J198">
        <v>0.6</v>
      </c>
    </row>
    <row r="199" spans="1:10" x14ac:dyDescent="0.3">
      <c r="A199" t="s">
        <v>306</v>
      </c>
      <c r="B199" t="s">
        <v>65</v>
      </c>
      <c r="C199">
        <v>2</v>
      </c>
      <c r="D199">
        <v>1</v>
      </c>
      <c r="E199">
        <v>2</v>
      </c>
      <c r="F199">
        <v>35225</v>
      </c>
      <c r="G199">
        <v>24</v>
      </c>
      <c r="H199" t="s">
        <v>68</v>
      </c>
      <c r="I199">
        <v>2844</v>
      </c>
      <c r="J199">
        <v>5.5</v>
      </c>
    </row>
    <row r="200" spans="1:10" x14ac:dyDescent="0.3">
      <c r="A200" t="s">
        <v>307</v>
      </c>
      <c r="B200" t="s">
        <v>65</v>
      </c>
      <c r="C200">
        <v>3</v>
      </c>
      <c r="D200">
        <v>1</v>
      </c>
      <c r="E200">
        <v>3</v>
      </c>
      <c r="F200">
        <v>41466</v>
      </c>
      <c r="G200">
        <v>13</v>
      </c>
      <c r="H200" t="s">
        <v>66</v>
      </c>
      <c r="I200">
        <v>3031</v>
      </c>
      <c r="J200">
        <v>7.8</v>
      </c>
    </row>
    <row r="201" spans="1:10" x14ac:dyDescent="0.3">
      <c r="A201" t="s">
        <v>308</v>
      </c>
      <c r="B201" t="s">
        <v>63</v>
      </c>
      <c r="C201">
        <v>7</v>
      </c>
      <c r="D201">
        <v>1</v>
      </c>
      <c r="E201">
        <v>7</v>
      </c>
      <c r="F201">
        <v>33124</v>
      </c>
      <c r="G201">
        <v>29</v>
      </c>
      <c r="H201" t="s">
        <v>68</v>
      </c>
      <c r="I201">
        <v>3173</v>
      </c>
      <c r="J201">
        <v>9.1999999999999993</v>
      </c>
    </row>
    <row r="202" spans="1:10" x14ac:dyDescent="0.3">
      <c r="A202" t="s">
        <v>309</v>
      </c>
      <c r="B202" t="s">
        <v>63</v>
      </c>
      <c r="C202">
        <v>3</v>
      </c>
      <c r="D202">
        <v>1</v>
      </c>
      <c r="E202">
        <v>3</v>
      </c>
      <c r="F202">
        <v>21060</v>
      </c>
      <c r="G202">
        <v>13</v>
      </c>
      <c r="H202" t="s">
        <v>67</v>
      </c>
      <c r="I202">
        <v>3260</v>
      </c>
      <c r="J202">
        <v>13.2</v>
      </c>
    </row>
    <row r="203" spans="1:10" x14ac:dyDescent="0.3">
      <c r="A203" t="s">
        <v>310</v>
      </c>
      <c r="B203" t="s">
        <v>63</v>
      </c>
      <c r="C203">
        <v>5</v>
      </c>
      <c r="D203">
        <v>0</v>
      </c>
      <c r="E203">
        <v>5</v>
      </c>
      <c r="F203">
        <v>24830</v>
      </c>
      <c r="G203">
        <v>88</v>
      </c>
      <c r="H203" t="s">
        <v>66</v>
      </c>
      <c r="I203">
        <v>5681</v>
      </c>
      <c r="J203">
        <v>3.5</v>
      </c>
    </row>
    <row r="204" spans="1:10" x14ac:dyDescent="0.3">
      <c r="A204" t="s">
        <v>311</v>
      </c>
      <c r="B204" t="s">
        <v>64</v>
      </c>
      <c r="C204">
        <v>6</v>
      </c>
      <c r="D204">
        <v>0</v>
      </c>
      <c r="E204">
        <v>6</v>
      </c>
      <c r="F204">
        <v>31429</v>
      </c>
      <c r="G204">
        <v>29</v>
      </c>
      <c r="H204" t="s">
        <v>67</v>
      </c>
      <c r="I204">
        <v>5077</v>
      </c>
      <c r="J204">
        <v>6.7</v>
      </c>
    </row>
    <row r="205" spans="1:10" x14ac:dyDescent="0.3">
      <c r="A205" t="s">
        <v>312</v>
      </c>
      <c r="B205" t="s">
        <v>65</v>
      </c>
      <c r="C205">
        <v>8</v>
      </c>
      <c r="D205">
        <v>0</v>
      </c>
      <c r="E205">
        <v>8</v>
      </c>
      <c r="F205">
        <v>28947</v>
      </c>
      <c r="G205">
        <v>59</v>
      </c>
      <c r="H205" t="s">
        <v>67</v>
      </c>
      <c r="I205">
        <v>6477</v>
      </c>
      <c r="J205">
        <v>11.2</v>
      </c>
    </row>
    <row r="206" spans="1:10" x14ac:dyDescent="0.3">
      <c r="A206" t="s">
        <v>313</v>
      </c>
      <c r="B206" t="s">
        <v>62</v>
      </c>
      <c r="C206">
        <v>2</v>
      </c>
      <c r="D206">
        <v>0</v>
      </c>
      <c r="E206">
        <v>2</v>
      </c>
      <c r="F206">
        <v>23189</v>
      </c>
      <c r="G206">
        <v>46</v>
      </c>
      <c r="H206" t="s">
        <v>69</v>
      </c>
      <c r="I206">
        <v>2641</v>
      </c>
      <c r="J206">
        <v>13.9</v>
      </c>
    </row>
    <row r="207" spans="1:10" x14ac:dyDescent="0.3">
      <c r="A207" t="s">
        <v>314</v>
      </c>
      <c r="B207" t="s">
        <v>62</v>
      </c>
      <c r="C207">
        <v>8</v>
      </c>
      <c r="D207">
        <v>0</v>
      </c>
      <c r="E207">
        <v>8</v>
      </c>
      <c r="F207">
        <v>37703</v>
      </c>
      <c r="G207">
        <v>103</v>
      </c>
      <c r="H207" t="s">
        <v>69</v>
      </c>
      <c r="I207">
        <v>4626</v>
      </c>
      <c r="J207">
        <v>7.2</v>
      </c>
    </row>
    <row r="208" spans="1:10" x14ac:dyDescent="0.3">
      <c r="A208" t="s">
        <v>315</v>
      </c>
      <c r="B208" t="s">
        <v>62</v>
      </c>
      <c r="C208">
        <v>2</v>
      </c>
      <c r="D208">
        <v>0</v>
      </c>
      <c r="E208">
        <v>2</v>
      </c>
      <c r="F208">
        <v>21543</v>
      </c>
      <c r="G208">
        <v>53</v>
      </c>
      <c r="H208" t="s">
        <v>69</v>
      </c>
      <c r="I208">
        <v>3620</v>
      </c>
      <c r="J208">
        <v>10.4</v>
      </c>
    </row>
    <row r="209" spans="1:10" x14ac:dyDescent="0.3">
      <c r="A209" t="s">
        <v>316</v>
      </c>
      <c r="B209" t="s">
        <v>62</v>
      </c>
      <c r="C209">
        <v>7</v>
      </c>
      <c r="D209">
        <v>0</v>
      </c>
      <c r="E209">
        <v>7</v>
      </c>
      <c r="F209">
        <v>29013</v>
      </c>
      <c r="G209">
        <v>114</v>
      </c>
      <c r="H209" t="s">
        <v>68</v>
      </c>
      <c r="I209">
        <v>5213</v>
      </c>
      <c r="J209">
        <v>14.2</v>
      </c>
    </row>
    <row r="210" spans="1:10" x14ac:dyDescent="0.3">
      <c r="A210" t="s">
        <v>317</v>
      </c>
      <c r="B210" t="s">
        <v>63</v>
      </c>
      <c r="C210">
        <v>8</v>
      </c>
      <c r="D210">
        <v>0</v>
      </c>
      <c r="E210">
        <v>8</v>
      </c>
      <c r="F210">
        <v>38238</v>
      </c>
      <c r="G210">
        <v>103</v>
      </c>
      <c r="H210" t="s">
        <v>68</v>
      </c>
      <c r="I210">
        <v>6971</v>
      </c>
      <c r="J210">
        <v>4.8</v>
      </c>
    </row>
    <row r="211" spans="1:10" x14ac:dyDescent="0.3">
      <c r="A211" t="s">
        <v>318</v>
      </c>
      <c r="B211" t="s">
        <v>63</v>
      </c>
      <c r="C211">
        <v>3</v>
      </c>
      <c r="D211">
        <v>0</v>
      </c>
      <c r="E211">
        <v>3</v>
      </c>
      <c r="F211">
        <v>26437</v>
      </c>
      <c r="G211">
        <v>24</v>
      </c>
      <c r="H211" t="s">
        <v>68</v>
      </c>
      <c r="I211">
        <v>2677</v>
      </c>
      <c r="J211">
        <v>10.199999999999999</v>
      </c>
    </row>
    <row r="212" spans="1:10" x14ac:dyDescent="0.3">
      <c r="A212" t="s">
        <v>319</v>
      </c>
      <c r="B212" t="s">
        <v>65</v>
      </c>
      <c r="C212">
        <v>8</v>
      </c>
      <c r="D212">
        <v>0</v>
      </c>
      <c r="E212">
        <v>8</v>
      </c>
      <c r="F212">
        <v>19219</v>
      </c>
      <c r="G212">
        <v>80</v>
      </c>
      <c r="H212" t="s">
        <v>68</v>
      </c>
      <c r="I212">
        <v>5116</v>
      </c>
      <c r="J212">
        <v>12.4</v>
      </c>
    </row>
    <row r="213" spans="1:10" x14ac:dyDescent="0.3">
      <c r="A213" t="s">
        <v>320</v>
      </c>
      <c r="B213" t="s">
        <v>63</v>
      </c>
      <c r="C213">
        <v>3</v>
      </c>
      <c r="D213">
        <v>0</v>
      </c>
      <c r="E213">
        <v>3</v>
      </c>
      <c r="F213">
        <v>27241</v>
      </c>
      <c r="G213">
        <v>96</v>
      </c>
      <c r="H213" t="s">
        <v>68</v>
      </c>
      <c r="I213">
        <v>3432</v>
      </c>
      <c r="J213">
        <v>5.4</v>
      </c>
    </row>
    <row r="214" spans="1:10" x14ac:dyDescent="0.3">
      <c r="A214" t="s">
        <v>321</v>
      </c>
      <c r="B214" t="s">
        <v>64</v>
      </c>
      <c r="C214">
        <v>7</v>
      </c>
      <c r="D214">
        <v>0</v>
      </c>
      <c r="E214">
        <v>7</v>
      </c>
      <c r="F214">
        <v>24530</v>
      </c>
      <c r="G214">
        <v>93</v>
      </c>
      <c r="H214" t="s">
        <v>68</v>
      </c>
      <c r="I214">
        <v>5334</v>
      </c>
      <c r="J214">
        <v>7.2</v>
      </c>
    </row>
    <row r="215" spans="1:10" x14ac:dyDescent="0.3">
      <c r="A215" t="s">
        <v>322</v>
      </c>
      <c r="B215" t="s">
        <v>65</v>
      </c>
      <c r="C215">
        <v>2</v>
      </c>
      <c r="D215">
        <v>0</v>
      </c>
      <c r="E215">
        <v>2</v>
      </c>
      <c r="F215">
        <v>33734</v>
      </c>
      <c r="G215">
        <v>119</v>
      </c>
      <c r="H215" t="s">
        <v>66</v>
      </c>
      <c r="I215">
        <v>2263</v>
      </c>
      <c r="J215">
        <v>12.9</v>
      </c>
    </row>
    <row r="216" spans="1:10" x14ac:dyDescent="0.3">
      <c r="A216" t="s">
        <v>323</v>
      </c>
      <c r="B216" t="s">
        <v>64</v>
      </c>
      <c r="C216">
        <v>8</v>
      </c>
      <c r="D216">
        <v>0</v>
      </c>
      <c r="E216">
        <v>8</v>
      </c>
      <c r="F216">
        <v>27872</v>
      </c>
      <c r="G216">
        <v>77</v>
      </c>
      <c r="H216" t="s">
        <v>67</v>
      </c>
      <c r="I216">
        <v>4830</v>
      </c>
      <c r="J216">
        <v>0.8</v>
      </c>
    </row>
    <row r="217" spans="1:10" x14ac:dyDescent="0.3">
      <c r="A217" t="s">
        <v>324</v>
      </c>
      <c r="B217" t="s">
        <v>64</v>
      </c>
      <c r="C217">
        <v>2</v>
      </c>
      <c r="D217">
        <v>0</v>
      </c>
      <c r="E217">
        <v>2</v>
      </c>
      <c r="F217">
        <v>18671</v>
      </c>
      <c r="G217">
        <v>88</v>
      </c>
      <c r="H217" t="s">
        <v>67</v>
      </c>
      <c r="I217">
        <v>3961</v>
      </c>
      <c r="J217">
        <v>13.8</v>
      </c>
    </row>
    <row r="218" spans="1:10" x14ac:dyDescent="0.3">
      <c r="A218" t="s">
        <v>325</v>
      </c>
      <c r="B218" t="s">
        <v>63</v>
      </c>
      <c r="C218">
        <v>8</v>
      </c>
      <c r="D218">
        <v>0</v>
      </c>
      <c r="E218">
        <v>8</v>
      </c>
      <c r="F218">
        <v>29940</v>
      </c>
      <c r="G218">
        <v>90</v>
      </c>
      <c r="H218" t="s">
        <v>67</v>
      </c>
      <c r="I218">
        <v>4738</v>
      </c>
      <c r="J218">
        <v>7.8</v>
      </c>
    </row>
    <row r="219" spans="1:10" x14ac:dyDescent="0.3">
      <c r="A219" t="s">
        <v>326</v>
      </c>
      <c r="B219" t="s">
        <v>62</v>
      </c>
      <c r="C219">
        <v>4</v>
      </c>
      <c r="D219">
        <v>0</v>
      </c>
      <c r="E219">
        <v>4</v>
      </c>
      <c r="F219">
        <v>32486</v>
      </c>
      <c r="G219">
        <v>18</v>
      </c>
      <c r="H219" t="s">
        <v>68</v>
      </c>
      <c r="I219">
        <v>5210</v>
      </c>
      <c r="J219">
        <v>5.8</v>
      </c>
    </row>
    <row r="220" spans="1:10" x14ac:dyDescent="0.3">
      <c r="A220" t="s">
        <v>327</v>
      </c>
      <c r="B220" t="s">
        <v>64</v>
      </c>
      <c r="C220">
        <v>2</v>
      </c>
      <c r="D220">
        <v>0</v>
      </c>
      <c r="E220">
        <v>2</v>
      </c>
      <c r="F220">
        <v>30914</v>
      </c>
      <c r="G220">
        <v>110</v>
      </c>
      <c r="H220" t="s">
        <v>68</v>
      </c>
      <c r="I220">
        <v>4299</v>
      </c>
      <c r="J220">
        <v>10.1</v>
      </c>
    </row>
    <row r="221" spans="1:10" x14ac:dyDescent="0.3">
      <c r="A221" t="s">
        <v>328</v>
      </c>
      <c r="B221" t="s">
        <v>63</v>
      </c>
      <c r="C221">
        <v>2</v>
      </c>
      <c r="D221">
        <v>0</v>
      </c>
      <c r="E221">
        <v>2</v>
      </c>
      <c r="F221">
        <v>25348</v>
      </c>
      <c r="G221">
        <v>51</v>
      </c>
      <c r="H221" t="s">
        <v>68</v>
      </c>
      <c r="I221">
        <v>2802</v>
      </c>
      <c r="J221">
        <v>10.199999999999999</v>
      </c>
    </row>
    <row r="222" spans="1:10" x14ac:dyDescent="0.3">
      <c r="A222" t="s">
        <v>329</v>
      </c>
      <c r="B222" t="s">
        <v>64</v>
      </c>
      <c r="C222">
        <v>7</v>
      </c>
      <c r="D222">
        <v>0</v>
      </c>
      <c r="E222">
        <v>7</v>
      </c>
      <c r="F222">
        <v>30502</v>
      </c>
      <c r="G222">
        <v>52</v>
      </c>
      <c r="H222" t="s">
        <v>67</v>
      </c>
      <c r="I222">
        <v>6487</v>
      </c>
      <c r="J222">
        <v>2.9</v>
      </c>
    </row>
    <row r="223" spans="1:10" x14ac:dyDescent="0.3">
      <c r="A223" t="s">
        <v>330</v>
      </c>
      <c r="B223" t="s">
        <v>65</v>
      </c>
      <c r="C223">
        <v>7</v>
      </c>
      <c r="D223">
        <v>0</v>
      </c>
      <c r="E223">
        <v>7</v>
      </c>
      <c r="F223">
        <v>30446</v>
      </c>
      <c r="G223">
        <v>78</v>
      </c>
      <c r="H223" t="s">
        <v>68</v>
      </c>
      <c r="I223">
        <v>6464</v>
      </c>
      <c r="J223">
        <v>8.4</v>
      </c>
    </row>
    <row r="224" spans="1:10" x14ac:dyDescent="0.3">
      <c r="A224" t="s">
        <v>331</v>
      </c>
      <c r="B224" t="s">
        <v>65</v>
      </c>
      <c r="C224">
        <v>6</v>
      </c>
      <c r="D224">
        <v>0</v>
      </c>
      <c r="E224">
        <v>6</v>
      </c>
      <c r="F224">
        <v>19473</v>
      </c>
      <c r="G224">
        <v>29</v>
      </c>
      <c r="H224" t="s">
        <v>67</v>
      </c>
      <c r="I224">
        <v>4510</v>
      </c>
      <c r="J224">
        <v>14.8</v>
      </c>
    </row>
    <row r="225" spans="1:10" x14ac:dyDescent="0.3">
      <c r="A225" t="s">
        <v>332</v>
      </c>
      <c r="B225" t="s">
        <v>63</v>
      </c>
      <c r="C225">
        <v>6</v>
      </c>
      <c r="D225">
        <v>0</v>
      </c>
      <c r="E225">
        <v>6</v>
      </c>
      <c r="F225">
        <v>23706</v>
      </c>
      <c r="G225">
        <v>59</v>
      </c>
      <c r="H225" t="s">
        <v>69</v>
      </c>
      <c r="I225">
        <v>4879</v>
      </c>
      <c r="J225">
        <v>11.5</v>
      </c>
    </row>
    <row r="226" spans="1:10" x14ac:dyDescent="0.3">
      <c r="A226" t="s">
        <v>333</v>
      </c>
      <c r="B226" t="s">
        <v>65</v>
      </c>
      <c r="C226">
        <v>2</v>
      </c>
      <c r="D226">
        <v>0</v>
      </c>
      <c r="E226">
        <v>2</v>
      </c>
      <c r="F226">
        <v>16949</v>
      </c>
      <c r="G226">
        <v>33</v>
      </c>
      <c r="H226" t="s">
        <v>69</v>
      </c>
      <c r="I226">
        <v>3355</v>
      </c>
      <c r="J226">
        <v>7.2</v>
      </c>
    </row>
    <row r="227" spans="1:10" x14ac:dyDescent="0.3">
      <c r="A227" t="s">
        <v>334</v>
      </c>
      <c r="B227" t="s">
        <v>62</v>
      </c>
      <c r="C227">
        <v>6</v>
      </c>
      <c r="D227">
        <v>0</v>
      </c>
      <c r="E227">
        <v>6</v>
      </c>
      <c r="F227">
        <v>30735</v>
      </c>
      <c r="G227">
        <v>117</v>
      </c>
      <c r="H227" t="s">
        <v>68</v>
      </c>
      <c r="I227">
        <v>5281</v>
      </c>
      <c r="J227">
        <v>3.8</v>
      </c>
    </row>
    <row r="228" spans="1:10" x14ac:dyDescent="0.3">
      <c r="A228" t="s">
        <v>335</v>
      </c>
      <c r="B228" t="s">
        <v>65</v>
      </c>
      <c r="C228">
        <v>7</v>
      </c>
      <c r="D228">
        <v>0</v>
      </c>
      <c r="E228">
        <v>7</v>
      </c>
      <c r="F228">
        <v>21453</v>
      </c>
      <c r="G228">
        <v>84</v>
      </c>
      <c r="H228" t="s">
        <v>69</v>
      </c>
      <c r="I228">
        <v>6206</v>
      </c>
      <c r="J228">
        <v>2</v>
      </c>
    </row>
    <row r="229" spans="1:10" x14ac:dyDescent="0.3">
      <c r="A229" t="s">
        <v>336</v>
      </c>
      <c r="B229" t="s">
        <v>65</v>
      </c>
      <c r="C229">
        <v>2</v>
      </c>
      <c r="D229">
        <v>0</v>
      </c>
      <c r="E229">
        <v>2</v>
      </c>
      <c r="F229">
        <v>27934</v>
      </c>
      <c r="G229">
        <v>101</v>
      </c>
      <c r="H229" t="s">
        <v>69</v>
      </c>
      <c r="I229">
        <v>3830</v>
      </c>
      <c r="J229">
        <v>10.7</v>
      </c>
    </row>
    <row r="230" spans="1:10" x14ac:dyDescent="0.3">
      <c r="A230" t="s">
        <v>337</v>
      </c>
      <c r="B230" t="s">
        <v>62</v>
      </c>
      <c r="C230">
        <v>5</v>
      </c>
      <c r="D230">
        <v>0</v>
      </c>
      <c r="E230">
        <v>5</v>
      </c>
      <c r="F230">
        <v>25667</v>
      </c>
      <c r="G230">
        <v>71</v>
      </c>
      <c r="H230" t="s">
        <v>69</v>
      </c>
      <c r="I230">
        <v>5030</v>
      </c>
      <c r="J230">
        <v>14.4</v>
      </c>
    </row>
    <row r="231" spans="1:10" x14ac:dyDescent="0.3">
      <c r="A231" t="s">
        <v>338</v>
      </c>
      <c r="B231" t="s">
        <v>63</v>
      </c>
      <c r="C231">
        <v>6</v>
      </c>
      <c r="D231">
        <v>0</v>
      </c>
      <c r="E231">
        <v>6</v>
      </c>
      <c r="F231">
        <v>30572</v>
      </c>
      <c r="G231">
        <v>84</v>
      </c>
      <c r="H231" t="s">
        <v>69</v>
      </c>
      <c r="I231">
        <v>5067</v>
      </c>
      <c r="J231">
        <v>9.8000000000000007</v>
      </c>
    </row>
    <row r="232" spans="1:10" x14ac:dyDescent="0.3">
      <c r="A232" t="s">
        <v>339</v>
      </c>
      <c r="B232" t="s">
        <v>64</v>
      </c>
      <c r="C232">
        <v>3</v>
      </c>
      <c r="D232">
        <v>0</v>
      </c>
      <c r="E232">
        <v>3</v>
      </c>
      <c r="F232">
        <v>44501</v>
      </c>
      <c r="G232">
        <v>73</v>
      </c>
      <c r="H232" t="s">
        <v>67</v>
      </c>
      <c r="I232">
        <v>4224</v>
      </c>
      <c r="J232">
        <v>9.3000000000000007</v>
      </c>
    </row>
    <row r="233" spans="1:10" x14ac:dyDescent="0.3">
      <c r="A233" t="s">
        <v>340</v>
      </c>
      <c r="B233" t="s">
        <v>62</v>
      </c>
      <c r="C233">
        <v>2</v>
      </c>
      <c r="D233">
        <v>0</v>
      </c>
      <c r="E233">
        <v>2</v>
      </c>
      <c r="F233">
        <v>24688</v>
      </c>
      <c r="G233">
        <v>96</v>
      </c>
      <c r="H233" t="s">
        <v>67</v>
      </c>
      <c r="I233">
        <v>2862</v>
      </c>
      <c r="J233">
        <v>0.7</v>
      </c>
    </row>
    <row r="234" spans="1:10" x14ac:dyDescent="0.3">
      <c r="A234" t="s">
        <v>341</v>
      </c>
      <c r="B234" t="s">
        <v>65</v>
      </c>
      <c r="C234">
        <v>7</v>
      </c>
      <c r="D234">
        <v>0</v>
      </c>
      <c r="E234">
        <v>7</v>
      </c>
      <c r="F234">
        <v>30721</v>
      </c>
      <c r="G234">
        <v>85</v>
      </c>
      <c r="H234" t="s">
        <v>69</v>
      </c>
      <c r="I234">
        <v>4743</v>
      </c>
      <c r="J234">
        <v>14.7</v>
      </c>
    </row>
    <row r="235" spans="1:10" x14ac:dyDescent="0.3">
      <c r="A235" t="s">
        <v>342</v>
      </c>
      <c r="B235" t="s">
        <v>64</v>
      </c>
      <c r="C235">
        <v>7</v>
      </c>
      <c r="D235">
        <v>0</v>
      </c>
      <c r="E235">
        <v>7</v>
      </c>
      <c r="F235">
        <v>31459</v>
      </c>
      <c r="G235">
        <v>80</v>
      </c>
      <c r="H235" t="s">
        <v>69</v>
      </c>
      <c r="I235">
        <v>4497</v>
      </c>
      <c r="J235">
        <v>7.4</v>
      </c>
    </row>
    <row r="236" spans="1:10" x14ac:dyDescent="0.3">
      <c r="A236" t="s">
        <v>343</v>
      </c>
      <c r="B236" t="s">
        <v>65</v>
      </c>
      <c r="C236">
        <v>8</v>
      </c>
      <c r="D236">
        <v>0</v>
      </c>
      <c r="E236">
        <v>8</v>
      </c>
      <c r="F236">
        <v>30781</v>
      </c>
      <c r="G236">
        <v>109</v>
      </c>
      <c r="H236" t="s">
        <v>67</v>
      </c>
      <c r="I236">
        <v>6881</v>
      </c>
      <c r="J236">
        <v>8.9</v>
      </c>
    </row>
    <row r="237" spans="1:10" x14ac:dyDescent="0.3">
      <c r="A237" t="s">
        <v>344</v>
      </c>
      <c r="B237" t="s">
        <v>64</v>
      </c>
      <c r="C237">
        <v>2</v>
      </c>
      <c r="D237">
        <v>0</v>
      </c>
      <c r="E237">
        <v>2</v>
      </c>
      <c r="F237">
        <v>24452</v>
      </c>
      <c r="G237">
        <v>63</v>
      </c>
      <c r="H237" t="s">
        <v>68</v>
      </c>
      <c r="I237">
        <v>2404</v>
      </c>
      <c r="J237">
        <v>12.3</v>
      </c>
    </row>
    <row r="238" spans="1:10" x14ac:dyDescent="0.3">
      <c r="A238" t="s">
        <v>345</v>
      </c>
      <c r="B238" t="s">
        <v>63</v>
      </c>
      <c r="C238">
        <v>3</v>
      </c>
      <c r="D238">
        <v>0</v>
      </c>
      <c r="E238">
        <v>3</v>
      </c>
      <c r="F238">
        <v>29348</v>
      </c>
      <c r="G238">
        <v>115</v>
      </c>
      <c r="H238" t="s">
        <v>68</v>
      </c>
      <c r="I238">
        <v>3779</v>
      </c>
      <c r="J238">
        <v>8.6</v>
      </c>
    </row>
    <row r="239" spans="1:10" x14ac:dyDescent="0.3">
      <c r="A239" t="s">
        <v>346</v>
      </c>
      <c r="B239" t="s">
        <v>63</v>
      </c>
      <c r="C239">
        <v>2</v>
      </c>
      <c r="D239">
        <v>0</v>
      </c>
      <c r="E239">
        <v>2</v>
      </c>
      <c r="F239">
        <v>32121</v>
      </c>
      <c r="G239">
        <v>87</v>
      </c>
      <c r="H239" t="s">
        <v>68</v>
      </c>
      <c r="I239">
        <v>3285</v>
      </c>
      <c r="J239">
        <v>14.1</v>
      </c>
    </row>
    <row r="240" spans="1:10" x14ac:dyDescent="0.3">
      <c r="A240" t="s">
        <v>347</v>
      </c>
      <c r="B240" t="s">
        <v>64</v>
      </c>
      <c r="C240">
        <v>3</v>
      </c>
      <c r="D240">
        <v>0</v>
      </c>
      <c r="E240">
        <v>3</v>
      </c>
      <c r="F240">
        <v>27501</v>
      </c>
      <c r="G240">
        <v>56</v>
      </c>
      <c r="H240" t="s">
        <v>69</v>
      </c>
      <c r="I240">
        <v>2934</v>
      </c>
      <c r="J240">
        <v>8.5</v>
      </c>
    </row>
    <row r="241" spans="1:10" x14ac:dyDescent="0.3">
      <c r="A241" t="s">
        <v>348</v>
      </c>
      <c r="B241" t="s">
        <v>62</v>
      </c>
      <c r="C241">
        <v>2</v>
      </c>
      <c r="D241">
        <v>0</v>
      </c>
      <c r="E241">
        <v>2</v>
      </c>
      <c r="F241">
        <v>25656</v>
      </c>
      <c r="G241">
        <v>17</v>
      </c>
      <c r="H241" t="s">
        <v>69</v>
      </c>
      <c r="I241">
        <v>3376</v>
      </c>
      <c r="J241">
        <v>8</v>
      </c>
    </row>
    <row r="242" spans="1:10" x14ac:dyDescent="0.3">
      <c r="A242" t="s">
        <v>349</v>
      </c>
      <c r="B242" t="s">
        <v>63</v>
      </c>
      <c r="C242">
        <v>7</v>
      </c>
      <c r="D242">
        <v>0</v>
      </c>
      <c r="E242">
        <v>7</v>
      </c>
      <c r="F242">
        <v>28111</v>
      </c>
      <c r="G242">
        <v>100</v>
      </c>
      <c r="H242" t="s">
        <v>69</v>
      </c>
      <c r="I242">
        <v>4652</v>
      </c>
      <c r="J242">
        <v>2</v>
      </c>
    </row>
    <row r="243" spans="1:10" x14ac:dyDescent="0.3">
      <c r="A243" t="s">
        <v>350</v>
      </c>
      <c r="B243" t="s">
        <v>64</v>
      </c>
      <c r="C243">
        <v>4</v>
      </c>
      <c r="D243">
        <v>0</v>
      </c>
      <c r="E243">
        <v>4</v>
      </c>
      <c r="F243">
        <v>27997</v>
      </c>
      <c r="G243">
        <v>40</v>
      </c>
      <c r="H243" t="s">
        <v>68</v>
      </c>
      <c r="I243">
        <v>5067</v>
      </c>
      <c r="J243">
        <v>4.9000000000000004</v>
      </c>
    </row>
    <row r="244" spans="1:10" x14ac:dyDescent="0.3">
      <c r="A244" t="s">
        <v>351</v>
      </c>
      <c r="B244" t="s">
        <v>62</v>
      </c>
      <c r="C244">
        <v>4</v>
      </c>
      <c r="D244">
        <v>0</v>
      </c>
      <c r="E244">
        <v>4</v>
      </c>
      <c r="F244">
        <v>20243</v>
      </c>
      <c r="G244">
        <v>41</v>
      </c>
      <c r="H244" t="s">
        <v>66</v>
      </c>
      <c r="I244">
        <v>4815</v>
      </c>
      <c r="J244">
        <v>0.9</v>
      </c>
    </row>
    <row r="245" spans="1:10" x14ac:dyDescent="0.3">
      <c r="A245" t="s">
        <v>352</v>
      </c>
      <c r="B245" t="s">
        <v>64</v>
      </c>
      <c r="C245">
        <v>3</v>
      </c>
      <c r="D245">
        <v>0</v>
      </c>
      <c r="E245">
        <v>3</v>
      </c>
      <c r="F245">
        <v>15965</v>
      </c>
      <c r="G245">
        <v>35</v>
      </c>
      <c r="H245" t="s">
        <v>67</v>
      </c>
      <c r="I245">
        <v>3598</v>
      </c>
      <c r="J245">
        <v>13.8</v>
      </c>
    </row>
    <row r="246" spans="1:10" x14ac:dyDescent="0.3">
      <c r="A246" t="s">
        <v>353</v>
      </c>
      <c r="B246" t="s">
        <v>63</v>
      </c>
      <c r="C246">
        <v>8</v>
      </c>
      <c r="D246">
        <v>0</v>
      </c>
      <c r="E246">
        <v>8</v>
      </c>
      <c r="F246">
        <v>44111</v>
      </c>
      <c r="G246">
        <v>90</v>
      </c>
      <c r="H246" t="s">
        <v>68</v>
      </c>
      <c r="I246">
        <v>5014</v>
      </c>
      <c r="J246">
        <v>0.8</v>
      </c>
    </row>
    <row r="247" spans="1:10" x14ac:dyDescent="0.3">
      <c r="A247" t="s">
        <v>354</v>
      </c>
      <c r="B247" t="s">
        <v>64</v>
      </c>
      <c r="C247">
        <v>7</v>
      </c>
      <c r="D247">
        <v>0</v>
      </c>
      <c r="E247">
        <v>7</v>
      </c>
      <c r="F247">
        <v>32227</v>
      </c>
      <c r="G247">
        <v>33</v>
      </c>
      <c r="H247" t="s">
        <v>68</v>
      </c>
      <c r="I247">
        <v>5918</v>
      </c>
      <c r="J247">
        <v>8.8000000000000007</v>
      </c>
    </row>
    <row r="248" spans="1:10" x14ac:dyDescent="0.3">
      <c r="A248" t="s">
        <v>355</v>
      </c>
      <c r="B248" t="s">
        <v>63</v>
      </c>
      <c r="C248">
        <v>2</v>
      </c>
      <c r="D248">
        <v>0</v>
      </c>
      <c r="E248">
        <v>2</v>
      </c>
      <c r="F248">
        <v>35067</v>
      </c>
      <c r="G248">
        <v>107</v>
      </c>
      <c r="H248" t="s">
        <v>67</v>
      </c>
      <c r="I248">
        <v>3737</v>
      </c>
      <c r="J248">
        <v>4.8</v>
      </c>
    </row>
    <row r="249" spans="1:10" x14ac:dyDescent="0.3">
      <c r="A249" t="s">
        <v>356</v>
      </c>
      <c r="B249" t="s">
        <v>65</v>
      </c>
      <c r="C249">
        <v>5</v>
      </c>
      <c r="D249">
        <v>0</v>
      </c>
      <c r="E249">
        <v>5</v>
      </c>
      <c r="F249">
        <v>33272</v>
      </c>
      <c r="G249">
        <v>23</v>
      </c>
      <c r="H249" t="s">
        <v>69</v>
      </c>
      <c r="I249">
        <v>3892</v>
      </c>
      <c r="J249">
        <v>10.8</v>
      </c>
    </row>
    <row r="250" spans="1:10" x14ac:dyDescent="0.3">
      <c r="A250" t="s">
        <v>357</v>
      </c>
      <c r="B250" t="s">
        <v>64</v>
      </c>
      <c r="C250">
        <v>6</v>
      </c>
      <c r="D250">
        <v>0</v>
      </c>
      <c r="E250">
        <v>6</v>
      </c>
      <c r="F250">
        <v>23768</v>
      </c>
      <c r="G250">
        <v>41</v>
      </c>
      <c r="H250" t="s">
        <v>67</v>
      </c>
      <c r="I250">
        <v>5204</v>
      </c>
      <c r="J250">
        <v>12.8</v>
      </c>
    </row>
    <row r="251" spans="1:10" x14ac:dyDescent="0.3">
      <c r="A251" t="s">
        <v>358</v>
      </c>
      <c r="B251" t="s">
        <v>62</v>
      </c>
      <c r="C251">
        <v>4</v>
      </c>
      <c r="D251">
        <v>0</v>
      </c>
      <c r="E251">
        <v>4</v>
      </c>
      <c r="F251">
        <v>30924</v>
      </c>
      <c r="G251">
        <v>26</v>
      </c>
      <c r="H251" t="s">
        <v>68</v>
      </c>
      <c r="I251">
        <v>5016</v>
      </c>
      <c r="J251">
        <v>1.3</v>
      </c>
    </row>
    <row r="252" spans="1:10" x14ac:dyDescent="0.3">
      <c r="A252" t="s">
        <v>359</v>
      </c>
      <c r="B252" t="s">
        <v>64</v>
      </c>
      <c r="C252">
        <v>6</v>
      </c>
      <c r="D252">
        <v>0</v>
      </c>
      <c r="E252">
        <v>6</v>
      </c>
      <c r="F252">
        <v>27949</v>
      </c>
      <c r="G252">
        <v>15</v>
      </c>
      <c r="H252" t="s">
        <v>68</v>
      </c>
      <c r="I252">
        <v>4232</v>
      </c>
      <c r="J252">
        <v>13.9</v>
      </c>
    </row>
    <row r="253" spans="1:10" x14ac:dyDescent="0.3">
      <c r="A253" t="s">
        <v>360</v>
      </c>
      <c r="B253" t="s">
        <v>63</v>
      </c>
      <c r="C253">
        <v>8</v>
      </c>
      <c r="D253">
        <v>0</v>
      </c>
      <c r="E253">
        <v>8</v>
      </c>
      <c r="F253">
        <v>31868</v>
      </c>
      <c r="G253">
        <v>36</v>
      </c>
      <c r="H253" t="s">
        <v>68</v>
      </c>
      <c r="I253">
        <v>5429</v>
      </c>
      <c r="J253">
        <v>7.4</v>
      </c>
    </row>
    <row r="254" spans="1:10" x14ac:dyDescent="0.3">
      <c r="A254" t="s">
        <v>361</v>
      </c>
      <c r="B254" t="s">
        <v>62</v>
      </c>
      <c r="C254">
        <v>4</v>
      </c>
      <c r="D254">
        <v>0</v>
      </c>
      <c r="E254">
        <v>4</v>
      </c>
      <c r="F254">
        <v>31446</v>
      </c>
      <c r="G254">
        <v>31</v>
      </c>
      <c r="H254" t="s">
        <v>68</v>
      </c>
      <c r="I254">
        <v>3494</v>
      </c>
      <c r="J254">
        <v>2.9</v>
      </c>
    </row>
    <row r="255" spans="1:10" x14ac:dyDescent="0.3">
      <c r="A255" t="s">
        <v>362</v>
      </c>
      <c r="B255" t="s">
        <v>64</v>
      </c>
      <c r="C255">
        <v>5</v>
      </c>
      <c r="D255">
        <v>0</v>
      </c>
      <c r="E255">
        <v>5</v>
      </c>
      <c r="F255">
        <v>31054</v>
      </c>
      <c r="G255">
        <v>90</v>
      </c>
      <c r="H255" t="s">
        <v>66</v>
      </c>
      <c r="I255">
        <v>4078</v>
      </c>
      <c r="J255">
        <v>0.5</v>
      </c>
    </row>
    <row r="256" spans="1:10" x14ac:dyDescent="0.3">
      <c r="A256" t="s">
        <v>363</v>
      </c>
      <c r="B256" t="s">
        <v>62</v>
      </c>
      <c r="C256">
        <v>5</v>
      </c>
      <c r="D256">
        <v>0</v>
      </c>
      <c r="E256">
        <v>5</v>
      </c>
      <c r="F256">
        <v>21741</v>
      </c>
      <c r="G256">
        <v>102</v>
      </c>
      <c r="H256" t="s">
        <v>66</v>
      </c>
      <c r="I256">
        <v>5536</v>
      </c>
      <c r="J256">
        <v>11.1</v>
      </c>
    </row>
    <row r="257" spans="1:10" x14ac:dyDescent="0.3">
      <c r="A257" t="s">
        <v>364</v>
      </c>
      <c r="B257" t="s">
        <v>64</v>
      </c>
      <c r="C257">
        <v>8</v>
      </c>
      <c r="D257">
        <v>0</v>
      </c>
      <c r="E257">
        <v>8</v>
      </c>
      <c r="F257">
        <v>23543</v>
      </c>
      <c r="G257">
        <v>25</v>
      </c>
      <c r="H257" t="s">
        <v>67</v>
      </c>
      <c r="I257">
        <v>4497</v>
      </c>
      <c r="J257">
        <v>2.5</v>
      </c>
    </row>
    <row r="258" spans="1:10" x14ac:dyDescent="0.3">
      <c r="A258" t="s">
        <v>365</v>
      </c>
      <c r="B258" t="s">
        <v>63</v>
      </c>
      <c r="C258">
        <v>6</v>
      </c>
      <c r="D258">
        <v>0</v>
      </c>
      <c r="E258">
        <v>6</v>
      </c>
      <c r="F258">
        <v>31363</v>
      </c>
      <c r="G258">
        <v>87</v>
      </c>
      <c r="H258" t="s">
        <v>67</v>
      </c>
      <c r="I258">
        <v>4165</v>
      </c>
      <c r="J258">
        <v>3.3</v>
      </c>
    </row>
    <row r="259" spans="1:10" x14ac:dyDescent="0.3">
      <c r="A259" t="s">
        <v>366</v>
      </c>
      <c r="B259" t="s">
        <v>64</v>
      </c>
      <c r="C259">
        <v>3</v>
      </c>
      <c r="D259">
        <v>0</v>
      </c>
      <c r="E259">
        <v>3</v>
      </c>
      <c r="F259">
        <v>37995</v>
      </c>
      <c r="G259">
        <v>87</v>
      </c>
      <c r="H259" t="s">
        <v>68</v>
      </c>
      <c r="I259">
        <v>3976</v>
      </c>
      <c r="J259">
        <v>8</v>
      </c>
    </row>
    <row r="260" spans="1:10" x14ac:dyDescent="0.3">
      <c r="A260" t="s">
        <v>367</v>
      </c>
      <c r="B260" t="s">
        <v>63</v>
      </c>
      <c r="C260">
        <v>6</v>
      </c>
      <c r="D260">
        <v>0</v>
      </c>
      <c r="E260">
        <v>6</v>
      </c>
      <c r="F260">
        <v>18823</v>
      </c>
      <c r="G260">
        <v>108</v>
      </c>
      <c r="H260" t="s">
        <v>67</v>
      </c>
      <c r="I260">
        <v>6118</v>
      </c>
      <c r="J260">
        <v>5.5</v>
      </c>
    </row>
    <row r="261" spans="1:10" x14ac:dyDescent="0.3">
      <c r="A261" t="s">
        <v>368</v>
      </c>
      <c r="B261" t="s">
        <v>63</v>
      </c>
      <c r="C261">
        <v>6</v>
      </c>
      <c r="D261">
        <v>0</v>
      </c>
      <c r="E261">
        <v>6</v>
      </c>
      <c r="F261">
        <v>29731</v>
      </c>
      <c r="G261">
        <v>23</v>
      </c>
      <c r="H261" t="s">
        <v>67</v>
      </c>
      <c r="I261">
        <v>5988</v>
      </c>
      <c r="J261">
        <v>8.6</v>
      </c>
    </row>
    <row r="262" spans="1:10" x14ac:dyDescent="0.3">
      <c r="A262" t="s">
        <v>369</v>
      </c>
      <c r="B262" t="s">
        <v>63</v>
      </c>
      <c r="C262">
        <v>4</v>
      </c>
      <c r="D262">
        <v>0</v>
      </c>
      <c r="E262">
        <v>4</v>
      </c>
      <c r="F262">
        <v>42205</v>
      </c>
      <c r="G262">
        <v>78</v>
      </c>
      <c r="H262" t="s">
        <v>68</v>
      </c>
      <c r="I262">
        <v>5013</v>
      </c>
      <c r="J262">
        <v>13.4</v>
      </c>
    </row>
    <row r="263" spans="1:10" x14ac:dyDescent="0.3">
      <c r="A263" t="s">
        <v>370</v>
      </c>
      <c r="B263" t="s">
        <v>64</v>
      </c>
      <c r="C263">
        <v>3</v>
      </c>
      <c r="D263">
        <v>0</v>
      </c>
      <c r="E263">
        <v>3</v>
      </c>
      <c r="F263">
        <v>33592</v>
      </c>
      <c r="G263">
        <v>22</v>
      </c>
      <c r="H263" t="s">
        <v>68</v>
      </c>
      <c r="I263">
        <v>4343</v>
      </c>
      <c r="J263">
        <v>2.2999999999999998</v>
      </c>
    </row>
    <row r="264" spans="1:10" x14ac:dyDescent="0.3">
      <c r="A264" t="s">
        <v>371</v>
      </c>
      <c r="B264" t="s">
        <v>65</v>
      </c>
      <c r="C264">
        <v>5</v>
      </c>
      <c r="D264">
        <v>0</v>
      </c>
      <c r="E264">
        <v>5</v>
      </c>
      <c r="F264">
        <v>17359</v>
      </c>
      <c r="G264">
        <v>109</v>
      </c>
      <c r="H264" t="s">
        <v>67</v>
      </c>
      <c r="I264">
        <v>3490</v>
      </c>
      <c r="J264">
        <v>10.3</v>
      </c>
    </row>
    <row r="265" spans="1:10" x14ac:dyDescent="0.3">
      <c r="A265" t="s">
        <v>372</v>
      </c>
      <c r="B265" t="s">
        <v>64</v>
      </c>
      <c r="C265">
        <v>8</v>
      </c>
      <c r="D265">
        <v>0</v>
      </c>
      <c r="E265">
        <v>8</v>
      </c>
      <c r="F265">
        <v>37713</v>
      </c>
      <c r="G265">
        <v>109</v>
      </c>
      <c r="H265" t="s">
        <v>69</v>
      </c>
      <c r="I265">
        <v>4954</v>
      </c>
      <c r="J265">
        <v>4.2</v>
      </c>
    </row>
    <row r="266" spans="1:10" x14ac:dyDescent="0.3">
      <c r="A266" t="s">
        <v>373</v>
      </c>
      <c r="B266" t="s">
        <v>65</v>
      </c>
      <c r="C266">
        <v>6</v>
      </c>
      <c r="D266">
        <v>0</v>
      </c>
      <c r="E266">
        <v>6</v>
      </c>
      <c r="F266">
        <v>32189</v>
      </c>
      <c r="G266">
        <v>64</v>
      </c>
      <c r="H266" t="s">
        <v>68</v>
      </c>
      <c r="I266">
        <v>3725</v>
      </c>
      <c r="J266">
        <v>13.7</v>
      </c>
    </row>
    <row r="267" spans="1:10" x14ac:dyDescent="0.3">
      <c r="A267" t="s">
        <v>374</v>
      </c>
      <c r="B267" t="s">
        <v>62</v>
      </c>
      <c r="C267">
        <v>7</v>
      </c>
      <c r="D267">
        <v>0</v>
      </c>
      <c r="E267">
        <v>7</v>
      </c>
      <c r="F267">
        <v>22721</v>
      </c>
      <c r="G267">
        <v>36</v>
      </c>
      <c r="H267" t="s">
        <v>67</v>
      </c>
      <c r="I267">
        <v>5857</v>
      </c>
      <c r="J267">
        <v>3.6</v>
      </c>
    </row>
    <row r="268" spans="1:10" x14ac:dyDescent="0.3">
      <c r="A268" t="s">
        <v>375</v>
      </c>
      <c r="B268" t="s">
        <v>64</v>
      </c>
      <c r="C268">
        <v>6</v>
      </c>
      <c r="D268">
        <v>0</v>
      </c>
      <c r="E268">
        <v>6</v>
      </c>
      <c r="F268">
        <v>35492</v>
      </c>
      <c r="G268">
        <v>21</v>
      </c>
      <c r="H268" t="s">
        <v>69</v>
      </c>
      <c r="I268">
        <v>4133</v>
      </c>
      <c r="J268">
        <v>6</v>
      </c>
    </row>
    <row r="269" spans="1:10" x14ac:dyDescent="0.3">
      <c r="A269" t="s">
        <v>376</v>
      </c>
      <c r="B269" t="s">
        <v>63</v>
      </c>
      <c r="C269">
        <v>6</v>
      </c>
      <c r="D269">
        <v>0</v>
      </c>
      <c r="E269">
        <v>6</v>
      </c>
      <c r="F269">
        <v>40615</v>
      </c>
      <c r="G269">
        <v>69</v>
      </c>
      <c r="H269" t="s">
        <v>66</v>
      </c>
      <c r="I269">
        <v>4841</v>
      </c>
      <c r="J269">
        <v>3.5</v>
      </c>
    </row>
    <row r="270" spans="1:10" x14ac:dyDescent="0.3">
      <c r="A270" t="s">
        <v>377</v>
      </c>
      <c r="B270" t="s">
        <v>62</v>
      </c>
      <c r="C270">
        <v>2</v>
      </c>
      <c r="D270">
        <v>0</v>
      </c>
      <c r="E270">
        <v>2</v>
      </c>
      <c r="F270">
        <v>40287</v>
      </c>
      <c r="G270">
        <v>43</v>
      </c>
      <c r="H270" t="s">
        <v>68</v>
      </c>
      <c r="I270">
        <v>4119</v>
      </c>
      <c r="J270">
        <v>7.7</v>
      </c>
    </row>
    <row r="271" spans="1:10" x14ac:dyDescent="0.3">
      <c r="A271" t="s">
        <v>378</v>
      </c>
      <c r="B271" t="s">
        <v>64</v>
      </c>
      <c r="C271">
        <v>7</v>
      </c>
      <c r="D271">
        <v>0</v>
      </c>
      <c r="E271">
        <v>7</v>
      </c>
      <c r="F271">
        <v>33508</v>
      </c>
      <c r="G271">
        <v>111</v>
      </c>
      <c r="H271" t="s">
        <v>67</v>
      </c>
      <c r="I271">
        <v>6421</v>
      </c>
      <c r="J271">
        <v>4</v>
      </c>
    </row>
    <row r="272" spans="1:10" x14ac:dyDescent="0.3">
      <c r="A272" t="s">
        <v>379</v>
      </c>
      <c r="B272" t="s">
        <v>62</v>
      </c>
      <c r="C272">
        <v>8</v>
      </c>
      <c r="D272">
        <v>0</v>
      </c>
      <c r="E272">
        <v>8</v>
      </c>
      <c r="F272">
        <v>21300</v>
      </c>
      <c r="G272">
        <v>102</v>
      </c>
      <c r="H272" t="s">
        <v>67</v>
      </c>
      <c r="I272">
        <v>6098</v>
      </c>
      <c r="J272">
        <v>10.199999999999999</v>
      </c>
    </row>
    <row r="273" spans="1:10" x14ac:dyDescent="0.3">
      <c r="A273" t="s">
        <v>380</v>
      </c>
      <c r="B273" t="s">
        <v>64</v>
      </c>
      <c r="C273">
        <v>3</v>
      </c>
      <c r="D273">
        <v>0</v>
      </c>
      <c r="E273">
        <v>3</v>
      </c>
      <c r="F273">
        <v>31521</v>
      </c>
      <c r="G273">
        <v>71</v>
      </c>
      <c r="H273" t="s">
        <v>67</v>
      </c>
      <c r="I273">
        <v>4541</v>
      </c>
      <c r="J273">
        <v>0.5</v>
      </c>
    </row>
    <row r="274" spans="1:10" x14ac:dyDescent="0.3">
      <c r="A274" t="s">
        <v>381</v>
      </c>
      <c r="B274" t="s">
        <v>65</v>
      </c>
      <c r="C274">
        <v>2</v>
      </c>
      <c r="D274">
        <v>0</v>
      </c>
      <c r="E274">
        <v>2</v>
      </c>
      <c r="F274">
        <v>23475</v>
      </c>
      <c r="G274">
        <v>64</v>
      </c>
      <c r="H274" t="s">
        <v>67</v>
      </c>
      <c r="I274">
        <v>4341</v>
      </c>
      <c r="J274">
        <v>6.5</v>
      </c>
    </row>
    <row r="275" spans="1:10" x14ac:dyDescent="0.3">
      <c r="A275" t="s">
        <v>382</v>
      </c>
      <c r="B275" t="s">
        <v>64</v>
      </c>
      <c r="C275">
        <v>6</v>
      </c>
      <c r="D275">
        <v>0</v>
      </c>
      <c r="E275">
        <v>6</v>
      </c>
      <c r="F275">
        <v>21594</v>
      </c>
      <c r="G275">
        <v>88</v>
      </c>
      <c r="H275" t="s">
        <v>68</v>
      </c>
      <c r="I275">
        <v>4600</v>
      </c>
      <c r="J275">
        <v>13.6</v>
      </c>
    </row>
    <row r="276" spans="1:10" x14ac:dyDescent="0.3">
      <c r="A276" t="s">
        <v>383</v>
      </c>
      <c r="B276" t="s">
        <v>62</v>
      </c>
      <c r="C276">
        <v>4</v>
      </c>
      <c r="D276">
        <v>0</v>
      </c>
      <c r="E276">
        <v>4</v>
      </c>
      <c r="F276">
        <v>41069</v>
      </c>
      <c r="G276">
        <v>24</v>
      </c>
      <c r="H276" t="s">
        <v>68</v>
      </c>
      <c r="I276">
        <v>5327</v>
      </c>
      <c r="J276">
        <v>10.199999999999999</v>
      </c>
    </row>
    <row r="277" spans="1:10" x14ac:dyDescent="0.3">
      <c r="A277" t="s">
        <v>384</v>
      </c>
      <c r="B277" t="s">
        <v>65</v>
      </c>
      <c r="C277">
        <v>6</v>
      </c>
      <c r="D277">
        <v>0</v>
      </c>
      <c r="E277">
        <v>6</v>
      </c>
      <c r="F277">
        <v>34571</v>
      </c>
      <c r="G277">
        <v>23</v>
      </c>
      <c r="H277" t="s">
        <v>68</v>
      </c>
      <c r="I277">
        <v>4370</v>
      </c>
      <c r="J277">
        <v>10</v>
      </c>
    </row>
    <row r="278" spans="1:10" x14ac:dyDescent="0.3">
      <c r="A278" t="s">
        <v>385</v>
      </c>
      <c r="B278" t="s">
        <v>63</v>
      </c>
      <c r="C278">
        <v>3</v>
      </c>
      <c r="D278">
        <v>0</v>
      </c>
      <c r="E278">
        <v>3</v>
      </c>
      <c r="F278">
        <v>36009</v>
      </c>
      <c r="G278">
        <v>65</v>
      </c>
      <c r="H278" t="s">
        <v>67</v>
      </c>
      <c r="I278">
        <v>2685</v>
      </c>
      <c r="J278">
        <v>2.4</v>
      </c>
    </row>
    <row r="279" spans="1:10" x14ac:dyDescent="0.3">
      <c r="A279" t="s">
        <v>386</v>
      </c>
      <c r="B279" t="s">
        <v>62</v>
      </c>
      <c r="C279">
        <v>8</v>
      </c>
      <c r="D279">
        <v>0</v>
      </c>
      <c r="E279">
        <v>8</v>
      </c>
      <c r="F279">
        <v>32879</v>
      </c>
      <c r="G279">
        <v>34</v>
      </c>
      <c r="H279" t="s">
        <v>66</v>
      </c>
      <c r="I279">
        <v>5198</v>
      </c>
      <c r="J279">
        <v>6.3</v>
      </c>
    </row>
    <row r="280" spans="1:10" x14ac:dyDescent="0.3">
      <c r="A280" t="s">
        <v>387</v>
      </c>
      <c r="B280" t="s">
        <v>62</v>
      </c>
      <c r="C280">
        <v>7</v>
      </c>
      <c r="D280">
        <v>0</v>
      </c>
      <c r="E280">
        <v>7</v>
      </c>
      <c r="F280">
        <v>21146</v>
      </c>
      <c r="G280">
        <v>88</v>
      </c>
      <c r="H280" t="s">
        <v>67</v>
      </c>
      <c r="I280">
        <v>4290</v>
      </c>
      <c r="J280">
        <v>9.6</v>
      </c>
    </row>
    <row r="281" spans="1:10" x14ac:dyDescent="0.3">
      <c r="A281" t="s">
        <v>388</v>
      </c>
      <c r="B281" t="s">
        <v>63</v>
      </c>
      <c r="C281">
        <v>8</v>
      </c>
      <c r="D281">
        <v>0</v>
      </c>
      <c r="E281">
        <v>8</v>
      </c>
      <c r="F281">
        <v>33208</v>
      </c>
      <c r="G281">
        <v>33</v>
      </c>
      <c r="H281" t="s">
        <v>67</v>
      </c>
      <c r="I281">
        <v>5848</v>
      </c>
      <c r="J281">
        <v>4.5</v>
      </c>
    </row>
    <row r="282" spans="1:10" x14ac:dyDescent="0.3">
      <c r="A282" t="s">
        <v>389</v>
      </c>
      <c r="B282" t="s">
        <v>65</v>
      </c>
      <c r="C282">
        <v>3</v>
      </c>
      <c r="D282">
        <v>0</v>
      </c>
      <c r="E282">
        <v>3</v>
      </c>
      <c r="F282">
        <v>31148</v>
      </c>
      <c r="G282">
        <v>99</v>
      </c>
      <c r="H282" t="s">
        <v>67</v>
      </c>
      <c r="I282">
        <v>4073</v>
      </c>
      <c r="J282">
        <v>0.5</v>
      </c>
    </row>
    <row r="283" spans="1:10" x14ac:dyDescent="0.3">
      <c r="A283" t="s">
        <v>390</v>
      </c>
      <c r="B283" t="s">
        <v>62</v>
      </c>
      <c r="C283">
        <v>3</v>
      </c>
      <c r="D283">
        <v>0</v>
      </c>
      <c r="E283">
        <v>3</v>
      </c>
      <c r="F283">
        <v>30092</v>
      </c>
      <c r="G283">
        <v>46</v>
      </c>
      <c r="H283" t="s">
        <v>69</v>
      </c>
      <c r="I283">
        <v>2726</v>
      </c>
      <c r="J283">
        <v>14.8</v>
      </c>
    </row>
    <row r="284" spans="1:10" x14ac:dyDescent="0.3">
      <c r="A284" t="s">
        <v>391</v>
      </c>
      <c r="B284" t="s">
        <v>62</v>
      </c>
      <c r="C284">
        <v>5</v>
      </c>
      <c r="D284">
        <v>0</v>
      </c>
      <c r="E284">
        <v>5</v>
      </c>
      <c r="F284">
        <v>30071</v>
      </c>
      <c r="G284">
        <v>25</v>
      </c>
      <c r="H284" t="s">
        <v>67</v>
      </c>
      <c r="I284">
        <v>4954</v>
      </c>
      <c r="J284">
        <v>4.5</v>
      </c>
    </row>
    <row r="285" spans="1:10" x14ac:dyDescent="0.3">
      <c r="A285" t="s">
        <v>392</v>
      </c>
      <c r="B285" t="s">
        <v>64</v>
      </c>
      <c r="C285">
        <v>3</v>
      </c>
      <c r="D285">
        <v>0</v>
      </c>
      <c r="E285">
        <v>3</v>
      </c>
      <c r="F285">
        <v>27685</v>
      </c>
      <c r="G285">
        <v>87</v>
      </c>
      <c r="H285" t="s">
        <v>67</v>
      </c>
      <c r="I285">
        <v>3372</v>
      </c>
      <c r="J285">
        <v>11.5</v>
      </c>
    </row>
    <row r="286" spans="1:10" x14ac:dyDescent="0.3">
      <c r="A286" t="s">
        <v>393</v>
      </c>
      <c r="B286" t="s">
        <v>63</v>
      </c>
      <c r="C286">
        <v>6</v>
      </c>
      <c r="D286">
        <v>0</v>
      </c>
      <c r="E286">
        <v>6</v>
      </c>
      <c r="F286">
        <v>21616</v>
      </c>
      <c r="G286">
        <v>116</v>
      </c>
      <c r="H286" t="s">
        <v>67</v>
      </c>
      <c r="I286">
        <v>5826</v>
      </c>
      <c r="J286">
        <v>2.8</v>
      </c>
    </row>
    <row r="287" spans="1:10" x14ac:dyDescent="0.3">
      <c r="A287" t="s">
        <v>394</v>
      </c>
      <c r="B287" t="s">
        <v>63</v>
      </c>
      <c r="C287">
        <v>7</v>
      </c>
      <c r="D287">
        <v>0</v>
      </c>
      <c r="E287">
        <v>7</v>
      </c>
      <c r="F287">
        <v>30291</v>
      </c>
      <c r="G287">
        <v>16</v>
      </c>
      <c r="H287" t="s">
        <v>67</v>
      </c>
      <c r="I287">
        <v>4440</v>
      </c>
      <c r="J287">
        <v>9.1999999999999993</v>
      </c>
    </row>
    <row r="288" spans="1:10" x14ac:dyDescent="0.3">
      <c r="A288" t="s">
        <v>395</v>
      </c>
      <c r="B288" t="s">
        <v>65</v>
      </c>
      <c r="C288">
        <v>5</v>
      </c>
      <c r="D288">
        <v>0</v>
      </c>
      <c r="E288">
        <v>5</v>
      </c>
      <c r="F288">
        <v>32256</v>
      </c>
      <c r="G288">
        <v>22</v>
      </c>
      <c r="H288" t="s">
        <v>69</v>
      </c>
      <c r="I288">
        <v>5449</v>
      </c>
      <c r="J288">
        <v>9.4</v>
      </c>
    </row>
    <row r="289" spans="1:10" x14ac:dyDescent="0.3">
      <c r="A289" t="s">
        <v>396</v>
      </c>
      <c r="B289" t="s">
        <v>65</v>
      </c>
      <c r="C289">
        <v>7</v>
      </c>
      <c r="D289">
        <v>0</v>
      </c>
      <c r="E289">
        <v>7</v>
      </c>
      <c r="F289">
        <v>21232</v>
      </c>
      <c r="G289">
        <v>84</v>
      </c>
      <c r="H289" t="s">
        <v>68</v>
      </c>
      <c r="I289">
        <v>5213</v>
      </c>
      <c r="J289">
        <v>10.199999999999999</v>
      </c>
    </row>
    <row r="290" spans="1:10" x14ac:dyDescent="0.3">
      <c r="A290" t="s">
        <v>397</v>
      </c>
      <c r="B290" t="s">
        <v>62</v>
      </c>
      <c r="C290">
        <v>5</v>
      </c>
      <c r="D290">
        <v>0</v>
      </c>
      <c r="E290">
        <v>5</v>
      </c>
      <c r="F290">
        <v>40980</v>
      </c>
      <c r="G290">
        <v>50</v>
      </c>
      <c r="H290" t="s">
        <v>69</v>
      </c>
      <c r="I290">
        <v>4083</v>
      </c>
      <c r="J290">
        <v>3.7</v>
      </c>
    </row>
    <row r="291" spans="1:10" x14ac:dyDescent="0.3">
      <c r="A291" t="s">
        <v>398</v>
      </c>
      <c r="B291" t="s">
        <v>62</v>
      </c>
      <c r="C291">
        <v>6</v>
      </c>
      <c r="D291">
        <v>0</v>
      </c>
      <c r="E291">
        <v>6</v>
      </c>
      <c r="F291">
        <v>28075</v>
      </c>
      <c r="G291">
        <v>20</v>
      </c>
      <c r="H291" t="s">
        <v>68</v>
      </c>
      <c r="I291">
        <v>5679</v>
      </c>
      <c r="J291">
        <v>9.3000000000000007</v>
      </c>
    </row>
    <row r="292" spans="1:10" x14ac:dyDescent="0.3">
      <c r="A292" t="s">
        <v>399</v>
      </c>
      <c r="B292" t="s">
        <v>64</v>
      </c>
      <c r="C292">
        <v>4</v>
      </c>
      <c r="D292">
        <v>0</v>
      </c>
      <c r="E292">
        <v>4</v>
      </c>
      <c r="F292">
        <v>20848</v>
      </c>
      <c r="G292">
        <v>55</v>
      </c>
      <c r="H292" t="s">
        <v>68</v>
      </c>
      <c r="I292">
        <v>3287</v>
      </c>
      <c r="J292">
        <v>4.5999999999999996</v>
      </c>
    </row>
    <row r="293" spans="1:10" x14ac:dyDescent="0.3">
      <c r="A293" t="s">
        <v>400</v>
      </c>
      <c r="B293" t="s">
        <v>63</v>
      </c>
      <c r="C293">
        <v>3</v>
      </c>
      <c r="D293">
        <v>0</v>
      </c>
      <c r="E293">
        <v>3</v>
      </c>
      <c r="F293">
        <v>20830</v>
      </c>
      <c r="G293">
        <v>51</v>
      </c>
      <c r="H293" t="s">
        <v>68</v>
      </c>
      <c r="I293">
        <v>3963</v>
      </c>
      <c r="J293">
        <v>4.4000000000000004</v>
      </c>
    </row>
    <row r="294" spans="1:10" x14ac:dyDescent="0.3">
      <c r="A294" t="s">
        <v>401</v>
      </c>
      <c r="B294" t="s">
        <v>64</v>
      </c>
      <c r="C294">
        <v>6</v>
      </c>
      <c r="D294">
        <v>0</v>
      </c>
      <c r="E294">
        <v>6</v>
      </c>
      <c r="F294">
        <v>14074</v>
      </c>
      <c r="G294">
        <v>56</v>
      </c>
      <c r="H294" t="s">
        <v>69</v>
      </c>
      <c r="I294">
        <v>4662</v>
      </c>
      <c r="J294">
        <v>3.5</v>
      </c>
    </row>
    <row r="295" spans="1:10" x14ac:dyDescent="0.3">
      <c r="A295" t="s">
        <v>402</v>
      </c>
      <c r="B295" t="s">
        <v>65</v>
      </c>
      <c r="C295">
        <v>7</v>
      </c>
      <c r="D295">
        <v>0</v>
      </c>
      <c r="E295">
        <v>7</v>
      </c>
      <c r="F295">
        <v>34866</v>
      </c>
      <c r="G295">
        <v>109</v>
      </c>
      <c r="H295" t="s">
        <v>69</v>
      </c>
      <c r="I295">
        <v>6348</v>
      </c>
      <c r="J295">
        <v>6</v>
      </c>
    </row>
    <row r="296" spans="1:10" x14ac:dyDescent="0.3">
      <c r="A296" t="s">
        <v>403</v>
      </c>
      <c r="B296" t="s">
        <v>63</v>
      </c>
      <c r="C296">
        <v>6</v>
      </c>
      <c r="D296">
        <v>0</v>
      </c>
      <c r="E296">
        <v>6</v>
      </c>
      <c r="F296">
        <v>35600</v>
      </c>
      <c r="G296">
        <v>15</v>
      </c>
      <c r="H296" t="s">
        <v>69</v>
      </c>
      <c r="I296">
        <v>4363</v>
      </c>
      <c r="J296">
        <v>11.8</v>
      </c>
    </row>
    <row r="297" spans="1:10" x14ac:dyDescent="0.3">
      <c r="A297" t="s">
        <v>404</v>
      </c>
      <c r="B297" t="s">
        <v>63</v>
      </c>
      <c r="C297">
        <v>7</v>
      </c>
      <c r="D297">
        <v>0</v>
      </c>
      <c r="E297">
        <v>7</v>
      </c>
      <c r="F297">
        <v>34739</v>
      </c>
      <c r="G297">
        <v>45</v>
      </c>
      <c r="H297" t="s">
        <v>69</v>
      </c>
      <c r="I297">
        <v>4632</v>
      </c>
      <c r="J297">
        <v>6.5</v>
      </c>
    </row>
    <row r="298" spans="1:10" x14ac:dyDescent="0.3">
      <c r="A298" t="s">
        <v>405</v>
      </c>
      <c r="B298" t="s">
        <v>65</v>
      </c>
      <c r="C298">
        <v>7</v>
      </c>
      <c r="D298">
        <v>0</v>
      </c>
      <c r="E298">
        <v>7</v>
      </c>
      <c r="F298">
        <v>23424</v>
      </c>
      <c r="G298">
        <v>41</v>
      </c>
      <c r="H298" t="s">
        <v>67</v>
      </c>
      <c r="I298">
        <v>5350</v>
      </c>
      <c r="J298">
        <v>2.1</v>
      </c>
    </row>
    <row r="299" spans="1:10" x14ac:dyDescent="0.3">
      <c r="A299" t="s">
        <v>406</v>
      </c>
      <c r="B299" t="s">
        <v>63</v>
      </c>
      <c r="C299">
        <v>4</v>
      </c>
      <c r="D299">
        <v>0</v>
      </c>
      <c r="E299">
        <v>4</v>
      </c>
      <c r="F299">
        <v>27598</v>
      </c>
      <c r="G299">
        <v>80</v>
      </c>
      <c r="H299" t="s">
        <v>67</v>
      </c>
      <c r="I299">
        <v>2948</v>
      </c>
      <c r="J299">
        <v>8.3000000000000007</v>
      </c>
    </row>
    <row r="300" spans="1:10" x14ac:dyDescent="0.3">
      <c r="A300" t="s">
        <v>407</v>
      </c>
      <c r="B300" t="s">
        <v>64</v>
      </c>
      <c r="C300">
        <v>3</v>
      </c>
      <c r="D300">
        <v>0</v>
      </c>
      <c r="E300">
        <v>3</v>
      </c>
      <c r="F300">
        <v>28572</v>
      </c>
      <c r="G300">
        <v>53</v>
      </c>
      <c r="H300" t="s">
        <v>67</v>
      </c>
      <c r="I300">
        <v>4538</v>
      </c>
      <c r="J300">
        <v>8.1999999999999993</v>
      </c>
    </row>
    <row r="301" spans="1:10" x14ac:dyDescent="0.3">
      <c r="A301" t="s">
        <v>408</v>
      </c>
      <c r="B301" t="s">
        <v>63</v>
      </c>
      <c r="C301">
        <v>6</v>
      </c>
      <c r="D301">
        <v>0</v>
      </c>
      <c r="E301">
        <v>6</v>
      </c>
      <c r="F301">
        <v>30066</v>
      </c>
      <c r="G301">
        <v>49</v>
      </c>
      <c r="H301" t="s">
        <v>69</v>
      </c>
      <c r="I301">
        <v>3954</v>
      </c>
      <c r="J301">
        <v>1.4</v>
      </c>
    </row>
    <row r="302" spans="1:10" x14ac:dyDescent="0.3">
      <c r="A302" t="s">
        <v>409</v>
      </c>
      <c r="B302" t="s">
        <v>63</v>
      </c>
      <c r="C302">
        <v>6</v>
      </c>
      <c r="D302">
        <v>0</v>
      </c>
      <c r="E302">
        <v>6</v>
      </c>
      <c r="F302">
        <v>23259</v>
      </c>
      <c r="G302">
        <v>69</v>
      </c>
      <c r="H302" t="s">
        <v>68</v>
      </c>
      <c r="I302">
        <v>5435</v>
      </c>
      <c r="J302">
        <v>5.5</v>
      </c>
    </row>
    <row r="303" spans="1:10" x14ac:dyDescent="0.3">
      <c r="A303" t="s">
        <v>410</v>
      </c>
      <c r="B303" t="s">
        <v>65</v>
      </c>
      <c r="C303">
        <v>5</v>
      </c>
      <c r="D303">
        <v>0</v>
      </c>
      <c r="E303">
        <v>5</v>
      </c>
      <c r="F303">
        <v>45974</v>
      </c>
      <c r="G303">
        <v>96</v>
      </c>
      <c r="H303" t="s">
        <v>67</v>
      </c>
      <c r="I303">
        <v>4600</v>
      </c>
      <c r="J303">
        <v>2.2000000000000002</v>
      </c>
    </row>
    <row r="304" spans="1:10" x14ac:dyDescent="0.3">
      <c r="A304" t="s">
        <v>411</v>
      </c>
      <c r="B304" t="s">
        <v>63</v>
      </c>
      <c r="C304">
        <v>3</v>
      </c>
      <c r="D304">
        <v>0</v>
      </c>
      <c r="E304">
        <v>3</v>
      </c>
      <c r="F304">
        <v>37000</v>
      </c>
      <c r="G304">
        <v>23</v>
      </c>
      <c r="H304" t="s">
        <v>67</v>
      </c>
      <c r="I304">
        <v>3837</v>
      </c>
      <c r="J304">
        <v>15</v>
      </c>
    </row>
    <row r="305" spans="1:10" x14ac:dyDescent="0.3">
      <c r="A305" t="s">
        <v>412</v>
      </c>
      <c r="B305" t="s">
        <v>65</v>
      </c>
      <c r="C305">
        <v>8</v>
      </c>
      <c r="D305">
        <v>0</v>
      </c>
      <c r="E305">
        <v>8</v>
      </c>
      <c r="F305">
        <v>31558</v>
      </c>
      <c r="G305">
        <v>46</v>
      </c>
      <c r="H305" t="s">
        <v>66</v>
      </c>
      <c r="I305">
        <v>6487</v>
      </c>
      <c r="J305">
        <v>10.9</v>
      </c>
    </row>
    <row r="306" spans="1:10" x14ac:dyDescent="0.3">
      <c r="A306" t="s">
        <v>413</v>
      </c>
      <c r="B306" t="s">
        <v>62</v>
      </c>
      <c r="C306">
        <v>6</v>
      </c>
      <c r="D306">
        <v>0</v>
      </c>
      <c r="E306">
        <v>6</v>
      </c>
      <c r="F306">
        <v>38958</v>
      </c>
      <c r="G306">
        <v>60</v>
      </c>
      <c r="H306" t="s">
        <v>67</v>
      </c>
      <c r="I306">
        <v>5124</v>
      </c>
      <c r="J306">
        <v>14.6</v>
      </c>
    </row>
    <row r="307" spans="1:10" x14ac:dyDescent="0.3">
      <c r="A307" t="s">
        <v>414</v>
      </c>
      <c r="B307" t="s">
        <v>64</v>
      </c>
      <c r="C307">
        <v>4</v>
      </c>
      <c r="D307">
        <v>0</v>
      </c>
      <c r="E307">
        <v>4</v>
      </c>
      <c r="F307">
        <v>18641</v>
      </c>
      <c r="G307">
        <v>59</v>
      </c>
      <c r="H307" t="s">
        <v>68</v>
      </c>
      <c r="I307">
        <v>4432</v>
      </c>
      <c r="J307">
        <v>7.1</v>
      </c>
    </row>
    <row r="308" spans="1:10" x14ac:dyDescent="0.3">
      <c r="A308" t="s">
        <v>415</v>
      </c>
      <c r="B308" t="s">
        <v>65</v>
      </c>
      <c r="C308">
        <v>6</v>
      </c>
      <c r="D308">
        <v>0</v>
      </c>
      <c r="E308">
        <v>6</v>
      </c>
      <c r="F308">
        <v>28026</v>
      </c>
      <c r="G308">
        <v>82</v>
      </c>
      <c r="H308" t="s">
        <v>68</v>
      </c>
      <c r="I308">
        <v>4219</v>
      </c>
      <c r="J308">
        <v>2</v>
      </c>
    </row>
    <row r="309" spans="1:10" x14ac:dyDescent="0.3">
      <c r="A309" t="s">
        <v>416</v>
      </c>
      <c r="B309" t="s">
        <v>62</v>
      </c>
      <c r="C309">
        <v>8</v>
      </c>
      <c r="D309">
        <v>0</v>
      </c>
      <c r="E309">
        <v>8</v>
      </c>
      <c r="F309">
        <v>32886</v>
      </c>
      <c r="G309">
        <v>66</v>
      </c>
      <c r="H309" t="s">
        <v>69</v>
      </c>
      <c r="I309">
        <v>4647</v>
      </c>
      <c r="J309">
        <v>10.8</v>
      </c>
    </row>
    <row r="310" spans="1:10" x14ac:dyDescent="0.3">
      <c r="A310" t="s">
        <v>417</v>
      </c>
      <c r="B310" t="s">
        <v>64</v>
      </c>
      <c r="C310">
        <v>6</v>
      </c>
      <c r="D310">
        <v>0</v>
      </c>
      <c r="E310">
        <v>6</v>
      </c>
      <c r="F310">
        <v>37377</v>
      </c>
      <c r="G310">
        <v>17</v>
      </c>
      <c r="H310" t="s">
        <v>68</v>
      </c>
      <c r="I310">
        <v>5393</v>
      </c>
      <c r="J310">
        <v>6</v>
      </c>
    </row>
    <row r="311" spans="1:10" x14ac:dyDescent="0.3">
      <c r="A311" t="s">
        <v>418</v>
      </c>
      <c r="B311" t="s">
        <v>62</v>
      </c>
      <c r="C311">
        <v>5</v>
      </c>
      <c r="D311">
        <v>0</v>
      </c>
      <c r="E311">
        <v>5</v>
      </c>
      <c r="F311">
        <v>26637</v>
      </c>
      <c r="G311">
        <v>88</v>
      </c>
      <c r="H311" t="s">
        <v>69</v>
      </c>
      <c r="I311">
        <v>4770</v>
      </c>
      <c r="J311">
        <v>12.3</v>
      </c>
    </row>
    <row r="312" spans="1:10" x14ac:dyDescent="0.3">
      <c r="A312" t="s">
        <v>419</v>
      </c>
      <c r="B312" t="s">
        <v>65</v>
      </c>
      <c r="C312">
        <v>6</v>
      </c>
      <c r="D312">
        <v>0</v>
      </c>
      <c r="E312">
        <v>6</v>
      </c>
      <c r="F312">
        <v>45875</v>
      </c>
      <c r="G312">
        <v>60</v>
      </c>
      <c r="H312" t="s">
        <v>69</v>
      </c>
      <c r="I312">
        <v>5937</v>
      </c>
      <c r="J312">
        <v>5.8</v>
      </c>
    </row>
    <row r="313" spans="1:10" x14ac:dyDescent="0.3">
      <c r="A313" t="s">
        <v>420</v>
      </c>
      <c r="B313" t="s">
        <v>63</v>
      </c>
      <c r="C313">
        <v>8</v>
      </c>
      <c r="D313">
        <v>0</v>
      </c>
      <c r="E313">
        <v>8</v>
      </c>
      <c r="F313">
        <v>30702</v>
      </c>
      <c r="G313">
        <v>32</v>
      </c>
      <c r="H313" t="s">
        <v>69</v>
      </c>
      <c r="I313">
        <v>5930</v>
      </c>
      <c r="J313">
        <v>2.9</v>
      </c>
    </row>
    <row r="314" spans="1:10" x14ac:dyDescent="0.3">
      <c r="A314" t="s">
        <v>421</v>
      </c>
      <c r="B314" t="s">
        <v>64</v>
      </c>
      <c r="C314">
        <v>8</v>
      </c>
      <c r="D314">
        <v>0</v>
      </c>
      <c r="E314">
        <v>8</v>
      </c>
      <c r="F314">
        <v>39292</v>
      </c>
      <c r="G314">
        <v>114</v>
      </c>
      <c r="H314" t="s">
        <v>68</v>
      </c>
      <c r="I314">
        <v>4787</v>
      </c>
      <c r="J314">
        <v>7.1</v>
      </c>
    </row>
    <row r="315" spans="1:10" x14ac:dyDescent="0.3">
      <c r="A315" t="s">
        <v>422</v>
      </c>
      <c r="B315" t="s">
        <v>65</v>
      </c>
      <c r="C315">
        <v>8</v>
      </c>
      <c r="D315">
        <v>0</v>
      </c>
      <c r="E315">
        <v>8</v>
      </c>
      <c r="F315">
        <v>33071</v>
      </c>
      <c r="G315">
        <v>86</v>
      </c>
      <c r="H315" t="s">
        <v>67</v>
      </c>
      <c r="I315">
        <v>5736</v>
      </c>
      <c r="J315">
        <v>8.6</v>
      </c>
    </row>
    <row r="316" spans="1:10" x14ac:dyDescent="0.3">
      <c r="A316" t="s">
        <v>423</v>
      </c>
      <c r="B316" t="s">
        <v>64</v>
      </c>
      <c r="C316">
        <v>5</v>
      </c>
      <c r="D316">
        <v>0</v>
      </c>
      <c r="E316">
        <v>5</v>
      </c>
      <c r="F316">
        <v>22866</v>
      </c>
      <c r="G316">
        <v>106</v>
      </c>
      <c r="H316" t="s">
        <v>68</v>
      </c>
      <c r="I316">
        <v>4167</v>
      </c>
      <c r="J316">
        <v>5.9</v>
      </c>
    </row>
    <row r="317" spans="1:10" x14ac:dyDescent="0.3">
      <c r="A317" t="s">
        <v>424</v>
      </c>
      <c r="B317" t="s">
        <v>63</v>
      </c>
      <c r="C317">
        <v>2</v>
      </c>
      <c r="D317">
        <v>0</v>
      </c>
      <c r="E317">
        <v>2</v>
      </c>
      <c r="F317">
        <v>32929</v>
      </c>
      <c r="G317">
        <v>104</v>
      </c>
      <c r="H317" t="s">
        <v>68</v>
      </c>
      <c r="I317">
        <v>3185</v>
      </c>
      <c r="J317">
        <v>1.8</v>
      </c>
    </row>
    <row r="318" spans="1:10" x14ac:dyDescent="0.3">
      <c r="A318" t="s">
        <v>425</v>
      </c>
      <c r="B318" t="s">
        <v>65</v>
      </c>
      <c r="C318">
        <v>4</v>
      </c>
      <c r="D318">
        <v>0</v>
      </c>
      <c r="E318">
        <v>4</v>
      </c>
      <c r="F318">
        <v>25641</v>
      </c>
      <c r="G318">
        <v>32</v>
      </c>
      <c r="H318" t="s">
        <v>67</v>
      </c>
      <c r="I318">
        <v>4004</v>
      </c>
      <c r="J318">
        <v>5.8</v>
      </c>
    </row>
    <row r="319" spans="1:10" x14ac:dyDescent="0.3">
      <c r="A319" t="s">
        <v>426</v>
      </c>
      <c r="B319" t="s">
        <v>65</v>
      </c>
      <c r="C319">
        <v>5</v>
      </c>
      <c r="D319">
        <v>0</v>
      </c>
      <c r="E319">
        <v>5</v>
      </c>
      <c r="F319">
        <v>33356</v>
      </c>
      <c r="G319">
        <v>56</v>
      </c>
      <c r="H319" t="s">
        <v>68</v>
      </c>
      <c r="I319">
        <v>5031</v>
      </c>
      <c r="J319">
        <v>4.8</v>
      </c>
    </row>
    <row r="320" spans="1:10" x14ac:dyDescent="0.3">
      <c r="A320" t="s">
        <v>427</v>
      </c>
      <c r="B320" t="s">
        <v>62</v>
      </c>
      <c r="C320">
        <v>5</v>
      </c>
      <c r="D320">
        <v>0</v>
      </c>
      <c r="E320">
        <v>5</v>
      </c>
      <c r="F320">
        <v>15163</v>
      </c>
      <c r="G320">
        <v>36</v>
      </c>
      <c r="H320" t="s">
        <v>68</v>
      </c>
      <c r="I320">
        <v>3877</v>
      </c>
      <c r="J320">
        <v>14.6</v>
      </c>
    </row>
    <row r="321" spans="1:10" x14ac:dyDescent="0.3">
      <c r="A321" t="s">
        <v>428</v>
      </c>
      <c r="B321" t="s">
        <v>65</v>
      </c>
      <c r="C321">
        <v>3</v>
      </c>
      <c r="D321">
        <v>0</v>
      </c>
      <c r="E321">
        <v>3</v>
      </c>
      <c r="F321">
        <v>45334</v>
      </c>
      <c r="G321">
        <v>73</v>
      </c>
      <c r="H321" t="s">
        <v>69</v>
      </c>
      <c r="I321">
        <v>4822</v>
      </c>
      <c r="J321">
        <v>10.1</v>
      </c>
    </row>
    <row r="322" spans="1:10" x14ac:dyDescent="0.3">
      <c r="A322" t="s">
        <v>429</v>
      </c>
      <c r="B322" t="s">
        <v>65</v>
      </c>
      <c r="C322">
        <v>4</v>
      </c>
      <c r="D322">
        <v>0</v>
      </c>
      <c r="E322">
        <v>4</v>
      </c>
      <c r="F322">
        <v>31617</v>
      </c>
      <c r="G322">
        <v>15</v>
      </c>
      <c r="H322" t="s">
        <v>68</v>
      </c>
      <c r="I322">
        <v>5501</v>
      </c>
      <c r="J322">
        <v>3.7</v>
      </c>
    </row>
    <row r="323" spans="1:10" x14ac:dyDescent="0.3">
      <c r="A323" t="s">
        <v>430</v>
      </c>
      <c r="B323" t="s">
        <v>64</v>
      </c>
      <c r="C323">
        <v>5</v>
      </c>
      <c r="D323">
        <v>0</v>
      </c>
      <c r="E323">
        <v>5</v>
      </c>
      <c r="F323">
        <v>27347</v>
      </c>
      <c r="G323">
        <v>94</v>
      </c>
      <c r="H323" t="s">
        <v>69</v>
      </c>
      <c r="I323">
        <v>3540</v>
      </c>
      <c r="J323">
        <v>10.1</v>
      </c>
    </row>
    <row r="324" spans="1:10" x14ac:dyDescent="0.3">
      <c r="A324" t="s">
        <v>431</v>
      </c>
      <c r="B324" t="s">
        <v>65</v>
      </c>
      <c r="C324">
        <v>7</v>
      </c>
      <c r="D324">
        <v>0</v>
      </c>
      <c r="E324">
        <v>7</v>
      </c>
      <c r="F324">
        <v>32302</v>
      </c>
      <c r="G324">
        <v>27</v>
      </c>
      <c r="H324" t="s">
        <v>68</v>
      </c>
      <c r="I324">
        <v>4872</v>
      </c>
      <c r="J324">
        <v>1.9</v>
      </c>
    </row>
    <row r="325" spans="1:10" x14ac:dyDescent="0.3">
      <c r="A325" t="s">
        <v>432</v>
      </c>
      <c r="B325" t="s">
        <v>63</v>
      </c>
      <c r="C325">
        <v>8</v>
      </c>
      <c r="D325">
        <v>0</v>
      </c>
      <c r="E325">
        <v>8</v>
      </c>
      <c r="F325">
        <v>39919</v>
      </c>
      <c r="G325">
        <v>50</v>
      </c>
      <c r="H325" t="s">
        <v>68</v>
      </c>
      <c r="I325">
        <v>6518</v>
      </c>
      <c r="J325">
        <v>0.5</v>
      </c>
    </row>
    <row r="326" spans="1:10" x14ac:dyDescent="0.3">
      <c r="A326" t="s">
        <v>433</v>
      </c>
      <c r="B326" t="s">
        <v>64</v>
      </c>
      <c r="C326">
        <v>4</v>
      </c>
      <c r="D326">
        <v>0</v>
      </c>
      <c r="E326">
        <v>4</v>
      </c>
      <c r="F326">
        <v>28503</v>
      </c>
      <c r="G326">
        <v>45</v>
      </c>
      <c r="H326" t="s">
        <v>68</v>
      </c>
      <c r="I326">
        <v>3587</v>
      </c>
      <c r="J326">
        <v>9.5</v>
      </c>
    </row>
    <row r="327" spans="1:10" x14ac:dyDescent="0.3">
      <c r="A327" t="s">
        <v>434</v>
      </c>
      <c r="B327" t="s">
        <v>63</v>
      </c>
      <c r="C327">
        <v>3</v>
      </c>
      <c r="D327">
        <v>0</v>
      </c>
      <c r="E327">
        <v>3</v>
      </c>
      <c r="F327">
        <v>26173</v>
      </c>
      <c r="G327">
        <v>45</v>
      </c>
      <c r="H327" t="s">
        <v>68</v>
      </c>
      <c r="I327">
        <v>4035</v>
      </c>
      <c r="J327">
        <v>8.9</v>
      </c>
    </row>
    <row r="328" spans="1:10" x14ac:dyDescent="0.3">
      <c r="A328" t="s">
        <v>435</v>
      </c>
      <c r="B328" t="s">
        <v>65</v>
      </c>
      <c r="C328">
        <v>7</v>
      </c>
      <c r="D328">
        <v>0</v>
      </c>
      <c r="E328">
        <v>7</v>
      </c>
      <c r="F328">
        <v>40416</v>
      </c>
      <c r="G328">
        <v>85</v>
      </c>
      <c r="H328" t="s">
        <v>68</v>
      </c>
      <c r="I328">
        <v>5540</v>
      </c>
      <c r="J328">
        <v>10.5</v>
      </c>
    </row>
    <row r="329" spans="1:10" x14ac:dyDescent="0.3">
      <c r="A329" t="s">
        <v>436</v>
      </c>
      <c r="B329" t="s">
        <v>62</v>
      </c>
      <c r="C329">
        <v>8</v>
      </c>
      <c r="D329">
        <v>0</v>
      </c>
      <c r="E329">
        <v>8</v>
      </c>
      <c r="F329">
        <v>25180</v>
      </c>
      <c r="G329">
        <v>67</v>
      </c>
      <c r="H329" t="s">
        <v>69</v>
      </c>
      <c r="I329">
        <v>6459</v>
      </c>
      <c r="J329">
        <v>8</v>
      </c>
    </row>
    <row r="330" spans="1:10" x14ac:dyDescent="0.3">
      <c r="A330" t="s">
        <v>437</v>
      </c>
      <c r="B330" t="s">
        <v>65</v>
      </c>
      <c r="C330">
        <v>4</v>
      </c>
      <c r="D330">
        <v>0</v>
      </c>
      <c r="E330">
        <v>4</v>
      </c>
      <c r="F330">
        <v>30610</v>
      </c>
      <c r="G330">
        <v>16</v>
      </c>
      <c r="H330" t="s">
        <v>69</v>
      </c>
      <c r="I330">
        <v>4805</v>
      </c>
      <c r="J330">
        <v>9.6</v>
      </c>
    </row>
    <row r="331" spans="1:10" x14ac:dyDescent="0.3">
      <c r="A331" t="s">
        <v>438</v>
      </c>
      <c r="B331" t="s">
        <v>64</v>
      </c>
      <c r="C331">
        <v>8</v>
      </c>
      <c r="D331">
        <v>0</v>
      </c>
      <c r="E331">
        <v>8</v>
      </c>
      <c r="F331">
        <v>46962</v>
      </c>
      <c r="G331">
        <v>39</v>
      </c>
      <c r="H331" t="s">
        <v>66</v>
      </c>
      <c r="I331">
        <v>4671</v>
      </c>
      <c r="J331">
        <v>13.5</v>
      </c>
    </row>
    <row r="332" spans="1:10" x14ac:dyDescent="0.3">
      <c r="A332" t="s">
        <v>439</v>
      </c>
      <c r="B332" t="s">
        <v>64</v>
      </c>
      <c r="C332">
        <v>8</v>
      </c>
      <c r="D332">
        <v>0</v>
      </c>
      <c r="E332">
        <v>8</v>
      </c>
      <c r="F332">
        <v>40174</v>
      </c>
      <c r="G332">
        <v>15</v>
      </c>
      <c r="H332" t="s">
        <v>68</v>
      </c>
      <c r="I332">
        <v>7028</v>
      </c>
      <c r="J332">
        <v>3.5</v>
      </c>
    </row>
    <row r="333" spans="1:10" x14ac:dyDescent="0.3">
      <c r="A333" t="s">
        <v>440</v>
      </c>
      <c r="B333" t="s">
        <v>64</v>
      </c>
      <c r="C333">
        <v>2</v>
      </c>
      <c r="D333">
        <v>0</v>
      </c>
      <c r="E333">
        <v>2</v>
      </c>
      <c r="F333">
        <v>36795</v>
      </c>
      <c r="G333">
        <v>59</v>
      </c>
      <c r="H333" t="s">
        <v>68</v>
      </c>
      <c r="I333">
        <v>4189</v>
      </c>
      <c r="J333">
        <v>8.8000000000000007</v>
      </c>
    </row>
    <row r="334" spans="1:10" x14ac:dyDescent="0.3">
      <c r="A334" t="s">
        <v>441</v>
      </c>
      <c r="B334" t="s">
        <v>62</v>
      </c>
      <c r="C334">
        <v>5</v>
      </c>
      <c r="D334">
        <v>0</v>
      </c>
      <c r="E334">
        <v>5</v>
      </c>
      <c r="F334">
        <v>37569</v>
      </c>
      <c r="G334">
        <v>25</v>
      </c>
      <c r="H334" t="s">
        <v>69</v>
      </c>
      <c r="I334">
        <v>4150</v>
      </c>
      <c r="J334">
        <v>0.8</v>
      </c>
    </row>
    <row r="335" spans="1:10" x14ac:dyDescent="0.3">
      <c r="A335" t="s">
        <v>442</v>
      </c>
      <c r="B335" t="s">
        <v>65</v>
      </c>
      <c r="C335">
        <v>4</v>
      </c>
      <c r="D335">
        <v>0</v>
      </c>
      <c r="E335">
        <v>4</v>
      </c>
      <c r="F335">
        <v>34993</v>
      </c>
      <c r="G335">
        <v>90</v>
      </c>
      <c r="H335" t="s">
        <v>69</v>
      </c>
      <c r="I335">
        <v>4191</v>
      </c>
      <c r="J335">
        <v>8.3000000000000007</v>
      </c>
    </row>
    <row r="336" spans="1:10" x14ac:dyDescent="0.3">
      <c r="A336" t="s">
        <v>443</v>
      </c>
      <c r="B336" t="s">
        <v>65</v>
      </c>
      <c r="C336">
        <v>3</v>
      </c>
      <c r="D336">
        <v>0</v>
      </c>
      <c r="E336">
        <v>3</v>
      </c>
      <c r="F336">
        <v>15301</v>
      </c>
      <c r="G336">
        <v>27</v>
      </c>
      <c r="H336" t="s">
        <v>67</v>
      </c>
      <c r="I336">
        <v>4986</v>
      </c>
      <c r="J336">
        <v>8.1999999999999993</v>
      </c>
    </row>
    <row r="337" spans="1:10" x14ac:dyDescent="0.3">
      <c r="A337" t="s">
        <v>444</v>
      </c>
      <c r="B337" t="s">
        <v>63</v>
      </c>
      <c r="C337">
        <v>4</v>
      </c>
      <c r="D337">
        <v>0</v>
      </c>
      <c r="E337">
        <v>4</v>
      </c>
      <c r="F337">
        <v>3822</v>
      </c>
      <c r="G337">
        <v>61</v>
      </c>
      <c r="H337" t="s">
        <v>68</v>
      </c>
      <c r="I337">
        <v>3513</v>
      </c>
      <c r="J337">
        <v>11.9</v>
      </c>
    </row>
    <row r="338" spans="1:10" x14ac:dyDescent="0.3">
      <c r="A338" t="s">
        <v>445</v>
      </c>
      <c r="B338" t="s">
        <v>65</v>
      </c>
      <c r="C338">
        <v>8</v>
      </c>
      <c r="D338">
        <v>0</v>
      </c>
      <c r="E338">
        <v>8</v>
      </c>
      <c r="F338">
        <v>24123</v>
      </c>
      <c r="G338">
        <v>109</v>
      </c>
      <c r="H338" t="s">
        <v>67</v>
      </c>
      <c r="I338">
        <v>5379</v>
      </c>
      <c r="J338">
        <v>1</v>
      </c>
    </row>
    <row r="339" spans="1:10" x14ac:dyDescent="0.3">
      <c r="A339" t="s">
        <v>446</v>
      </c>
      <c r="B339" t="s">
        <v>63</v>
      </c>
      <c r="C339">
        <v>8</v>
      </c>
      <c r="D339">
        <v>0</v>
      </c>
      <c r="E339">
        <v>8</v>
      </c>
      <c r="F339">
        <v>22665</v>
      </c>
      <c r="G339">
        <v>71</v>
      </c>
      <c r="H339" t="s">
        <v>68</v>
      </c>
      <c r="I339">
        <v>5647</v>
      </c>
      <c r="J339">
        <v>0.9</v>
      </c>
    </row>
    <row r="340" spans="1:10" x14ac:dyDescent="0.3">
      <c r="A340" t="s">
        <v>447</v>
      </c>
      <c r="B340" t="s">
        <v>65</v>
      </c>
      <c r="C340">
        <v>8</v>
      </c>
      <c r="D340">
        <v>0</v>
      </c>
      <c r="E340">
        <v>8</v>
      </c>
      <c r="F340">
        <v>30282</v>
      </c>
      <c r="G340">
        <v>102</v>
      </c>
      <c r="H340" t="s">
        <v>67</v>
      </c>
      <c r="I340">
        <v>4887</v>
      </c>
      <c r="J340">
        <v>6.2</v>
      </c>
    </row>
    <row r="341" spans="1:10" x14ac:dyDescent="0.3">
      <c r="A341" t="s">
        <v>448</v>
      </c>
      <c r="B341" t="s">
        <v>65</v>
      </c>
      <c r="C341">
        <v>5</v>
      </c>
      <c r="D341">
        <v>0</v>
      </c>
      <c r="E341">
        <v>5</v>
      </c>
      <c r="F341">
        <v>17971</v>
      </c>
      <c r="G341">
        <v>88</v>
      </c>
      <c r="H341" t="s">
        <v>66</v>
      </c>
      <c r="I341">
        <v>4797</v>
      </c>
      <c r="J341">
        <v>1.5</v>
      </c>
    </row>
    <row r="342" spans="1:10" x14ac:dyDescent="0.3">
      <c r="A342" t="s">
        <v>449</v>
      </c>
      <c r="B342" t="s">
        <v>62</v>
      </c>
      <c r="C342">
        <v>5</v>
      </c>
      <c r="D342">
        <v>0</v>
      </c>
      <c r="E342">
        <v>5</v>
      </c>
      <c r="F342">
        <v>24891</v>
      </c>
      <c r="G342">
        <v>87</v>
      </c>
      <c r="H342" t="s">
        <v>67</v>
      </c>
      <c r="I342">
        <v>5028</v>
      </c>
      <c r="J342">
        <v>10.6</v>
      </c>
    </row>
    <row r="343" spans="1:10" x14ac:dyDescent="0.3">
      <c r="A343" t="s">
        <v>450</v>
      </c>
      <c r="B343" t="s">
        <v>63</v>
      </c>
      <c r="C343">
        <v>8</v>
      </c>
      <c r="D343">
        <v>0</v>
      </c>
      <c r="E343">
        <v>8</v>
      </c>
      <c r="F343">
        <v>23802</v>
      </c>
      <c r="G343">
        <v>91</v>
      </c>
      <c r="H343" t="s">
        <v>69</v>
      </c>
      <c r="I343">
        <v>4866</v>
      </c>
      <c r="J343">
        <v>7.9</v>
      </c>
    </row>
    <row r="344" spans="1:10" x14ac:dyDescent="0.3">
      <c r="A344" t="s">
        <v>451</v>
      </c>
      <c r="B344" t="s">
        <v>62</v>
      </c>
      <c r="C344">
        <v>8</v>
      </c>
      <c r="D344">
        <v>0</v>
      </c>
      <c r="E344">
        <v>8</v>
      </c>
      <c r="F344">
        <v>14157</v>
      </c>
      <c r="G344">
        <v>52</v>
      </c>
      <c r="H344" t="s">
        <v>66</v>
      </c>
      <c r="I344">
        <v>4923</v>
      </c>
      <c r="J344">
        <v>12.9</v>
      </c>
    </row>
    <row r="345" spans="1:10" x14ac:dyDescent="0.3">
      <c r="A345" t="s">
        <v>452</v>
      </c>
      <c r="B345" t="s">
        <v>65</v>
      </c>
      <c r="C345">
        <v>6</v>
      </c>
      <c r="D345">
        <v>0</v>
      </c>
      <c r="E345">
        <v>6</v>
      </c>
      <c r="F345">
        <v>32393</v>
      </c>
      <c r="G345">
        <v>73</v>
      </c>
      <c r="H345" t="s">
        <v>68</v>
      </c>
      <c r="I345">
        <v>5797</v>
      </c>
      <c r="J345">
        <v>2.4</v>
      </c>
    </row>
    <row r="346" spans="1:10" x14ac:dyDescent="0.3">
      <c r="A346" t="s">
        <v>453</v>
      </c>
      <c r="B346" t="s">
        <v>63</v>
      </c>
      <c r="C346">
        <v>3</v>
      </c>
      <c r="D346">
        <v>0</v>
      </c>
      <c r="E346">
        <v>3</v>
      </c>
      <c r="F346">
        <v>38960</v>
      </c>
      <c r="G346">
        <v>27</v>
      </c>
      <c r="H346" t="s">
        <v>68</v>
      </c>
      <c r="I346">
        <v>3478</v>
      </c>
      <c r="J346">
        <v>4.5999999999999996</v>
      </c>
    </row>
    <row r="347" spans="1:10" x14ac:dyDescent="0.3">
      <c r="A347" t="s">
        <v>454</v>
      </c>
      <c r="B347" t="s">
        <v>62</v>
      </c>
      <c r="C347">
        <v>8</v>
      </c>
      <c r="D347">
        <v>0</v>
      </c>
      <c r="E347">
        <v>8</v>
      </c>
      <c r="F347">
        <v>23984</v>
      </c>
      <c r="G347">
        <v>95</v>
      </c>
      <c r="H347" t="s">
        <v>66</v>
      </c>
      <c r="I347">
        <v>5117</v>
      </c>
      <c r="J347">
        <v>1.9</v>
      </c>
    </row>
    <row r="348" spans="1:10" x14ac:dyDescent="0.3">
      <c r="A348" t="s">
        <v>455</v>
      </c>
      <c r="B348" t="s">
        <v>62</v>
      </c>
      <c r="C348">
        <v>2</v>
      </c>
      <c r="D348">
        <v>0</v>
      </c>
      <c r="E348">
        <v>2</v>
      </c>
      <c r="F348">
        <v>20810</v>
      </c>
      <c r="G348">
        <v>91</v>
      </c>
      <c r="H348" t="s">
        <v>68</v>
      </c>
      <c r="I348">
        <v>4084</v>
      </c>
      <c r="J348">
        <v>11.5</v>
      </c>
    </row>
    <row r="349" spans="1:10" x14ac:dyDescent="0.3">
      <c r="A349" t="s">
        <v>456</v>
      </c>
      <c r="B349" t="s">
        <v>64</v>
      </c>
      <c r="C349">
        <v>2</v>
      </c>
      <c r="D349">
        <v>0</v>
      </c>
      <c r="E349">
        <v>2</v>
      </c>
      <c r="F349">
        <v>17932</v>
      </c>
      <c r="G349">
        <v>103</v>
      </c>
      <c r="H349" t="s">
        <v>68</v>
      </c>
      <c r="I349">
        <v>2754</v>
      </c>
      <c r="J349">
        <v>7.9</v>
      </c>
    </row>
    <row r="350" spans="1:10" x14ac:dyDescent="0.3">
      <c r="A350" t="s">
        <v>457</v>
      </c>
      <c r="B350" t="s">
        <v>65</v>
      </c>
      <c r="C350">
        <v>7</v>
      </c>
      <c r="D350">
        <v>0</v>
      </c>
      <c r="E350">
        <v>7</v>
      </c>
      <c r="F350">
        <v>25912</v>
      </c>
      <c r="G350">
        <v>32</v>
      </c>
      <c r="H350" t="s">
        <v>68</v>
      </c>
      <c r="I350">
        <v>6546</v>
      </c>
      <c r="J350">
        <v>3.4</v>
      </c>
    </row>
    <row r="351" spans="1:10" x14ac:dyDescent="0.3">
      <c r="A351" t="s">
        <v>458</v>
      </c>
      <c r="B351" t="s">
        <v>65</v>
      </c>
      <c r="C351">
        <v>7</v>
      </c>
      <c r="D351">
        <v>0</v>
      </c>
      <c r="E351">
        <v>7</v>
      </c>
      <c r="F351">
        <v>16504</v>
      </c>
      <c r="G351">
        <v>55</v>
      </c>
      <c r="H351" t="s">
        <v>67</v>
      </c>
      <c r="I351">
        <v>5642</v>
      </c>
      <c r="J351">
        <v>5.6</v>
      </c>
    </row>
    <row r="352" spans="1:10" x14ac:dyDescent="0.3">
      <c r="A352" t="s">
        <v>459</v>
      </c>
      <c r="B352" t="s">
        <v>63</v>
      </c>
      <c r="C352">
        <v>4</v>
      </c>
      <c r="D352">
        <v>0</v>
      </c>
      <c r="E352">
        <v>4</v>
      </c>
      <c r="F352">
        <v>20582</v>
      </c>
      <c r="G352">
        <v>68</v>
      </c>
      <c r="H352" t="s">
        <v>66</v>
      </c>
      <c r="I352">
        <v>4458</v>
      </c>
      <c r="J352">
        <v>4.8</v>
      </c>
    </row>
    <row r="353" spans="1:10" x14ac:dyDescent="0.3">
      <c r="A353" t="s">
        <v>460</v>
      </c>
      <c r="B353" t="s">
        <v>63</v>
      </c>
      <c r="C353">
        <v>6</v>
      </c>
      <c r="D353">
        <v>0</v>
      </c>
      <c r="E353">
        <v>6</v>
      </c>
      <c r="F353">
        <v>33012</v>
      </c>
      <c r="G353">
        <v>22</v>
      </c>
      <c r="H353" t="s">
        <v>67</v>
      </c>
      <c r="I353">
        <v>5462</v>
      </c>
      <c r="J353">
        <v>14.5</v>
      </c>
    </row>
    <row r="354" spans="1:10" x14ac:dyDescent="0.3">
      <c r="A354" t="s">
        <v>461</v>
      </c>
      <c r="B354" t="s">
        <v>63</v>
      </c>
      <c r="C354">
        <v>3</v>
      </c>
      <c r="D354">
        <v>0</v>
      </c>
      <c r="E354">
        <v>3</v>
      </c>
      <c r="F354">
        <v>35868</v>
      </c>
      <c r="G354">
        <v>37</v>
      </c>
      <c r="H354" t="s">
        <v>69</v>
      </c>
      <c r="I354">
        <v>3371</v>
      </c>
      <c r="J354">
        <v>6.9</v>
      </c>
    </row>
    <row r="355" spans="1:10" x14ac:dyDescent="0.3">
      <c r="A355" t="s">
        <v>462</v>
      </c>
      <c r="B355" t="s">
        <v>63</v>
      </c>
      <c r="C355">
        <v>6</v>
      </c>
      <c r="D355">
        <v>0</v>
      </c>
      <c r="E355">
        <v>6</v>
      </c>
      <c r="F355">
        <v>36105</v>
      </c>
      <c r="G355">
        <v>20</v>
      </c>
      <c r="H355" t="s">
        <v>68</v>
      </c>
      <c r="I355">
        <v>5323</v>
      </c>
      <c r="J355">
        <v>11.9</v>
      </c>
    </row>
    <row r="356" spans="1:10" x14ac:dyDescent="0.3">
      <c r="A356" t="s">
        <v>463</v>
      </c>
      <c r="B356" t="s">
        <v>65</v>
      </c>
      <c r="C356">
        <v>3</v>
      </c>
      <c r="D356">
        <v>0</v>
      </c>
      <c r="E356">
        <v>3</v>
      </c>
      <c r="F356">
        <v>26285</v>
      </c>
      <c r="G356">
        <v>58</v>
      </c>
      <c r="H356" t="s">
        <v>67</v>
      </c>
      <c r="I356">
        <v>4161</v>
      </c>
      <c r="J356">
        <v>7.6</v>
      </c>
    </row>
    <row r="357" spans="1:10" x14ac:dyDescent="0.3">
      <c r="A357" t="s">
        <v>464</v>
      </c>
      <c r="B357" t="s">
        <v>64</v>
      </c>
      <c r="C357">
        <v>8</v>
      </c>
      <c r="D357">
        <v>0</v>
      </c>
      <c r="E357">
        <v>8</v>
      </c>
      <c r="F357">
        <v>24838</v>
      </c>
      <c r="G357">
        <v>64</v>
      </c>
      <c r="H357" t="s">
        <v>68</v>
      </c>
      <c r="I357">
        <v>5261</v>
      </c>
      <c r="J357">
        <v>11.1</v>
      </c>
    </row>
    <row r="358" spans="1:10" x14ac:dyDescent="0.3">
      <c r="A358" t="s">
        <v>465</v>
      </c>
      <c r="B358" t="s">
        <v>63</v>
      </c>
      <c r="C358">
        <v>7</v>
      </c>
      <c r="D358">
        <v>0</v>
      </c>
      <c r="E358">
        <v>7</v>
      </c>
      <c r="F358">
        <v>25324</v>
      </c>
      <c r="G358">
        <v>34</v>
      </c>
      <c r="H358" t="s">
        <v>69</v>
      </c>
      <c r="I358">
        <v>4319</v>
      </c>
      <c r="J358">
        <v>8.3000000000000007</v>
      </c>
    </row>
    <row r="359" spans="1:10" x14ac:dyDescent="0.3">
      <c r="A359" t="s">
        <v>466</v>
      </c>
      <c r="B359" t="s">
        <v>63</v>
      </c>
      <c r="C359">
        <v>8</v>
      </c>
      <c r="D359">
        <v>0</v>
      </c>
      <c r="E359">
        <v>8</v>
      </c>
      <c r="F359">
        <v>42798</v>
      </c>
      <c r="G359">
        <v>59</v>
      </c>
      <c r="H359" t="s">
        <v>69</v>
      </c>
      <c r="I359">
        <v>5464</v>
      </c>
      <c r="J359">
        <v>7.4</v>
      </c>
    </row>
    <row r="360" spans="1:10" x14ac:dyDescent="0.3">
      <c r="A360" t="s">
        <v>467</v>
      </c>
      <c r="B360" t="s">
        <v>64</v>
      </c>
      <c r="C360">
        <v>8</v>
      </c>
      <c r="D360">
        <v>0</v>
      </c>
      <c r="E360">
        <v>8</v>
      </c>
      <c r="F360">
        <v>25581</v>
      </c>
      <c r="G360">
        <v>95</v>
      </c>
      <c r="H360" t="s">
        <v>68</v>
      </c>
      <c r="I360">
        <v>6587</v>
      </c>
      <c r="J360">
        <v>5.0999999999999996</v>
      </c>
    </row>
    <row r="361" spans="1:10" x14ac:dyDescent="0.3">
      <c r="A361" t="s">
        <v>468</v>
      </c>
      <c r="B361" t="s">
        <v>65</v>
      </c>
      <c r="C361">
        <v>3</v>
      </c>
      <c r="D361">
        <v>0</v>
      </c>
      <c r="E361">
        <v>3</v>
      </c>
      <c r="F361">
        <v>32352</v>
      </c>
      <c r="G361">
        <v>57</v>
      </c>
      <c r="H361" t="s">
        <v>68</v>
      </c>
      <c r="I361">
        <v>3695</v>
      </c>
      <c r="J361">
        <v>6.9</v>
      </c>
    </row>
    <row r="362" spans="1:10" x14ac:dyDescent="0.3">
      <c r="A362" t="s">
        <v>469</v>
      </c>
      <c r="B362" t="s">
        <v>62</v>
      </c>
      <c r="C362">
        <v>3</v>
      </c>
      <c r="D362">
        <v>0</v>
      </c>
      <c r="E362">
        <v>3</v>
      </c>
      <c r="F362">
        <v>26399</v>
      </c>
      <c r="G362">
        <v>88</v>
      </c>
      <c r="H362" t="s">
        <v>68</v>
      </c>
      <c r="I362">
        <v>4333</v>
      </c>
      <c r="J362">
        <v>1.4</v>
      </c>
    </row>
    <row r="363" spans="1:10" x14ac:dyDescent="0.3">
      <c r="A363" t="s">
        <v>470</v>
      </c>
      <c r="B363" t="s">
        <v>65</v>
      </c>
      <c r="C363">
        <v>2</v>
      </c>
      <c r="D363">
        <v>0</v>
      </c>
      <c r="E363">
        <v>2</v>
      </c>
      <c r="F363">
        <v>37995</v>
      </c>
      <c r="G363">
        <v>40</v>
      </c>
      <c r="H363" t="s">
        <v>68</v>
      </c>
      <c r="I363">
        <v>3194</v>
      </c>
      <c r="J363">
        <v>9.1999999999999993</v>
      </c>
    </row>
    <row r="364" spans="1:10" x14ac:dyDescent="0.3">
      <c r="A364" t="s">
        <v>471</v>
      </c>
      <c r="B364" t="s">
        <v>65</v>
      </c>
      <c r="C364">
        <v>8</v>
      </c>
      <c r="D364">
        <v>0</v>
      </c>
      <c r="E364">
        <v>8</v>
      </c>
      <c r="F364">
        <v>22307</v>
      </c>
      <c r="G364">
        <v>33</v>
      </c>
      <c r="H364" t="s">
        <v>68</v>
      </c>
      <c r="I364">
        <v>4682</v>
      </c>
      <c r="J364">
        <v>8</v>
      </c>
    </row>
    <row r="365" spans="1:10" x14ac:dyDescent="0.3">
      <c r="A365" t="s">
        <v>472</v>
      </c>
      <c r="B365" t="s">
        <v>65</v>
      </c>
      <c r="C365">
        <v>2</v>
      </c>
      <c r="D365">
        <v>0</v>
      </c>
      <c r="E365">
        <v>2</v>
      </c>
      <c r="F365">
        <v>30219</v>
      </c>
      <c r="G365">
        <v>56</v>
      </c>
      <c r="H365" t="s">
        <v>67</v>
      </c>
      <c r="I365">
        <v>2721</v>
      </c>
      <c r="J365">
        <v>1.3</v>
      </c>
    </row>
    <row r="366" spans="1:10" x14ac:dyDescent="0.3">
      <c r="A366" t="s">
        <v>473</v>
      </c>
      <c r="B366" t="s">
        <v>64</v>
      </c>
      <c r="C366">
        <v>2</v>
      </c>
      <c r="D366">
        <v>0</v>
      </c>
      <c r="E366">
        <v>2</v>
      </c>
      <c r="F366">
        <v>31220</v>
      </c>
      <c r="G366">
        <v>55</v>
      </c>
      <c r="H366" t="s">
        <v>68</v>
      </c>
      <c r="I366">
        <v>4583</v>
      </c>
      <c r="J366">
        <v>10.9</v>
      </c>
    </row>
    <row r="367" spans="1:10" x14ac:dyDescent="0.3">
      <c r="A367" t="s">
        <v>474</v>
      </c>
      <c r="B367" t="s">
        <v>62</v>
      </c>
      <c r="C367">
        <v>5</v>
      </c>
      <c r="D367">
        <v>0</v>
      </c>
      <c r="E367">
        <v>5</v>
      </c>
      <c r="F367">
        <v>24882</v>
      </c>
      <c r="G367">
        <v>113</v>
      </c>
      <c r="H367" t="s">
        <v>68</v>
      </c>
      <c r="I367">
        <v>4923</v>
      </c>
      <c r="J367">
        <v>10.5</v>
      </c>
    </row>
    <row r="368" spans="1:10" x14ac:dyDescent="0.3">
      <c r="A368" t="s">
        <v>475</v>
      </c>
      <c r="B368" t="s">
        <v>63</v>
      </c>
      <c r="C368">
        <v>6</v>
      </c>
      <c r="D368">
        <v>0</v>
      </c>
      <c r="E368">
        <v>6</v>
      </c>
      <c r="F368">
        <v>25813</v>
      </c>
      <c r="G368">
        <v>98</v>
      </c>
      <c r="H368" t="s">
        <v>67</v>
      </c>
      <c r="I368">
        <v>4588</v>
      </c>
      <c r="J368">
        <v>7.3</v>
      </c>
    </row>
    <row r="369" spans="1:10" x14ac:dyDescent="0.3">
      <c r="A369" t="s">
        <v>476</v>
      </c>
      <c r="B369" t="s">
        <v>64</v>
      </c>
      <c r="C369">
        <v>8</v>
      </c>
      <c r="D369">
        <v>0</v>
      </c>
      <c r="E369">
        <v>8</v>
      </c>
      <c r="F369">
        <v>32858</v>
      </c>
      <c r="G369">
        <v>98</v>
      </c>
      <c r="H369" t="s">
        <v>69</v>
      </c>
      <c r="I369">
        <v>6616</v>
      </c>
      <c r="J369">
        <v>1.7</v>
      </c>
    </row>
    <row r="370" spans="1:10" x14ac:dyDescent="0.3">
      <c r="A370" t="s">
        <v>477</v>
      </c>
      <c r="B370" t="s">
        <v>62</v>
      </c>
      <c r="C370">
        <v>6</v>
      </c>
      <c r="D370">
        <v>0</v>
      </c>
      <c r="E370">
        <v>6</v>
      </c>
      <c r="F370">
        <v>34289</v>
      </c>
      <c r="G370">
        <v>20</v>
      </c>
      <c r="H370" t="s">
        <v>68</v>
      </c>
      <c r="I370">
        <v>3941</v>
      </c>
      <c r="J370">
        <v>2.6</v>
      </c>
    </row>
    <row r="371" spans="1:10" x14ac:dyDescent="0.3">
      <c r="A371" t="s">
        <v>478</v>
      </c>
      <c r="B371" t="s">
        <v>64</v>
      </c>
      <c r="C371">
        <v>5</v>
      </c>
      <c r="D371">
        <v>0</v>
      </c>
      <c r="E371">
        <v>5</v>
      </c>
      <c r="F371">
        <v>31559</v>
      </c>
      <c r="G371">
        <v>29</v>
      </c>
      <c r="H371" t="s">
        <v>66</v>
      </c>
      <c r="I371">
        <v>5588</v>
      </c>
      <c r="J371">
        <v>10.9</v>
      </c>
    </row>
    <row r="372" spans="1:10" x14ac:dyDescent="0.3">
      <c r="A372" t="s">
        <v>479</v>
      </c>
      <c r="B372" t="s">
        <v>62</v>
      </c>
      <c r="C372">
        <v>4</v>
      </c>
      <c r="D372">
        <v>0</v>
      </c>
      <c r="E372">
        <v>4</v>
      </c>
      <c r="F372">
        <v>35539</v>
      </c>
      <c r="G372">
        <v>47</v>
      </c>
      <c r="H372" t="s">
        <v>66</v>
      </c>
      <c r="I372">
        <v>3321</v>
      </c>
      <c r="J372">
        <v>6.7</v>
      </c>
    </row>
    <row r="373" spans="1:10" x14ac:dyDescent="0.3">
      <c r="A373" t="s">
        <v>480</v>
      </c>
      <c r="B373" t="s">
        <v>63</v>
      </c>
      <c r="C373">
        <v>5</v>
      </c>
      <c r="D373">
        <v>0</v>
      </c>
      <c r="E373">
        <v>5</v>
      </c>
      <c r="F373">
        <v>28300</v>
      </c>
      <c r="G373">
        <v>90</v>
      </c>
      <c r="H373" t="s">
        <v>67</v>
      </c>
      <c r="I373">
        <v>5935</v>
      </c>
      <c r="J373">
        <v>8.5</v>
      </c>
    </row>
    <row r="374" spans="1:10" x14ac:dyDescent="0.3">
      <c r="A374" t="s">
        <v>481</v>
      </c>
      <c r="B374" t="s">
        <v>62</v>
      </c>
      <c r="C374">
        <v>4</v>
      </c>
      <c r="D374">
        <v>0</v>
      </c>
      <c r="E374">
        <v>4</v>
      </c>
      <c r="F374">
        <v>34234</v>
      </c>
      <c r="G374">
        <v>92</v>
      </c>
      <c r="H374" t="s">
        <v>68</v>
      </c>
      <c r="I374">
        <v>3989</v>
      </c>
      <c r="J374">
        <v>11.8</v>
      </c>
    </row>
    <row r="375" spans="1:10" x14ac:dyDescent="0.3">
      <c r="A375" t="s">
        <v>482</v>
      </c>
      <c r="B375" t="s">
        <v>63</v>
      </c>
      <c r="C375">
        <v>8</v>
      </c>
      <c r="D375">
        <v>0</v>
      </c>
      <c r="E375">
        <v>8</v>
      </c>
      <c r="F375">
        <v>26706</v>
      </c>
      <c r="G375">
        <v>82</v>
      </c>
      <c r="H375" t="s">
        <v>69</v>
      </c>
      <c r="I375">
        <v>5836</v>
      </c>
      <c r="J375">
        <v>13.5</v>
      </c>
    </row>
    <row r="376" spans="1:10" x14ac:dyDescent="0.3">
      <c r="A376" t="s">
        <v>483</v>
      </c>
      <c r="B376" t="s">
        <v>63</v>
      </c>
      <c r="C376">
        <v>2</v>
      </c>
      <c r="D376">
        <v>0</v>
      </c>
      <c r="E376">
        <v>2</v>
      </c>
      <c r="F376">
        <v>25900</v>
      </c>
      <c r="G376">
        <v>78</v>
      </c>
      <c r="H376" t="s">
        <v>68</v>
      </c>
      <c r="I376">
        <v>2888</v>
      </c>
      <c r="J376">
        <v>10.8</v>
      </c>
    </row>
    <row r="377" spans="1:10" x14ac:dyDescent="0.3">
      <c r="A377" t="s">
        <v>484</v>
      </c>
      <c r="B377" t="s">
        <v>65</v>
      </c>
      <c r="C377">
        <v>3</v>
      </c>
      <c r="D377">
        <v>0</v>
      </c>
      <c r="E377">
        <v>3</v>
      </c>
      <c r="F377">
        <v>37188</v>
      </c>
      <c r="G377">
        <v>19</v>
      </c>
      <c r="H377" t="s">
        <v>69</v>
      </c>
      <c r="I377">
        <v>3505</v>
      </c>
      <c r="J377">
        <v>13.9</v>
      </c>
    </row>
    <row r="378" spans="1:10" x14ac:dyDescent="0.3">
      <c r="A378" t="s">
        <v>485</v>
      </c>
      <c r="B378" t="s">
        <v>63</v>
      </c>
      <c r="C378">
        <v>3</v>
      </c>
      <c r="D378">
        <v>0</v>
      </c>
      <c r="E378">
        <v>3</v>
      </c>
      <c r="F378">
        <v>25534</v>
      </c>
      <c r="G378">
        <v>54</v>
      </c>
      <c r="H378" t="s">
        <v>68</v>
      </c>
      <c r="I378">
        <v>4840</v>
      </c>
      <c r="J378">
        <v>0.6</v>
      </c>
    </row>
    <row r="379" spans="1:10" x14ac:dyDescent="0.3">
      <c r="A379" t="s">
        <v>486</v>
      </c>
      <c r="B379" t="s">
        <v>65</v>
      </c>
      <c r="C379">
        <v>4</v>
      </c>
      <c r="D379">
        <v>0</v>
      </c>
      <c r="E379">
        <v>4</v>
      </c>
      <c r="F379">
        <v>15349</v>
      </c>
      <c r="G379">
        <v>81</v>
      </c>
      <c r="H379" t="s">
        <v>67</v>
      </c>
      <c r="I379">
        <v>4711</v>
      </c>
      <c r="J379">
        <v>8</v>
      </c>
    </row>
    <row r="380" spans="1:10" x14ac:dyDescent="0.3">
      <c r="A380" t="s">
        <v>487</v>
      </c>
      <c r="B380" t="s">
        <v>64</v>
      </c>
      <c r="C380">
        <v>6</v>
      </c>
      <c r="D380">
        <v>0</v>
      </c>
      <c r="E380">
        <v>6</v>
      </c>
      <c r="F380">
        <v>28502</v>
      </c>
      <c r="G380">
        <v>100</v>
      </c>
      <c r="H380" t="s">
        <v>68</v>
      </c>
      <c r="I380">
        <v>4190</v>
      </c>
      <c r="J380">
        <v>6.3</v>
      </c>
    </row>
    <row r="381" spans="1:10" x14ac:dyDescent="0.3">
      <c r="A381" t="s">
        <v>488</v>
      </c>
      <c r="B381" t="s">
        <v>65</v>
      </c>
      <c r="C381">
        <v>5</v>
      </c>
      <c r="D381">
        <v>0</v>
      </c>
      <c r="E381">
        <v>5</v>
      </c>
      <c r="F381">
        <v>27897</v>
      </c>
      <c r="G381">
        <v>59</v>
      </c>
      <c r="H381" t="s">
        <v>67</v>
      </c>
      <c r="I381">
        <v>5891</v>
      </c>
      <c r="J381">
        <v>7</v>
      </c>
    </row>
    <row r="382" spans="1:10" x14ac:dyDescent="0.3">
      <c r="A382" t="s">
        <v>489</v>
      </c>
      <c r="B382" t="s">
        <v>63</v>
      </c>
      <c r="C382">
        <v>4</v>
      </c>
      <c r="D382">
        <v>0</v>
      </c>
      <c r="E382">
        <v>4</v>
      </c>
      <c r="F382">
        <v>18940</v>
      </c>
      <c r="G382">
        <v>74</v>
      </c>
      <c r="H382" t="s">
        <v>69</v>
      </c>
      <c r="I382">
        <v>3573</v>
      </c>
      <c r="J382">
        <v>14.2</v>
      </c>
    </row>
    <row r="383" spans="1:10" x14ac:dyDescent="0.3">
      <c r="A383" t="s">
        <v>490</v>
      </c>
      <c r="B383" t="s">
        <v>62</v>
      </c>
      <c r="C383">
        <v>2</v>
      </c>
      <c r="D383">
        <v>0</v>
      </c>
      <c r="E383">
        <v>2</v>
      </c>
      <c r="F383">
        <v>28813</v>
      </c>
      <c r="G383">
        <v>81</v>
      </c>
      <c r="H383" t="s">
        <v>69</v>
      </c>
      <c r="I383">
        <v>3649</v>
      </c>
      <c r="J383">
        <v>1.4</v>
      </c>
    </row>
    <row r="384" spans="1:10" x14ac:dyDescent="0.3">
      <c r="A384" t="s">
        <v>491</v>
      </c>
      <c r="B384" t="s">
        <v>64</v>
      </c>
      <c r="C384">
        <v>7</v>
      </c>
      <c r="D384">
        <v>0</v>
      </c>
      <c r="E384">
        <v>7</v>
      </c>
      <c r="F384">
        <v>28779</v>
      </c>
      <c r="G384">
        <v>106</v>
      </c>
      <c r="H384" t="s">
        <v>69</v>
      </c>
      <c r="I384">
        <v>4675</v>
      </c>
      <c r="J384">
        <v>0.7</v>
      </c>
    </row>
    <row r="385" spans="1:10" x14ac:dyDescent="0.3">
      <c r="A385" t="s">
        <v>492</v>
      </c>
      <c r="B385" t="s">
        <v>64</v>
      </c>
      <c r="C385">
        <v>3</v>
      </c>
      <c r="D385">
        <v>0</v>
      </c>
      <c r="E385">
        <v>3</v>
      </c>
      <c r="F385">
        <v>15597</v>
      </c>
      <c r="G385">
        <v>97</v>
      </c>
      <c r="H385" t="s">
        <v>67</v>
      </c>
      <c r="I385">
        <v>2638</v>
      </c>
      <c r="J385">
        <v>10.7</v>
      </c>
    </row>
    <row r="386" spans="1:10" x14ac:dyDescent="0.3">
      <c r="A386" t="s">
        <v>493</v>
      </c>
      <c r="B386" t="s">
        <v>63</v>
      </c>
      <c r="C386">
        <v>6</v>
      </c>
      <c r="D386">
        <v>0</v>
      </c>
      <c r="E386">
        <v>6</v>
      </c>
      <c r="F386">
        <v>25237</v>
      </c>
      <c r="G386">
        <v>67</v>
      </c>
      <c r="H386" t="s">
        <v>68</v>
      </c>
      <c r="I386">
        <v>5995</v>
      </c>
      <c r="J386">
        <v>11.9</v>
      </c>
    </row>
    <row r="387" spans="1:10" x14ac:dyDescent="0.3">
      <c r="A387" t="s">
        <v>494</v>
      </c>
      <c r="B387" t="s">
        <v>64</v>
      </c>
      <c r="C387">
        <v>6</v>
      </c>
      <c r="D387">
        <v>0</v>
      </c>
      <c r="E387">
        <v>6</v>
      </c>
      <c r="F387">
        <v>20136</v>
      </c>
      <c r="G387">
        <v>71</v>
      </c>
      <c r="H387" t="s">
        <v>67</v>
      </c>
      <c r="I387">
        <v>5863</v>
      </c>
      <c r="J387">
        <v>4.7</v>
      </c>
    </row>
    <row r="388" spans="1:10" x14ac:dyDescent="0.3">
      <c r="A388" t="s">
        <v>495</v>
      </c>
      <c r="B388" t="s">
        <v>64</v>
      </c>
      <c r="C388">
        <v>8</v>
      </c>
      <c r="D388">
        <v>0</v>
      </c>
      <c r="E388">
        <v>8</v>
      </c>
      <c r="F388">
        <v>19730</v>
      </c>
      <c r="G388">
        <v>92</v>
      </c>
      <c r="H388" t="s">
        <v>68</v>
      </c>
      <c r="I388">
        <v>5694</v>
      </c>
      <c r="J388">
        <v>12.5</v>
      </c>
    </row>
    <row r="389" spans="1:10" x14ac:dyDescent="0.3">
      <c r="A389" t="s">
        <v>496</v>
      </c>
      <c r="B389" t="s">
        <v>62</v>
      </c>
      <c r="C389">
        <v>5</v>
      </c>
      <c r="D389">
        <v>0</v>
      </c>
      <c r="E389">
        <v>5</v>
      </c>
      <c r="F389">
        <v>16575</v>
      </c>
      <c r="G389">
        <v>75</v>
      </c>
      <c r="H389" t="s">
        <v>68</v>
      </c>
      <c r="I389">
        <v>5435</v>
      </c>
      <c r="J389">
        <v>8.3000000000000007</v>
      </c>
    </row>
    <row r="390" spans="1:10" x14ac:dyDescent="0.3">
      <c r="A390" t="s">
        <v>497</v>
      </c>
      <c r="B390" t="s">
        <v>65</v>
      </c>
      <c r="C390">
        <v>4</v>
      </c>
      <c r="D390">
        <v>0</v>
      </c>
      <c r="E390">
        <v>4</v>
      </c>
      <c r="F390">
        <v>28836</v>
      </c>
      <c r="G390">
        <v>17</v>
      </c>
      <c r="H390" t="s">
        <v>67</v>
      </c>
      <c r="I390">
        <v>4442</v>
      </c>
      <c r="J390">
        <v>14.2</v>
      </c>
    </row>
    <row r="391" spans="1:10" x14ac:dyDescent="0.3">
      <c r="A391" t="s">
        <v>498</v>
      </c>
      <c r="B391" t="s">
        <v>64</v>
      </c>
      <c r="C391">
        <v>5</v>
      </c>
      <c r="D391">
        <v>0</v>
      </c>
      <c r="E391">
        <v>5</v>
      </c>
      <c r="F391">
        <v>29029</v>
      </c>
      <c r="G391">
        <v>92</v>
      </c>
      <c r="H391" t="s">
        <v>68</v>
      </c>
      <c r="I391">
        <v>3893</v>
      </c>
      <c r="J391">
        <v>12.6</v>
      </c>
    </row>
    <row r="392" spans="1:10" x14ac:dyDescent="0.3">
      <c r="A392" t="s">
        <v>499</v>
      </c>
      <c r="B392" t="s">
        <v>65</v>
      </c>
      <c r="C392">
        <v>5</v>
      </c>
      <c r="D392">
        <v>0</v>
      </c>
      <c r="E392">
        <v>5</v>
      </c>
      <c r="F392">
        <v>22527</v>
      </c>
      <c r="G392">
        <v>43</v>
      </c>
      <c r="H392" t="s">
        <v>67</v>
      </c>
      <c r="I392">
        <v>5554</v>
      </c>
      <c r="J392">
        <v>11.9</v>
      </c>
    </row>
    <row r="393" spans="1:10" x14ac:dyDescent="0.3">
      <c r="A393" t="s">
        <v>500</v>
      </c>
      <c r="B393" t="s">
        <v>64</v>
      </c>
      <c r="C393">
        <v>4</v>
      </c>
      <c r="D393">
        <v>0</v>
      </c>
      <c r="E393">
        <v>4</v>
      </c>
      <c r="F393">
        <v>32959</v>
      </c>
      <c r="G393">
        <v>32</v>
      </c>
      <c r="H393" t="s">
        <v>67</v>
      </c>
      <c r="I393">
        <v>5038</v>
      </c>
      <c r="J393">
        <v>14.6</v>
      </c>
    </row>
    <row r="394" spans="1:10" x14ac:dyDescent="0.3">
      <c r="A394" t="s">
        <v>501</v>
      </c>
      <c r="B394" t="s">
        <v>64</v>
      </c>
      <c r="C394">
        <v>8</v>
      </c>
      <c r="D394">
        <v>0</v>
      </c>
      <c r="E394">
        <v>8</v>
      </c>
      <c r="F394">
        <v>46512</v>
      </c>
      <c r="G394">
        <v>22</v>
      </c>
      <c r="H394" t="s">
        <v>67</v>
      </c>
      <c r="I394">
        <v>5077</v>
      </c>
      <c r="J394">
        <v>14.4</v>
      </c>
    </row>
    <row r="395" spans="1:10" x14ac:dyDescent="0.3">
      <c r="A395" t="s">
        <v>502</v>
      </c>
      <c r="B395" t="s">
        <v>64</v>
      </c>
      <c r="C395">
        <v>7</v>
      </c>
      <c r="D395">
        <v>0</v>
      </c>
      <c r="E395">
        <v>7</v>
      </c>
      <c r="F395">
        <v>23056</v>
      </c>
      <c r="G395">
        <v>14</v>
      </c>
      <c r="H395" t="s">
        <v>67</v>
      </c>
      <c r="I395">
        <v>5915</v>
      </c>
      <c r="J395">
        <v>0.6</v>
      </c>
    </row>
    <row r="396" spans="1:10" x14ac:dyDescent="0.3">
      <c r="A396" t="s">
        <v>503</v>
      </c>
      <c r="B396" t="s">
        <v>65</v>
      </c>
      <c r="C396">
        <v>4</v>
      </c>
      <c r="D396">
        <v>0</v>
      </c>
      <c r="E396">
        <v>4</v>
      </c>
      <c r="F396">
        <v>27507</v>
      </c>
      <c r="G396">
        <v>97</v>
      </c>
      <c r="H396" t="s">
        <v>68</v>
      </c>
      <c r="I396">
        <v>3355</v>
      </c>
      <c r="J396">
        <v>9.8000000000000007</v>
      </c>
    </row>
    <row r="397" spans="1:10" x14ac:dyDescent="0.3">
      <c r="A397" t="s">
        <v>504</v>
      </c>
      <c r="B397" t="s">
        <v>62</v>
      </c>
      <c r="C397">
        <v>3</v>
      </c>
      <c r="D397">
        <v>0</v>
      </c>
      <c r="E397">
        <v>3</v>
      </c>
      <c r="F397">
        <v>18773</v>
      </c>
      <c r="G397">
        <v>31</v>
      </c>
      <c r="H397" t="s">
        <v>67</v>
      </c>
      <c r="I397">
        <v>4621</v>
      </c>
      <c r="J397">
        <v>11.2</v>
      </c>
    </row>
    <row r="398" spans="1:10" x14ac:dyDescent="0.3">
      <c r="A398" t="s">
        <v>505</v>
      </c>
      <c r="B398" t="s">
        <v>64</v>
      </c>
      <c r="C398">
        <v>8</v>
      </c>
      <c r="D398">
        <v>0</v>
      </c>
      <c r="E398">
        <v>8</v>
      </c>
      <c r="F398">
        <v>23111</v>
      </c>
      <c r="G398">
        <v>106</v>
      </c>
      <c r="H398" t="s">
        <v>68</v>
      </c>
      <c r="I398">
        <v>5391</v>
      </c>
      <c r="J398">
        <v>8.8000000000000007</v>
      </c>
    </row>
    <row r="399" spans="1:10" x14ac:dyDescent="0.3">
      <c r="A399" t="s">
        <v>506</v>
      </c>
      <c r="B399" t="s">
        <v>64</v>
      </c>
      <c r="C399">
        <v>8</v>
      </c>
      <c r="D399">
        <v>0</v>
      </c>
      <c r="E399">
        <v>8</v>
      </c>
      <c r="F399">
        <v>48708</v>
      </c>
      <c r="G399">
        <v>49</v>
      </c>
      <c r="H399" t="s">
        <v>68</v>
      </c>
      <c r="I399">
        <v>4920</v>
      </c>
      <c r="J399">
        <v>11.7</v>
      </c>
    </row>
    <row r="400" spans="1:10" x14ac:dyDescent="0.3">
      <c r="A400" t="s">
        <v>507</v>
      </c>
      <c r="B400" t="s">
        <v>62</v>
      </c>
      <c r="C400">
        <v>3</v>
      </c>
      <c r="D400">
        <v>0</v>
      </c>
      <c r="E400">
        <v>3</v>
      </c>
      <c r="F400">
        <v>23170</v>
      </c>
      <c r="G400">
        <v>76</v>
      </c>
      <c r="H400" t="s">
        <v>67</v>
      </c>
      <c r="I400">
        <v>3406</v>
      </c>
      <c r="J400">
        <v>14.9</v>
      </c>
    </row>
    <row r="401" spans="1:10" x14ac:dyDescent="0.3">
      <c r="A401" t="s">
        <v>508</v>
      </c>
      <c r="B401" t="s">
        <v>62</v>
      </c>
      <c r="C401">
        <v>2</v>
      </c>
      <c r="D401">
        <v>0</v>
      </c>
      <c r="E401">
        <v>2</v>
      </c>
      <c r="F401">
        <v>21581</v>
      </c>
      <c r="G401">
        <v>83</v>
      </c>
      <c r="H401" t="s">
        <v>69</v>
      </c>
      <c r="I401">
        <v>2304</v>
      </c>
      <c r="J401">
        <v>2.2999999999999998</v>
      </c>
    </row>
    <row r="402" spans="1:10" x14ac:dyDescent="0.3">
      <c r="A402" t="s">
        <v>509</v>
      </c>
      <c r="B402" t="s">
        <v>65</v>
      </c>
      <c r="C402">
        <v>7</v>
      </c>
      <c r="D402">
        <v>0</v>
      </c>
      <c r="E402">
        <v>7</v>
      </c>
      <c r="F402">
        <v>39267</v>
      </c>
      <c r="G402">
        <v>117</v>
      </c>
      <c r="H402" t="s">
        <v>69</v>
      </c>
      <c r="I402">
        <v>5753</v>
      </c>
      <c r="J402">
        <v>8.4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A5751-E954-4834-90CE-90F47EE4F41A}">
  <dimension ref="B1:L10"/>
  <sheetViews>
    <sheetView workbookViewId="0">
      <selection activeCell="G29" sqref="G29"/>
    </sheetView>
  </sheetViews>
  <sheetFormatPr defaultRowHeight="14.4" x14ac:dyDescent="0.3"/>
  <cols>
    <col min="2" max="2" width="9.5546875" bestFit="1" customWidth="1"/>
    <col min="3" max="3" width="24.21875" bestFit="1" customWidth="1"/>
    <col min="4" max="4" width="13.77734375" bestFit="1" customWidth="1"/>
    <col min="5" max="5" width="25.88671875" bestFit="1" customWidth="1"/>
    <col min="6" max="6" width="23.33203125" bestFit="1" customWidth="1"/>
    <col min="7" max="7" width="28.109375" bestFit="1" customWidth="1"/>
    <col min="8" max="8" width="26.6640625" bestFit="1" customWidth="1"/>
    <col min="10" max="10" width="9.5546875" bestFit="1" customWidth="1"/>
  </cols>
  <sheetData>
    <row r="1" spans="2:12" x14ac:dyDescent="0.3">
      <c r="C1" t="s">
        <v>98</v>
      </c>
      <c r="G1" t="s">
        <v>24</v>
      </c>
      <c r="K1" t="s">
        <v>99</v>
      </c>
    </row>
    <row r="2" spans="2:12" x14ac:dyDescent="0.3">
      <c r="C2" s="2" t="s">
        <v>96</v>
      </c>
      <c r="D2" s="2" t="s">
        <v>97</v>
      </c>
      <c r="E2" s="2"/>
      <c r="F2" s="2"/>
      <c r="G2" s="2" t="s">
        <v>96</v>
      </c>
      <c r="H2" s="2" t="s">
        <v>97</v>
      </c>
      <c r="I2" s="2"/>
      <c r="J2" s="2"/>
      <c r="K2" s="2" t="s">
        <v>96</v>
      </c>
      <c r="L2" s="2" t="s">
        <v>97</v>
      </c>
    </row>
    <row r="3" spans="2:12" x14ac:dyDescent="0.3">
      <c r="B3" s="2" t="s">
        <v>27</v>
      </c>
      <c r="C3" s="5">
        <f>'KRWSIP_Program_Baseline Data'!O6</f>
        <v>28408.134999999998</v>
      </c>
      <c r="D3" s="5">
        <f>KRWSIP_Program_Endline_Data!R5</f>
        <v>31262.7</v>
      </c>
      <c r="F3" s="2" t="s">
        <v>27</v>
      </c>
      <c r="G3" s="5">
        <f>'KRWSIP_Program_Baseline Data'!O7</f>
        <v>4730.1608040201008</v>
      </c>
      <c r="H3" s="5">
        <f>KRWSIP_Program_Endline_Data!R6</f>
        <v>3305.7437185929648</v>
      </c>
      <c r="J3" t="s">
        <v>27</v>
      </c>
      <c r="K3">
        <f>'KRWSIP_Program_Baseline Data'!O8</f>
        <v>68.45</v>
      </c>
      <c r="L3">
        <f>KRWSIP_Program_Endline_Data!R7</f>
        <v>29.324999999999999</v>
      </c>
    </row>
    <row r="4" spans="2:12" x14ac:dyDescent="0.3">
      <c r="B4" s="2" t="s">
        <v>30</v>
      </c>
      <c r="C4" s="5">
        <f>'KRWSIP_Program_Baseline Data'!P6</f>
        <v>27962.044999999998</v>
      </c>
      <c r="D4" s="5">
        <f>KRWSIP_Program_Endline_Data!S5</f>
        <v>28922.775000000001</v>
      </c>
      <c r="F4" s="2" t="s">
        <v>30</v>
      </c>
      <c r="G4" s="5">
        <f>'KRWSIP_Program_Baseline Data'!P7</f>
        <v>4827.0649999999996</v>
      </c>
      <c r="H4" s="5">
        <f>KRWSIP_Program_Endline_Data!S6</f>
        <v>4660.2950000000001</v>
      </c>
      <c r="J4" t="s">
        <v>30</v>
      </c>
      <c r="K4">
        <f>'KRWSIP_Program_Baseline Data'!P8</f>
        <v>67.855000000000004</v>
      </c>
      <c r="L4">
        <f>KRWSIP_Program_Endline_Data!S7</f>
        <v>64.36</v>
      </c>
    </row>
    <row r="5" spans="2:12" x14ac:dyDescent="0.3">
      <c r="B5" s="2"/>
    </row>
    <row r="8" spans="2:12" x14ac:dyDescent="0.3">
      <c r="B8" s="2" t="s">
        <v>100</v>
      </c>
      <c r="C8" s="2" t="s">
        <v>101</v>
      </c>
      <c r="D8" s="2" t="s">
        <v>32</v>
      </c>
      <c r="E8" s="2" t="s">
        <v>102</v>
      </c>
      <c r="F8" s="2" t="s">
        <v>103</v>
      </c>
      <c r="G8" s="2" t="s">
        <v>104</v>
      </c>
      <c r="H8" s="2" t="s">
        <v>105</v>
      </c>
    </row>
    <row r="9" spans="2:12" x14ac:dyDescent="0.3">
      <c r="B9" t="s">
        <v>96</v>
      </c>
      <c r="C9" s="5">
        <f>C3</f>
        <v>28408.134999999998</v>
      </c>
      <c r="D9" s="5">
        <f>C4</f>
        <v>27962.044999999998</v>
      </c>
      <c r="E9" s="5">
        <f>G3</f>
        <v>4730.1608040201008</v>
      </c>
      <c r="F9" s="5">
        <f>H3</f>
        <v>3305.7437185929648</v>
      </c>
      <c r="G9">
        <f>'KRWSIP_Program_Baseline Data'!O8</f>
        <v>68.45</v>
      </c>
      <c r="H9">
        <f>'KRWSIP_Program_Baseline Data'!P8</f>
        <v>67.855000000000004</v>
      </c>
    </row>
    <row r="10" spans="2:12" x14ac:dyDescent="0.3">
      <c r="B10" t="s">
        <v>97</v>
      </c>
      <c r="C10" s="5">
        <f>D3</f>
        <v>31262.7</v>
      </c>
      <c r="D10" s="5">
        <f>D4</f>
        <v>28922.775000000001</v>
      </c>
      <c r="E10" s="5">
        <f>H3</f>
        <v>3305.7437185929648</v>
      </c>
      <c r="F10" s="5">
        <f>H4</f>
        <v>4660.2950000000001</v>
      </c>
      <c r="G10">
        <f>KRWSIP_Program_Endline_Data!R7</f>
        <v>29.324999999999999</v>
      </c>
      <c r="H10">
        <f>KRWSIP_Program_Endline_Data!S7</f>
        <v>64.36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77C14-01E0-445D-88D3-AEADA7F381F4}">
  <dimension ref="A1:S21"/>
  <sheetViews>
    <sheetView workbookViewId="0">
      <selection activeCell="K3" sqref="K3"/>
    </sheetView>
  </sheetViews>
  <sheetFormatPr defaultRowHeight="14.4" x14ac:dyDescent="0.3"/>
  <cols>
    <col min="1" max="1" width="17.44140625" bestFit="1" customWidth="1"/>
    <col min="2" max="2" width="12" bestFit="1" customWidth="1"/>
    <col min="3" max="3" width="13.44140625" bestFit="1" customWidth="1"/>
    <col min="4" max="4" width="12.6640625" bestFit="1" customWidth="1"/>
    <col min="5" max="5" width="13.33203125" bestFit="1" customWidth="1"/>
    <col min="6" max="6" width="12.6640625" bestFit="1" customWidth="1"/>
    <col min="11" max="11" width="24.109375" bestFit="1" customWidth="1"/>
    <col min="12" max="12" width="12.6640625" bestFit="1" customWidth="1"/>
    <col min="13" max="13" width="14.109375" bestFit="1" customWidth="1"/>
    <col min="14" max="14" width="12.6640625" bestFit="1" customWidth="1"/>
    <col min="15" max="15" width="12" bestFit="1" customWidth="1"/>
    <col min="16" max="19" width="12.6640625" bestFit="1" customWidth="1"/>
  </cols>
  <sheetData>
    <row r="1" spans="1:19" x14ac:dyDescent="0.3">
      <c r="A1" s="2" t="s">
        <v>108</v>
      </c>
      <c r="K1" s="2" t="s">
        <v>109</v>
      </c>
    </row>
    <row r="2" spans="1:19" ht="15" thickBot="1" x14ac:dyDescent="0.35">
      <c r="A2" s="2" t="s">
        <v>75</v>
      </c>
      <c r="K2" s="2" t="s">
        <v>75</v>
      </c>
    </row>
    <row r="3" spans="1:19" x14ac:dyDescent="0.3">
      <c r="A3" s="18" t="s">
        <v>76</v>
      </c>
      <c r="B3" s="16"/>
      <c r="K3" s="17" t="s">
        <v>76</v>
      </c>
      <c r="L3" s="16"/>
    </row>
    <row r="4" spans="1:19" x14ac:dyDescent="0.3">
      <c r="A4" t="s">
        <v>77</v>
      </c>
      <c r="B4">
        <v>0.60614513799123926</v>
      </c>
      <c r="K4" t="s">
        <v>77</v>
      </c>
      <c r="L4">
        <v>0.82402453257322439</v>
      </c>
    </row>
    <row r="5" spans="1:19" x14ac:dyDescent="0.3">
      <c r="A5" t="s">
        <v>78</v>
      </c>
      <c r="B5">
        <v>0.36741192831041847</v>
      </c>
      <c r="K5" t="s">
        <v>78</v>
      </c>
      <c r="L5">
        <v>0.67901643028252101</v>
      </c>
    </row>
    <row r="6" spans="1:19" x14ac:dyDescent="0.3">
      <c r="A6" t="s">
        <v>79</v>
      </c>
      <c r="B6">
        <v>0.36582251104486674</v>
      </c>
      <c r="K6" t="s">
        <v>79</v>
      </c>
      <c r="L6">
        <v>0.67576596375373643</v>
      </c>
    </row>
    <row r="7" spans="1:19" x14ac:dyDescent="0.3">
      <c r="A7" t="s">
        <v>80</v>
      </c>
      <c r="B7">
        <v>891.0685465486041</v>
      </c>
      <c r="K7" t="s">
        <v>80</v>
      </c>
      <c r="L7">
        <v>637.14019524483695</v>
      </c>
    </row>
    <row r="8" spans="1:19" ht="15" thickBot="1" x14ac:dyDescent="0.35">
      <c r="A8" s="8" t="s">
        <v>42</v>
      </c>
      <c r="B8" s="8">
        <v>400</v>
      </c>
      <c r="K8" s="8" t="s">
        <v>42</v>
      </c>
      <c r="L8" s="8">
        <v>400</v>
      </c>
    </row>
    <row r="10" spans="1:19" ht="15" thickBot="1" x14ac:dyDescent="0.35">
      <c r="A10" t="s">
        <v>81</v>
      </c>
      <c r="K10" t="s">
        <v>81</v>
      </c>
    </row>
    <row r="11" spans="1:19" x14ac:dyDescent="0.3">
      <c r="A11" s="9"/>
      <c r="B11" s="10" t="s">
        <v>45</v>
      </c>
      <c r="C11" s="10" t="s">
        <v>86</v>
      </c>
      <c r="D11" s="10" t="s">
        <v>87</v>
      </c>
      <c r="E11" s="10" t="s">
        <v>88</v>
      </c>
      <c r="F11" s="10" t="s">
        <v>89</v>
      </c>
      <c r="K11" s="9"/>
      <c r="L11" s="9" t="s">
        <v>45</v>
      </c>
      <c r="M11" s="9" t="s">
        <v>86</v>
      </c>
      <c r="N11" s="9" t="s">
        <v>87</v>
      </c>
      <c r="O11" s="9" t="s">
        <v>88</v>
      </c>
      <c r="P11" s="9" t="s">
        <v>89</v>
      </c>
    </row>
    <row r="12" spans="1:19" x14ac:dyDescent="0.3">
      <c r="A12" t="s">
        <v>82</v>
      </c>
      <c r="B12">
        <v>1</v>
      </c>
      <c r="C12">
        <v>183542884.84000021</v>
      </c>
      <c r="D12">
        <v>183542884.84000021</v>
      </c>
      <c r="E12">
        <v>231.16140504670048</v>
      </c>
      <c r="F12">
        <v>1.7393141241795571E-41</v>
      </c>
      <c r="K12" t="s">
        <v>82</v>
      </c>
      <c r="L12">
        <v>4</v>
      </c>
      <c r="M12">
        <v>339206827.1733321</v>
      </c>
      <c r="N12">
        <v>84801706.793333024</v>
      </c>
      <c r="O12">
        <v>208.89814562601157</v>
      </c>
      <c r="P12">
        <v>4.5817072076871731E-96</v>
      </c>
    </row>
    <row r="13" spans="1:19" x14ac:dyDescent="0.3">
      <c r="A13" t="s">
        <v>83</v>
      </c>
      <c r="B13">
        <v>398</v>
      </c>
      <c r="C13">
        <v>316013255.55000031</v>
      </c>
      <c r="D13">
        <v>794003.15464824194</v>
      </c>
      <c r="K13" t="s">
        <v>83</v>
      </c>
      <c r="L13">
        <v>395</v>
      </c>
      <c r="M13">
        <v>160349313.21666843</v>
      </c>
      <c r="N13">
        <v>405947.62839662895</v>
      </c>
    </row>
    <row r="14" spans="1:19" ht="15" thickBot="1" x14ac:dyDescent="0.35">
      <c r="A14" s="8" t="s">
        <v>84</v>
      </c>
      <c r="B14" s="8">
        <v>399</v>
      </c>
      <c r="C14" s="8">
        <v>499556140.39000052</v>
      </c>
      <c r="D14" s="8"/>
      <c r="E14" s="8"/>
      <c r="F14" s="8"/>
      <c r="K14" s="8" t="s">
        <v>84</v>
      </c>
      <c r="L14" s="8">
        <v>399</v>
      </c>
      <c r="M14" s="8">
        <v>499556140.39000052</v>
      </c>
      <c r="N14" s="8"/>
      <c r="O14" s="8"/>
      <c r="P14" s="8"/>
    </row>
    <row r="15" spans="1:19" ht="15" thickBot="1" x14ac:dyDescent="0.35"/>
    <row r="16" spans="1:19" x14ac:dyDescent="0.3">
      <c r="A16" s="9"/>
      <c r="B16" s="10" t="s">
        <v>90</v>
      </c>
      <c r="C16" s="10" t="s">
        <v>80</v>
      </c>
      <c r="D16" s="10" t="s">
        <v>46</v>
      </c>
      <c r="E16" s="10" t="s">
        <v>91</v>
      </c>
      <c r="F16" s="10" t="s">
        <v>92</v>
      </c>
      <c r="G16" s="10" t="s">
        <v>93</v>
      </c>
      <c r="H16" s="10" t="s">
        <v>94</v>
      </c>
      <c r="I16" s="10" t="s">
        <v>95</v>
      </c>
      <c r="K16" s="10"/>
      <c r="L16" s="10" t="s">
        <v>90</v>
      </c>
      <c r="M16" s="10" t="s">
        <v>80</v>
      </c>
      <c r="N16" s="10" t="s">
        <v>46</v>
      </c>
      <c r="O16" s="10" t="s">
        <v>91</v>
      </c>
      <c r="P16" s="10" t="s">
        <v>92</v>
      </c>
      <c r="Q16" s="10" t="s">
        <v>93</v>
      </c>
      <c r="R16" s="10" t="s">
        <v>94</v>
      </c>
      <c r="S16" s="10" t="s">
        <v>95</v>
      </c>
    </row>
    <row r="17" spans="1:19" x14ac:dyDescent="0.3">
      <c r="A17" t="s">
        <v>85</v>
      </c>
      <c r="B17">
        <v>4660.2950000000037</v>
      </c>
      <c r="C17">
        <v>63.008061176655971</v>
      </c>
      <c r="D17">
        <v>73.963472498128681</v>
      </c>
      <c r="E17">
        <v>1.1358743684248514E-234</v>
      </c>
      <c r="F17">
        <v>4536.4247857811306</v>
      </c>
      <c r="G17">
        <v>4784.1652142188768</v>
      </c>
      <c r="H17">
        <v>4536.4247857811306</v>
      </c>
      <c r="I17">
        <v>4784.1652142188768</v>
      </c>
      <c r="K17" t="s">
        <v>85</v>
      </c>
      <c r="L17">
        <v>3029.1997311279752</v>
      </c>
      <c r="M17">
        <v>175.88648311688135</v>
      </c>
      <c r="N17">
        <v>17.222470297021001</v>
      </c>
      <c r="O17">
        <v>5.5036755247224218E-50</v>
      </c>
      <c r="P17">
        <v>2683.4090395149365</v>
      </c>
      <c r="Q17">
        <v>3374.9904227410138</v>
      </c>
      <c r="R17">
        <v>2683.4090395149365</v>
      </c>
      <c r="S17">
        <v>3374.9904227410138</v>
      </c>
    </row>
    <row r="18" spans="1:19" ht="15" thickBot="1" x14ac:dyDescent="0.35">
      <c r="A18" s="8" t="s">
        <v>27</v>
      </c>
      <c r="B18" s="8">
        <v>-1354.7800000000075</v>
      </c>
      <c r="C18" s="8">
        <v>89.106854654860683</v>
      </c>
      <c r="D18" s="8">
        <v>-15.203993062570811</v>
      </c>
      <c r="E18" s="20">
        <v>1.7393141241791344E-41</v>
      </c>
      <c r="F18" s="8">
        <v>-1529.9589369223988</v>
      </c>
      <c r="G18" s="8">
        <v>-1179.6010630776161</v>
      </c>
      <c r="H18" s="8">
        <v>-1529.9589369223988</v>
      </c>
      <c r="I18" s="8">
        <v>-1179.6010630776161</v>
      </c>
      <c r="K18" t="s">
        <v>27</v>
      </c>
      <c r="L18">
        <v>-1328.8114391301826</v>
      </c>
      <c r="M18">
        <v>79.848726945196134</v>
      </c>
      <c r="N18">
        <v>-16.641610830467055</v>
      </c>
      <c r="O18">
        <v>1.6750767775955603E-47</v>
      </c>
      <c r="P18">
        <v>-1485.7930674253589</v>
      </c>
      <c r="Q18">
        <v>-1171.8298108350064</v>
      </c>
      <c r="R18">
        <v>-1485.7930674253589</v>
      </c>
      <c r="S18">
        <v>-1171.8298108350064</v>
      </c>
    </row>
    <row r="19" spans="1:19" x14ac:dyDescent="0.3">
      <c r="K19" t="s">
        <v>18</v>
      </c>
      <c r="L19">
        <v>300.55777915447027</v>
      </c>
      <c r="M19">
        <v>15.391190764990242</v>
      </c>
      <c r="N19">
        <v>19.527909421936194</v>
      </c>
      <c r="O19">
        <v>6.3002487218972325E-60</v>
      </c>
      <c r="P19">
        <v>270.29888486617244</v>
      </c>
      <c r="Q19">
        <v>330.81667344276809</v>
      </c>
      <c r="R19">
        <v>270.29888486617244</v>
      </c>
      <c r="S19">
        <v>330.81667344276809</v>
      </c>
    </row>
    <row r="20" spans="1:19" x14ac:dyDescent="0.3">
      <c r="K20" t="s">
        <v>106</v>
      </c>
      <c r="L20">
        <v>4.3867202676202352E-3</v>
      </c>
      <c r="M20">
        <v>4.0938343714625406E-3</v>
      </c>
      <c r="N20">
        <v>1.0715431718975625</v>
      </c>
      <c r="O20">
        <v>0.28457953268173819</v>
      </c>
      <c r="P20">
        <v>-3.6617084323643505E-3</v>
      </c>
      <c r="Q20">
        <v>1.2435148967604821E-2</v>
      </c>
      <c r="R20">
        <v>-3.6617084323643505E-3</v>
      </c>
      <c r="S20">
        <v>1.2435148967604821E-2</v>
      </c>
    </row>
    <row r="21" spans="1:19" ht="15" thickBot="1" x14ac:dyDescent="0.35">
      <c r="K21" s="8" t="s">
        <v>107</v>
      </c>
      <c r="L21" s="8">
        <v>-0.98181592148627006</v>
      </c>
      <c r="M21" s="8">
        <v>1.3690885840462361</v>
      </c>
      <c r="N21" s="8">
        <v>-0.71713104099121805</v>
      </c>
      <c r="O21" s="8">
        <v>0.47371708263886414</v>
      </c>
      <c r="P21" s="8">
        <v>-3.6734274652924244</v>
      </c>
      <c r="Q21" s="8">
        <v>1.7097956223198842</v>
      </c>
      <c r="R21" s="8">
        <v>-3.6734274652924244</v>
      </c>
      <c r="S21" s="8">
        <v>1.7097956223198842</v>
      </c>
    </row>
  </sheetData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799C8-38FD-4A1D-A58F-661F42A77422}">
  <dimension ref="A1:J1033"/>
  <sheetViews>
    <sheetView topLeftCell="A260" workbookViewId="0">
      <selection activeCell="I281" sqref="A1:J1033"/>
    </sheetView>
  </sheetViews>
  <sheetFormatPr defaultRowHeight="14.4" x14ac:dyDescent="0.3"/>
  <cols>
    <col min="1" max="1" width="12.21875" bestFit="1" customWidth="1"/>
    <col min="2" max="2" width="6.5546875" bestFit="1" customWidth="1"/>
    <col min="3" max="3" width="14.33203125" bestFit="1" customWidth="1"/>
    <col min="4" max="4" width="26" bestFit="1" customWidth="1"/>
    <col min="5" max="5" width="19.33203125" bestFit="1" customWidth="1"/>
    <col min="6" max="6" width="23.77734375" bestFit="1" customWidth="1"/>
    <col min="7" max="7" width="22.5546875" bestFit="1" customWidth="1"/>
    <col min="8" max="8" width="19" bestFit="1" customWidth="1"/>
    <col min="9" max="9" width="11.5546875" bestFit="1" customWidth="1"/>
    <col min="10" max="10" width="9.77734375" bestFit="1" customWidth="1"/>
  </cols>
  <sheetData>
    <row r="1" spans="1:10" x14ac:dyDescent="0.3">
      <c r="A1" s="2" t="s">
        <v>17</v>
      </c>
      <c r="B1" s="2" t="s">
        <v>21</v>
      </c>
      <c r="C1" s="2" t="s">
        <v>18</v>
      </c>
      <c r="D1" s="2" t="s">
        <v>22</v>
      </c>
      <c r="E1" s="2" t="s">
        <v>19</v>
      </c>
      <c r="F1" s="2" t="s">
        <v>510</v>
      </c>
      <c r="G1" s="2" t="s">
        <v>511</v>
      </c>
      <c r="H1" s="2" t="s">
        <v>512</v>
      </c>
      <c r="I1" s="2" t="s">
        <v>26</v>
      </c>
      <c r="J1" s="2" t="s">
        <v>27</v>
      </c>
    </row>
    <row r="2" spans="1:10" x14ac:dyDescent="0.3">
      <c r="A2" t="str">
        <f>"HH"&amp;TEXT(ROW()-1,"000")</f>
        <v>HH001</v>
      </c>
      <c r="B2" t="str">
        <f ca="1">LOOKUP(RAND(),{0,0.28,0.55,0.78},{"Oloitoktok A","Oloitoktok B","Kiserian","Namanga"})</f>
        <v>Oloitoktok A</v>
      </c>
      <c r="C2">
        <f ca="1">LOOKUP(RAND(),{0,0.02,0.09,0.2,0.35,0.52,0.68,0.81,0.91,0.97},{1,2,3,4,5,6,7,8,9,10})</f>
        <v>5</v>
      </c>
      <c r="D2">
        <f t="shared" ref="D2:D65" ca="1" si="0">MAX(5000,MIN(150000,ROUND(_xlfn.LOGNORM.INV(RAND(),LN(28000+1500*C2),0.55),-2)))</f>
        <v>65100</v>
      </c>
      <c r="E2" t="str">
        <f ca="1">IF(B2="Oloitoktok A",IF(D2&lt;15000,LOOKUP(RAND(),{0,0.45,0.75,0.92},{"River","Rainwater","Borehole","Vendor"}),IF(D2&lt;30000,LOOKUP(RAND(),{0,0.35,0.65,0.85},{"River","Rainwater","Borehole","Vendor"}),LOOKUP(RAND(),{0,0.25,0.5,0.75},{"River","Rainwater","Borehole","Vendor"}))),IF(B2="Oloitoktok B",IF(D2&lt;15000,LOOKUP(RAND(),{0,0.5,0.78,0.94},{"River","Rainwater","Borehole","Vendor"}),IF(D2&lt;30000,LOOKUP(RAND(),{0,0.4,0.68,0.87},{"River","Rainwater","Borehole","Vendor"}),LOOKUP(RAND(),{0,0.28,0.55,0.78},{"River","Rainwater","Borehole","Vendor"}))),IF(B2="Kiserian",IF(D2&lt;15000,LOOKUP(RAND(),{0,0.35,0.65,0.9},{"River","Rainwater","Borehole","Vendor"}),IF(D2&lt;30000,LOOKUP(RAND(),{0,0.25,0.55,0.82},{"River","Rainwater","Borehole","Vendor"}),LOOKUP(RAND(),{0,0.15,0.45,0.72},{"River","Rainwater","Borehole","Vendor"}))),IF(D2&lt;15000,LOOKUP(RAND(),{0,0.4,0.7,0.92},{"River","Rainwater","Borehole","Vendor"}),IF(D2&lt;30000,LOOKUP(RAND(),{0,0.3,0.6,0.85},{"River","Rainwater","Borehole","Vendor"}),LOOKUP(RAND(),{0,0.2,0.5,0.75},{"River","Rainwater","Borehole","Vendor"}))))))</f>
        <v>Rainwater</v>
      </c>
      <c r="F2">
        <f t="shared" ref="F2:F65" ca="1" si="1">IF(E2="River",RANDBETWEEN(45,120),IF(E2="Rainwater",RANDBETWEEN(15,70),IF(E2="Borehole",RANDBETWEEN(20,75),RANDBETWEEN(10,60))))</f>
        <v>66</v>
      </c>
      <c r="G2">
        <f t="shared" ref="G2:G65" ca="1" si="2">IF(B2="Oloitoktok A",ROUND(RANDBETWEEN(5,150)/10,1),IF(B2="Oloitoktok B",ROUND(RANDBETWEEN(4,140)/10,1),IF(B2="Kiserian",ROUND(RANDBETWEEN(2,100)/10,1),ROUND(RANDBETWEEN(3,120)/10,1))))</f>
        <v>11.8</v>
      </c>
      <c r="H2">
        <f t="shared" ref="H2:H65" ca="1" si="3">MAX(0,ROUND((1500+(C2*250)+(D2*0.025)+(F2*8)+(G2*120)+IF(E2="River",1200,IF(E2="Rainwater",700,IF(E2="Borehole",400,200)))+_xlfn.NORM.INV(RAND(),0,3500)),-2))</f>
        <v>1600</v>
      </c>
      <c r="I2">
        <f t="shared" ref="I2:I65" ca="1" si="4">RAND()</f>
        <v>0.21590193286723713</v>
      </c>
      <c r="J2">
        <v>0</v>
      </c>
    </row>
    <row r="3" spans="1:10" x14ac:dyDescent="0.3">
      <c r="A3" t="str">
        <f t="shared" ref="A3:A66" si="5">"HH"&amp;TEXT(ROW()-1,"000")</f>
        <v>HH002</v>
      </c>
      <c r="B3" t="str">
        <f ca="1">LOOKUP(RAND(),{0,0.28,0.55,0.78},{"Oloitoktok A","Oloitoktok B","Kiserian","Namanga"})</f>
        <v>Oloitoktok B</v>
      </c>
      <c r="C3">
        <f ca="1">LOOKUP(RAND(),{0,0.02,0.09,0.2,0.35,0.52,0.68,0.81,0.91,0.97},{1,2,3,4,5,6,7,8,9,10})</f>
        <v>6</v>
      </c>
      <c r="D3">
        <f t="shared" ca="1" si="0"/>
        <v>18900</v>
      </c>
      <c r="E3" t="str">
        <f ca="1">IF(B3="Oloitoktok A",IF(D3&lt;15000,LOOKUP(RAND(),{0,0.45,0.75,0.92},{"River","Rainwater","Borehole","Vendor"}),IF(D3&lt;30000,LOOKUP(RAND(),{0,0.35,0.65,0.85},{"River","Rainwater","Borehole","Vendor"}),LOOKUP(RAND(),{0,0.25,0.5,0.75},{"River","Rainwater","Borehole","Vendor"}))),IF(B3="Oloitoktok B",IF(D3&lt;15000,LOOKUP(RAND(),{0,0.5,0.78,0.94},{"River","Rainwater","Borehole","Vendor"}),IF(D3&lt;30000,LOOKUP(RAND(),{0,0.4,0.68,0.87},{"River","Rainwater","Borehole","Vendor"}),LOOKUP(RAND(),{0,0.28,0.55,0.78},{"River","Rainwater","Borehole","Vendor"}))),IF(B3="Kiserian",IF(D3&lt;15000,LOOKUP(RAND(),{0,0.35,0.65,0.9},{"River","Rainwater","Borehole","Vendor"}),IF(D3&lt;30000,LOOKUP(RAND(),{0,0.25,0.55,0.82},{"River","Rainwater","Borehole","Vendor"}),LOOKUP(RAND(),{0,0.15,0.45,0.72},{"River","Rainwater","Borehole","Vendor"}))),IF(D3&lt;15000,LOOKUP(RAND(),{0,0.4,0.7,0.92},{"River","Rainwater","Borehole","Vendor"}),IF(D3&lt;30000,LOOKUP(RAND(),{0,0.3,0.6,0.85},{"River","Rainwater","Borehole","Vendor"}),LOOKUP(RAND(),{0,0.2,0.5,0.75},{"River","Rainwater","Borehole","Vendor"}))))))</f>
        <v>Rainwater</v>
      </c>
      <c r="F3">
        <f t="shared" ca="1" si="1"/>
        <v>35</v>
      </c>
      <c r="G3">
        <f t="shared" ca="1" si="2"/>
        <v>9.9</v>
      </c>
      <c r="H3">
        <f t="shared" ca="1" si="3"/>
        <v>0</v>
      </c>
      <c r="I3">
        <f t="shared" ca="1" si="4"/>
        <v>0.38200944638420109</v>
      </c>
      <c r="J3">
        <v>0</v>
      </c>
    </row>
    <row r="4" spans="1:10" x14ac:dyDescent="0.3">
      <c r="A4" t="str">
        <f t="shared" si="5"/>
        <v>HH003</v>
      </c>
      <c r="B4" t="str">
        <f ca="1">LOOKUP(RAND(),{0,0.28,0.55,0.78},{"Oloitoktok A","Oloitoktok B","Kiserian","Namanga"})</f>
        <v>Oloitoktok A</v>
      </c>
      <c r="C4">
        <f ca="1">LOOKUP(RAND(),{0,0.02,0.09,0.2,0.35,0.52,0.68,0.81,0.91,0.97},{1,2,3,4,5,6,7,8,9,10})</f>
        <v>5</v>
      </c>
      <c r="D4">
        <f t="shared" ca="1" si="0"/>
        <v>71800</v>
      </c>
      <c r="E4" t="str">
        <f ca="1">IF(B4="Oloitoktok A",IF(D4&lt;15000,LOOKUP(RAND(),{0,0.45,0.75,0.92},{"River","Rainwater","Borehole","Vendor"}),IF(D4&lt;30000,LOOKUP(RAND(),{0,0.35,0.65,0.85},{"River","Rainwater","Borehole","Vendor"}),LOOKUP(RAND(),{0,0.25,0.5,0.75},{"River","Rainwater","Borehole","Vendor"}))),IF(B4="Oloitoktok B",IF(D4&lt;15000,LOOKUP(RAND(),{0,0.5,0.78,0.94},{"River","Rainwater","Borehole","Vendor"}),IF(D4&lt;30000,LOOKUP(RAND(),{0,0.4,0.68,0.87},{"River","Rainwater","Borehole","Vendor"}),LOOKUP(RAND(),{0,0.28,0.55,0.78},{"River","Rainwater","Borehole","Vendor"}))),IF(B4="Kiserian",IF(D4&lt;15000,LOOKUP(RAND(),{0,0.35,0.65,0.9},{"River","Rainwater","Borehole","Vendor"}),IF(D4&lt;30000,LOOKUP(RAND(),{0,0.25,0.55,0.82},{"River","Rainwater","Borehole","Vendor"}),LOOKUP(RAND(),{0,0.15,0.45,0.72},{"River","Rainwater","Borehole","Vendor"}))),IF(D4&lt;15000,LOOKUP(RAND(),{0,0.4,0.7,0.92},{"River","Rainwater","Borehole","Vendor"}),IF(D4&lt;30000,LOOKUP(RAND(),{0,0.3,0.6,0.85},{"River","Rainwater","Borehole","Vendor"}),LOOKUP(RAND(),{0,0.2,0.5,0.75},{"River","Rainwater","Borehole","Vendor"}))))))</f>
        <v>Borehole</v>
      </c>
      <c r="F4">
        <f t="shared" ca="1" si="1"/>
        <v>28</v>
      </c>
      <c r="G4">
        <f t="shared" ca="1" si="2"/>
        <v>7.7</v>
      </c>
      <c r="H4">
        <f t="shared" ca="1" si="3"/>
        <v>4900</v>
      </c>
      <c r="I4">
        <f t="shared" ca="1" si="4"/>
        <v>0.85054225298696251</v>
      </c>
      <c r="J4">
        <v>0</v>
      </c>
    </row>
    <row r="5" spans="1:10" x14ac:dyDescent="0.3">
      <c r="A5" t="str">
        <f t="shared" si="5"/>
        <v>HH004</v>
      </c>
      <c r="B5" t="str">
        <f ca="1">LOOKUP(RAND(),{0,0.28,0.55,0.78},{"Oloitoktok A","Oloitoktok B","Kiserian","Namanga"})</f>
        <v>Kiserian</v>
      </c>
      <c r="C5">
        <f ca="1">LOOKUP(RAND(),{0,0.02,0.09,0.2,0.35,0.52,0.68,0.81,0.91,0.97},{1,2,3,4,5,6,7,8,9,10})</f>
        <v>3</v>
      </c>
      <c r="D5">
        <f t="shared" ca="1" si="0"/>
        <v>26300</v>
      </c>
      <c r="E5" t="str">
        <f ca="1">IF(B5="Oloitoktok A",IF(D5&lt;15000,LOOKUP(RAND(),{0,0.45,0.75,0.92},{"River","Rainwater","Borehole","Vendor"}),IF(D5&lt;30000,LOOKUP(RAND(),{0,0.35,0.65,0.85},{"River","Rainwater","Borehole","Vendor"}),LOOKUP(RAND(),{0,0.25,0.5,0.75},{"River","Rainwater","Borehole","Vendor"}))),IF(B5="Oloitoktok B",IF(D5&lt;15000,LOOKUP(RAND(),{0,0.5,0.78,0.94},{"River","Rainwater","Borehole","Vendor"}),IF(D5&lt;30000,LOOKUP(RAND(),{0,0.4,0.68,0.87},{"River","Rainwater","Borehole","Vendor"}),LOOKUP(RAND(),{0,0.28,0.55,0.78},{"River","Rainwater","Borehole","Vendor"}))),IF(B5="Kiserian",IF(D5&lt;15000,LOOKUP(RAND(),{0,0.35,0.65,0.9},{"River","Rainwater","Borehole","Vendor"}),IF(D5&lt;30000,LOOKUP(RAND(),{0,0.25,0.55,0.82},{"River","Rainwater","Borehole","Vendor"}),LOOKUP(RAND(),{0,0.15,0.45,0.72},{"River","Rainwater","Borehole","Vendor"}))),IF(D5&lt;15000,LOOKUP(RAND(),{0,0.4,0.7,0.92},{"River","Rainwater","Borehole","Vendor"}),IF(D5&lt;30000,LOOKUP(RAND(),{0,0.3,0.6,0.85},{"River","Rainwater","Borehole","Vendor"}),LOOKUP(RAND(),{0,0.2,0.5,0.75},{"River","Rainwater","Borehole","Vendor"}))))))</f>
        <v>Rainwater</v>
      </c>
      <c r="F5">
        <f t="shared" ca="1" si="1"/>
        <v>38</v>
      </c>
      <c r="G5">
        <f t="shared" ca="1" si="2"/>
        <v>4.8</v>
      </c>
      <c r="H5">
        <f t="shared" ca="1" si="3"/>
        <v>6700</v>
      </c>
      <c r="I5">
        <f t="shared" ca="1" si="4"/>
        <v>0.23105006053043309</v>
      </c>
      <c r="J5">
        <v>0</v>
      </c>
    </row>
    <row r="6" spans="1:10" x14ac:dyDescent="0.3">
      <c r="A6" t="str">
        <f t="shared" si="5"/>
        <v>HH005</v>
      </c>
      <c r="B6" t="str">
        <f ca="1">LOOKUP(RAND(),{0,0.28,0.55,0.78},{"Oloitoktok A","Oloitoktok B","Kiserian","Namanga"})</f>
        <v>Oloitoktok B</v>
      </c>
      <c r="C6">
        <f ca="1">LOOKUP(RAND(),{0,0.02,0.09,0.2,0.35,0.52,0.68,0.81,0.91,0.97},{1,2,3,4,5,6,7,8,9,10})</f>
        <v>8</v>
      </c>
      <c r="D6">
        <f t="shared" ca="1" si="0"/>
        <v>24200</v>
      </c>
      <c r="E6" t="str">
        <f ca="1">IF(B6="Oloitoktok A",IF(D6&lt;15000,LOOKUP(RAND(),{0,0.45,0.75,0.92},{"River","Rainwater","Borehole","Vendor"}),IF(D6&lt;30000,LOOKUP(RAND(),{0,0.35,0.65,0.85},{"River","Rainwater","Borehole","Vendor"}),LOOKUP(RAND(),{0,0.25,0.5,0.75},{"River","Rainwater","Borehole","Vendor"}))),IF(B6="Oloitoktok B",IF(D6&lt;15000,LOOKUP(RAND(),{0,0.5,0.78,0.94},{"River","Rainwater","Borehole","Vendor"}),IF(D6&lt;30000,LOOKUP(RAND(),{0,0.4,0.68,0.87},{"River","Rainwater","Borehole","Vendor"}),LOOKUP(RAND(),{0,0.28,0.55,0.78},{"River","Rainwater","Borehole","Vendor"}))),IF(B6="Kiserian",IF(D6&lt;15000,LOOKUP(RAND(),{0,0.35,0.65,0.9},{"River","Rainwater","Borehole","Vendor"}),IF(D6&lt;30000,LOOKUP(RAND(),{0,0.25,0.55,0.82},{"River","Rainwater","Borehole","Vendor"}),LOOKUP(RAND(),{0,0.15,0.45,0.72},{"River","Rainwater","Borehole","Vendor"}))),IF(D6&lt;15000,LOOKUP(RAND(),{0,0.4,0.7,0.92},{"River","Rainwater","Borehole","Vendor"}),IF(D6&lt;30000,LOOKUP(RAND(),{0,0.3,0.6,0.85},{"River","Rainwater","Borehole","Vendor"}),LOOKUP(RAND(),{0,0.2,0.5,0.75},{"River","Rainwater","Borehole","Vendor"}))))))</f>
        <v>Vendor</v>
      </c>
      <c r="F6">
        <f t="shared" ca="1" si="1"/>
        <v>19</v>
      </c>
      <c r="G6">
        <f t="shared" ca="1" si="2"/>
        <v>2.2000000000000002</v>
      </c>
      <c r="H6">
        <f t="shared" ca="1" si="3"/>
        <v>5600</v>
      </c>
      <c r="I6">
        <f t="shared" ca="1" si="4"/>
        <v>0.32322297452050552</v>
      </c>
      <c r="J6">
        <v>0</v>
      </c>
    </row>
    <row r="7" spans="1:10" x14ac:dyDescent="0.3">
      <c r="A7" t="str">
        <f t="shared" si="5"/>
        <v>HH006</v>
      </c>
      <c r="B7" t="str">
        <f ca="1">LOOKUP(RAND(),{0,0.28,0.55,0.78},{"Oloitoktok A","Oloitoktok B","Kiserian","Namanga"})</f>
        <v>Kiserian</v>
      </c>
      <c r="C7">
        <f ca="1">LOOKUP(RAND(),{0,0.02,0.09,0.2,0.35,0.52,0.68,0.81,0.91,0.97},{1,2,3,4,5,6,7,8,9,10})</f>
        <v>6</v>
      </c>
      <c r="D7">
        <f t="shared" ca="1" si="0"/>
        <v>20000</v>
      </c>
      <c r="E7" t="str">
        <f ca="1">IF(B7="Oloitoktok A",IF(D7&lt;15000,LOOKUP(RAND(),{0,0.45,0.75,0.92},{"River","Rainwater","Borehole","Vendor"}),IF(D7&lt;30000,LOOKUP(RAND(),{0,0.35,0.65,0.85},{"River","Rainwater","Borehole","Vendor"}),LOOKUP(RAND(),{0,0.25,0.5,0.75},{"River","Rainwater","Borehole","Vendor"}))),IF(B7="Oloitoktok B",IF(D7&lt;15000,LOOKUP(RAND(),{0,0.5,0.78,0.94},{"River","Rainwater","Borehole","Vendor"}),IF(D7&lt;30000,LOOKUP(RAND(),{0,0.4,0.68,0.87},{"River","Rainwater","Borehole","Vendor"}),LOOKUP(RAND(),{0,0.28,0.55,0.78},{"River","Rainwater","Borehole","Vendor"}))),IF(B7="Kiserian",IF(D7&lt;15000,LOOKUP(RAND(),{0,0.35,0.65,0.9},{"River","Rainwater","Borehole","Vendor"}),IF(D7&lt;30000,LOOKUP(RAND(),{0,0.25,0.55,0.82},{"River","Rainwater","Borehole","Vendor"}),LOOKUP(RAND(),{0,0.15,0.45,0.72},{"River","Rainwater","Borehole","Vendor"}))),IF(D7&lt;15000,LOOKUP(RAND(),{0,0.4,0.7,0.92},{"River","Rainwater","Borehole","Vendor"}),IF(D7&lt;30000,LOOKUP(RAND(),{0,0.3,0.6,0.85},{"River","Rainwater","Borehole","Vendor"}),LOOKUP(RAND(),{0,0.2,0.5,0.75},{"River","Rainwater","Borehole","Vendor"}))))))</f>
        <v>Borehole</v>
      </c>
      <c r="F7">
        <f t="shared" ca="1" si="1"/>
        <v>64</v>
      </c>
      <c r="G7">
        <f t="shared" ca="1" si="2"/>
        <v>4.5</v>
      </c>
      <c r="H7">
        <f t="shared" ca="1" si="3"/>
        <v>5600</v>
      </c>
      <c r="I7">
        <f t="shared" ca="1" si="4"/>
        <v>0.67701237720599805</v>
      </c>
      <c r="J7">
        <v>0</v>
      </c>
    </row>
    <row r="8" spans="1:10" x14ac:dyDescent="0.3">
      <c r="A8" t="str">
        <f t="shared" si="5"/>
        <v>HH007</v>
      </c>
      <c r="B8" t="str">
        <f ca="1">LOOKUP(RAND(),{0,0.28,0.55,0.78},{"Oloitoktok A","Oloitoktok B","Kiserian","Namanga"})</f>
        <v>Oloitoktok A</v>
      </c>
      <c r="C8">
        <f ca="1">LOOKUP(RAND(),{0,0.02,0.09,0.2,0.35,0.52,0.68,0.81,0.91,0.97},{1,2,3,4,5,6,7,8,9,10})</f>
        <v>6</v>
      </c>
      <c r="D8">
        <f t="shared" ca="1" si="0"/>
        <v>27800</v>
      </c>
      <c r="E8" t="str">
        <f ca="1">IF(B8="Oloitoktok A",IF(D8&lt;15000,LOOKUP(RAND(),{0,0.45,0.75,0.92},{"River","Rainwater","Borehole","Vendor"}),IF(D8&lt;30000,LOOKUP(RAND(),{0,0.35,0.65,0.85},{"River","Rainwater","Borehole","Vendor"}),LOOKUP(RAND(),{0,0.25,0.5,0.75},{"River","Rainwater","Borehole","Vendor"}))),IF(B8="Oloitoktok B",IF(D8&lt;15000,LOOKUP(RAND(),{0,0.5,0.78,0.94},{"River","Rainwater","Borehole","Vendor"}),IF(D8&lt;30000,LOOKUP(RAND(),{0,0.4,0.68,0.87},{"River","Rainwater","Borehole","Vendor"}),LOOKUP(RAND(),{0,0.28,0.55,0.78},{"River","Rainwater","Borehole","Vendor"}))),IF(B8="Kiserian",IF(D8&lt;15000,LOOKUP(RAND(),{0,0.35,0.65,0.9},{"River","Rainwater","Borehole","Vendor"}),IF(D8&lt;30000,LOOKUP(RAND(),{0,0.25,0.55,0.82},{"River","Rainwater","Borehole","Vendor"}),LOOKUP(RAND(),{0,0.15,0.45,0.72},{"River","Rainwater","Borehole","Vendor"}))),IF(D8&lt;15000,LOOKUP(RAND(),{0,0.4,0.7,0.92},{"River","Rainwater","Borehole","Vendor"}),IF(D8&lt;30000,LOOKUP(RAND(),{0,0.3,0.6,0.85},{"River","Rainwater","Borehole","Vendor"}),LOOKUP(RAND(),{0,0.2,0.5,0.75},{"River","Rainwater","Borehole","Vendor"}))))))</f>
        <v>Rainwater</v>
      </c>
      <c r="F8">
        <f t="shared" ca="1" si="1"/>
        <v>42</v>
      </c>
      <c r="G8">
        <f t="shared" ca="1" si="2"/>
        <v>6.7</v>
      </c>
      <c r="H8">
        <f t="shared" ca="1" si="3"/>
        <v>3200</v>
      </c>
      <c r="I8">
        <f t="shared" ca="1" si="4"/>
        <v>0.13893132961458654</v>
      </c>
      <c r="J8">
        <v>0</v>
      </c>
    </row>
    <row r="9" spans="1:10" x14ac:dyDescent="0.3">
      <c r="A9" t="str">
        <f t="shared" si="5"/>
        <v>HH008</v>
      </c>
      <c r="B9" t="str">
        <f ca="1">LOOKUP(RAND(),{0,0.28,0.55,0.78},{"Oloitoktok A","Oloitoktok B","Kiserian","Namanga"})</f>
        <v>Namanga</v>
      </c>
      <c r="C9">
        <f ca="1">LOOKUP(RAND(),{0,0.02,0.09,0.2,0.35,0.52,0.68,0.81,0.91,0.97},{1,2,3,4,5,6,7,8,9,10})</f>
        <v>5</v>
      </c>
      <c r="D9">
        <f t="shared" ca="1" si="0"/>
        <v>45400</v>
      </c>
      <c r="E9" t="str">
        <f ca="1">IF(B9="Oloitoktok A",IF(D9&lt;15000,LOOKUP(RAND(),{0,0.45,0.75,0.92},{"River","Rainwater","Borehole","Vendor"}),IF(D9&lt;30000,LOOKUP(RAND(),{0,0.35,0.65,0.85},{"River","Rainwater","Borehole","Vendor"}),LOOKUP(RAND(),{0,0.25,0.5,0.75},{"River","Rainwater","Borehole","Vendor"}))),IF(B9="Oloitoktok B",IF(D9&lt;15000,LOOKUP(RAND(),{0,0.5,0.78,0.94},{"River","Rainwater","Borehole","Vendor"}),IF(D9&lt;30000,LOOKUP(RAND(),{0,0.4,0.68,0.87},{"River","Rainwater","Borehole","Vendor"}),LOOKUP(RAND(),{0,0.28,0.55,0.78},{"River","Rainwater","Borehole","Vendor"}))),IF(B9="Kiserian",IF(D9&lt;15000,LOOKUP(RAND(),{0,0.35,0.65,0.9},{"River","Rainwater","Borehole","Vendor"}),IF(D9&lt;30000,LOOKUP(RAND(),{0,0.25,0.55,0.82},{"River","Rainwater","Borehole","Vendor"}),LOOKUP(RAND(),{0,0.15,0.45,0.72},{"River","Rainwater","Borehole","Vendor"}))),IF(D9&lt;15000,LOOKUP(RAND(),{0,0.4,0.7,0.92},{"River","Rainwater","Borehole","Vendor"}),IF(D9&lt;30000,LOOKUP(RAND(),{0,0.3,0.6,0.85},{"River","Rainwater","Borehole","Vendor"}),LOOKUP(RAND(),{0,0.2,0.5,0.75},{"River","Rainwater","Borehole","Vendor"}))))))</f>
        <v>Vendor</v>
      </c>
      <c r="F9">
        <f t="shared" ca="1" si="1"/>
        <v>30</v>
      </c>
      <c r="G9">
        <f t="shared" ca="1" si="2"/>
        <v>0.4</v>
      </c>
      <c r="H9">
        <f t="shared" ca="1" si="3"/>
        <v>8200</v>
      </c>
      <c r="I9">
        <f t="shared" ca="1" si="4"/>
        <v>0.5505713449788916</v>
      </c>
      <c r="J9">
        <v>0</v>
      </c>
    </row>
    <row r="10" spans="1:10" x14ac:dyDescent="0.3">
      <c r="A10" t="str">
        <f t="shared" si="5"/>
        <v>HH009</v>
      </c>
      <c r="B10" t="str">
        <f ca="1">LOOKUP(RAND(),{0,0.28,0.55,0.78},{"Oloitoktok A","Oloitoktok B","Kiserian","Namanga"})</f>
        <v>Oloitoktok B</v>
      </c>
      <c r="C10">
        <f ca="1">LOOKUP(RAND(),{0,0.02,0.09,0.2,0.35,0.52,0.68,0.81,0.91,0.97},{1,2,3,4,5,6,7,8,9,10})</f>
        <v>6</v>
      </c>
      <c r="D10">
        <f t="shared" ca="1" si="0"/>
        <v>37500</v>
      </c>
      <c r="E10" t="str">
        <f ca="1">IF(B10="Oloitoktok A",IF(D10&lt;15000,LOOKUP(RAND(),{0,0.45,0.75,0.92},{"River","Rainwater","Borehole","Vendor"}),IF(D10&lt;30000,LOOKUP(RAND(),{0,0.35,0.65,0.85},{"River","Rainwater","Borehole","Vendor"}),LOOKUP(RAND(),{0,0.25,0.5,0.75},{"River","Rainwater","Borehole","Vendor"}))),IF(B10="Oloitoktok B",IF(D10&lt;15000,LOOKUP(RAND(),{0,0.5,0.78,0.94},{"River","Rainwater","Borehole","Vendor"}),IF(D10&lt;30000,LOOKUP(RAND(),{0,0.4,0.68,0.87},{"River","Rainwater","Borehole","Vendor"}),LOOKUP(RAND(),{0,0.28,0.55,0.78},{"River","Rainwater","Borehole","Vendor"}))),IF(B10="Kiserian",IF(D10&lt;15000,LOOKUP(RAND(),{0,0.35,0.65,0.9},{"River","Rainwater","Borehole","Vendor"}),IF(D10&lt;30000,LOOKUP(RAND(),{0,0.25,0.55,0.82},{"River","Rainwater","Borehole","Vendor"}),LOOKUP(RAND(),{0,0.15,0.45,0.72},{"River","Rainwater","Borehole","Vendor"}))),IF(D10&lt;15000,LOOKUP(RAND(),{0,0.4,0.7,0.92},{"River","Rainwater","Borehole","Vendor"}),IF(D10&lt;30000,LOOKUP(RAND(),{0,0.3,0.6,0.85},{"River","Rainwater","Borehole","Vendor"}),LOOKUP(RAND(),{0,0.2,0.5,0.75},{"River","Rainwater","Borehole","Vendor"}))))))</f>
        <v>Borehole</v>
      </c>
      <c r="F10">
        <f t="shared" ca="1" si="1"/>
        <v>53</v>
      </c>
      <c r="G10">
        <f t="shared" ca="1" si="2"/>
        <v>9.9</v>
      </c>
      <c r="H10">
        <f t="shared" ca="1" si="3"/>
        <v>2600</v>
      </c>
      <c r="I10">
        <f t="shared" ca="1" si="4"/>
        <v>0.84801957865926958</v>
      </c>
      <c r="J10">
        <v>0</v>
      </c>
    </row>
    <row r="11" spans="1:10" x14ac:dyDescent="0.3">
      <c r="A11" t="str">
        <f t="shared" si="5"/>
        <v>HH010</v>
      </c>
      <c r="B11" t="str">
        <f ca="1">LOOKUP(RAND(),{0,0.28,0.55,0.78},{"Oloitoktok A","Oloitoktok B","Kiserian","Namanga"})</f>
        <v>Oloitoktok B</v>
      </c>
      <c r="C11">
        <f ca="1">LOOKUP(RAND(),{0,0.02,0.09,0.2,0.35,0.52,0.68,0.81,0.91,0.97},{1,2,3,4,5,6,7,8,9,10})</f>
        <v>6</v>
      </c>
      <c r="D11">
        <f t="shared" ca="1" si="0"/>
        <v>85300</v>
      </c>
      <c r="E11" t="str">
        <f ca="1">IF(B11="Oloitoktok A",IF(D11&lt;15000,LOOKUP(RAND(),{0,0.45,0.75,0.92},{"River","Rainwater","Borehole","Vendor"}),IF(D11&lt;30000,LOOKUP(RAND(),{0,0.35,0.65,0.85},{"River","Rainwater","Borehole","Vendor"}),LOOKUP(RAND(),{0,0.25,0.5,0.75},{"River","Rainwater","Borehole","Vendor"}))),IF(B11="Oloitoktok B",IF(D11&lt;15000,LOOKUP(RAND(),{0,0.5,0.78,0.94},{"River","Rainwater","Borehole","Vendor"}),IF(D11&lt;30000,LOOKUP(RAND(),{0,0.4,0.68,0.87},{"River","Rainwater","Borehole","Vendor"}),LOOKUP(RAND(),{0,0.28,0.55,0.78},{"River","Rainwater","Borehole","Vendor"}))),IF(B11="Kiserian",IF(D11&lt;15000,LOOKUP(RAND(),{0,0.35,0.65,0.9},{"River","Rainwater","Borehole","Vendor"}),IF(D11&lt;30000,LOOKUP(RAND(),{0,0.25,0.55,0.82},{"River","Rainwater","Borehole","Vendor"}),LOOKUP(RAND(),{0,0.15,0.45,0.72},{"River","Rainwater","Borehole","Vendor"}))),IF(D11&lt;15000,LOOKUP(RAND(),{0,0.4,0.7,0.92},{"River","Rainwater","Borehole","Vendor"}),IF(D11&lt;30000,LOOKUP(RAND(),{0,0.3,0.6,0.85},{"River","Rainwater","Borehole","Vendor"}),LOOKUP(RAND(),{0,0.2,0.5,0.75},{"River","Rainwater","Borehole","Vendor"}))))))</f>
        <v>Rainwater</v>
      </c>
      <c r="F11">
        <f t="shared" ca="1" si="1"/>
        <v>64</v>
      </c>
      <c r="G11">
        <f t="shared" ca="1" si="2"/>
        <v>10.5</v>
      </c>
      <c r="H11">
        <f t="shared" ca="1" si="3"/>
        <v>11100</v>
      </c>
      <c r="I11">
        <f t="shared" ca="1" si="4"/>
        <v>0.44981480401167284</v>
      </c>
      <c r="J11">
        <v>0</v>
      </c>
    </row>
    <row r="12" spans="1:10" x14ac:dyDescent="0.3">
      <c r="A12" t="str">
        <f t="shared" si="5"/>
        <v>HH011</v>
      </c>
      <c r="B12" t="str">
        <f ca="1">LOOKUP(RAND(),{0,0.28,0.55,0.78},{"Oloitoktok A","Oloitoktok B","Kiserian","Namanga"})</f>
        <v>Oloitoktok A</v>
      </c>
      <c r="C12">
        <f ca="1">LOOKUP(RAND(),{0,0.02,0.09,0.2,0.35,0.52,0.68,0.81,0.91,0.97},{1,2,3,4,5,6,7,8,9,10})</f>
        <v>6</v>
      </c>
      <c r="D12">
        <f t="shared" ca="1" si="0"/>
        <v>56300</v>
      </c>
      <c r="E12" t="str">
        <f ca="1">IF(B12="Oloitoktok A",IF(D12&lt;15000,LOOKUP(RAND(),{0,0.45,0.75,0.92},{"River","Rainwater","Borehole","Vendor"}),IF(D12&lt;30000,LOOKUP(RAND(),{0,0.35,0.65,0.85},{"River","Rainwater","Borehole","Vendor"}),LOOKUP(RAND(),{0,0.25,0.5,0.75},{"River","Rainwater","Borehole","Vendor"}))),IF(B12="Oloitoktok B",IF(D12&lt;15000,LOOKUP(RAND(),{0,0.5,0.78,0.94},{"River","Rainwater","Borehole","Vendor"}),IF(D12&lt;30000,LOOKUP(RAND(),{0,0.4,0.68,0.87},{"River","Rainwater","Borehole","Vendor"}),LOOKUP(RAND(),{0,0.28,0.55,0.78},{"River","Rainwater","Borehole","Vendor"}))),IF(B12="Kiserian",IF(D12&lt;15000,LOOKUP(RAND(),{0,0.35,0.65,0.9},{"River","Rainwater","Borehole","Vendor"}),IF(D12&lt;30000,LOOKUP(RAND(),{0,0.25,0.55,0.82},{"River","Rainwater","Borehole","Vendor"}),LOOKUP(RAND(),{0,0.15,0.45,0.72},{"River","Rainwater","Borehole","Vendor"}))),IF(D12&lt;15000,LOOKUP(RAND(),{0,0.4,0.7,0.92},{"River","Rainwater","Borehole","Vendor"}),IF(D12&lt;30000,LOOKUP(RAND(),{0,0.3,0.6,0.85},{"River","Rainwater","Borehole","Vendor"}),LOOKUP(RAND(),{0,0.2,0.5,0.75},{"River","Rainwater","Borehole","Vendor"}))))))</f>
        <v>River</v>
      </c>
      <c r="F12">
        <f t="shared" ca="1" si="1"/>
        <v>97</v>
      </c>
      <c r="G12">
        <f t="shared" ca="1" si="2"/>
        <v>2.4</v>
      </c>
      <c r="H12">
        <f t="shared" ca="1" si="3"/>
        <v>4400</v>
      </c>
      <c r="I12">
        <f t="shared" ca="1" si="4"/>
        <v>8.2575599626299789E-2</v>
      </c>
      <c r="J12">
        <v>0</v>
      </c>
    </row>
    <row r="13" spans="1:10" x14ac:dyDescent="0.3">
      <c r="A13" t="str">
        <f t="shared" si="5"/>
        <v>HH012</v>
      </c>
      <c r="B13" t="str">
        <f ca="1">LOOKUP(RAND(),{0,0.28,0.55,0.78},{"Oloitoktok A","Oloitoktok B","Kiserian","Namanga"})</f>
        <v>Oloitoktok B</v>
      </c>
      <c r="C13">
        <f ca="1">LOOKUP(RAND(),{0,0.02,0.09,0.2,0.35,0.52,0.68,0.81,0.91,0.97},{1,2,3,4,5,6,7,8,9,10})</f>
        <v>6</v>
      </c>
      <c r="D13">
        <f t="shared" ca="1" si="0"/>
        <v>37200</v>
      </c>
      <c r="E13" t="str">
        <f ca="1">IF(B13="Oloitoktok A",IF(D13&lt;15000,LOOKUP(RAND(),{0,0.45,0.75,0.92},{"River","Rainwater","Borehole","Vendor"}),IF(D13&lt;30000,LOOKUP(RAND(),{0,0.35,0.65,0.85},{"River","Rainwater","Borehole","Vendor"}),LOOKUP(RAND(),{0,0.25,0.5,0.75},{"River","Rainwater","Borehole","Vendor"}))),IF(B13="Oloitoktok B",IF(D13&lt;15000,LOOKUP(RAND(),{0,0.5,0.78,0.94},{"River","Rainwater","Borehole","Vendor"}),IF(D13&lt;30000,LOOKUP(RAND(),{0,0.4,0.68,0.87},{"River","Rainwater","Borehole","Vendor"}),LOOKUP(RAND(),{0,0.28,0.55,0.78},{"River","Rainwater","Borehole","Vendor"}))),IF(B13="Kiserian",IF(D13&lt;15000,LOOKUP(RAND(),{0,0.35,0.65,0.9},{"River","Rainwater","Borehole","Vendor"}),IF(D13&lt;30000,LOOKUP(RAND(),{0,0.25,0.55,0.82},{"River","Rainwater","Borehole","Vendor"}),LOOKUP(RAND(),{0,0.15,0.45,0.72},{"River","Rainwater","Borehole","Vendor"}))),IF(D13&lt;15000,LOOKUP(RAND(),{0,0.4,0.7,0.92},{"River","Rainwater","Borehole","Vendor"}),IF(D13&lt;30000,LOOKUP(RAND(),{0,0.3,0.6,0.85},{"River","Rainwater","Borehole","Vendor"}),LOOKUP(RAND(),{0,0.2,0.5,0.75},{"River","Rainwater","Borehole","Vendor"}))))))</f>
        <v>Borehole</v>
      </c>
      <c r="F13">
        <f t="shared" ca="1" si="1"/>
        <v>41</v>
      </c>
      <c r="G13">
        <f t="shared" ca="1" si="2"/>
        <v>13</v>
      </c>
      <c r="H13">
        <f t="shared" ca="1" si="3"/>
        <v>11000</v>
      </c>
      <c r="I13">
        <f t="shared" ca="1" si="4"/>
        <v>0.88807305742045828</v>
      </c>
      <c r="J13">
        <v>0</v>
      </c>
    </row>
    <row r="14" spans="1:10" x14ac:dyDescent="0.3">
      <c r="A14" t="str">
        <f t="shared" si="5"/>
        <v>HH013</v>
      </c>
      <c r="B14" t="str">
        <f ca="1">LOOKUP(RAND(),{0,0.28,0.55,0.78},{"Oloitoktok A","Oloitoktok B","Kiserian","Namanga"})</f>
        <v>Kiserian</v>
      </c>
      <c r="C14">
        <f ca="1">LOOKUP(RAND(),{0,0.02,0.09,0.2,0.35,0.52,0.68,0.81,0.91,0.97},{1,2,3,4,5,6,7,8,9,10})</f>
        <v>4</v>
      </c>
      <c r="D14">
        <f t="shared" ca="1" si="0"/>
        <v>50200</v>
      </c>
      <c r="E14" t="str">
        <f ca="1">IF(B14="Oloitoktok A",IF(D14&lt;15000,LOOKUP(RAND(),{0,0.45,0.75,0.92},{"River","Rainwater","Borehole","Vendor"}),IF(D14&lt;30000,LOOKUP(RAND(),{0,0.35,0.65,0.85},{"River","Rainwater","Borehole","Vendor"}),LOOKUP(RAND(),{0,0.25,0.5,0.75},{"River","Rainwater","Borehole","Vendor"}))),IF(B14="Oloitoktok B",IF(D14&lt;15000,LOOKUP(RAND(),{0,0.5,0.78,0.94},{"River","Rainwater","Borehole","Vendor"}),IF(D14&lt;30000,LOOKUP(RAND(),{0,0.4,0.68,0.87},{"River","Rainwater","Borehole","Vendor"}),LOOKUP(RAND(),{0,0.28,0.55,0.78},{"River","Rainwater","Borehole","Vendor"}))),IF(B14="Kiserian",IF(D14&lt;15000,LOOKUP(RAND(),{0,0.35,0.65,0.9},{"River","Rainwater","Borehole","Vendor"}),IF(D14&lt;30000,LOOKUP(RAND(),{0,0.25,0.55,0.82},{"River","Rainwater","Borehole","Vendor"}),LOOKUP(RAND(),{0,0.15,0.45,0.72},{"River","Rainwater","Borehole","Vendor"}))),IF(D14&lt;15000,LOOKUP(RAND(),{0,0.4,0.7,0.92},{"River","Rainwater","Borehole","Vendor"}),IF(D14&lt;30000,LOOKUP(RAND(),{0,0.3,0.6,0.85},{"River","Rainwater","Borehole","Vendor"}),LOOKUP(RAND(),{0,0.2,0.5,0.75},{"River","Rainwater","Borehole","Vendor"}))))))</f>
        <v>Borehole</v>
      </c>
      <c r="F14">
        <f t="shared" ca="1" si="1"/>
        <v>53</v>
      </c>
      <c r="G14">
        <f t="shared" ca="1" si="2"/>
        <v>0.9</v>
      </c>
      <c r="H14">
        <f t="shared" ca="1" si="3"/>
        <v>11300</v>
      </c>
      <c r="I14">
        <f t="shared" ca="1" si="4"/>
        <v>0.79073487146236299</v>
      </c>
      <c r="J14">
        <v>0</v>
      </c>
    </row>
    <row r="15" spans="1:10" x14ac:dyDescent="0.3">
      <c r="A15" t="str">
        <f t="shared" si="5"/>
        <v>HH014</v>
      </c>
      <c r="B15" t="str">
        <f ca="1">LOOKUP(RAND(),{0,0.28,0.55,0.78},{"Oloitoktok A","Oloitoktok B","Kiserian","Namanga"})</f>
        <v>Oloitoktok B</v>
      </c>
      <c r="C15">
        <f ca="1">LOOKUP(RAND(),{0,0.02,0.09,0.2,0.35,0.52,0.68,0.81,0.91,0.97},{1,2,3,4,5,6,7,8,9,10})</f>
        <v>9</v>
      </c>
      <c r="D15">
        <f t="shared" ca="1" si="0"/>
        <v>37500</v>
      </c>
      <c r="E15" t="str">
        <f ca="1">IF(B15="Oloitoktok A",IF(D15&lt;15000,LOOKUP(RAND(),{0,0.45,0.75,0.92},{"River","Rainwater","Borehole","Vendor"}),IF(D15&lt;30000,LOOKUP(RAND(),{0,0.35,0.65,0.85},{"River","Rainwater","Borehole","Vendor"}),LOOKUP(RAND(),{0,0.25,0.5,0.75},{"River","Rainwater","Borehole","Vendor"}))),IF(B15="Oloitoktok B",IF(D15&lt;15000,LOOKUP(RAND(),{0,0.5,0.78,0.94},{"River","Rainwater","Borehole","Vendor"}),IF(D15&lt;30000,LOOKUP(RAND(),{0,0.4,0.68,0.87},{"River","Rainwater","Borehole","Vendor"}),LOOKUP(RAND(),{0,0.28,0.55,0.78},{"River","Rainwater","Borehole","Vendor"}))),IF(B15="Kiserian",IF(D15&lt;15000,LOOKUP(RAND(),{0,0.35,0.65,0.9},{"River","Rainwater","Borehole","Vendor"}),IF(D15&lt;30000,LOOKUP(RAND(),{0,0.25,0.55,0.82},{"River","Rainwater","Borehole","Vendor"}),LOOKUP(RAND(),{0,0.15,0.45,0.72},{"River","Rainwater","Borehole","Vendor"}))),IF(D15&lt;15000,LOOKUP(RAND(),{0,0.4,0.7,0.92},{"River","Rainwater","Borehole","Vendor"}),IF(D15&lt;30000,LOOKUP(RAND(),{0,0.3,0.6,0.85},{"River","Rainwater","Borehole","Vendor"}),LOOKUP(RAND(),{0,0.2,0.5,0.75},{"River","Rainwater","Borehole","Vendor"}))))))</f>
        <v>Vendor</v>
      </c>
      <c r="F15">
        <f t="shared" ca="1" si="1"/>
        <v>36</v>
      </c>
      <c r="G15">
        <f t="shared" ca="1" si="2"/>
        <v>9</v>
      </c>
      <c r="H15">
        <f t="shared" ca="1" si="3"/>
        <v>3600</v>
      </c>
      <c r="I15">
        <f t="shared" ca="1" si="4"/>
        <v>0.92601578182361666</v>
      </c>
      <c r="J15">
        <v>0</v>
      </c>
    </row>
    <row r="16" spans="1:10" x14ac:dyDescent="0.3">
      <c r="A16" t="str">
        <f t="shared" si="5"/>
        <v>HH015</v>
      </c>
      <c r="B16" t="str">
        <f ca="1">LOOKUP(RAND(),{0,0.28,0.55,0.78},{"Oloitoktok A","Oloitoktok B","Kiserian","Namanga"})</f>
        <v>Oloitoktok A</v>
      </c>
      <c r="C16">
        <f ca="1">LOOKUP(RAND(),{0,0.02,0.09,0.2,0.35,0.52,0.68,0.81,0.91,0.97},{1,2,3,4,5,6,7,8,9,10})</f>
        <v>6</v>
      </c>
      <c r="D16">
        <f t="shared" ca="1" si="0"/>
        <v>26900</v>
      </c>
      <c r="E16" t="str">
        <f ca="1">IF(B16="Oloitoktok A",IF(D16&lt;15000,LOOKUP(RAND(),{0,0.45,0.75,0.92},{"River","Rainwater","Borehole","Vendor"}),IF(D16&lt;30000,LOOKUP(RAND(),{0,0.35,0.65,0.85},{"River","Rainwater","Borehole","Vendor"}),LOOKUP(RAND(),{0,0.25,0.5,0.75},{"River","Rainwater","Borehole","Vendor"}))),IF(B16="Oloitoktok B",IF(D16&lt;15000,LOOKUP(RAND(),{0,0.5,0.78,0.94},{"River","Rainwater","Borehole","Vendor"}),IF(D16&lt;30000,LOOKUP(RAND(),{0,0.4,0.68,0.87},{"River","Rainwater","Borehole","Vendor"}),LOOKUP(RAND(),{0,0.28,0.55,0.78},{"River","Rainwater","Borehole","Vendor"}))),IF(B16="Kiserian",IF(D16&lt;15000,LOOKUP(RAND(),{0,0.35,0.65,0.9},{"River","Rainwater","Borehole","Vendor"}),IF(D16&lt;30000,LOOKUP(RAND(),{0,0.25,0.55,0.82},{"River","Rainwater","Borehole","Vendor"}),LOOKUP(RAND(),{0,0.15,0.45,0.72},{"River","Rainwater","Borehole","Vendor"}))),IF(D16&lt;15000,LOOKUP(RAND(),{0,0.4,0.7,0.92},{"River","Rainwater","Borehole","Vendor"}),IF(D16&lt;30000,LOOKUP(RAND(),{0,0.3,0.6,0.85},{"River","Rainwater","Borehole","Vendor"}),LOOKUP(RAND(),{0,0.2,0.5,0.75},{"River","Rainwater","Borehole","Vendor"}))))))</f>
        <v>Borehole</v>
      </c>
      <c r="F16">
        <f t="shared" ca="1" si="1"/>
        <v>53</v>
      </c>
      <c r="G16">
        <f t="shared" ca="1" si="2"/>
        <v>2.9</v>
      </c>
      <c r="H16">
        <f t="shared" ca="1" si="3"/>
        <v>7000</v>
      </c>
      <c r="I16">
        <f t="shared" ca="1" si="4"/>
        <v>0.26713616794011286</v>
      </c>
      <c r="J16">
        <v>0</v>
      </c>
    </row>
    <row r="17" spans="1:10" x14ac:dyDescent="0.3">
      <c r="A17" t="str">
        <f t="shared" si="5"/>
        <v>HH016</v>
      </c>
      <c r="B17" t="str">
        <f ca="1">LOOKUP(RAND(),{0,0.28,0.55,0.78},{"Oloitoktok A","Oloitoktok B","Kiserian","Namanga"})</f>
        <v>Oloitoktok A</v>
      </c>
      <c r="C17">
        <f ca="1">LOOKUP(RAND(),{0,0.02,0.09,0.2,0.35,0.52,0.68,0.81,0.91,0.97},{1,2,3,4,5,6,7,8,9,10})</f>
        <v>2</v>
      </c>
      <c r="D17">
        <f t="shared" ca="1" si="0"/>
        <v>40500</v>
      </c>
      <c r="E17" t="str">
        <f ca="1">IF(B17="Oloitoktok A",IF(D17&lt;15000,LOOKUP(RAND(),{0,0.45,0.75,0.92},{"River","Rainwater","Borehole","Vendor"}),IF(D17&lt;30000,LOOKUP(RAND(),{0,0.35,0.65,0.85},{"River","Rainwater","Borehole","Vendor"}),LOOKUP(RAND(),{0,0.25,0.5,0.75},{"River","Rainwater","Borehole","Vendor"}))),IF(B17="Oloitoktok B",IF(D17&lt;15000,LOOKUP(RAND(),{0,0.5,0.78,0.94},{"River","Rainwater","Borehole","Vendor"}),IF(D17&lt;30000,LOOKUP(RAND(),{0,0.4,0.68,0.87},{"River","Rainwater","Borehole","Vendor"}),LOOKUP(RAND(),{0,0.28,0.55,0.78},{"River","Rainwater","Borehole","Vendor"}))),IF(B17="Kiserian",IF(D17&lt;15000,LOOKUP(RAND(),{0,0.35,0.65,0.9},{"River","Rainwater","Borehole","Vendor"}),IF(D17&lt;30000,LOOKUP(RAND(),{0,0.25,0.55,0.82},{"River","Rainwater","Borehole","Vendor"}),LOOKUP(RAND(),{0,0.15,0.45,0.72},{"River","Rainwater","Borehole","Vendor"}))),IF(D17&lt;15000,LOOKUP(RAND(),{0,0.4,0.7,0.92},{"River","Rainwater","Borehole","Vendor"}),IF(D17&lt;30000,LOOKUP(RAND(),{0,0.3,0.6,0.85},{"River","Rainwater","Borehole","Vendor"}),LOOKUP(RAND(),{0,0.2,0.5,0.75},{"River","Rainwater","Borehole","Vendor"}))))))</f>
        <v>Rainwater</v>
      </c>
      <c r="F17">
        <f t="shared" ca="1" si="1"/>
        <v>50</v>
      </c>
      <c r="G17">
        <f t="shared" ca="1" si="2"/>
        <v>10.1</v>
      </c>
      <c r="H17">
        <f t="shared" ca="1" si="3"/>
        <v>7400</v>
      </c>
      <c r="I17">
        <f t="shared" ca="1" si="4"/>
        <v>0.67893345081352363</v>
      </c>
      <c r="J17">
        <v>0</v>
      </c>
    </row>
    <row r="18" spans="1:10" x14ac:dyDescent="0.3">
      <c r="A18" t="str">
        <f t="shared" si="5"/>
        <v>HH017</v>
      </c>
      <c r="B18" t="str">
        <f ca="1">LOOKUP(RAND(),{0,0.28,0.55,0.78},{"Oloitoktok A","Oloitoktok B","Kiserian","Namanga"})</f>
        <v>Kiserian</v>
      </c>
      <c r="C18">
        <f ca="1">LOOKUP(RAND(),{0,0.02,0.09,0.2,0.35,0.52,0.68,0.81,0.91,0.97},{1,2,3,4,5,6,7,8,9,10})</f>
        <v>3</v>
      </c>
      <c r="D18">
        <f t="shared" ca="1" si="0"/>
        <v>16100</v>
      </c>
      <c r="E18" t="str">
        <f ca="1">IF(B18="Oloitoktok A",IF(D18&lt;15000,LOOKUP(RAND(),{0,0.45,0.75,0.92},{"River","Rainwater","Borehole","Vendor"}),IF(D18&lt;30000,LOOKUP(RAND(),{0,0.35,0.65,0.85},{"River","Rainwater","Borehole","Vendor"}),LOOKUP(RAND(),{0,0.25,0.5,0.75},{"River","Rainwater","Borehole","Vendor"}))),IF(B18="Oloitoktok B",IF(D18&lt;15000,LOOKUP(RAND(),{0,0.5,0.78,0.94},{"River","Rainwater","Borehole","Vendor"}),IF(D18&lt;30000,LOOKUP(RAND(),{0,0.4,0.68,0.87},{"River","Rainwater","Borehole","Vendor"}),LOOKUP(RAND(),{0,0.28,0.55,0.78},{"River","Rainwater","Borehole","Vendor"}))),IF(B18="Kiserian",IF(D18&lt;15000,LOOKUP(RAND(),{0,0.35,0.65,0.9},{"River","Rainwater","Borehole","Vendor"}),IF(D18&lt;30000,LOOKUP(RAND(),{0,0.25,0.55,0.82},{"River","Rainwater","Borehole","Vendor"}),LOOKUP(RAND(),{0,0.15,0.45,0.72},{"River","Rainwater","Borehole","Vendor"}))),IF(D18&lt;15000,LOOKUP(RAND(),{0,0.4,0.7,0.92},{"River","Rainwater","Borehole","Vendor"}),IF(D18&lt;30000,LOOKUP(RAND(),{0,0.3,0.6,0.85},{"River","Rainwater","Borehole","Vendor"}),LOOKUP(RAND(),{0,0.2,0.5,0.75},{"River","Rainwater","Borehole","Vendor"}))))))</f>
        <v>Borehole</v>
      </c>
      <c r="F18">
        <f t="shared" ca="1" si="1"/>
        <v>70</v>
      </c>
      <c r="G18">
        <f t="shared" ca="1" si="2"/>
        <v>8.4</v>
      </c>
      <c r="H18">
        <f t="shared" ca="1" si="3"/>
        <v>900</v>
      </c>
      <c r="I18">
        <f t="shared" ca="1" si="4"/>
        <v>8.4261824825163867E-2</v>
      </c>
      <c r="J18">
        <v>0</v>
      </c>
    </row>
    <row r="19" spans="1:10" x14ac:dyDescent="0.3">
      <c r="A19" t="str">
        <f t="shared" si="5"/>
        <v>HH018</v>
      </c>
      <c r="B19" t="str">
        <f ca="1">LOOKUP(RAND(),{0,0.28,0.55,0.78},{"Oloitoktok A","Oloitoktok B","Kiserian","Namanga"})</f>
        <v>Kiserian</v>
      </c>
      <c r="C19">
        <f ca="1">LOOKUP(RAND(),{0,0.02,0.09,0.2,0.35,0.52,0.68,0.81,0.91,0.97},{1,2,3,4,5,6,7,8,9,10})</f>
        <v>2</v>
      </c>
      <c r="D19">
        <f t="shared" ca="1" si="0"/>
        <v>37500</v>
      </c>
      <c r="E19" t="str">
        <f ca="1">IF(B19="Oloitoktok A",IF(D19&lt;15000,LOOKUP(RAND(),{0,0.45,0.75,0.92},{"River","Rainwater","Borehole","Vendor"}),IF(D19&lt;30000,LOOKUP(RAND(),{0,0.35,0.65,0.85},{"River","Rainwater","Borehole","Vendor"}),LOOKUP(RAND(),{0,0.25,0.5,0.75},{"River","Rainwater","Borehole","Vendor"}))),IF(B19="Oloitoktok B",IF(D19&lt;15000,LOOKUP(RAND(),{0,0.5,0.78,0.94},{"River","Rainwater","Borehole","Vendor"}),IF(D19&lt;30000,LOOKUP(RAND(),{0,0.4,0.68,0.87},{"River","Rainwater","Borehole","Vendor"}),LOOKUP(RAND(),{0,0.28,0.55,0.78},{"River","Rainwater","Borehole","Vendor"}))),IF(B19="Kiserian",IF(D19&lt;15000,LOOKUP(RAND(),{0,0.35,0.65,0.9},{"River","Rainwater","Borehole","Vendor"}),IF(D19&lt;30000,LOOKUP(RAND(),{0,0.25,0.55,0.82},{"River","Rainwater","Borehole","Vendor"}),LOOKUP(RAND(),{0,0.15,0.45,0.72},{"River","Rainwater","Borehole","Vendor"}))),IF(D19&lt;15000,LOOKUP(RAND(),{0,0.4,0.7,0.92},{"River","Rainwater","Borehole","Vendor"}),IF(D19&lt;30000,LOOKUP(RAND(),{0,0.3,0.6,0.85},{"River","Rainwater","Borehole","Vendor"}),LOOKUP(RAND(),{0,0.2,0.5,0.75},{"River","Rainwater","Borehole","Vendor"}))))))</f>
        <v>Borehole</v>
      </c>
      <c r="F19">
        <f t="shared" ca="1" si="1"/>
        <v>71</v>
      </c>
      <c r="G19">
        <f t="shared" ca="1" si="2"/>
        <v>4</v>
      </c>
      <c r="H19">
        <f t="shared" ca="1" si="3"/>
        <v>0</v>
      </c>
      <c r="I19">
        <f t="shared" ca="1" si="4"/>
        <v>0.31574433984058026</v>
      </c>
      <c r="J19">
        <v>0</v>
      </c>
    </row>
    <row r="20" spans="1:10" x14ac:dyDescent="0.3">
      <c r="A20" t="str">
        <f t="shared" si="5"/>
        <v>HH019</v>
      </c>
      <c r="B20" t="str">
        <f ca="1">LOOKUP(RAND(),{0,0.28,0.55,0.78},{"Oloitoktok A","Oloitoktok B","Kiserian","Namanga"})</f>
        <v>Oloitoktok B</v>
      </c>
      <c r="C20">
        <f ca="1">LOOKUP(RAND(),{0,0.02,0.09,0.2,0.35,0.52,0.68,0.81,0.91,0.97},{1,2,3,4,5,6,7,8,9,10})</f>
        <v>6</v>
      </c>
      <c r="D20">
        <f t="shared" ca="1" si="0"/>
        <v>41000</v>
      </c>
      <c r="E20" t="str">
        <f ca="1">IF(B20="Oloitoktok A",IF(D20&lt;15000,LOOKUP(RAND(),{0,0.45,0.75,0.92},{"River","Rainwater","Borehole","Vendor"}),IF(D20&lt;30000,LOOKUP(RAND(),{0,0.35,0.65,0.85},{"River","Rainwater","Borehole","Vendor"}),LOOKUP(RAND(),{0,0.25,0.5,0.75},{"River","Rainwater","Borehole","Vendor"}))),IF(B20="Oloitoktok B",IF(D20&lt;15000,LOOKUP(RAND(),{0,0.5,0.78,0.94},{"River","Rainwater","Borehole","Vendor"}),IF(D20&lt;30000,LOOKUP(RAND(),{0,0.4,0.68,0.87},{"River","Rainwater","Borehole","Vendor"}),LOOKUP(RAND(),{0,0.28,0.55,0.78},{"River","Rainwater","Borehole","Vendor"}))),IF(B20="Kiserian",IF(D20&lt;15000,LOOKUP(RAND(),{0,0.35,0.65,0.9},{"River","Rainwater","Borehole","Vendor"}),IF(D20&lt;30000,LOOKUP(RAND(),{0,0.25,0.55,0.82},{"River","Rainwater","Borehole","Vendor"}),LOOKUP(RAND(),{0,0.15,0.45,0.72},{"River","Rainwater","Borehole","Vendor"}))),IF(D20&lt;15000,LOOKUP(RAND(),{0,0.4,0.7,0.92},{"River","Rainwater","Borehole","Vendor"}),IF(D20&lt;30000,LOOKUP(RAND(),{0,0.3,0.6,0.85},{"River","Rainwater","Borehole","Vendor"}),LOOKUP(RAND(),{0,0.2,0.5,0.75},{"River","Rainwater","Borehole","Vendor"}))))))</f>
        <v>River</v>
      </c>
      <c r="F20">
        <f t="shared" ca="1" si="1"/>
        <v>108</v>
      </c>
      <c r="G20">
        <f t="shared" ca="1" si="2"/>
        <v>7.3</v>
      </c>
      <c r="H20">
        <f t="shared" ca="1" si="3"/>
        <v>4200</v>
      </c>
      <c r="I20">
        <f t="shared" ca="1" si="4"/>
        <v>0.1520729889859862</v>
      </c>
      <c r="J20">
        <v>0</v>
      </c>
    </row>
    <row r="21" spans="1:10" x14ac:dyDescent="0.3">
      <c r="A21" t="str">
        <f t="shared" si="5"/>
        <v>HH020</v>
      </c>
      <c r="B21" t="str">
        <f ca="1">LOOKUP(RAND(),{0,0.28,0.55,0.78},{"Oloitoktok A","Oloitoktok B","Kiserian","Namanga"})</f>
        <v>Oloitoktok A</v>
      </c>
      <c r="C21">
        <f ca="1">LOOKUP(RAND(),{0,0.02,0.09,0.2,0.35,0.52,0.68,0.81,0.91,0.97},{1,2,3,4,5,6,7,8,9,10})</f>
        <v>5</v>
      </c>
      <c r="D21">
        <f t="shared" ca="1" si="0"/>
        <v>58500</v>
      </c>
      <c r="E21" t="str">
        <f ca="1">IF(B21="Oloitoktok A",IF(D21&lt;15000,LOOKUP(RAND(),{0,0.45,0.75,0.92},{"River","Rainwater","Borehole","Vendor"}),IF(D21&lt;30000,LOOKUP(RAND(),{0,0.35,0.65,0.85},{"River","Rainwater","Borehole","Vendor"}),LOOKUP(RAND(),{0,0.25,0.5,0.75},{"River","Rainwater","Borehole","Vendor"}))),IF(B21="Oloitoktok B",IF(D21&lt;15000,LOOKUP(RAND(),{0,0.5,0.78,0.94},{"River","Rainwater","Borehole","Vendor"}),IF(D21&lt;30000,LOOKUP(RAND(),{0,0.4,0.68,0.87},{"River","Rainwater","Borehole","Vendor"}),LOOKUP(RAND(),{0,0.28,0.55,0.78},{"River","Rainwater","Borehole","Vendor"}))),IF(B21="Kiserian",IF(D21&lt;15000,LOOKUP(RAND(),{0,0.35,0.65,0.9},{"River","Rainwater","Borehole","Vendor"}),IF(D21&lt;30000,LOOKUP(RAND(),{0,0.25,0.55,0.82},{"River","Rainwater","Borehole","Vendor"}),LOOKUP(RAND(),{0,0.15,0.45,0.72},{"River","Rainwater","Borehole","Vendor"}))),IF(D21&lt;15000,LOOKUP(RAND(),{0,0.4,0.7,0.92},{"River","Rainwater","Borehole","Vendor"}),IF(D21&lt;30000,LOOKUP(RAND(),{0,0.3,0.6,0.85},{"River","Rainwater","Borehole","Vendor"}),LOOKUP(RAND(),{0,0.2,0.5,0.75},{"River","Rainwater","Borehole","Vendor"}))))))</f>
        <v>Borehole</v>
      </c>
      <c r="F21">
        <f t="shared" ca="1" si="1"/>
        <v>46</v>
      </c>
      <c r="G21">
        <f t="shared" ca="1" si="2"/>
        <v>4.3</v>
      </c>
      <c r="H21">
        <f t="shared" ca="1" si="3"/>
        <v>400</v>
      </c>
      <c r="I21">
        <f t="shared" ca="1" si="4"/>
        <v>0.49092747274366033</v>
      </c>
      <c r="J21">
        <v>0</v>
      </c>
    </row>
    <row r="22" spans="1:10" x14ac:dyDescent="0.3">
      <c r="A22" t="str">
        <f t="shared" si="5"/>
        <v>HH021</v>
      </c>
      <c r="B22" t="str">
        <f ca="1">LOOKUP(RAND(),{0,0.28,0.55,0.78},{"Oloitoktok A","Oloitoktok B","Kiserian","Namanga"})</f>
        <v>Namanga</v>
      </c>
      <c r="C22">
        <f ca="1">LOOKUP(RAND(),{0,0.02,0.09,0.2,0.35,0.52,0.68,0.81,0.91,0.97},{1,2,3,4,5,6,7,8,9,10})</f>
        <v>5</v>
      </c>
      <c r="D22">
        <f t="shared" ca="1" si="0"/>
        <v>124200</v>
      </c>
      <c r="E22" t="str">
        <f ca="1">IF(B22="Oloitoktok A",IF(D22&lt;15000,LOOKUP(RAND(),{0,0.45,0.75,0.92},{"River","Rainwater","Borehole","Vendor"}),IF(D22&lt;30000,LOOKUP(RAND(),{0,0.35,0.65,0.85},{"River","Rainwater","Borehole","Vendor"}),LOOKUP(RAND(),{0,0.25,0.5,0.75},{"River","Rainwater","Borehole","Vendor"}))),IF(B22="Oloitoktok B",IF(D22&lt;15000,LOOKUP(RAND(),{0,0.5,0.78,0.94},{"River","Rainwater","Borehole","Vendor"}),IF(D22&lt;30000,LOOKUP(RAND(),{0,0.4,0.68,0.87},{"River","Rainwater","Borehole","Vendor"}),LOOKUP(RAND(),{0,0.28,0.55,0.78},{"River","Rainwater","Borehole","Vendor"}))),IF(B22="Kiserian",IF(D22&lt;15000,LOOKUP(RAND(),{0,0.35,0.65,0.9},{"River","Rainwater","Borehole","Vendor"}),IF(D22&lt;30000,LOOKUP(RAND(),{0,0.25,0.55,0.82},{"River","Rainwater","Borehole","Vendor"}),LOOKUP(RAND(),{0,0.15,0.45,0.72},{"River","Rainwater","Borehole","Vendor"}))),IF(D22&lt;15000,LOOKUP(RAND(),{0,0.4,0.7,0.92},{"River","Rainwater","Borehole","Vendor"}),IF(D22&lt;30000,LOOKUP(RAND(),{0,0.3,0.6,0.85},{"River","Rainwater","Borehole","Vendor"}),LOOKUP(RAND(),{0,0.2,0.5,0.75},{"River","Rainwater","Borehole","Vendor"}))))))</f>
        <v>Vendor</v>
      </c>
      <c r="F22">
        <f t="shared" ca="1" si="1"/>
        <v>43</v>
      </c>
      <c r="G22">
        <f t="shared" ca="1" si="2"/>
        <v>5.8</v>
      </c>
      <c r="H22">
        <f t="shared" ca="1" si="3"/>
        <v>4000</v>
      </c>
      <c r="I22">
        <f t="shared" ca="1" si="4"/>
        <v>0.53052127870587273</v>
      </c>
      <c r="J22">
        <v>0</v>
      </c>
    </row>
    <row r="23" spans="1:10" x14ac:dyDescent="0.3">
      <c r="A23" t="str">
        <f t="shared" si="5"/>
        <v>HH022</v>
      </c>
      <c r="B23" t="str">
        <f ca="1">LOOKUP(RAND(),{0,0.28,0.55,0.78},{"Oloitoktok A","Oloitoktok B","Kiserian","Namanga"})</f>
        <v>Kiserian</v>
      </c>
      <c r="C23">
        <f ca="1">LOOKUP(RAND(),{0,0.02,0.09,0.2,0.35,0.52,0.68,0.81,0.91,0.97},{1,2,3,4,5,6,7,8,9,10})</f>
        <v>10</v>
      </c>
      <c r="D23">
        <f t="shared" ca="1" si="0"/>
        <v>17300</v>
      </c>
      <c r="E23" t="str">
        <f ca="1">IF(B23="Oloitoktok A",IF(D23&lt;15000,LOOKUP(RAND(),{0,0.45,0.75,0.92},{"River","Rainwater","Borehole","Vendor"}),IF(D23&lt;30000,LOOKUP(RAND(),{0,0.35,0.65,0.85},{"River","Rainwater","Borehole","Vendor"}),LOOKUP(RAND(),{0,0.25,0.5,0.75},{"River","Rainwater","Borehole","Vendor"}))),IF(B23="Oloitoktok B",IF(D23&lt;15000,LOOKUP(RAND(),{0,0.5,0.78,0.94},{"River","Rainwater","Borehole","Vendor"}),IF(D23&lt;30000,LOOKUP(RAND(),{0,0.4,0.68,0.87},{"River","Rainwater","Borehole","Vendor"}),LOOKUP(RAND(),{0,0.28,0.55,0.78},{"River","Rainwater","Borehole","Vendor"}))),IF(B23="Kiserian",IF(D23&lt;15000,LOOKUP(RAND(),{0,0.35,0.65,0.9},{"River","Rainwater","Borehole","Vendor"}),IF(D23&lt;30000,LOOKUP(RAND(),{0,0.25,0.55,0.82},{"River","Rainwater","Borehole","Vendor"}),LOOKUP(RAND(),{0,0.15,0.45,0.72},{"River","Rainwater","Borehole","Vendor"}))),IF(D23&lt;15000,LOOKUP(RAND(),{0,0.4,0.7,0.92},{"River","Rainwater","Borehole","Vendor"}),IF(D23&lt;30000,LOOKUP(RAND(),{0,0.3,0.6,0.85},{"River","Rainwater","Borehole","Vendor"}),LOOKUP(RAND(),{0,0.2,0.5,0.75},{"River","Rainwater","Borehole","Vendor"}))))))</f>
        <v>Vendor</v>
      </c>
      <c r="F23">
        <f t="shared" ca="1" si="1"/>
        <v>43</v>
      </c>
      <c r="G23">
        <f t="shared" ca="1" si="2"/>
        <v>7.6</v>
      </c>
      <c r="H23">
        <f t="shared" ca="1" si="3"/>
        <v>0</v>
      </c>
      <c r="I23">
        <f t="shared" ca="1" si="4"/>
        <v>0.10464322596683961</v>
      </c>
      <c r="J23">
        <v>0</v>
      </c>
    </row>
    <row r="24" spans="1:10" x14ac:dyDescent="0.3">
      <c r="A24" t="str">
        <f t="shared" si="5"/>
        <v>HH023</v>
      </c>
      <c r="B24" t="str">
        <f ca="1">LOOKUP(RAND(),{0,0.28,0.55,0.78},{"Oloitoktok A","Oloitoktok B","Kiserian","Namanga"})</f>
        <v>Oloitoktok B</v>
      </c>
      <c r="C24">
        <f ca="1">LOOKUP(RAND(),{0,0.02,0.09,0.2,0.35,0.52,0.68,0.81,0.91,0.97},{1,2,3,4,5,6,7,8,9,10})</f>
        <v>4</v>
      </c>
      <c r="D24">
        <f t="shared" ca="1" si="0"/>
        <v>31400</v>
      </c>
      <c r="E24" t="str">
        <f ca="1">IF(B24="Oloitoktok A",IF(D24&lt;15000,LOOKUP(RAND(),{0,0.45,0.75,0.92},{"River","Rainwater","Borehole","Vendor"}),IF(D24&lt;30000,LOOKUP(RAND(),{0,0.35,0.65,0.85},{"River","Rainwater","Borehole","Vendor"}),LOOKUP(RAND(),{0,0.25,0.5,0.75},{"River","Rainwater","Borehole","Vendor"}))),IF(B24="Oloitoktok B",IF(D24&lt;15000,LOOKUP(RAND(),{0,0.5,0.78,0.94},{"River","Rainwater","Borehole","Vendor"}),IF(D24&lt;30000,LOOKUP(RAND(),{0,0.4,0.68,0.87},{"River","Rainwater","Borehole","Vendor"}),LOOKUP(RAND(),{0,0.28,0.55,0.78},{"River","Rainwater","Borehole","Vendor"}))),IF(B24="Kiserian",IF(D24&lt;15000,LOOKUP(RAND(),{0,0.35,0.65,0.9},{"River","Rainwater","Borehole","Vendor"}),IF(D24&lt;30000,LOOKUP(RAND(),{0,0.25,0.55,0.82},{"River","Rainwater","Borehole","Vendor"}),LOOKUP(RAND(),{0,0.15,0.45,0.72},{"River","Rainwater","Borehole","Vendor"}))),IF(D24&lt;15000,LOOKUP(RAND(),{0,0.4,0.7,0.92},{"River","Rainwater","Borehole","Vendor"}),IF(D24&lt;30000,LOOKUP(RAND(),{0,0.3,0.6,0.85},{"River","Rainwater","Borehole","Vendor"}),LOOKUP(RAND(),{0,0.2,0.5,0.75},{"River","Rainwater","Borehole","Vendor"}))))))</f>
        <v>Rainwater</v>
      </c>
      <c r="F24">
        <f t="shared" ca="1" si="1"/>
        <v>30</v>
      </c>
      <c r="G24">
        <f t="shared" ca="1" si="2"/>
        <v>5.4</v>
      </c>
      <c r="H24">
        <f t="shared" ca="1" si="3"/>
        <v>1700</v>
      </c>
      <c r="I24">
        <f t="shared" ca="1" si="4"/>
        <v>0.56875891653328137</v>
      </c>
      <c r="J24">
        <v>0</v>
      </c>
    </row>
    <row r="25" spans="1:10" x14ac:dyDescent="0.3">
      <c r="A25" t="str">
        <f t="shared" si="5"/>
        <v>HH024</v>
      </c>
      <c r="B25" t="str">
        <f ca="1">LOOKUP(RAND(),{0,0.28,0.55,0.78},{"Oloitoktok A","Oloitoktok B","Kiserian","Namanga"})</f>
        <v>Kiserian</v>
      </c>
      <c r="C25">
        <f ca="1">LOOKUP(RAND(),{0,0.02,0.09,0.2,0.35,0.52,0.68,0.81,0.91,0.97},{1,2,3,4,5,6,7,8,9,10})</f>
        <v>6</v>
      </c>
      <c r="D25">
        <f t="shared" ca="1" si="0"/>
        <v>25000</v>
      </c>
      <c r="E25" t="str">
        <f ca="1">IF(B25="Oloitoktok A",IF(D25&lt;15000,LOOKUP(RAND(),{0,0.45,0.75,0.92},{"River","Rainwater","Borehole","Vendor"}),IF(D25&lt;30000,LOOKUP(RAND(),{0,0.35,0.65,0.85},{"River","Rainwater","Borehole","Vendor"}),LOOKUP(RAND(),{0,0.25,0.5,0.75},{"River","Rainwater","Borehole","Vendor"}))),IF(B25="Oloitoktok B",IF(D25&lt;15000,LOOKUP(RAND(),{0,0.5,0.78,0.94},{"River","Rainwater","Borehole","Vendor"}),IF(D25&lt;30000,LOOKUP(RAND(),{0,0.4,0.68,0.87},{"River","Rainwater","Borehole","Vendor"}),LOOKUP(RAND(),{0,0.28,0.55,0.78},{"River","Rainwater","Borehole","Vendor"}))),IF(B25="Kiserian",IF(D25&lt;15000,LOOKUP(RAND(),{0,0.35,0.65,0.9},{"River","Rainwater","Borehole","Vendor"}),IF(D25&lt;30000,LOOKUP(RAND(),{0,0.25,0.55,0.82},{"River","Rainwater","Borehole","Vendor"}),LOOKUP(RAND(),{0,0.15,0.45,0.72},{"River","Rainwater","Borehole","Vendor"}))),IF(D25&lt;15000,LOOKUP(RAND(),{0,0.4,0.7,0.92},{"River","Rainwater","Borehole","Vendor"}),IF(D25&lt;30000,LOOKUP(RAND(),{0,0.3,0.6,0.85},{"River","Rainwater","Borehole","Vendor"}),LOOKUP(RAND(),{0,0.2,0.5,0.75},{"River","Rainwater","Borehole","Vendor"}))))))</f>
        <v>River</v>
      </c>
      <c r="F25">
        <f t="shared" ca="1" si="1"/>
        <v>105</v>
      </c>
      <c r="G25">
        <f t="shared" ca="1" si="2"/>
        <v>1.5</v>
      </c>
      <c r="H25">
        <f t="shared" ca="1" si="3"/>
        <v>6400</v>
      </c>
      <c r="I25">
        <f t="shared" ca="1" si="4"/>
        <v>0.2657973106663909</v>
      </c>
      <c r="J25">
        <v>0</v>
      </c>
    </row>
    <row r="26" spans="1:10" x14ac:dyDescent="0.3">
      <c r="A26" t="str">
        <f t="shared" si="5"/>
        <v>HH025</v>
      </c>
      <c r="B26" t="str">
        <f ca="1">LOOKUP(RAND(),{0,0.28,0.55,0.78},{"Oloitoktok A","Oloitoktok B","Kiserian","Namanga"})</f>
        <v>Oloitoktok A</v>
      </c>
      <c r="C26">
        <f ca="1">LOOKUP(RAND(),{0,0.02,0.09,0.2,0.35,0.52,0.68,0.81,0.91,0.97},{1,2,3,4,5,6,7,8,9,10})</f>
        <v>5</v>
      </c>
      <c r="D26">
        <f t="shared" ca="1" si="0"/>
        <v>43100</v>
      </c>
      <c r="E26" t="str">
        <f ca="1">IF(B26="Oloitoktok A",IF(D26&lt;15000,LOOKUP(RAND(),{0,0.45,0.75,0.92},{"River","Rainwater","Borehole","Vendor"}),IF(D26&lt;30000,LOOKUP(RAND(),{0,0.35,0.65,0.85},{"River","Rainwater","Borehole","Vendor"}),LOOKUP(RAND(),{0,0.25,0.5,0.75},{"River","Rainwater","Borehole","Vendor"}))),IF(B26="Oloitoktok B",IF(D26&lt;15000,LOOKUP(RAND(),{0,0.5,0.78,0.94},{"River","Rainwater","Borehole","Vendor"}),IF(D26&lt;30000,LOOKUP(RAND(),{0,0.4,0.68,0.87},{"River","Rainwater","Borehole","Vendor"}),LOOKUP(RAND(),{0,0.28,0.55,0.78},{"River","Rainwater","Borehole","Vendor"}))),IF(B26="Kiserian",IF(D26&lt;15000,LOOKUP(RAND(),{0,0.35,0.65,0.9},{"River","Rainwater","Borehole","Vendor"}),IF(D26&lt;30000,LOOKUP(RAND(),{0,0.25,0.55,0.82},{"River","Rainwater","Borehole","Vendor"}),LOOKUP(RAND(),{0,0.15,0.45,0.72},{"River","Rainwater","Borehole","Vendor"}))),IF(D26&lt;15000,LOOKUP(RAND(),{0,0.4,0.7,0.92},{"River","Rainwater","Borehole","Vendor"}),IF(D26&lt;30000,LOOKUP(RAND(),{0,0.3,0.6,0.85},{"River","Rainwater","Borehole","Vendor"}),LOOKUP(RAND(),{0,0.2,0.5,0.75},{"River","Rainwater","Borehole","Vendor"}))))))</f>
        <v>Borehole</v>
      </c>
      <c r="F26">
        <f t="shared" ca="1" si="1"/>
        <v>61</v>
      </c>
      <c r="G26">
        <f t="shared" ca="1" si="2"/>
        <v>8.1</v>
      </c>
      <c r="H26">
        <f t="shared" ca="1" si="3"/>
        <v>3000</v>
      </c>
      <c r="I26">
        <f t="shared" ca="1" si="4"/>
        <v>6.9830087311561151E-2</v>
      </c>
      <c r="J26">
        <v>0</v>
      </c>
    </row>
    <row r="27" spans="1:10" x14ac:dyDescent="0.3">
      <c r="A27" t="str">
        <f t="shared" si="5"/>
        <v>HH026</v>
      </c>
      <c r="B27" t="str">
        <f ca="1">LOOKUP(RAND(),{0,0.28,0.55,0.78},{"Oloitoktok A","Oloitoktok B","Kiserian","Namanga"})</f>
        <v>Kiserian</v>
      </c>
      <c r="C27">
        <f ca="1">LOOKUP(RAND(),{0,0.02,0.09,0.2,0.35,0.52,0.68,0.81,0.91,0.97},{1,2,3,4,5,6,7,8,9,10})</f>
        <v>5</v>
      </c>
      <c r="D27">
        <f t="shared" ca="1" si="0"/>
        <v>40000</v>
      </c>
      <c r="E27" t="str">
        <f ca="1">IF(B27="Oloitoktok A",IF(D27&lt;15000,LOOKUP(RAND(),{0,0.45,0.75,0.92},{"River","Rainwater","Borehole","Vendor"}),IF(D27&lt;30000,LOOKUP(RAND(),{0,0.35,0.65,0.85},{"River","Rainwater","Borehole","Vendor"}),LOOKUP(RAND(),{0,0.25,0.5,0.75},{"River","Rainwater","Borehole","Vendor"}))),IF(B27="Oloitoktok B",IF(D27&lt;15000,LOOKUP(RAND(),{0,0.5,0.78,0.94},{"River","Rainwater","Borehole","Vendor"}),IF(D27&lt;30000,LOOKUP(RAND(),{0,0.4,0.68,0.87},{"River","Rainwater","Borehole","Vendor"}),LOOKUP(RAND(),{0,0.28,0.55,0.78},{"River","Rainwater","Borehole","Vendor"}))),IF(B27="Kiserian",IF(D27&lt;15000,LOOKUP(RAND(),{0,0.35,0.65,0.9},{"River","Rainwater","Borehole","Vendor"}),IF(D27&lt;30000,LOOKUP(RAND(),{0,0.25,0.55,0.82},{"River","Rainwater","Borehole","Vendor"}),LOOKUP(RAND(),{0,0.15,0.45,0.72},{"River","Rainwater","Borehole","Vendor"}))),IF(D27&lt;15000,LOOKUP(RAND(),{0,0.4,0.7,0.92},{"River","Rainwater","Borehole","Vendor"}),IF(D27&lt;30000,LOOKUP(RAND(),{0,0.3,0.6,0.85},{"River","Rainwater","Borehole","Vendor"}),LOOKUP(RAND(),{0,0.2,0.5,0.75},{"River","Rainwater","Borehole","Vendor"}))))))</f>
        <v>Rainwater</v>
      </c>
      <c r="F27">
        <f t="shared" ca="1" si="1"/>
        <v>42</v>
      </c>
      <c r="G27">
        <f t="shared" ca="1" si="2"/>
        <v>7.4</v>
      </c>
      <c r="H27">
        <f t="shared" ca="1" si="3"/>
        <v>5400</v>
      </c>
      <c r="I27">
        <f t="shared" ca="1" si="4"/>
        <v>0.56494115653496624</v>
      </c>
      <c r="J27">
        <v>0</v>
      </c>
    </row>
    <row r="28" spans="1:10" x14ac:dyDescent="0.3">
      <c r="A28" t="str">
        <f t="shared" si="5"/>
        <v>HH027</v>
      </c>
      <c r="B28" t="str">
        <f ca="1">LOOKUP(RAND(),{0,0.28,0.55,0.78},{"Oloitoktok A","Oloitoktok B","Kiserian","Namanga"})</f>
        <v>Oloitoktok A</v>
      </c>
      <c r="C28">
        <f ca="1">LOOKUP(RAND(),{0,0.02,0.09,0.2,0.35,0.52,0.68,0.81,0.91,0.97},{1,2,3,4,5,6,7,8,9,10})</f>
        <v>4</v>
      </c>
      <c r="D28">
        <f t="shared" ca="1" si="0"/>
        <v>39400</v>
      </c>
      <c r="E28" t="str">
        <f ca="1">IF(B28="Oloitoktok A",IF(D28&lt;15000,LOOKUP(RAND(),{0,0.45,0.75,0.92},{"River","Rainwater","Borehole","Vendor"}),IF(D28&lt;30000,LOOKUP(RAND(),{0,0.35,0.65,0.85},{"River","Rainwater","Borehole","Vendor"}),LOOKUP(RAND(),{0,0.25,0.5,0.75},{"River","Rainwater","Borehole","Vendor"}))),IF(B28="Oloitoktok B",IF(D28&lt;15000,LOOKUP(RAND(),{0,0.5,0.78,0.94},{"River","Rainwater","Borehole","Vendor"}),IF(D28&lt;30000,LOOKUP(RAND(),{0,0.4,0.68,0.87},{"River","Rainwater","Borehole","Vendor"}),LOOKUP(RAND(),{0,0.28,0.55,0.78},{"River","Rainwater","Borehole","Vendor"}))),IF(B28="Kiserian",IF(D28&lt;15000,LOOKUP(RAND(),{0,0.35,0.65,0.9},{"River","Rainwater","Borehole","Vendor"}),IF(D28&lt;30000,LOOKUP(RAND(),{0,0.25,0.55,0.82},{"River","Rainwater","Borehole","Vendor"}),LOOKUP(RAND(),{0,0.15,0.45,0.72},{"River","Rainwater","Borehole","Vendor"}))),IF(D28&lt;15000,LOOKUP(RAND(),{0,0.4,0.7,0.92},{"River","Rainwater","Borehole","Vendor"}),IF(D28&lt;30000,LOOKUP(RAND(),{0,0.3,0.6,0.85},{"River","Rainwater","Borehole","Vendor"}),LOOKUP(RAND(),{0,0.2,0.5,0.75},{"River","Rainwater","Borehole","Vendor"}))))))</f>
        <v>River</v>
      </c>
      <c r="F28">
        <f t="shared" ca="1" si="1"/>
        <v>98</v>
      </c>
      <c r="G28">
        <f t="shared" ca="1" si="2"/>
        <v>2.4</v>
      </c>
      <c r="H28">
        <f t="shared" ca="1" si="3"/>
        <v>1800</v>
      </c>
      <c r="I28">
        <f t="shared" ca="1" si="4"/>
        <v>0.90239301547835005</v>
      </c>
      <c r="J28">
        <v>0</v>
      </c>
    </row>
    <row r="29" spans="1:10" x14ac:dyDescent="0.3">
      <c r="A29" t="str">
        <f t="shared" si="5"/>
        <v>HH028</v>
      </c>
      <c r="B29" t="str">
        <f ca="1">LOOKUP(RAND(),{0,0.28,0.55,0.78},{"Oloitoktok A","Oloitoktok B","Kiserian","Namanga"})</f>
        <v>Kiserian</v>
      </c>
      <c r="C29">
        <f ca="1">LOOKUP(RAND(),{0,0.02,0.09,0.2,0.35,0.52,0.68,0.81,0.91,0.97},{1,2,3,4,5,6,7,8,9,10})</f>
        <v>5</v>
      </c>
      <c r="D29">
        <f t="shared" ca="1" si="0"/>
        <v>49200</v>
      </c>
      <c r="E29" t="str">
        <f ca="1">IF(B29="Oloitoktok A",IF(D29&lt;15000,LOOKUP(RAND(),{0,0.45,0.75,0.92},{"River","Rainwater","Borehole","Vendor"}),IF(D29&lt;30000,LOOKUP(RAND(),{0,0.35,0.65,0.85},{"River","Rainwater","Borehole","Vendor"}),LOOKUP(RAND(),{0,0.25,0.5,0.75},{"River","Rainwater","Borehole","Vendor"}))),IF(B29="Oloitoktok B",IF(D29&lt;15000,LOOKUP(RAND(),{0,0.5,0.78,0.94},{"River","Rainwater","Borehole","Vendor"}),IF(D29&lt;30000,LOOKUP(RAND(),{0,0.4,0.68,0.87},{"River","Rainwater","Borehole","Vendor"}),LOOKUP(RAND(),{0,0.28,0.55,0.78},{"River","Rainwater","Borehole","Vendor"}))),IF(B29="Kiserian",IF(D29&lt;15000,LOOKUP(RAND(),{0,0.35,0.65,0.9},{"River","Rainwater","Borehole","Vendor"}),IF(D29&lt;30000,LOOKUP(RAND(),{0,0.25,0.55,0.82},{"River","Rainwater","Borehole","Vendor"}),LOOKUP(RAND(),{0,0.15,0.45,0.72},{"River","Rainwater","Borehole","Vendor"}))),IF(D29&lt;15000,LOOKUP(RAND(),{0,0.4,0.7,0.92},{"River","Rainwater","Borehole","Vendor"}),IF(D29&lt;30000,LOOKUP(RAND(),{0,0.3,0.6,0.85},{"River","Rainwater","Borehole","Vendor"}),LOOKUP(RAND(),{0,0.2,0.5,0.75},{"River","Rainwater","Borehole","Vendor"}))))))</f>
        <v>Vendor</v>
      </c>
      <c r="F29">
        <f t="shared" ca="1" si="1"/>
        <v>22</v>
      </c>
      <c r="G29">
        <f t="shared" ca="1" si="2"/>
        <v>4.5</v>
      </c>
      <c r="H29">
        <f t="shared" ca="1" si="3"/>
        <v>1000</v>
      </c>
      <c r="I29">
        <f t="shared" ca="1" si="4"/>
        <v>2.575701371811745E-2</v>
      </c>
      <c r="J29">
        <v>0</v>
      </c>
    </row>
    <row r="30" spans="1:10" x14ac:dyDescent="0.3">
      <c r="A30" t="str">
        <f t="shared" si="5"/>
        <v>HH029</v>
      </c>
      <c r="B30" t="str">
        <f ca="1">LOOKUP(RAND(),{0,0.28,0.55,0.78},{"Oloitoktok A","Oloitoktok B","Kiserian","Namanga"})</f>
        <v>Oloitoktok A</v>
      </c>
      <c r="C30">
        <f ca="1">LOOKUP(RAND(),{0,0.02,0.09,0.2,0.35,0.52,0.68,0.81,0.91,0.97},{1,2,3,4,5,6,7,8,9,10})</f>
        <v>8</v>
      </c>
      <c r="D30">
        <f t="shared" ca="1" si="0"/>
        <v>39500</v>
      </c>
      <c r="E30" t="str">
        <f ca="1">IF(B30="Oloitoktok A",IF(D30&lt;15000,LOOKUP(RAND(),{0,0.45,0.75,0.92},{"River","Rainwater","Borehole","Vendor"}),IF(D30&lt;30000,LOOKUP(RAND(),{0,0.35,0.65,0.85},{"River","Rainwater","Borehole","Vendor"}),LOOKUP(RAND(),{0,0.25,0.5,0.75},{"River","Rainwater","Borehole","Vendor"}))),IF(B30="Oloitoktok B",IF(D30&lt;15000,LOOKUP(RAND(),{0,0.5,0.78,0.94},{"River","Rainwater","Borehole","Vendor"}),IF(D30&lt;30000,LOOKUP(RAND(),{0,0.4,0.68,0.87},{"River","Rainwater","Borehole","Vendor"}),LOOKUP(RAND(),{0,0.28,0.55,0.78},{"River","Rainwater","Borehole","Vendor"}))),IF(B30="Kiserian",IF(D30&lt;15000,LOOKUP(RAND(),{0,0.35,0.65,0.9},{"River","Rainwater","Borehole","Vendor"}),IF(D30&lt;30000,LOOKUP(RAND(),{0,0.25,0.55,0.82},{"River","Rainwater","Borehole","Vendor"}),LOOKUP(RAND(),{0,0.15,0.45,0.72},{"River","Rainwater","Borehole","Vendor"}))),IF(D30&lt;15000,LOOKUP(RAND(),{0,0.4,0.7,0.92},{"River","Rainwater","Borehole","Vendor"}),IF(D30&lt;30000,LOOKUP(RAND(),{0,0.3,0.6,0.85},{"River","Rainwater","Borehole","Vendor"}),LOOKUP(RAND(),{0,0.2,0.5,0.75},{"River","Rainwater","Borehole","Vendor"}))))))</f>
        <v>Vendor</v>
      </c>
      <c r="F30">
        <f t="shared" ca="1" si="1"/>
        <v>25</v>
      </c>
      <c r="G30">
        <f t="shared" ca="1" si="2"/>
        <v>2.2000000000000002</v>
      </c>
      <c r="H30">
        <f t="shared" ca="1" si="3"/>
        <v>5300</v>
      </c>
      <c r="I30">
        <f t="shared" ca="1" si="4"/>
        <v>0.89776868851298874</v>
      </c>
      <c r="J30">
        <v>0</v>
      </c>
    </row>
    <row r="31" spans="1:10" x14ac:dyDescent="0.3">
      <c r="A31" t="str">
        <f t="shared" si="5"/>
        <v>HH030</v>
      </c>
      <c r="B31" t="str">
        <f ca="1">LOOKUP(RAND(),{0,0.28,0.55,0.78},{"Oloitoktok A","Oloitoktok B","Kiserian","Namanga"})</f>
        <v>Oloitoktok A</v>
      </c>
      <c r="C31">
        <f ca="1">LOOKUP(RAND(),{0,0.02,0.09,0.2,0.35,0.52,0.68,0.81,0.91,0.97},{1,2,3,4,5,6,7,8,9,10})</f>
        <v>10</v>
      </c>
      <c r="D31">
        <f t="shared" ca="1" si="0"/>
        <v>67600</v>
      </c>
      <c r="E31" t="str">
        <f ca="1">IF(B31="Oloitoktok A",IF(D31&lt;15000,LOOKUP(RAND(),{0,0.45,0.75,0.92},{"River","Rainwater","Borehole","Vendor"}),IF(D31&lt;30000,LOOKUP(RAND(),{0,0.35,0.65,0.85},{"River","Rainwater","Borehole","Vendor"}),LOOKUP(RAND(),{0,0.25,0.5,0.75},{"River","Rainwater","Borehole","Vendor"}))),IF(B31="Oloitoktok B",IF(D31&lt;15000,LOOKUP(RAND(),{0,0.5,0.78,0.94},{"River","Rainwater","Borehole","Vendor"}),IF(D31&lt;30000,LOOKUP(RAND(),{0,0.4,0.68,0.87},{"River","Rainwater","Borehole","Vendor"}),LOOKUP(RAND(),{0,0.28,0.55,0.78},{"River","Rainwater","Borehole","Vendor"}))),IF(B31="Kiserian",IF(D31&lt;15000,LOOKUP(RAND(),{0,0.35,0.65,0.9},{"River","Rainwater","Borehole","Vendor"}),IF(D31&lt;30000,LOOKUP(RAND(),{0,0.25,0.55,0.82},{"River","Rainwater","Borehole","Vendor"}),LOOKUP(RAND(),{0,0.15,0.45,0.72},{"River","Rainwater","Borehole","Vendor"}))),IF(D31&lt;15000,LOOKUP(RAND(),{0,0.4,0.7,0.92},{"River","Rainwater","Borehole","Vendor"}),IF(D31&lt;30000,LOOKUP(RAND(),{0,0.3,0.6,0.85},{"River","Rainwater","Borehole","Vendor"}),LOOKUP(RAND(),{0,0.2,0.5,0.75},{"River","Rainwater","Borehole","Vendor"}))))))</f>
        <v>Vendor</v>
      </c>
      <c r="F31">
        <f t="shared" ca="1" si="1"/>
        <v>29</v>
      </c>
      <c r="G31">
        <f t="shared" ca="1" si="2"/>
        <v>6.3</v>
      </c>
      <c r="H31">
        <f t="shared" ca="1" si="3"/>
        <v>8400</v>
      </c>
      <c r="I31">
        <f t="shared" ca="1" si="4"/>
        <v>0.31556842645067917</v>
      </c>
      <c r="J31">
        <v>0</v>
      </c>
    </row>
    <row r="32" spans="1:10" x14ac:dyDescent="0.3">
      <c r="A32" t="str">
        <f t="shared" si="5"/>
        <v>HH031</v>
      </c>
      <c r="B32" t="str">
        <f ca="1">LOOKUP(RAND(),{0,0.28,0.55,0.78},{"Oloitoktok A","Oloitoktok B","Kiserian","Namanga"})</f>
        <v>Namanga</v>
      </c>
      <c r="C32">
        <f ca="1">LOOKUP(RAND(),{0,0.02,0.09,0.2,0.35,0.52,0.68,0.81,0.91,0.97},{1,2,3,4,5,6,7,8,9,10})</f>
        <v>5</v>
      </c>
      <c r="D32">
        <f t="shared" ca="1" si="0"/>
        <v>25100</v>
      </c>
      <c r="E32" t="str">
        <f ca="1">IF(B32="Oloitoktok A",IF(D32&lt;15000,LOOKUP(RAND(),{0,0.45,0.75,0.92},{"River","Rainwater","Borehole","Vendor"}),IF(D32&lt;30000,LOOKUP(RAND(),{0,0.35,0.65,0.85},{"River","Rainwater","Borehole","Vendor"}),LOOKUP(RAND(),{0,0.25,0.5,0.75},{"River","Rainwater","Borehole","Vendor"}))),IF(B32="Oloitoktok B",IF(D32&lt;15000,LOOKUP(RAND(),{0,0.5,0.78,0.94},{"River","Rainwater","Borehole","Vendor"}),IF(D32&lt;30000,LOOKUP(RAND(),{0,0.4,0.68,0.87},{"River","Rainwater","Borehole","Vendor"}),LOOKUP(RAND(),{0,0.28,0.55,0.78},{"River","Rainwater","Borehole","Vendor"}))),IF(B32="Kiserian",IF(D32&lt;15000,LOOKUP(RAND(),{0,0.35,0.65,0.9},{"River","Rainwater","Borehole","Vendor"}),IF(D32&lt;30000,LOOKUP(RAND(),{0,0.25,0.55,0.82},{"River","Rainwater","Borehole","Vendor"}),LOOKUP(RAND(),{0,0.15,0.45,0.72},{"River","Rainwater","Borehole","Vendor"}))),IF(D32&lt;15000,LOOKUP(RAND(),{0,0.4,0.7,0.92},{"River","Rainwater","Borehole","Vendor"}),IF(D32&lt;30000,LOOKUP(RAND(),{0,0.3,0.6,0.85},{"River","Rainwater","Borehole","Vendor"}),LOOKUP(RAND(),{0,0.2,0.5,0.75},{"River","Rainwater","Borehole","Vendor"}))))))</f>
        <v>Borehole</v>
      </c>
      <c r="F32">
        <f t="shared" ca="1" si="1"/>
        <v>71</v>
      </c>
      <c r="G32">
        <f t="shared" ca="1" si="2"/>
        <v>11.4</v>
      </c>
      <c r="H32">
        <f t="shared" ca="1" si="3"/>
        <v>8700</v>
      </c>
      <c r="I32">
        <f t="shared" ca="1" si="4"/>
        <v>0.19576955235476967</v>
      </c>
      <c r="J32">
        <v>0</v>
      </c>
    </row>
    <row r="33" spans="1:10" x14ac:dyDescent="0.3">
      <c r="A33" t="str">
        <f t="shared" si="5"/>
        <v>HH032</v>
      </c>
      <c r="B33" t="str">
        <f ca="1">LOOKUP(RAND(),{0,0.28,0.55,0.78},{"Oloitoktok A","Oloitoktok B","Kiserian","Namanga"})</f>
        <v>Oloitoktok B</v>
      </c>
      <c r="C33">
        <f ca="1">LOOKUP(RAND(),{0,0.02,0.09,0.2,0.35,0.52,0.68,0.81,0.91,0.97},{1,2,3,4,5,6,7,8,9,10})</f>
        <v>8</v>
      </c>
      <c r="D33">
        <f t="shared" ca="1" si="0"/>
        <v>23800</v>
      </c>
      <c r="E33" t="str">
        <f ca="1">IF(B33="Oloitoktok A",IF(D33&lt;15000,LOOKUP(RAND(),{0,0.45,0.75,0.92},{"River","Rainwater","Borehole","Vendor"}),IF(D33&lt;30000,LOOKUP(RAND(),{0,0.35,0.65,0.85},{"River","Rainwater","Borehole","Vendor"}),LOOKUP(RAND(),{0,0.25,0.5,0.75},{"River","Rainwater","Borehole","Vendor"}))),IF(B33="Oloitoktok B",IF(D33&lt;15000,LOOKUP(RAND(),{0,0.5,0.78,0.94},{"River","Rainwater","Borehole","Vendor"}),IF(D33&lt;30000,LOOKUP(RAND(),{0,0.4,0.68,0.87},{"River","Rainwater","Borehole","Vendor"}),LOOKUP(RAND(),{0,0.28,0.55,0.78},{"River","Rainwater","Borehole","Vendor"}))),IF(B33="Kiserian",IF(D33&lt;15000,LOOKUP(RAND(),{0,0.35,0.65,0.9},{"River","Rainwater","Borehole","Vendor"}),IF(D33&lt;30000,LOOKUP(RAND(),{0,0.25,0.55,0.82},{"River","Rainwater","Borehole","Vendor"}),LOOKUP(RAND(),{0,0.15,0.45,0.72},{"River","Rainwater","Borehole","Vendor"}))),IF(D33&lt;15000,LOOKUP(RAND(),{0,0.4,0.7,0.92},{"River","Rainwater","Borehole","Vendor"}),IF(D33&lt;30000,LOOKUP(RAND(),{0,0.3,0.6,0.85},{"River","Rainwater","Borehole","Vendor"}),LOOKUP(RAND(),{0,0.2,0.5,0.75},{"River","Rainwater","Borehole","Vendor"}))))))</f>
        <v>River</v>
      </c>
      <c r="F33">
        <f t="shared" ca="1" si="1"/>
        <v>66</v>
      </c>
      <c r="G33">
        <f t="shared" ca="1" si="2"/>
        <v>6.5</v>
      </c>
      <c r="H33">
        <f t="shared" ca="1" si="3"/>
        <v>9200</v>
      </c>
      <c r="I33">
        <f t="shared" ca="1" si="4"/>
        <v>5.6659393432710869E-3</v>
      </c>
      <c r="J33">
        <v>0</v>
      </c>
    </row>
    <row r="34" spans="1:10" x14ac:dyDescent="0.3">
      <c r="A34" t="str">
        <f t="shared" si="5"/>
        <v>HH033</v>
      </c>
      <c r="B34" t="str">
        <f ca="1">LOOKUP(RAND(),{0,0.28,0.55,0.78},{"Oloitoktok A","Oloitoktok B","Kiserian","Namanga"})</f>
        <v>Oloitoktok A</v>
      </c>
      <c r="C34">
        <f ca="1">LOOKUP(RAND(),{0,0.02,0.09,0.2,0.35,0.52,0.68,0.81,0.91,0.97},{1,2,3,4,5,6,7,8,9,10})</f>
        <v>7</v>
      </c>
      <c r="D34">
        <f t="shared" ca="1" si="0"/>
        <v>51300</v>
      </c>
      <c r="E34" t="str">
        <f ca="1">IF(B34="Oloitoktok A",IF(D34&lt;15000,LOOKUP(RAND(),{0,0.45,0.75,0.92},{"River","Rainwater","Borehole","Vendor"}),IF(D34&lt;30000,LOOKUP(RAND(),{0,0.35,0.65,0.85},{"River","Rainwater","Borehole","Vendor"}),LOOKUP(RAND(),{0,0.25,0.5,0.75},{"River","Rainwater","Borehole","Vendor"}))),IF(B34="Oloitoktok B",IF(D34&lt;15000,LOOKUP(RAND(),{0,0.5,0.78,0.94},{"River","Rainwater","Borehole","Vendor"}),IF(D34&lt;30000,LOOKUP(RAND(),{0,0.4,0.68,0.87},{"River","Rainwater","Borehole","Vendor"}),LOOKUP(RAND(),{0,0.28,0.55,0.78},{"River","Rainwater","Borehole","Vendor"}))),IF(B34="Kiserian",IF(D34&lt;15000,LOOKUP(RAND(),{0,0.35,0.65,0.9},{"River","Rainwater","Borehole","Vendor"}),IF(D34&lt;30000,LOOKUP(RAND(),{0,0.25,0.55,0.82},{"River","Rainwater","Borehole","Vendor"}),LOOKUP(RAND(),{0,0.15,0.45,0.72},{"River","Rainwater","Borehole","Vendor"}))),IF(D34&lt;15000,LOOKUP(RAND(),{0,0.4,0.7,0.92},{"River","Rainwater","Borehole","Vendor"}),IF(D34&lt;30000,LOOKUP(RAND(),{0,0.3,0.6,0.85},{"River","Rainwater","Borehole","Vendor"}),LOOKUP(RAND(),{0,0.2,0.5,0.75},{"River","Rainwater","Borehole","Vendor"}))))))</f>
        <v>Vendor</v>
      </c>
      <c r="F34">
        <f t="shared" ca="1" si="1"/>
        <v>56</v>
      </c>
      <c r="G34">
        <f t="shared" ca="1" si="2"/>
        <v>6.1</v>
      </c>
      <c r="H34">
        <f t="shared" ca="1" si="3"/>
        <v>4200</v>
      </c>
      <c r="I34">
        <f t="shared" ca="1" si="4"/>
        <v>0.99282820948261086</v>
      </c>
      <c r="J34">
        <v>0</v>
      </c>
    </row>
    <row r="35" spans="1:10" x14ac:dyDescent="0.3">
      <c r="A35" t="str">
        <f t="shared" si="5"/>
        <v>HH034</v>
      </c>
      <c r="B35" t="str">
        <f ca="1">LOOKUP(RAND(),{0,0.28,0.55,0.78},{"Oloitoktok A","Oloitoktok B","Kiserian","Namanga"})</f>
        <v>Oloitoktok A</v>
      </c>
      <c r="C35">
        <f ca="1">LOOKUP(RAND(),{0,0.02,0.09,0.2,0.35,0.52,0.68,0.81,0.91,0.97},{1,2,3,4,5,6,7,8,9,10})</f>
        <v>2</v>
      </c>
      <c r="D35">
        <f t="shared" ca="1" si="0"/>
        <v>27300</v>
      </c>
      <c r="E35" t="str">
        <f ca="1">IF(B35="Oloitoktok A",IF(D35&lt;15000,LOOKUP(RAND(),{0,0.45,0.75,0.92},{"River","Rainwater","Borehole","Vendor"}),IF(D35&lt;30000,LOOKUP(RAND(),{0,0.35,0.65,0.85},{"River","Rainwater","Borehole","Vendor"}),LOOKUP(RAND(),{0,0.25,0.5,0.75},{"River","Rainwater","Borehole","Vendor"}))),IF(B35="Oloitoktok B",IF(D35&lt;15000,LOOKUP(RAND(),{0,0.5,0.78,0.94},{"River","Rainwater","Borehole","Vendor"}),IF(D35&lt;30000,LOOKUP(RAND(),{0,0.4,0.68,0.87},{"River","Rainwater","Borehole","Vendor"}),LOOKUP(RAND(),{0,0.28,0.55,0.78},{"River","Rainwater","Borehole","Vendor"}))),IF(B35="Kiserian",IF(D35&lt;15000,LOOKUP(RAND(),{0,0.35,0.65,0.9},{"River","Rainwater","Borehole","Vendor"}),IF(D35&lt;30000,LOOKUP(RAND(),{0,0.25,0.55,0.82},{"River","Rainwater","Borehole","Vendor"}),LOOKUP(RAND(),{0,0.15,0.45,0.72},{"River","Rainwater","Borehole","Vendor"}))),IF(D35&lt;15000,LOOKUP(RAND(),{0,0.4,0.7,0.92},{"River","Rainwater","Borehole","Vendor"}),IF(D35&lt;30000,LOOKUP(RAND(),{0,0.3,0.6,0.85},{"River","Rainwater","Borehole","Vendor"}),LOOKUP(RAND(),{0,0.2,0.5,0.75},{"River","Rainwater","Borehole","Vendor"}))))))</f>
        <v>Rainwater</v>
      </c>
      <c r="F35">
        <f t="shared" ca="1" si="1"/>
        <v>47</v>
      </c>
      <c r="G35">
        <f t="shared" ca="1" si="2"/>
        <v>1.1000000000000001</v>
      </c>
      <c r="H35">
        <f t="shared" ca="1" si="3"/>
        <v>5600</v>
      </c>
      <c r="I35">
        <f t="shared" ca="1" si="4"/>
        <v>0.6943182297659215</v>
      </c>
      <c r="J35">
        <v>0</v>
      </c>
    </row>
    <row r="36" spans="1:10" x14ac:dyDescent="0.3">
      <c r="A36" t="str">
        <f t="shared" si="5"/>
        <v>HH035</v>
      </c>
      <c r="B36" t="str">
        <f ca="1">LOOKUP(RAND(),{0,0.28,0.55,0.78},{"Oloitoktok A","Oloitoktok B","Kiserian","Namanga"})</f>
        <v>Oloitoktok A</v>
      </c>
      <c r="C36">
        <f ca="1">LOOKUP(RAND(),{0,0.02,0.09,0.2,0.35,0.52,0.68,0.81,0.91,0.97},{1,2,3,4,5,6,7,8,9,10})</f>
        <v>5</v>
      </c>
      <c r="D36">
        <f t="shared" ca="1" si="0"/>
        <v>37800</v>
      </c>
      <c r="E36" t="str">
        <f ca="1">IF(B36="Oloitoktok A",IF(D36&lt;15000,LOOKUP(RAND(),{0,0.45,0.75,0.92},{"River","Rainwater","Borehole","Vendor"}),IF(D36&lt;30000,LOOKUP(RAND(),{0,0.35,0.65,0.85},{"River","Rainwater","Borehole","Vendor"}),LOOKUP(RAND(),{0,0.25,0.5,0.75},{"River","Rainwater","Borehole","Vendor"}))),IF(B36="Oloitoktok B",IF(D36&lt;15000,LOOKUP(RAND(),{0,0.5,0.78,0.94},{"River","Rainwater","Borehole","Vendor"}),IF(D36&lt;30000,LOOKUP(RAND(),{0,0.4,0.68,0.87},{"River","Rainwater","Borehole","Vendor"}),LOOKUP(RAND(),{0,0.28,0.55,0.78},{"River","Rainwater","Borehole","Vendor"}))),IF(B36="Kiserian",IF(D36&lt;15000,LOOKUP(RAND(),{0,0.35,0.65,0.9},{"River","Rainwater","Borehole","Vendor"}),IF(D36&lt;30000,LOOKUP(RAND(),{0,0.25,0.55,0.82},{"River","Rainwater","Borehole","Vendor"}),LOOKUP(RAND(),{0,0.15,0.45,0.72},{"River","Rainwater","Borehole","Vendor"}))),IF(D36&lt;15000,LOOKUP(RAND(),{0,0.4,0.7,0.92},{"River","Rainwater","Borehole","Vendor"}),IF(D36&lt;30000,LOOKUP(RAND(),{0,0.3,0.6,0.85},{"River","Rainwater","Borehole","Vendor"}),LOOKUP(RAND(),{0,0.2,0.5,0.75},{"River","Rainwater","Borehole","Vendor"}))))))</f>
        <v>Rainwater</v>
      </c>
      <c r="F36">
        <f t="shared" ca="1" si="1"/>
        <v>58</v>
      </c>
      <c r="G36">
        <f t="shared" ca="1" si="2"/>
        <v>4.3</v>
      </c>
      <c r="H36">
        <f t="shared" ca="1" si="3"/>
        <v>4500</v>
      </c>
      <c r="I36">
        <f t="shared" ca="1" si="4"/>
        <v>0.81561877452204823</v>
      </c>
      <c r="J36">
        <v>0</v>
      </c>
    </row>
    <row r="37" spans="1:10" x14ac:dyDescent="0.3">
      <c r="A37" t="str">
        <f t="shared" si="5"/>
        <v>HH036</v>
      </c>
      <c r="B37" t="str">
        <f ca="1">LOOKUP(RAND(),{0,0.28,0.55,0.78},{"Oloitoktok A","Oloitoktok B","Kiserian","Namanga"})</f>
        <v>Namanga</v>
      </c>
      <c r="C37">
        <f ca="1">LOOKUP(RAND(),{0,0.02,0.09,0.2,0.35,0.52,0.68,0.81,0.91,0.97},{1,2,3,4,5,6,7,8,9,10})</f>
        <v>5</v>
      </c>
      <c r="D37">
        <f t="shared" ca="1" si="0"/>
        <v>36600</v>
      </c>
      <c r="E37" t="str">
        <f ca="1">IF(B37="Oloitoktok A",IF(D37&lt;15000,LOOKUP(RAND(),{0,0.45,0.75,0.92},{"River","Rainwater","Borehole","Vendor"}),IF(D37&lt;30000,LOOKUP(RAND(),{0,0.35,0.65,0.85},{"River","Rainwater","Borehole","Vendor"}),LOOKUP(RAND(),{0,0.25,0.5,0.75},{"River","Rainwater","Borehole","Vendor"}))),IF(B37="Oloitoktok B",IF(D37&lt;15000,LOOKUP(RAND(),{0,0.5,0.78,0.94},{"River","Rainwater","Borehole","Vendor"}),IF(D37&lt;30000,LOOKUP(RAND(),{0,0.4,0.68,0.87},{"River","Rainwater","Borehole","Vendor"}),LOOKUP(RAND(),{0,0.28,0.55,0.78},{"River","Rainwater","Borehole","Vendor"}))),IF(B37="Kiserian",IF(D37&lt;15000,LOOKUP(RAND(),{0,0.35,0.65,0.9},{"River","Rainwater","Borehole","Vendor"}),IF(D37&lt;30000,LOOKUP(RAND(),{0,0.25,0.55,0.82},{"River","Rainwater","Borehole","Vendor"}),LOOKUP(RAND(),{0,0.15,0.45,0.72},{"River","Rainwater","Borehole","Vendor"}))),IF(D37&lt;15000,LOOKUP(RAND(),{0,0.4,0.7,0.92},{"River","Rainwater","Borehole","Vendor"}),IF(D37&lt;30000,LOOKUP(RAND(),{0,0.3,0.6,0.85},{"River","Rainwater","Borehole","Vendor"}),LOOKUP(RAND(),{0,0.2,0.5,0.75},{"River","Rainwater","Borehole","Vendor"}))))))</f>
        <v>Rainwater</v>
      </c>
      <c r="F37">
        <f t="shared" ca="1" si="1"/>
        <v>64</v>
      </c>
      <c r="G37">
        <f t="shared" ca="1" si="2"/>
        <v>6</v>
      </c>
      <c r="H37">
        <f t="shared" ca="1" si="3"/>
        <v>700</v>
      </c>
      <c r="I37">
        <f t="shared" ca="1" si="4"/>
        <v>0.72872105666373455</v>
      </c>
      <c r="J37">
        <v>0</v>
      </c>
    </row>
    <row r="38" spans="1:10" x14ac:dyDescent="0.3">
      <c r="A38" t="str">
        <f t="shared" si="5"/>
        <v>HH037</v>
      </c>
      <c r="B38" t="str">
        <f ca="1">LOOKUP(RAND(),{0,0.28,0.55,0.78},{"Oloitoktok A","Oloitoktok B","Kiserian","Namanga"})</f>
        <v>Namanga</v>
      </c>
      <c r="C38">
        <f ca="1">LOOKUP(RAND(),{0,0.02,0.09,0.2,0.35,0.52,0.68,0.81,0.91,0.97},{1,2,3,4,5,6,7,8,9,10})</f>
        <v>2</v>
      </c>
      <c r="D38">
        <f t="shared" ca="1" si="0"/>
        <v>75300</v>
      </c>
      <c r="E38" t="str">
        <f ca="1">IF(B38="Oloitoktok A",IF(D38&lt;15000,LOOKUP(RAND(),{0,0.45,0.75,0.92},{"River","Rainwater","Borehole","Vendor"}),IF(D38&lt;30000,LOOKUP(RAND(),{0,0.35,0.65,0.85},{"River","Rainwater","Borehole","Vendor"}),LOOKUP(RAND(),{0,0.25,0.5,0.75},{"River","Rainwater","Borehole","Vendor"}))),IF(B38="Oloitoktok B",IF(D38&lt;15000,LOOKUP(RAND(),{0,0.5,0.78,0.94},{"River","Rainwater","Borehole","Vendor"}),IF(D38&lt;30000,LOOKUP(RAND(),{0,0.4,0.68,0.87},{"River","Rainwater","Borehole","Vendor"}),LOOKUP(RAND(),{0,0.28,0.55,0.78},{"River","Rainwater","Borehole","Vendor"}))),IF(B38="Kiserian",IF(D38&lt;15000,LOOKUP(RAND(),{0,0.35,0.65,0.9},{"River","Rainwater","Borehole","Vendor"}),IF(D38&lt;30000,LOOKUP(RAND(),{0,0.25,0.55,0.82},{"River","Rainwater","Borehole","Vendor"}),LOOKUP(RAND(),{0,0.15,0.45,0.72},{"River","Rainwater","Borehole","Vendor"}))),IF(D38&lt;15000,LOOKUP(RAND(),{0,0.4,0.7,0.92},{"River","Rainwater","Borehole","Vendor"}),IF(D38&lt;30000,LOOKUP(RAND(),{0,0.3,0.6,0.85},{"River","Rainwater","Borehole","Vendor"}),LOOKUP(RAND(),{0,0.2,0.5,0.75},{"River","Rainwater","Borehole","Vendor"}))))))</f>
        <v>Borehole</v>
      </c>
      <c r="F38">
        <f t="shared" ca="1" si="1"/>
        <v>46</v>
      </c>
      <c r="G38">
        <f t="shared" ca="1" si="2"/>
        <v>3</v>
      </c>
      <c r="H38">
        <f t="shared" ca="1" si="3"/>
        <v>2100</v>
      </c>
      <c r="I38">
        <f t="shared" ca="1" si="4"/>
        <v>0.10500086674086895</v>
      </c>
      <c r="J38">
        <v>0</v>
      </c>
    </row>
    <row r="39" spans="1:10" x14ac:dyDescent="0.3">
      <c r="A39" t="str">
        <f t="shared" si="5"/>
        <v>HH038</v>
      </c>
      <c r="B39" t="str">
        <f ca="1">LOOKUP(RAND(),{0,0.28,0.55,0.78},{"Oloitoktok A","Oloitoktok B","Kiserian","Namanga"})</f>
        <v>Namanga</v>
      </c>
      <c r="C39">
        <f ca="1">LOOKUP(RAND(),{0,0.02,0.09,0.2,0.35,0.52,0.68,0.81,0.91,0.97},{1,2,3,4,5,6,7,8,9,10})</f>
        <v>9</v>
      </c>
      <c r="D39">
        <f t="shared" ca="1" si="0"/>
        <v>37900</v>
      </c>
      <c r="E39" t="str">
        <f ca="1">IF(B39="Oloitoktok A",IF(D39&lt;15000,LOOKUP(RAND(),{0,0.45,0.75,0.92},{"River","Rainwater","Borehole","Vendor"}),IF(D39&lt;30000,LOOKUP(RAND(),{0,0.35,0.65,0.85},{"River","Rainwater","Borehole","Vendor"}),LOOKUP(RAND(),{0,0.25,0.5,0.75},{"River","Rainwater","Borehole","Vendor"}))),IF(B39="Oloitoktok B",IF(D39&lt;15000,LOOKUP(RAND(),{0,0.5,0.78,0.94},{"River","Rainwater","Borehole","Vendor"}),IF(D39&lt;30000,LOOKUP(RAND(),{0,0.4,0.68,0.87},{"River","Rainwater","Borehole","Vendor"}),LOOKUP(RAND(),{0,0.28,0.55,0.78},{"River","Rainwater","Borehole","Vendor"}))),IF(B39="Kiserian",IF(D39&lt;15000,LOOKUP(RAND(),{0,0.35,0.65,0.9},{"River","Rainwater","Borehole","Vendor"}),IF(D39&lt;30000,LOOKUP(RAND(),{0,0.25,0.55,0.82},{"River","Rainwater","Borehole","Vendor"}),LOOKUP(RAND(),{0,0.15,0.45,0.72},{"River","Rainwater","Borehole","Vendor"}))),IF(D39&lt;15000,LOOKUP(RAND(),{0,0.4,0.7,0.92},{"River","Rainwater","Borehole","Vendor"}),IF(D39&lt;30000,LOOKUP(RAND(),{0,0.3,0.6,0.85},{"River","Rainwater","Borehole","Vendor"}),LOOKUP(RAND(),{0,0.2,0.5,0.75},{"River","Rainwater","Borehole","Vendor"}))))))</f>
        <v>Vendor</v>
      </c>
      <c r="F39">
        <f t="shared" ca="1" si="1"/>
        <v>29</v>
      </c>
      <c r="G39">
        <f t="shared" ca="1" si="2"/>
        <v>7.6</v>
      </c>
      <c r="H39">
        <f t="shared" ca="1" si="3"/>
        <v>5000</v>
      </c>
      <c r="I39">
        <f t="shared" ca="1" si="4"/>
        <v>0.54497401279763946</v>
      </c>
      <c r="J39">
        <v>0</v>
      </c>
    </row>
    <row r="40" spans="1:10" x14ac:dyDescent="0.3">
      <c r="A40" t="str">
        <f t="shared" si="5"/>
        <v>HH039</v>
      </c>
      <c r="B40" t="str">
        <f ca="1">LOOKUP(RAND(),{0,0.28,0.55,0.78},{"Oloitoktok A","Oloitoktok B","Kiserian","Namanga"})</f>
        <v>Namanga</v>
      </c>
      <c r="C40">
        <f ca="1">LOOKUP(RAND(),{0,0.02,0.09,0.2,0.35,0.52,0.68,0.81,0.91,0.97},{1,2,3,4,5,6,7,8,9,10})</f>
        <v>5</v>
      </c>
      <c r="D40">
        <f t="shared" ca="1" si="0"/>
        <v>22800</v>
      </c>
      <c r="E40" t="str">
        <f ca="1">IF(B40="Oloitoktok A",IF(D40&lt;15000,LOOKUP(RAND(),{0,0.45,0.75,0.92},{"River","Rainwater","Borehole","Vendor"}),IF(D40&lt;30000,LOOKUP(RAND(),{0,0.35,0.65,0.85},{"River","Rainwater","Borehole","Vendor"}),LOOKUP(RAND(),{0,0.25,0.5,0.75},{"River","Rainwater","Borehole","Vendor"}))),IF(B40="Oloitoktok B",IF(D40&lt;15000,LOOKUP(RAND(),{0,0.5,0.78,0.94},{"River","Rainwater","Borehole","Vendor"}),IF(D40&lt;30000,LOOKUP(RAND(),{0,0.4,0.68,0.87},{"River","Rainwater","Borehole","Vendor"}),LOOKUP(RAND(),{0,0.28,0.55,0.78},{"River","Rainwater","Borehole","Vendor"}))),IF(B40="Kiserian",IF(D40&lt;15000,LOOKUP(RAND(),{0,0.35,0.65,0.9},{"River","Rainwater","Borehole","Vendor"}),IF(D40&lt;30000,LOOKUP(RAND(),{0,0.25,0.55,0.82},{"River","Rainwater","Borehole","Vendor"}),LOOKUP(RAND(),{0,0.15,0.45,0.72},{"River","Rainwater","Borehole","Vendor"}))),IF(D40&lt;15000,LOOKUP(RAND(),{0,0.4,0.7,0.92},{"River","Rainwater","Borehole","Vendor"}),IF(D40&lt;30000,LOOKUP(RAND(),{0,0.3,0.6,0.85},{"River","Rainwater","Borehole","Vendor"}),LOOKUP(RAND(),{0,0.2,0.5,0.75},{"River","Rainwater","Borehole","Vendor"}))))))</f>
        <v>River</v>
      </c>
      <c r="F40">
        <f t="shared" ca="1" si="1"/>
        <v>107</v>
      </c>
      <c r="G40">
        <f t="shared" ca="1" si="2"/>
        <v>5.9</v>
      </c>
      <c r="H40">
        <f t="shared" ca="1" si="3"/>
        <v>1400</v>
      </c>
      <c r="I40">
        <f t="shared" ca="1" si="4"/>
        <v>0.90614839120332469</v>
      </c>
      <c r="J40">
        <v>0</v>
      </c>
    </row>
    <row r="41" spans="1:10" x14ac:dyDescent="0.3">
      <c r="A41" t="str">
        <f t="shared" si="5"/>
        <v>HH040</v>
      </c>
      <c r="B41" t="str">
        <f ca="1">LOOKUP(RAND(),{0,0.28,0.55,0.78},{"Oloitoktok A","Oloitoktok B","Kiserian","Namanga"})</f>
        <v>Namanga</v>
      </c>
      <c r="C41">
        <f ca="1">LOOKUP(RAND(),{0,0.02,0.09,0.2,0.35,0.52,0.68,0.81,0.91,0.97},{1,2,3,4,5,6,7,8,9,10})</f>
        <v>5</v>
      </c>
      <c r="D41">
        <f t="shared" ca="1" si="0"/>
        <v>67500</v>
      </c>
      <c r="E41" t="str">
        <f ca="1">IF(B41="Oloitoktok A",IF(D41&lt;15000,LOOKUP(RAND(),{0,0.45,0.75,0.92},{"River","Rainwater","Borehole","Vendor"}),IF(D41&lt;30000,LOOKUP(RAND(),{0,0.35,0.65,0.85},{"River","Rainwater","Borehole","Vendor"}),LOOKUP(RAND(),{0,0.25,0.5,0.75},{"River","Rainwater","Borehole","Vendor"}))),IF(B41="Oloitoktok B",IF(D41&lt;15000,LOOKUP(RAND(),{0,0.5,0.78,0.94},{"River","Rainwater","Borehole","Vendor"}),IF(D41&lt;30000,LOOKUP(RAND(),{0,0.4,0.68,0.87},{"River","Rainwater","Borehole","Vendor"}),LOOKUP(RAND(),{0,0.28,0.55,0.78},{"River","Rainwater","Borehole","Vendor"}))),IF(B41="Kiserian",IF(D41&lt;15000,LOOKUP(RAND(),{0,0.35,0.65,0.9},{"River","Rainwater","Borehole","Vendor"}),IF(D41&lt;30000,LOOKUP(RAND(),{0,0.25,0.55,0.82},{"River","Rainwater","Borehole","Vendor"}),LOOKUP(RAND(),{0,0.15,0.45,0.72},{"River","Rainwater","Borehole","Vendor"}))),IF(D41&lt;15000,LOOKUP(RAND(),{0,0.4,0.7,0.92},{"River","Rainwater","Borehole","Vendor"}),IF(D41&lt;30000,LOOKUP(RAND(),{0,0.3,0.6,0.85},{"River","Rainwater","Borehole","Vendor"}),LOOKUP(RAND(),{0,0.2,0.5,0.75},{"River","Rainwater","Borehole","Vendor"}))))))</f>
        <v>Vendor</v>
      </c>
      <c r="F41">
        <f t="shared" ca="1" si="1"/>
        <v>53</v>
      </c>
      <c r="G41">
        <f t="shared" ca="1" si="2"/>
        <v>0.3</v>
      </c>
      <c r="H41">
        <f t="shared" ca="1" si="3"/>
        <v>0</v>
      </c>
      <c r="I41">
        <f t="shared" ca="1" si="4"/>
        <v>0.39827164328916687</v>
      </c>
      <c r="J41">
        <v>0</v>
      </c>
    </row>
    <row r="42" spans="1:10" x14ac:dyDescent="0.3">
      <c r="A42" t="str">
        <f t="shared" si="5"/>
        <v>HH041</v>
      </c>
      <c r="B42" t="str">
        <f ca="1">LOOKUP(RAND(),{0,0.28,0.55,0.78},{"Oloitoktok A","Oloitoktok B","Kiserian","Namanga"})</f>
        <v>Kiserian</v>
      </c>
      <c r="C42">
        <f ca="1">LOOKUP(RAND(),{0,0.02,0.09,0.2,0.35,0.52,0.68,0.81,0.91,0.97},{1,2,3,4,5,6,7,8,9,10})</f>
        <v>8</v>
      </c>
      <c r="D42">
        <f t="shared" ca="1" si="0"/>
        <v>37700</v>
      </c>
      <c r="E42" t="str">
        <f ca="1">IF(B42="Oloitoktok A",IF(D42&lt;15000,LOOKUP(RAND(),{0,0.45,0.75,0.92},{"River","Rainwater","Borehole","Vendor"}),IF(D42&lt;30000,LOOKUP(RAND(),{0,0.35,0.65,0.85},{"River","Rainwater","Borehole","Vendor"}),LOOKUP(RAND(),{0,0.25,0.5,0.75},{"River","Rainwater","Borehole","Vendor"}))),IF(B42="Oloitoktok B",IF(D42&lt;15000,LOOKUP(RAND(),{0,0.5,0.78,0.94},{"River","Rainwater","Borehole","Vendor"}),IF(D42&lt;30000,LOOKUP(RAND(),{0,0.4,0.68,0.87},{"River","Rainwater","Borehole","Vendor"}),LOOKUP(RAND(),{0,0.28,0.55,0.78},{"River","Rainwater","Borehole","Vendor"}))),IF(B42="Kiserian",IF(D42&lt;15000,LOOKUP(RAND(),{0,0.35,0.65,0.9},{"River","Rainwater","Borehole","Vendor"}),IF(D42&lt;30000,LOOKUP(RAND(),{0,0.25,0.55,0.82},{"River","Rainwater","Borehole","Vendor"}),LOOKUP(RAND(),{0,0.15,0.45,0.72},{"River","Rainwater","Borehole","Vendor"}))),IF(D42&lt;15000,LOOKUP(RAND(),{0,0.4,0.7,0.92},{"River","Rainwater","Borehole","Vendor"}),IF(D42&lt;30000,LOOKUP(RAND(),{0,0.3,0.6,0.85},{"River","Rainwater","Borehole","Vendor"}),LOOKUP(RAND(),{0,0.2,0.5,0.75},{"River","Rainwater","Borehole","Vendor"}))))))</f>
        <v>Vendor</v>
      </c>
      <c r="F42">
        <f t="shared" ca="1" si="1"/>
        <v>23</v>
      </c>
      <c r="G42">
        <f t="shared" ca="1" si="2"/>
        <v>1.9</v>
      </c>
      <c r="H42">
        <f t="shared" ca="1" si="3"/>
        <v>3900</v>
      </c>
      <c r="I42">
        <f t="shared" ca="1" si="4"/>
        <v>0.86414828924081499</v>
      </c>
      <c r="J42">
        <v>0</v>
      </c>
    </row>
    <row r="43" spans="1:10" x14ac:dyDescent="0.3">
      <c r="A43" t="str">
        <f t="shared" si="5"/>
        <v>HH042</v>
      </c>
      <c r="B43" t="str">
        <f ca="1">LOOKUP(RAND(),{0,0.28,0.55,0.78},{"Oloitoktok A","Oloitoktok B","Kiserian","Namanga"})</f>
        <v>Kiserian</v>
      </c>
      <c r="C43">
        <f ca="1">LOOKUP(RAND(),{0,0.02,0.09,0.2,0.35,0.52,0.68,0.81,0.91,0.97},{1,2,3,4,5,6,7,8,9,10})</f>
        <v>4</v>
      </c>
      <c r="D43">
        <f t="shared" ca="1" si="0"/>
        <v>75800</v>
      </c>
      <c r="E43" t="str">
        <f ca="1">IF(B43="Oloitoktok A",IF(D43&lt;15000,LOOKUP(RAND(),{0,0.45,0.75,0.92},{"River","Rainwater","Borehole","Vendor"}),IF(D43&lt;30000,LOOKUP(RAND(),{0,0.35,0.65,0.85},{"River","Rainwater","Borehole","Vendor"}),LOOKUP(RAND(),{0,0.25,0.5,0.75},{"River","Rainwater","Borehole","Vendor"}))),IF(B43="Oloitoktok B",IF(D43&lt;15000,LOOKUP(RAND(),{0,0.5,0.78,0.94},{"River","Rainwater","Borehole","Vendor"}),IF(D43&lt;30000,LOOKUP(RAND(),{0,0.4,0.68,0.87},{"River","Rainwater","Borehole","Vendor"}),LOOKUP(RAND(),{0,0.28,0.55,0.78},{"River","Rainwater","Borehole","Vendor"}))),IF(B43="Kiserian",IF(D43&lt;15000,LOOKUP(RAND(),{0,0.35,0.65,0.9},{"River","Rainwater","Borehole","Vendor"}),IF(D43&lt;30000,LOOKUP(RAND(),{0,0.25,0.55,0.82},{"River","Rainwater","Borehole","Vendor"}),LOOKUP(RAND(),{0,0.15,0.45,0.72},{"River","Rainwater","Borehole","Vendor"}))),IF(D43&lt;15000,LOOKUP(RAND(),{0,0.4,0.7,0.92},{"River","Rainwater","Borehole","Vendor"}),IF(D43&lt;30000,LOOKUP(RAND(),{0,0.3,0.6,0.85},{"River","Rainwater","Borehole","Vendor"}),LOOKUP(RAND(),{0,0.2,0.5,0.75},{"River","Rainwater","Borehole","Vendor"}))))))</f>
        <v>Rainwater</v>
      </c>
      <c r="F43">
        <f t="shared" ca="1" si="1"/>
        <v>46</v>
      </c>
      <c r="G43">
        <f t="shared" ca="1" si="2"/>
        <v>3.4</v>
      </c>
      <c r="H43">
        <f t="shared" ca="1" si="3"/>
        <v>9600</v>
      </c>
      <c r="I43">
        <f t="shared" ca="1" si="4"/>
        <v>0.40350891768204766</v>
      </c>
      <c r="J43">
        <v>0</v>
      </c>
    </row>
    <row r="44" spans="1:10" x14ac:dyDescent="0.3">
      <c r="A44" t="str">
        <f t="shared" si="5"/>
        <v>HH043</v>
      </c>
      <c r="B44" t="str">
        <f ca="1">LOOKUP(RAND(),{0,0.28,0.55,0.78},{"Oloitoktok A","Oloitoktok B","Kiserian","Namanga"})</f>
        <v>Oloitoktok A</v>
      </c>
      <c r="C44">
        <f ca="1">LOOKUP(RAND(),{0,0.02,0.09,0.2,0.35,0.52,0.68,0.81,0.91,0.97},{1,2,3,4,5,6,7,8,9,10})</f>
        <v>8</v>
      </c>
      <c r="D44">
        <f t="shared" ca="1" si="0"/>
        <v>28200</v>
      </c>
      <c r="E44" t="str">
        <f ca="1">IF(B44="Oloitoktok A",IF(D44&lt;15000,LOOKUP(RAND(),{0,0.45,0.75,0.92},{"River","Rainwater","Borehole","Vendor"}),IF(D44&lt;30000,LOOKUP(RAND(),{0,0.35,0.65,0.85},{"River","Rainwater","Borehole","Vendor"}),LOOKUP(RAND(),{0,0.25,0.5,0.75},{"River","Rainwater","Borehole","Vendor"}))),IF(B44="Oloitoktok B",IF(D44&lt;15000,LOOKUP(RAND(),{0,0.5,0.78,0.94},{"River","Rainwater","Borehole","Vendor"}),IF(D44&lt;30000,LOOKUP(RAND(),{0,0.4,0.68,0.87},{"River","Rainwater","Borehole","Vendor"}),LOOKUP(RAND(),{0,0.28,0.55,0.78},{"River","Rainwater","Borehole","Vendor"}))),IF(B44="Kiserian",IF(D44&lt;15000,LOOKUP(RAND(),{0,0.35,0.65,0.9},{"River","Rainwater","Borehole","Vendor"}),IF(D44&lt;30000,LOOKUP(RAND(),{0,0.25,0.55,0.82},{"River","Rainwater","Borehole","Vendor"}),LOOKUP(RAND(),{0,0.15,0.45,0.72},{"River","Rainwater","Borehole","Vendor"}))),IF(D44&lt;15000,LOOKUP(RAND(),{0,0.4,0.7,0.92},{"River","Rainwater","Borehole","Vendor"}),IF(D44&lt;30000,LOOKUP(RAND(),{0,0.3,0.6,0.85},{"River","Rainwater","Borehole","Vendor"}),LOOKUP(RAND(),{0,0.2,0.5,0.75},{"River","Rainwater","Borehole","Vendor"}))))))</f>
        <v>Borehole</v>
      </c>
      <c r="F44">
        <f t="shared" ca="1" si="1"/>
        <v>53</v>
      </c>
      <c r="G44">
        <f t="shared" ca="1" si="2"/>
        <v>1.6</v>
      </c>
      <c r="H44">
        <f t="shared" ca="1" si="3"/>
        <v>300</v>
      </c>
      <c r="I44">
        <f t="shared" ca="1" si="4"/>
        <v>0.84895021338630272</v>
      </c>
      <c r="J44">
        <v>0</v>
      </c>
    </row>
    <row r="45" spans="1:10" x14ac:dyDescent="0.3">
      <c r="A45" t="str">
        <f t="shared" si="5"/>
        <v>HH044</v>
      </c>
      <c r="B45" t="str">
        <f ca="1">LOOKUP(RAND(),{0,0.28,0.55,0.78},{"Oloitoktok A","Oloitoktok B","Kiserian","Namanga"})</f>
        <v>Namanga</v>
      </c>
      <c r="C45">
        <f ca="1">LOOKUP(RAND(),{0,0.02,0.09,0.2,0.35,0.52,0.68,0.81,0.91,0.97},{1,2,3,4,5,6,7,8,9,10})</f>
        <v>7</v>
      </c>
      <c r="D45">
        <f t="shared" ca="1" si="0"/>
        <v>24300</v>
      </c>
      <c r="E45" t="str">
        <f ca="1">IF(B45="Oloitoktok A",IF(D45&lt;15000,LOOKUP(RAND(),{0,0.45,0.75,0.92},{"River","Rainwater","Borehole","Vendor"}),IF(D45&lt;30000,LOOKUP(RAND(),{0,0.35,0.65,0.85},{"River","Rainwater","Borehole","Vendor"}),LOOKUP(RAND(),{0,0.25,0.5,0.75},{"River","Rainwater","Borehole","Vendor"}))),IF(B45="Oloitoktok B",IF(D45&lt;15000,LOOKUP(RAND(),{0,0.5,0.78,0.94},{"River","Rainwater","Borehole","Vendor"}),IF(D45&lt;30000,LOOKUP(RAND(),{0,0.4,0.68,0.87},{"River","Rainwater","Borehole","Vendor"}),LOOKUP(RAND(),{0,0.28,0.55,0.78},{"River","Rainwater","Borehole","Vendor"}))),IF(B45="Kiserian",IF(D45&lt;15000,LOOKUP(RAND(),{0,0.35,0.65,0.9},{"River","Rainwater","Borehole","Vendor"}),IF(D45&lt;30000,LOOKUP(RAND(),{0,0.25,0.55,0.82},{"River","Rainwater","Borehole","Vendor"}),LOOKUP(RAND(),{0,0.15,0.45,0.72},{"River","Rainwater","Borehole","Vendor"}))),IF(D45&lt;15000,LOOKUP(RAND(),{0,0.4,0.7,0.92},{"River","Rainwater","Borehole","Vendor"}),IF(D45&lt;30000,LOOKUP(RAND(),{0,0.3,0.6,0.85},{"River","Rainwater","Borehole","Vendor"}),LOOKUP(RAND(),{0,0.2,0.5,0.75},{"River","Rainwater","Borehole","Vendor"}))))))</f>
        <v>Vendor</v>
      </c>
      <c r="F45">
        <f t="shared" ca="1" si="1"/>
        <v>28</v>
      </c>
      <c r="G45">
        <f t="shared" ca="1" si="2"/>
        <v>6</v>
      </c>
      <c r="H45">
        <f t="shared" ca="1" si="3"/>
        <v>4900</v>
      </c>
      <c r="I45">
        <f t="shared" ca="1" si="4"/>
        <v>4.977410309001673E-2</v>
      </c>
      <c r="J45">
        <v>0</v>
      </c>
    </row>
    <row r="46" spans="1:10" x14ac:dyDescent="0.3">
      <c r="A46" t="str">
        <f t="shared" si="5"/>
        <v>HH045</v>
      </c>
      <c r="B46" t="str">
        <f ca="1">LOOKUP(RAND(),{0,0.28,0.55,0.78},{"Oloitoktok A","Oloitoktok B","Kiserian","Namanga"})</f>
        <v>Oloitoktok A</v>
      </c>
      <c r="C46">
        <f ca="1">LOOKUP(RAND(),{0,0.02,0.09,0.2,0.35,0.52,0.68,0.81,0.91,0.97},{1,2,3,4,5,6,7,8,9,10})</f>
        <v>5</v>
      </c>
      <c r="D46">
        <f t="shared" ca="1" si="0"/>
        <v>43300</v>
      </c>
      <c r="E46" t="str">
        <f ca="1">IF(B46="Oloitoktok A",IF(D46&lt;15000,LOOKUP(RAND(),{0,0.45,0.75,0.92},{"River","Rainwater","Borehole","Vendor"}),IF(D46&lt;30000,LOOKUP(RAND(),{0,0.35,0.65,0.85},{"River","Rainwater","Borehole","Vendor"}),LOOKUP(RAND(),{0,0.25,0.5,0.75},{"River","Rainwater","Borehole","Vendor"}))),IF(B46="Oloitoktok B",IF(D46&lt;15000,LOOKUP(RAND(),{0,0.5,0.78,0.94},{"River","Rainwater","Borehole","Vendor"}),IF(D46&lt;30000,LOOKUP(RAND(),{0,0.4,0.68,0.87},{"River","Rainwater","Borehole","Vendor"}),LOOKUP(RAND(),{0,0.28,0.55,0.78},{"River","Rainwater","Borehole","Vendor"}))),IF(B46="Kiserian",IF(D46&lt;15000,LOOKUP(RAND(),{0,0.35,0.65,0.9},{"River","Rainwater","Borehole","Vendor"}),IF(D46&lt;30000,LOOKUP(RAND(),{0,0.25,0.55,0.82},{"River","Rainwater","Borehole","Vendor"}),LOOKUP(RAND(),{0,0.15,0.45,0.72},{"River","Rainwater","Borehole","Vendor"}))),IF(D46&lt;15000,LOOKUP(RAND(),{0,0.4,0.7,0.92},{"River","Rainwater","Borehole","Vendor"}),IF(D46&lt;30000,LOOKUP(RAND(),{0,0.3,0.6,0.85},{"River","Rainwater","Borehole","Vendor"}),LOOKUP(RAND(),{0,0.2,0.5,0.75},{"River","Rainwater","Borehole","Vendor"}))))))</f>
        <v>Vendor</v>
      </c>
      <c r="F46">
        <f t="shared" ca="1" si="1"/>
        <v>35</v>
      </c>
      <c r="G46">
        <f t="shared" ca="1" si="2"/>
        <v>11.1</v>
      </c>
      <c r="H46">
        <f t="shared" ca="1" si="3"/>
        <v>0</v>
      </c>
      <c r="I46">
        <f t="shared" ca="1" si="4"/>
        <v>0.78964741348035572</v>
      </c>
      <c r="J46">
        <v>0</v>
      </c>
    </row>
    <row r="47" spans="1:10" x14ac:dyDescent="0.3">
      <c r="A47" t="str">
        <f t="shared" si="5"/>
        <v>HH046</v>
      </c>
      <c r="B47" t="str">
        <f ca="1">LOOKUP(RAND(),{0,0.28,0.55,0.78},{"Oloitoktok A","Oloitoktok B","Kiserian","Namanga"})</f>
        <v>Oloitoktok B</v>
      </c>
      <c r="C47">
        <f ca="1">LOOKUP(RAND(),{0,0.02,0.09,0.2,0.35,0.52,0.68,0.81,0.91,0.97},{1,2,3,4,5,6,7,8,9,10})</f>
        <v>4</v>
      </c>
      <c r="D47">
        <f t="shared" ca="1" si="0"/>
        <v>34300</v>
      </c>
      <c r="E47" t="str">
        <f ca="1">IF(B47="Oloitoktok A",IF(D47&lt;15000,LOOKUP(RAND(),{0,0.45,0.75,0.92},{"River","Rainwater","Borehole","Vendor"}),IF(D47&lt;30000,LOOKUP(RAND(),{0,0.35,0.65,0.85},{"River","Rainwater","Borehole","Vendor"}),LOOKUP(RAND(),{0,0.25,0.5,0.75},{"River","Rainwater","Borehole","Vendor"}))),IF(B47="Oloitoktok B",IF(D47&lt;15000,LOOKUP(RAND(),{0,0.5,0.78,0.94},{"River","Rainwater","Borehole","Vendor"}),IF(D47&lt;30000,LOOKUP(RAND(),{0,0.4,0.68,0.87},{"River","Rainwater","Borehole","Vendor"}),LOOKUP(RAND(),{0,0.28,0.55,0.78},{"River","Rainwater","Borehole","Vendor"}))),IF(B47="Kiserian",IF(D47&lt;15000,LOOKUP(RAND(),{0,0.35,0.65,0.9},{"River","Rainwater","Borehole","Vendor"}),IF(D47&lt;30000,LOOKUP(RAND(),{0,0.25,0.55,0.82},{"River","Rainwater","Borehole","Vendor"}),LOOKUP(RAND(),{0,0.15,0.45,0.72},{"River","Rainwater","Borehole","Vendor"}))),IF(D47&lt;15000,LOOKUP(RAND(),{0,0.4,0.7,0.92},{"River","Rainwater","Borehole","Vendor"}),IF(D47&lt;30000,LOOKUP(RAND(),{0,0.3,0.6,0.85},{"River","Rainwater","Borehole","Vendor"}),LOOKUP(RAND(),{0,0.2,0.5,0.75},{"River","Rainwater","Borehole","Vendor"}))))))</f>
        <v>Vendor</v>
      </c>
      <c r="F47">
        <f t="shared" ca="1" si="1"/>
        <v>26</v>
      </c>
      <c r="G47">
        <f t="shared" ca="1" si="2"/>
        <v>3.8</v>
      </c>
      <c r="H47">
        <f t="shared" ca="1" si="3"/>
        <v>2900</v>
      </c>
      <c r="I47">
        <f t="shared" ca="1" si="4"/>
        <v>0.11194325880477962</v>
      </c>
      <c r="J47">
        <v>0</v>
      </c>
    </row>
    <row r="48" spans="1:10" x14ac:dyDescent="0.3">
      <c r="A48" t="str">
        <f t="shared" si="5"/>
        <v>HH047</v>
      </c>
      <c r="B48" t="str">
        <f ca="1">LOOKUP(RAND(),{0,0.28,0.55,0.78},{"Oloitoktok A","Oloitoktok B","Kiserian","Namanga"})</f>
        <v>Namanga</v>
      </c>
      <c r="C48">
        <f ca="1">LOOKUP(RAND(),{0,0.02,0.09,0.2,0.35,0.52,0.68,0.81,0.91,0.97},{1,2,3,4,5,6,7,8,9,10})</f>
        <v>1</v>
      </c>
      <c r="D48">
        <f t="shared" ca="1" si="0"/>
        <v>25900</v>
      </c>
      <c r="E48" t="str">
        <f ca="1">IF(B48="Oloitoktok A",IF(D48&lt;15000,LOOKUP(RAND(),{0,0.45,0.75,0.92},{"River","Rainwater","Borehole","Vendor"}),IF(D48&lt;30000,LOOKUP(RAND(),{0,0.35,0.65,0.85},{"River","Rainwater","Borehole","Vendor"}),LOOKUP(RAND(),{0,0.25,0.5,0.75},{"River","Rainwater","Borehole","Vendor"}))),IF(B48="Oloitoktok B",IF(D48&lt;15000,LOOKUP(RAND(),{0,0.5,0.78,0.94},{"River","Rainwater","Borehole","Vendor"}),IF(D48&lt;30000,LOOKUP(RAND(),{0,0.4,0.68,0.87},{"River","Rainwater","Borehole","Vendor"}),LOOKUP(RAND(),{0,0.28,0.55,0.78},{"River","Rainwater","Borehole","Vendor"}))),IF(B48="Kiserian",IF(D48&lt;15000,LOOKUP(RAND(),{0,0.35,0.65,0.9},{"River","Rainwater","Borehole","Vendor"}),IF(D48&lt;30000,LOOKUP(RAND(),{0,0.25,0.55,0.82},{"River","Rainwater","Borehole","Vendor"}),LOOKUP(RAND(),{0,0.15,0.45,0.72},{"River","Rainwater","Borehole","Vendor"}))),IF(D48&lt;15000,LOOKUP(RAND(),{0,0.4,0.7,0.92},{"River","Rainwater","Borehole","Vendor"}),IF(D48&lt;30000,LOOKUP(RAND(),{0,0.3,0.6,0.85},{"River","Rainwater","Borehole","Vendor"}),LOOKUP(RAND(),{0,0.2,0.5,0.75},{"River","Rainwater","Borehole","Vendor"}))))))</f>
        <v>Borehole</v>
      </c>
      <c r="F48">
        <f t="shared" ca="1" si="1"/>
        <v>68</v>
      </c>
      <c r="G48">
        <f t="shared" ca="1" si="2"/>
        <v>0.9</v>
      </c>
      <c r="H48">
        <f t="shared" ca="1" si="3"/>
        <v>2400</v>
      </c>
      <c r="I48">
        <f t="shared" ca="1" si="4"/>
        <v>0.98755344906592302</v>
      </c>
      <c r="J48">
        <v>0</v>
      </c>
    </row>
    <row r="49" spans="1:10" x14ac:dyDescent="0.3">
      <c r="A49" t="str">
        <f t="shared" si="5"/>
        <v>HH048</v>
      </c>
      <c r="B49" t="str">
        <f ca="1">LOOKUP(RAND(),{0,0.28,0.55,0.78},{"Oloitoktok A","Oloitoktok B","Kiserian","Namanga"})</f>
        <v>Namanga</v>
      </c>
      <c r="C49">
        <f ca="1">LOOKUP(RAND(),{0,0.02,0.09,0.2,0.35,0.52,0.68,0.81,0.91,0.97},{1,2,3,4,5,6,7,8,9,10})</f>
        <v>4</v>
      </c>
      <c r="D49">
        <f t="shared" ca="1" si="0"/>
        <v>56600</v>
      </c>
      <c r="E49" t="str">
        <f ca="1">IF(B49="Oloitoktok A",IF(D49&lt;15000,LOOKUP(RAND(),{0,0.45,0.75,0.92},{"River","Rainwater","Borehole","Vendor"}),IF(D49&lt;30000,LOOKUP(RAND(),{0,0.35,0.65,0.85},{"River","Rainwater","Borehole","Vendor"}),LOOKUP(RAND(),{0,0.25,0.5,0.75},{"River","Rainwater","Borehole","Vendor"}))),IF(B49="Oloitoktok B",IF(D49&lt;15000,LOOKUP(RAND(),{0,0.5,0.78,0.94},{"River","Rainwater","Borehole","Vendor"}),IF(D49&lt;30000,LOOKUP(RAND(),{0,0.4,0.68,0.87},{"River","Rainwater","Borehole","Vendor"}),LOOKUP(RAND(),{0,0.28,0.55,0.78},{"River","Rainwater","Borehole","Vendor"}))),IF(B49="Kiserian",IF(D49&lt;15000,LOOKUP(RAND(),{0,0.35,0.65,0.9},{"River","Rainwater","Borehole","Vendor"}),IF(D49&lt;30000,LOOKUP(RAND(),{0,0.25,0.55,0.82},{"River","Rainwater","Borehole","Vendor"}),LOOKUP(RAND(),{0,0.15,0.45,0.72},{"River","Rainwater","Borehole","Vendor"}))),IF(D49&lt;15000,LOOKUP(RAND(),{0,0.4,0.7,0.92},{"River","Rainwater","Borehole","Vendor"}),IF(D49&lt;30000,LOOKUP(RAND(),{0,0.3,0.6,0.85},{"River","Rainwater","Borehole","Vendor"}),LOOKUP(RAND(),{0,0.2,0.5,0.75},{"River","Rainwater","Borehole","Vendor"}))))))</f>
        <v>Borehole</v>
      </c>
      <c r="F49">
        <f t="shared" ca="1" si="1"/>
        <v>43</v>
      </c>
      <c r="G49">
        <f t="shared" ca="1" si="2"/>
        <v>11.6</v>
      </c>
      <c r="H49">
        <f t="shared" ca="1" si="3"/>
        <v>8700</v>
      </c>
      <c r="I49">
        <f t="shared" ca="1" si="4"/>
        <v>0.13484285291647324</v>
      </c>
      <c r="J49">
        <v>0</v>
      </c>
    </row>
    <row r="50" spans="1:10" x14ac:dyDescent="0.3">
      <c r="A50" t="str">
        <f t="shared" si="5"/>
        <v>HH049</v>
      </c>
      <c r="B50" t="str">
        <f ca="1">LOOKUP(RAND(),{0,0.28,0.55,0.78},{"Oloitoktok A","Oloitoktok B","Kiserian","Namanga"})</f>
        <v>Oloitoktok A</v>
      </c>
      <c r="C50">
        <f ca="1">LOOKUP(RAND(),{0,0.02,0.09,0.2,0.35,0.52,0.68,0.81,0.91,0.97},{1,2,3,4,5,6,7,8,9,10})</f>
        <v>8</v>
      </c>
      <c r="D50">
        <f t="shared" ca="1" si="0"/>
        <v>70200</v>
      </c>
      <c r="E50" t="str">
        <f ca="1">IF(B50="Oloitoktok A",IF(D50&lt;15000,LOOKUP(RAND(),{0,0.45,0.75,0.92},{"River","Rainwater","Borehole","Vendor"}),IF(D50&lt;30000,LOOKUP(RAND(),{0,0.35,0.65,0.85},{"River","Rainwater","Borehole","Vendor"}),LOOKUP(RAND(),{0,0.25,0.5,0.75},{"River","Rainwater","Borehole","Vendor"}))),IF(B50="Oloitoktok B",IF(D50&lt;15000,LOOKUP(RAND(),{0,0.5,0.78,0.94},{"River","Rainwater","Borehole","Vendor"}),IF(D50&lt;30000,LOOKUP(RAND(),{0,0.4,0.68,0.87},{"River","Rainwater","Borehole","Vendor"}),LOOKUP(RAND(),{0,0.28,0.55,0.78},{"River","Rainwater","Borehole","Vendor"}))),IF(B50="Kiserian",IF(D50&lt;15000,LOOKUP(RAND(),{0,0.35,0.65,0.9},{"River","Rainwater","Borehole","Vendor"}),IF(D50&lt;30000,LOOKUP(RAND(),{0,0.25,0.55,0.82},{"River","Rainwater","Borehole","Vendor"}),LOOKUP(RAND(),{0,0.15,0.45,0.72},{"River","Rainwater","Borehole","Vendor"}))),IF(D50&lt;15000,LOOKUP(RAND(),{0,0.4,0.7,0.92},{"River","Rainwater","Borehole","Vendor"}),IF(D50&lt;30000,LOOKUP(RAND(),{0,0.3,0.6,0.85},{"River","Rainwater","Borehole","Vendor"}),LOOKUP(RAND(),{0,0.2,0.5,0.75},{"River","Rainwater","Borehole","Vendor"}))))))</f>
        <v>Vendor</v>
      </c>
      <c r="F50">
        <f t="shared" ca="1" si="1"/>
        <v>53</v>
      </c>
      <c r="G50">
        <f t="shared" ca="1" si="2"/>
        <v>3.6</v>
      </c>
      <c r="H50">
        <f t="shared" ca="1" si="3"/>
        <v>6700</v>
      </c>
      <c r="I50">
        <f t="shared" ca="1" si="4"/>
        <v>0.33721226558804884</v>
      </c>
      <c r="J50">
        <v>0</v>
      </c>
    </row>
    <row r="51" spans="1:10" x14ac:dyDescent="0.3">
      <c r="A51" t="str">
        <f t="shared" si="5"/>
        <v>HH050</v>
      </c>
      <c r="B51" t="str">
        <f ca="1">LOOKUP(RAND(),{0,0.28,0.55,0.78},{"Oloitoktok A","Oloitoktok B","Kiserian","Namanga"})</f>
        <v>Namanga</v>
      </c>
      <c r="C51">
        <f ca="1">LOOKUP(RAND(),{0,0.02,0.09,0.2,0.35,0.52,0.68,0.81,0.91,0.97},{1,2,3,4,5,6,7,8,9,10})</f>
        <v>2</v>
      </c>
      <c r="D51">
        <f t="shared" ca="1" si="0"/>
        <v>27700</v>
      </c>
      <c r="E51" t="str">
        <f ca="1">IF(B51="Oloitoktok A",IF(D51&lt;15000,LOOKUP(RAND(),{0,0.45,0.75,0.92},{"River","Rainwater","Borehole","Vendor"}),IF(D51&lt;30000,LOOKUP(RAND(),{0,0.35,0.65,0.85},{"River","Rainwater","Borehole","Vendor"}),LOOKUP(RAND(),{0,0.25,0.5,0.75},{"River","Rainwater","Borehole","Vendor"}))),IF(B51="Oloitoktok B",IF(D51&lt;15000,LOOKUP(RAND(),{0,0.5,0.78,0.94},{"River","Rainwater","Borehole","Vendor"}),IF(D51&lt;30000,LOOKUP(RAND(),{0,0.4,0.68,0.87},{"River","Rainwater","Borehole","Vendor"}),LOOKUP(RAND(),{0,0.28,0.55,0.78},{"River","Rainwater","Borehole","Vendor"}))),IF(B51="Kiserian",IF(D51&lt;15000,LOOKUP(RAND(),{0,0.35,0.65,0.9},{"River","Rainwater","Borehole","Vendor"}),IF(D51&lt;30000,LOOKUP(RAND(),{0,0.25,0.55,0.82},{"River","Rainwater","Borehole","Vendor"}),LOOKUP(RAND(),{0,0.15,0.45,0.72},{"River","Rainwater","Borehole","Vendor"}))),IF(D51&lt;15000,LOOKUP(RAND(),{0,0.4,0.7,0.92},{"River","Rainwater","Borehole","Vendor"}),IF(D51&lt;30000,LOOKUP(RAND(),{0,0.3,0.6,0.85},{"River","Rainwater","Borehole","Vendor"}),LOOKUP(RAND(),{0,0.2,0.5,0.75},{"River","Rainwater","Borehole","Vendor"}))))))</f>
        <v>Borehole</v>
      </c>
      <c r="F51">
        <f t="shared" ca="1" si="1"/>
        <v>43</v>
      </c>
      <c r="G51">
        <f t="shared" ca="1" si="2"/>
        <v>9.6</v>
      </c>
      <c r="H51">
        <f t="shared" ca="1" si="3"/>
        <v>3700</v>
      </c>
      <c r="I51">
        <f t="shared" ca="1" si="4"/>
        <v>0.20107107188196627</v>
      </c>
      <c r="J51">
        <v>0</v>
      </c>
    </row>
    <row r="52" spans="1:10" x14ac:dyDescent="0.3">
      <c r="A52" t="str">
        <f t="shared" si="5"/>
        <v>HH051</v>
      </c>
      <c r="B52" t="str">
        <f ca="1">LOOKUP(RAND(),{0,0.28,0.55,0.78},{"Oloitoktok A","Oloitoktok B","Kiserian","Namanga"})</f>
        <v>Kiserian</v>
      </c>
      <c r="C52">
        <f ca="1">LOOKUP(RAND(),{0,0.02,0.09,0.2,0.35,0.52,0.68,0.81,0.91,0.97},{1,2,3,4,5,6,7,8,9,10})</f>
        <v>4</v>
      </c>
      <c r="D52">
        <f t="shared" ca="1" si="0"/>
        <v>35600</v>
      </c>
      <c r="E52" t="str">
        <f ca="1">IF(B52="Oloitoktok A",IF(D52&lt;15000,LOOKUP(RAND(),{0,0.45,0.75,0.92},{"River","Rainwater","Borehole","Vendor"}),IF(D52&lt;30000,LOOKUP(RAND(),{0,0.35,0.65,0.85},{"River","Rainwater","Borehole","Vendor"}),LOOKUP(RAND(),{0,0.25,0.5,0.75},{"River","Rainwater","Borehole","Vendor"}))),IF(B52="Oloitoktok B",IF(D52&lt;15000,LOOKUP(RAND(),{0,0.5,0.78,0.94},{"River","Rainwater","Borehole","Vendor"}),IF(D52&lt;30000,LOOKUP(RAND(),{0,0.4,0.68,0.87},{"River","Rainwater","Borehole","Vendor"}),LOOKUP(RAND(),{0,0.28,0.55,0.78},{"River","Rainwater","Borehole","Vendor"}))),IF(B52="Kiserian",IF(D52&lt;15000,LOOKUP(RAND(),{0,0.35,0.65,0.9},{"River","Rainwater","Borehole","Vendor"}),IF(D52&lt;30000,LOOKUP(RAND(),{0,0.25,0.55,0.82},{"River","Rainwater","Borehole","Vendor"}),LOOKUP(RAND(),{0,0.15,0.45,0.72},{"River","Rainwater","Borehole","Vendor"}))),IF(D52&lt;15000,LOOKUP(RAND(),{0,0.4,0.7,0.92},{"River","Rainwater","Borehole","Vendor"}),IF(D52&lt;30000,LOOKUP(RAND(),{0,0.3,0.6,0.85},{"River","Rainwater","Borehole","Vendor"}),LOOKUP(RAND(),{0,0.2,0.5,0.75},{"River","Rainwater","Borehole","Vendor"}))))))</f>
        <v>Rainwater</v>
      </c>
      <c r="F52">
        <f t="shared" ca="1" si="1"/>
        <v>37</v>
      </c>
      <c r="G52">
        <f t="shared" ca="1" si="2"/>
        <v>2.6</v>
      </c>
      <c r="H52">
        <f t="shared" ca="1" si="3"/>
        <v>5000</v>
      </c>
      <c r="I52">
        <f t="shared" ca="1" si="4"/>
        <v>0.37746383403530626</v>
      </c>
      <c r="J52">
        <v>0</v>
      </c>
    </row>
    <row r="53" spans="1:10" x14ac:dyDescent="0.3">
      <c r="A53" t="str">
        <f t="shared" si="5"/>
        <v>HH052</v>
      </c>
      <c r="B53" t="str">
        <f ca="1">LOOKUP(RAND(),{0,0.28,0.55,0.78},{"Oloitoktok A","Oloitoktok B","Kiserian","Namanga"})</f>
        <v>Oloitoktok A</v>
      </c>
      <c r="C53">
        <f ca="1">LOOKUP(RAND(),{0,0.02,0.09,0.2,0.35,0.52,0.68,0.81,0.91,0.97},{1,2,3,4,5,6,7,8,9,10})</f>
        <v>4</v>
      </c>
      <c r="D53">
        <f t="shared" ca="1" si="0"/>
        <v>9900</v>
      </c>
      <c r="E53" t="str">
        <f ca="1">IF(B53="Oloitoktok A",IF(D53&lt;15000,LOOKUP(RAND(),{0,0.45,0.75,0.92},{"River","Rainwater","Borehole","Vendor"}),IF(D53&lt;30000,LOOKUP(RAND(),{0,0.35,0.65,0.85},{"River","Rainwater","Borehole","Vendor"}),LOOKUP(RAND(),{0,0.25,0.5,0.75},{"River","Rainwater","Borehole","Vendor"}))),IF(B53="Oloitoktok B",IF(D53&lt;15000,LOOKUP(RAND(),{0,0.5,0.78,0.94},{"River","Rainwater","Borehole","Vendor"}),IF(D53&lt;30000,LOOKUP(RAND(),{0,0.4,0.68,0.87},{"River","Rainwater","Borehole","Vendor"}),LOOKUP(RAND(),{0,0.28,0.55,0.78},{"River","Rainwater","Borehole","Vendor"}))),IF(B53="Kiserian",IF(D53&lt;15000,LOOKUP(RAND(),{0,0.35,0.65,0.9},{"River","Rainwater","Borehole","Vendor"}),IF(D53&lt;30000,LOOKUP(RAND(),{0,0.25,0.55,0.82},{"River","Rainwater","Borehole","Vendor"}),LOOKUP(RAND(),{0,0.15,0.45,0.72},{"River","Rainwater","Borehole","Vendor"}))),IF(D53&lt;15000,LOOKUP(RAND(),{0,0.4,0.7,0.92},{"River","Rainwater","Borehole","Vendor"}),IF(D53&lt;30000,LOOKUP(RAND(),{0,0.3,0.6,0.85},{"River","Rainwater","Borehole","Vendor"}),LOOKUP(RAND(),{0,0.2,0.5,0.75},{"River","Rainwater","Borehole","Vendor"}))))))</f>
        <v>River</v>
      </c>
      <c r="F53">
        <f t="shared" ca="1" si="1"/>
        <v>70</v>
      </c>
      <c r="G53">
        <f t="shared" ca="1" si="2"/>
        <v>10.7</v>
      </c>
      <c r="H53">
        <f t="shared" ca="1" si="3"/>
        <v>4100</v>
      </c>
      <c r="I53">
        <f t="shared" ca="1" si="4"/>
        <v>0.34998360430958275</v>
      </c>
      <c r="J53">
        <v>0</v>
      </c>
    </row>
    <row r="54" spans="1:10" x14ac:dyDescent="0.3">
      <c r="A54" t="str">
        <f t="shared" si="5"/>
        <v>HH053</v>
      </c>
      <c r="B54" t="str">
        <f ca="1">LOOKUP(RAND(),{0,0.28,0.55,0.78},{"Oloitoktok A","Oloitoktok B","Kiserian","Namanga"})</f>
        <v>Kiserian</v>
      </c>
      <c r="C54">
        <f ca="1">LOOKUP(RAND(),{0,0.02,0.09,0.2,0.35,0.52,0.68,0.81,0.91,0.97},{1,2,3,4,5,6,7,8,9,10})</f>
        <v>2</v>
      </c>
      <c r="D54">
        <f t="shared" ca="1" si="0"/>
        <v>37800</v>
      </c>
      <c r="E54" t="str">
        <f ca="1">IF(B54="Oloitoktok A",IF(D54&lt;15000,LOOKUP(RAND(),{0,0.45,0.75,0.92},{"River","Rainwater","Borehole","Vendor"}),IF(D54&lt;30000,LOOKUP(RAND(),{0,0.35,0.65,0.85},{"River","Rainwater","Borehole","Vendor"}),LOOKUP(RAND(),{0,0.25,0.5,0.75},{"River","Rainwater","Borehole","Vendor"}))),IF(B54="Oloitoktok B",IF(D54&lt;15000,LOOKUP(RAND(),{0,0.5,0.78,0.94},{"River","Rainwater","Borehole","Vendor"}),IF(D54&lt;30000,LOOKUP(RAND(),{0,0.4,0.68,0.87},{"River","Rainwater","Borehole","Vendor"}),LOOKUP(RAND(),{0,0.28,0.55,0.78},{"River","Rainwater","Borehole","Vendor"}))),IF(B54="Kiserian",IF(D54&lt;15000,LOOKUP(RAND(),{0,0.35,0.65,0.9},{"River","Rainwater","Borehole","Vendor"}),IF(D54&lt;30000,LOOKUP(RAND(),{0,0.25,0.55,0.82},{"River","Rainwater","Borehole","Vendor"}),LOOKUP(RAND(),{0,0.15,0.45,0.72},{"River","Rainwater","Borehole","Vendor"}))),IF(D54&lt;15000,LOOKUP(RAND(),{0,0.4,0.7,0.92},{"River","Rainwater","Borehole","Vendor"}),IF(D54&lt;30000,LOOKUP(RAND(),{0,0.3,0.6,0.85},{"River","Rainwater","Borehole","Vendor"}),LOOKUP(RAND(),{0,0.2,0.5,0.75},{"River","Rainwater","Borehole","Vendor"}))))))</f>
        <v>River</v>
      </c>
      <c r="F54">
        <f t="shared" ca="1" si="1"/>
        <v>62</v>
      </c>
      <c r="G54">
        <f t="shared" ca="1" si="2"/>
        <v>8.4</v>
      </c>
      <c r="H54">
        <f t="shared" ca="1" si="3"/>
        <v>11700</v>
      </c>
      <c r="I54">
        <f t="shared" ca="1" si="4"/>
        <v>0.85984881415842895</v>
      </c>
      <c r="J54">
        <v>0</v>
      </c>
    </row>
    <row r="55" spans="1:10" x14ac:dyDescent="0.3">
      <c r="A55" t="str">
        <f t="shared" si="5"/>
        <v>HH054</v>
      </c>
      <c r="B55" t="str">
        <f ca="1">LOOKUP(RAND(),{0,0.28,0.55,0.78},{"Oloitoktok A","Oloitoktok B","Kiserian","Namanga"})</f>
        <v>Oloitoktok B</v>
      </c>
      <c r="C55">
        <f ca="1">LOOKUP(RAND(),{0,0.02,0.09,0.2,0.35,0.52,0.68,0.81,0.91,0.97},{1,2,3,4,5,6,7,8,9,10})</f>
        <v>8</v>
      </c>
      <c r="D55">
        <f t="shared" ca="1" si="0"/>
        <v>62000</v>
      </c>
      <c r="E55" t="str">
        <f ca="1">IF(B55="Oloitoktok A",IF(D55&lt;15000,LOOKUP(RAND(),{0,0.45,0.75,0.92},{"River","Rainwater","Borehole","Vendor"}),IF(D55&lt;30000,LOOKUP(RAND(),{0,0.35,0.65,0.85},{"River","Rainwater","Borehole","Vendor"}),LOOKUP(RAND(),{0,0.25,0.5,0.75},{"River","Rainwater","Borehole","Vendor"}))),IF(B55="Oloitoktok B",IF(D55&lt;15000,LOOKUP(RAND(),{0,0.5,0.78,0.94},{"River","Rainwater","Borehole","Vendor"}),IF(D55&lt;30000,LOOKUP(RAND(),{0,0.4,0.68,0.87},{"River","Rainwater","Borehole","Vendor"}),LOOKUP(RAND(),{0,0.28,0.55,0.78},{"River","Rainwater","Borehole","Vendor"}))),IF(B55="Kiserian",IF(D55&lt;15000,LOOKUP(RAND(),{0,0.35,0.65,0.9},{"River","Rainwater","Borehole","Vendor"}),IF(D55&lt;30000,LOOKUP(RAND(),{0,0.25,0.55,0.82},{"River","Rainwater","Borehole","Vendor"}),LOOKUP(RAND(),{0,0.15,0.45,0.72},{"River","Rainwater","Borehole","Vendor"}))),IF(D55&lt;15000,LOOKUP(RAND(),{0,0.4,0.7,0.92},{"River","Rainwater","Borehole","Vendor"}),IF(D55&lt;30000,LOOKUP(RAND(),{0,0.3,0.6,0.85},{"River","Rainwater","Borehole","Vendor"}),LOOKUP(RAND(),{0,0.2,0.5,0.75},{"River","Rainwater","Borehole","Vendor"}))))))</f>
        <v>River</v>
      </c>
      <c r="F55">
        <f t="shared" ca="1" si="1"/>
        <v>71</v>
      </c>
      <c r="G55">
        <f t="shared" ca="1" si="2"/>
        <v>13.2</v>
      </c>
      <c r="H55">
        <f t="shared" ca="1" si="3"/>
        <v>9600</v>
      </c>
      <c r="I55">
        <f t="shared" ca="1" si="4"/>
        <v>7.8046073047496889E-2</v>
      </c>
      <c r="J55">
        <v>0</v>
      </c>
    </row>
    <row r="56" spans="1:10" x14ac:dyDescent="0.3">
      <c r="A56" t="str">
        <f t="shared" si="5"/>
        <v>HH055</v>
      </c>
      <c r="B56" t="str">
        <f ca="1">LOOKUP(RAND(),{0,0.28,0.55,0.78},{"Oloitoktok A","Oloitoktok B","Kiserian","Namanga"})</f>
        <v>Oloitoktok B</v>
      </c>
      <c r="C56">
        <f ca="1">LOOKUP(RAND(),{0,0.02,0.09,0.2,0.35,0.52,0.68,0.81,0.91,0.97},{1,2,3,4,5,6,7,8,9,10})</f>
        <v>5</v>
      </c>
      <c r="D56">
        <f t="shared" ca="1" si="0"/>
        <v>26400</v>
      </c>
      <c r="E56" t="str">
        <f ca="1">IF(B56="Oloitoktok A",IF(D56&lt;15000,LOOKUP(RAND(),{0,0.45,0.75,0.92},{"River","Rainwater","Borehole","Vendor"}),IF(D56&lt;30000,LOOKUP(RAND(),{0,0.35,0.65,0.85},{"River","Rainwater","Borehole","Vendor"}),LOOKUP(RAND(),{0,0.25,0.5,0.75},{"River","Rainwater","Borehole","Vendor"}))),IF(B56="Oloitoktok B",IF(D56&lt;15000,LOOKUP(RAND(),{0,0.5,0.78,0.94},{"River","Rainwater","Borehole","Vendor"}),IF(D56&lt;30000,LOOKUP(RAND(),{0,0.4,0.68,0.87},{"River","Rainwater","Borehole","Vendor"}),LOOKUP(RAND(),{0,0.28,0.55,0.78},{"River","Rainwater","Borehole","Vendor"}))),IF(B56="Kiserian",IF(D56&lt;15000,LOOKUP(RAND(),{0,0.35,0.65,0.9},{"River","Rainwater","Borehole","Vendor"}),IF(D56&lt;30000,LOOKUP(RAND(),{0,0.25,0.55,0.82},{"River","Rainwater","Borehole","Vendor"}),LOOKUP(RAND(),{0,0.15,0.45,0.72},{"River","Rainwater","Borehole","Vendor"}))),IF(D56&lt;15000,LOOKUP(RAND(),{0,0.4,0.7,0.92},{"River","Rainwater","Borehole","Vendor"}),IF(D56&lt;30000,LOOKUP(RAND(),{0,0.3,0.6,0.85},{"River","Rainwater","Borehole","Vendor"}),LOOKUP(RAND(),{0,0.2,0.5,0.75},{"River","Rainwater","Borehole","Vendor"}))))))</f>
        <v>River</v>
      </c>
      <c r="F56">
        <f t="shared" ca="1" si="1"/>
        <v>81</v>
      </c>
      <c r="G56">
        <f t="shared" ca="1" si="2"/>
        <v>2.8</v>
      </c>
      <c r="H56">
        <f t="shared" ca="1" si="3"/>
        <v>1200</v>
      </c>
      <c r="I56">
        <f t="shared" ca="1" si="4"/>
        <v>0.29567306536461213</v>
      </c>
      <c r="J56">
        <v>0</v>
      </c>
    </row>
    <row r="57" spans="1:10" x14ac:dyDescent="0.3">
      <c r="A57" t="str">
        <f t="shared" si="5"/>
        <v>HH056</v>
      </c>
      <c r="B57" t="str">
        <f ca="1">LOOKUP(RAND(),{0,0.28,0.55,0.78},{"Oloitoktok A","Oloitoktok B","Kiserian","Namanga"})</f>
        <v>Kiserian</v>
      </c>
      <c r="C57">
        <f ca="1">LOOKUP(RAND(),{0,0.02,0.09,0.2,0.35,0.52,0.68,0.81,0.91,0.97},{1,2,3,4,5,6,7,8,9,10})</f>
        <v>3</v>
      </c>
      <c r="D57">
        <f t="shared" ca="1" si="0"/>
        <v>37700</v>
      </c>
      <c r="E57" t="str">
        <f ca="1">IF(B57="Oloitoktok A",IF(D57&lt;15000,LOOKUP(RAND(),{0,0.45,0.75,0.92},{"River","Rainwater","Borehole","Vendor"}),IF(D57&lt;30000,LOOKUP(RAND(),{0,0.35,0.65,0.85},{"River","Rainwater","Borehole","Vendor"}),LOOKUP(RAND(),{0,0.25,0.5,0.75},{"River","Rainwater","Borehole","Vendor"}))),IF(B57="Oloitoktok B",IF(D57&lt;15000,LOOKUP(RAND(),{0,0.5,0.78,0.94},{"River","Rainwater","Borehole","Vendor"}),IF(D57&lt;30000,LOOKUP(RAND(),{0,0.4,0.68,0.87},{"River","Rainwater","Borehole","Vendor"}),LOOKUP(RAND(),{0,0.28,0.55,0.78},{"River","Rainwater","Borehole","Vendor"}))),IF(B57="Kiserian",IF(D57&lt;15000,LOOKUP(RAND(),{0,0.35,0.65,0.9},{"River","Rainwater","Borehole","Vendor"}),IF(D57&lt;30000,LOOKUP(RAND(),{0,0.25,0.55,0.82},{"River","Rainwater","Borehole","Vendor"}),LOOKUP(RAND(),{0,0.15,0.45,0.72},{"River","Rainwater","Borehole","Vendor"}))),IF(D57&lt;15000,LOOKUP(RAND(),{0,0.4,0.7,0.92},{"River","Rainwater","Borehole","Vendor"}),IF(D57&lt;30000,LOOKUP(RAND(),{0,0.3,0.6,0.85},{"River","Rainwater","Borehole","Vendor"}),LOOKUP(RAND(),{0,0.2,0.5,0.75},{"River","Rainwater","Borehole","Vendor"}))))))</f>
        <v>River</v>
      </c>
      <c r="F57">
        <f t="shared" ca="1" si="1"/>
        <v>99</v>
      </c>
      <c r="G57">
        <f t="shared" ca="1" si="2"/>
        <v>9.4</v>
      </c>
      <c r="H57">
        <f t="shared" ca="1" si="3"/>
        <v>6300</v>
      </c>
      <c r="I57">
        <f t="shared" ca="1" si="4"/>
        <v>0.62762535283648357</v>
      </c>
      <c r="J57">
        <v>0</v>
      </c>
    </row>
    <row r="58" spans="1:10" x14ac:dyDescent="0.3">
      <c r="A58" t="str">
        <f t="shared" si="5"/>
        <v>HH057</v>
      </c>
      <c r="B58" t="str">
        <f ca="1">LOOKUP(RAND(),{0,0.28,0.55,0.78},{"Oloitoktok A","Oloitoktok B","Kiserian","Namanga"})</f>
        <v>Kiserian</v>
      </c>
      <c r="C58">
        <f ca="1">LOOKUP(RAND(),{0,0.02,0.09,0.2,0.35,0.52,0.68,0.81,0.91,0.97},{1,2,3,4,5,6,7,8,9,10})</f>
        <v>8</v>
      </c>
      <c r="D58">
        <f t="shared" ca="1" si="0"/>
        <v>23100</v>
      </c>
      <c r="E58" t="str">
        <f ca="1">IF(B58="Oloitoktok A",IF(D58&lt;15000,LOOKUP(RAND(),{0,0.45,0.75,0.92},{"River","Rainwater","Borehole","Vendor"}),IF(D58&lt;30000,LOOKUP(RAND(),{0,0.35,0.65,0.85},{"River","Rainwater","Borehole","Vendor"}),LOOKUP(RAND(),{0,0.25,0.5,0.75},{"River","Rainwater","Borehole","Vendor"}))),IF(B58="Oloitoktok B",IF(D58&lt;15000,LOOKUP(RAND(),{0,0.5,0.78,0.94},{"River","Rainwater","Borehole","Vendor"}),IF(D58&lt;30000,LOOKUP(RAND(),{0,0.4,0.68,0.87},{"River","Rainwater","Borehole","Vendor"}),LOOKUP(RAND(),{0,0.28,0.55,0.78},{"River","Rainwater","Borehole","Vendor"}))),IF(B58="Kiserian",IF(D58&lt;15000,LOOKUP(RAND(),{0,0.35,0.65,0.9},{"River","Rainwater","Borehole","Vendor"}),IF(D58&lt;30000,LOOKUP(RAND(),{0,0.25,0.55,0.82},{"River","Rainwater","Borehole","Vendor"}),LOOKUP(RAND(),{0,0.15,0.45,0.72},{"River","Rainwater","Borehole","Vendor"}))),IF(D58&lt;15000,LOOKUP(RAND(),{0,0.4,0.7,0.92},{"River","Rainwater","Borehole","Vendor"}),IF(D58&lt;30000,LOOKUP(RAND(),{0,0.3,0.6,0.85},{"River","Rainwater","Borehole","Vendor"}),LOOKUP(RAND(),{0,0.2,0.5,0.75},{"River","Rainwater","Borehole","Vendor"}))))))</f>
        <v>Borehole</v>
      </c>
      <c r="F58">
        <f t="shared" ca="1" si="1"/>
        <v>30</v>
      </c>
      <c r="G58">
        <f t="shared" ca="1" si="2"/>
        <v>3.7</v>
      </c>
      <c r="H58">
        <f t="shared" ca="1" si="3"/>
        <v>2200</v>
      </c>
      <c r="I58">
        <f t="shared" ca="1" si="4"/>
        <v>6.6355237357926922E-2</v>
      </c>
      <c r="J58">
        <v>0</v>
      </c>
    </row>
    <row r="59" spans="1:10" x14ac:dyDescent="0.3">
      <c r="A59" t="str">
        <f t="shared" si="5"/>
        <v>HH058</v>
      </c>
      <c r="B59" t="str">
        <f ca="1">LOOKUP(RAND(),{0,0.28,0.55,0.78},{"Oloitoktok A","Oloitoktok B","Kiserian","Namanga"})</f>
        <v>Namanga</v>
      </c>
      <c r="C59">
        <f ca="1">LOOKUP(RAND(),{0,0.02,0.09,0.2,0.35,0.52,0.68,0.81,0.91,0.97},{1,2,3,4,5,6,7,8,9,10})</f>
        <v>4</v>
      </c>
      <c r="D59">
        <f t="shared" ca="1" si="0"/>
        <v>48900</v>
      </c>
      <c r="E59" t="str">
        <f ca="1">IF(B59="Oloitoktok A",IF(D59&lt;15000,LOOKUP(RAND(),{0,0.45,0.75,0.92},{"River","Rainwater","Borehole","Vendor"}),IF(D59&lt;30000,LOOKUP(RAND(),{0,0.35,0.65,0.85},{"River","Rainwater","Borehole","Vendor"}),LOOKUP(RAND(),{0,0.25,0.5,0.75},{"River","Rainwater","Borehole","Vendor"}))),IF(B59="Oloitoktok B",IF(D59&lt;15000,LOOKUP(RAND(),{0,0.5,0.78,0.94},{"River","Rainwater","Borehole","Vendor"}),IF(D59&lt;30000,LOOKUP(RAND(),{0,0.4,0.68,0.87},{"River","Rainwater","Borehole","Vendor"}),LOOKUP(RAND(),{0,0.28,0.55,0.78},{"River","Rainwater","Borehole","Vendor"}))),IF(B59="Kiserian",IF(D59&lt;15000,LOOKUP(RAND(),{0,0.35,0.65,0.9},{"River","Rainwater","Borehole","Vendor"}),IF(D59&lt;30000,LOOKUP(RAND(),{0,0.25,0.55,0.82},{"River","Rainwater","Borehole","Vendor"}),LOOKUP(RAND(),{0,0.15,0.45,0.72},{"River","Rainwater","Borehole","Vendor"}))),IF(D59&lt;15000,LOOKUP(RAND(),{0,0.4,0.7,0.92},{"River","Rainwater","Borehole","Vendor"}),IF(D59&lt;30000,LOOKUP(RAND(),{0,0.3,0.6,0.85},{"River","Rainwater","Borehole","Vendor"}),LOOKUP(RAND(),{0,0.2,0.5,0.75},{"River","Rainwater","Borehole","Vendor"}))))))</f>
        <v>Vendor</v>
      </c>
      <c r="F59">
        <f t="shared" ca="1" si="1"/>
        <v>35</v>
      </c>
      <c r="G59">
        <f t="shared" ca="1" si="2"/>
        <v>6.4</v>
      </c>
      <c r="H59">
        <f t="shared" ca="1" si="3"/>
        <v>4100</v>
      </c>
      <c r="I59">
        <f t="shared" ca="1" si="4"/>
        <v>0.38637954892111093</v>
      </c>
      <c r="J59">
        <v>0</v>
      </c>
    </row>
    <row r="60" spans="1:10" x14ac:dyDescent="0.3">
      <c r="A60" t="str">
        <f t="shared" si="5"/>
        <v>HH059</v>
      </c>
      <c r="B60" t="str">
        <f ca="1">LOOKUP(RAND(),{0,0.28,0.55,0.78},{"Oloitoktok A","Oloitoktok B","Kiserian","Namanga"})</f>
        <v>Kiserian</v>
      </c>
      <c r="C60">
        <f ca="1">LOOKUP(RAND(),{0,0.02,0.09,0.2,0.35,0.52,0.68,0.81,0.91,0.97},{1,2,3,4,5,6,7,8,9,10})</f>
        <v>6</v>
      </c>
      <c r="D60">
        <f t="shared" ca="1" si="0"/>
        <v>27300</v>
      </c>
      <c r="E60" t="str">
        <f ca="1">IF(B60="Oloitoktok A",IF(D60&lt;15000,LOOKUP(RAND(),{0,0.45,0.75,0.92},{"River","Rainwater","Borehole","Vendor"}),IF(D60&lt;30000,LOOKUP(RAND(),{0,0.35,0.65,0.85},{"River","Rainwater","Borehole","Vendor"}),LOOKUP(RAND(),{0,0.25,0.5,0.75},{"River","Rainwater","Borehole","Vendor"}))),IF(B60="Oloitoktok B",IF(D60&lt;15000,LOOKUP(RAND(),{0,0.5,0.78,0.94},{"River","Rainwater","Borehole","Vendor"}),IF(D60&lt;30000,LOOKUP(RAND(),{0,0.4,0.68,0.87},{"River","Rainwater","Borehole","Vendor"}),LOOKUP(RAND(),{0,0.28,0.55,0.78},{"River","Rainwater","Borehole","Vendor"}))),IF(B60="Kiserian",IF(D60&lt;15000,LOOKUP(RAND(),{0,0.35,0.65,0.9},{"River","Rainwater","Borehole","Vendor"}),IF(D60&lt;30000,LOOKUP(RAND(),{0,0.25,0.55,0.82},{"River","Rainwater","Borehole","Vendor"}),LOOKUP(RAND(),{0,0.15,0.45,0.72},{"River","Rainwater","Borehole","Vendor"}))),IF(D60&lt;15000,LOOKUP(RAND(),{0,0.4,0.7,0.92},{"River","Rainwater","Borehole","Vendor"}),IF(D60&lt;30000,LOOKUP(RAND(),{0,0.3,0.6,0.85},{"River","Rainwater","Borehole","Vendor"}),LOOKUP(RAND(),{0,0.2,0.5,0.75},{"River","Rainwater","Borehole","Vendor"}))))))</f>
        <v>River</v>
      </c>
      <c r="F60">
        <f t="shared" ca="1" si="1"/>
        <v>78</v>
      </c>
      <c r="G60">
        <f t="shared" ca="1" si="2"/>
        <v>0.8</v>
      </c>
      <c r="H60">
        <f t="shared" ca="1" si="3"/>
        <v>2900</v>
      </c>
      <c r="I60">
        <f t="shared" ca="1" si="4"/>
        <v>0.40288612942065472</v>
      </c>
      <c r="J60">
        <v>0</v>
      </c>
    </row>
    <row r="61" spans="1:10" x14ac:dyDescent="0.3">
      <c r="A61" t="str">
        <f t="shared" si="5"/>
        <v>HH060</v>
      </c>
      <c r="B61" t="str">
        <f ca="1">LOOKUP(RAND(),{0,0.28,0.55,0.78},{"Oloitoktok A","Oloitoktok B","Kiserian","Namanga"})</f>
        <v>Oloitoktok A</v>
      </c>
      <c r="C61">
        <f ca="1">LOOKUP(RAND(),{0,0.02,0.09,0.2,0.35,0.52,0.68,0.81,0.91,0.97},{1,2,3,4,5,6,7,8,9,10})</f>
        <v>4</v>
      </c>
      <c r="D61">
        <f t="shared" ca="1" si="0"/>
        <v>30000</v>
      </c>
      <c r="E61" t="str">
        <f ca="1">IF(B61="Oloitoktok A",IF(D61&lt;15000,LOOKUP(RAND(),{0,0.45,0.75,0.92},{"River","Rainwater","Borehole","Vendor"}),IF(D61&lt;30000,LOOKUP(RAND(),{0,0.35,0.65,0.85},{"River","Rainwater","Borehole","Vendor"}),LOOKUP(RAND(),{0,0.25,0.5,0.75},{"River","Rainwater","Borehole","Vendor"}))),IF(B61="Oloitoktok B",IF(D61&lt;15000,LOOKUP(RAND(),{0,0.5,0.78,0.94},{"River","Rainwater","Borehole","Vendor"}),IF(D61&lt;30000,LOOKUP(RAND(),{0,0.4,0.68,0.87},{"River","Rainwater","Borehole","Vendor"}),LOOKUP(RAND(),{0,0.28,0.55,0.78},{"River","Rainwater","Borehole","Vendor"}))),IF(B61="Kiserian",IF(D61&lt;15000,LOOKUP(RAND(),{0,0.35,0.65,0.9},{"River","Rainwater","Borehole","Vendor"}),IF(D61&lt;30000,LOOKUP(RAND(),{0,0.25,0.55,0.82},{"River","Rainwater","Borehole","Vendor"}),LOOKUP(RAND(),{0,0.15,0.45,0.72},{"River","Rainwater","Borehole","Vendor"}))),IF(D61&lt;15000,LOOKUP(RAND(),{0,0.4,0.7,0.92},{"River","Rainwater","Borehole","Vendor"}),IF(D61&lt;30000,LOOKUP(RAND(),{0,0.3,0.6,0.85},{"River","Rainwater","Borehole","Vendor"}),LOOKUP(RAND(),{0,0.2,0.5,0.75},{"River","Rainwater","Borehole","Vendor"}))))))</f>
        <v>Borehole</v>
      </c>
      <c r="F61">
        <f t="shared" ca="1" si="1"/>
        <v>51</v>
      </c>
      <c r="G61">
        <f t="shared" ca="1" si="2"/>
        <v>6.1</v>
      </c>
      <c r="H61">
        <f t="shared" ca="1" si="3"/>
        <v>1800</v>
      </c>
      <c r="I61">
        <f t="shared" ca="1" si="4"/>
        <v>3.6934758915894594E-2</v>
      </c>
      <c r="J61">
        <v>0</v>
      </c>
    </row>
    <row r="62" spans="1:10" x14ac:dyDescent="0.3">
      <c r="A62" t="str">
        <f t="shared" si="5"/>
        <v>HH061</v>
      </c>
      <c r="B62" t="str">
        <f ca="1">LOOKUP(RAND(),{0,0.28,0.55,0.78},{"Oloitoktok A","Oloitoktok B","Kiserian","Namanga"})</f>
        <v>Oloitoktok A</v>
      </c>
      <c r="C62">
        <f ca="1">LOOKUP(RAND(),{0,0.02,0.09,0.2,0.35,0.52,0.68,0.81,0.91,0.97},{1,2,3,4,5,6,7,8,9,10})</f>
        <v>6</v>
      </c>
      <c r="D62">
        <f t="shared" ca="1" si="0"/>
        <v>22900</v>
      </c>
      <c r="E62" t="str">
        <f ca="1">IF(B62="Oloitoktok A",IF(D62&lt;15000,LOOKUP(RAND(),{0,0.45,0.75,0.92},{"River","Rainwater","Borehole","Vendor"}),IF(D62&lt;30000,LOOKUP(RAND(),{0,0.35,0.65,0.85},{"River","Rainwater","Borehole","Vendor"}),LOOKUP(RAND(),{0,0.25,0.5,0.75},{"River","Rainwater","Borehole","Vendor"}))),IF(B62="Oloitoktok B",IF(D62&lt;15000,LOOKUP(RAND(),{0,0.5,0.78,0.94},{"River","Rainwater","Borehole","Vendor"}),IF(D62&lt;30000,LOOKUP(RAND(),{0,0.4,0.68,0.87},{"River","Rainwater","Borehole","Vendor"}),LOOKUP(RAND(),{0,0.28,0.55,0.78},{"River","Rainwater","Borehole","Vendor"}))),IF(B62="Kiserian",IF(D62&lt;15000,LOOKUP(RAND(),{0,0.35,0.65,0.9},{"River","Rainwater","Borehole","Vendor"}),IF(D62&lt;30000,LOOKUP(RAND(),{0,0.25,0.55,0.82},{"River","Rainwater","Borehole","Vendor"}),LOOKUP(RAND(),{0,0.15,0.45,0.72},{"River","Rainwater","Borehole","Vendor"}))),IF(D62&lt;15000,LOOKUP(RAND(),{0,0.4,0.7,0.92},{"River","Rainwater","Borehole","Vendor"}),IF(D62&lt;30000,LOOKUP(RAND(),{0,0.3,0.6,0.85},{"River","Rainwater","Borehole","Vendor"}),LOOKUP(RAND(),{0,0.2,0.5,0.75},{"River","Rainwater","Borehole","Vendor"}))))))</f>
        <v>Borehole</v>
      </c>
      <c r="F62">
        <f t="shared" ca="1" si="1"/>
        <v>40</v>
      </c>
      <c r="G62">
        <f t="shared" ca="1" si="2"/>
        <v>3.1</v>
      </c>
      <c r="H62">
        <f t="shared" ca="1" si="3"/>
        <v>13700</v>
      </c>
      <c r="I62">
        <f t="shared" ca="1" si="4"/>
        <v>0.13103678048310274</v>
      </c>
      <c r="J62">
        <v>0</v>
      </c>
    </row>
    <row r="63" spans="1:10" x14ac:dyDescent="0.3">
      <c r="A63" t="str">
        <f t="shared" si="5"/>
        <v>HH062</v>
      </c>
      <c r="B63" t="str">
        <f ca="1">LOOKUP(RAND(),{0,0.28,0.55,0.78},{"Oloitoktok A","Oloitoktok B","Kiserian","Namanga"})</f>
        <v>Oloitoktok A</v>
      </c>
      <c r="C63">
        <f ca="1">LOOKUP(RAND(),{0,0.02,0.09,0.2,0.35,0.52,0.68,0.81,0.91,0.97},{1,2,3,4,5,6,7,8,9,10})</f>
        <v>2</v>
      </c>
      <c r="D63">
        <f t="shared" ca="1" si="0"/>
        <v>72300</v>
      </c>
      <c r="E63" t="str">
        <f ca="1">IF(B63="Oloitoktok A",IF(D63&lt;15000,LOOKUP(RAND(),{0,0.45,0.75,0.92},{"River","Rainwater","Borehole","Vendor"}),IF(D63&lt;30000,LOOKUP(RAND(),{0,0.35,0.65,0.85},{"River","Rainwater","Borehole","Vendor"}),LOOKUP(RAND(),{0,0.25,0.5,0.75},{"River","Rainwater","Borehole","Vendor"}))),IF(B63="Oloitoktok B",IF(D63&lt;15000,LOOKUP(RAND(),{0,0.5,0.78,0.94},{"River","Rainwater","Borehole","Vendor"}),IF(D63&lt;30000,LOOKUP(RAND(),{0,0.4,0.68,0.87},{"River","Rainwater","Borehole","Vendor"}),LOOKUP(RAND(),{0,0.28,0.55,0.78},{"River","Rainwater","Borehole","Vendor"}))),IF(B63="Kiserian",IF(D63&lt;15000,LOOKUP(RAND(),{0,0.35,0.65,0.9},{"River","Rainwater","Borehole","Vendor"}),IF(D63&lt;30000,LOOKUP(RAND(),{0,0.25,0.55,0.82},{"River","Rainwater","Borehole","Vendor"}),LOOKUP(RAND(),{0,0.15,0.45,0.72},{"River","Rainwater","Borehole","Vendor"}))),IF(D63&lt;15000,LOOKUP(RAND(),{0,0.4,0.7,0.92},{"River","Rainwater","Borehole","Vendor"}),IF(D63&lt;30000,LOOKUP(RAND(),{0,0.3,0.6,0.85},{"River","Rainwater","Borehole","Vendor"}),LOOKUP(RAND(),{0,0.2,0.5,0.75},{"River","Rainwater","Borehole","Vendor"}))))))</f>
        <v>Borehole</v>
      </c>
      <c r="F63">
        <f t="shared" ca="1" si="1"/>
        <v>65</v>
      </c>
      <c r="G63">
        <f t="shared" ca="1" si="2"/>
        <v>3.4</v>
      </c>
      <c r="H63">
        <f t="shared" ca="1" si="3"/>
        <v>10300</v>
      </c>
      <c r="I63">
        <f t="shared" ca="1" si="4"/>
        <v>0.91756477893535826</v>
      </c>
      <c r="J63">
        <v>0</v>
      </c>
    </row>
    <row r="64" spans="1:10" x14ac:dyDescent="0.3">
      <c r="A64" t="str">
        <f t="shared" si="5"/>
        <v>HH063</v>
      </c>
      <c r="B64" t="str">
        <f ca="1">LOOKUP(RAND(),{0,0.28,0.55,0.78},{"Oloitoktok A","Oloitoktok B","Kiserian","Namanga"})</f>
        <v>Kiserian</v>
      </c>
      <c r="C64">
        <f ca="1">LOOKUP(RAND(),{0,0.02,0.09,0.2,0.35,0.52,0.68,0.81,0.91,0.97},{1,2,3,4,5,6,7,8,9,10})</f>
        <v>5</v>
      </c>
      <c r="D64">
        <f t="shared" ca="1" si="0"/>
        <v>35300</v>
      </c>
      <c r="E64" t="str">
        <f ca="1">IF(B64="Oloitoktok A",IF(D64&lt;15000,LOOKUP(RAND(),{0,0.45,0.75,0.92},{"River","Rainwater","Borehole","Vendor"}),IF(D64&lt;30000,LOOKUP(RAND(),{0,0.35,0.65,0.85},{"River","Rainwater","Borehole","Vendor"}),LOOKUP(RAND(),{0,0.25,0.5,0.75},{"River","Rainwater","Borehole","Vendor"}))),IF(B64="Oloitoktok B",IF(D64&lt;15000,LOOKUP(RAND(),{0,0.5,0.78,0.94},{"River","Rainwater","Borehole","Vendor"}),IF(D64&lt;30000,LOOKUP(RAND(),{0,0.4,0.68,0.87},{"River","Rainwater","Borehole","Vendor"}),LOOKUP(RAND(),{0,0.28,0.55,0.78},{"River","Rainwater","Borehole","Vendor"}))),IF(B64="Kiserian",IF(D64&lt;15000,LOOKUP(RAND(),{0,0.35,0.65,0.9},{"River","Rainwater","Borehole","Vendor"}),IF(D64&lt;30000,LOOKUP(RAND(),{0,0.25,0.55,0.82},{"River","Rainwater","Borehole","Vendor"}),LOOKUP(RAND(),{0,0.15,0.45,0.72},{"River","Rainwater","Borehole","Vendor"}))),IF(D64&lt;15000,LOOKUP(RAND(),{0,0.4,0.7,0.92},{"River","Rainwater","Borehole","Vendor"}),IF(D64&lt;30000,LOOKUP(RAND(),{0,0.3,0.6,0.85},{"River","Rainwater","Borehole","Vendor"}),LOOKUP(RAND(),{0,0.2,0.5,0.75},{"River","Rainwater","Borehole","Vendor"}))))))</f>
        <v>Vendor</v>
      </c>
      <c r="F64">
        <f t="shared" ca="1" si="1"/>
        <v>52</v>
      </c>
      <c r="G64">
        <f t="shared" ca="1" si="2"/>
        <v>8.5</v>
      </c>
      <c r="H64">
        <f t="shared" ca="1" si="3"/>
        <v>300</v>
      </c>
      <c r="I64">
        <f t="shared" ca="1" si="4"/>
        <v>0.64849404430594992</v>
      </c>
      <c r="J64">
        <v>0</v>
      </c>
    </row>
    <row r="65" spans="1:10" x14ac:dyDescent="0.3">
      <c r="A65" t="str">
        <f t="shared" si="5"/>
        <v>HH064</v>
      </c>
      <c r="B65" t="str">
        <f ca="1">LOOKUP(RAND(),{0,0.28,0.55,0.78},{"Oloitoktok A","Oloitoktok B","Kiserian","Namanga"})</f>
        <v>Oloitoktok B</v>
      </c>
      <c r="C65">
        <f ca="1">LOOKUP(RAND(),{0,0.02,0.09,0.2,0.35,0.52,0.68,0.81,0.91,0.97},{1,2,3,4,5,6,7,8,9,10})</f>
        <v>2</v>
      </c>
      <c r="D65">
        <f t="shared" ca="1" si="0"/>
        <v>15600</v>
      </c>
      <c r="E65" t="str">
        <f ca="1">IF(B65="Oloitoktok A",IF(D65&lt;15000,LOOKUP(RAND(),{0,0.45,0.75,0.92},{"River","Rainwater","Borehole","Vendor"}),IF(D65&lt;30000,LOOKUP(RAND(),{0,0.35,0.65,0.85},{"River","Rainwater","Borehole","Vendor"}),LOOKUP(RAND(),{0,0.25,0.5,0.75},{"River","Rainwater","Borehole","Vendor"}))),IF(B65="Oloitoktok B",IF(D65&lt;15000,LOOKUP(RAND(),{0,0.5,0.78,0.94},{"River","Rainwater","Borehole","Vendor"}),IF(D65&lt;30000,LOOKUP(RAND(),{0,0.4,0.68,0.87},{"River","Rainwater","Borehole","Vendor"}),LOOKUP(RAND(),{0,0.28,0.55,0.78},{"River","Rainwater","Borehole","Vendor"}))),IF(B65="Kiserian",IF(D65&lt;15000,LOOKUP(RAND(),{0,0.35,0.65,0.9},{"River","Rainwater","Borehole","Vendor"}),IF(D65&lt;30000,LOOKUP(RAND(),{0,0.25,0.55,0.82},{"River","Rainwater","Borehole","Vendor"}),LOOKUP(RAND(),{0,0.15,0.45,0.72},{"River","Rainwater","Borehole","Vendor"}))),IF(D65&lt;15000,LOOKUP(RAND(),{0,0.4,0.7,0.92},{"River","Rainwater","Borehole","Vendor"}),IF(D65&lt;30000,LOOKUP(RAND(),{0,0.3,0.6,0.85},{"River","Rainwater","Borehole","Vendor"}),LOOKUP(RAND(),{0,0.2,0.5,0.75},{"River","Rainwater","Borehole","Vendor"}))))))</f>
        <v>River</v>
      </c>
      <c r="F65">
        <f t="shared" ca="1" si="1"/>
        <v>89</v>
      </c>
      <c r="G65">
        <f t="shared" ca="1" si="2"/>
        <v>11.1</v>
      </c>
      <c r="H65">
        <f t="shared" ca="1" si="3"/>
        <v>7400</v>
      </c>
      <c r="I65">
        <f t="shared" ca="1" si="4"/>
        <v>0.78049987070923355</v>
      </c>
      <c r="J65">
        <v>0</v>
      </c>
    </row>
    <row r="66" spans="1:10" x14ac:dyDescent="0.3">
      <c r="A66" t="str">
        <f t="shared" si="5"/>
        <v>HH065</v>
      </c>
      <c r="B66" t="str">
        <f ca="1">LOOKUP(RAND(),{0,0.28,0.55,0.78},{"Oloitoktok A","Oloitoktok B","Kiserian","Namanga"})</f>
        <v>Oloitoktok A</v>
      </c>
      <c r="C66">
        <f ca="1">LOOKUP(RAND(),{0,0.02,0.09,0.2,0.35,0.52,0.68,0.81,0.91,0.97},{1,2,3,4,5,6,7,8,9,10})</f>
        <v>7</v>
      </c>
      <c r="D66">
        <f t="shared" ref="D66:D129" ca="1" si="6">MAX(5000,MIN(150000,ROUND(_xlfn.LOGNORM.INV(RAND(),LN(28000+1500*C66),0.55),-2)))</f>
        <v>20800</v>
      </c>
      <c r="E66" t="str">
        <f ca="1">IF(B66="Oloitoktok A",IF(D66&lt;15000,LOOKUP(RAND(),{0,0.45,0.75,0.92},{"River","Rainwater","Borehole","Vendor"}),IF(D66&lt;30000,LOOKUP(RAND(),{0,0.35,0.65,0.85},{"River","Rainwater","Borehole","Vendor"}),LOOKUP(RAND(),{0,0.25,0.5,0.75},{"River","Rainwater","Borehole","Vendor"}))),IF(B66="Oloitoktok B",IF(D66&lt;15000,LOOKUP(RAND(),{0,0.5,0.78,0.94},{"River","Rainwater","Borehole","Vendor"}),IF(D66&lt;30000,LOOKUP(RAND(),{0,0.4,0.68,0.87},{"River","Rainwater","Borehole","Vendor"}),LOOKUP(RAND(),{0,0.28,0.55,0.78},{"River","Rainwater","Borehole","Vendor"}))),IF(B66="Kiserian",IF(D66&lt;15000,LOOKUP(RAND(),{0,0.35,0.65,0.9},{"River","Rainwater","Borehole","Vendor"}),IF(D66&lt;30000,LOOKUP(RAND(),{0,0.25,0.55,0.82},{"River","Rainwater","Borehole","Vendor"}),LOOKUP(RAND(),{0,0.15,0.45,0.72},{"River","Rainwater","Borehole","Vendor"}))),IF(D66&lt;15000,LOOKUP(RAND(),{0,0.4,0.7,0.92},{"River","Rainwater","Borehole","Vendor"}),IF(D66&lt;30000,LOOKUP(RAND(),{0,0.3,0.6,0.85},{"River","Rainwater","Borehole","Vendor"}),LOOKUP(RAND(),{0,0.2,0.5,0.75},{"River","Rainwater","Borehole","Vendor"}))))))</f>
        <v>River</v>
      </c>
      <c r="F66">
        <f t="shared" ref="F66:F129" ca="1" si="7">IF(E66="River",RANDBETWEEN(45,120),IF(E66="Rainwater",RANDBETWEEN(15,70),IF(E66="Borehole",RANDBETWEEN(20,75),RANDBETWEEN(10,60))))</f>
        <v>92</v>
      </c>
      <c r="G66">
        <f t="shared" ref="G66:G129" ca="1" si="8">IF(B66="Oloitoktok A",ROUND(RANDBETWEEN(5,150)/10,1),IF(B66="Oloitoktok B",ROUND(RANDBETWEEN(4,140)/10,1),IF(B66="Kiserian",ROUND(RANDBETWEEN(2,100)/10,1),ROUND(RANDBETWEEN(3,120)/10,1))))</f>
        <v>3.9</v>
      </c>
      <c r="H66">
        <f t="shared" ref="H66:H129" ca="1" si="9">MAX(0,ROUND((1500+(C66*250)+(D66*0.025)+(F66*8)+(G66*120)+IF(E66="River",1200,IF(E66="Rainwater",700,IF(E66="Borehole",400,200)))+_xlfn.NORM.INV(RAND(),0,3500)),-2))</f>
        <v>9800</v>
      </c>
      <c r="I66">
        <f t="shared" ref="I66:I129" ca="1" si="10">RAND()</f>
        <v>0.94978928825186637</v>
      </c>
      <c r="J66">
        <v>0</v>
      </c>
    </row>
    <row r="67" spans="1:10" x14ac:dyDescent="0.3">
      <c r="A67" t="str">
        <f t="shared" ref="A67:A130" si="11">"HH"&amp;TEXT(ROW()-1,"000")</f>
        <v>HH066</v>
      </c>
      <c r="B67" t="str">
        <f ca="1">LOOKUP(RAND(),{0,0.28,0.55,0.78},{"Oloitoktok A","Oloitoktok B","Kiserian","Namanga"})</f>
        <v>Oloitoktok A</v>
      </c>
      <c r="C67">
        <f ca="1">LOOKUP(RAND(),{0,0.02,0.09,0.2,0.35,0.52,0.68,0.81,0.91,0.97},{1,2,3,4,5,6,7,8,9,10})</f>
        <v>8</v>
      </c>
      <c r="D67">
        <f t="shared" ca="1" si="6"/>
        <v>63500</v>
      </c>
      <c r="E67" t="str">
        <f ca="1">IF(B67="Oloitoktok A",IF(D67&lt;15000,LOOKUP(RAND(),{0,0.45,0.75,0.92},{"River","Rainwater","Borehole","Vendor"}),IF(D67&lt;30000,LOOKUP(RAND(),{0,0.35,0.65,0.85},{"River","Rainwater","Borehole","Vendor"}),LOOKUP(RAND(),{0,0.25,0.5,0.75},{"River","Rainwater","Borehole","Vendor"}))),IF(B67="Oloitoktok B",IF(D67&lt;15000,LOOKUP(RAND(),{0,0.5,0.78,0.94},{"River","Rainwater","Borehole","Vendor"}),IF(D67&lt;30000,LOOKUP(RAND(),{0,0.4,0.68,0.87},{"River","Rainwater","Borehole","Vendor"}),LOOKUP(RAND(),{0,0.28,0.55,0.78},{"River","Rainwater","Borehole","Vendor"}))),IF(B67="Kiserian",IF(D67&lt;15000,LOOKUP(RAND(),{0,0.35,0.65,0.9},{"River","Rainwater","Borehole","Vendor"}),IF(D67&lt;30000,LOOKUP(RAND(),{0,0.25,0.55,0.82},{"River","Rainwater","Borehole","Vendor"}),LOOKUP(RAND(),{0,0.15,0.45,0.72},{"River","Rainwater","Borehole","Vendor"}))),IF(D67&lt;15000,LOOKUP(RAND(),{0,0.4,0.7,0.92},{"River","Rainwater","Borehole","Vendor"}),IF(D67&lt;30000,LOOKUP(RAND(),{0,0.3,0.6,0.85},{"River","Rainwater","Borehole","Vendor"}),LOOKUP(RAND(),{0,0.2,0.5,0.75},{"River","Rainwater","Borehole","Vendor"}))))))</f>
        <v>River</v>
      </c>
      <c r="F67">
        <f t="shared" ca="1" si="7"/>
        <v>93</v>
      </c>
      <c r="G67">
        <f t="shared" ca="1" si="8"/>
        <v>7.1</v>
      </c>
      <c r="H67">
        <f t="shared" ca="1" si="9"/>
        <v>9600</v>
      </c>
      <c r="I67">
        <f t="shared" ca="1" si="10"/>
        <v>0.50335143565411322</v>
      </c>
      <c r="J67">
        <v>0</v>
      </c>
    </row>
    <row r="68" spans="1:10" x14ac:dyDescent="0.3">
      <c r="A68" t="str">
        <f t="shared" si="11"/>
        <v>HH067</v>
      </c>
      <c r="B68" t="str">
        <f ca="1">LOOKUP(RAND(),{0,0.28,0.55,0.78},{"Oloitoktok A","Oloitoktok B","Kiserian","Namanga"})</f>
        <v>Oloitoktok A</v>
      </c>
      <c r="C68">
        <f ca="1">LOOKUP(RAND(),{0,0.02,0.09,0.2,0.35,0.52,0.68,0.81,0.91,0.97},{1,2,3,4,5,6,7,8,9,10})</f>
        <v>6</v>
      </c>
      <c r="D68">
        <f t="shared" ca="1" si="6"/>
        <v>25100</v>
      </c>
      <c r="E68" t="str">
        <f ca="1">IF(B68="Oloitoktok A",IF(D68&lt;15000,LOOKUP(RAND(),{0,0.45,0.75,0.92},{"River","Rainwater","Borehole","Vendor"}),IF(D68&lt;30000,LOOKUP(RAND(),{0,0.35,0.65,0.85},{"River","Rainwater","Borehole","Vendor"}),LOOKUP(RAND(),{0,0.25,0.5,0.75},{"River","Rainwater","Borehole","Vendor"}))),IF(B68="Oloitoktok B",IF(D68&lt;15000,LOOKUP(RAND(),{0,0.5,0.78,0.94},{"River","Rainwater","Borehole","Vendor"}),IF(D68&lt;30000,LOOKUP(RAND(),{0,0.4,0.68,0.87},{"River","Rainwater","Borehole","Vendor"}),LOOKUP(RAND(),{0,0.28,0.55,0.78},{"River","Rainwater","Borehole","Vendor"}))),IF(B68="Kiserian",IF(D68&lt;15000,LOOKUP(RAND(),{0,0.35,0.65,0.9},{"River","Rainwater","Borehole","Vendor"}),IF(D68&lt;30000,LOOKUP(RAND(),{0,0.25,0.55,0.82},{"River","Rainwater","Borehole","Vendor"}),LOOKUP(RAND(),{0,0.15,0.45,0.72},{"River","Rainwater","Borehole","Vendor"}))),IF(D68&lt;15000,LOOKUP(RAND(),{0,0.4,0.7,0.92},{"River","Rainwater","Borehole","Vendor"}),IF(D68&lt;30000,LOOKUP(RAND(),{0,0.3,0.6,0.85},{"River","Rainwater","Borehole","Vendor"}),LOOKUP(RAND(),{0,0.2,0.5,0.75},{"River","Rainwater","Borehole","Vendor"}))))))</f>
        <v>Vendor</v>
      </c>
      <c r="F68">
        <f t="shared" ca="1" si="7"/>
        <v>53</v>
      </c>
      <c r="G68">
        <f t="shared" ca="1" si="8"/>
        <v>6.6</v>
      </c>
      <c r="H68">
        <f t="shared" ca="1" si="9"/>
        <v>0</v>
      </c>
      <c r="I68">
        <f t="shared" ca="1" si="10"/>
        <v>0.46228653505731976</v>
      </c>
      <c r="J68">
        <v>0</v>
      </c>
    </row>
    <row r="69" spans="1:10" x14ac:dyDescent="0.3">
      <c r="A69" t="str">
        <f t="shared" si="11"/>
        <v>HH068</v>
      </c>
      <c r="B69" t="str">
        <f ca="1">LOOKUP(RAND(),{0,0.28,0.55,0.78},{"Oloitoktok A","Oloitoktok B","Kiserian","Namanga"})</f>
        <v>Kiserian</v>
      </c>
      <c r="C69">
        <f ca="1">LOOKUP(RAND(),{0,0.02,0.09,0.2,0.35,0.52,0.68,0.81,0.91,0.97},{1,2,3,4,5,6,7,8,9,10})</f>
        <v>2</v>
      </c>
      <c r="D69">
        <f t="shared" ca="1" si="6"/>
        <v>19700</v>
      </c>
      <c r="E69" t="str">
        <f ca="1">IF(B69="Oloitoktok A",IF(D69&lt;15000,LOOKUP(RAND(),{0,0.45,0.75,0.92},{"River","Rainwater","Borehole","Vendor"}),IF(D69&lt;30000,LOOKUP(RAND(),{0,0.35,0.65,0.85},{"River","Rainwater","Borehole","Vendor"}),LOOKUP(RAND(),{0,0.25,0.5,0.75},{"River","Rainwater","Borehole","Vendor"}))),IF(B69="Oloitoktok B",IF(D69&lt;15000,LOOKUP(RAND(),{0,0.5,0.78,0.94},{"River","Rainwater","Borehole","Vendor"}),IF(D69&lt;30000,LOOKUP(RAND(),{0,0.4,0.68,0.87},{"River","Rainwater","Borehole","Vendor"}),LOOKUP(RAND(),{0,0.28,0.55,0.78},{"River","Rainwater","Borehole","Vendor"}))),IF(B69="Kiserian",IF(D69&lt;15000,LOOKUP(RAND(),{0,0.35,0.65,0.9},{"River","Rainwater","Borehole","Vendor"}),IF(D69&lt;30000,LOOKUP(RAND(),{0,0.25,0.55,0.82},{"River","Rainwater","Borehole","Vendor"}),LOOKUP(RAND(),{0,0.15,0.45,0.72},{"River","Rainwater","Borehole","Vendor"}))),IF(D69&lt;15000,LOOKUP(RAND(),{0,0.4,0.7,0.92},{"River","Rainwater","Borehole","Vendor"}),IF(D69&lt;30000,LOOKUP(RAND(),{0,0.3,0.6,0.85},{"River","Rainwater","Borehole","Vendor"}),LOOKUP(RAND(),{0,0.2,0.5,0.75},{"River","Rainwater","Borehole","Vendor"}))))))</f>
        <v>Vendor</v>
      </c>
      <c r="F69">
        <f t="shared" ca="1" si="7"/>
        <v>39</v>
      </c>
      <c r="G69">
        <f t="shared" ca="1" si="8"/>
        <v>10</v>
      </c>
      <c r="H69">
        <f t="shared" ca="1" si="9"/>
        <v>5200</v>
      </c>
      <c r="I69">
        <f t="shared" ca="1" si="10"/>
        <v>0.49384697466163419</v>
      </c>
      <c r="J69">
        <v>0</v>
      </c>
    </row>
    <row r="70" spans="1:10" x14ac:dyDescent="0.3">
      <c r="A70" t="str">
        <f t="shared" si="11"/>
        <v>HH069</v>
      </c>
      <c r="B70" t="str">
        <f ca="1">LOOKUP(RAND(),{0,0.28,0.55,0.78},{"Oloitoktok A","Oloitoktok B","Kiserian","Namanga"})</f>
        <v>Kiserian</v>
      </c>
      <c r="C70">
        <f ca="1">LOOKUP(RAND(),{0,0.02,0.09,0.2,0.35,0.52,0.68,0.81,0.91,0.97},{1,2,3,4,5,6,7,8,9,10})</f>
        <v>8</v>
      </c>
      <c r="D70">
        <f t="shared" ca="1" si="6"/>
        <v>46600</v>
      </c>
      <c r="E70" t="str">
        <f ca="1">IF(B70="Oloitoktok A",IF(D70&lt;15000,LOOKUP(RAND(),{0,0.45,0.75,0.92},{"River","Rainwater","Borehole","Vendor"}),IF(D70&lt;30000,LOOKUP(RAND(),{0,0.35,0.65,0.85},{"River","Rainwater","Borehole","Vendor"}),LOOKUP(RAND(),{0,0.25,0.5,0.75},{"River","Rainwater","Borehole","Vendor"}))),IF(B70="Oloitoktok B",IF(D70&lt;15000,LOOKUP(RAND(),{0,0.5,0.78,0.94},{"River","Rainwater","Borehole","Vendor"}),IF(D70&lt;30000,LOOKUP(RAND(),{0,0.4,0.68,0.87},{"River","Rainwater","Borehole","Vendor"}),LOOKUP(RAND(),{0,0.28,0.55,0.78},{"River","Rainwater","Borehole","Vendor"}))),IF(B70="Kiserian",IF(D70&lt;15000,LOOKUP(RAND(),{0,0.35,0.65,0.9},{"River","Rainwater","Borehole","Vendor"}),IF(D70&lt;30000,LOOKUP(RAND(),{0,0.25,0.55,0.82},{"River","Rainwater","Borehole","Vendor"}),LOOKUP(RAND(),{0,0.15,0.45,0.72},{"River","Rainwater","Borehole","Vendor"}))),IF(D70&lt;15000,LOOKUP(RAND(),{0,0.4,0.7,0.92},{"River","Rainwater","Borehole","Vendor"}),IF(D70&lt;30000,LOOKUP(RAND(),{0,0.3,0.6,0.85},{"River","Rainwater","Borehole","Vendor"}),LOOKUP(RAND(),{0,0.2,0.5,0.75},{"River","Rainwater","Borehole","Vendor"}))))))</f>
        <v>Vendor</v>
      </c>
      <c r="F70">
        <f t="shared" ca="1" si="7"/>
        <v>28</v>
      </c>
      <c r="G70">
        <f t="shared" ca="1" si="8"/>
        <v>2.2000000000000002</v>
      </c>
      <c r="H70">
        <f t="shared" ca="1" si="9"/>
        <v>4400</v>
      </c>
      <c r="I70">
        <f t="shared" ca="1" si="10"/>
        <v>0.6837659780959785</v>
      </c>
      <c r="J70">
        <v>0</v>
      </c>
    </row>
    <row r="71" spans="1:10" x14ac:dyDescent="0.3">
      <c r="A71" t="str">
        <f t="shared" si="11"/>
        <v>HH070</v>
      </c>
      <c r="B71" t="str">
        <f ca="1">LOOKUP(RAND(),{0,0.28,0.55,0.78},{"Oloitoktok A","Oloitoktok B","Kiserian","Namanga"})</f>
        <v>Namanga</v>
      </c>
      <c r="C71">
        <f ca="1">LOOKUP(RAND(),{0,0.02,0.09,0.2,0.35,0.52,0.68,0.81,0.91,0.97},{1,2,3,4,5,6,7,8,9,10})</f>
        <v>9</v>
      </c>
      <c r="D71">
        <f t="shared" ca="1" si="6"/>
        <v>36900</v>
      </c>
      <c r="E71" t="str">
        <f ca="1">IF(B71="Oloitoktok A",IF(D71&lt;15000,LOOKUP(RAND(),{0,0.45,0.75,0.92},{"River","Rainwater","Borehole","Vendor"}),IF(D71&lt;30000,LOOKUP(RAND(),{0,0.35,0.65,0.85},{"River","Rainwater","Borehole","Vendor"}),LOOKUP(RAND(),{0,0.25,0.5,0.75},{"River","Rainwater","Borehole","Vendor"}))),IF(B71="Oloitoktok B",IF(D71&lt;15000,LOOKUP(RAND(),{0,0.5,0.78,0.94},{"River","Rainwater","Borehole","Vendor"}),IF(D71&lt;30000,LOOKUP(RAND(),{0,0.4,0.68,0.87},{"River","Rainwater","Borehole","Vendor"}),LOOKUP(RAND(),{0,0.28,0.55,0.78},{"River","Rainwater","Borehole","Vendor"}))),IF(B71="Kiserian",IF(D71&lt;15000,LOOKUP(RAND(),{0,0.35,0.65,0.9},{"River","Rainwater","Borehole","Vendor"}),IF(D71&lt;30000,LOOKUP(RAND(),{0,0.25,0.55,0.82},{"River","Rainwater","Borehole","Vendor"}),LOOKUP(RAND(),{0,0.15,0.45,0.72},{"River","Rainwater","Borehole","Vendor"}))),IF(D71&lt;15000,LOOKUP(RAND(),{0,0.4,0.7,0.92},{"River","Rainwater","Borehole","Vendor"}),IF(D71&lt;30000,LOOKUP(RAND(),{0,0.3,0.6,0.85},{"River","Rainwater","Borehole","Vendor"}),LOOKUP(RAND(),{0,0.2,0.5,0.75},{"River","Rainwater","Borehole","Vendor"}))))))</f>
        <v>River</v>
      </c>
      <c r="F71">
        <f t="shared" ca="1" si="7"/>
        <v>106</v>
      </c>
      <c r="G71">
        <f t="shared" ca="1" si="8"/>
        <v>0.5</v>
      </c>
      <c r="H71">
        <f t="shared" ca="1" si="9"/>
        <v>6300</v>
      </c>
      <c r="I71">
        <f t="shared" ca="1" si="10"/>
        <v>0.43791351543394841</v>
      </c>
      <c r="J71">
        <v>0</v>
      </c>
    </row>
    <row r="72" spans="1:10" x14ac:dyDescent="0.3">
      <c r="A72" t="str">
        <f t="shared" si="11"/>
        <v>HH071</v>
      </c>
      <c r="B72" t="str">
        <f ca="1">LOOKUP(RAND(),{0,0.28,0.55,0.78},{"Oloitoktok A","Oloitoktok B","Kiserian","Namanga"})</f>
        <v>Oloitoktok B</v>
      </c>
      <c r="C72">
        <f ca="1">LOOKUP(RAND(),{0,0.02,0.09,0.2,0.35,0.52,0.68,0.81,0.91,0.97},{1,2,3,4,5,6,7,8,9,10})</f>
        <v>4</v>
      </c>
      <c r="D72">
        <f t="shared" ca="1" si="6"/>
        <v>50800</v>
      </c>
      <c r="E72" t="str">
        <f ca="1">IF(B72="Oloitoktok A",IF(D72&lt;15000,LOOKUP(RAND(),{0,0.45,0.75,0.92},{"River","Rainwater","Borehole","Vendor"}),IF(D72&lt;30000,LOOKUP(RAND(),{0,0.35,0.65,0.85},{"River","Rainwater","Borehole","Vendor"}),LOOKUP(RAND(),{0,0.25,0.5,0.75},{"River","Rainwater","Borehole","Vendor"}))),IF(B72="Oloitoktok B",IF(D72&lt;15000,LOOKUP(RAND(),{0,0.5,0.78,0.94},{"River","Rainwater","Borehole","Vendor"}),IF(D72&lt;30000,LOOKUP(RAND(),{0,0.4,0.68,0.87},{"River","Rainwater","Borehole","Vendor"}),LOOKUP(RAND(),{0,0.28,0.55,0.78},{"River","Rainwater","Borehole","Vendor"}))),IF(B72="Kiserian",IF(D72&lt;15000,LOOKUP(RAND(),{0,0.35,0.65,0.9},{"River","Rainwater","Borehole","Vendor"}),IF(D72&lt;30000,LOOKUP(RAND(),{0,0.25,0.55,0.82},{"River","Rainwater","Borehole","Vendor"}),LOOKUP(RAND(),{0,0.15,0.45,0.72},{"River","Rainwater","Borehole","Vendor"}))),IF(D72&lt;15000,LOOKUP(RAND(),{0,0.4,0.7,0.92},{"River","Rainwater","Borehole","Vendor"}),IF(D72&lt;30000,LOOKUP(RAND(),{0,0.3,0.6,0.85},{"River","Rainwater","Borehole","Vendor"}),LOOKUP(RAND(),{0,0.2,0.5,0.75},{"River","Rainwater","Borehole","Vendor"}))))))</f>
        <v>Borehole</v>
      </c>
      <c r="F72">
        <f t="shared" ca="1" si="7"/>
        <v>71</v>
      </c>
      <c r="G72">
        <f t="shared" ca="1" si="8"/>
        <v>4.9000000000000004</v>
      </c>
      <c r="H72">
        <f t="shared" ca="1" si="9"/>
        <v>11300</v>
      </c>
      <c r="I72">
        <f t="shared" ca="1" si="10"/>
        <v>0.55705414349936921</v>
      </c>
      <c r="J72">
        <v>0</v>
      </c>
    </row>
    <row r="73" spans="1:10" x14ac:dyDescent="0.3">
      <c r="A73" t="str">
        <f t="shared" si="11"/>
        <v>HH072</v>
      </c>
      <c r="B73" t="str">
        <f ca="1">LOOKUP(RAND(),{0,0.28,0.55,0.78},{"Oloitoktok A","Oloitoktok B","Kiserian","Namanga"})</f>
        <v>Kiserian</v>
      </c>
      <c r="C73">
        <f ca="1">LOOKUP(RAND(),{0,0.02,0.09,0.2,0.35,0.52,0.68,0.81,0.91,0.97},{1,2,3,4,5,6,7,8,9,10})</f>
        <v>5</v>
      </c>
      <c r="D73">
        <f t="shared" ca="1" si="6"/>
        <v>28400</v>
      </c>
      <c r="E73" t="str">
        <f ca="1">IF(B73="Oloitoktok A",IF(D73&lt;15000,LOOKUP(RAND(),{0,0.45,0.75,0.92},{"River","Rainwater","Borehole","Vendor"}),IF(D73&lt;30000,LOOKUP(RAND(),{0,0.35,0.65,0.85},{"River","Rainwater","Borehole","Vendor"}),LOOKUP(RAND(),{0,0.25,0.5,0.75},{"River","Rainwater","Borehole","Vendor"}))),IF(B73="Oloitoktok B",IF(D73&lt;15000,LOOKUP(RAND(),{0,0.5,0.78,0.94},{"River","Rainwater","Borehole","Vendor"}),IF(D73&lt;30000,LOOKUP(RAND(),{0,0.4,0.68,0.87},{"River","Rainwater","Borehole","Vendor"}),LOOKUP(RAND(),{0,0.28,0.55,0.78},{"River","Rainwater","Borehole","Vendor"}))),IF(B73="Kiserian",IF(D73&lt;15000,LOOKUP(RAND(),{0,0.35,0.65,0.9},{"River","Rainwater","Borehole","Vendor"}),IF(D73&lt;30000,LOOKUP(RAND(),{0,0.25,0.55,0.82},{"River","Rainwater","Borehole","Vendor"}),LOOKUP(RAND(),{0,0.15,0.45,0.72},{"River","Rainwater","Borehole","Vendor"}))),IF(D73&lt;15000,LOOKUP(RAND(),{0,0.4,0.7,0.92},{"River","Rainwater","Borehole","Vendor"}),IF(D73&lt;30000,LOOKUP(RAND(),{0,0.3,0.6,0.85},{"River","Rainwater","Borehole","Vendor"}),LOOKUP(RAND(),{0,0.2,0.5,0.75},{"River","Rainwater","Borehole","Vendor"}))))))</f>
        <v>Rainwater</v>
      </c>
      <c r="F73">
        <f t="shared" ca="1" si="7"/>
        <v>20</v>
      </c>
      <c r="G73">
        <f t="shared" ca="1" si="8"/>
        <v>7.9</v>
      </c>
      <c r="H73">
        <f t="shared" ca="1" si="9"/>
        <v>4200</v>
      </c>
      <c r="I73">
        <f t="shared" ca="1" si="10"/>
        <v>0.7287941666919121</v>
      </c>
      <c r="J73">
        <v>0</v>
      </c>
    </row>
    <row r="74" spans="1:10" x14ac:dyDescent="0.3">
      <c r="A74" t="str">
        <f t="shared" si="11"/>
        <v>HH073</v>
      </c>
      <c r="B74" t="str">
        <f ca="1">LOOKUP(RAND(),{0,0.28,0.55,0.78},{"Oloitoktok A","Oloitoktok B","Kiserian","Namanga"})</f>
        <v>Oloitoktok A</v>
      </c>
      <c r="C74">
        <f ca="1">LOOKUP(RAND(),{0,0.02,0.09,0.2,0.35,0.52,0.68,0.81,0.91,0.97},{1,2,3,4,5,6,7,8,9,10})</f>
        <v>9</v>
      </c>
      <c r="D74">
        <f t="shared" ca="1" si="6"/>
        <v>98400</v>
      </c>
      <c r="E74" t="str">
        <f ca="1">IF(B74="Oloitoktok A",IF(D74&lt;15000,LOOKUP(RAND(),{0,0.45,0.75,0.92},{"River","Rainwater","Borehole","Vendor"}),IF(D74&lt;30000,LOOKUP(RAND(),{0,0.35,0.65,0.85},{"River","Rainwater","Borehole","Vendor"}),LOOKUP(RAND(),{0,0.25,0.5,0.75},{"River","Rainwater","Borehole","Vendor"}))),IF(B74="Oloitoktok B",IF(D74&lt;15000,LOOKUP(RAND(),{0,0.5,0.78,0.94},{"River","Rainwater","Borehole","Vendor"}),IF(D74&lt;30000,LOOKUP(RAND(),{0,0.4,0.68,0.87},{"River","Rainwater","Borehole","Vendor"}),LOOKUP(RAND(),{0,0.28,0.55,0.78},{"River","Rainwater","Borehole","Vendor"}))),IF(B74="Kiserian",IF(D74&lt;15000,LOOKUP(RAND(),{0,0.35,0.65,0.9},{"River","Rainwater","Borehole","Vendor"}),IF(D74&lt;30000,LOOKUP(RAND(),{0,0.25,0.55,0.82},{"River","Rainwater","Borehole","Vendor"}),LOOKUP(RAND(),{0,0.15,0.45,0.72},{"River","Rainwater","Borehole","Vendor"}))),IF(D74&lt;15000,LOOKUP(RAND(),{0,0.4,0.7,0.92},{"River","Rainwater","Borehole","Vendor"}),IF(D74&lt;30000,LOOKUP(RAND(),{0,0.3,0.6,0.85},{"River","Rainwater","Borehole","Vendor"}),LOOKUP(RAND(),{0,0.2,0.5,0.75},{"River","Rainwater","Borehole","Vendor"}))))))</f>
        <v>River</v>
      </c>
      <c r="F74">
        <f t="shared" ca="1" si="7"/>
        <v>90</v>
      </c>
      <c r="G74">
        <f t="shared" ca="1" si="8"/>
        <v>4</v>
      </c>
      <c r="H74">
        <f t="shared" ca="1" si="9"/>
        <v>6600</v>
      </c>
      <c r="I74">
        <f t="shared" ca="1" si="10"/>
        <v>0.41714008429426064</v>
      </c>
      <c r="J74">
        <v>0</v>
      </c>
    </row>
    <row r="75" spans="1:10" x14ac:dyDescent="0.3">
      <c r="A75" t="str">
        <f t="shared" si="11"/>
        <v>HH074</v>
      </c>
      <c r="B75" t="str">
        <f ca="1">LOOKUP(RAND(),{0,0.28,0.55,0.78},{"Oloitoktok A","Oloitoktok B","Kiserian","Namanga"})</f>
        <v>Oloitoktok A</v>
      </c>
      <c r="C75">
        <f ca="1">LOOKUP(RAND(),{0,0.02,0.09,0.2,0.35,0.52,0.68,0.81,0.91,0.97},{1,2,3,4,5,6,7,8,9,10})</f>
        <v>5</v>
      </c>
      <c r="D75">
        <f t="shared" ca="1" si="6"/>
        <v>41100</v>
      </c>
      <c r="E75" t="str">
        <f ca="1">IF(B75="Oloitoktok A",IF(D75&lt;15000,LOOKUP(RAND(),{0,0.45,0.75,0.92},{"River","Rainwater","Borehole","Vendor"}),IF(D75&lt;30000,LOOKUP(RAND(),{0,0.35,0.65,0.85},{"River","Rainwater","Borehole","Vendor"}),LOOKUP(RAND(),{0,0.25,0.5,0.75},{"River","Rainwater","Borehole","Vendor"}))),IF(B75="Oloitoktok B",IF(D75&lt;15000,LOOKUP(RAND(),{0,0.5,0.78,0.94},{"River","Rainwater","Borehole","Vendor"}),IF(D75&lt;30000,LOOKUP(RAND(),{0,0.4,0.68,0.87},{"River","Rainwater","Borehole","Vendor"}),LOOKUP(RAND(),{0,0.28,0.55,0.78},{"River","Rainwater","Borehole","Vendor"}))),IF(B75="Kiserian",IF(D75&lt;15000,LOOKUP(RAND(),{0,0.35,0.65,0.9},{"River","Rainwater","Borehole","Vendor"}),IF(D75&lt;30000,LOOKUP(RAND(),{0,0.25,0.55,0.82},{"River","Rainwater","Borehole","Vendor"}),LOOKUP(RAND(),{0,0.15,0.45,0.72},{"River","Rainwater","Borehole","Vendor"}))),IF(D75&lt;15000,LOOKUP(RAND(),{0,0.4,0.7,0.92},{"River","Rainwater","Borehole","Vendor"}),IF(D75&lt;30000,LOOKUP(RAND(),{0,0.3,0.6,0.85},{"River","Rainwater","Borehole","Vendor"}),LOOKUP(RAND(),{0,0.2,0.5,0.75},{"River","Rainwater","Borehole","Vendor"}))))))</f>
        <v>Vendor</v>
      </c>
      <c r="F75">
        <f t="shared" ca="1" si="7"/>
        <v>27</v>
      </c>
      <c r="G75">
        <f t="shared" ca="1" si="8"/>
        <v>14.6</v>
      </c>
      <c r="H75">
        <f t="shared" ca="1" si="9"/>
        <v>6800</v>
      </c>
      <c r="I75">
        <f t="shared" ca="1" si="10"/>
        <v>2.8645021161541884E-2</v>
      </c>
      <c r="J75">
        <v>0</v>
      </c>
    </row>
    <row r="76" spans="1:10" x14ac:dyDescent="0.3">
      <c r="A76" t="str">
        <f t="shared" si="11"/>
        <v>HH075</v>
      </c>
      <c r="B76" t="str">
        <f ca="1">LOOKUP(RAND(),{0,0.28,0.55,0.78},{"Oloitoktok A","Oloitoktok B","Kiserian","Namanga"})</f>
        <v>Namanga</v>
      </c>
      <c r="C76">
        <f ca="1">LOOKUP(RAND(),{0,0.02,0.09,0.2,0.35,0.52,0.68,0.81,0.91,0.97},{1,2,3,4,5,6,7,8,9,10})</f>
        <v>3</v>
      </c>
      <c r="D76">
        <f t="shared" ca="1" si="6"/>
        <v>25900</v>
      </c>
      <c r="E76" t="str">
        <f ca="1">IF(B76="Oloitoktok A",IF(D76&lt;15000,LOOKUP(RAND(),{0,0.45,0.75,0.92},{"River","Rainwater","Borehole","Vendor"}),IF(D76&lt;30000,LOOKUP(RAND(),{0,0.35,0.65,0.85},{"River","Rainwater","Borehole","Vendor"}),LOOKUP(RAND(),{0,0.25,0.5,0.75},{"River","Rainwater","Borehole","Vendor"}))),IF(B76="Oloitoktok B",IF(D76&lt;15000,LOOKUP(RAND(),{0,0.5,0.78,0.94},{"River","Rainwater","Borehole","Vendor"}),IF(D76&lt;30000,LOOKUP(RAND(),{0,0.4,0.68,0.87},{"River","Rainwater","Borehole","Vendor"}),LOOKUP(RAND(),{0,0.28,0.55,0.78},{"River","Rainwater","Borehole","Vendor"}))),IF(B76="Kiserian",IF(D76&lt;15000,LOOKUP(RAND(),{0,0.35,0.65,0.9},{"River","Rainwater","Borehole","Vendor"}),IF(D76&lt;30000,LOOKUP(RAND(),{0,0.25,0.55,0.82},{"River","Rainwater","Borehole","Vendor"}),LOOKUP(RAND(),{0,0.15,0.45,0.72},{"River","Rainwater","Borehole","Vendor"}))),IF(D76&lt;15000,LOOKUP(RAND(),{0,0.4,0.7,0.92},{"River","Rainwater","Borehole","Vendor"}),IF(D76&lt;30000,LOOKUP(RAND(),{0,0.3,0.6,0.85},{"River","Rainwater","Borehole","Vendor"}),LOOKUP(RAND(),{0,0.2,0.5,0.75},{"River","Rainwater","Borehole","Vendor"}))))))</f>
        <v>Borehole</v>
      </c>
      <c r="F76">
        <f t="shared" ca="1" si="7"/>
        <v>50</v>
      </c>
      <c r="G76">
        <f t="shared" ca="1" si="8"/>
        <v>2.8</v>
      </c>
      <c r="H76">
        <f t="shared" ca="1" si="9"/>
        <v>8500</v>
      </c>
      <c r="I76">
        <f t="shared" ca="1" si="10"/>
        <v>0.69906037673280852</v>
      </c>
      <c r="J76">
        <v>0</v>
      </c>
    </row>
    <row r="77" spans="1:10" x14ac:dyDescent="0.3">
      <c r="A77" t="str">
        <f t="shared" si="11"/>
        <v>HH076</v>
      </c>
      <c r="B77" t="str">
        <f ca="1">LOOKUP(RAND(),{0,0.28,0.55,0.78},{"Oloitoktok A","Oloitoktok B","Kiserian","Namanga"})</f>
        <v>Oloitoktok B</v>
      </c>
      <c r="C77">
        <f ca="1">LOOKUP(RAND(),{0,0.02,0.09,0.2,0.35,0.52,0.68,0.81,0.91,0.97},{1,2,3,4,5,6,7,8,9,10})</f>
        <v>8</v>
      </c>
      <c r="D77">
        <f t="shared" ca="1" si="6"/>
        <v>20500</v>
      </c>
      <c r="E77" t="str">
        <f ca="1">IF(B77="Oloitoktok A",IF(D77&lt;15000,LOOKUP(RAND(),{0,0.45,0.75,0.92},{"River","Rainwater","Borehole","Vendor"}),IF(D77&lt;30000,LOOKUP(RAND(),{0,0.35,0.65,0.85},{"River","Rainwater","Borehole","Vendor"}),LOOKUP(RAND(),{0,0.25,0.5,0.75},{"River","Rainwater","Borehole","Vendor"}))),IF(B77="Oloitoktok B",IF(D77&lt;15000,LOOKUP(RAND(),{0,0.5,0.78,0.94},{"River","Rainwater","Borehole","Vendor"}),IF(D77&lt;30000,LOOKUP(RAND(),{0,0.4,0.68,0.87},{"River","Rainwater","Borehole","Vendor"}),LOOKUP(RAND(),{0,0.28,0.55,0.78},{"River","Rainwater","Borehole","Vendor"}))),IF(B77="Kiserian",IF(D77&lt;15000,LOOKUP(RAND(),{0,0.35,0.65,0.9},{"River","Rainwater","Borehole","Vendor"}),IF(D77&lt;30000,LOOKUP(RAND(),{0,0.25,0.55,0.82},{"River","Rainwater","Borehole","Vendor"}),LOOKUP(RAND(),{0,0.15,0.45,0.72},{"River","Rainwater","Borehole","Vendor"}))),IF(D77&lt;15000,LOOKUP(RAND(),{0,0.4,0.7,0.92},{"River","Rainwater","Borehole","Vendor"}),IF(D77&lt;30000,LOOKUP(RAND(),{0,0.3,0.6,0.85},{"River","Rainwater","Borehole","Vendor"}),LOOKUP(RAND(),{0,0.2,0.5,0.75},{"River","Rainwater","Borehole","Vendor"}))))))</f>
        <v>Vendor</v>
      </c>
      <c r="F77">
        <f t="shared" ca="1" si="7"/>
        <v>58</v>
      </c>
      <c r="G77">
        <f t="shared" ca="1" si="8"/>
        <v>2.1</v>
      </c>
      <c r="H77">
        <f t="shared" ca="1" si="9"/>
        <v>4300</v>
      </c>
      <c r="I77">
        <f t="shared" ca="1" si="10"/>
        <v>0.29865731621694369</v>
      </c>
      <c r="J77">
        <v>0</v>
      </c>
    </row>
    <row r="78" spans="1:10" x14ac:dyDescent="0.3">
      <c r="A78" t="str">
        <f t="shared" si="11"/>
        <v>HH077</v>
      </c>
      <c r="B78" t="str">
        <f ca="1">LOOKUP(RAND(),{0,0.28,0.55,0.78},{"Oloitoktok A","Oloitoktok B","Kiserian","Namanga"})</f>
        <v>Namanga</v>
      </c>
      <c r="C78">
        <f ca="1">LOOKUP(RAND(),{0,0.02,0.09,0.2,0.35,0.52,0.68,0.81,0.91,0.97},{1,2,3,4,5,6,7,8,9,10})</f>
        <v>10</v>
      </c>
      <c r="D78">
        <f t="shared" ca="1" si="6"/>
        <v>43000</v>
      </c>
      <c r="E78" t="str">
        <f ca="1">IF(B78="Oloitoktok A",IF(D78&lt;15000,LOOKUP(RAND(),{0,0.45,0.75,0.92},{"River","Rainwater","Borehole","Vendor"}),IF(D78&lt;30000,LOOKUP(RAND(),{0,0.35,0.65,0.85},{"River","Rainwater","Borehole","Vendor"}),LOOKUP(RAND(),{0,0.25,0.5,0.75},{"River","Rainwater","Borehole","Vendor"}))),IF(B78="Oloitoktok B",IF(D78&lt;15000,LOOKUP(RAND(),{0,0.5,0.78,0.94},{"River","Rainwater","Borehole","Vendor"}),IF(D78&lt;30000,LOOKUP(RAND(),{0,0.4,0.68,0.87},{"River","Rainwater","Borehole","Vendor"}),LOOKUP(RAND(),{0,0.28,0.55,0.78},{"River","Rainwater","Borehole","Vendor"}))),IF(B78="Kiserian",IF(D78&lt;15000,LOOKUP(RAND(),{0,0.35,0.65,0.9},{"River","Rainwater","Borehole","Vendor"}),IF(D78&lt;30000,LOOKUP(RAND(),{0,0.25,0.55,0.82},{"River","Rainwater","Borehole","Vendor"}),LOOKUP(RAND(),{0,0.15,0.45,0.72},{"River","Rainwater","Borehole","Vendor"}))),IF(D78&lt;15000,LOOKUP(RAND(),{0,0.4,0.7,0.92},{"River","Rainwater","Borehole","Vendor"}),IF(D78&lt;30000,LOOKUP(RAND(),{0,0.3,0.6,0.85},{"River","Rainwater","Borehole","Vendor"}),LOOKUP(RAND(),{0,0.2,0.5,0.75},{"River","Rainwater","Borehole","Vendor"}))))))</f>
        <v>Rainwater</v>
      </c>
      <c r="F78">
        <f t="shared" ca="1" si="7"/>
        <v>50</v>
      </c>
      <c r="G78">
        <f t="shared" ca="1" si="8"/>
        <v>7.7</v>
      </c>
      <c r="H78">
        <f t="shared" ca="1" si="9"/>
        <v>8200</v>
      </c>
      <c r="I78">
        <f t="shared" ca="1" si="10"/>
        <v>0.71887041255889494</v>
      </c>
      <c r="J78">
        <v>0</v>
      </c>
    </row>
    <row r="79" spans="1:10" x14ac:dyDescent="0.3">
      <c r="A79" t="str">
        <f t="shared" si="11"/>
        <v>HH078</v>
      </c>
      <c r="B79" t="str">
        <f ca="1">LOOKUP(RAND(),{0,0.28,0.55,0.78},{"Oloitoktok A","Oloitoktok B","Kiserian","Namanga"})</f>
        <v>Kiserian</v>
      </c>
      <c r="C79">
        <f ca="1">LOOKUP(RAND(),{0,0.02,0.09,0.2,0.35,0.52,0.68,0.81,0.91,0.97},{1,2,3,4,5,6,7,8,9,10})</f>
        <v>4</v>
      </c>
      <c r="D79">
        <f t="shared" ca="1" si="6"/>
        <v>33900</v>
      </c>
      <c r="E79" t="str">
        <f ca="1">IF(B79="Oloitoktok A",IF(D79&lt;15000,LOOKUP(RAND(),{0,0.45,0.75,0.92},{"River","Rainwater","Borehole","Vendor"}),IF(D79&lt;30000,LOOKUP(RAND(),{0,0.35,0.65,0.85},{"River","Rainwater","Borehole","Vendor"}),LOOKUP(RAND(),{0,0.25,0.5,0.75},{"River","Rainwater","Borehole","Vendor"}))),IF(B79="Oloitoktok B",IF(D79&lt;15000,LOOKUP(RAND(),{0,0.5,0.78,0.94},{"River","Rainwater","Borehole","Vendor"}),IF(D79&lt;30000,LOOKUP(RAND(),{0,0.4,0.68,0.87},{"River","Rainwater","Borehole","Vendor"}),LOOKUP(RAND(),{0,0.28,0.55,0.78},{"River","Rainwater","Borehole","Vendor"}))),IF(B79="Kiserian",IF(D79&lt;15000,LOOKUP(RAND(),{0,0.35,0.65,0.9},{"River","Rainwater","Borehole","Vendor"}),IF(D79&lt;30000,LOOKUP(RAND(),{0,0.25,0.55,0.82},{"River","Rainwater","Borehole","Vendor"}),LOOKUP(RAND(),{0,0.15,0.45,0.72},{"River","Rainwater","Borehole","Vendor"}))),IF(D79&lt;15000,LOOKUP(RAND(),{0,0.4,0.7,0.92},{"River","Rainwater","Borehole","Vendor"}),IF(D79&lt;30000,LOOKUP(RAND(),{0,0.3,0.6,0.85},{"River","Rainwater","Borehole","Vendor"}),LOOKUP(RAND(),{0,0.2,0.5,0.75},{"River","Rainwater","Borehole","Vendor"}))))))</f>
        <v>Rainwater</v>
      </c>
      <c r="F79">
        <f t="shared" ca="1" si="7"/>
        <v>41</v>
      </c>
      <c r="G79">
        <f t="shared" ca="1" si="8"/>
        <v>1.1000000000000001</v>
      </c>
      <c r="H79">
        <f t="shared" ca="1" si="9"/>
        <v>7000</v>
      </c>
      <c r="I79">
        <f t="shared" ca="1" si="10"/>
        <v>0.90758820106122806</v>
      </c>
      <c r="J79">
        <v>0</v>
      </c>
    </row>
    <row r="80" spans="1:10" x14ac:dyDescent="0.3">
      <c r="A80" t="str">
        <f t="shared" si="11"/>
        <v>HH079</v>
      </c>
      <c r="B80" t="str">
        <f ca="1">LOOKUP(RAND(),{0,0.28,0.55,0.78},{"Oloitoktok A","Oloitoktok B","Kiserian","Namanga"})</f>
        <v>Namanga</v>
      </c>
      <c r="C80">
        <f ca="1">LOOKUP(RAND(),{0,0.02,0.09,0.2,0.35,0.52,0.68,0.81,0.91,0.97},{1,2,3,4,5,6,7,8,9,10})</f>
        <v>7</v>
      </c>
      <c r="D80">
        <f t="shared" ca="1" si="6"/>
        <v>43600</v>
      </c>
      <c r="E80" t="str">
        <f ca="1">IF(B80="Oloitoktok A",IF(D80&lt;15000,LOOKUP(RAND(),{0,0.45,0.75,0.92},{"River","Rainwater","Borehole","Vendor"}),IF(D80&lt;30000,LOOKUP(RAND(),{0,0.35,0.65,0.85},{"River","Rainwater","Borehole","Vendor"}),LOOKUP(RAND(),{0,0.25,0.5,0.75},{"River","Rainwater","Borehole","Vendor"}))),IF(B80="Oloitoktok B",IF(D80&lt;15000,LOOKUP(RAND(),{0,0.5,0.78,0.94},{"River","Rainwater","Borehole","Vendor"}),IF(D80&lt;30000,LOOKUP(RAND(),{0,0.4,0.68,0.87},{"River","Rainwater","Borehole","Vendor"}),LOOKUP(RAND(),{0,0.28,0.55,0.78},{"River","Rainwater","Borehole","Vendor"}))),IF(B80="Kiserian",IF(D80&lt;15000,LOOKUP(RAND(),{0,0.35,0.65,0.9},{"River","Rainwater","Borehole","Vendor"}),IF(D80&lt;30000,LOOKUP(RAND(),{0,0.25,0.55,0.82},{"River","Rainwater","Borehole","Vendor"}),LOOKUP(RAND(),{0,0.15,0.45,0.72},{"River","Rainwater","Borehole","Vendor"}))),IF(D80&lt;15000,LOOKUP(RAND(),{0,0.4,0.7,0.92},{"River","Rainwater","Borehole","Vendor"}),IF(D80&lt;30000,LOOKUP(RAND(),{0,0.3,0.6,0.85},{"River","Rainwater","Borehole","Vendor"}),LOOKUP(RAND(),{0,0.2,0.5,0.75},{"River","Rainwater","Borehole","Vendor"}))))))</f>
        <v>Rainwater</v>
      </c>
      <c r="F80">
        <f t="shared" ca="1" si="7"/>
        <v>40</v>
      </c>
      <c r="G80">
        <f t="shared" ca="1" si="8"/>
        <v>1.4</v>
      </c>
      <c r="H80">
        <f t="shared" ca="1" si="9"/>
        <v>100</v>
      </c>
      <c r="I80">
        <f t="shared" ca="1" si="10"/>
        <v>0.55199425669345503</v>
      </c>
      <c r="J80">
        <v>0</v>
      </c>
    </row>
    <row r="81" spans="1:10" x14ac:dyDescent="0.3">
      <c r="A81" t="str">
        <f t="shared" si="11"/>
        <v>HH080</v>
      </c>
      <c r="B81" t="str">
        <f ca="1">LOOKUP(RAND(),{0,0.28,0.55,0.78},{"Oloitoktok A","Oloitoktok B","Kiserian","Namanga"})</f>
        <v>Namanga</v>
      </c>
      <c r="C81">
        <f ca="1">LOOKUP(RAND(),{0,0.02,0.09,0.2,0.35,0.52,0.68,0.81,0.91,0.97},{1,2,3,4,5,6,7,8,9,10})</f>
        <v>8</v>
      </c>
      <c r="D81">
        <f t="shared" ca="1" si="6"/>
        <v>25100</v>
      </c>
      <c r="E81" t="str">
        <f ca="1">IF(B81="Oloitoktok A",IF(D81&lt;15000,LOOKUP(RAND(),{0,0.45,0.75,0.92},{"River","Rainwater","Borehole","Vendor"}),IF(D81&lt;30000,LOOKUP(RAND(),{0,0.35,0.65,0.85},{"River","Rainwater","Borehole","Vendor"}),LOOKUP(RAND(),{0,0.25,0.5,0.75},{"River","Rainwater","Borehole","Vendor"}))),IF(B81="Oloitoktok B",IF(D81&lt;15000,LOOKUP(RAND(),{0,0.5,0.78,0.94},{"River","Rainwater","Borehole","Vendor"}),IF(D81&lt;30000,LOOKUP(RAND(),{0,0.4,0.68,0.87},{"River","Rainwater","Borehole","Vendor"}),LOOKUP(RAND(),{0,0.28,0.55,0.78},{"River","Rainwater","Borehole","Vendor"}))),IF(B81="Kiserian",IF(D81&lt;15000,LOOKUP(RAND(),{0,0.35,0.65,0.9},{"River","Rainwater","Borehole","Vendor"}),IF(D81&lt;30000,LOOKUP(RAND(),{0,0.25,0.55,0.82},{"River","Rainwater","Borehole","Vendor"}),LOOKUP(RAND(),{0,0.15,0.45,0.72},{"River","Rainwater","Borehole","Vendor"}))),IF(D81&lt;15000,LOOKUP(RAND(),{0,0.4,0.7,0.92},{"River","Rainwater","Borehole","Vendor"}),IF(D81&lt;30000,LOOKUP(RAND(),{0,0.3,0.6,0.85},{"River","Rainwater","Borehole","Vendor"}),LOOKUP(RAND(),{0,0.2,0.5,0.75},{"River","Rainwater","Borehole","Vendor"}))))))</f>
        <v>Borehole</v>
      </c>
      <c r="F81">
        <f t="shared" ca="1" si="7"/>
        <v>75</v>
      </c>
      <c r="G81">
        <f t="shared" ca="1" si="8"/>
        <v>10.9</v>
      </c>
      <c r="H81">
        <f t="shared" ca="1" si="9"/>
        <v>6600</v>
      </c>
      <c r="I81">
        <f t="shared" ca="1" si="10"/>
        <v>0.15678356252132575</v>
      </c>
      <c r="J81">
        <v>0</v>
      </c>
    </row>
    <row r="82" spans="1:10" x14ac:dyDescent="0.3">
      <c r="A82" t="str">
        <f t="shared" si="11"/>
        <v>HH081</v>
      </c>
      <c r="B82" t="str">
        <f ca="1">LOOKUP(RAND(),{0,0.28,0.55,0.78},{"Oloitoktok A","Oloitoktok B","Kiserian","Namanga"})</f>
        <v>Oloitoktok B</v>
      </c>
      <c r="C82">
        <f ca="1">LOOKUP(RAND(),{0,0.02,0.09,0.2,0.35,0.52,0.68,0.81,0.91,0.97},{1,2,3,4,5,6,7,8,9,10})</f>
        <v>7</v>
      </c>
      <c r="D82">
        <f t="shared" ca="1" si="6"/>
        <v>16700</v>
      </c>
      <c r="E82" t="str">
        <f ca="1">IF(B82="Oloitoktok A",IF(D82&lt;15000,LOOKUP(RAND(),{0,0.45,0.75,0.92},{"River","Rainwater","Borehole","Vendor"}),IF(D82&lt;30000,LOOKUP(RAND(),{0,0.35,0.65,0.85},{"River","Rainwater","Borehole","Vendor"}),LOOKUP(RAND(),{0,0.25,0.5,0.75},{"River","Rainwater","Borehole","Vendor"}))),IF(B82="Oloitoktok B",IF(D82&lt;15000,LOOKUP(RAND(),{0,0.5,0.78,0.94},{"River","Rainwater","Borehole","Vendor"}),IF(D82&lt;30000,LOOKUP(RAND(),{0,0.4,0.68,0.87},{"River","Rainwater","Borehole","Vendor"}),LOOKUP(RAND(),{0,0.28,0.55,0.78},{"River","Rainwater","Borehole","Vendor"}))),IF(B82="Kiserian",IF(D82&lt;15000,LOOKUP(RAND(),{0,0.35,0.65,0.9},{"River","Rainwater","Borehole","Vendor"}),IF(D82&lt;30000,LOOKUP(RAND(),{0,0.25,0.55,0.82},{"River","Rainwater","Borehole","Vendor"}),LOOKUP(RAND(),{0,0.15,0.45,0.72},{"River","Rainwater","Borehole","Vendor"}))),IF(D82&lt;15000,LOOKUP(RAND(),{0,0.4,0.7,0.92},{"River","Rainwater","Borehole","Vendor"}),IF(D82&lt;30000,LOOKUP(RAND(),{0,0.3,0.6,0.85},{"River","Rainwater","Borehole","Vendor"}),LOOKUP(RAND(),{0,0.2,0.5,0.75},{"River","Rainwater","Borehole","Vendor"}))))))</f>
        <v>Rainwater</v>
      </c>
      <c r="F82">
        <f t="shared" ca="1" si="7"/>
        <v>43</v>
      </c>
      <c r="G82">
        <f t="shared" ca="1" si="8"/>
        <v>6.2</v>
      </c>
      <c r="H82">
        <f t="shared" ca="1" si="9"/>
        <v>9300</v>
      </c>
      <c r="I82">
        <f t="shared" ca="1" si="10"/>
        <v>0.83301512510629916</v>
      </c>
      <c r="J82">
        <v>0</v>
      </c>
    </row>
    <row r="83" spans="1:10" x14ac:dyDescent="0.3">
      <c r="A83" t="str">
        <f t="shared" si="11"/>
        <v>HH082</v>
      </c>
      <c r="B83" t="str">
        <f ca="1">LOOKUP(RAND(),{0,0.28,0.55,0.78},{"Oloitoktok A","Oloitoktok B","Kiserian","Namanga"})</f>
        <v>Kiserian</v>
      </c>
      <c r="C83">
        <f ca="1">LOOKUP(RAND(),{0,0.02,0.09,0.2,0.35,0.52,0.68,0.81,0.91,0.97},{1,2,3,4,5,6,7,8,9,10})</f>
        <v>8</v>
      </c>
      <c r="D83">
        <f t="shared" ca="1" si="6"/>
        <v>59100</v>
      </c>
      <c r="E83" t="str">
        <f ca="1">IF(B83="Oloitoktok A",IF(D83&lt;15000,LOOKUP(RAND(),{0,0.45,0.75,0.92},{"River","Rainwater","Borehole","Vendor"}),IF(D83&lt;30000,LOOKUP(RAND(),{0,0.35,0.65,0.85},{"River","Rainwater","Borehole","Vendor"}),LOOKUP(RAND(),{0,0.25,0.5,0.75},{"River","Rainwater","Borehole","Vendor"}))),IF(B83="Oloitoktok B",IF(D83&lt;15000,LOOKUP(RAND(),{0,0.5,0.78,0.94},{"River","Rainwater","Borehole","Vendor"}),IF(D83&lt;30000,LOOKUP(RAND(),{0,0.4,0.68,0.87},{"River","Rainwater","Borehole","Vendor"}),LOOKUP(RAND(),{0,0.28,0.55,0.78},{"River","Rainwater","Borehole","Vendor"}))),IF(B83="Kiserian",IF(D83&lt;15000,LOOKUP(RAND(),{0,0.35,0.65,0.9},{"River","Rainwater","Borehole","Vendor"}),IF(D83&lt;30000,LOOKUP(RAND(),{0,0.25,0.55,0.82},{"River","Rainwater","Borehole","Vendor"}),LOOKUP(RAND(),{0,0.15,0.45,0.72},{"River","Rainwater","Borehole","Vendor"}))),IF(D83&lt;15000,LOOKUP(RAND(),{0,0.4,0.7,0.92},{"River","Rainwater","Borehole","Vendor"}),IF(D83&lt;30000,LOOKUP(RAND(),{0,0.3,0.6,0.85},{"River","Rainwater","Borehole","Vendor"}),LOOKUP(RAND(),{0,0.2,0.5,0.75},{"River","Rainwater","Borehole","Vendor"}))))))</f>
        <v>Rainwater</v>
      </c>
      <c r="F83">
        <f t="shared" ca="1" si="7"/>
        <v>68</v>
      </c>
      <c r="G83">
        <f t="shared" ca="1" si="8"/>
        <v>0.8</v>
      </c>
      <c r="H83">
        <f t="shared" ca="1" si="9"/>
        <v>8000</v>
      </c>
      <c r="I83">
        <f t="shared" ca="1" si="10"/>
        <v>0.50805656045645886</v>
      </c>
      <c r="J83">
        <v>0</v>
      </c>
    </row>
    <row r="84" spans="1:10" x14ac:dyDescent="0.3">
      <c r="A84" t="str">
        <f t="shared" si="11"/>
        <v>HH083</v>
      </c>
      <c r="B84" t="str">
        <f ca="1">LOOKUP(RAND(),{0,0.28,0.55,0.78},{"Oloitoktok A","Oloitoktok B","Kiserian","Namanga"})</f>
        <v>Oloitoktok B</v>
      </c>
      <c r="C84">
        <f ca="1">LOOKUP(RAND(),{0,0.02,0.09,0.2,0.35,0.52,0.68,0.81,0.91,0.97},{1,2,3,4,5,6,7,8,9,10})</f>
        <v>7</v>
      </c>
      <c r="D84">
        <f t="shared" ca="1" si="6"/>
        <v>25300</v>
      </c>
      <c r="E84" t="str">
        <f ca="1">IF(B84="Oloitoktok A",IF(D84&lt;15000,LOOKUP(RAND(),{0,0.45,0.75,0.92},{"River","Rainwater","Borehole","Vendor"}),IF(D84&lt;30000,LOOKUP(RAND(),{0,0.35,0.65,0.85},{"River","Rainwater","Borehole","Vendor"}),LOOKUP(RAND(),{0,0.25,0.5,0.75},{"River","Rainwater","Borehole","Vendor"}))),IF(B84="Oloitoktok B",IF(D84&lt;15000,LOOKUP(RAND(),{0,0.5,0.78,0.94},{"River","Rainwater","Borehole","Vendor"}),IF(D84&lt;30000,LOOKUP(RAND(),{0,0.4,0.68,0.87},{"River","Rainwater","Borehole","Vendor"}),LOOKUP(RAND(),{0,0.28,0.55,0.78},{"River","Rainwater","Borehole","Vendor"}))),IF(B84="Kiserian",IF(D84&lt;15000,LOOKUP(RAND(),{0,0.35,0.65,0.9},{"River","Rainwater","Borehole","Vendor"}),IF(D84&lt;30000,LOOKUP(RAND(),{0,0.25,0.55,0.82},{"River","Rainwater","Borehole","Vendor"}),LOOKUP(RAND(),{0,0.15,0.45,0.72},{"River","Rainwater","Borehole","Vendor"}))),IF(D84&lt;15000,LOOKUP(RAND(),{0,0.4,0.7,0.92},{"River","Rainwater","Borehole","Vendor"}),IF(D84&lt;30000,LOOKUP(RAND(),{0,0.3,0.6,0.85},{"River","Rainwater","Borehole","Vendor"}),LOOKUP(RAND(),{0,0.2,0.5,0.75},{"River","Rainwater","Borehole","Vendor"}))))))</f>
        <v>Vendor</v>
      </c>
      <c r="F84">
        <f t="shared" ca="1" si="7"/>
        <v>27</v>
      </c>
      <c r="G84">
        <f t="shared" ca="1" si="8"/>
        <v>11</v>
      </c>
      <c r="H84">
        <f t="shared" ca="1" si="9"/>
        <v>12600</v>
      </c>
      <c r="I84">
        <f t="shared" ca="1" si="10"/>
        <v>0.48683391833005707</v>
      </c>
      <c r="J84">
        <v>0</v>
      </c>
    </row>
    <row r="85" spans="1:10" x14ac:dyDescent="0.3">
      <c r="A85" t="str">
        <f t="shared" si="11"/>
        <v>HH084</v>
      </c>
      <c r="B85" t="str">
        <f ca="1">LOOKUP(RAND(),{0,0.28,0.55,0.78},{"Oloitoktok A","Oloitoktok B","Kiserian","Namanga"})</f>
        <v>Namanga</v>
      </c>
      <c r="C85">
        <f ca="1">LOOKUP(RAND(),{0,0.02,0.09,0.2,0.35,0.52,0.68,0.81,0.91,0.97},{1,2,3,4,5,6,7,8,9,10})</f>
        <v>8</v>
      </c>
      <c r="D85">
        <f t="shared" ca="1" si="6"/>
        <v>95200</v>
      </c>
      <c r="E85" t="str">
        <f ca="1">IF(B85="Oloitoktok A",IF(D85&lt;15000,LOOKUP(RAND(),{0,0.45,0.75,0.92},{"River","Rainwater","Borehole","Vendor"}),IF(D85&lt;30000,LOOKUP(RAND(),{0,0.35,0.65,0.85},{"River","Rainwater","Borehole","Vendor"}),LOOKUP(RAND(),{0,0.25,0.5,0.75},{"River","Rainwater","Borehole","Vendor"}))),IF(B85="Oloitoktok B",IF(D85&lt;15000,LOOKUP(RAND(),{0,0.5,0.78,0.94},{"River","Rainwater","Borehole","Vendor"}),IF(D85&lt;30000,LOOKUP(RAND(),{0,0.4,0.68,0.87},{"River","Rainwater","Borehole","Vendor"}),LOOKUP(RAND(),{0,0.28,0.55,0.78},{"River","Rainwater","Borehole","Vendor"}))),IF(B85="Kiserian",IF(D85&lt;15000,LOOKUP(RAND(),{0,0.35,0.65,0.9},{"River","Rainwater","Borehole","Vendor"}),IF(D85&lt;30000,LOOKUP(RAND(),{0,0.25,0.55,0.82},{"River","Rainwater","Borehole","Vendor"}),LOOKUP(RAND(),{0,0.15,0.45,0.72},{"River","Rainwater","Borehole","Vendor"}))),IF(D85&lt;15000,LOOKUP(RAND(),{0,0.4,0.7,0.92},{"River","Rainwater","Borehole","Vendor"}),IF(D85&lt;30000,LOOKUP(RAND(),{0,0.3,0.6,0.85},{"River","Rainwater","Borehole","Vendor"}),LOOKUP(RAND(),{0,0.2,0.5,0.75},{"River","Rainwater","Borehole","Vendor"}))))))</f>
        <v>River</v>
      </c>
      <c r="F85">
        <f t="shared" ca="1" si="7"/>
        <v>112</v>
      </c>
      <c r="G85">
        <f t="shared" ca="1" si="8"/>
        <v>11.5</v>
      </c>
      <c r="H85">
        <f t="shared" ca="1" si="9"/>
        <v>11100</v>
      </c>
      <c r="I85">
        <f t="shared" ca="1" si="10"/>
        <v>0.83615867283664691</v>
      </c>
      <c r="J85">
        <v>0</v>
      </c>
    </row>
    <row r="86" spans="1:10" x14ac:dyDescent="0.3">
      <c r="A86" t="str">
        <f t="shared" si="11"/>
        <v>HH085</v>
      </c>
      <c r="B86" t="str">
        <f ca="1">LOOKUP(RAND(),{0,0.28,0.55,0.78},{"Oloitoktok A","Oloitoktok B","Kiserian","Namanga"})</f>
        <v>Namanga</v>
      </c>
      <c r="C86">
        <f ca="1">LOOKUP(RAND(),{0,0.02,0.09,0.2,0.35,0.52,0.68,0.81,0.91,0.97},{1,2,3,4,5,6,7,8,9,10})</f>
        <v>3</v>
      </c>
      <c r="D86">
        <f t="shared" ca="1" si="6"/>
        <v>13400</v>
      </c>
      <c r="E86" t="str">
        <f ca="1">IF(B86="Oloitoktok A",IF(D86&lt;15000,LOOKUP(RAND(),{0,0.45,0.75,0.92},{"River","Rainwater","Borehole","Vendor"}),IF(D86&lt;30000,LOOKUP(RAND(),{0,0.35,0.65,0.85},{"River","Rainwater","Borehole","Vendor"}),LOOKUP(RAND(),{0,0.25,0.5,0.75},{"River","Rainwater","Borehole","Vendor"}))),IF(B86="Oloitoktok B",IF(D86&lt;15000,LOOKUP(RAND(),{0,0.5,0.78,0.94},{"River","Rainwater","Borehole","Vendor"}),IF(D86&lt;30000,LOOKUP(RAND(),{0,0.4,0.68,0.87},{"River","Rainwater","Borehole","Vendor"}),LOOKUP(RAND(),{0,0.28,0.55,0.78},{"River","Rainwater","Borehole","Vendor"}))),IF(B86="Kiserian",IF(D86&lt;15000,LOOKUP(RAND(),{0,0.35,0.65,0.9},{"River","Rainwater","Borehole","Vendor"}),IF(D86&lt;30000,LOOKUP(RAND(),{0,0.25,0.55,0.82},{"River","Rainwater","Borehole","Vendor"}),LOOKUP(RAND(),{0,0.15,0.45,0.72},{"River","Rainwater","Borehole","Vendor"}))),IF(D86&lt;15000,LOOKUP(RAND(),{0,0.4,0.7,0.92},{"River","Rainwater","Borehole","Vendor"}),IF(D86&lt;30000,LOOKUP(RAND(),{0,0.3,0.6,0.85},{"River","Rainwater","Borehole","Vendor"}),LOOKUP(RAND(),{0,0.2,0.5,0.75},{"River","Rainwater","Borehole","Vendor"}))))))</f>
        <v>River</v>
      </c>
      <c r="F86">
        <f t="shared" ca="1" si="7"/>
        <v>78</v>
      </c>
      <c r="G86">
        <f t="shared" ca="1" si="8"/>
        <v>2.2000000000000002</v>
      </c>
      <c r="H86">
        <f t="shared" ca="1" si="9"/>
        <v>4200</v>
      </c>
      <c r="I86">
        <f t="shared" ca="1" si="10"/>
        <v>0.89482432052340166</v>
      </c>
      <c r="J86">
        <v>0</v>
      </c>
    </row>
    <row r="87" spans="1:10" x14ac:dyDescent="0.3">
      <c r="A87" t="str">
        <f t="shared" si="11"/>
        <v>HH086</v>
      </c>
      <c r="B87" t="str">
        <f ca="1">LOOKUP(RAND(),{0,0.28,0.55,0.78},{"Oloitoktok A","Oloitoktok B","Kiserian","Namanga"})</f>
        <v>Kiserian</v>
      </c>
      <c r="C87">
        <f ca="1">LOOKUP(RAND(),{0,0.02,0.09,0.2,0.35,0.52,0.68,0.81,0.91,0.97},{1,2,3,4,5,6,7,8,9,10})</f>
        <v>2</v>
      </c>
      <c r="D87">
        <f t="shared" ca="1" si="6"/>
        <v>22900</v>
      </c>
      <c r="E87" t="str">
        <f ca="1">IF(B87="Oloitoktok A",IF(D87&lt;15000,LOOKUP(RAND(),{0,0.45,0.75,0.92},{"River","Rainwater","Borehole","Vendor"}),IF(D87&lt;30000,LOOKUP(RAND(),{0,0.35,0.65,0.85},{"River","Rainwater","Borehole","Vendor"}),LOOKUP(RAND(),{0,0.25,0.5,0.75},{"River","Rainwater","Borehole","Vendor"}))),IF(B87="Oloitoktok B",IF(D87&lt;15000,LOOKUP(RAND(),{0,0.5,0.78,0.94},{"River","Rainwater","Borehole","Vendor"}),IF(D87&lt;30000,LOOKUP(RAND(),{0,0.4,0.68,0.87},{"River","Rainwater","Borehole","Vendor"}),LOOKUP(RAND(),{0,0.28,0.55,0.78},{"River","Rainwater","Borehole","Vendor"}))),IF(B87="Kiserian",IF(D87&lt;15000,LOOKUP(RAND(),{0,0.35,0.65,0.9},{"River","Rainwater","Borehole","Vendor"}),IF(D87&lt;30000,LOOKUP(RAND(),{0,0.25,0.55,0.82},{"River","Rainwater","Borehole","Vendor"}),LOOKUP(RAND(),{0,0.15,0.45,0.72},{"River","Rainwater","Borehole","Vendor"}))),IF(D87&lt;15000,LOOKUP(RAND(),{0,0.4,0.7,0.92},{"River","Rainwater","Borehole","Vendor"}),IF(D87&lt;30000,LOOKUP(RAND(),{0,0.3,0.6,0.85},{"River","Rainwater","Borehole","Vendor"}),LOOKUP(RAND(),{0,0.2,0.5,0.75},{"River","Rainwater","Borehole","Vendor"}))))))</f>
        <v>Borehole</v>
      </c>
      <c r="F87">
        <f t="shared" ca="1" si="7"/>
        <v>22</v>
      </c>
      <c r="G87">
        <f t="shared" ca="1" si="8"/>
        <v>2.5</v>
      </c>
      <c r="H87">
        <f t="shared" ca="1" si="9"/>
        <v>6900</v>
      </c>
      <c r="I87">
        <f t="shared" ca="1" si="10"/>
        <v>5.6231728451994978E-2</v>
      </c>
      <c r="J87">
        <v>0</v>
      </c>
    </row>
    <row r="88" spans="1:10" x14ac:dyDescent="0.3">
      <c r="A88" t="str">
        <f t="shared" si="11"/>
        <v>HH087</v>
      </c>
      <c r="B88" t="str">
        <f ca="1">LOOKUP(RAND(),{0,0.28,0.55,0.78},{"Oloitoktok A","Oloitoktok B","Kiserian","Namanga"})</f>
        <v>Oloitoktok A</v>
      </c>
      <c r="C88">
        <f ca="1">LOOKUP(RAND(),{0,0.02,0.09,0.2,0.35,0.52,0.68,0.81,0.91,0.97},{1,2,3,4,5,6,7,8,9,10})</f>
        <v>8</v>
      </c>
      <c r="D88">
        <f t="shared" ca="1" si="6"/>
        <v>12700</v>
      </c>
      <c r="E88" t="str">
        <f ca="1">IF(B88="Oloitoktok A",IF(D88&lt;15000,LOOKUP(RAND(),{0,0.45,0.75,0.92},{"River","Rainwater","Borehole","Vendor"}),IF(D88&lt;30000,LOOKUP(RAND(),{0,0.35,0.65,0.85},{"River","Rainwater","Borehole","Vendor"}),LOOKUP(RAND(),{0,0.25,0.5,0.75},{"River","Rainwater","Borehole","Vendor"}))),IF(B88="Oloitoktok B",IF(D88&lt;15000,LOOKUP(RAND(),{0,0.5,0.78,0.94},{"River","Rainwater","Borehole","Vendor"}),IF(D88&lt;30000,LOOKUP(RAND(),{0,0.4,0.68,0.87},{"River","Rainwater","Borehole","Vendor"}),LOOKUP(RAND(),{0,0.28,0.55,0.78},{"River","Rainwater","Borehole","Vendor"}))),IF(B88="Kiserian",IF(D88&lt;15000,LOOKUP(RAND(),{0,0.35,0.65,0.9},{"River","Rainwater","Borehole","Vendor"}),IF(D88&lt;30000,LOOKUP(RAND(),{0,0.25,0.55,0.82},{"River","Rainwater","Borehole","Vendor"}),LOOKUP(RAND(),{0,0.15,0.45,0.72},{"River","Rainwater","Borehole","Vendor"}))),IF(D88&lt;15000,LOOKUP(RAND(),{0,0.4,0.7,0.92},{"River","Rainwater","Borehole","Vendor"}),IF(D88&lt;30000,LOOKUP(RAND(),{0,0.3,0.6,0.85},{"River","Rainwater","Borehole","Vendor"}),LOOKUP(RAND(),{0,0.2,0.5,0.75},{"River","Rainwater","Borehole","Vendor"}))))))</f>
        <v>Rainwater</v>
      </c>
      <c r="F88">
        <f t="shared" ca="1" si="7"/>
        <v>51</v>
      </c>
      <c r="G88">
        <f t="shared" ca="1" si="8"/>
        <v>3.3</v>
      </c>
      <c r="H88">
        <f t="shared" ca="1" si="9"/>
        <v>3500</v>
      </c>
      <c r="I88">
        <f t="shared" ca="1" si="10"/>
        <v>0.86121875514963442</v>
      </c>
      <c r="J88">
        <v>0</v>
      </c>
    </row>
    <row r="89" spans="1:10" x14ac:dyDescent="0.3">
      <c r="A89" t="str">
        <f t="shared" si="11"/>
        <v>HH088</v>
      </c>
      <c r="B89" t="str">
        <f ca="1">LOOKUP(RAND(),{0,0.28,0.55,0.78},{"Oloitoktok A","Oloitoktok B","Kiserian","Namanga"})</f>
        <v>Kiserian</v>
      </c>
      <c r="C89">
        <f ca="1">LOOKUP(RAND(),{0,0.02,0.09,0.2,0.35,0.52,0.68,0.81,0.91,0.97},{1,2,3,4,5,6,7,8,9,10})</f>
        <v>5</v>
      </c>
      <c r="D89">
        <f t="shared" ca="1" si="6"/>
        <v>47500</v>
      </c>
      <c r="E89" t="str">
        <f ca="1">IF(B89="Oloitoktok A",IF(D89&lt;15000,LOOKUP(RAND(),{0,0.45,0.75,0.92},{"River","Rainwater","Borehole","Vendor"}),IF(D89&lt;30000,LOOKUP(RAND(),{0,0.35,0.65,0.85},{"River","Rainwater","Borehole","Vendor"}),LOOKUP(RAND(),{0,0.25,0.5,0.75},{"River","Rainwater","Borehole","Vendor"}))),IF(B89="Oloitoktok B",IF(D89&lt;15000,LOOKUP(RAND(),{0,0.5,0.78,0.94},{"River","Rainwater","Borehole","Vendor"}),IF(D89&lt;30000,LOOKUP(RAND(),{0,0.4,0.68,0.87},{"River","Rainwater","Borehole","Vendor"}),LOOKUP(RAND(),{0,0.28,0.55,0.78},{"River","Rainwater","Borehole","Vendor"}))),IF(B89="Kiserian",IF(D89&lt;15000,LOOKUP(RAND(),{0,0.35,0.65,0.9},{"River","Rainwater","Borehole","Vendor"}),IF(D89&lt;30000,LOOKUP(RAND(),{0,0.25,0.55,0.82},{"River","Rainwater","Borehole","Vendor"}),LOOKUP(RAND(),{0,0.15,0.45,0.72},{"River","Rainwater","Borehole","Vendor"}))),IF(D89&lt;15000,LOOKUP(RAND(),{0,0.4,0.7,0.92},{"River","Rainwater","Borehole","Vendor"}),IF(D89&lt;30000,LOOKUP(RAND(),{0,0.3,0.6,0.85},{"River","Rainwater","Borehole","Vendor"}),LOOKUP(RAND(),{0,0.2,0.5,0.75},{"River","Rainwater","Borehole","Vendor"}))))))</f>
        <v>River</v>
      </c>
      <c r="F89">
        <f t="shared" ca="1" si="7"/>
        <v>52</v>
      </c>
      <c r="G89">
        <f t="shared" ca="1" si="8"/>
        <v>1.4</v>
      </c>
      <c r="H89">
        <f t="shared" ca="1" si="9"/>
        <v>1200</v>
      </c>
      <c r="I89">
        <f t="shared" ca="1" si="10"/>
        <v>0.36625460132722654</v>
      </c>
      <c r="J89">
        <v>0</v>
      </c>
    </row>
    <row r="90" spans="1:10" x14ac:dyDescent="0.3">
      <c r="A90" t="str">
        <f t="shared" si="11"/>
        <v>HH089</v>
      </c>
      <c r="B90" t="str">
        <f ca="1">LOOKUP(RAND(),{0,0.28,0.55,0.78},{"Oloitoktok A","Oloitoktok B","Kiserian","Namanga"})</f>
        <v>Oloitoktok A</v>
      </c>
      <c r="C90">
        <f ca="1">LOOKUP(RAND(),{0,0.02,0.09,0.2,0.35,0.52,0.68,0.81,0.91,0.97},{1,2,3,4,5,6,7,8,9,10})</f>
        <v>7</v>
      </c>
      <c r="D90">
        <f t="shared" ca="1" si="6"/>
        <v>47400</v>
      </c>
      <c r="E90" t="str">
        <f ca="1">IF(B90="Oloitoktok A",IF(D90&lt;15000,LOOKUP(RAND(),{0,0.45,0.75,0.92},{"River","Rainwater","Borehole","Vendor"}),IF(D90&lt;30000,LOOKUP(RAND(),{0,0.35,0.65,0.85},{"River","Rainwater","Borehole","Vendor"}),LOOKUP(RAND(),{0,0.25,0.5,0.75},{"River","Rainwater","Borehole","Vendor"}))),IF(B90="Oloitoktok B",IF(D90&lt;15000,LOOKUP(RAND(),{0,0.5,0.78,0.94},{"River","Rainwater","Borehole","Vendor"}),IF(D90&lt;30000,LOOKUP(RAND(),{0,0.4,0.68,0.87},{"River","Rainwater","Borehole","Vendor"}),LOOKUP(RAND(),{0,0.28,0.55,0.78},{"River","Rainwater","Borehole","Vendor"}))),IF(B90="Kiserian",IF(D90&lt;15000,LOOKUP(RAND(),{0,0.35,0.65,0.9},{"River","Rainwater","Borehole","Vendor"}),IF(D90&lt;30000,LOOKUP(RAND(),{0,0.25,0.55,0.82},{"River","Rainwater","Borehole","Vendor"}),LOOKUP(RAND(),{0,0.15,0.45,0.72},{"River","Rainwater","Borehole","Vendor"}))),IF(D90&lt;15000,LOOKUP(RAND(),{0,0.4,0.7,0.92},{"River","Rainwater","Borehole","Vendor"}),IF(D90&lt;30000,LOOKUP(RAND(),{0,0.3,0.6,0.85},{"River","Rainwater","Borehole","Vendor"}),LOOKUP(RAND(),{0,0.2,0.5,0.75},{"River","Rainwater","Borehole","Vendor"}))))))</f>
        <v>Borehole</v>
      </c>
      <c r="F90">
        <f t="shared" ca="1" si="7"/>
        <v>51</v>
      </c>
      <c r="G90">
        <f t="shared" ca="1" si="8"/>
        <v>12.6</v>
      </c>
      <c r="H90">
        <f t="shared" ca="1" si="9"/>
        <v>5900</v>
      </c>
      <c r="I90">
        <f t="shared" ca="1" si="10"/>
        <v>0.67900085330778936</v>
      </c>
      <c r="J90">
        <v>0</v>
      </c>
    </row>
    <row r="91" spans="1:10" x14ac:dyDescent="0.3">
      <c r="A91" t="str">
        <f t="shared" si="11"/>
        <v>HH090</v>
      </c>
      <c r="B91" t="str">
        <f ca="1">LOOKUP(RAND(),{0,0.28,0.55,0.78},{"Oloitoktok A","Oloitoktok B","Kiserian","Namanga"})</f>
        <v>Namanga</v>
      </c>
      <c r="C91">
        <f ca="1">LOOKUP(RAND(),{0,0.02,0.09,0.2,0.35,0.52,0.68,0.81,0.91,0.97},{1,2,3,4,5,6,7,8,9,10})</f>
        <v>8</v>
      </c>
      <c r="D91">
        <f t="shared" ca="1" si="6"/>
        <v>17900</v>
      </c>
      <c r="E91" t="str">
        <f ca="1">IF(B91="Oloitoktok A",IF(D91&lt;15000,LOOKUP(RAND(),{0,0.45,0.75,0.92},{"River","Rainwater","Borehole","Vendor"}),IF(D91&lt;30000,LOOKUP(RAND(),{0,0.35,0.65,0.85},{"River","Rainwater","Borehole","Vendor"}),LOOKUP(RAND(),{0,0.25,0.5,0.75},{"River","Rainwater","Borehole","Vendor"}))),IF(B91="Oloitoktok B",IF(D91&lt;15000,LOOKUP(RAND(),{0,0.5,0.78,0.94},{"River","Rainwater","Borehole","Vendor"}),IF(D91&lt;30000,LOOKUP(RAND(),{0,0.4,0.68,0.87},{"River","Rainwater","Borehole","Vendor"}),LOOKUP(RAND(),{0,0.28,0.55,0.78},{"River","Rainwater","Borehole","Vendor"}))),IF(B91="Kiserian",IF(D91&lt;15000,LOOKUP(RAND(),{0,0.35,0.65,0.9},{"River","Rainwater","Borehole","Vendor"}),IF(D91&lt;30000,LOOKUP(RAND(),{0,0.25,0.55,0.82},{"River","Rainwater","Borehole","Vendor"}),LOOKUP(RAND(),{0,0.15,0.45,0.72},{"River","Rainwater","Borehole","Vendor"}))),IF(D91&lt;15000,LOOKUP(RAND(),{0,0.4,0.7,0.92},{"River","Rainwater","Borehole","Vendor"}),IF(D91&lt;30000,LOOKUP(RAND(),{0,0.3,0.6,0.85},{"River","Rainwater","Borehole","Vendor"}),LOOKUP(RAND(),{0,0.2,0.5,0.75},{"River","Rainwater","Borehole","Vendor"}))))))</f>
        <v>River</v>
      </c>
      <c r="F91">
        <f t="shared" ca="1" si="7"/>
        <v>92</v>
      </c>
      <c r="G91">
        <f t="shared" ca="1" si="8"/>
        <v>1</v>
      </c>
      <c r="H91">
        <f t="shared" ca="1" si="9"/>
        <v>2500</v>
      </c>
      <c r="I91">
        <f t="shared" ca="1" si="10"/>
        <v>0.54952292533239244</v>
      </c>
      <c r="J91">
        <v>0</v>
      </c>
    </row>
    <row r="92" spans="1:10" x14ac:dyDescent="0.3">
      <c r="A92" t="str">
        <f t="shared" si="11"/>
        <v>HH091</v>
      </c>
      <c r="B92" t="str">
        <f ca="1">LOOKUP(RAND(),{0,0.28,0.55,0.78},{"Oloitoktok A","Oloitoktok B","Kiserian","Namanga"})</f>
        <v>Namanga</v>
      </c>
      <c r="C92">
        <f ca="1">LOOKUP(RAND(),{0,0.02,0.09,0.2,0.35,0.52,0.68,0.81,0.91,0.97},{1,2,3,4,5,6,7,8,9,10})</f>
        <v>8</v>
      </c>
      <c r="D92">
        <f t="shared" ca="1" si="6"/>
        <v>66200</v>
      </c>
      <c r="E92" t="str">
        <f ca="1">IF(B92="Oloitoktok A",IF(D92&lt;15000,LOOKUP(RAND(),{0,0.45,0.75,0.92},{"River","Rainwater","Borehole","Vendor"}),IF(D92&lt;30000,LOOKUP(RAND(),{0,0.35,0.65,0.85},{"River","Rainwater","Borehole","Vendor"}),LOOKUP(RAND(),{0,0.25,0.5,0.75},{"River","Rainwater","Borehole","Vendor"}))),IF(B92="Oloitoktok B",IF(D92&lt;15000,LOOKUP(RAND(),{0,0.5,0.78,0.94},{"River","Rainwater","Borehole","Vendor"}),IF(D92&lt;30000,LOOKUP(RAND(),{0,0.4,0.68,0.87},{"River","Rainwater","Borehole","Vendor"}),LOOKUP(RAND(),{0,0.28,0.55,0.78},{"River","Rainwater","Borehole","Vendor"}))),IF(B92="Kiserian",IF(D92&lt;15000,LOOKUP(RAND(),{0,0.35,0.65,0.9},{"River","Rainwater","Borehole","Vendor"}),IF(D92&lt;30000,LOOKUP(RAND(),{0,0.25,0.55,0.82},{"River","Rainwater","Borehole","Vendor"}),LOOKUP(RAND(),{0,0.15,0.45,0.72},{"River","Rainwater","Borehole","Vendor"}))),IF(D92&lt;15000,LOOKUP(RAND(),{0,0.4,0.7,0.92},{"River","Rainwater","Borehole","Vendor"}),IF(D92&lt;30000,LOOKUP(RAND(),{0,0.3,0.6,0.85},{"River","Rainwater","Borehole","Vendor"}),LOOKUP(RAND(),{0,0.2,0.5,0.75},{"River","Rainwater","Borehole","Vendor"}))))))</f>
        <v>River</v>
      </c>
      <c r="F92">
        <f t="shared" ca="1" si="7"/>
        <v>111</v>
      </c>
      <c r="G92">
        <f t="shared" ca="1" si="8"/>
        <v>1.2</v>
      </c>
      <c r="H92">
        <f t="shared" ca="1" si="9"/>
        <v>8900</v>
      </c>
      <c r="I92">
        <f t="shared" ca="1" si="10"/>
        <v>0.78593626088321389</v>
      </c>
      <c r="J92">
        <v>0</v>
      </c>
    </row>
    <row r="93" spans="1:10" x14ac:dyDescent="0.3">
      <c r="A93" t="str">
        <f t="shared" si="11"/>
        <v>HH092</v>
      </c>
      <c r="B93" t="str">
        <f ca="1">LOOKUP(RAND(),{0,0.28,0.55,0.78},{"Oloitoktok A","Oloitoktok B","Kiserian","Namanga"})</f>
        <v>Oloitoktok B</v>
      </c>
      <c r="C93">
        <f ca="1">LOOKUP(RAND(),{0,0.02,0.09,0.2,0.35,0.52,0.68,0.81,0.91,0.97},{1,2,3,4,5,6,7,8,9,10})</f>
        <v>5</v>
      </c>
      <c r="D93">
        <f t="shared" ca="1" si="6"/>
        <v>30000</v>
      </c>
      <c r="E93" t="str">
        <f ca="1">IF(B93="Oloitoktok A",IF(D93&lt;15000,LOOKUP(RAND(),{0,0.45,0.75,0.92},{"River","Rainwater","Borehole","Vendor"}),IF(D93&lt;30000,LOOKUP(RAND(),{0,0.35,0.65,0.85},{"River","Rainwater","Borehole","Vendor"}),LOOKUP(RAND(),{0,0.25,0.5,0.75},{"River","Rainwater","Borehole","Vendor"}))),IF(B93="Oloitoktok B",IF(D93&lt;15000,LOOKUP(RAND(),{0,0.5,0.78,0.94},{"River","Rainwater","Borehole","Vendor"}),IF(D93&lt;30000,LOOKUP(RAND(),{0,0.4,0.68,0.87},{"River","Rainwater","Borehole","Vendor"}),LOOKUP(RAND(),{0,0.28,0.55,0.78},{"River","Rainwater","Borehole","Vendor"}))),IF(B93="Kiserian",IF(D93&lt;15000,LOOKUP(RAND(),{0,0.35,0.65,0.9},{"River","Rainwater","Borehole","Vendor"}),IF(D93&lt;30000,LOOKUP(RAND(),{0,0.25,0.55,0.82},{"River","Rainwater","Borehole","Vendor"}),LOOKUP(RAND(),{0,0.15,0.45,0.72},{"River","Rainwater","Borehole","Vendor"}))),IF(D93&lt;15000,LOOKUP(RAND(),{0,0.4,0.7,0.92},{"River","Rainwater","Borehole","Vendor"}),IF(D93&lt;30000,LOOKUP(RAND(),{0,0.3,0.6,0.85},{"River","Rainwater","Borehole","Vendor"}),LOOKUP(RAND(),{0,0.2,0.5,0.75},{"River","Rainwater","Borehole","Vendor"}))))))</f>
        <v>Vendor</v>
      </c>
      <c r="F93">
        <f t="shared" ca="1" si="7"/>
        <v>29</v>
      </c>
      <c r="G93">
        <f t="shared" ca="1" si="8"/>
        <v>1</v>
      </c>
      <c r="H93">
        <f t="shared" ca="1" si="9"/>
        <v>5200</v>
      </c>
      <c r="I93">
        <f t="shared" ca="1" si="10"/>
        <v>0.23362438556108311</v>
      </c>
      <c r="J93">
        <v>0</v>
      </c>
    </row>
    <row r="94" spans="1:10" x14ac:dyDescent="0.3">
      <c r="A94" t="str">
        <f t="shared" si="11"/>
        <v>HH093</v>
      </c>
      <c r="B94" t="str">
        <f ca="1">LOOKUP(RAND(),{0,0.28,0.55,0.78},{"Oloitoktok A","Oloitoktok B","Kiserian","Namanga"})</f>
        <v>Kiserian</v>
      </c>
      <c r="C94">
        <f ca="1">LOOKUP(RAND(),{0,0.02,0.09,0.2,0.35,0.52,0.68,0.81,0.91,0.97},{1,2,3,4,5,6,7,8,9,10})</f>
        <v>4</v>
      </c>
      <c r="D94">
        <f t="shared" ca="1" si="6"/>
        <v>39900</v>
      </c>
      <c r="E94" t="str">
        <f ca="1">IF(B94="Oloitoktok A",IF(D94&lt;15000,LOOKUP(RAND(),{0,0.45,0.75,0.92},{"River","Rainwater","Borehole","Vendor"}),IF(D94&lt;30000,LOOKUP(RAND(),{0,0.35,0.65,0.85},{"River","Rainwater","Borehole","Vendor"}),LOOKUP(RAND(),{0,0.25,0.5,0.75},{"River","Rainwater","Borehole","Vendor"}))),IF(B94="Oloitoktok B",IF(D94&lt;15000,LOOKUP(RAND(),{0,0.5,0.78,0.94},{"River","Rainwater","Borehole","Vendor"}),IF(D94&lt;30000,LOOKUP(RAND(),{0,0.4,0.68,0.87},{"River","Rainwater","Borehole","Vendor"}),LOOKUP(RAND(),{0,0.28,0.55,0.78},{"River","Rainwater","Borehole","Vendor"}))),IF(B94="Kiserian",IF(D94&lt;15000,LOOKUP(RAND(),{0,0.35,0.65,0.9},{"River","Rainwater","Borehole","Vendor"}),IF(D94&lt;30000,LOOKUP(RAND(),{0,0.25,0.55,0.82},{"River","Rainwater","Borehole","Vendor"}),LOOKUP(RAND(),{0,0.15,0.45,0.72},{"River","Rainwater","Borehole","Vendor"}))),IF(D94&lt;15000,LOOKUP(RAND(),{0,0.4,0.7,0.92},{"River","Rainwater","Borehole","Vendor"}),IF(D94&lt;30000,LOOKUP(RAND(),{0,0.3,0.6,0.85},{"River","Rainwater","Borehole","Vendor"}),LOOKUP(RAND(),{0,0.2,0.5,0.75},{"River","Rainwater","Borehole","Vendor"}))))))</f>
        <v>Vendor</v>
      </c>
      <c r="F94">
        <f t="shared" ca="1" si="7"/>
        <v>48</v>
      </c>
      <c r="G94">
        <f t="shared" ca="1" si="8"/>
        <v>9.9</v>
      </c>
      <c r="H94">
        <f t="shared" ca="1" si="9"/>
        <v>7700</v>
      </c>
      <c r="I94">
        <f t="shared" ca="1" si="10"/>
        <v>2.7652399085562163E-2</v>
      </c>
      <c r="J94">
        <v>0</v>
      </c>
    </row>
    <row r="95" spans="1:10" x14ac:dyDescent="0.3">
      <c r="A95" t="str">
        <f t="shared" si="11"/>
        <v>HH094</v>
      </c>
      <c r="B95" t="str">
        <f ca="1">LOOKUP(RAND(),{0,0.28,0.55,0.78},{"Oloitoktok A","Oloitoktok B","Kiserian","Namanga"})</f>
        <v>Namanga</v>
      </c>
      <c r="C95">
        <f ca="1">LOOKUP(RAND(),{0,0.02,0.09,0.2,0.35,0.52,0.68,0.81,0.91,0.97},{1,2,3,4,5,6,7,8,9,10})</f>
        <v>8</v>
      </c>
      <c r="D95">
        <f t="shared" ca="1" si="6"/>
        <v>41800</v>
      </c>
      <c r="E95" t="str">
        <f ca="1">IF(B95="Oloitoktok A",IF(D95&lt;15000,LOOKUP(RAND(),{0,0.45,0.75,0.92},{"River","Rainwater","Borehole","Vendor"}),IF(D95&lt;30000,LOOKUP(RAND(),{0,0.35,0.65,0.85},{"River","Rainwater","Borehole","Vendor"}),LOOKUP(RAND(),{0,0.25,0.5,0.75},{"River","Rainwater","Borehole","Vendor"}))),IF(B95="Oloitoktok B",IF(D95&lt;15000,LOOKUP(RAND(),{0,0.5,0.78,0.94},{"River","Rainwater","Borehole","Vendor"}),IF(D95&lt;30000,LOOKUP(RAND(),{0,0.4,0.68,0.87},{"River","Rainwater","Borehole","Vendor"}),LOOKUP(RAND(),{0,0.28,0.55,0.78},{"River","Rainwater","Borehole","Vendor"}))),IF(B95="Kiserian",IF(D95&lt;15000,LOOKUP(RAND(),{0,0.35,0.65,0.9},{"River","Rainwater","Borehole","Vendor"}),IF(D95&lt;30000,LOOKUP(RAND(),{0,0.25,0.55,0.82},{"River","Rainwater","Borehole","Vendor"}),LOOKUP(RAND(),{0,0.15,0.45,0.72},{"River","Rainwater","Borehole","Vendor"}))),IF(D95&lt;15000,LOOKUP(RAND(),{0,0.4,0.7,0.92},{"River","Rainwater","Borehole","Vendor"}),IF(D95&lt;30000,LOOKUP(RAND(),{0,0.3,0.6,0.85},{"River","Rainwater","Borehole","Vendor"}),LOOKUP(RAND(),{0,0.2,0.5,0.75},{"River","Rainwater","Borehole","Vendor"}))))))</f>
        <v>Rainwater</v>
      </c>
      <c r="F95">
        <f t="shared" ca="1" si="7"/>
        <v>30</v>
      </c>
      <c r="G95">
        <f t="shared" ca="1" si="8"/>
        <v>10</v>
      </c>
      <c r="H95">
        <f t="shared" ca="1" si="9"/>
        <v>3700</v>
      </c>
      <c r="I95">
        <f t="shared" ca="1" si="10"/>
        <v>0.77442504554730662</v>
      </c>
      <c r="J95">
        <v>0</v>
      </c>
    </row>
    <row r="96" spans="1:10" x14ac:dyDescent="0.3">
      <c r="A96" t="str">
        <f t="shared" si="11"/>
        <v>HH095</v>
      </c>
      <c r="B96" t="str">
        <f ca="1">LOOKUP(RAND(),{0,0.28,0.55,0.78},{"Oloitoktok A","Oloitoktok B","Kiserian","Namanga"})</f>
        <v>Oloitoktok A</v>
      </c>
      <c r="C96">
        <f ca="1">LOOKUP(RAND(),{0,0.02,0.09,0.2,0.35,0.52,0.68,0.81,0.91,0.97},{1,2,3,4,5,6,7,8,9,10})</f>
        <v>4</v>
      </c>
      <c r="D96">
        <f t="shared" ca="1" si="6"/>
        <v>80300</v>
      </c>
      <c r="E96" t="str">
        <f ca="1">IF(B96="Oloitoktok A",IF(D96&lt;15000,LOOKUP(RAND(),{0,0.45,0.75,0.92},{"River","Rainwater","Borehole","Vendor"}),IF(D96&lt;30000,LOOKUP(RAND(),{0,0.35,0.65,0.85},{"River","Rainwater","Borehole","Vendor"}),LOOKUP(RAND(),{0,0.25,0.5,0.75},{"River","Rainwater","Borehole","Vendor"}))),IF(B96="Oloitoktok B",IF(D96&lt;15000,LOOKUP(RAND(),{0,0.5,0.78,0.94},{"River","Rainwater","Borehole","Vendor"}),IF(D96&lt;30000,LOOKUP(RAND(),{0,0.4,0.68,0.87},{"River","Rainwater","Borehole","Vendor"}),LOOKUP(RAND(),{0,0.28,0.55,0.78},{"River","Rainwater","Borehole","Vendor"}))),IF(B96="Kiserian",IF(D96&lt;15000,LOOKUP(RAND(),{0,0.35,0.65,0.9},{"River","Rainwater","Borehole","Vendor"}),IF(D96&lt;30000,LOOKUP(RAND(),{0,0.25,0.55,0.82},{"River","Rainwater","Borehole","Vendor"}),LOOKUP(RAND(),{0,0.15,0.45,0.72},{"River","Rainwater","Borehole","Vendor"}))),IF(D96&lt;15000,LOOKUP(RAND(),{0,0.4,0.7,0.92},{"River","Rainwater","Borehole","Vendor"}),IF(D96&lt;30000,LOOKUP(RAND(),{0,0.3,0.6,0.85},{"River","Rainwater","Borehole","Vendor"}),LOOKUP(RAND(),{0,0.2,0.5,0.75},{"River","Rainwater","Borehole","Vendor"}))))))</f>
        <v>Borehole</v>
      </c>
      <c r="F96">
        <f t="shared" ca="1" si="7"/>
        <v>51</v>
      </c>
      <c r="G96">
        <f t="shared" ca="1" si="8"/>
        <v>8.5</v>
      </c>
      <c r="H96">
        <f t="shared" ca="1" si="9"/>
        <v>10600</v>
      </c>
      <c r="I96">
        <f t="shared" ca="1" si="10"/>
        <v>0.66583207391381483</v>
      </c>
      <c r="J96">
        <v>0</v>
      </c>
    </row>
    <row r="97" spans="1:10" x14ac:dyDescent="0.3">
      <c r="A97" t="str">
        <f t="shared" si="11"/>
        <v>HH096</v>
      </c>
      <c r="B97" t="str">
        <f ca="1">LOOKUP(RAND(),{0,0.28,0.55,0.78},{"Oloitoktok A","Oloitoktok B","Kiserian","Namanga"})</f>
        <v>Oloitoktok B</v>
      </c>
      <c r="C97">
        <f ca="1">LOOKUP(RAND(),{0,0.02,0.09,0.2,0.35,0.52,0.68,0.81,0.91,0.97},{1,2,3,4,5,6,7,8,9,10})</f>
        <v>7</v>
      </c>
      <c r="D97">
        <f t="shared" ca="1" si="6"/>
        <v>26200</v>
      </c>
      <c r="E97" t="str">
        <f ca="1">IF(B97="Oloitoktok A",IF(D97&lt;15000,LOOKUP(RAND(),{0,0.45,0.75,0.92},{"River","Rainwater","Borehole","Vendor"}),IF(D97&lt;30000,LOOKUP(RAND(),{0,0.35,0.65,0.85},{"River","Rainwater","Borehole","Vendor"}),LOOKUP(RAND(),{0,0.25,0.5,0.75},{"River","Rainwater","Borehole","Vendor"}))),IF(B97="Oloitoktok B",IF(D97&lt;15000,LOOKUP(RAND(),{0,0.5,0.78,0.94},{"River","Rainwater","Borehole","Vendor"}),IF(D97&lt;30000,LOOKUP(RAND(),{0,0.4,0.68,0.87},{"River","Rainwater","Borehole","Vendor"}),LOOKUP(RAND(),{0,0.28,0.55,0.78},{"River","Rainwater","Borehole","Vendor"}))),IF(B97="Kiserian",IF(D97&lt;15000,LOOKUP(RAND(),{0,0.35,0.65,0.9},{"River","Rainwater","Borehole","Vendor"}),IF(D97&lt;30000,LOOKUP(RAND(),{0,0.25,0.55,0.82},{"River","Rainwater","Borehole","Vendor"}),LOOKUP(RAND(),{0,0.15,0.45,0.72},{"River","Rainwater","Borehole","Vendor"}))),IF(D97&lt;15000,LOOKUP(RAND(),{0,0.4,0.7,0.92},{"River","Rainwater","Borehole","Vendor"}),IF(D97&lt;30000,LOOKUP(RAND(),{0,0.3,0.6,0.85},{"River","Rainwater","Borehole","Vendor"}),LOOKUP(RAND(),{0,0.2,0.5,0.75},{"River","Rainwater","Borehole","Vendor"}))))))</f>
        <v>Rainwater</v>
      </c>
      <c r="F97">
        <f t="shared" ca="1" si="7"/>
        <v>19</v>
      </c>
      <c r="G97">
        <f t="shared" ca="1" si="8"/>
        <v>0.9</v>
      </c>
      <c r="H97">
        <f t="shared" ca="1" si="9"/>
        <v>7500</v>
      </c>
      <c r="I97">
        <f t="shared" ca="1" si="10"/>
        <v>0.72226993355806357</v>
      </c>
      <c r="J97">
        <v>0</v>
      </c>
    </row>
    <row r="98" spans="1:10" x14ac:dyDescent="0.3">
      <c r="A98" t="str">
        <f t="shared" si="11"/>
        <v>HH097</v>
      </c>
      <c r="B98" t="str">
        <f ca="1">LOOKUP(RAND(),{0,0.28,0.55,0.78},{"Oloitoktok A","Oloitoktok B","Kiserian","Namanga"})</f>
        <v>Oloitoktok B</v>
      </c>
      <c r="C98">
        <f ca="1">LOOKUP(RAND(),{0,0.02,0.09,0.2,0.35,0.52,0.68,0.81,0.91,0.97},{1,2,3,4,5,6,7,8,9,10})</f>
        <v>6</v>
      </c>
      <c r="D98">
        <f t="shared" ca="1" si="6"/>
        <v>124100</v>
      </c>
      <c r="E98" t="str">
        <f ca="1">IF(B98="Oloitoktok A",IF(D98&lt;15000,LOOKUP(RAND(),{0,0.45,0.75,0.92},{"River","Rainwater","Borehole","Vendor"}),IF(D98&lt;30000,LOOKUP(RAND(),{0,0.35,0.65,0.85},{"River","Rainwater","Borehole","Vendor"}),LOOKUP(RAND(),{0,0.25,0.5,0.75},{"River","Rainwater","Borehole","Vendor"}))),IF(B98="Oloitoktok B",IF(D98&lt;15000,LOOKUP(RAND(),{0,0.5,0.78,0.94},{"River","Rainwater","Borehole","Vendor"}),IF(D98&lt;30000,LOOKUP(RAND(),{0,0.4,0.68,0.87},{"River","Rainwater","Borehole","Vendor"}),LOOKUP(RAND(),{0,0.28,0.55,0.78},{"River","Rainwater","Borehole","Vendor"}))),IF(B98="Kiserian",IF(D98&lt;15000,LOOKUP(RAND(),{0,0.35,0.65,0.9},{"River","Rainwater","Borehole","Vendor"}),IF(D98&lt;30000,LOOKUP(RAND(),{0,0.25,0.55,0.82},{"River","Rainwater","Borehole","Vendor"}),LOOKUP(RAND(),{0,0.15,0.45,0.72},{"River","Rainwater","Borehole","Vendor"}))),IF(D98&lt;15000,LOOKUP(RAND(),{0,0.4,0.7,0.92},{"River","Rainwater","Borehole","Vendor"}),IF(D98&lt;30000,LOOKUP(RAND(),{0,0.3,0.6,0.85},{"River","Rainwater","Borehole","Vendor"}),LOOKUP(RAND(),{0,0.2,0.5,0.75},{"River","Rainwater","Borehole","Vendor"}))))))</f>
        <v>Borehole</v>
      </c>
      <c r="F98">
        <f t="shared" ca="1" si="7"/>
        <v>61</v>
      </c>
      <c r="G98">
        <f t="shared" ca="1" si="8"/>
        <v>5.0999999999999996</v>
      </c>
      <c r="H98">
        <f t="shared" ca="1" si="9"/>
        <v>9600</v>
      </c>
      <c r="I98">
        <f t="shared" ca="1" si="10"/>
        <v>0.76509202027669643</v>
      </c>
      <c r="J98">
        <v>0</v>
      </c>
    </row>
    <row r="99" spans="1:10" x14ac:dyDescent="0.3">
      <c r="A99" t="str">
        <f t="shared" si="11"/>
        <v>HH098</v>
      </c>
      <c r="B99" t="str">
        <f ca="1">LOOKUP(RAND(),{0,0.28,0.55,0.78},{"Oloitoktok A","Oloitoktok B","Kiserian","Namanga"})</f>
        <v>Oloitoktok B</v>
      </c>
      <c r="C99">
        <f ca="1">LOOKUP(RAND(),{0,0.02,0.09,0.2,0.35,0.52,0.68,0.81,0.91,0.97},{1,2,3,4,5,6,7,8,9,10})</f>
        <v>7</v>
      </c>
      <c r="D99">
        <f t="shared" ca="1" si="6"/>
        <v>66400</v>
      </c>
      <c r="E99" t="str">
        <f ca="1">IF(B99="Oloitoktok A",IF(D99&lt;15000,LOOKUP(RAND(),{0,0.45,0.75,0.92},{"River","Rainwater","Borehole","Vendor"}),IF(D99&lt;30000,LOOKUP(RAND(),{0,0.35,0.65,0.85},{"River","Rainwater","Borehole","Vendor"}),LOOKUP(RAND(),{0,0.25,0.5,0.75},{"River","Rainwater","Borehole","Vendor"}))),IF(B99="Oloitoktok B",IF(D99&lt;15000,LOOKUP(RAND(),{0,0.5,0.78,0.94},{"River","Rainwater","Borehole","Vendor"}),IF(D99&lt;30000,LOOKUP(RAND(),{0,0.4,0.68,0.87},{"River","Rainwater","Borehole","Vendor"}),LOOKUP(RAND(),{0,0.28,0.55,0.78},{"River","Rainwater","Borehole","Vendor"}))),IF(B99="Kiserian",IF(D99&lt;15000,LOOKUP(RAND(),{0,0.35,0.65,0.9},{"River","Rainwater","Borehole","Vendor"}),IF(D99&lt;30000,LOOKUP(RAND(),{0,0.25,0.55,0.82},{"River","Rainwater","Borehole","Vendor"}),LOOKUP(RAND(),{0,0.15,0.45,0.72},{"River","Rainwater","Borehole","Vendor"}))),IF(D99&lt;15000,LOOKUP(RAND(),{0,0.4,0.7,0.92},{"River","Rainwater","Borehole","Vendor"}),IF(D99&lt;30000,LOOKUP(RAND(),{0,0.3,0.6,0.85},{"River","Rainwater","Borehole","Vendor"}),LOOKUP(RAND(),{0,0.2,0.5,0.75},{"River","Rainwater","Borehole","Vendor"}))))))</f>
        <v>River</v>
      </c>
      <c r="F99">
        <f t="shared" ca="1" si="7"/>
        <v>47</v>
      </c>
      <c r="G99">
        <f t="shared" ca="1" si="8"/>
        <v>6</v>
      </c>
      <c r="H99">
        <f t="shared" ca="1" si="9"/>
        <v>2100</v>
      </c>
      <c r="I99">
        <f t="shared" ca="1" si="10"/>
        <v>0.49429550337777317</v>
      </c>
      <c r="J99">
        <v>0</v>
      </c>
    </row>
    <row r="100" spans="1:10" x14ac:dyDescent="0.3">
      <c r="A100" t="str">
        <f t="shared" si="11"/>
        <v>HH099</v>
      </c>
      <c r="B100" t="str">
        <f ca="1">LOOKUP(RAND(),{0,0.28,0.55,0.78},{"Oloitoktok A","Oloitoktok B","Kiserian","Namanga"})</f>
        <v>Oloitoktok B</v>
      </c>
      <c r="C100">
        <f ca="1">LOOKUP(RAND(),{0,0.02,0.09,0.2,0.35,0.52,0.68,0.81,0.91,0.97},{1,2,3,4,5,6,7,8,9,10})</f>
        <v>5</v>
      </c>
      <c r="D100">
        <f t="shared" ca="1" si="6"/>
        <v>17400</v>
      </c>
      <c r="E100" t="str">
        <f ca="1">IF(B100="Oloitoktok A",IF(D100&lt;15000,LOOKUP(RAND(),{0,0.45,0.75,0.92},{"River","Rainwater","Borehole","Vendor"}),IF(D100&lt;30000,LOOKUP(RAND(),{0,0.35,0.65,0.85},{"River","Rainwater","Borehole","Vendor"}),LOOKUP(RAND(),{0,0.25,0.5,0.75},{"River","Rainwater","Borehole","Vendor"}))),IF(B100="Oloitoktok B",IF(D100&lt;15000,LOOKUP(RAND(),{0,0.5,0.78,0.94},{"River","Rainwater","Borehole","Vendor"}),IF(D100&lt;30000,LOOKUP(RAND(),{0,0.4,0.68,0.87},{"River","Rainwater","Borehole","Vendor"}),LOOKUP(RAND(),{0,0.28,0.55,0.78},{"River","Rainwater","Borehole","Vendor"}))),IF(B100="Kiserian",IF(D100&lt;15000,LOOKUP(RAND(),{0,0.35,0.65,0.9},{"River","Rainwater","Borehole","Vendor"}),IF(D100&lt;30000,LOOKUP(RAND(),{0,0.25,0.55,0.82},{"River","Rainwater","Borehole","Vendor"}),LOOKUP(RAND(),{0,0.15,0.45,0.72},{"River","Rainwater","Borehole","Vendor"}))),IF(D100&lt;15000,LOOKUP(RAND(),{0,0.4,0.7,0.92},{"River","Rainwater","Borehole","Vendor"}),IF(D100&lt;30000,LOOKUP(RAND(),{0,0.3,0.6,0.85},{"River","Rainwater","Borehole","Vendor"}),LOOKUP(RAND(),{0,0.2,0.5,0.75},{"River","Rainwater","Borehole","Vendor"}))))))</f>
        <v>Rainwater</v>
      </c>
      <c r="F100">
        <f t="shared" ca="1" si="7"/>
        <v>39</v>
      </c>
      <c r="G100">
        <f t="shared" ca="1" si="8"/>
        <v>4.4000000000000004</v>
      </c>
      <c r="H100">
        <f t="shared" ca="1" si="9"/>
        <v>3500</v>
      </c>
      <c r="I100">
        <f t="shared" ca="1" si="10"/>
        <v>0.46517967624207957</v>
      </c>
      <c r="J100">
        <v>0</v>
      </c>
    </row>
    <row r="101" spans="1:10" x14ac:dyDescent="0.3">
      <c r="A101" t="str">
        <f t="shared" si="11"/>
        <v>HH100</v>
      </c>
      <c r="B101" t="str">
        <f ca="1">LOOKUP(RAND(),{0,0.28,0.55,0.78},{"Oloitoktok A","Oloitoktok B","Kiserian","Namanga"})</f>
        <v>Namanga</v>
      </c>
      <c r="C101">
        <f ca="1">LOOKUP(RAND(),{0,0.02,0.09,0.2,0.35,0.52,0.68,0.81,0.91,0.97},{1,2,3,4,5,6,7,8,9,10})</f>
        <v>1</v>
      </c>
      <c r="D101">
        <f t="shared" ca="1" si="6"/>
        <v>14600</v>
      </c>
      <c r="E101" t="str">
        <f ca="1">IF(B101="Oloitoktok A",IF(D101&lt;15000,LOOKUP(RAND(),{0,0.45,0.75,0.92},{"River","Rainwater","Borehole","Vendor"}),IF(D101&lt;30000,LOOKUP(RAND(),{0,0.35,0.65,0.85},{"River","Rainwater","Borehole","Vendor"}),LOOKUP(RAND(),{0,0.25,0.5,0.75},{"River","Rainwater","Borehole","Vendor"}))),IF(B101="Oloitoktok B",IF(D101&lt;15000,LOOKUP(RAND(),{0,0.5,0.78,0.94},{"River","Rainwater","Borehole","Vendor"}),IF(D101&lt;30000,LOOKUP(RAND(),{0,0.4,0.68,0.87},{"River","Rainwater","Borehole","Vendor"}),LOOKUP(RAND(),{0,0.28,0.55,0.78},{"River","Rainwater","Borehole","Vendor"}))),IF(B101="Kiserian",IF(D101&lt;15000,LOOKUP(RAND(),{0,0.35,0.65,0.9},{"River","Rainwater","Borehole","Vendor"}),IF(D101&lt;30000,LOOKUP(RAND(),{0,0.25,0.55,0.82},{"River","Rainwater","Borehole","Vendor"}),LOOKUP(RAND(),{0,0.15,0.45,0.72},{"River","Rainwater","Borehole","Vendor"}))),IF(D101&lt;15000,LOOKUP(RAND(),{0,0.4,0.7,0.92},{"River","Rainwater","Borehole","Vendor"}),IF(D101&lt;30000,LOOKUP(RAND(),{0,0.3,0.6,0.85},{"River","Rainwater","Borehole","Vendor"}),LOOKUP(RAND(),{0,0.2,0.5,0.75},{"River","Rainwater","Borehole","Vendor"}))))))</f>
        <v>Borehole</v>
      </c>
      <c r="F101">
        <f t="shared" ca="1" si="7"/>
        <v>49</v>
      </c>
      <c r="G101">
        <f t="shared" ca="1" si="8"/>
        <v>6.9</v>
      </c>
      <c r="H101">
        <f t="shared" ca="1" si="9"/>
        <v>4100</v>
      </c>
      <c r="I101">
        <f t="shared" ca="1" si="10"/>
        <v>0.34196734444730215</v>
      </c>
      <c r="J101">
        <v>0</v>
      </c>
    </row>
    <row r="102" spans="1:10" x14ac:dyDescent="0.3">
      <c r="A102" t="str">
        <f t="shared" si="11"/>
        <v>HH101</v>
      </c>
      <c r="B102" t="str">
        <f ca="1">LOOKUP(RAND(),{0,0.28,0.55,0.78},{"Oloitoktok A","Oloitoktok B","Kiserian","Namanga"})</f>
        <v>Oloitoktok B</v>
      </c>
      <c r="C102">
        <f ca="1">LOOKUP(RAND(),{0,0.02,0.09,0.2,0.35,0.52,0.68,0.81,0.91,0.97},{1,2,3,4,5,6,7,8,9,10})</f>
        <v>5</v>
      </c>
      <c r="D102">
        <f t="shared" ca="1" si="6"/>
        <v>43300</v>
      </c>
      <c r="E102" t="str">
        <f ca="1">IF(B102="Oloitoktok A",IF(D102&lt;15000,LOOKUP(RAND(),{0,0.45,0.75,0.92},{"River","Rainwater","Borehole","Vendor"}),IF(D102&lt;30000,LOOKUP(RAND(),{0,0.35,0.65,0.85},{"River","Rainwater","Borehole","Vendor"}),LOOKUP(RAND(),{0,0.25,0.5,0.75},{"River","Rainwater","Borehole","Vendor"}))),IF(B102="Oloitoktok B",IF(D102&lt;15000,LOOKUP(RAND(),{0,0.5,0.78,0.94},{"River","Rainwater","Borehole","Vendor"}),IF(D102&lt;30000,LOOKUP(RAND(),{0,0.4,0.68,0.87},{"River","Rainwater","Borehole","Vendor"}),LOOKUP(RAND(),{0,0.28,0.55,0.78},{"River","Rainwater","Borehole","Vendor"}))),IF(B102="Kiserian",IF(D102&lt;15000,LOOKUP(RAND(),{0,0.35,0.65,0.9},{"River","Rainwater","Borehole","Vendor"}),IF(D102&lt;30000,LOOKUP(RAND(),{0,0.25,0.55,0.82},{"River","Rainwater","Borehole","Vendor"}),LOOKUP(RAND(),{0,0.15,0.45,0.72},{"River","Rainwater","Borehole","Vendor"}))),IF(D102&lt;15000,LOOKUP(RAND(),{0,0.4,0.7,0.92},{"River","Rainwater","Borehole","Vendor"}),IF(D102&lt;30000,LOOKUP(RAND(),{0,0.3,0.6,0.85},{"River","Rainwater","Borehole","Vendor"}),LOOKUP(RAND(),{0,0.2,0.5,0.75},{"River","Rainwater","Borehole","Vendor"}))))))</f>
        <v>River</v>
      </c>
      <c r="F102">
        <f t="shared" ca="1" si="7"/>
        <v>89</v>
      </c>
      <c r="G102">
        <f t="shared" ca="1" si="8"/>
        <v>7.8</v>
      </c>
      <c r="H102">
        <f t="shared" ca="1" si="9"/>
        <v>6600</v>
      </c>
      <c r="I102">
        <f t="shared" ca="1" si="10"/>
        <v>0.91962007312352689</v>
      </c>
      <c r="J102">
        <v>0</v>
      </c>
    </row>
    <row r="103" spans="1:10" x14ac:dyDescent="0.3">
      <c r="A103" t="str">
        <f t="shared" si="11"/>
        <v>HH102</v>
      </c>
      <c r="B103" t="str">
        <f ca="1">LOOKUP(RAND(),{0,0.28,0.55,0.78},{"Oloitoktok A","Oloitoktok B","Kiserian","Namanga"})</f>
        <v>Namanga</v>
      </c>
      <c r="C103">
        <f ca="1">LOOKUP(RAND(),{0,0.02,0.09,0.2,0.35,0.52,0.68,0.81,0.91,0.97},{1,2,3,4,5,6,7,8,9,10})</f>
        <v>3</v>
      </c>
      <c r="D103">
        <f t="shared" ca="1" si="6"/>
        <v>32600</v>
      </c>
      <c r="E103" t="str">
        <f ca="1">IF(B103="Oloitoktok A",IF(D103&lt;15000,LOOKUP(RAND(),{0,0.45,0.75,0.92},{"River","Rainwater","Borehole","Vendor"}),IF(D103&lt;30000,LOOKUP(RAND(),{0,0.35,0.65,0.85},{"River","Rainwater","Borehole","Vendor"}),LOOKUP(RAND(),{0,0.25,0.5,0.75},{"River","Rainwater","Borehole","Vendor"}))),IF(B103="Oloitoktok B",IF(D103&lt;15000,LOOKUP(RAND(),{0,0.5,0.78,0.94},{"River","Rainwater","Borehole","Vendor"}),IF(D103&lt;30000,LOOKUP(RAND(),{0,0.4,0.68,0.87},{"River","Rainwater","Borehole","Vendor"}),LOOKUP(RAND(),{0,0.28,0.55,0.78},{"River","Rainwater","Borehole","Vendor"}))),IF(B103="Kiserian",IF(D103&lt;15000,LOOKUP(RAND(),{0,0.35,0.65,0.9},{"River","Rainwater","Borehole","Vendor"}),IF(D103&lt;30000,LOOKUP(RAND(),{0,0.25,0.55,0.82},{"River","Rainwater","Borehole","Vendor"}),LOOKUP(RAND(),{0,0.15,0.45,0.72},{"River","Rainwater","Borehole","Vendor"}))),IF(D103&lt;15000,LOOKUP(RAND(),{0,0.4,0.7,0.92},{"River","Rainwater","Borehole","Vendor"}),IF(D103&lt;30000,LOOKUP(RAND(),{0,0.3,0.6,0.85},{"River","Rainwater","Borehole","Vendor"}),LOOKUP(RAND(),{0,0.2,0.5,0.75},{"River","Rainwater","Borehole","Vendor"}))))))</f>
        <v>River</v>
      </c>
      <c r="F103">
        <f t="shared" ca="1" si="7"/>
        <v>75</v>
      </c>
      <c r="G103">
        <f t="shared" ca="1" si="8"/>
        <v>9.9</v>
      </c>
      <c r="H103">
        <f t="shared" ca="1" si="9"/>
        <v>2800</v>
      </c>
      <c r="I103">
        <f t="shared" ca="1" si="10"/>
        <v>0.71199243891026631</v>
      </c>
      <c r="J103">
        <v>0</v>
      </c>
    </row>
    <row r="104" spans="1:10" x14ac:dyDescent="0.3">
      <c r="A104" t="str">
        <f t="shared" si="11"/>
        <v>HH103</v>
      </c>
      <c r="B104" t="str">
        <f ca="1">LOOKUP(RAND(),{0,0.28,0.55,0.78},{"Oloitoktok A","Oloitoktok B","Kiserian","Namanga"})</f>
        <v>Kiserian</v>
      </c>
      <c r="C104">
        <f ca="1">LOOKUP(RAND(),{0,0.02,0.09,0.2,0.35,0.52,0.68,0.81,0.91,0.97},{1,2,3,4,5,6,7,8,9,10})</f>
        <v>7</v>
      </c>
      <c r="D104">
        <f t="shared" ca="1" si="6"/>
        <v>31500</v>
      </c>
      <c r="E104" t="str">
        <f ca="1">IF(B104="Oloitoktok A",IF(D104&lt;15000,LOOKUP(RAND(),{0,0.45,0.75,0.92},{"River","Rainwater","Borehole","Vendor"}),IF(D104&lt;30000,LOOKUP(RAND(),{0,0.35,0.65,0.85},{"River","Rainwater","Borehole","Vendor"}),LOOKUP(RAND(),{0,0.25,0.5,0.75},{"River","Rainwater","Borehole","Vendor"}))),IF(B104="Oloitoktok B",IF(D104&lt;15000,LOOKUP(RAND(),{0,0.5,0.78,0.94},{"River","Rainwater","Borehole","Vendor"}),IF(D104&lt;30000,LOOKUP(RAND(),{0,0.4,0.68,0.87},{"River","Rainwater","Borehole","Vendor"}),LOOKUP(RAND(),{0,0.28,0.55,0.78},{"River","Rainwater","Borehole","Vendor"}))),IF(B104="Kiserian",IF(D104&lt;15000,LOOKUP(RAND(),{0,0.35,0.65,0.9},{"River","Rainwater","Borehole","Vendor"}),IF(D104&lt;30000,LOOKUP(RAND(),{0,0.25,0.55,0.82},{"River","Rainwater","Borehole","Vendor"}),LOOKUP(RAND(),{0,0.15,0.45,0.72},{"River","Rainwater","Borehole","Vendor"}))),IF(D104&lt;15000,LOOKUP(RAND(),{0,0.4,0.7,0.92},{"River","Rainwater","Borehole","Vendor"}),IF(D104&lt;30000,LOOKUP(RAND(),{0,0.3,0.6,0.85},{"River","Rainwater","Borehole","Vendor"}),LOOKUP(RAND(),{0,0.2,0.5,0.75},{"River","Rainwater","Borehole","Vendor"}))))))</f>
        <v>Rainwater</v>
      </c>
      <c r="F104">
        <f t="shared" ca="1" si="7"/>
        <v>36</v>
      </c>
      <c r="G104">
        <f t="shared" ca="1" si="8"/>
        <v>3.8</v>
      </c>
      <c r="H104">
        <f t="shared" ca="1" si="9"/>
        <v>7600</v>
      </c>
      <c r="I104">
        <f t="shared" ca="1" si="10"/>
        <v>0.91933183255054429</v>
      </c>
      <c r="J104">
        <v>0</v>
      </c>
    </row>
    <row r="105" spans="1:10" x14ac:dyDescent="0.3">
      <c r="A105" t="str">
        <f t="shared" si="11"/>
        <v>HH104</v>
      </c>
      <c r="B105" t="str">
        <f ca="1">LOOKUP(RAND(),{0,0.28,0.55,0.78},{"Oloitoktok A","Oloitoktok B","Kiserian","Namanga"})</f>
        <v>Oloitoktok B</v>
      </c>
      <c r="C105">
        <f ca="1">LOOKUP(RAND(),{0,0.02,0.09,0.2,0.35,0.52,0.68,0.81,0.91,0.97},{1,2,3,4,5,6,7,8,9,10})</f>
        <v>5</v>
      </c>
      <c r="D105">
        <f t="shared" ca="1" si="6"/>
        <v>26700</v>
      </c>
      <c r="E105" t="str">
        <f ca="1">IF(B105="Oloitoktok A",IF(D105&lt;15000,LOOKUP(RAND(),{0,0.45,0.75,0.92},{"River","Rainwater","Borehole","Vendor"}),IF(D105&lt;30000,LOOKUP(RAND(),{0,0.35,0.65,0.85},{"River","Rainwater","Borehole","Vendor"}),LOOKUP(RAND(),{0,0.25,0.5,0.75},{"River","Rainwater","Borehole","Vendor"}))),IF(B105="Oloitoktok B",IF(D105&lt;15000,LOOKUP(RAND(),{0,0.5,0.78,0.94},{"River","Rainwater","Borehole","Vendor"}),IF(D105&lt;30000,LOOKUP(RAND(),{0,0.4,0.68,0.87},{"River","Rainwater","Borehole","Vendor"}),LOOKUP(RAND(),{0,0.28,0.55,0.78},{"River","Rainwater","Borehole","Vendor"}))),IF(B105="Kiserian",IF(D105&lt;15000,LOOKUP(RAND(),{0,0.35,0.65,0.9},{"River","Rainwater","Borehole","Vendor"}),IF(D105&lt;30000,LOOKUP(RAND(),{0,0.25,0.55,0.82},{"River","Rainwater","Borehole","Vendor"}),LOOKUP(RAND(),{0,0.15,0.45,0.72},{"River","Rainwater","Borehole","Vendor"}))),IF(D105&lt;15000,LOOKUP(RAND(),{0,0.4,0.7,0.92},{"River","Rainwater","Borehole","Vendor"}),IF(D105&lt;30000,LOOKUP(RAND(),{0,0.3,0.6,0.85},{"River","Rainwater","Borehole","Vendor"}),LOOKUP(RAND(),{0,0.2,0.5,0.75},{"River","Rainwater","Borehole","Vendor"}))))))</f>
        <v>River</v>
      </c>
      <c r="F105">
        <f t="shared" ca="1" si="7"/>
        <v>92</v>
      </c>
      <c r="G105">
        <f t="shared" ca="1" si="8"/>
        <v>4.5999999999999996</v>
      </c>
      <c r="H105">
        <f t="shared" ca="1" si="9"/>
        <v>5100</v>
      </c>
      <c r="I105">
        <f t="shared" ca="1" si="10"/>
        <v>0.16607982963161749</v>
      </c>
      <c r="J105">
        <v>0</v>
      </c>
    </row>
    <row r="106" spans="1:10" x14ac:dyDescent="0.3">
      <c r="A106" t="str">
        <f t="shared" si="11"/>
        <v>HH105</v>
      </c>
      <c r="B106" t="str">
        <f ca="1">LOOKUP(RAND(),{0,0.28,0.55,0.78},{"Oloitoktok A","Oloitoktok B","Kiserian","Namanga"})</f>
        <v>Oloitoktok A</v>
      </c>
      <c r="C106">
        <f ca="1">LOOKUP(RAND(),{0,0.02,0.09,0.2,0.35,0.52,0.68,0.81,0.91,0.97},{1,2,3,4,5,6,7,8,9,10})</f>
        <v>6</v>
      </c>
      <c r="D106">
        <f t="shared" ca="1" si="6"/>
        <v>62100</v>
      </c>
      <c r="E106" t="str">
        <f ca="1">IF(B106="Oloitoktok A",IF(D106&lt;15000,LOOKUP(RAND(),{0,0.45,0.75,0.92},{"River","Rainwater","Borehole","Vendor"}),IF(D106&lt;30000,LOOKUP(RAND(),{0,0.35,0.65,0.85},{"River","Rainwater","Borehole","Vendor"}),LOOKUP(RAND(),{0,0.25,0.5,0.75},{"River","Rainwater","Borehole","Vendor"}))),IF(B106="Oloitoktok B",IF(D106&lt;15000,LOOKUP(RAND(),{0,0.5,0.78,0.94},{"River","Rainwater","Borehole","Vendor"}),IF(D106&lt;30000,LOOKUP(RAND(),{0,0.4,0.68,0.87},{"River","Rainwater","Borehole","Vendor"}),LOOKUP(RAND(),{0,0.28,0.55,0.78},{"River","Rainwater","Borehole","Vendor"}))),IF(B106="Kiserian",IF(D106&lt;15000,LOOKUP(RAND(),{0,0.35,0.65,0.9},{"River","Rainwater","Borehole","Vendor"}),IF(D106&lt;30000,LOOKUP(RAND(),{0,0.25,0.55,0.82},{"River","Rainwater","Borehole","Vendor"}),LOOKUP(RAND(),{0,0.15,0.45,0.72},{"River","Rainwater","Borehole","Vendor"}))),IF(D106&lt;15000,LOOKUP(RAND(),{0,0.4,0.7,0.92},{"River","Rainwater","Borehole","Vendor"}),IF(D106&lt;30000,LOOKUP(RAND(),{0,0.3,0.6,0.85},{"River","Rainwater","Borehole","Vendor"}),LOOKUP(RAND(),{0,0.2,0.5,0.75},{"River","Rainwater","Borehole","Vendor"}))))))</f>
        <v>River</v>
      </c>
      <c r="F106">
        <f t="shared" ca="1" si="7"/>
        <v>45</v>
      </c>
      <c r="G106">
        <f t="shared" ca="1" si="8"/>
        <v>3.9</v>
      </c>
      <c r="H106">
        <f t="shared" ca="1" si="9"/>
        <v>6200</v>
      </c>
      <c r="I106">
        <f t="shared" ca="1" si="10"/>
        <v>0.70427225635914281</v>
      </c>
      <c r="J106">
        <v>0</v>
      </c>
    </row>
    <row r="107" spans="1:10" x14ac:dyDescent="0.3">
      <c r="A107" t="str">
        <f t="shared" si="11"/>
        <v>HH106</v>
      </c>
      <c r="B107" t="str">
        <f ca="1">LOOKUP(RAND(),{0,0.28,0.55,0.78},{"Oloitoktok A","Oloitoktok B","Kiserian","Namanga"})</f>
        <v>Oloitoktok B</v>
      </c>
      <c r="C107">
        <f ca="1">LOOKUP(RAND(),{0,0.02,0.09,0.2,0.35,0.52,0.68,0.81,0.91,0.97},{1,2,3,4,5,6,7,8,9,10})</f>
        <v>4</v>
      </c>
      <c r="D107">
        <f t="shared" ca="1" si="6"/>
        <v>18300</v>
      </c>
      <c r="E107" t="str">
        <f ca="1">IF(B107="Oloitoktok A",IF(D107&lt;15000,LOOKUP(RAND(),{0,0.45,0.75,0.92},{"River","Rainwater","Borehole","Vendor"}),IF(D107&lt;30000,LOOKUP(RAND(),{0,0.35,0.65,0.85},{"River","Rainwater","Borehole","Vendor"}),LOOKUP(RAND(),{0,0.25,0.5,0.75},{"River","Rainwater","Borehole","Vendor"}))),IF(B107="Oloitoktok B",IF(D107&lt;15000,LOOKUP(RAND(),{0,0.5,0.78,0.94},{"River","Rainwater","Borehole","Vendor"}),IF(D107&lt;30000,LOOKUP(RAND(),{0,0.4,0.68,0.87},{"River","Rainwater","Borehole","Vendor"}),LOOKUP(RAND(),{0,0.28,0.55,0.78},{"River","Rainwater","Borehole","Vendor"}))),IF(B107="Kiserian",IF(D107&lt;15000,LOOKUP(RAND(),{0,0.35,0.65,0.9},{"River","Rainwater","Borehole","Vendor"}),IF(D107&lt;30000,LOOKUP(RAND(),{0,0.25,0.55,0.82},{"River","Rainwater","Borehole","Vendor"}),LOOKUP(RAND(),{0,0.15,0.45,0.72},{"River","Rainwater","Borehole","Vendor"}))),IF(D107&lt;15000,LOOKUP(RAND(),{0,0.4,0.7,0.92},{"River","Rainwater","Borehole","Vendor"}),IF(D107&lt;30000,LOOKUP(RAND(),{0,0.3,0.6,0.85},{"River","Rainwater","Borehole","Vendor"}),LOOKUP(RAND(),{0,0.2,0.5,0.75},{"River","Rainwater","Borehole","Vendor"}))))))</f>
        <v>Rainwater</v>
      </c>
      <c r="F107">
        <f t="shared" ca="1" si="7"/>
        <v>35</v>
      </c>
      <c r="G107">
        <f t="shared" ca="1" si="8"/>
        <v>9.9</v>
      </c>
      <c r="H107">
        <f t="shared" ca="1" si="9"/>
        <v>8700</v>
      </c>
      <c r="I107">
        <f t="shared" ca="1" si="10"/>
        <v>0.73675492202491577</v>
      </c>
      <c r="J107">
        <v>0</v>
      </c>
    </row>
    <row r="108" spans="1:10" x14ac:dyDescent="0.3">
      <c r="A108" t="str">
        <f t="shared" si="11"/>
        <v>HH107</v>
      </c>
      <c r="B108" t="str">
        <f ca="1">LOOKUP(RAND(),{0,0.28,0.55,0.78},{"Oloitoktok A","Oloitoktok B","Kiserian","Namanga"})</f>
        <v>Oloitoktok B</v>
      </c>
      <c r="C108">
        <f ca="1">LOOKUP(RAND(),{0,0.02,0.09,0.2,0.35,0.52,0.68,0.81,0.91,0.97},{1,2,3,4,5,6,7,8,9,10})</f>
        <v>6</v>
      </c>
      <c r="D108">
        <f t="shared" ca="1" si="6"/>
        <v>16700</v>
      </c>
      <c r="E108" t="str">
        <f ca="1">IF(B108="Oloitoktok A",IF(D108&lt;15000,LOOKUP(RAND(),{0,0.45,0.75,0.92},{"River","Rainwater","Borehole","Vendor"}),IF(D108&lt;30000,LOOKUP(RAND(),{0,0.35,0.65,0.85},{"River","Rainwater","Borehole","Vendor"}),LOOKUP(RAND(),{0,0.25,0.5,0.75},{"River","Rainwater","Borehole","Vendor"}))),IF(B108="Oloitoktok B",IF(D108&lt;15000,LOOKUP(RAND(),{0,0.5,0.78,0.94},{"River","Rainwater","Borehole","Vendor"}),IF(D108&lt;30000,LOOKUP(RAND(),{0,0.4,0.68,0.87},{"River","Rainwater","Borehole","Vendor"}),LOOKUP(RAND(),{0,0.28,0.55,0.78},{"River","Rainwater","Borehole","Vendor"}))),IF(B108="Kiserian",IF(D108&lt;15000,LOOKUP(RAND(),{0,0.35,0.65,0.9},{"River","Rainwater","Borehole","Vendor"}),IF(D108&lt;30000,LOOKUP(RAND(),{0,0.25,0.55,0.82},{"River","Rainwater","Borehole","Vendor"}),LOOKUP(RAND(),{0,0.15,0.45,0.72},{"River","Rainwater","Borehole","Vendor"}))),IF(D108&lt;15000,LOOKUP(RAND(),{0,0.4,0.7,0.92},{"River","Rainwater","Borehole","Vendor"}),IF(D108&lt;30000,LOOKUP(RAND(),{0,0.3,0.6,0.85},{"River","Rainwater","Borehole","Vendor"}),LOOKUP(RAND(),{0,0.2,0.5,0.75},{"River","Rainwater","Borehole","Vendor"}))))))</f>
        <v>River</v>
      </c>
      <c r="F108">
        <f t="shared" ca="1" si="7"/>
        <v>106</v>
      </c>
      <c r="G108">
        <f t="shared" ca="1" si="8"/>
        <v>3.6</v>
      </c>
      <c r="H108">
        <f t="shared" ca="1" si="9"/>
        <v>8800</v>
      </c>
      <c r="I108">
        <f t="shared" ca="1" si="10"/>
        <v>0.70075154868180534</v>
      </c>
      <c r="J108">
        <v>0</v>
      </c>
    </row>
    <row r="109" spans="1:10" x14ac:dyDescent="0.3">
      <c r="A109" t="str">
        <f t="shared" si="11"/>
        <v>HH108</v>
      </c>
      <c r="B109" t="str">
        <f ca="1">LOOKUP(RAND(),{0,0.28,0.55,0.78},{"Oloitoktok A","Oloitoktok B","Kiserian","Namanga"})</f>
        <v>Oloitoktok A</v>
      </c>
      <c r="C109">
        <f ca="1">LOOKUP(RAND(),{0,0.02,0.09,0.2,0.35,0.52,0.68,0.81,0.91,0.97},{1,2,3,4,5,6,7,8,9,10})</f>
        <v>5</v>
      </c>
      <c r="D109">
        <f t="shared" ca="1" si="6"/>
        <v>21000</v>
      </c>
      <c r="E109" t="str">
        <f ca="1">IF(B109="Oloitoktok A",IF(D109&lt;15000,LOOKUP(RAND(),{0,0.45,0.75,0.92},{"River","Rainwater","Borehole","Vendor"}),IF(D109&lt;30000,LOOKUP(RAND(),{0,0.35,0.65,0.85},{"River","Rainwater","Borehole","Vendor"}),LOOKUP(RAND(),{0,0.25,0.5,0.75},{"River","Rainwater","Borehole","Vendor"}))),IF(B109="Oloitoktok B",IF(D109&lt;15000,LOOKUP(RAND(),{0,0.5,0.78,0.94},{"River","Rainwater","Borehole","Vendor"}),IF(D109&lt;30000,LOOKUP(RAND(),{0,0.4,0.68,0.87},{"River","Rainwater","Borehole","Vendor"}),LOOKUP(RAND(),{0,0.28,0.55,0.78},{"River","Rainwater","Borehole","Vendor"}))),IF(B109="Kiserian",IF(D109&lt;15000,LOOKUP(RAND(),{0,0.35,0.65,0.9},{"River","Rainwater","Borehole","Vendor"}),IF(D109&lt;30000,LOOKUP(RAND(),{0,0.25,0.55,0.82},{"River","Rainwater","Borehole","Vendor"}),LOOKUP(RAND(),{0,0.15,0.45,0.72},{"River","Rainwater","Borehole","Vendor"}))),IF(D109&lt;15000,LOOKUP(RAND(),{0,0.4,0.7,0.92},{"River","Rainwater","Borehole","Vendor"}),IF(D109&lt;30000,LOOKUP(RAND(),{0,0.3,0.6,0.85},{"River","Rainwater","Borehole","Vendor"}),LOOKUP(RAND(),{0,0.2,0.5,0.75},{"River","Rainwater","Borehole","Vendor"}))))))</f>
        <v>Borehole</v>
      </c>
      <c r="F109">
        <f t="shared" ca="1" si="7"/>
        <v>51</v>
      </c>
      <c r="G109">
        <f t="shared" ca="1" si="8"/>
        <v>10.6</v>
      </c>
      <c r="H109">
        <f t="shared" ca="1" si="9"/>
        <v>10500</v>
      </c>
      <c r="I109">
        <f t="shared" ca="1" si="10"/>
        <v>0.15262203735377144</v>
      </c>
      <c r="J109">
        <v>0</v>
      </c>
    </row>
    <row r="110" spans="1:10" x14ac:dyDescent="0.3">
      <c r="A110" t="str">
        <f t="shared" si="11"/>
        <v>HH109</v>
      </c>
      <c r="B110" t="str">
        <f ca="1">LOOKUP(RAND(),{0,0.28,0.55,0.78},{"Oloitoktok A","Oloitoktok B","Kiserian","Namanga"})</f>
        <v>Namanga</v>
      </c>
      <c r="C110">
        <f ca="1">LOOKUP(RAND(),{0,0.02,0.09,0.2,0.35,0.52,0.68,0.81,0.91,0.97},{1,2,3,4,5,6,7,8,9,10})</f>
        <v>3</v>
      </c>
      <c r="D110">
        <f t="shared" ca="1" si="6"/>
        <v>30200</v>
      </c>
      <c r="E110" t="str">
        <f ca="1">IF(B110="Oloitoktok A",IF(D110&lt;15000,LOOKUP(RAND(),{0,0.45,0.75,0.92},{"River","Rainwater","Borehole","Vendor"}),IF(D110&lt;30000,LOOKUP(RAND(),{0,0.35,0.65,0.85},{"River","Rainwater","Borehole","Vendor"}),LOOKUP(RAND(),{0,0.25,0.5,0.75},{"River","Rainwater","Borehole","Vendor"}))),IF(B110="Oloitoktok B",IF(D110&lt;15000,LOOKUP(RAND(),{0,0.5,0.78,0.94},{"River","Rainwater","Borehole","Vendor"}),IF(D110&lt;30000,LOOKUP(RAND(),{0,0.4,0.68,0.87},{"River","Rainwater","Borehole","Vendor"}),LOOKUP(RAND(),{0,0.28,0.55,0.78},{"River","Rainwater","Borehole","Vendor"}))),IF(B110="Kiserian",IF(D110&lt;15000,LOOKUP(RAND(),{0,0.35,0.65,0.9},{"River","Rainwater","Borehole","Vendor"}),IF(D110&lt;30000,LOOKUP(RAND(),{0,0.25,0.55,0.82},{"River","Rainwater","Borehole","Vendor"}),LOOKUP(RAND(),{0,0.15,0.45,0.72},{"River","Rainwater","Borehole","Vendor"}))),IF(D110&lt;15000,LOOKUP(RAND(),{0,0.4,0.7,0.92},{"River","Rainwater","Borehole","Vendor"}),IF(D110&lt;30000,LOOKUP(RAND(),{0,0.3,0.6,0.85},{"River","Rainwater","Borehole","Vendor"}),LOOKUP(RAND(),{0,0.2,0.5,0.75},{"River","Rainwater","Borehole","Vendor"}))))))</f>
        <v>Vendor</v>
      </c>
      <c r="F110">
        <f t="shared" ca="1" si="7"/>
        <v>30</v>
      </c>
      <c r="G110">
        <f t="shared" ca="1" si="8"/>
        <v>9.1</v>
      </c>
      <c r="H110">
        <f t="shared" ca="1" si="9"/>
        <v>12300</v>
      </c>
      <c r="I110">
        <f t="shared" ca="1" si="10"/>
        <v>3.4422108702512388E-2</v>
      </c>
      <c r="J110">
        <v>0</v>
      </c>
    </row>
    <row r="111" spans="1:10" x14ac:dyDescent="0.3">
      <c r="A111" t="str">
        <f t="shared" si="11"/>
        <v>HH110</v>
      </c>
      <c r="B111" t="str">
        <f ca="1">LOOKUP(RAND(),{0,0.28,0.55,0.78},{"Oloitoktok A","Oloitoktok B","Kiserian","Namanga"})</f>
        <v>Kiserian</v>
      </c>
      <c r="C111">
        <f ca="1">LOOKUP(RAND(),{0,0.02,0.09,0.2,0.35,0.52,0.68,0.81,0.91,0.97},{1,2,3,4,5,6,7,8,9,10})</f>
        <v>5</v>
      </c>
      <c r="D111">
        <f t="shared" ca="1" si="6"/>
        <v>15400</v>
      </c>
      <c r="E111" t="str">
        <f ca="1">IF(B111="Oloitoktok A",IF(D111&lt;15000,LOOKUP(RAND(),{0,0.45,0.75,0.92},{"River","Rainwater","Borehole","Vendor"}),IF(D111&lt;30000,LOOKUP(RAND(),{0,0.35,0.65,0.85},{"River","Rainwater","Borehole","Vendor"}),LOOKUP(RAND(),{0,0.25,0.5,0.75},{"River","Rainwater","Borehole","Vendor"}))),IF(B111="Oloitoktok B",IF(D111&lt;15000,LOOKUP(RAND(),{0,0.5,0.78,0.94},{"River","Rainwater","Borehole","Vendor"}),IF(D111&lt;30000,LOOKUP(RAND(),{0,0.4,0.68,0.87},{"River","Rainwater","Borehole","Vendor"}),LOOKUP(RAND(),{0,0.28,0.55,0.78},{"River","Rainwater","Borehole","Vendor"}))),IF(B111="Kiserian",IF(D111&lt;15000,LOOKUP(RAND(),{0,0.35,0.65,0.9},{"River","Rainwater","Borehole","Vendor"}),IF(D111&lt;30000,LOOKUP(RAND(),{0,0.25,0.55,0.82},{"River","Rainwater","Borehole","Vendor"}),LOOKUP(RAND(),{0,0.15,0.45,0.72},{"River","Rainwater","Borehole","Vendor"}))),IF(D111&lt;15000,LOOKUP(RAND(),{0,0.4,0.7,0.92},{"River","Rainwater","Borehole","Vendor"}),IF(D111&lt;30000,LOOKUP(RAND(),{0,0.3,0.6,0.85},{"River","Rainwater","Borehole","Vendor"}),LOOKUP(RAND(),{0,0.2,0.5,0.75},{"River","Rainwater","Borehole","Vendor"}))))))</f>
        <v>Borehole</v>
      </c>
      <c r="F111">
        <f t="shared" ca="1" si="7"/>
        <v>20</v>
      </c>
      <c r="G111">
        <f t="shared" ca="1" si="8"/>
        <v>3</v>
      </c>
      <c r="H111">
        <f t="shared" ca="1" si="9"/>
        <v>3800</v>
      </c>
      <c r="I111">
        <f t="shared" ca="1" si="10"/>
        <v>0.73806919708284913</v>
      </c>
      <c r="J111">
        <v>0</v>
      </c>
    </row>
    <row r="112" spans="1:10" x14ac:dyDescent="0.3">
      <c r="A112" t="str">
        <f t="shared" si="11"/>
        <v>HH111</v>
      </c>
      <c r="B112" t="str">
        <f ca="1">LOOKUP(RAND(),{0,0.28,0.55,0.78},{"Oloitoktok A","Oloitoktok B","Kiserian","Namanga"})</f>
        <v>Oloitoktok A</v>
      </c>
      <c r="C112">
        <f ca="1">LOOKUP(RAND(),{0,0.02,0.09,0.2,0.35,0.52,0.68,0.81,0.91,0.97},{1,2,3,4,5,6,7,8,9,10})</f>
        <v>5</v>
      </c>
      <c r="D112">
        <f t="shared" ca="1" si="6"/>
        <v>55100</v>
      </c>
      <c r="E112" t="str">
        <f ca="1">IF(B112="Oloitoktok A",IF(D112&lt;15000,LOOKUP(RAND(),{0,0.45,0.75,0.92},{"River","Rainwater","Borehole","Vendor"}),IF(D112&lt;30000,LOOKUP(RAND(),{0,0.35,0.65,0.85},{"River","Rainwater","Borehole","Vendor"}),LOOKUP(RAND(),{0,0.25,0.5,0.75},{"River","Rainwater","Borehole","Vendor"}))),IF(B112="Oloitoktok B",IF(D112&lt;15000,LOOKUP(RAND(),{0,0.5,0.78,0.94},{"River","Rainwater","Borehole","Vendor"}),IF(D112&lt;30000,LOOKUP(RAND(),{0,0.4,0.68,0.87},{"River","Rainwater","Borehole","Vendor"}),LOOKUP(RAND(),{0,0.28,0.55,0.78},{"River","Rainwater","Borehole","Vendor"}))),IF(B112="Kiserian",IF(D112&lt;15000,LOOKUP(RAND(),{0,0.35,0.65,0.9},{"River","Rainwater","Borehole","Vendor"}),IF(D112&lt;30000,LOOKUP(RAND(),{0,0.25,0.55,0.82},{"River","Rainwater","Borehole","Vendor"}),LOOKUP(RAND(),{0,0.15,0.45,0.72},{"River","Rainwater","Borehole","Vendor"}))),IF(D112&lt;15000,LOOKUP(RAND(),{0,0.4,0.7,0.92},{"River","Rainwater","Borehole","Vendor"}),IF(D112&lt;30000,LOOKUP(RAND(),{0,0.3,0.6,0.85},{"River","Rainwater","Borehole","Vendor"}),LOOKUP(RAND(),{0,0.2,0.5,0.75},{"River","Rainwater","Borehole","Vendor"}))))))</f>
        <v>River</v>
      </c>
      <c r="F112">
        <f t="shared" ca="1" si="7"/>
        <v>100</v>
      </c>
      <c r="G112">
        <f t="shared" ca="1" si="8"/>
        <v>4.2</v>
      </c>
      <c r="H112">
        <f t="shared" ca="1" si="9"/>
        <v>9000</v>
      </c>
      <c r="I112">
        <f t="shared" ca="1" si="10"/>
        <v>0.60358350774585112</v>
      </c>
      <c r="J112">
        <v>0</v>
      </c>
    </row>
    <row r="113" spans="1:10" x14ac:dyDescent="0.3">
      <c r="A113" t="str">
        <f t="shared" si="11"/>
        <v>HH112</v>
      </c>
      <c r="B113" t="str">
        <f ca="1">LOOKUP(RAND(),{0,0.28,0.55,0.78},{"Oloitoktok A","Oloitoktok B","Kiserian","Namanga"})</f>
        <v>Namanga</v>
      </c>
      <c r="C113">
        <f ca="1">LOOKUP(RAND(),{0,0.02,0.09,0.2,0.35,0.52,0.68,0.81,0.91,0.97},{1,2,3,4,5,6,7,8,9,10})</f>
        <v>9</v>
      </c>
      <c r="D113">
        <f t="shared" ca="1" si="6"/>
        <v>28000</v>
      </c>
      <c r="E113" t="str">
        <f ca="1">IF(B113="Oloitoktok A",IF(D113&lt;15000,LOOKUP(RAND(),{0,0.45,0.75,0.92},{"River","Rainwater","Borehole","Vendor"}),IF(D113&lt;30000,LOOKUP(RAND(),{0,0.35,0.65,0.85},{"River","Rainwater","Borehole","Vendor"}),LOOKUP(RAND(),{0,0.25,0.5,0.75},{"River","Rainwater","Borehole","Vendor"}))),IF(B113="Oloitoktok B",IF(D113&lt;15000,LOOKUP(RAND(),{0,0.5,0.78,0.94},{"River","Rainwater","Borehole","Vendor"}),IF(D113&lt;30000,LOOKUP(RAND(),{0,0.4,0.68,0.87},{"River","Rainwater","Borehole","Vendor"}),LOOKUP(RAND(),{0,0.28,0.55,0.78},{"River","Rainwater","Borehole","Vendor"}))),IF(B113="Kiserian",IF(D113&lt;15000,LOOKUP(RAND(),{0,0.35,0.65,0.9},{"River","Rainwater","Borehole","Vendor"}),IF(D113&lt;30000,LOOKUP(RAND(),{0,0.25,0.55,0.82},{"River","Rainwater","Borehole","Vendor"}),LOOKUP(RAND(),{0,0.15,0.45,0.72},{"River","Rainwater","Borehole","Vendor"}))),IF(D113&lt;15000,LOOKUP(RAND(),{0,0.4,0.7,0.92},{"River","Rainwater","Borehole","Vendor"}),IF(D113&lt;30000,LOOKUP(RAND(),{0,0.3,0.6,0.85},{"River","Rainwater","Borehole","Vendor"}),LOOKUP(RAND(),{0,0.2,0.5,0.75},{"River","Rainwater","Borehole","Vendor"}))))))</f>
        <v>Borehole</v>
      </c>
      <c r="F113">
        <f t="shared" ca="1" si="7"/>
        <v>41</v>
      </c>
      <c r="G113">
        <f t="shared" ca="1" si="8"/>
        <v>10</v>
      </c>
      <c r="H113">
        <f t="shared" ca="1" si="9"/>
        <v>7800</v>
      </c>
      <c r="I113">
        <f t="shared" ca="1" si="10"/>
        <v>0.68616248739939012</v>
      </c>
      <c r="J113">
        <v>0</v>
      </c>
    </row>
    <row r="114" spans="1:10" x14ac:dyDescent="0.3">
      <c r="A114" t="str">
        <f t="shared" si="11"/>
        <v>HH113</v>
      </c>
      <c r="B114" t="str">
        <f ca="1">LOOKUP(RAND(),{0,0.28,0.55,0.78},{"Oloitoktok A","Oloitoktok B","Kiserian","Namanga"})</f>
        <v>Oloitoktok A</v>
      </c>
      <c r="C114">
        <f ca="1">LOOKUP(RAND(),{0,0.02,0.09,0.2,0.35,0.52,0.68,0.81,0.91,0.97},{1,2,3,4,5,6,7,8,9,10})</f>
        <v>2</v>
      </c>
      <c r="D114">
        <f t="shared" ca="1" si="6"/>
        <v>17500</v>
      </c>
      <c r="E114" t="str">
        <f ca="1">IF(B114="Oloitoktok A",IF(D114&lt;15000,LOOKUP(RAND(),{0,0.45,0.75,0.92},{"River","Rainwater","Borehole","Vendor"}),IF(D114&lt;30000,LOOKUP(RAND(),{0,0.35,0.65,0.85},{"River","Rainwater","Borehole","Vendor"}),LOOKUP(RAND(),{0,0.25,0.5,0.75},{"River","Rainwater","Borehole","Vendor"}))),IF(B114="Oloitoktok B",IF(D114&lt;15000,LOOKUP(RAND(),{0,0.5,0.78,0.94},{"River","Rainwater","Borehole","Vendor"}),IF(D114&lt;30000,LOOKUP(RAND(),{0,0.4,0.68,0.87},{"River","Rainwater","Borehole","Vendor"}),LOOKUP(RAND(),{0,0.28,0.55,0.78},{"River","Rainwater","Borehole","Vendor"}))),IF(B114="Kiserian",IF(D114&lt;15000,LOOKUP(RAND(),{0,0.35,0.65,0.9},{"River","Rainwater","Borehole","Vendor"}),IF(D114&lt;30000,LOOKUP(RAND(),{0,0.25,0.55,0.82},{"River","Rainwater","Borehole","Vendor"}),LOOKUP(RAND(),{0,0.15,0.45,0.72},{"River","Rainwater","Borehole","Vendor"}))),IF(D114&lt;15000,LOOKUP(RAND(),{0,0.4,0.7,0.92},{"River","Rainwater","Borehole","Vendor"}),IF(D114&lt;30000,LOOKUP(RAND(),{0,0.3,0.6,0.85},{"River","Rainwater","Borehole","Vendor"}),LOOKUP(RAND(),{0,0.2,0.5,0.75},{"River","Rainwater","Borehole","Vendor"}))))))</f>
        <v>River</v>
      </c>
      <c r="F114">
        <f t="shared" ca="1" si="7"/>
        <v>87</v>
      </c>
      <c r="G114">
        <f t="shared" ca="1" si="8"/>
        <v>9.9</v>
      </c>
      <c r="H114">
        <f t="shared" ca="1" si="9"/>
        <v>1200</v>
      </c>
      <c r="I114">
        <f t="shared" ca="1" si="10"/>
        <v>0.58216346307736966</v>
      </c>
      <c r="J114">
        <v>0</v>
      </c>
    </row>
    <row r="115" spans="1:10" x14ac:dyDescent="0.3">
      <c r="A115" t="str">
        <f t="shared" si="11"/>
        <v>HH114</v>
      </c>
      <c r="B115" t="str">
        <f ca="1">LOOKUP(RAND(),{0,0.28,0.55,0.78},{"Oloitoktok A","Oloitoktok B","Kiserian","Namanga"})</f>
        <v>Oloitoktok B</v>
      </c>
      <c r="C115">
        <f ca="1">LOOKUP(RAND(),{0,0.02,0.09,0.2,0.35,0.52,0.68,0.81,0.91,0.97},{1,2,3,4,5,6,7,8,9,10})</f>
        <v>9</v>
      </c>
      <c r="D115">
        <f t="shared" ca="1" si="6"/>
        <v>109600</v>
      </c>
      <c r="E115" t="str">
        <f ca="1">IF(B115="Oloitoktok A",IF(D115&lt;15000,LOOKUP(RAND(),{0,0.45,0.75,0.92},{"River","Rainwater","Borehole","Vendor"}),IF(D115&lt;30000,LOOKUP(RAND(),{0,0.35,0.65,0.85},{"River","Rainwater","Borehole","Vendor"}),LOOKUP(RAND(),{0,0.25,0.5,0.75},{"River","Rainwater","Borehole","Vendor"}))),IF(B115="Oloitoktok B",IF(D115&lt;15000,LOOKUP(RAND(),{0,0.5,0.78,0.94},{"River","Rainwater","Borehole","Vendor"}),IF(D115&lt;30000,LOOKUP(RAND(),{0,0.4,0.68,0.87},{"River","Rainwater","Borehole","Vendor"}),LOOKUP(RAND(),{0,0.28,0.55,0.78},{"River","Rainwater","Borehole","Vendor"}))),IF(B115="Kiserian",IF(D115&lt;15000,LOOKUP(RAND(),{0,0.35,0.65,0.9},{"River","Rainwater","Borehole","Vendor"}),IF(D115&lt;30000,LOOKUP(RAND(),{0,0.25,0.55,0.82},{"River","Rainwater","Borehole","Vendor"}),LOOKUP(RAND(),{0,0.15,0.45,0.72},{"River","Rainwater","Borehole","Vendor"}))),IF(D115&lt;15000,LOOKUP(RAND(),{0,0.4,0.7,0.92},{"River","Rainwater","Borehole","Vendor"}),IF(D115&lt;30000,LOOKUP(RAND(),{0,0.3,0.6,0.85},{"River","Rainwater","Borehole","Vendor"}),LOOKUP(RAND(),{0,0.2,0.5,0.75},{"River","Rainwater","Borehole","Vendor"}))))))</f>
        <v>Borehole</v>
      </c>
      <c r="F115">
        <f t="shared" ca="1" si="7"/>
        <v>41</v>
      </c>
      <c r="G115">
        <f t="shared" ca="1" si="8"/>
        <v>2.2999999999999998</v>
      </c>
      <c r="H115">
        <f t="shared" ca="1" si="9"/>
        <v>5600</v>
      </c>
      <c r="I115">
        <f t="shared" ca="1" si="10"/>
        <v>0.21250850666702337</v>
      </c>
      <c r="J115">
        <v>0</v>
      </c>
    </row>
    <row r="116" spans="1:10" x14ac:dyDescent="0.3">
      <c r="A116" t="str">
        <f t="shared" si="11"/>
        <v>HH115</v>
      </c>
      <c r="B116" t="str">
        <f ca="1">LOOKUP(RAND(),{0,0.28,0.55,0.78},{"Oloitoktok A","Oloitoktok B","Kiserian","Namanga"})</f>
        <v>Oloitoktok B</v>
      </c>
      <c r="C116">
        <f ca="1">LOOKUP(RAND(),{0,0.02,0.09,0.2,0.35,0.52,0.68,0.81,0.91,0.97},{1,2,3,4,5,6,7,8,9,10})</f>
        <v>5</v>
      </c>
      <c r="D116">
        <f t="shared" ca="1" si="6"/>
        <v>54000</v>
      </c>
      <c r="E116" t="str">
        <f ca="1">IF(B116="Oloitoktok A",IF(D116&lt;15000,LOOKUP(RAND(),{0,0.45,0.75,0.92},{"River","Rainwater","Borehole","Vendor"}),IF(D116&lt;30000,LOOKUP(RAND(),{0,0.35,0.65,0.85},{"River","Rainwater","Borehole","Vendor"}),LOOKUP(RAND(),{0,0.25,0.5,0.75},{"River","Rainwater","Borehole","Vendor"}))),IF(B116="Oloitoktok B",IF(D116&lt;15000,LOOKUP(RAND(),{0,0.5,0.78,0.94},{"River","Rainwater","Borehole","Vendor"}),IF(D116&lt;30000,LOOKUP(RAND(),{0,0.4,0.68,0.87},{"River","Rainwater","Borehole","Vendor"}),LOOKUP(RAND(),{0,0.28,0.55,0.78},{"River","Rainwater","Borehole","Vendor"}))),IF(B116="Kiserian",IF(D116&lt;15000,LOOKUP(RAND(),{0,0.35,0.65,0.9},{"River","Rainwater","Borehole","Vendor"}),IF(D116&lt;30000,LOOKUP(RAND(),{0,0.25,0.55,0.82},{"River","Rainwater","Borehole","Vendor"}),LOOKUP(RAND(),{0,0.15,0.45,0.72},{"River","Rainwater","Borehole","Vendor"}))),IF(D116&lt;15000,LOOKUP(RAND(),{0,0.4,0.7,0.92},{"River","Rainwater","Borehole","Vendor"}),IF(D116&lt;30000,LOOKUP(RAND(),{0,0.3,0.6,0.85},{"River","Rainwater","Borehole","Vendor"}),LOOKUP(RAND(),{0,0.2,0.5,0.75},{"River","Rainwater","Borehole","Vendor"}))))))</f>
        <v>Rainwater</v>
      </c>
      <c r="F116">
        <f t="shared" ca="1" si="7"/>
        <v>38</v>
      </c>
      <c r="G116">
        <f t="shared" ca="1" si="8"/>
        <v>10.7</v>
      </c>
      <c r="H116">
        <f t="shared" ca="1" si="9"/>
        <v>8500</v>
      </c>
      <c r="I116">
        <f t="shared" ca="1" si="10"/>
        <v>0.65600076091797599</v>
      </c>
      <c r="J116">
        <v>0</v>
      </c>
    </row>
    <row r="117" spans="1:10" x14ac:dyDescent="0.3">
      <c r="A117" t="str">
        <f t="shared" si="11"/>
        <v>HH116</v>
      </c>
      <c r="B117" t="str">
        <f ca="1">LOOKUP(RAND(),{0,0.28,0.55,0.78},{"Oloitoktok A","Oloitoktok B","Kiserian","Namanga"})</f>
        <v>Oloitoktok A</v>
      </c>
      <c r="C117">
        <f ca="1">LOOKUP(RAND(),{0,0.02,0.09,0.2,0.35,0.52,0.68,0.81,0.91,0.97},{1,2,3,4,5,6,7,8,9,10})</f>
        <v>5</v>
      </c>
      <c r="D117">
        <f t="shared" ca="1" si="6"/>
        <v>53800</v>
      </c>
      <c r="E117" t="str">
        <f ca="1">IF(B117="Oloitoktok A",IF(D117&lt;15000,LOOKUP(RAND(),{0,0.45,0.75,0.92},{"River","Rainwater","Borehole","Vendor"}),IF(D117&lt;30000,LOOKUP(RAND(),{0,0.35,0.65,0.85},{"River","Rainwater","Borehole","Vendor"}),LOOKUP(RAND(),{0,0.25,0.5,0.75},{"River","Rainwater","Borehole","Vendor"}))),IF(B117="Oloitoktok B",IF(D117&lt;15000,LOOKUP(RAND(),{0,0.5,0.78,0.94},{"River","Rainwater","Borehole","Vendor"}),IF(D117&lt;30000,LOOKUP(RAND(),{0,0.4,0.68,0.87},{"River","Rainwater","Borehole","Vendor"}),LOOKUP(RAND(),{0,0.28,0.55,0.78},{"River","Rainwater","Borehole","Vendor"}))),IF(B117="Kiserian",IF(D117&lt;15000,LOOKUP(RAND(),{0,0.35,0.65,0.9},{"River","Rainwater","Borehole","Vendor"}),IF(D117&lt;30000,LOOKUP(RAND(),{0,0.25,0.55,0.82},{"River","Rainwater","Borehole","Vendor"}),LOOKUP(RAND(),{0,0.15,0.45,0.72},{"River","Rainwater","Borehole","Vendor"}))),IF(D117&lt;15000,LOOKUP(RAND(),{0,0.4,0.7,0.92},{"River","Rainwater","Borehole","Vendor"}),IF(D117&lt;30000,LOOKUP(RAND(),{0,0.3,0.6,0.85},{"River","Rainwater","Borehole","Vendor"}),LOOKUP(RAND(),{0,0.2,0.5,0.75},{"River","Rainwater","Borehole","Vendor"}))))))</f>
        <v>Vendor</v>
      </c>
      <c r="F117">
        <f t="shared" ca="1" si="7"/>
        <v>39</v>
      </c>
      <c r="G117">
        <f t="shared" ca="1" si="8"/>
        <v>13.5</v>
      </c>
      <c r="H117">
        <f t="shared" ca="1" si="9"/>
        <v>6000</v>
      </c>
      <c r="I117">
        <f t="shared" ca="1" si="10"/>
        <v>0.23019828624776617</v>
      </c>
      <c r="J117">
        <v>0</v>
      </c>
    </row>
    <row r="118" spans="1:10" x14ac:dyDescent="0.3">
      <c r="A118" t="str">
        <f t="shared" si="11"/>
        <v>HH117</v>
      </c>
      <c r="B118" t="str">
        <f ca="1">LOOKUP(RAND(),{0,0.28,0.55,0.78},{"Oloitoktok A","Oloitoktok B","Kiserian","Namanga"})</f>
        <v>Oloitoktok B</v>
      </c>
      <c r="C118">
        <f ca="1">LOOKUP(RAND(),{0,0.02,0.09,0.2,0.35,0.52,0.68,0.81,0.91,0.97},{1,2,3,4,5,6,7,8,9,10})</f>
        <v>6</v>
      </c>
      <c r="D118">
        <f t="shared" ca="1" si="6"/>
        <v>17800</v>
      </c>
      <c r="E118" t="str">
        <f ca="1">IF(B118="Oloitoktok A",IF(D118&lt;15000,LOOKUP(RAND(),{0,0.45,0.75,0.92},{"River","Rainwater","Borehole","Vendor"}),IF(D118&lt;30000,LOOKUP(RAND(),{0,0.35,0.65,0.85},{"River","Rainwater","Borehole","Vendor"}),LOOKUP(RAND(),{0,0.25,0.5,0.75},{"River","Rainwater","Borehole","Vendor"}))),IF(B118="Oloitoktok B",IF(D118&lt;15000,LOOKUP(RAND(),{0,0.5,0.78,0.94},{"River","Rainwater","Borehole","Vendor"}),IF(D118&lt;30000,LOOKUP(RAND(),{0,0.4,0.68,0.87},{"River","Rainwater","Borehole","Vendor"}),LOOKUP(RAND(),{0,0.28,0.55,0.78},{"River","Rainwater","Borehole","Vendor"}))),IF(B118="Kiserian",IF(D118&lt;15000,LOOKUP(RAND(),{0,0.35,0.65,0.9},{"River","Rainwater","Borehole","Vendor"}),IF(D118&lt;30000,LOOKUP(RAND(),{0,0.25,0.55,0.82},{"River","Rainwater","Borehole","Vendor"}),LOOKUP(RAND(),{0,0.15,0.45,0.72},{"River","Rainwater","Borehole","Vendor"}))),IF(D118&lt;15000,LOOKUP(RAND(),{0,0.4,0.7,0.92},{"River","Rainwater","Borehole","Vendor"}),IF(D118&lt;30000,LOOKUP(RAND(),{0,0.3,0.6,0.85},{"River","Rainwater","Borehole","Vendor"}),LOOKUP(RAND(),{0,0.2,0.5,0.75},{"River","Rainwater","Borehole","Vendor"}))))))</f>
        <v>Borehole</v>
      </c>
      <c r="F118">
        <f t="shared" ca="1" si="7"/>
        <v>28</v>
      </c>
      <c r="G118">
        <f t="shared" ca="1" si="8"/>
        <v>1.7</v>
      </c>
      <c r="H118">
        <f t="shared" ca="1" si="9"/>
        <v>5400</v>
      </c>
      <c r="I118">
        <f t="shared" ca="1" si="10"/>
        <v>0.86829057613744265</v>
      </c>
      <c r="J118">
        <v>0</v>
      </c>
    </row>
    <row r="119" spans="1:10" x14ac:dyDescent="0.3">
      <c r="A119" t="str">
        <f t="shared" si="11"/>
        <v>HH118</v>
      </c>
      <c r="B119" t="str">
        <f ca="1">LOOKUP(RAND(),{0,0.28,0.55,0.78},{"Oloitoktok A","Oloitoktok B","Kiserian","Namanga"})</f>
        <v>Oloitoktok B</v>
      </c>
      <c r="C119">
        <f ca="1">LOOKUP(RAND(),{0,0.02,0.09,0.2,0.35,0.52,0.68,0.81,0.91,0.97},{1,2,3,4,5,6,7,8,9,10})</f>
        <v>4</v>
      </c>
      <c r="D119">
        <f t="shared" ca="1" si="6"/>
        <v>29400</v>
      </c>
      <c r="E119" t="str">
        <f ca="1">IF(B119="Oloitoktok A",IF(D119&lt;15000,LOOKUP(RAND(),{0,0.45,0.75,0.92},{"River","Rainwater","Borehole","Vendor"}),IF(D119&lt;30000,LOOKUP(RAND(),{0,0.35,0.65,0.85},{"River","Rainwater","Borehole","Vendor"}),LOOKUP(RAND(),{0,0.25,0.5,0.75},{"River","Rainwater","Borehole","Vendor"}))),IF(B119="Oloitoktok B",IF(D119&lt;15000,LOOKUP(RAND(),{0,0.5,0.78,0.94},{"River","Rainwater","Borehole","Vendor"}),IF(D119&lt;30000,LOOKUP(RAND(),{0,0.4,0.68,0.87},{"River","Rainwater","Borehole","Vendor"}),LOOKUP(RAND(),{0,0.28,0.55,0.78},{"River","Rainwater","Borehole","Vendor"}))),IF(B119="Kiserian",IF(D119&lt;15000,LOOKUP(RAND(),{0,0.35,0.65,0.9},{"River","Rainwater","Borehole","Vendor"}),IF(D119&lt;30000,LOOKUP(RAND(),{0,0.25,0.55,0.82},{"River","Rainwater","Borehole","Vendor"}),LOOKUP(RAND(),{0,0.15,0.45,0.72},{"River","Rainwater","Borehole","Vendor"}))),IF(D119&lt;15000,LOOKUP(RAND(),{0,0.4,0.7,0.92},{"River","Rainwater","Borehole","Vendor"}),IF(D119&lt;30000,LOOKUP(RAND(),{0,0.3,0.6,0.85},{"River","Rainwater","Borehole","Vendor"}),LOOKUP(RAND(),{0,0.2,0.5,0.75},{"River","Rainwater","Borehole","Vendor"}))))))</f>
        <v>River</v>
      </c>
      <c r="F119">
        <f t="shared" ca="1" si="7"/>
        <v>107</v>
      </c>
      <c r="G119">
        <f t="shared" ca="1" si="8"/>
        <v>9</v>
      </c>
      <c r="H119">
        <f t="shared" ca="1" si="9"/>
        <v>1500</v>
      </c>
      <c r="I119">
        <f t="shared" ca="1" si="10"/>
        <v>2.4528659635092209E-2</v>
      </c>
      <c r="J119">
        <v>0</v>
      </c>
    </row>
    <row r="120" spans="1:10" x14ac:dyDescent="0.3">
      <c r="A120" t="str">
        <f t="shared" si="11"/>
        <v>HH119</v>
      </c>
      <c r="B120" t="str">
        <f ca="1">LOOKUP(RAND(),{0,0.28,0.55,0.78},{"Oloitoktok A","Oloitoktok B","Kiserian","Namanga"})</f>
        <v>Kiserian</v>
      </c>
      <c r="C120">
        <f ca="1">LOOKUP(RAND(),{0,0.02,0.09,0.2,0.35,0.52,0.68,0.81,0.91,0.97},{1,2,3,4,5,6,7,8,9,10})</f>
        <v>4</v>
      </c>
      <c r="D120">
        <f t="shared" ca="1" si="6"/>
        <v>65400</v>
      </c>
      <c r="E120" t="str">
        <f ca="1">IF(B120="Oloitoktok A",IF(D120&lt;15000,LOOKUP(RAND(),{0,0.45,0.75,0.92},{"River","Rainwater","Borehole","Vendor"}),IF(D120&lt;30000,LOOKUP(RAND(),{0,0.35,0.65,0.85},{"River","Rainwater","Borehole","Vendor"}),LOOKUP(RAND(),{0,0.25,0.5,0.75},{"River","Rainwater","Borehole","Vendor"}))),IF(B120="Oloitoktok B",IF(D120&lt;15000,LOOKUP(RAND(),{0,0.5,0.78,0.94},{"River","Rainwater","Borehole","Vendor"}),IF(D120&lt;30000,LOOKUP(RAND(),{0,0.4,0.68,0.87},{"River","Rainwater","Borehole","Vendor"}),LOOKUP(RAND(),{0,0.28,0.55,0.78},{"River","Rainwater","Borehole","Vendor"}))),IF(B120="Kiserian",IF(D120&lt;15000,LOOKUP(RAND(),{0,0.35,0.65,0.9},{"River","Rainwater","Borehole","Vendor"}),IF(D120&lt;30000,LOOKUP(RAND(),{0,0.25,0.55,0.82},{"River","Rainwater","Borehole","Vendor"}),LOOKUP(RAND(),{0,0.15,0.45,0.72},{"River","Rainwater","Borehole","Vendor"}))),IF(D120&lt;15000,LOOKUP(RAND(),{0,0.4,0.7,0.92},{"River","Rainwater","Borehole","Vendor"}),IF(D120&lt;30000,LOOKUP(RAND(),{0,0.3,0.6,0.85},{"River","Rainwater","Borehole","Vendor"}),LOOKUP(RAND(),{0,0.2,0.5,0.75},{"River","Rainwater","Borehole","Vendor"}))))))</f>
        <v>Borehole</v>
      </c>
      <c r="F120">
        <f t="shared" ca="1" si="7"/>
        <v>47</v>
      </c>
      <c r="G120">
        <f t="shared" ca="1" si="8"/>
        <v>3.5</v>
      </c>
      <c r="H120">
        <f t="shared" ca="1" si="9"/>
        <v>1600</v>
      </c>
      <c r="I120">
        <f t="shared" ca="1" si="10"/>
        <v>0.73434306704245056</v>
      </c>
      <c r="J120">
        <v>0</v>
      </c>
    </row>
    <row r="121" spans="1:10" x14ac:dyDescent="0.3">
      <c r="A121" t="str">
        <f t="shared" si="11"/>
        <v>HH120</v>
      </c>
      <c r="B121" t="str">
        <f ca="1">LOOKUP(RAND(),{0,0.28,0.55,0.78},{"Oloitoktok A","Oloitoktok B","Kiserian","Namanga"})</f>
        <v>Oloitoktok A</v>
      </c>
      <c r="C121">
        <f ca="1">LOOKUP(RAND(),{0,0.02,0.09,0.2,0.35,0.52,0.68,0.81,0.91,0.97},{1,2,3,4,5,6,7,8,9,10})</f>
        <v>6</v>
      </c>
      <c r="D121">
        <f t="shared" ca="1" si="6"/>
        <v>65600</v>
      </c>
      <c r="E121" t="str">
        <f ca="1">IF(B121="Oloitoktok A",IF(D121&lt;15000,LOOKUP(RAND(),{0,0.45,0.75,0.92},{"River","Rainwater","Borehole","Vendor"}),IF(D121&lt;30000,LOOKUP(RAND(),{0,0.35,0.65,0.85},{"River","Rainwater","Borehole","Vendor"}),LOOKUP(RAND(),{0,0.25,0.5,0.75},{"River","Rainwater","Borehole","Vendor"}))),IF(B121="Oloitoktok B",IF(D121&lt;15000,LOOKUP(RAND(),{0,0.5,0.78,0.94},{"River","Rainwater","Borehole","Vendor"}),IF(D121&lt;30000,LOOKUP(RAND(),{0,0.4,0.68,0.87},{"River","Rainwater","Borehole","Vendor"}),LOOKUP(RAND(),{0,0.28,0.55,0.78},{"River","Rainwater","Borehole","Vendor"}))),IF(B121="Kiserian",IF(D121&lt;15000,LOOKUP(RAND(),{0,0.35,0.65,0.9},{"River","Rainwater","Borehole","Vendor"}),IF(D121&lt;30000,LOOKUP(RAND(),{0,0.25,0.55,0.82},{"River","Rainwater","Borehole","Vendor"}),LOOKUP(RAND(),{0,0.15,0.45,0.72},{"River","Rainwater","Borehole","Vendor"}))),IF(D121&lt;15000,LOOKUP(RAND(),{0,0.4,0.7,0.92},{"River","Rainwater","Borehole","Vendor"}),IF(D121&lt;30000,LOOKUP(RAND(),{0,0.3,0.6,0.85},{"River","Rainwater","Borehole","Vendor"}),LOOKUP(RAND(),{0,0.2,0.5,0.75},{"River","Rainwater","Borehole","Vendor"}))))))</f>
        <v>Vendor</v>
      </c>
      <c r="F121">
        <f t="shared" ca="1" si="7"/>
        <v>35</v>
      </c>
      <c r="G121">
        <f t="shared" ca="1" si="8"/>
        <v>14.6</v>
      </c>
      <c r="H121">
        <f t="shared" ca="1" si="9"/>
        <v>1700</v>
      </c>
      <c r="I121">
        <f t="shared" ca="1" si="10"/>
        <v>5.2279719275646341E-3</v>
      </c>
      <c r="J121">
        <v>0</v>
      </c>
    </row>
    <row r="122" spans="1:10" x14ac:dyDescent="0.3">
      <c r="A122" t="str">
        <f t="shared" si="11"/>
        <v>HH121</v>
      </c>
      <c r="B122" t="str">
        <f ca="1">LOOKUP(RAND(),{0,0.28,0.55,0.78},{"Oloitoktok A","Oloitoktok B","Kiserian","Namanga"})</f>
        <v>Kiserian</v>
      </c>
      <c r="C122">
        <f ca="1">LOOKUP(RAND(),{0,0.02,0.09,0.2,0.35,0.52,0.68,0.81,0.91,0.97},{1,2,3,4,5,6,7,8,9,10})</f>
        <v>5</v>
      </c>
      <c r="D122">
        <f t="shared" ca="1" si="6"/>
        <v>22900</v>
      </c>
      <c r="E122" t="str">
        <f ca="1">IF(B122="Oloitoktok A",IF(D122&lt;15000,LOOKUP(RAND(),{0,0.45,0.75,0.92},{"River","Rainwater","Borehole","Vendor"}),IF(D122&lt;30000,LOOKUP(RAND(),{0,0.35,0.65,0.85},{"River","Rainwater","Borehole","Vendor"}),LOOKUP(RAND(),{0,0.25,0.5,0.75},{"River","Rainwater","Borehole","Vendor"}))),IF(B122="Oloitoktok B",IF(D122&lt;15000,LOOKUP(RAND(),{0,0.5,0.78,0.94},{"River","Rainwater","Borehole","Vendor"}),IF(D122&lt;30000,LOOKUP(RAND(),{0,0.4,0.68,0.87},{"River","Rainwater","Borehole","Vendor"}),LOOKUP(RAND(),{0,0.28,0.55,0.78},{"River","Rainwater","Borehole","Vendor"}))),IF(B122="Kiserian",IF(D122&lt;15000,LOOKUP(RAND(),{0,0.35,0.65,0.9},{"River","Rainwater","Borehole","Vendor"}),IF(D122&lt;30000,LOOKUP(RAND(),{0,0.25,0.55,0.82},{"River","Rainwater","Borehole","Vendor"}),LOOKUP(RAND(),{0,0.15,0.45,0.72},{"River","Rainwater","Borehole","Vendor"}))),IF(D122&lt;15000,LOOKUP(RAND(),{0,0.4,0.7,0.92},{"River","Rainwater","Borehole","Vendor"}),IF(D122&lt;30000,LOOKUP(RAND(),{0,0.3,0.6,0.85},{"River","Rainwater","Borehole","Vendor"}),LOOKUP(RAND(),{0,0.2,0.5,0.75},{"River","Rainwater","Borehole","Vendor"}))))))</f>
        <v>River</v>
      </c>
      <c r="F122">
        <f t="shared" ca="1" si="7"/>
        <v>77</v>
      </c>
      <c r="G122">
        <f t="shared" ca="1" si="8"/>
        <v>1.4</v>
      </c>
      <c r="H122">
        <f t="shared" ca="1" si="9"/>
        <v>5900</v>
      </c>
      <c r="I122">
        <f t="shared" ca="1" si="10"/>
        <v>0.8254823441011645</v>
      </c>
      <c r="J122">
        <v>0</v>
      </c>
    </row>
    <row r="123" spans="1:10" x14ac:dyDescent="0.3">
      <c r="A123" t="str">
        <f t="shared" si="11"/>
        <v>HH122</v>
      </c>
      <c r="B123" t="str">
        <f ca="1">LOOKUP(RAND(),{0,0.28,0.55,0.78},{"Oloitoktok A","Oloitoktok B","Kiserian","Namanga"})</f>
        <v>Oloitoktok B</v>
      </c>
      <c r="C123">
        <f ca="1">LOOKUP(RAND(),{0,0.02,0.09,0.2,0.35,0.52,0.68,0.81,0.91,0.97},{1,2,3,4,5,6,7,8,9,10})</f>
        <v>2</v>
      </c>
      <c r="D123">
        <f t="shared" ca="1" si="6"/>
        <v>23200</v>
      </c>
      <c r="E123" t="str">
        <f ca="1">IF(B123="Oloitoktok A",IF(D123&lt;15000,LOOKUP(RAND(),{0,0.45,0.75,0.92},{"River","Rainwater","Borehole","Vendor"}),IF(D123&lt;30000,LOOKUP(RAND(),{0,0.35,0.65,0.85},{"River","Rainwater","Borehole","Vendor"}),LOOKUP(RAND(),{0,0.25,0.5,0.75},{"River","Rainwater","Borehole","Vendor"}))),IF(B123="Oloitoktok B",IF(D123&lt;15000,LOOKUP(RAND(),{0,0.5,0.78,0.94},{"River","Rainwater","Borehole","Vendor"}),IF(D123&lt;30000,LOOKUP(RAND(),{0,0.4,0.68,0.87},{"River","Rainwater","Borehole","Vendor"}),LOOKUP(RAND(),{0,0.28,0.55,0.78},{"River","Rainwater","Borehole","Vendor"}))),IF(B123="Kiserian",IF(D123&lt;15000,LOOKUP(RAND(),{0,0.35,0.65,0.9},{"River","Rainwater","Borehole","Vendor"}),IF(D123&lt;30000,LOOKUP(RAND(),{0,0.25,0.55,0.82},{"River","Rainwater","Borehole","Vendor"}),LOOKUP(RAND(),{0,0.15,0.45,0.72},{"River","Rainwater","Borehole","Vendor"}))),IF(D123&lt;15000,LOOKUP(RAND(),{0,0.4,0.7,0.92},{"River","Rainwater","Borehole","Vendor"}),IF(D123&lt;30000,LOOKUP(RAND(),{0,0.3,0.6,0.85},{"River","Rainwater","Borehole","Vendor"}),LOOKUP(RAND(),{0,0.2,0.5,0.75},{"River","Rainwater","Borehole","Vendor"}))))))</f>
        <v>River</v>
      </c>
      <c r="F123">
        <f t="shared" ca="1" si="7"/>
        <v>66</v>
      </c>
      <c r="G123">
        <f t="shared" ca="1" si="8"/>
        <v>6.9</v>
      </c>
      <c r="H123">
        <f t="shared" ca="1" si="9"/>
        <v>4200</v>
      </c>
      <c r="I123">
        <f t="shared" ca="1" si="10"/>
        <v>2.8102249711500438E-2</v>
      </c>
      <c r="J123">
        <v>0</v>
      </c>
    </row>
    <row r="124" spans="1:10" x14ac:dyDescent="0.3">
      <c r="A124" t="str">
        <f t="shared" si="11"/>
        <v>HH123</v>
      </c>
      <c r="B124" t="str">
        <f ca="1">LOOKUP(RAND(),{0,0.28,0.55,0.78},{"Oloitoktok A","Oloitoktok B","Kiserian","Namanga"})</f>
        <v>Oloitoktok B</v>
      </c>
      <c r="C124">
        <f ca="1">LOOKUP(RAND(),{0,0.02,0.09,0.2,0.35,0.52,0.68,0.81,0.91,0.97},{1,2,3,4,5,6,7,8,9,10})</f>
        <v>5</v>
      </c>
      <c r="D124">
        <f t="shared" ca="1" si="6"/>
        <v>20000</v>
      </c>
      <c r="E124" t="str">
        <f ca="1">IF(B124="Oloitoktok A",IF(D124&lt;15000,LOOKUP(RAND(),{0,0.45,0.75,0.92},{"River","Rainwater","Borehole","Vendor"}),IF(D124&lt;30000,LOOKUP(RAND(),{0,0.35,0.65,0.85},{"River","Rainwater","Borehole","Vendor"}),LOOKUP(RAND(),{0,0.25,0.5,0.75},{"River","Rainwater","Borehole","Vendor"}))),IF(B124="Oloitoktok B",IF(D124&lt;15000,LOOKUP(RAND(),{0,0.5,0.78,0.94},{"River","Rainwater","Borehole","Vendor"}),IF(D124&lt;30000,LOOKUP(RAND(),{0,0.4,0.68,0.87},{"River","Rainwater","Borehole","Vendor"}),LOOKUP(RAND(),{0,0.28,0.55,0.78},{"River","Rainwater","Borehole","Vendor"}))),IF(B124="Kiserian",IF(D124&lt;15000,LOOKUP(RAND(),{0,0.35,0.65,0.9},{"River","Rainwater","Borehole","Vendor"}),IF(D124&lt;30000,LOOKUP(RAND(),{0,0.25,0.55,0.82},{"River","Rainwater","Borehole","Vendor"}),LOOKUP(RAND(),{0,0.15,0.45,0.72},{"River","Rainwater","Borehole","Vendor"}))),IF(D124&lt;15000,LOOKUP(RAND(),{0,0.4,0.7,0.92},{"River","Rainwater","Borehole","Vendor"}),IF(D124&lt;30000,LOOKUP(RAND(),{0,0.3,0.6,0.85},{"River","Rainwater","Borehole","Vendor"}),LOOKUP(RAND(),{0,0.2,0.5,0.75},{"River","Rainwater","Borehole","Vendor"}))))))</f>
        <v>River</v>
      </c>
      <c r="F124">
        <f t="shared" ca="1" si="7"/>
        <v>90</v>
      </c>
      <c r="G124">
        <f t="shared" ca="1" si="8"/>
        <v>12.9</v>
      </c>
      <c r="H124">
        <f t="shared" ca="1" si="9"/>
        <v>3800</v>
      </c>
      <c r="I124">
        <f t="shared" ca="1" si="10"/>
        <v>7.812804357801173E-2</v>
      </c>
      <c r="J124">
        <v>0</v>
      </c>
    </row>
    <row r="125" spans="1:10" x14ac:dyDescent="0.3">
      <c r="A125" t="str">
        <f t="shared" si="11"/>
        <v>HH124</v>
      </c>
      <c r="B125" t="str">
        <f ca="1">LOOKUP(RAND(),{0,0.28,0.55,0.78},{"Oloitoktok A","Oloitoktok B","Kiserian","Namanga"})</f>
        <v>Oloitoktok A</v>
      </c>
      <c r="C125">
        <f ca="1">LOOKUP(RAND(),{0,0.02,0.09,0.2,0.35,0.52,0.68,0.81,0.91,0.97},{1,2,3,4,5,6,7,8,9,10})</f>
        <v>3</v>
      </c>
      <c r="D125">
        <f t="shared" ca="1" si="6"/>
        <v>16900</v>
      </c>
      <c r="E125" t="str">
        <f ca="1">IF(B125="Oloitoktok A",IF(D125&lt;15000,LOOKUP(RAND(),{0,0.45,0.75,0.92},{"River","Rainwater","Borehole","Vendor"}),IF(D125&lt;30000,LOOKUP(RAND(),{0,0.35,0.65,0.85},{"River","Rainwater","Borehole","Vendor"}),LOOKUP(RAND(),{0,0.25,0.5,0.75},{"River","Rainwater","Borehole","Vendor"}))),IF(B125="Oloitoktok B",IF(D125&lt;15000,LOOKUP(RAND(),{0,0.5,0.78,0.94},{"River","Rainwater","Borehole","Vendor"}),IF(D125&lt;30000,LOOKUP(RAND(),{0,0.4,0.68,0.87},{"River","Rainwater","Borehole","Vendor"}),LOOKUP(RAND(),{0,0.28,0.55,0.78},{"River","Rainwater","Borehole","Vendor"}))),IF(B125="Kiserian",IF(D125&lt;15000,LOOKUP(RAND(),{0,0.35,0.65,0.9},{"River","Rainwater","Borehole","Vendor"}),IF(D125&lt;30000,LOOKUP(RAND(),{0,0.25,0.55,0.82},{"River","Rainwater","Borehole","Vendor"}),LOOKUP(RAND(),{0,0.15,0.45,0.72},{"River","Rainwater","Borehole","Vendor"}))),IF(D125&lt;15000,LOOKUP(RAND(),{0,0.4,0.7,0.92},{"River","Rainwater","Borehole","Vendor"}),IF(D125&lt;30000,LOOKUP(RAND(),{0,0.3,0.6,0.85},{"River","Rainwater","Borehole","Vendor"}),LOOKUP(RAND(),{0,0.2,0.5,0.75},{"River","Rainwater","Borehole","Vendor"}))))))</f>
        <v>Borehole</v>
      </c>
      <c r="F125">
        <f t="shared" ca="1" si="7"/>
        <v>54</v>
      </c>
      <c r="G125">
        <f t="shared" ca="1" si="8"/>
        <v>4.4000000000000004</v>
      </c>
      <c r="H125">
        <f t="shared" ca="1" si="9"/>
        <v>3500</v>
      </c>
      <c r="I125">
        <f t="shared" ca="1" si="10"/>
        <v>0.58155651938469799</v>
      </c>
      <c r="J125">
        <v>0</v>
      </c>
    </row>
    <row r="126" spans="1:10" x14ac:dyDescent="0.3">
      <c r="A126" t="str">
        <f t="shared" si="11"/>
        <v>HH125</v>
      </c>
      <c r="B126" t="str">
        <f ca="1">LOOKUP(RAND(),{0,0.28,0.55,0.78},{"Oloitoktok A","Oloitoktok B","Kiserian","Namanga"})</f>
        <v>Kiserian</v>
      </c>
      <c r="C126">
        <f ca="1">LOOKUP(RAND(),{0,0.02,0.09,0.2,0.35,0.52,0.68,0.81,0.91,0.97},{1,2,3,4,5,6,7,8,9,10})</f>
        <v>4</v>
      </c>
      <c r="D126">
        <f t="shared" ca="1" si="6"/>
        <v>60100</v>
      </c>
      <c r="E126" t="str">
        <f ca="1">IF(B126="Oloitoktok A",IF(D126&lt;15000,LOOKUP(RAND(),{0,0.45,0.75,0.92},{"River","Rainwater","Borehole","Vendor"}),IF(D126&lt;30000,LOOKUP(RAND(),{0,0.35,0.65,0.85},{"River","Rainwater","Borehole","Vendor"}),LOOKUP(RAND(),{0,0.25,0.5,0.75},{"River","Rainwater","Borehole","Vendor"}))),IF(B126="Oloitoktok B",IF(D126&lt;15000,LOOKUP(RAND(),{0,0.5,0.78,0.94},{"River","Rainwater","Borehole","Vendor"}),IF(D126&lt;30000,LOOKUP(RAND(),{0,0.4,0.68,0.87},{"River","Rainwater","Borehole","Vendor"}),LOOKUP(RAND(),{0,0.28,0.55,0.78},{"River","Rainwater","Borehole","Vendor"}))),IF(B126="Kiserian",IF(D126&lt;15000,LOOKUP(RAND(),{0,0.35,0.65,0.9},{"River","Rainwater","Borehole","Vendor"}),IF(D126&lt;30000,LOOKUP(RAND(),{0,0.25,0.55,0.82},{"River","Rainwater","Borehole","Vendor"}),LOOKUP(RAND(),{0,0.15,0.45,0.72},{"River","Rainwater","Borehole","Vendor"}))),IF(D126&lt;15000,LOOKUP(RAND(),{0,0.4,0.7,0.92},{"River","Rainwater","Borehole","Vendor"}),IF(D126&lt;30000,LOOKUP(RAND(),{0,0.3,0.6,0.85},{"River","Rainwater","Borehole","Vendor"}),LOOKUP(RAND(),{0,0.2,0.5,0.75},{"River","Rainwater","Borehole","Vendor"}))))))</f>
        <v>Vendor</v>
      </c>
      <c r="F126">
        <f t="shared" ca="1" si="7"/>
        <v>36</v>
      </c>
      <c r="G126">
        <f t="shared" ca="1" si="8"/>
        <v>0.4</v>
      </c>
      <c r="H126">
        <f t="shared" ca="1" si="9"/>
        <v>5500</v>
      </c>
      <c r="I126">
        <f t="shared" ca="1" si="10"/>
        <v>0.28182881976353391</v>
      </c>
      <c r="J126">
        <v>0</v>
      </c>
    </row>
    <row r="127" spans="1:10" x14ac:dyDescent="0.3">
      <c r="A127" t="str">
        <f t="shared" si="11"/>
        <v>HH126</v>
      </c>
      <c r="B127" t="str">
        <f ca="1">LOOKUP(RAND(),{0,0.28,0.55,0.78},{"Oloitoktok A","Oloitoktok B","Kiserian","Namanga"})</f>
        <v>Oloitoktok B</v>
      </c>
      <c r="C127">
        <f ca="1">LOOKUP(RAND(),{0,0.02,0.09,0.2,0.35,0.52,0.68,0.81,0.91,0.97},{1,2,3,4,5,6,7,8,9,10})</f>
        <v>6</v>
      </c>
      <c r="D127">
        <f t="shared" ca="1" si="6"/>
        <v>60100</v>
      </c>
      <c r="E127" t="str">
        <f ca="1">IF(B127="Oloitoktok A",IF(D127&lt;15000,LOOKUP(RAND(),{0,0.45,0.75,0.92},{"River","Rainwater","Borehole","Vendor"}),IF(D127&lt;30000,LOOKUP(RAND(),{0,0.35,0.65,0.85},{"River","Rainwater","Borehole","Vendor"}),LOOKUP(RAND(),{0,0.25,0.5,0.75},{"River","Rainwater","Borehole","Vendor"}))),IF(B127="Oloitoktok B",IF(D127&lt;15000,LOOKUP(RAND(),{0,0.5,0.78,0.94},{"River","Rainwater","Borehole","Vendor"}),IF(D127&lt;30000,LOOKUP(RAND(),{0,0.4,0.68,0.87},{"River","Rainwater","Borehole","Vendor"}),LOOKUP(RAND(),{0,0.28,0.55,0.78},{"River","Rainwater","Borehole","Vendor"}))),IF(B127="Kiserian",IF(D127&lt;15000,LOOKUP(RAND(),{0,0.35,0.65,0.9},{"River","Rainwater","Borehole","Vendor"}),IF(D127&lt;30000,LOOKUP(RAND(),{0,0.25,0.55,0.82},{"River","Rainwater","Borehole","Vendor"}),LOOKUP(RAND(),{0,0.15,0.45,0.72},{"River","Rainwater","Borehole","Vendor"}))),IF(D127&lt;15000,LOOKUP(RAND(),{0,0.4,0.7,0.92},{"River","Rainwater","Borehole","Vendor"}),IF(D127&lt;30000,LOOKUP(RAND(),{0,0.3,0.6,0.85},{"River","Rainwater","Borehole","Vendor"}),LOOKUP(RAND(),{0,0.2,0.5,0.75},{"River","Rainwater","Borehole","Vendor"}))))))</f>
        <v>Vendor</v>
      </c>
      <c r="F127">
        <f t="shared" ca="1" si="7"/>
        <v>56</v>
      </c>
      <c r="G127">
        <f t="shared" ca="1" si="8"/>
        <v>1.5</v>
      </c>
      <c r="H127">
        <f t="shared" ca="1" si="9"/>
        <v>2600</v>
      </c>
      <c r="I127">
        <f t="shared" ca="1" si="10"/>
        <v>0.67122438737163348</v>
      </c>
      <c r="J127">
        <v>0</v>
      </c>
    </row>
    <row r="128" spans="1:10" x14ac:dyDescent="0.3">
      <c r="A128" t="str">
        <f t="shared" si="11"/>
        <v>HH127</v>
      </c>
      <c r="B128" t="str">
        <f ca="1">LOOKUP(RAND(),{0,0.28,0.55,0.78},{"Oloitoktok A","Oloitoktok B","Kiserian","Namanga"})</f>
        <v>Namanga</v>
      </c>
      <c r="C128">
        <f ca="1">LOOKUP(RAND(),{0,0.02,0.09,0.2,0.35,0.52,0.68,0.81,0.91,0.97},{1,2,3,4,5,6,7,8,9,10})</f>
        <v>3</v>
      </c>
      <c r="D128">
        <f t="shared" ca="1" si="6"/>
        <v>17500</v>
      </c>
      <c r="E128" t="str">
        <f ca="1">IF(B128="Oloitoktok A",IF(D128&lt;15000,LOOKUP(RAND(),{0,0.45,0.75,0.92},{"River","Rainwater","Borehole","Vendor"}),IF(D128&lt;30000,LOOKUP(RAND(),{0,0.35,0.65,0.85},{"River","Rainwater","Borehole","Vendor"}),LOOKUP(RAND(),{0,0.25,0.5,0.75},{"River","Rainwater","Borehole","Vendor"}))),IF(B128="Oloitoktok B",IF(D128&lt;15000,LOOKUP(RAND(),{0,0.5,0.78,0.94},{"River","Rainwater","Borehole","Vendor"}),IF(D128&lt;30000,LOOKUP(RAND(),{0,0.4,0.68,0.87},{"River","Rainwater","Borehole","Vendor"}),LOOKUP(RAND(),{0,0.28,0.55,0.78},{"River","Rainwater","Borehole","Vendor"}))),IF(B128="Kiserian",IF(D128&lt;15000,LOOKUP(RAND(),{0,0.35,0.65,0.9},{"River","Rainwater","Borehole","Vendor"}),IF(D128&lt;30000,LOOKUP(RAND(),{0,0.25,0.55,0.82},{"River","Rainwater","Borehole","Vendor"}),LOOKUP(RAND(),{0,0.15,0.45,0.72},{"River","Rainwater","Borehole","Vendor"}))),IF(D128&lt;15000,LOOKUP(RAND(),{0,0.4,0.7,0.92},{"River","Rainwater","Borehole","Vendor"}),IF(D128&lt;30000,LOOKUP(RAND(),{0,0.3,0.6,0.85},{"River","Rainwater","Borehole","Vendor"}),LOOKUP(RAND(),{0,0.2,0.5,0.75},{"River","Rainwater","Borehole","Vendor"}))))))</f>
        <v>River</v>
      </c>
      <c r="F128">
        <f t="shared" ca="1" si="7"/>
        <v>77</v>
      </c>
      <c r="G128">
        <f t="shared" ca="1" si="8"/>
        <v>9.1</v>
      </c>
      <c r="H128">
        <f t="shared" ca="1" si="9"/>
        <v>0</v>
      </c>
      <c r="I128">
        <f t="shared" ca="1" si="10"/>
        <v>0.62622332389594837</v>
      </c>
      <c r="J128">
        <v>0</v>
      </c>
    </row>
    <row r="129" spans="1:10" x14ac:dyDescent="0.3">
      <c r="A129" t="str">
        <f t="shared" si="11"/>
        <v>HH128</v>
      </c>
      <c r="B129" t="str">
        <f ca="1">LOOKUP(RAND(),{0,0.28,0.55,0.78},{"Oloitoktok A","Oloitoktok B","Kiserian","Namanga"})</f>
        <v>Oloitoktok A</v>
      </c>
      <c r="C129">
        <f ca="1">LOOKUP(RAND(),{0,0.02,0.09,0.2,0.35,0.52,0.68,0.81,0.91,0.97},{1,2,3,4,5,6,7,8,9,10})</f>
        <v>2</v>
      </c>
      <c r="D129">
        <f t="shared" ca="1" si="6"/>
        <v>72700</v>
      </c>
      <c r="E129" t="str">
        <f ca="1">IF(B129="Oloitoktok A",IF(D129&lt;15000,LOOKUP(RAND(),{0,0.45,0.75,0.92},{"River","Rainwater","Borehole","Vendor"}),IF(D129&lt;30000,LOOKUP(RAND(),{0,0.35,0.65,0.85},{"River","Rainwater","Borehole","Vendor"}),LOOKUP(RAND(),{0,0.25,0.5,0.75},{"River","Rainwater","Borehole","Vendor"}))),IF(B129="Oloitoktok B",IF(D129&lt;15000,LOOKUP(RAND(),{0,0.5,0.78,0.94},{"River","Rainwater","Borehole","Vendor"}),IF(D129&lt;30000,LOOKUP(RAND(),{0,0.4,0.68,0.87},{"River","Rainwater","Borehole","Vendor"}),LOOKUP(RAND(),{0,0.28,0.55,0.78},{"River","Rainwater","Borehole","Vendor"}))),IF(B129="Kiserian",IF(D129&lt;15000,LOOKUP(RAND(),{0,0.35,0.65,0.9},{"River","Rainwater","Borehole","Vendor"}),IF(D129&lt;30000,LOOKUP(RAND(),{0,0.25,0.55,0.82},{"River","Rainwater","Borehole","Vendor"}),LOOKUP(RAND(),{0,0.15,0.45,0.72},{"River","Rainwater","Borehole","Vendor"}))),IF(D129&lt;15000,LOOKUP(RAND(),{0,0.4,0.7,0.92},{"River","Rainwater","Borehole","Vendor"}),IF(D129&lt;30000,LOOKUP(RAND(),{0,0.3,0.6,0.85},{"River","Rainwater","Borehole","Vendor"}),LOOKUP(RAND(),{0,0.2,0.5,0.75},{"River","Rainwater","Borehole","Vendor"}))))))</f>
        <v>Vendor</v>
      </c>
      <c r="F129">
        <f t="shared" ca="1" si="7"/>
        <v>24</v>
      </c>
      <c r="G129">
        <f t="shared" ca="1" si="8"/>
        <v>5.7</v>
      </c>
      <c r="H129">
        <f t="shared" ca="1" si="9"/>
        <v>6500</v>
      </c>
      <c r="I129">
        <f t="shared" ca="1" si="10"/>
        <v>0.56868922307439385</v>
      </c>
      <c r="J129">
        <v>0</v>
      </c>
    </row>
    <row r="130" spans="1:10" x14ac:dyDescent="0.3">
      <c r="A130" t="str">
        <f t="shared" si="11"/>
        <v>HH129</v>
      </c>
      <c r="B130" t="str">
        <f ca="1">LOOKUP(RAND(),{0,0.28,0.55,0.78},{"Oloitoktok A","Oloitoktok B","Kiserian","Namanga"})</f>
        <v>Kiserian</v>
      </c>
      <c r="C130">
        <f ca="1">LOOKUP(RAND(),{0,0.02,0.09,0.2,0.35,0.52,0.68,0.81,0.91,0.97},{1,2,3,4,5,6,7,8,9,10})</f>
        <v>6</v>
      </c>
      <c r="D130">
        <f t="shared" ref="D130:D193" ca="1" si="12">MAX(5000,MIN(150000,ROUND(_xlfn.LOGNORM.INV(RAND(),LN(28000+1500*C130),0.55),-2)))</f>
        <v>30200</v>
      </c>
      <c r="E130" t="str">
        <f ca="1">IF(B130="Oloitoktok A",IF(D130&lt;15000,LOOKUP(RAND(),{0,0.45,0.75,0.92},{"River","Rainwater","Borehole","Vendor"}),IF(D130&lt;30000,LOOKUP(RAND(),{0,0.35,0.65,0.85},{"River","Rainwater","Borehole","Vendor"}),LOOKUP(RAND(),{0,0.25,0.5,0.75},{"River","Rainwater","Borehole","Vendor"}))),IF(B130="Oloitoktok B",IF(D130&lt;15000,LOOKUP(RAND(),{0,0.5,0.78,0.94},{"River","Rainwater","Borehole","Vendor"}),IF(D130&lt;30000,LOOKUP(RAND(),{0,0.4,0.68,0.87},{"River","Rainwater","Borehole","Vendor"}),LOOKUP(RAND(),{0,0.28,0.55,0.78},{"River","Rainwater","Borehole","Vendor"}))),IF(B130="Kiserian",IF(D130&lt;15000,LOOKUP(RAND(),{0,0.35,0.65,0.9},{"River","Rainwater","Borehole","Vendor"}),IF(D130&lt;30000,LOOKUP(RAND(),{0,0.25,0.55,0.82},{"River","Rainwater","Borehole","Vendor"}),LOOKUP(RAND(),{0,0.15,0.45,0.72},{"River","Rainwater","Borehole","Vendor"}))),IF(D130&lt;15000,LOOKUP(RAND(),{0,0.4,0.7,0.92},{"River","Rainwater","Borehole","Vendor"}),IF(D130&lt;30000,LOOKUP(RAND(),{0,0.3,0.6,0.85},{"River","Rainwater","Borehole","Vendor"}),LOOKUP(RAND(),{0,0.2,0.5,0.75},{"River","Rainwater","Borehole","Vendor"}))))))</f>
        <v>Rainwater</v>
      </c>
      <c r="F130">
        <f t="shared" ref="F130:F193" ca="1" si="13">IF(E130="River",RANDBETWEEN(45,120),IF(E130="Rainwater",RANDBETWEEN(15,70),IF(E130="Borehole",RANDBETWEEN(20,75),RANDBETWEEN(10,60))))</f>
        <v>30</v>
      </c>
      <c r="G130">
        <f t="shared" ref="G130:G193" ca="1" si="14">IF(B130="Oloitoktok A",ROUND(RANDBETWEEN(5,150)/10,1),IF(B130="Oloitoktok B",ROUND(RANDBETWEEN(4,140)/10,1),IF(B130="Kiserian",ROUND(RANDBETWEEN(2,100)/10,1),ROUND(RANDBETWEEN(3,120)/10,1))))</f>
        <v>2.4</v>
      </c>
      <c r="H130">
        <f t="shared" ref="H130:H193" ca="1" si="15">MAX(0,ROUND((1500+(C130*250)+(D130*0.025)+(F130*8)+(G130*120)+IF(E130="River",1200,IF(E130="Rainwater",700,IF(E130="Borehole",400,200)))+_xlfn.NORM.INV(RAND(),0,3500)),-2))</f>
        <v>2000</v>
      </c>
      <c r="I130">
        <f t="shared" ref="I130:I193" ca="1" si="16">RAND()</f>
        <v>0.11523228626057958</v>
      </c>
      <c r="J130">
        <v>0</v>
      </c>
    </row>
    <row r="131" spans="1:10" x14ac:dyDescent="0.3">
      <c r="A131" t="str">
        <f t="shared" ref="A131:A194" si="17">"HH"&amp;TEXT(ROW()-1,"000")</f>
        <v>HH130</v>
      </c>
      <c r="B131" t="str">
        <f ca="1">LOOKUP(RAND(),{0,0.28,0.55,0.78},{"Oloitoktok A","Oloitoktok B","Kiserian","Namanga"})</f>
        <v>Oloitoktok A</v>
      </c>
      <c r="C131">
        <f ca="1">LOOKUP(RAND(),{0,0.02,0.09,0.2,0.35,0.52,0.68,0.81,0.91,0.97},{1,2,3,4,5,6,7,8,9,10})</f>
        <v>6</v>
      </c>
      <c r="D131">
        <f t="shared" ca="1" si="12"/>
        <v>27200</v>
      </c>
      <c r="E131" t="str">
        <f ca="1">IF(B131="Oloitoktok A",IF(D131&lt;15000,LOOKUP(RAND(),{0,0.45,0.75,0.92},{"River","Rainwater","Borehole","Vendor"}),IF(D131&lt;30000,LOOKUP(RAND(),{0,0.35,0.65,0.85},{"River","Rainwater","Borehole","Vendor"}),LOOKUP(RAND(),{0,0.25,0.5,0.75},{"River","Rainwater","Borehole","Vendor"}))),IF(B131="Oloitoktok B",IF(D131&lt;15000,LOOKUP(RAND(),{0,0.5,0.78,0.94},{"River","Rainwater","Borehole","Vendor"}),IF(D131&lt;30000,LOOKUP(RAND(),{0,0.4,0.68,0.87},{"River","Rainwater","Borehole","Vendor"}),LOOKUP(RAND(),{0,0.28,0.55,0.78},{"River","Rainwater","Borehole","Vendor"}))),IF(B131="Kiserian",IF(D131&lt;15000,LOOKUP(RAND(),{0,0.35,0.65,0.9},{"River","Rainwater","Borehole","Vendor"}),IF(D131&lt;30000,LOOKUP(RAND(),{0,0.25,0.55,0.82},{"River","Rainwater","Borehole","Vendor"}),LOOKUP(RAND(),{0,0.15,0.45,0.72},{"River","Rainwater","Borehole","Vendor"}))),IF(D131&lt;15000,LOOKUP(RAND(),{0,0.4,0.7,0.92},{"River","Rainwater","Borehole","Vendor"}),IF(D131&lt;30000,LOOKUP(RAND(),{0,0.3,0.6,0.85},{"River","Rainwater","Borehole","Vendor"}),LOOKUP(RAND(),{0,0.2,0.5,0.75},{"River","Rainwater","Borehole","Vendor"}))))))</f>
        <v>River</v>
      </c>
      <c r="F131">
        <f t="shared" ca="1" si="13"/>
        <v>117</v>
      </c>
      <c r="G131">
        <f t="shared" ca="1" si="14"/>
        <v>0.8</v>
      </c>
      <c r="H131">
        <f t="shared" ca="1" si="15"/>
        <v>9000</v>
      </c>
      <c r="I131">
        <f t="shared" ca="1" si="16"/>
        <v>0.73753826947693024</v>
      </c>
      <c r="J131">
        <v>0</v>
      </c>
    </row>
    <row r="132" spans="1:10" x14ac:dyDescent="0.3">
      <c r="A132" t="str">
        <f t="shared" si="17"/>
        <v>HH131</v>
      </c>
      <c r="B132" t="str">
        <f ca="1">LOOKUP(RAND(),{0,0.28,0.55,0.78},{"Oloitoktok A","Oloitoktok B","Kiserian","Namanga"})</f>
        <v>Namanga</v>
      </c>
      <c r="C132">
        <f ca="1">LOOKUP(RAND(),{0,0.02,0.09,0.2,0.35,0.52,0.68,0.81,0.91,0.97},{1,2,3,4,5,6,7,8,9,10})</f>
        <v>4</v>
      </c>
      <c r="D132">
        <f t="shared" ca="1" si="12"/>
        <v>31500</v>
      </c>
      <c r="E132" t="str">
        <f ca="1">IF(B132="Oloitoktok A",IF(D132&lt;15000,LOOKUP(RAND(),{0,0.45,0.75,0.92},{"River","Rainwater","Borehole","Vendor"}),IF(D132&lt;30000,LOOKUP(RAND(),{0,0.35,0.65,0.85},{"River","Rainwater","Borehole","Vendor"}),LOOKUP(RAND(),{0,0.25,0.5,0.75},{"River","Rainwater","Borehole","Vendor"}))),IF(B132="Oloitoktok B",IF(D132&lt;15000,LOOKUP(RAND(),{0,0.5,0.78,0.94},{"River","Rainwater","Borehole","Vendor"}),IF(D132&lt;30000,LOOKUP(RAND(),{0,0.4,0.68,0.87},{"River","Rainwater","Borehole","Vendor"}),LOOKUP(RAND(),{0,0.28,0.55,0.78},{"River","Rainwater","Borehole","Vendor"}))),IF(B132="Kiserian",IF(D132&lt;15000,LOOKUP(RAND(),{0,0.35,0.65,0.9},{"River","Rainwater","Borehole","Vendor"}),IF(D132&lt;30000,LOOKUP(RAND(),{0,0.25,0.55,0.82},{"River","Rainwater","Borehole","Vendor"}),LOOKUP(RAND(),{0,0.15,0.45,0.72},{"River","Rainwater","Borehole","Vendor"}))),IF(D132&lt;15000,LOOKUP(RAND(),{0,0.4,0.7,0.92},{"River","Rainwater","Borehole","Vendor"}),IF(D132&lt;30000,LOOKUP(RAND(),{0,0.3,0.6,0.85},{"River","Rainwater","Borehole","Vendor"}),LOOKUP(RAND(),{0,0.2,0.5,0.75},{"River","Rainwater","Borehole","Vendor"}))))))</f>
        <v>River</v>
      </c>
      <c r="F132">
        <f t="shared" ca="1" si="13"/>
        <v>83</v>
      </c>
      <c r="G132">
        <f t="shared" ca="1" si="14"/>
        <v>11.5</v>
      </c>
      <c r="H132">
        <f t="shared" ca="1" si="15"/>
        <v>8800</v>
      </c>
      <c r="I132">
        <f t="shared" ca="1" si="16"/>
        <v>0.41802237665789355</v>
      </c>
      <c r="J132">
        <v>0</v>
      </c>
    </row>
    <row r="133" spans="1:10" x14ac:dyDescent="0.3">
      <c r="A133" t="str">
        <f t="shared" si="17"/>
        <v>HH132</v>
      </c>
      <c r="B133" t="str">
        <f ca="1">LOOKUP(RAND(),{0,0.28,0.55,0.78},{"Oloitoktok A","Oloitoktok B","Kiserian","Namanga"})</f>
        <v>Oloitoktok A</v>
      </c>
      <c r="C133">
        <f ca="1">LOOKUP(RAND(),{0,0.02,0.09,0.2,0.35,0.52,0.68,0.81,0.91,0.97},{1,2,3,4,5,6,7,8,9,10})</f>
        <v>2</v>
      </c>
      <c r="D133">
        <f t="shared" ca="1" si="12"/>
        <v>18500</v>
      </c>
      <c r="E133" t="str">
        <f ca="1">IF(B133="Oloitoktok A",IF(D133&lt;15000,LOOKUP(RAND(),{0,0.45,0.75,0.92},{"River","Rainwater","Borehole","Vendor"}),IF(D133&lt;30000,LOOKUP(RAND(),{0,0.35,0.65,0.85},{"River","Rainwater","Borehole","Vendor"}),LOOKUP(RAND(),{0,0.25,0.5,0.75},{"River","Rainwater","Borehole","Vendor"}))),IF(B133="Oloitoktok B",IF(D133&lt;15000,LOOKUP(RAND(),{0,0.5,0.78,0.94},{"River","Rainwater","Borehole","Vendor"}),IF(D133&lt;30000,LOOKUP(RAND(),{0,0.4,0.68,0.87},{"River","Rainwater","Borehole","Vendor"}),LOOKUP(RAND(),{0,0.28,0.55,0.78},{"River","Rainwater","Borehole","Vendor"}))),IF(B133="Kiserian",IF(D133&lt;15000,LOOKUP(RAND(),{0,0.35,0.65,0.9},{"River","Rainwater","Borehole","Vendor"}),IF(D133&lt;30000,LOOKUP(RAND(),{0,0.25,0.55,0.82},{"River","Rainwater","Borehole","Vendor"}),LOOKUP(RAND(),{0,0.15,0.45,0.72},{"River","Rainwater","Borehole","Vendor"}))),IF(D133&lt;15000,LOOKUP(RAND(),{0,0.4,0.7,0.92},{"River","Rainwater","Borehole","Vendor"}),IF(D133&lt;30000,LOOKUP(RAND(),{0,0.3,0.6,0.85},{"River","Rainwater","Borehole","Vendor"}),LOOKUP(RAND(),{0,0.2,0.5,0.75},{"River","Rainwater","Borehole","Vendor"}))))))</f>
        <v>Borehole</v>
      </c>
      <c r="F133">
        <f t="shared" ca="1" si="13"/>
        <v>42</v>
      </c>
      <c r="G133">
        <f t="shared" ca="1" si="14"/>
        <v>7.5</v>
      </c>
      <c r="H133">
        <f t="shared" ca="1" si="15"/>
        <v>100</v>
      </c>
      <c r="I133">
        <f t="shared" ca="1" si="16"/>
        <v>0.75975075963627969</v>
      </c>
      <c r="J133">
        <v>0</v>
      </c>
    </row>
    <row r="134" spans="1:10" x14ac:dyDescent="0.3">
      <c r="A134" t="str">
        <f t="shared" si="17"/>
        <v>HH133</v>
      </c>
      <c r="B134" t="str">
        <f ca="1">LOOKUP(RAND(),{0,0.28,0.55,0.78},{"Oloitoktok A","Oloitoktok B","Kiserian","Namanga"})</f>
        <v>Namanga</v>
      </c>
      <c r="C134">
        <f ca="1">LOOKUP(RAND(),{0,0.02,0.09,0.2,0.35,0.52,0.68,0.81,0.91,0.97},{1,2,3,4,5,6,7,8,9,10})</f>
        <v>3</v>
      </c>
      <c r="D134">
        <f t="shared" ca="1" si="12"/>
        <v>39100</v>
      </c>
      <c r="E134" t="str">
        <f ca="1">IF(B134="Oloitoktok A",IF(D134&lt;15000,LOOKUP(RAND(),{0,0.45,0.75,0.92},{"River","Rainwater","Borehole","Vendor"}),IF(D134&lt;30000,LOOKUP(RAND(),{0,0.35,0.65,0.85},{"River","Rainwater","Borehole","Vendor"}),LOOKUP(RAND(),{0,0.25,0.5,0.75},{"River","Rainwater","Borehole","Vendor"}))),IF(B134="Oloitoktok B",IF(D134&lt;15000,LOOKUP(RAND(),{0,0.5,0.78,0.94},{"River","Rainwater","Borehole","Vendor"}),IF(D134&lt;30000,LOOKUP(RAND(),{0,0.4,0.68,0.87},{"River","Rainwater","Borehole","Vendor"}),LOOKUP(RAND(),{0,0.28,0.55,0.78},{"River","Rainwater","Borehole","Vendor"}))),IF(B134="Kiserian",IF(D134&lt;15000,LOOKUP(RAND(),{0,0.35,0.65,0.9},{"River","Rainwater","Borehole","Vendor"}),IF(D134&lt;30000,LOOKUP(RAND(),{0,0.25,0.55,0.82},{"River","Rainwater","Borehole","Vendor"}),LOOKUP(RAND(),{0,0.15,0.45,0.72},{"River","Rainwater","Borehole","Vendor"}))),IF(D134&lt;15000,LOOKUP(RAND(),{0,0.4,0.7,0.92},{"River","Rainwater","Borehole","Vendor"}),IF(D134&lt;30000,LOOKUP(RAND(),{0,0.3,0.6,0.85},{"River","Rainwater","Borehole","Vendor"}),LOOKUP(RAND(),{0,0.2,0.5,0.75},{"River","Rainwater","Borehole","Vendor"}))))))</f>
        <v>River</v>
      </c>
      <c r="F134">
        <f t="shared" ca="1" si="13"/>
        <v>81</v>
      </c>
      <c r="G134">
        <f t="shared" ca="1" si="14"/>
        <v>10.5</v>
      </c>
      <c r="H134">
        <f t="shared" ca="1" si="15"/>
        <v>12600</v>
      </c>
      <c r="I134">
        <f t="shared" ca="1" si="16"/>
        <v>0.91298470946908306</v>
      </c>
      <c r="J134">
        <v>0</v>
      </c>
    </row>
    <row r="135" spans="1:10" x14ac:dyDescent="0.3">
      <c r="A135" t="str">
        <f t="shared" si="17"/>
        <v>HH134</v>
      </c>
      <c r="B135" t="str">
        <f ca="1">LOOKUP(RAND(),{0,0.28,0.55,0.78},{"Oloitoktok A","Oloitoktok B","Kiserian","Namanga"})</f>
        <v>Namanga</v>
      </c>
      <c r="C135">
        <f ca="1">LOOKUP(RAND(),{0,0.02,0.09,0.2,0.35,0.52,0.68,0.81,0.91,0.97},{1,2,3,4,5,6,7,8,9,10})</f>
        <v>3</v>
      </c>
      <c r="D135">
        <f t="shared" ca="1" si="12"/>
        <v>26300</v>
      </c>
      <c r="E135" t="str">
        <f ca="1">IF(B135="Oloitoktok A",IF(D135&lt;15000,LOOKUP(RAND(),{0,0.45,0.75,0.92},{"River","Rainwater","Borehole","Vendor"}),IF(D135&lt;30000,LOOKUP(RAND(),{0,0.35,0.65,0.85},{"River","Rainwater","Borehole","Vendor"}),LOOKUP(RAND(),{0,0.25,0.5,0.75},{"River","Rainwater","Borehole","Vendor"}))),IF(B135="Oloitoktok B",IF(D135&lt;15000,LOOKUP(RAND(),{0,0.5,0.78,0.94},{"River","Rainwater","Borehole","Vendor"}),IF(D135&lt;30000,LOOKUP(RAND(),{0,0.4,0.68,0.87},{"River","Rainwater","Borehole","Vendor"}),LOOKUP(RAND(),{0,0.28,0.55,0.78},{"River","Rainwater","Borehole","Vendor"}))),IF(B135="Kiserian",IF(D135&lt;15000,LOOKUP(RAND(),{0,0.35,0.65,0.9},{"River","Rainwater","Borehole","Vendor"}),IF(D135&lt;30000,LOOKUP(RAND(),{0,0.25,0.55,0.82},{"River","Rainwater","Borehole","Vendor"}),LOOKUP(RAND(),{0,0.15,0.45,0.72},{"River","Rainwater","Borehole","Vendor"}))),IF(D135&lt;15000,LOOKUP(RAND(),{0,0.4,0.7,0.92},{"River","Rainwater","Borehole","Vendor"}),IF(D135&lt;30000,LOOKUP(RAND(),{0,0.3,0.6,0.85},{"River","Rainwater","Borehole","Vendor"}),LOOKUP(RAND(),{0,0.2,0.5,0.75},{"River","Rainwater","Borehole","Vendor"}))))))</f>
        <v>River</v>
      </c>
      <c r="F135">
        <f t="shared" ca="1" si="13"/>
        <v>87</v>
      </c>
      <c r="G135">
        <f t="shared" ca="1" si="14"/>
        <v>11.8</v>
      </c>
      <c r="H135">
        <f t="shared" ca="1" si="15"/>
        <v>5500</v>
      </c>
      <c r="I135">
        <f t="shared" ca="1" si="16"/>
        <v>0.2539128675220782</v>
      </c>
      <c r="J135">
        <v>0</v>
      </c>
    </row>
    <row r="136" spans="1:10" x14ac:dyDescent="0.3">
      <c r="A136" t="str">
        <f t="shared" si="17"/>
        <v>HH135</v>
      </c>
      <c r="B136" t="str">
        <f ca="1">LOOKUP(RAND(),{0,0.28,0.55,0.78},{"Oloitoktok A","Oloitoktok B","Kiserian","Namanga"})</f>
        <v>Namanga</v>
      </c>
      <c r="C136">
        <f ca="1">LOOKUP(RAND(),{0,0.02,0.09,0.2,0.35,0.52,0.68,0.81,0.91,0.97},{1,2,3,4,5,6,7,8,9,10})</f>
        <v>5</v>
      </c>
      <c r="D136">
        <f t="shared" ca="1" si="12"/>
        <v>24400</v>
      </c>
      <c r="E136" t="str">
        <f ca="1">IF(B136="Oloitoktok A",IF(D136&lt;15000,LOOKUP(RAND(),{0,0.45,0.75,0.92},{"River","Rainwater","Borehole","Vendor"}),IF(D136&lt;30000,LOOKUP(RAND(),{0,0.35,0.65,0.85},{"River","Rainwater","Borehole","Vendor"}),LOOKUP(RAND(),{0,0.25,0.5,0.75},{"River","Rainwater","Borehole","Vendor"}))),IF(B136="Oloitoktok B",IF(D136&lt;15000,LOOKUP(RAND(),{0,0.5,0.78,0.94},{"River","Rainwater","Borehole","Vendor"}),IF(D136&lt;30000,LOOKUP(RAND(),{0,0.4,0.68,0.87},{"River","Rainwater","Borehole","Vendor"}),LOOKUP(RAND(),{0,0.28,0.55,0.78},{"River","Rainwater","Borehole","Vendor"}))),IF(B136="Kiserian",IF(D136&lt;15000,LOOKUP(RAND(),{0,0.35,0.65,0.9},{"River","Rainwater","Borehole","Vendor"}),IF(D136&lt;30000,LOOKUP(RAND(),{0,0.25,0.55,0.82},{"River","Rainwater","Borehole","Vendor"}),LOOKUP(RAND(),{0,0.15,0.45,0.72},{"River","Rainwater","Borehole","Vendor"}))),IF(D136&lt;15000,LOOKUP(RAND(),{0,0.4,0.7,0.92},{"River","Rainwater","Borehole","Vendor"}),IF(D136&lt;30000,LOOKUP(RAND(),{0,0.3,0.6,0.85},{"River","Rainwater","Borehole","Vendor"}),LOOKUP(RAND(),{0,0.2,0.5,0.75},{"River","Rainwater","Borehole","Vendor"}))))))</f>
        <v>River</v>
      </c>
      <c r="F136">
        <f t="shared" ca="1" si="13"/>
        <v>69</v>
      </c>
      <c r="G136">
        <f t="shared" ca="1" si="14"/>
        <v>8.6999999999999993</v>
      </c>
      <c r="H136">
        <f t="shared" ca="1" si="15"/>
        <v>4300</v>
      </c>
      <c r="I136">
        <f t="shared" ca="1" si="16"/>
        <v>0.50929241424519189</v>
      </c>
      <c r="J136">
        <v>0</v>
      </c>
    </row>
    <row r="137" spans="1:10" x14ac:dyDescent="0.3">
      <c r="A137" t="str">
        <f t="shared" si="17"/>
        <v>HH136</v>
      </c>
      <c r="B137" t="str">
        <f ca="1">LOOKUP(RAND(),{0,0.28,0.55,0.78},{"Oloitoktok A","Oloitoktok B","Kiserian","Namanga"})</f>
        <v>Oloitoktok A</v>
      </c>
      <c r="C137">
        <f ca="1">LOOKUP(RAND(),{0,0.02,0.09,0.2,0.35,0.52,0.68,0.81,0.91,0.97},{1,2,3,4,5,6,7,8,9,10})</f>
        <v>5</v>
      </c>
      <c r="D137">
        <f t="shared" ca="1" si="12"/>
        <v>33100</v>
      </c>
      <c r="E137" t="str">
        <f ca="1">IF(B137="Oloitoktok A",IF(D137&lt;15000,LOOKUP(RAND(),{0,0.45,0.75,0.92},{"River","Rainwater","Borehole","Vendor"}),IF(D137&lt;30000,LOOKUP(RAND(),{0,0.35,0.65,0.85},{"River","Rainwater","Borehole","Vendor"}),LOOKUP(RAND(),{0,0.25,0.5,0.75},{"River","Rainwater","Borehole","Vendor"}))),IF(B137="Oloitoktok B",IF(D137&lt;15000,LOOKUP(RAND(),{0,0.5,0.78,0.94},{"River","Rainwater","Borehole","Vendor"}),IF(D137&lt;30000,LOOKUP(RAND(),{0,0.4,0.68,0.87},{"River","Rainwater","Borehole","Vendor"}),LOOKUP(RAND(),{0,0.28,0.55,0.78},{"River","Rainwater","Borehole","Vendor"}))),IF(B137="Kiserian",IF(D137&lt;15000,LOOKUP(RAND(),{0,0.35,0.65,0.9},{"River","Rainwater","Borehole","Vendor"}),IF(D137&lt;30000,LOOKUP(RAND(),{0,0.25,0.55,0.82},{"River","Rainwater","Borehole","Vendor"}),LOOKUP(RAND(),{0,0.15,0.45,0.72},{"River","Rainwater","Borehole","Vendor"}))),IF(D137&lt;15000,LOOKUP(RAND(),{0,0.4,0.7,0.92},{"River","Rainwater","Borehole","Vendor"}),IF(D137&lt;30000,LOOKUP(RAND(),{0,0.3,0.6,0.85},{"River","Rainwater","Borehole","Vendor"}),LOOKUP(RAND(),{0,0.2,0.5,0.75},{"River","Rainwater","Borehole","Vendor"}))))))</f>
        <v>Borehole</v>
      </c>
      <c r="F137">
        <f t="shared" ca="1" si="13"/>
        <v>71</v>
      </c>
      <c r="G137">
        <f t="shared" ca="1" si="14"/>
        <v>14</v>
      </c>
      <c r="H137">
        <f t="shared" ca="1" si="15"/>
        <v>3900</v>
      </c>
      <c r="I137">
        <f t="shared" ca="1" si="16"/>
        <v>0.22067424252678625</v>
      </c>
      <c r="J137">
        <v>0</v>
      </c>
    </row>
    <row r="138" spans="1:10" x14ac:dyDescent="0.3">
      <c r="A138" t="str">
        <f t="shared" si="17"/>
        <v>HH137</v>
      </c>
      <c r="B138" t="str">
        <f ca="1">LOOKUP(RAND(),{0,0.28,0.55,0.78},{"Oloitoktok A","Oloitoktok B","Kiserian","Namanga"})</f>
        <v>Oloitoktok A</v>
      </c>
      <c r="C138">
        <f ca="1">LOOKUP(RAND(),{0,0.02,0.09,0.2,0.35,0.52,0.68,0.81,0.91,0.97},{1,2,3,4,5,6,7,8,9,10})</f>
        <v>8</v>
      </c>
      <c r="D138">
        <f t="shared" ca="1" si="12"/>
        <v>94400</v>
      </c>
      <c r="E138" t="str">
        <f ca="1">IF(B138="Oloitoktok A",IF(D138&lt;15000,LOOKUP(RAND(),{0,0.45,0.75,0.92},{"River","Rainwater","Borehole","Vendor"}),IF(D138&lt;30000,LOOKUP(RAND(),{0,0.35,0.65,0.85},{"River","Rainwater","Borehole","Vendor"}),LOOKUP(RAND(),{0,0.25,0.5,0.75},{"River","Rainwater","Borehole","Vendor"}))),IF(B138="Oloitoktok B",IF(D138&lt;15000,LOOKUP(RAND(),{0,0.5,0.78,0.94},{"River","Rainwater","Borehole","Vendor"}),IF(D138&lt;30000,LOOKUP(RAND(),{0,0.4,0.68,0.87},{"River","Rainwater","Borehole","Vendor"}),LOOKUP(RAND(),{0,0.28,0.55,0.78},{"River","Rainwater","Borehole","Vendor"}))),IF(B138="Kiserian",IF(D138&lt;15000,LOOKUP(RAND(),{0,0.35,0.65,0.9},{"River","Rainwater","Borehole","Vendor"}),IF(D138&lt;30000,LOOKUP(RAND(),{0,0.25,0.55,0.82},{"River","Rainwater","Borehole","Vendor"}),LOOKUP(RAND(),{0,0.15,0.45,0.72},{"River","Rainwater","Borehole","Vendor"}))),IF(D138&lt;15000,LOOKUP(RAND(),{0,0.4,0.7,0.92},{"River","Rainwater","Borehole","Vendor"}),IF(D138&lt;30000,LOOKUP(RAND(),{0,0.3,0.6,0.85},{"River","Rainwater","Borehole","Vendor"}),LOOKUP(RAND(),{0,0.2,0.5,0.75},{"River","Rainwater","Borehole","Vendor"}))))))</f>
        <v>Rainwater</v>
      </c>
      <c r="F138">
        <f t="shared" ca="1" si="13"/>
        <v>51</v>
      </c>
      <c r="G138">
        <f t="shared" ca="1" si="14"/>
        <v>13.3</v>
      </c>
      <c r="H138">
        <f t="shared" ca="1" si="15"/>
        <v>9500</v>
      </c>
      <c r="I138">
        <f t="shared" ca="1" si="16"/>
        <v>0.77110602092721525</v>
      </c>
      <c r="J138">
        <v>0</v>
      </c>
    </row>
    <row r="139" spans="1:10" x14ac:dyDescent="0.3">
      <c r="A139" t="str">
        <f t="shared" si="17"/>
        <v>HH138</v>
      </c>
      <c r="B139" t="str">
        <f ca="1">LOOKUP(RAND(),{0,0.28,0.55,0.78},{"Oloitoktok A","Oloitoktok B","Kiserian","Namanga"})</f>
        <v>Oloitoktok B</v>
      </c>
      <c r="C139">
        <f ca="1">LOOKUP(RAND(),{0,0.02,0.09,0.2,0.35,0.52,0.68,0.81,0.91,0.97},{1,2,3,4,5,6,7,8,9,10})</f>
        <v>6</v>
      </c>
      <c r="D139">
        <f t="shared" ca="1" si="12"/>
        <v>22400</v>
      </c>
      <c r="E139" t="str">
        <f ca="1">IF(B139="Oloitoktok A",IF(D139&lt;15000,LOOKUP(RAND(),{0,0.45,0.75,0.92},{"River","Rainwater","Borehole","Vendor"}),IF(D139&lt;30000,LOOKUP(RAND(),{0,0.35,0.65,0.85},{"River","Rainwater","Borehole","Vendor"}),LOOKUP(RAND(),{0,0.25,0.5,0.75},{"River","Rainwater","Borehole","Vendor"}))),IF(B139="Oloitoktok B",IF(D139&lt;15000,LOOKUP(RAND(),{0,0.5,0.78,0.94},{"River","Rainwater","Borehole","Vendor"}),IF(D139&lt;30000,LOOKUP(RAND(),{0,0.4,0.68,0.87},{"River","Rainwater","Borehole","Vendor"}),LOOKUP(RAND(),{0,0.28,0.55,0.78},{"River","Rainwater","Borehole","Vendor"}))),IF(B139="Kiserian",IF(D139&lt;15000,LOOKUP(RAND(),{0,0.35,0.65,0.9},{"River","Rainwater","Borehole","Vendor"}),IF(D139&lt;30000,LOOKUP(RAND(),{0,0.25,0.55,0.82},{"River","Rainwater","Borehole","Vendor"}),LOOKUP(RAND(),{0,0.15,0.45,0.72},{"River","Rainwater","Borehole","Vendor"}))),IF(D139&lt;15000,LOOKUP(RAND(),{0,0.4,0.7,0.92},{"River","Rainwater","Borehole","Vendor"}),IF(D139&lt;30000,LOOKUP(RAND(),{0,0.3,0.6,0.85},{"River","Rainwater","Borehole","Vendor"}),LOOKUP(RAND(),{0,0.2,0.5,0.75},{"River","Rainwater","Borehole","Vendor"}))))))</f>
        <v>River</v>
      </c>
      <c r="F139">
        <f t="shared" ca="1" si="13"/>
        <v>99</v>
      </c>
      <c r="G139">
        <f t="shared" ca="1" si="14"/>
        <v>8.5</v>
      </c>
      <c r="H139">
        <f t="shared" ca="1" si="15"/>
        <v>11100</v>
      </c>
      <c r="I139">
        <f t="shared" ca="1" si="16"/>
        <v>0.14741720563724614</v>
      </c>
      <c r="J139">
        <v>0</v>
      </c>
    </row>
    <row r="140" spans="1:10" x14ac:dyDescent="0.3">
      <c r="A140" t="str">
        <f t="shared" si="17"/>
        <v>HH139</v>
      </c>
      <c r="B140" t="str">
        <f ca="1">LOOKUP(RAND(),{0,0.28,0.55,0.78},{"Oloitoktok A","Oloitoktok B","Kiserian","Namanga"})</f>
        <v>Oloitoktok B</v>
      </c>
      <c r="C140">
        <f ca="1">LOOKUP(RAND(),{0,0.02,0.09,0.2,0.35,0.52,0.68,0.81,0.91,0.97},{1,2,3,4,5,6,7,8,9,10})</f>
        <v>1</v>
      </c>
      <c r="D140">
        <f t="shared" ca="1" si="12"/>
        <v>47400</v>
      </c>
      <c r="E140" t="str">
        <f ca="1">IF(B140="Oloitoktok A",IF(D140&lt;15000,LOOKUP(RAND(),{0,0.45,0.75,0.92},{"River","Rainwater","Borehole","Vendor"}),IF(D140&lt;30000,LOOKUP(RAND(),{0,0.35,0.65,0.85},{"River","Rainwater","Borehole","Vendor"}),LOOKUP(RAND(),{0,0.25,0.5,0.75},{"River","Rainwater","Borehole","Vendor"}))),IF(B140="Oloitoktok B",IF(D140&lt;15000,LOOKUP(RAND(),{0,0.5,0.78,0.94},{"River","Rainwater","Borehole","Vendor"}),IF(D140&lt;30000,LOOKUP(RAND(),{0,0.4,0.68,0.87},{"River","Rainwater","Borehole","Vendor"}),LOOKUP(RAND(),{0,0.28,0.55,0.78},{"River","Rainwater","Borehole","Vendor"}))),IF(B140="Kiserian",IF(D140&lt;15000,LOOKUP(RAND(),{0,0.35,0.65,0.9},{"River","Rainwater","Borehole","Vendor"}),IF(D140&lt;30000,LOOKUP(RAND(),{0,0.25,0.55,0.82},{"River","Rainwater","Borehole","Vendor"}),LOOKUP(RAND(),{0,0.15,0.45,0.72},{"River","Rainwater","Borehole","Vendor"}))),IF(D140&lt;15000,LOOKUP(RAND(),{0,0.4,0.7,0.92},{"River","Rainwater","Borehole","Vendor"}),IF(D140&lt;30000,LOOKUP(RAND(),{0,0.3,0.6,0.85},{"River","Rainwater","Borehole","Vendor"}),LOOKUP(RAND(),{0,0.2,0.5,0.75},{"River","Rainwater","Borehole","Vendor"}))))))</f>
        <v>Vendor</v>
      </c>
      <c r="F140">
        <f t="shared" ca="1" si="13"/>
        <v>27</v>
      </c>
      <c r="G140">
        <f t="shared" ca="1" si="14"/>
        <v>6.9</v>
      </c>
      <c r="H140">
        <f t="shared" ca="1" si="15"/>
        <v>3600</v>
      </c>
      <c r="I140">
        <f t="shared" ca="1" si="16"/>
        <v>0.25857616283684315</v>
      </c>
      <c r="J140">
        <v>0</v>
      </c>
    </row>
    <row r="141" spans="1:10" x14ac:dyDescent="0.3">
      <c r="A141" t="str">
        <f t="shared" si="17"/>
        <v>HH140</v>
      </c>
      <c r="B141" t="str">
        <f ca="1">LOOKUP(RAND(),{0,0.28,0.55,0.78},{"Oloitoktok A","Oloitoktok B","Kiserian","Namanga"})</f>
        <v>Oloitoktok A</v>
      </c>
      <c r="C141">
        <f ca="1">LOOKUP(RAND(),{0,0.02,0.09,0.2,0.35,0.52,0.68,0.81,0.91,0.97},{1,2,3,4,5,6,7,8,9,10})</f>
        <v>5</v>
      </c>
      <c r="D141">
        <f t="shared" ca="1" si="12"/>
        <v>50000</v>
      </c>
      <c r="E141" t="str">
        <f ca="1">IF(B141="Oloitoktok A",IF(D141&lt;15000,LOOKUP(RAND(),{0,0.45,0.75,0.92},{"River","Rainwater","Borehole","Vendor"}),IF(D141&lt;30000,LOOKUP(RAND(),{0,0.35,0.65,0.85},{"River","Rainwater","Borehole","Vendor"}),LOOKUP(RAND(),{0,0.25,0.5,0.75},{"River","Rainwater","Borehole","Vendor"}))),IF(B141="Oloitoktok B",IF(D141&lt;15000,LOOKUP(RAND(),{0,0.5,0.78,0.94},{"River","Rainwater","Borehole","Vendor"}),IF(D141&lt;30000,LOOKUP(RAND(),{0,0.4,0.68,0.87},{"River","Rainwater","Borehole","Vendor"}),LOOKUP(RAND(),{0,0.28,0.55,0.78},{"River","Rainwater","Borehole","Vendor"}))),IF(B141="Kiserian",IF(D141&lt;15000,LOOKUP(RAND(),{0,0.35,0.65,0.9},{"River","Rainwater","Borehole","Vendor"}),IF(D141&lt;30000,LOOKUP(RAND(),{0,0.25,0.55,0.82},{"River","Rainwater","Borehole","Vendor"}),LOOKUP(RAND(),{0,0.15,0.45,0.72},{"River","Rainwater","Borehole","Vendor"}))),IF(D141&lt;15000,LOOKUP(RAND(),{0,0.4,0.7,0.92},{"River","Rainwater","Borehole","Vendor"}),IF(D141&lt;30000,LOOKUP(RAND(),{0,0.3,0.6,0.85},{"River","Rainwater","Borehole","Vendor"}),LOOKUP(RAND(),{0,0.2,0.5,0.75},{"River","Rainwater","Borehole","Vendor"}))))))</f>
        <v>Rainwater</v>
      </c>
      <c r="F141">
        <f t="shared" ca="1" si="13"/>
        <v>27</v>
      </c>
      <c r="G141">
        <f t="shared" ca="1" si="14"/>
        <v>7.7</v>
      </c>
      <c r="H141">
        <f t="shared" ca="1" si="15"/>
        <v>2500</v>
      </c>
      <c r="I141">
        <f t="shared" ca="1" si="16"/>
        <v>9.0567995881620456E-2</v>
      </c>
      <c r="J141">
        <v>0</v>
      </c>
    </row>
    <row r="142" spans="1:10" x14ac:dyDescent="0.3">
      <c r="A142" t="str">
        <f t="shared" si="17"/>
        <v>HH141</v>
      </c>
      <c r="B142" t="str">
        <f ca="1">LOOKUP(RAND(),{0,0.28,0.55,0.78},{"Oloitoktok A","Oloitoktok B","Kiserian","Namanga"})</f>
        <v>Oloitoktok B</v>
      </c>
      <c r="C142">
        <f ca="1">LOOKUP(RAND(),{0,0.02,0.09,0.2,0.35,0.52,0.68,0.81,0.91,0.97},{1,2,3,4,5,6,7,8,9,10})</f>
        <v>6</v>
      </c>
      <c r="D142">
        <f t="shared" ca="1" si="12"/>
        <v>27900</v>
      </c>
      <c r="E142" t="str">
        <f ca="1">IF(B142="Oloitoktok A",IF(D142&lt;15000,LOOKUP(RAND(),{0,0.45,0.75,0.92},{"River","Rainwater","Borehole","Vendor"}),IF(D142&lt;30000,LOOKUP(RAND(),{0,0.35,0.65,0.85},{"River","Rainwater","Borehole","Vendor"}),LOOKUP(RAND(),{0,0.25,0.5,0.75},{"River","Rainwater","Borehole","Vendor"}))),IF(B142="Oloitoktok B",IF(D142&lt;15000,LOOKUP(RAND(),{0,0.5,0.78,0.94},{"River","Rainwater","Borehole","Vendor"}),IF(D142&lt;30000,LOOKUP(RAND(),{0,0.4,0.68,0.87},{"River","Rainwater","Borehole","Vendor"}),LOOKUP(RAND(),{0,0.28,0.55,0.78},{"River","Rainwater","Borehole","Vendor"}))),IF(B142="Kiserian",IF(D142&lt;15000,LOOKUP(RAND(),{0,0.35,0.65,0.9},{"River","Rainwater","Borehole","Vendor"}),IF(D142&lt;30000,LOOKUP(RAND(),{0,0.25,0.55,0.82},{"River","Rainwater","Borehole","Vendor"}),LOOKUP(RAND(),{0,0.15,0.45,0.72},{"River","Rainwater","Borehole","Vendor"}))),IF(D142&lt;15000,LOOKUP(RAND(),{0,0.4,0.7,0.92},{"River","Rainwater","Borehole","Vendor"}),IF(D142&lt;30000,LOOKUP(RAND(),{0,0.3,0.6,0.85},{"River","Rainwater","Borehole","Vendor"}),LOOKUP(RAND(),{0,0.2,0.5,0.75},{"River","Rainwater","Borehole","Vendor"}))))))</f>
        <v>Rainwater</v>
      </c>
      <c r="F142">
        <f t="shared" ca="1" si="13"/>
        <v>23</v>
      </c>
      <c r="G142">
        <f t="shared" ca="1" si="14"/>
        <v>7.5</v>
      </c>
      <c r="H142">
        <f t="shared" ca="1" si="15"/>
        <v>4800</v>
      </c>
      <c r="I142">
        <f t="shared" ca="1" si="16"/>
        <v>0.99416131434452448</v>
      </c>
      <c r="J142">
        <v>0</v>
      </c>
    </row>
    <row r="143" spans="1:10" x14ac:dyDescent="0.3">
      <c r="A143" t="str">
        <f t="shared" si="17"/>
        <v>HH142</v>
      </c>
      <c r="B143" t="str">
        <f ca="1">LOOKUP(RAND(),{0,0.28,0.55,0.78},{"Oloitoktok A","Oloitoktok B","Kiserian","Namanga"})</f>
        <v>Oloitoktok A</v>
      </c>
      <c r="C143">
        <f ca="1">LOOKUP(RAND(),{0,0.02,0.09,0.2,0.35,0.52,0.68,0.81,0.91,0.97},{1,2,3,4,5,6,7,8,9,10})</f>
        <v>4</v>
      </c>
      <c r="D143">
        <f t="shared" ca="1" si="12"/>
        <v>57900</v>
      </c>
      <c r="E143" t="str">
        <f ca="1">IF(B143="Oloitoktok A",IF(D143&lt;15000,LOOKUP(RAND(),{0,0.45,0.75,0.92},{"River","Rainwater","Borehole","Vendor"}),IF(D143&lt;30000,LOOKUP(RAND(),{0,0.35,0.65,0.85},{"River","Rainwater","Borehole","Vendor"}),LOOKUP(RAND(),{0,0.25,0.5,0.75},{"River","Rainwater","Borehole","Vendor"}))),IF(B143="Oloitoktok B",IF(D143&lt;15000,LOOKUP(RAND(),{0,0.5,0.78,0.94},{"River","Rainwater","Borehole","Vendor"}),IF(D143&lt;30000,LOOKUP(RAND(),{0,0.4,0.68,0.87},{"River","Rainwater","Borehole","Vendor"}),LOOKUP(RAND(),{0,0.28,0.55,0.78},{"River","Rainwater","Borehole","Vendor"}))),IF(B143="Kiserian",IF(D143&lt;15000,LOOKUP(RAND(),{0,0.35,0.65,0.9},{"River","Rainwater","Borehole","Vendor"}),IF(D143&lt;30000,LOOKUP(RAND(),{0,0.25,0.55,0.82},{"River","Rainwater","Borehole","Vendor"}),LOOKUP(RAND(),{0,0.15,0.45,0.72},{"River","Rainwater","Borehole","Vendor"}))),IF(D143&lt;15000,LOOKUP(RAND(),{0,0.4,0.7,0.92},{"River","Rainwater","Borehole","Vendor"}),IF(D143&lt;30000,LOOKUP(RAND(),{0,0.3,0.6,0.85},{"River","Rainwater","Borehole","Vendor"}),LOOKUP(RAND(),{0,0.2,0.5,0.75},{"River","Rainwater","Borehole","Vendor"}))))))</f>
        <v>Vendor</v>
      </c>
      <c r="F143">
        <f t="shared" ca="1" si="13"/>
        <v>18</v>
      </c>
      <c r="G143">
        <f t="shared" ca="1" si="14"/>
        <v>6.1</v>
      </c>
      <c r="H143">
        <f t="shared" ca="1" si="15"/>
        <v>8800</v>
      </c>
      <c r="I143">
        <f t="shared" ca="1" si="16"/>
        <v>4.7207773347625381E-2</v>
      </c>
      <c r="J143">
        <v>0</v>
      </c>
    </row>
    <row r="144" spans="1:10" x14ac:dyDescent="0.3">
      <c r="A144" t="str">
        <f t="shared" si="17"/>
        <v>HH143</v>
      </c>
      <c r="B144" t="str">
        <f ca="1">LOOKUP(RAND(),{0,0.28,0.55,0.78},{"Oloitoktok A","Oloitoktok B","Kiserian","Namanga"})</f>
        <v>Oloitoktok A</v>
      </c>
      <c r="C144">
        <f ca="1">LOOKUP(RAND(),{0,0.02,0.09,0.2,0.35,0.52,0.68,0.81,0.91,0.97},{1,2,3,4,5,6,7,8,9,10})</f>
        <v>6</v>
      </c>
      <c r="D144">
        <f t="shared" ca="1" si="12"/>
        <v>33700</v>
      </c>
      <c r="E144" t="str">
        <f ca="1">IF(B144="Oloitoktok A",IF(D144&lt;15000,LOOKUP(RAND(),{0,0.45,0.75,0.92},{"River","Rainwater","Borehole","Vendor"}),IF(D144&lt;30000,LOOKUP(RAND(),{0,0.35,0.65,0.85},{"River","Rainwater","Borehole","Vendor"}),LOOKUP(RAND(),{0,0.25,0.5,0.75},{"River","Rainwater","Borehole","Vendor"}))),IF(B144="Oloitoktok B",IF(D144&lt;15000,LOOKUP(RAND(),{0,0.5,0.78,0.94},{"River","Rainwater","Borehole","Vendor"}),IF(D144&lt;30000,LOOKUP(RAND(),{0,0.4,0.68,0.87},{"River","Rainwater","Borehole","Vendor"}),LOOKUP(RAND(),{0,0.28,0.55,0.78},{"River","Rainwater","Borehole","Vendor"}))),IF(B144="Kiserian",IF(D144&lt;15000,LOOKUP(RAND(),{0,0.35,0.65,0.9},{"River","Rainwater","Borehole","Vendor"}),IF(D144&lt;30000,LOOKUP(RAND(),{0,0.25,0.55,0.82},{"River","Rainwater","Borehole","Vendor"}),LOOKUP(RAND(),{0,0.15,0.45,0.72},{"River","Rainwater","Borehole","Vendor"}))),IF(D144&lt;15000,LOOKUP(RAND(),{0,0.4,0.7,0.92},{"River","Rainwater","Borehole","Vendor"}),IF(D144&lt;30000,LOOKUP(RAND(),{0,0.3,0.6,0.85},{"River","Rainwater","Borehole","Vendor"}),LOOKUP(RAND(),{0,0.2,0.5,0.75},{"River","Rainwater","Borehole","Vendor"}))))))</f>
        <v>Borehole</v>
      </c>
      <c r="F144">
        <f t="shared" ca="1" si="13"/>
        <v>36</v>
      </c>
      <c r="G144">
        <f t="shared" ca="1" si="14"/>
        <v>10.1</v>
      </c>
      <c r="H144">
        <f t="shared" ca="1" si="15"/>
        <v>9000</v>
      </c>
      <c r="I144">
        <f t="shared" ca="1" si="16"/>
        <v>0.18763416861334148</v>
      </c>
      <c r="J144">
        <v>0</v>
      </c>
    </row>
    <row r="145" spans="1:10" x14ac:dyDescent="0.3">
      <c r="A145" t="str">
        <f t="shared" si="17"/>
        <v>HH144</v>
      </c>
      <c r="B145" t="str">
        <f ca="1">LOOKUP(RAND(),{0,0.28,0.55,0.78},{"Oloitoktok A","Oloitoktok B","Kiserian","Namanga"})</f>
        <v>Kiserian</v>
      </c>
      <c r="C145">
        <f ca="1">LOOKUP(RAND(),{0,0.02,0.09,0.2,0.35,0.52,0.68,0.81,0.91,0.97},{1,2,3,4,5,6,7,8,9,10})</f>
        <v>10</v>
      </c>
      <c r="D145">
        <f t="shared" ca="1" si="12"/>
        <v>15300</v>
      </c>
      <c r="E145" t="str">
        <f ca="1">IF(B145="Oloitoktok A",IF(D145&lt;15000,LOOKUP(RAND(),{0,0.45,0.75,0.92},{"River","Rainwater","Borehole","Vendor"}),IF(D145&lt;30000,LOOKUP(RAND(),{0,0.35,0.65,0.85},{"River","Rainwater","Borehole","Vendor"}),LOOKUP(RAND(),{0,0.25,0.5,0.75},{"River","Rainwater","Borehole","Vendor"}))),IF(B145="Oloitoktok B",IF(D145&lt;15000,LOOKUP(RAND(),{0,0.5,0.78,0.94},{"River","Rainwater","Borehole","Vendor"}),IF(D145&lt;30000,LOOKUP(RAND(),{0,0.4,0.68,0.87},{"River","Rainwater","Borehole","Vendor"}),LOOKUP(RAND(),{0,0.28,0.55,0.78},{"River","Rainwater","Borehole","Vendor"}))),IF(B145="Kiserian",IF(D145&lt;15000,LOOKUP(RAND(),{0,0.35,0.65,0.9},{"River","Rainwater","Borehole","Vendor"}),IF(D145&lt;30000,LOOKUP(RAND(),{0,0.25,0.55,0.82},{"River","Rainwater","Borehole","Vendor"}),LOOKUP(RAND(),{0,0.15,0.45,0.72},{"River","Rainwater","Borehole","Vendor"}))),IF(D145&lt;15000,LOOKUP(RAND(),{0,0.4,0.7,0.92},{"River","Rainwater","Borehole","Vendor"}),IF(D145&lt;30000,LOOKUP(RAND(),{0,0.3,0.6,0.85},{"River","Rainwater","Borehole","Vendor"}),LOOKUP(RAND(),{0,0.2,0.5,0.75},{"River","Rainwater","Borehole","Vendor"}))))))</f>
        <v>River</v>
      </c>
      <c r="F145">
        <f t="shared" ca="1" si="13"/>
        <v>120</v>
      </c>
      <c r="G145">
        <f t="shared" ca="1" si="14"/>
        <v>3.2</v>
      </c>
      <c r="H145">
        <f t="shared" ca="1" si="15"/>
        <v>13500</v>
      </c>
      <c r="I145">
        <f t="shared" ca="1" si="16"/>
        <v>0.67737699161350495</v>
      </c>
      <c r="J145">
        <v>0</v>
      </c>
    </row>
    <row r="146" spans="1:10" x14ac:dyDescent="0.3">
      <c r="A146" t="str">
        <f t="shared" si="17"/>
        <v>HH145</v>
      </c>
      <c r="B146" t="str">
        <f ca="1">LOOKUP(RAND(),{0,0.28,0.55,0.78},{"Oloitoktok A","Oloitoktok B","Kiserian","Namanga"})</f>
        <v>Oloitoktok A</v>
      </c>
      <c r="C146">
        <f ca="1">LOOKUP(RAND(),{0,0.02,0.09,0.2,0.35,0.52,0.68,0.81,0.91,0.97},{1,2,3,4,5,6,7,8,9,10})</f>
        <v>7</v>
      </c>
      <c r="D146">
        <f t="shared" ca="1" si="12"/>
        <v>79800</v>
      </c>
      <c r="E146" t="str">
        <f ca="1">IF(B146="Oloitoktok A",IF(D146&lt;15000,LOOKUP(RAND(),{0,0.45,0.75,0.92},{"River","Rainwater","Borehole","Vendor"}),IF(D146&lt;30000,LOOKUP(RAND(),{0,0.35,0.65,0.85},{"River","Rainwater","Borehole","Vendor"}),LOOKUP(RAND(),{0,0.25,0.5,0.75},{"River","Rainwater","Borehole","Vendor"}))),IF(B146="Oloitoktok B",IF(D146&lt;15000,LOOKUP(RAND(),{0,0.5,0.78,0.94},{"River","Rainwater","Borehole","Vendor"}),IF(D146&lt;30000,LOOKUP(RAND(),{0,0.4,0.68,0.87},{"River","Rainwater","Borehole","Vendor"}),LOOKUP(RAND(),{0,0.28,0.55,0.78},{"River","Rainwater","Borehole","Vendor"}))),IF(B146="Kiserian",IF(D146&lt;15000,LOOKUP(RAND(),{0,0.35,0.65,0.9},{"River","Rainwater","Borehole","Vendor"}),IF(D146&lt;30000,LOOKUP(RAND(),{0,0.25,0.55,0.82},{"River","Rainwater","Borehole","Vendor"}),LOOKUP(RAND(),{0,0.15,0.45,0.72},{"River","Rainwater","Borehole","Vendor"}))),IF(D146&lt;15000,LOOKUP(RAND(),{0,0.4,0.7,0.92},{"River","Rainwater","Borehole","Vendor"}),IF(D146&lt;30000,LOOKUP(RAND(),{0,0.3,0.6,0.85},{"River","Rainwater","Borehole","Vendor"}),LOOKUP(RAND(),{0,0.2,0.5,0.75},{"River","Rainwater","Borehole","Vendor"}))))))</f>
        <v>Borehole</v>
      </c>
      <c r="F146">
        <f t="shared" ca="1" si="13"/>
        <v>67</v>
      </c>
      <c r="G146">
        <f t="shared" ca="1" si="14"/>
        <v>6</v>
      </c>
      <c r="H146">
        <f t="shared" ca="1" si="15"/>
        <v>900</v>
      </c>
      <c r="I146">
        <f t="shared" ca="1" si="16"/>
        <v>0.18650716487094809</v>
      </c>
      <c r="J146">
        <v>0</v>
      </c>
    </row>
    <row r="147" spans="1:10" x14ac:dyDescent="0.3">
      <c r="A147" t="str">
        <f t="shared" si="17"/>
        <v>HH146</v>
      </c>
      <c r="B147" t="str">
        <f ca="1">LOOKUP(RAND(),{0,0.28,0.55,0.78},{"Oloitoktok A","Oloitoktok B","Kiserian","Namanga"})</f>
        <v>Oloitoktok A</v>
      </c>
      <c r="C147">
        <f ca="1">LOOKUP(RAND(),{0,0.02,0.09,0.2,0.35,0.52,0.68,0.81,0.91,0.97},{1,2,3,4,5,6,7,8,9,10})</f>
        <v>6</v>
      </c>
      <c r="D147">
        <f t="shared" ca="1" si="12"/>
        <v>43400</v>
      </c>
      <c r="E147" t="str">
        <f ca="1">IF(B147="Oloitoktok A",IF(D147&lt;15000,LOOKUP(RAND(),{0,0.45,0.75,0.92},{"River","Rainwater","Borehole","Vendor"}),IF(D147&lt;30000,LOOKUP(RAND(),{0,0.35,0.65,0.85},{"River","Rainwater","Borehole","Vendor"}),LOOKUP(RAND(),{0,0.25,0.5,0.75},{"River","Rainwater","Borehole","Vendor"}))),IF(B147="Oloitoktok B",IF(D147&lt;15000,LOOKUP(RAND(),{0,0.5,0.78,0.94},{"River","Rainwater","Borehole","Vendor"}),IF(D147&lt;30000,LOOKUP(RAND(),{0,0.4,0.68,0.87},{"River","Rainwater","Borehole","Vendor"}),LOOKUP(RAND(),{0,0.28,0.55,0.78},{"River","Rainwater","Borehole","Vendor"}))),IF(B147="Kiserian",IF(D147&lt;15000,LOOKUP(RAND(),{0,0.35,0.65,0.9},{"River","Rainwater","Borehole","Vendor"}),IF(D147&lt;30000,LOOKUP(RAND(),{0,0.25,0.55,0.82},{"River","Rainwater","Borehole","Vendor"}),LOOKUP(RAND(),{0,0.15,0.45,0.72},{"River","Rainwater","Borehole","Vendor"}))),IF(D147&lt;15000,LOOKUP(RAND(),{0,0.4,0.7,0.92},{"River","Rainwater","Borehole","Vendor"}),IF(D147&lt;30000,LOOKUP(RAND(),{0,0.3,0.6,0.85},{"River","Rainwater","Borehole","Vendor"}),LOOKUP(RAND(),{0,0.2,0.5,0.75},{"River","Rainwater","Borehole","Vendor"}))))))</f>
        <v>Rainwater</v>
      </c>
      <c r="F147">
        <f t="shared" ca="1" si="13"/>
        <v>37</v>
      </c>
      <c r="G147">
        <f t="shared" ca="1" si="14"/>
        <v>6.8</v>
      </c>
      <c r="H147">
        <f t="shared" ca="1" si="15"/>
        <v>3500</v>
      </c>
      <c r="I147">
        <f t="shared" ca="1" si="16"/>
        <v>0.25696503868171805</v>
      </c>
      <c r="J147">
        <v>0</v>
      </c>
    </row>
    <row r="148" spans="1:10" x14ac:dyDescent="0.3">
      <c r="A148" t="str">
        <f t="shared" si="17"/>
        <v>HH147</v>
      </c>
      <c r="B148" t="str">
        <f ca="1">LOOKUP(RAND(),{0,0.28,0.55,0.78},{"Oloitoktok A","Oloitoktok B","Kiserian","Namanga"})</f>
        <v>Namanga</v>
      </c>
      <c r="C148">
        <f ca="1">LOOKUP(RAND(),{0,0.02,0.09,0.2,0.35,0.52,0.68,0.81,0.91,0.97},{1,2,3,4,5,6,7,8,9,10})</f>
        <v>2</v>
      </c>
      <c r="D148">
        <f t="shared" ca="1" si="12"/>
        <v>24300</v>
      </c>
      <c r="E148" t="str">
        <f ca="1">IF(B148="Oloitoktok A",IF(D148&lt;15000,LOOKUP(RAND(),{0,0.45,0.75,0.92},{"River","Rainwater","Borehole","Vendor"}),IF(D148&lt;30000,LOOKUP(RAND(),{0,0.35,0.65,0.85},{"River","Rainwater","Borehole","Vendor"}),LOOKUP(RAND(),{0,0.25,0.5,0.75},{"River","Rainwater","Borehole","Vendor"}))),IF(B148="Oloitoktok B",IF(D148&lt;15000,LOOKUP(RAND(),{0,0.5,0.78,0.94},{"River","Rainwater","Borehole","Vendor"}),IF(D148&lt;30000,LOOKUP(RAND(),{0,0.4,0.68,0.87},{"River","Rainwater","Borehole","Vendor"}),LOOKUP(RAND(),{0,0.28,0.55,0.78},{"River","Rainwater","Borehole","Vendor"}))),IF(B148="Kiserian",IF(D148&lt;15000,LOOKUP(RAND(),{0,0.35,0.65,0.9},{"River","Rainwater","Borehole","Vendor"}),IF(D148&lt;30000,LOOKUP(RAND(),{0,0.25,0.55,0.82},{"River","Rainwater","Borehole","Vendor"}),LOOKUP(RAND(),{0,0.15,0.45,0.72},{"River","Rainwater","Borehole","Vendor"}))),IF(D148&lt;15000,LOOKUP(RAND(),{0,0.4,0.7,0.92},{"River","Rainwater","Borehole","Vendor"}),IF(D148&lt;30000,LOOKUP(RAND(),{0,0.3,0.6,0.85},{"River","Rainwater","Borehole","Vendor"}),LOOKUP(RAND(),{0,0.2,0.5,0.75},{"River","Rainwater","Borehole","Vendor"}))))))</f>
        <v>River</v>
      </c>
      <c r="F148">
        <f t="shared" ca="1" si="13"/>
        <v>79</v>
      </c>
      <c r="G148">
        <f t="shared" ca="1" si="14"/>
        <v>1.2</v>
      </c>
      <c r="H148">
        <f t="shared" ca="1" si="15"/>
        <v>9600</v>
      </c>
      <c r="I148">
        <f t="shared" ca="1" si="16"/>
        <v>0.82831940084639788</v>
      </c>
      <c r="J148">
        <v>0</v>
      </c>
    </row>
    <row r="149" spans="1:10" x14ac:dyDescent="0.3">
      <c r="A149" t="str">
        <f t="shared" si="17"/>
        <v>HH148</v>
      </c>
      <c r="B149" t="str">
        <f ca="1">LOOKUP(RAND(),{0,0.28,0.55,0.78},{"Oloitoktok A","Oloitoktok B","Kiserian","Namanga"})</f>
        <v>Kiserian</v>
      </c>
      <c r="C149">
        <f ca="1">LOOKUP(RAND(),{0,0.02,0.09,0.2,0.35,0.52,0.68,0.81,0.91,0.97},{1,2,3,4,5,6,7,8,9,10})</f>
        <v>7</v>
      </c>
      <c r="D149">
        <f t="shared" ca="1" si="12"/>
        <v>92200</v>
      </c>
      <c r="E149" t="str">
        <f ca="1">IF(B149="Oloitoktok A",IF(D149&lt;15000,LOOKUP(RAND(),{0,0.45,0.75,0.92},{"River","Rainwater","Borehole","Vendor"}),IF(D149&lt;30000,LOOKUP(RAND(),{0,0.35,0.65,0.85},{"River","Rainwater","Borehole","Vendor"}),LOOKUP(RAND(),{0,0.25,0.5,0.75},{"River","Rainwater","Borehole","Vendor"}))),IF(B149="Oloitoktok B",IF(D149&lt;15000,LOOKUP(RAND(),{0,0.5,0.78,0.94},{"River","Rainwater","Borehole","Vendor"}),IF(D149&lt;30000,LOOKUP(RAND(),{0,0.4,0.68,0.87},{"River","Rainwater","Borehole","Vendor"}),LOOKUP(RAND(),{0,0.28,0.55,0.78},{"River","Rainwater","Borehole","Vendor"}))),IF(B149="Kiserian",IF(D149&lt;15000,LOOKUP(RAND(),{0,0.35,0.65,0.9},{"River","Rainwater","Borehole","Vendor"}),IF(D149&lt;30000,LOOKUP(RAND(),{0,0.25,0.55,0.82},{"River","Rainwater","Borehole","Vendor"}),LOOKUP(RAND(),{0,0.15,0.45,0.72},{"River","Rainwater","Borehole","Vendor"}))),IF(D149&lt;15000,LOOKUP(RAND(),{0,0.4,0.7,0.92},{"River","Rainwater","Borehole","Vendor"}),IF(D149&lt;30000,LOOKUP(RAND(),{0,0.3,0.6,0.85},{"River","Rainwater","Borehole","Vendor"}),LOOKUP(RAND(),{0,0.2,0.5,0.75},{"River","Rainwater","Borehole","Vendor"}))))))</f>
        <v>Rainwater</v>
      </c>
      <c r="F149">
        <f t="shared" ca="1" si="13"/>
        <v>24</v>
      </c>
      <c r="G149">
        <f t="shared" ca="1" si="14"/>
        <v>7.1</v>
      </c>
      <c r="H149">
        <f t="shared" ca="1" si="15"/>
        <v>2300</v>
      </c>
      <c r="I149">
        <f t="shared" ca="1" si="16"/>
        <v>0.15815892703883627</v>
      </c>
      <c r="J149">
        <v>0</v>
      </c>
    </row>
    <row r="150" spans="1:10" x14ac:dyDescent="0.3">
      <c r="A150" t="str">
        <f t="shared" si="17"/>
        <v>HH149</v>
      </c>
      <c r="B150" t="str">
        <f ca="1">LOOKUP(RAND(),{0,0.28,0.55,0.78},{"Oloitoktok A","Oloitoktok B","Kiserian","Namanga"})</f>
        <v>Namanga</v>
      </c>
      <c r="C150">
        <f ca="1">LOOKUP(RAND(),{0,0.02,0.09,0.2,0.35,0.52,0.68,0.81,0.91,0.97},{1,2,3,4,5,6,7,8,9,10})</f>
        <v>4</v>
      </c>
      <c r="D150">
        <f t="shared" ca="1" si="12"/>
        <v>9800</v>
      </c>
      <c r="E150" t="str">
        <f ca="1">IF(B150="Oloitoktok A",IF(D150&lt;15000,LOOKUP(RAND(),{0,0.45,0.75,0.92},{"River","Rainwater","Borehole","Vendor"}),IF(D150&lt;30000,LOOKUP(RAND(),{0,0.35,0.65,0.85},{"River","Rainwater","Borehole","Vendor"}),LOOKUP(RAND(),{0,0.25,0.5,0.75},{"River","Rainwater","Borehole","Vendor"}))),IF(B150="Oloitoktok B",IF(D150&lt;15000,LOOKUP(RAND(),{0,0.5,0.78,0.94},{"River","Rainwater","Borehole","Vendor"}),IF(D150&lt;30000,LOOKUP(RAND(),{0,0.4,0.68,0.87},{"River","Rainwater","Borehole","Vendor"}),LOOKUP(RAND(),{0,0.28,0.55,0.78},{"River","Rainwater","Borehole","Vendor"}))),IF(B150="Kiserian",IF(D150&lt;15000,LOOKUP(RAND(),{0,0.35,0.65,0.9},{"River","Rainwater","Borehole","Vendor"}),IF(D150&lt;30000,LOOKUP(RAND(),{0,0.25,0.55,0.82},{"River","Rainwater","Borehole","Vendor"}),LOOKUP(RAND(),{0,0.15,0.45,0.72},{"River","Rainwater","Borehole","Vendor"}))),IF(D150&lt;15000,LOOKUP(RAND(),{0,0.4,0.7,0.92},{"River","Rainwater","Borehole","Vendor"}),IF(D150&lt;30000,LOOKUP(RAND(),{0,0.3,0.6,0.85},{"River","Rainwater","Borehole","Vendor"}),LOOKUP(RAND(),{0,0.2,0.5,0.75},{"River","Rainwater","Borehole","Vendor"}))))))</f>
        <v>River</v>
      </c>
      <c r="F150">
        <f t="shared" ca="1" si="13"/>
        <v>101</v>
      </c>
      <c r="G150">
        <f t="shared" ca="1" si="14"/>
        <v>2</v>
      </c>
      <c r="H150">
        <f t="shared" ca="1" si="15"/>
        <v>8100</v>
      </c>
      <c r="I150">
        <f t="shared" ca="1" si="16"/>
        <v>0.81709543266645346</v>
      </c>
      <c r="J150">
        <v>0</v>
      </c>
    </row>
    <row r="151" spans="1:10" x14ac:dyDescent="0.3">
      <c r="A151" t="str">
        <f t="shared" si="17"/>
        <v>HH150</v>
      </c>
      <c r="B151" t="str">
        <f ca="1">LOOKUP(RAND(),{0,0.28,0.55,0.78},{"Oloitoktok A","Oloitoktok B","Kiserian","Namanga"})</f>
        <v>Namanga</v>
      </c>
      <c r="C151">
        <f ca="1">LOOKUP(RAND(),{0,0.02,0.09,0.2,0.35,0.52,0.68,0.81,0.91,0.97},{1,2,3,4,5,6,7,8,9,10})</f>
        <v>7</v>
      </c>
      <c r="D151">
        <f t="shared" ca="1" si="12"/>
        <v>47200</v>
      </c>
      <c r="E151" t="str">
        <f ca="1">IF(B151="Oloitoktok A",IF(D151&lt;15000,LOOKUP(RAND(),{0,0.45,0.75,0.92},{"River","Rainwater","Borehole","Vendor"}),IF(D151&lt;30000,LOOKUP(RAND(),{0,0.35,0.65,0.85},{"River","Rainwater","Borehole","Vendor"}),LOOKUP(RAND(),{0,0.25,0.5,0.75},{"River","Rainwater","Borehole","Vendor"}))),IF(B151="Oloitoktok B",IF(D151&lt;15000,LOOKUP(RAND(),{0,0.5,0.78,0.94},{"River","Rainwater","Borehole","Vendor"}),IF(D151&lt;30000,LOOKUP(RAND(),{0,0.4,0.68,0.87},{"River","Rainwater","Borehole","Vendor"}),LOOKUP(RAND(),{0,0.28,0.55,0.78},{"River","Rainwater","Borehole","Vendor"}))),IF(B151="Kiserian",IF(D151&lt;15000,LOOKUP(RAND(),{0,0.35,0.65,0.9},{"River","Rainwater","Borehole","Vendor"}),IF(D151&lt;30000,LOOKUP(RAND(),{0,0.25,0.55,0.82},{"River","Rainwater","Borehole","Vendor"}),LOOKUP(RAND(),{0,0.15,0.45,0.72},{"River","Rainwater","Borehole","Vendor"}))),IF(D151&lt;15000,LOOKUP(RAND(),{0,0.4,0.7,0.92},{"River","Rainwater","Borehole","Vendor"}),IF(D151&lt;30000,LOOKUP(RAND(),{0,0.3,0.6,0.85},{"River","Rainwater","Borehole","Vendor"}),LOOKUP(RAND(),{0,0.2,0.5,0.75},{"River","Rainwater","Borehole","Vendor"}))))))</f>
        <v>Rainwater</v>
      </c>
      <c r="F151">
        <f t="shared" ca="1" si="13"/>
        <v>21</v>
      </c>
      <c r="G151">
        <f t="shared" ca="1" si="14"/>
        <v>2.4</v>
      </c>
      <c r="H151">
        <f t="shared" ca="1" si="15"/>
        <v>7900</v>
      </c>
      <c r="I151">
        <f t="shared" ca="1" si="16"/>
        <v>0.27663998055233707</v>
      </c>
      <c r="J151">
        <v>0</v>
      </c>
    </row>
    <row r="152" spans="1:10" x14ac:dyDescent="0.3">
      <c r="A152" t="str">
        <f t="shared" si="17"/>
        <v>HH151</v>
      </c>
      <c r="B152" t="str">
        <f ca="1">LOOKUP(RAND(),{0,0.28,0.55,0.78},{"Oloitoktok A","Oloitoktok B","Kiserian","Namanga"})</f>
        <v>Oloitoktok B</v>
      </c>
      <c r="C152">
        <f ca="1">LOOKUP(RAND(),{0,0.02,0.09,0.2,0.35,0.52,0.68,0.81,0.91,0.97},{1,2,3,4,5,6,7,8,9,10})</f>
        <v>3</v>
      </c>
      <c r="D152">
        <f t="shared" ca="1" si="12"/>
        <v>45100</v>
      </c>
      <c r="E152" t="str">
        <f ca="1">IF(B152="Oloitoktok A",IF(D152&lt;15000,LOOKUP(RAND(),{0,0.45,0.75,0.92},{"River","Rainwater","Borehole","Vendor"}),IF(D152&lt;30000,LOOKUP(RAND(),{0,0.35,0.65,0.85},{"River","Rainwater","Borehole","Vendor"}),LOOKUP(RAND(),{0,0.25,0.5,0.75},{"River","Rainwater","Borehole","Vendor"}))),IF(B152="Oloitoktok B",IF(D152&lt;15000,LOOKUP(RAND(),{0,0.5,0.78,0.94},{"River","Rainwater","Borehole","Vendor"}),IF(D152&lt;30000,LOOKUP(RAND(),{0,0.4,0.68,0.87},{"River","Rainwater","Borehole","Vendor"}),LOOKUP(RAND(),{0,0.28,0.55,0.78},{"River","Rainwater","Borehole","Vendor"}))),IF(B152="Kiserian",IF(D152&lt;15000,LOOKUP(RAND(),{0,0.35,0.65,0.9},{"River","Rainwater","Borehole","Vendor"}),IF(D152&lt;30000,LOOKUP(RAND(),{0,0.25,0.55,0.82},{"River","Rainwater","Borehole","Vendor"}),LOOKUP(RAND(),{0,0.15,0.45,0.72},{"River","Rainwater","Borehole","Vendor"}))),IF(D152&lt;15000,LOOKUP(RAND(),{0,0.4,0.7,0.92},{"River","Rainwater","Borehole","Vendor"}),IF(D152&lt;30000,LOOKUP(RAND(),{0,0.3,0.6,0.85},{"River","Rainwater","Borehole","Vendor"}),LOOKUP(RAND(),{0,0.2,0.5,0.75},{"River","Rainwater","Borehole","Vendor"}))))))</f>
        <v>Vendor</v>
      </c>
      <c r="F152">
        <f t="shared" ca="1" si="13"/>
        <v>17</v>
      </c>
      <c r="G152">
        <f t="shared" ca="1" si="14"/>
        <v>10.9</v>
      </c>
      <c r="H152">
        <f t="shared" ca="1" si="15"/>
        <v>4400</v>
      </c>
      <c r="I152">
        <f t="shared" ca="1" si="16"/>
        <v>0.45350062980479333</v>
      </c>
      <c r="J152">
        <v>0</v>
      </c>
    </row>
    <row r="153" spans="1:10" x14ac:dyDescent="0.3">
      <c r="A153" t="str">
        <f t="shared" si="17"/>
        <v>HH152</v>
      </c>
      <c r="B153" t="str">
        <f ca="1">LOOKUP(RAND(),{0,0.28,0.55,0.78},{"Oloitoktok A","Oloitoktok B","Kiserian","Namanga"})</f>
        <v>Oloitoktok B</v>
      </c>
      <c r="C153">
        <f ca="1">LOOKUP(RAND(),{0,0.02,0.09,0.2,0.35,0.52,0.68,0.81,0.91,0.97},{1,2,3,4,5,6,7,8,9,10})</f>
        <v>3</v>
      </c>
      <c r="D153">
        <f t="shared" ca="1" si="12"/>
        <v>25500</v>
      </c>
      <c r="E153" t="str">
        <f ca="1">IF(B153="Oloitoktok A",IF(D153&lt;15000,LOOKUP(RAND(),{0,0.45,0.75,0.92},{"River","Rainwater","Borehole","Vendor"}),IF(D153&lt;30000,LOOKUP(RAND(),{0,0.35,0.65,0.85},{"River","Rainwater","Borehole","Vendor"}),LOOKUP(RAND(),{0,0.25,0.5,0.75},{"River","Rainwater","Borehole","Vendor"}))),IF(B153="Oloitoktok B",IF(D153&lt;15000,LOOKUP(RAND(),{0,0.5,0.78,0.94},{"River","Rainwater","Borehole","Vendor"}),IF(D153&lt;30000,LOOKUP(RAND(),{0,0.4,0.68,0.87},{"River","Rainwater","Borehole","Vendor"}),LOOKUP(RAND(),{0,0.28,0.55,0.78},{"River","Rainwater","Borehole","Vendor"}))),IF(B153="Kiserian",IF(D153&lt;15000,LOOKUP(RAND(),{0,0.35,0.65,0.9},{"River","Rainwater","Borehole","Vendor"}),IF(D153&lt;30000,LOOKUP(RAND(),{0,0.25,0.55,0.82},{"River","Rainwater","Borehole","Vendor"}),LOOKUP(RAND(),{0,0.15,0.45,0.72},{"River","Rainwater","Borehole","Vendor"}))),IF(D153&lt;15000,LOOKUP(RAND(),{0,0.4,0.7,0.92},{"River","Rainwater","Borehole","Vendor"}),IF(D153&lt;30000,LOOKUP(RAND(),{0,0.3,0.6,0.85},{"River","Rainwater","Borehole","Vendor"}),LOOKUP(RAND(),{0,0.2,0.5,0.75},{"River","Rainwater","Borehole","Vendor"}))))))</f>
        <v>Vendor</v>
      </c>
      <c r="F153">
        <f t="shared" ca="1" si="13"/>
        <v>10</v>
      </c>
      <c r="G153">
        <f t="shared" ca="1" si="14"/>
        <v>7.5</v>
      </c>
      <c r="H153">
        <f t="shared" ca="1" si="15"/>
        <v>600</v>
      </c>
      <c r="I153">
        <f t="shared" ca="1" si="16"/>
        <v>0.76627244219380597</v>
      </c>
      <c r="J153">
        <v>0</v>
      </c>
    </row>
    <row r="154" spans="1:10" x14ac:dyDescent="0.3">
      <c r="A154" t="str">
        <f t="shared" si="17"/>
        <v>HH153</v>
      </c>
      <c r="B154" t="str">
        <f ca="1">LOOKUP(RAND(),{0,0.28,0.55,0.78},{"Oloitoktok A","Oloitoktok B","Kiserian","Namanga"})</f>
        <v>Oloitoktok A</v>
      </c>
      <c r="C154">
        <f ca="1">LOOKUP(RAND(),{0,0.02,0.09,0.2,0.35,0.52,0.68,0.81,0.91,0.97},{1,2,3,4,5,6,7,8,9,10})</f>
        <v>7</v>
      </c>
      <c r="D154">
        <f t="shared" ca="1" si="12"/>
        <v>61900</v>
      </c>
      <c r="E154" t="str">
        <f ca="1">IF(B154="Oloitoktok A",IF(D154&lt;15000,LOOKUP(RAND(),{0,0.45,0.75,0.92},{"River","Rainwater","Borehole","Vendor"}),IF(D154&lt;30000,LOOKUP(RAND(),{0,0.35,0.65,0.85},{"River","Rainwater","Borehole","Vendor"}),LOOKUP(RAND(),{0,0.25,0.5,0.75},{"River","Rainwater","Borehole","Vendor"}))),IF(B154="Oloitoktok B",IF(D154&lt;15000,LOOKUP(RAND(),{0,0.5,0.78,0.94},{"River","Rainwater","Borehole","Vendor"}),IF(D154&lt;30000,LOOKUP(RAND(),{0,0.4,0.68,0.87},{"River","Rainwater","Borehole","Vendor"}),LOOKUP(RAND(),{0,0.28,0.55,0.78},{"River","Rainwater","Borehole","Vendor"}))),IF(B154="Kiserian",IF(D154&lt;15000,LOOKUP(RAND(),{0,0.35,0.65,0.9},{"River","Rainwater","Borehole","Vendor"}),IF(D154&lt;30000,LOOKUP(RAND(),{0,0.25,0.55,0.82},{"River","Rainwater","Borehole","Vendor"}),LOOKUP(RAND(),{0,0.15,0.45,0.72},{"River","Rainwater","Borehole","Vendor"}))),IF(D154&lt;15000,LOOKUP(RAND(),{0,0.4,0.7,0.92},{"River","Rainwater","Borehole","Vendor"}),IF(D154&lt;30000,LOOKUP(RAND(),{0,0.3,0.6,0.85},{"River","Rainwater","Borehole","Vendor"}),LOOKUP(RAND(),{0,0.2,0.5,0.75},{"River","Rainwater","Borehole","Vendor"}))))))</f>
        <v>Rainwater</v>
      </c>
      <c r="F154">
        <f t="shared" ca="1" si="13"/>
        <v>25</v>
      </c>
      <c r="G154">
        <f t="shared" ca="1" si="14"/>
        <v>3.4</v>
      </c>
      <c r="H154">
        <f t="shared" ca="1" si="15"/>
        <v>7400</v>
      </c>
      <c r="I154">
        <f t="shared" ca="1" si="16"/>
        <v>0.52083068056593929</v>
      </c>
      <c r="J154">
        <v>0</v>
      </c>
    </row>
    <row r="155" spans="1:10" x14ac:dyDescent="0.3">
      <c r="A155" t="str">
        <f t="shared" si="17"/>
        <v>HH154</v>
      </c>
      <c r="B155" t="str">
        <f ca="1">LOOKUP(RAND(),{0,0.28,0.55,0.78},{"Oloitoktok A","Oloitoktok B","Kiserian","Namanga"})</f>
        <v>Kiserian</v>
      </c>
      <c r="C155">
        <f ca="1">LOOKUP(RAND(),{0,0.02,0.09,0.2,0.35,0.52,0.68,0.81,0.91,0.97},{1,2,3,4,5,6,7,8,9,10})</f>
        <v>7</v>
      </c>
      <c r="D155">
        <f t="shared" ca="1" si="12"/>
        <v>41600</v>
      </c>
      <c r="E155" t="str">
        <f ca="1">IF(B155="Oloitoktok A",IF(D155&lt;15000,LOOKUP(RAND(),{0,0.45,0.75,0.92},{"River","Rainwater","Borehole","Vendor"}),IF(D155&lt;30000,LOOKUP(RAND(),{0,0.35,0.65,0.85},{"River","Rainwater","Borehole","Vendor"}),LOOKUP(RAND(),{0,0.25,0.5,0.75},{"River","Rainwater","Borehole","Vendor"}))),IF(B155="Oloitoktok B",IF(D155&lt;15000,LOOKUP(RAND(),{0,0.5,0.78,0.94},{"River","Rainwater","Borehole","Vendor"}),IF(D155&lt;30000,LOOKUP(RAND(),{0,0.4,0.68,0.87},{"River","Rainwater","Borehole","Vendor"}),LOOKUP(RAND(),{0,0.28,0.55,0.78},{"River","Rainwater","Borehole","Vendor"}))),IF(B155="Kiserian",IF(D155&lt;15000,LOOKUP(RAND(),{0,0.35,0.65,0.9},{"River","Rainwater","Borehole","Vendor"}),IF(D155&lt;30000,LOOKUP(RAND(),{0,0.25,0.55,0.82},{"River","Rainwater","Borehole","Vendor"}),LOOKUP(RAND(),{0,0.15,0.45,0.72},{"River","Rainwater","Borehole","Vendor"}))),IF(D155&lt;15000,LOOKUP(RAND(),{0,0.4,0.7,0.92},{"River","Rainwater","Borehole","Vendor"}),IF(D155&lt;30000,LOOKUP(RAND(),{0,0.3,0.6,0.85},{"River","Rainwater","Borehole","Vendor"}),LOOKUP(RAND(),{0,0.2,0.5,0.75},{"River","Rainwater","Borehole","Vendor"}))))))</f>
        <v>River</v>
      </c>
      <c r="F155">
        <f t="shared" ca="1" si="13"/>
        <v>110</v>
      </c>
      <c r="G155">
        <f t="shared" ca="1" si="14"/>
        <v>7.2</v>
      </c>
      <c r="H155">
        <f t="shared" ca="1" si="15"/>
        <v>6400</v>
      </c>
      <c r="I155">
        <f t="shared" ca="1" si="16"/>
        <v>0.32137870383370803</v>
      </c>
      <c r="J155">
        <v>0</v>
      </c>
    </row>
    <row r="156" spans="1:10" x14ac:dyDescent="0.3">
      <c r="A156" t="str">
        <f t="shared" si="17"/>
        <v>HH155</v>
      </c>
      <c r="B156" t="str">
        <f ca="1">LOOKUP(RAND(),{0,0.28,0.55,0.78},{"Oloitoktok A","Oloitoktok B","Kiserian","Namanga"})</f>
        <v>Oloitoktok B</v>
      </c>
      <c r="C156">
        <f ca="1">LOOKUP(RAND(),{0,0.02,0.09,0.2,0.35,0.52,0.68,0.81,0.91,0.97},{1,2,3,4,5,6,7,8,9,10})</f>
        <v>6</v>
      </c>
      <c r="D156">
        <f t="shared" ca="1" si="12"/>
        <v>17700</v>
      </c>
      <c r="E156" t="str">
        <f ca="1">IF(B156="Oloitoktok A",IF(D156&lt;15000,LOOKUP(RAND(),{0,0.45,0.75,0.92},{"River","Rainwater","Borehole","Vendor"}),IF(D156&lt;30000,LOOKUP(RAND(),{0,0.35,0.65,0.85},{"River","Rainwater","Borehole","Vendor"}),LOOKUP(RAND(),{0,0.25,0.5,0.75},{"River","Rainwater","Borehole","Vendor"}))),IF(B156="Oloitoktok B",IF(D156&lt;15000,LOOKUP(RAND(),{0,0.5,0.78,0.94},{"River","Rainwater","Borehole","Vendor"}),IF(D156&lt;30000,LOOKUP(RAND(),{0,0.4,0.68,0.87},{"River","Rainwater","Borehole","Vendor"}),LOOKUP(RAND(),{0,0.28,0.55,0.78},{"River","Rainwater","Borehole","Vendor"}))),IF(B156="Kiserian",IF(D156&lt;15000,LOOKUP(RAND(),{0,0.35,0.65,0.9},{"River","Rainwater","Borehole","Vendor"}),IF(D156&lt;30000,LOOKUP(RAND(),{0,0.25,0.55,0.82},{"River","Rainwater","Borehole","Vendor"}),LOOKUP(RAND(),{0,0.15,0.45,0.72},{"River","Rainwater","Borehole","Vendor"}))),IF(D156&lt;15000,LOOKUP(RAND(),{0,0.4,0.7,0.92},{"River","Rainwater","Borehole","Vendor"}),IF(D156&lt;30000,LOOKUP(RAND(),{0,0.3,0.6,0.85},{"River","Rainwater","Borehole","Vendor"}),LOOKUP(RAND(),{0,0.2,0.5,0.75},{"River","Rainwater","Borehole","Vendor"}))))))</f>
        <v>River</v>
      </c>
      <c r="F156">
        <f t="shared" ca="1" si="13"/>
        <v>100</v>
      </c>
      <c r="G156">
        <f t="shared" ca="1" si="14"/>
        <v>9.4</v>
      </c>
      <c r="H156">
        <f t="shared" ca="1" si="15"/>
        <v>7100</v>
      </c>
      <c r="I156">
        <f t="shared" ca="1" si="16"/>
        <v>0.2443492005779927</v>
      </c>
      <c r="J156">
        <v>0</v>
      </c>
    </row>
    <row r="157" spans="1:10" x14ac:dyDescent="0.3">
      <c r="A157" t="str">
        <f t="shared" si="17"/>
        <v>HH156</v>
      </c>
      <c r="B157" t="str">
        <f ca="1">LOOKUP(RAND(),{0,0.28,0.55,0.78},{"Oloitoktok A","Oloitoktok B","Kiserian","Namanga"})</f>
        <v>Namanga</v>
      </c>
      <c r="C157">
        <f ca="1">LOOKUP(RAND(),{0,0.02,0.09,0.2,0.35,0.52,0.68,0.81,0.91,0.97},{1,2,3,4,5,6,7,8,9,10})</f>
        <v>9</v>
      </c>
      <c r="D157">
        <f t="shared" ca="1" si="12"/>
        <v>22500</v>
      </c>
      <c r="E157" t="str">
        <f ca="1">IF(B157="Oloitoktok A",IF(D157&lt;15000,LOOKUP(RAND(),{0,0.45,0.75,0.92},{"River","Rainwater","Borehole","Vendor"}),IF(D157&lt;30000,LOOKUP(RAND(),{0,0.35,0.65,0.85},{"River","Rainwater","Borehole","Vendor"}),LOOKUP(RAND(),{0,0.25,0.5,0.75},{"River","Rainwater","Borehole","Vendor"}))),IF(B157="Oloitoktok B",IF(D157&lt;15000,LOOKUP(RAND(),{0,0.5,0.78,0.94},{"River","Rainwater","Borehole","Vendor"}),IF(D157&lt;30000,LOOKUP(RAND(),{0,0.4,0.68,0.87},{"River","Rainwater","Borehole","Vendor"}),LOOKUP(RAND(),{0,0.28,0.55,0.78},{"River","Rainwater","Borehole","Vendor"}))),IF(B157="Kiserian",IF(D157&lt;15000,LOOKUP(RAND(),{0,0.35,0.65,0.9},{"River","Rainwater","Borehole","Vendor"}),IF(D157&lt;30000,LOOKUP(RAND(),{0,0.25,0.55,0.82},{"River","Rainwater","Borehole","Vendor"}),LOOKUP(RAND(),{0,0.15,0.45,0.72},{"River","Rainwater","Borehole","Vendor"}))),IF(D157&lt;15000,LOOKUP(RAND(),{0,0.4,0.7,0.92},{"River","Rainwater","Borehole","Vendor"}),IF(D157&lt;30000,LOOKUP(RAND(),{0,0.3,0.6,0.85},{"River","Rainwater","Borehole","Vendor"}),LOOKUP(RAND(),{0,0.2,0.5,0.75},{"River","Rainwater","Borehole","Vendor"}))))))</f>
        <v>Rainwater</v>
      </c>
      <c r="F157">
        <f t="shared" ca="1" si="13"/>
        <v>50</v>
      </c>
      <c r="G157">
        <f t="shared" ca="1" si="14"/>
        <v>7</v>
      </c>
      <c r="H157">
        <f t="shared" ca="1" si="15"/>
        <v>8000</v>
      </c>
      <c r="I157">
        <f t="shared" ca="1" si="16"/>
        <v>4.5478762309680842E-4</v>
      </c>
      <c r="J157">
        <v>0</v>
      </c>
    </row>
    <row r="158" spans="1:10" x14ac:dyDescent="0.3">
      <c r="A158" t="str">
        <f t="shared" si="17"/>
        <v>HH157</v>
      </c>
      <c r="B158" t="str">
        <f ca="1">LOOKUP(RAND(),{0,0.28,0.55,0.78},{"Oloitoktok A","Oloitoktok B","Kiserian","Namanga"})</f>
        <v>Oloitoktok B</v>
      </c>
      <c r="C158">
        <f ca="1">LOOKUP(RAND(),{0,0.02,0.09,0.2,0.35,0.52,0.68,0.81,0.91,0.97},{1,2,3,4,5,6,7,8,9,10})</f>
        <v>5</v>
      </c>
      <c r="D158">
        <f t="shared" ca="1" si="12"/>
        <v>49900</v>
      </c>
      <c r="E158" t="str">
        <f ca="1">IF(B158="Oloitoktok A",IF(D158&lt;15000,LOOKUP(RAND(),{0,0.45,0.75,0.92},{"River","Rainwater","Borehole","Vendor"}),IF(D158&lt;30000,LOOKUP(RAND(),{0,0.35,0.65,0.85},{"River","Rainwater","Borehole","Vendor"}),LOOKUP(RAND(),{0,0.25,0.5,0.75},{"River","Rainwater","Borehole","Vendor"}))),IF(B158="Oloitoktok B",IF(D158&lt;15000,LOOKUP(RAND(),{0,0.5,0.78,0.94},{"River","Rainwater","Borehole","Vendor"}),IF(D158&lt;30000,LOOKUP(RAND(),{0,0.4,0.68,0.87},{"River","Rainwater","Borehole","Vendor"}),LOOKUP(RAND(),{0,0.28,0.55,0.78},{"River","Rainwater","Borehole","Vendor"}))),IF(B158="Kiserian",IF(D158&lt;15000,LOOKUP(RAND(),{0,0.35,0.65,0.9},{"River","Rainwater","Borehole","Vendor"}),IF(D158&lt;30000,LOOKUP(RAND(),{0,0.25,0.55,0.82},{"River","Rainwater","Borehole","Vendor"}),LOOKUP(RAND(),{0,0.15,0.45,0.72},{"River","Rainwater","Borehole","Vendor"}))),IF(D158&lt;15000,LOOKUP(RAND(),{0,0.4,0.7,0.92},{"River","Rainwater","Borehole","Vendor"}),IF(D158&lt;30000,LOOKUP(RAND(),{0,0.3,0.6,0.85},{"River","Rainwater","Borehole","Vendor"}),LOOKUP(RAND(),{0,0.2,0.5,0.75},{"River","Rainwater","Borehole","Vendor"}))))))</f>
        <v>Rainwater</v>
      </c>
      <c r="F158">
        <f t="shared" ca="1" si="13"/>
        <v>26</v>
      </c>
      <c r="G158">
        <f t="shared" ca="1" si="14"/>
        <v>3.3</v>
      </c>
      <c r="H158">
        <f t="shared" ca="1" si="15"/>
        <v>5200</v>
      </c>
      <c r="I158">
        <f t="shared" ca="1" si="16"/>
        <v>2.5080908497622234E-2</v>
      </c>
      <c r="J158">
        <v>0</v>
      </c>
    </row>
    <row r="159" spans="1:10" x14ac:dyDescent="0.3">
      <c r="A159" t="str">
        <f t="shared" si="17"/>
        <v>HH158</v>
      </c>
      <c r="B159" t="str">
        <f ca="1">LOOKUP(RAND(),{0,0.28,0.55,0.78},{"Oloitoktok A","Oloitoktok B","Kiserian","Namanga"})</f>
        <v>Kiserian</v>
      </c>
      <c r="C159">
        <f ca="1">LOOKUP(RAND(),{0,0.02,0.09,0.2,0.35,0.52,0.68,0.81,0.91,0.97},{1,2,3,4,5,6,7,8,9,10})</f>
        <v>6</v>
      </c>
      <c r="D159">
        <f t="shared" ca="1" si="12"/>
        <v>141600</v>
      </c>
      <c r="E159" t="str">
        <f ca="1">IF(B159="Oloitoktok A",IF(D159&lt;15000,LOOKUP(RAND(),{0,0.45,0.75,0.92},{"River","Rainwater","Borehole","Vendor"}),IF(D159&lt;30000,LOOKUP(RAND(),{0,0.35,0.65,0.85},{"River","Rainwater","Borehole","Vendor"}),LOOKUP(RAND(),{0,0.25,0.5,0.75},{"River","Rainwater","Borehole","Vendor"}))),IF(B159="Oloitoktok B",IF(D159&lt;15000,LOOKUP(RAND(),{0,0.5,0.78,0.94},{"River","Rainwater","Borehole","Vendor"}),IF(D159&lt;30000,LOOKUP(RAND(),{0,0.4,0.68,0.87},{"River","Rainwater","Borehole","Vendor"}),LOOKUP(RAND(),{0,0.28,0.55,0.78},{"River","Rainwater","Borehole","Vendor"}))),IF(B159="Kiserian",IF(D159&lt;15000,LOOKUP(RAND(),{0,0.35,0.65,0.9},{"River","Rainwater","Borehole","Vendor"}),IF(D159&lt;30000,LOOKUP(RAND(),{0,0.25,0.55,0.82},{"River","Rainwater","Borehole","Vendor"}),LOOKUP(RAND(),{0,0.15,0.45,0.72},{"River","Rainwater","Borehole","Vendor"}))),IF(D159&lt;15000,LOOKUP(RAND(),{0,0.4,0.7,0.92},{"River","Rainwater","Borehole","Vendor"}),IF(D159&lt;30000,LOOKUP(RAND(),{0,0.3,0.6,0.85},{"River","Rainwater","Borehole","Vendor"}),LOOKUP(RAND(),{0,0.2,0.5,0.75},{"River","Rainwater","Borehole","Vendor"}))))))</f>
        <v>Rainwater</v>
      </c>
      <c r="F159">
        <f t="shared" ca="1" si="13"/>
        <v>21</v>
      </c>
      <c r="G159">
        <f t="shared" ca="1" si="14"/>
        <v>4.7</v>
      </c>
      <c r="H159">
        <f t="shared" ca="1" si="15"/>
        <v>10200</v>
      </c>
      <c r="I159">
        <f t="shared" ca="1" si="16"/>
        <v>0.6180403878190186</v>
      </c>
      <c r="J159">
        <v>0</v>
      </c>
    </row>
    <row r="160" spans="1:10" x14ac:dyDescent="0.3">
      <c r="A160" t="str">
        <f t="shared" si="17"/>
        <v>HH159</v>
      </c>
      <c r="B160" t="str">
        <f ca="1">LOOKUP(RAND(),{0,0.28,0.55,0.78},{"Oloitoktok A","Oloitoktok B","Kiserian","Namanga"})</f>
        <v>Oloitoktok B</v>
      </c>
      <c r="C160">
        <f ca="1">LOOKUP(RAND(),{0,0.02,0.09,0.2,0.35,0.52,0.68,0.81,0.91,0.97},{1,2,3,4,5,6,7,8,9,10})</f>
        <v>4</v>
      </c>
      <c r="D160">
        <f t="shared" ca="1" si="12"/>
        <v>23100</v>
      </c>
      <c r="E160" t="str">
        <f ca="1">IF(B160="Oloitoktok A",IF(D160&lt;15000,LOOKUP(RAND(),{0,0.45,0.75,0.92},{"River","Rainwater","Borehole","Vendor"}),IF(D160&lt;30000,LOOKUP(RAND(),{0,0.35,0.65,0.85},{"River","Rainwater","Borehole","Vendor"}),LOOKUP(RAND(),{0,0.25,0.5,0.75},{"River","Rainwater","Borehole","Vendor"}))),IF(B160="Oloitoktok B",IF(D160&lt;15000,LOOKUP(RAND(),{0,0.5,0.78,0.94},{"River","Rainwater","Borehole","Vendor"}),IF(D160&lt;30000,LOOKUP(RAND(),{0,0.4,0.68,0.87},{"River","Rainwater","Borehole","Vendor"}),LOOKUP(RAND(),{0,0.28,0.55,0.78},{"River","Rainwater","Borehole","Vendor"}))),IF(B160="Kiserian",IF(D160&lt;15000,LOOKUP(RAND(),{0,0.35,0.65,0.9},{"River","Rainwater","Borehole","Vendor"}),IF(D160&lt;30000,LOOKUP(RAND(),{0,0.25,0.55,0.82},{"River","Rainwater","Borehole","Vendor"}),LOOKUP(RAND(),{0,0.15,0.45,0.72},{"River","Rainwater","Borehole","Vendor"}))),IF(D160&lt;15000,LOOKUP(RAND(),{0,0.4,0.7,0.92},{"River","Rainwater","Borehole","Vendor"}),IF(D160&lt;30000,LOOKUP(RAND(),{0,0.3,0.6,0.85},{"River","Rainwater","Borehole","Vendor"}),LOOKUP(RAND(),{0,0.2,0.5,0.75},{"River","Rainwater","Borehole","Vendor"}))))))</f>
        <v>Rainwater</v>
      </c>
      <c r="F160">
        <f t="shared" ca="1" si="13"/>
        <v>58</v>
      </c>
      <c r="G160">
        <f t="shared" ca="1" si="14"/>
        <v>13.4</v>
      </c>
      <c r="H160">
        <f t="shared" ca="1" si="15"/>
        <v>7300</v>
      </c>
      <c r="I160">
        <f t="shared" ca="1" si="16"/>
        <v>0.42552840054579066</v>
      </c>
      <c r="J160">
        <v>0</v>
      </c>
    </row>
    <row r="161" spans="1:10" x14ac:dyDescent="0.3">
      <c r="A161" t="str">
        <f t="shared" si="17"/>
        <v>HH160</v>
      </c>
      <c r="B161" t="str">
        <f ca="1">LOOKUP(RAND(),{0,0.28,0.55,0.78},{"Oloitoktok A","Oloitoktok B","Kiserian","Namanga"})</f>
        <v>Oloitoktok A</v>
      </c>
      <c r="C161">
        <f ca="1">LOOKUP(RAND(),{0,0.02,0.09,0.2,0.35,0.52,0.68,0.81,0.91,0.97},{1,2,3,4,5,6,7,8,9,10})</f>
        <v>5</v>
      </c>
      <c r="D161">
        <f t="shared" ca="1" si="12"/>
        <v>25300</v>
      </c>
      <c r="E161" t="str">
        <f ca="1">IF(B161="Oloitoktok A",IF(D161&lt;15000,LOOKUP(RAND(),{0,0.45,0.75,0.92},{"River","Rainwater","Borehole","Vendor"}),IF(D161&lt;30000,LOOKUP(RAND(),{0,0.35,0.65,0.85},{"River","Rainwater","Borehole","Vendor"}),LOOKUP(RAND(),{0,0.25,0.5,0.75},{"River","Rainwater","Borehole","Vendor"}))),IF(B161="Oloitoktok B",IF(D161&lt;15000,LOOKUP(RAND(),{0,0.5,0.78,0.94},{"River","Rainwater","Borehole","Vendor"}),IF(D161&lt;30000,LOOKUP(RAND(),{0,0.4,0.68,0.87},{"River","Rainwater","Borehole","Vendor"}),LOOKUP(RAND(),{0,0.28,0.55,0.78},{"River","Rainwater","Borehole","Vendor"}))),IF(B161="Kiserian",IF(D161&lt;15000,LOOKUP(RAND(),{0,0.35,0.65,0.9},{"River","Rainwater","Borehole","Vendor"}),IF(D161&lt;30000,LOOKUP(RAND(),{0,0.25,0.55,0.82},{"River","Rainwater","Borehole","Vendor"}),LOOKUP(RAND(),{0,0.15,0.45,0.72},{"River","Rainwater","Borehole","Vendor"}))),IF(D161&lt;15000,LOOKUP(RAND(),{0,0.4,0.7,0.92},{"River","Rainwater","Borehole","Vendor"}),IF(D161&lt;30000,LOOKUP(RAND(),{0,0.3,0.6,0.85},{"River","Rainwater","Borehole","Vendor"}),LOOKUP(RAND(),{0,0.2,0.5,0.75},{"River","Rainwater","Borehole","Vendor"}))))))</f>
        <v>Rainwater</v>
      </c>
      <c r="F161">
        <f t="shared" ca="1" si="13"/>
        <v>69</v>
      </c>
      <c r="G161">
        <f t="shared" ca="1" si="14"/>
        <v>8</v>
      </c>
      <c r="H161">
        <f t="shared" ca="1" si="15"/>
        <v>7300</v>
      </c>
      <c r="I161">
        <f t="shared" ca="1" si="16"/>
        <v>0.21267985853611959</v>
      </c>
      <c r="J161">
        <v>0</v>
      </c>
    </row>
    <row r="162" spans="1:10" x14ac:dyDescent="0.3">
      <c r="A162" t="str">
        <f t="shared" si="17"/>
        <v>HH161</v>
      </c>
      <c r="B162" t="str">
        <f ca="1">LOOKUP(RAND(),{0,0.28,0.55,0.78},{"Oloitoktok A","Oloitoktok B","Kiserian","Namanga"})</f>
        <v>Oloitoktok A</v>
      </c>
      <c r="C162">
        <f ca="1">LOOKUP(RAND(),{0,0.02,0.09,0.2,0.35,0.52,0.68,0.81,0.91,0.97},{1,2,3,4,5,6,7,8,9,10})</f>
        <v>6</v>
      </c>
      <c r="D162">
        <f t="shared" ca="1" si="12"/>
        <v>21700</v>
      </c>
      <c r="E162" t="str">
        <f ca="1">IF(B162="Oloitoktok A",IF(D162&lt;15000,LOOKUP(RAND(),{0,0.45,0.75,0.92},{"River","Rainwater","Borehole","Vendor"}),IF(D162&lt;30000,LOOKUP(RAND(),{0,0.35,0.65,0.85},{"River","Rainwater","Borehole","Vendor"}),LOOKUP(RAND(),{0,0.25,0.5,0.75},{"River","Rainwater","Borehole","Vendor"}))),IF(B162="Oloitoktok B",IF(D162&lt;15000,LOOKUP(RAND(),{0,0.5,0.78,0.94},{"River","Rainwater","Borehole","Vendor"}),IF(D162&lt;30000,LOOKUP(RAND(),{0,0.4,0.68,0.87},{"River","Rainwater","Borehole","Vendor"}),LOOKUP(RAND(),{0,0.28,0.55,0.78},{"River","Rainwater","Borehole","Vendor"}))),IF(B162="Kiserian",IF(D162&lt;15000,LOOKUP(RAND(),{0,0.35,0.65,0.9},{"River","Rainwater","Borehole","Vendor"}),IF(D162&lt;30000,LOOKUP(RAND(),{0,0.25,0.55,0.82},{"River","Rainwater","Borehole","Vendor"}),LOOKUP(RAND(),{0,0.15,0.45,0.72},{"River","Rainwater","Borehole","Vendor"}))),IF(D162&lt;15000,LOOKUP(RAND(),{0,0.4,0.7,0.92},{"River","Rainwater","Borehole","Vendor"}),IF(D162&lt;30000,LOOKUP(RAND(),{0,0.3,0.6,0.85},{"River","Rainwater","Borehole","Vendor"}),LOOKUP(RAND(),{0,0.2,0.5,0.75},{"River","Rainwater","Borehole","Vendor"}))))))</f>
        <v>Rainwater</v>
      </c>
      <c r="F162">
        <f t="shared" ca="1" si="13"/>
        <v>19</v>
      </c>
      <c r="G162">
        <f t="shared" ca="1" si="14"/>
        <v>7.4</v>
      </c>
      <c r="H162">
        <f t="shared" ca="1" si="15"/>
        <v>7500</v>
      </c>
      <c r="I162">
        <f t="shared" ca="1" si="16"/>
        <v>0.1681042982543427</v>
      </c>
      <c r="J162">
        <v>0</v>
      </c>
    </row>
    <row r="163" spans="1:10" x14ac:dyDescent="0.3">
      <c r="A163" t="str">
        <f t="shared" si="17"/>
        <v>HH162</v>
      </c>
      <c r="B163" t="str">
        <f ca="1">LOOKUP(RAND(),{0,0.28,0.55,0.78},{"Oloitoktok A","Oloitoktok B","Kiserian","Namanga"})</f>
        <v>Kiserian</v>
      </c>
      <c r="C163">
        <f ca="1">LOOKUP(RAND(),{0,0.02,0.09,0.2,0.35,0.52,0.68,0.81,0.91,0.97},{1,2,3,4,5,6,7,8,9,10})</f>
        <v>4</v>
      </c>
      <c r="D163">
        <f t="shared" ca="1" si="12"/>
        <v>54700</v>
      </c>
      <c r="E163" t="str">
        <f ca="1">IF(B163="Oloitoktok A",IF(D163&lt;15000,LOOKUP(RAND(),{0,0.45,0.75,0.92},{"River","Rainwater","Borehole","Vendor"}),IF(D163&lt;30000,LOOKUP(RAND(),{0,0.35,0.65,0.85},{"River","Rainwater","Borehole","Vendor"}),LOOKUP(RAND(),{0,0.25,0.5,0.75},{"River","Rainwater","Borehole","Vendor"}))),IF(B163="Oloitoktok B",IF(D163&lt;15000,LOOKUP(RAND(),{0,0.5,0.78,0.94},{"River","Rainwater","Borehole","Vendor"}),IF(D163&lt;30000,LOOKUP(RAND(),{0,0.4,0.68,0.87},{"River","Rainwater","Borehole","Vendor"}),LOOKUP(RAND(),{0,0.28,0.55,0.78},{"River","Rainwater","Borehole","Vendor"}))),IF(B163="Kiserian",IF(D163&lt;15000,LOOKUP(RAND(),{0,0.35,0.65,0.9},{"River","Rainwater","Borehole","Vendor"}),IF(D163&lt;30000,LOOKUP(RAND(),{0,0.25,0.55,0.82},{"River","Rainwater","Borehole","Vendor"}),LOOKUP(RAND(),{0,0.15,0.45,0.72},{"River","Rainwater","Borehole","Vendor"}))),IF(D163&lt;15000,LOOKUP(RAND(),{0,0.4,0.7,0.92},{"River","Rainwater","Borehole","Vendor"}),IF(D163&lt;30000,LOOKUP(RAND(),{0,0.3,0.6,0.85},{"River","Rainwater","Borehole","Vendor"}),LOOKUP(RAND(),{0,0.2,0.5,0.75},{"River","Rainwater","Borehole","Vendor"}))))))</f>
        <v>Vendor</v>
      </c>
      <c r="F163">
        <f t="shared" ca="1" si="13"/>
        <v>32</v>
      </c>
      <c r="G163">
        <f t="shared" ca="1" si="14"/>
        <v>6.6</v>
      </c>
      <c r="H163">
        <f t="shared" ca="1" si="15"/>
        <v>5700</v>
      </c>
      <c r="I163">
        <f t="shared" ca="1" si="16"/>
        <v>0.97129731231391558</v>
      </c>
      <c r="J163">
        <v>0</v>
      </c>
    </row>
    <row r="164" spans="1:10" x14ac:dyDescent="0.3">
      <c r="A164" t="str">
        <f t="shared" si="17"/>
        <v>HH163</v>
      </c>
      <c r="B164" t="str">
        <f ca="1">LOOKUP(RAND(),{0,0.28,0.55,0.78},{"Oloitoktok A","Oloitoktok B","Kiserian","Namanga"})</f>
        <v>Oloitoktok A</v>
      </c>
      <c r="C164">
        <f ca="1">LOOKUP(RAND(),{0,0.02,0.09,0.2,0.35,0.52,0.68,0.81,0.91,0.97},{1,2,3,4,5,6,7,8,9,10})</f>
        <v>6</v>
      </c>
      <c r="D164">
        <f t="shared" ca="1" si="12"/>
        <v>59900</v>
      </c>
      <c r="E164" t="str">
        <f ca="1">IF(B164="Oloitoktok A",IF(D164&lt;15000,LOOKUP(RAND(),{0,0.45,0.75,0.92},{"River","Rainwater","Borehole","Vendor"}),IF(D164&lt;30000,LOOKUP(RAND(),{0,0.35,0.65,0.85},{"River","Rainwater","Borehole","Vendor"}),LOOKUP(RAND(),{0,0.25,0.5,0.75},{"River","Rainwater","Borehole","Vendor"}))),IF(B164="Oloitoktok B",IF(D164&lt;15000,LOOKUP(RAND(),{0,0.5,0.78,0.94},{"River","Rainwater","Borehole","Vendor"}),IF(D164&lt;30000,LOOKUP(RAND(),{0,0.4,0.68,0.87},{"River","Rainwater","Borehole","Vendor"}),LOOKUP(RAND(),{0,0.28,0.55,0.78},{"River","Rainwater","Borehole","Vendor"}))),IF(B164="Kiserian",IF(D164&lt;15000,LOOKUP(RAND(),{0,0.35,0.65,0.9},{"River","Rainwater","Borehole","Vendor"}),IF(D164&lt;30000,LOOKUP(RAND(),{0,0.25,0.55,0.82},{"River","Rainwater","Borehole","Vendor"}),LOOKUP(RAND(),{0,0.15,0.45,0.72},{"River","Rainwater","Borehole","Vendor"}))),IF(D164&lt;15000,LOOKUP(RAND(),{0,0.4,0.7,0.92},{"River","Rainwater","Borehole","Vendor"}),IF(D164&lt;30000,LOOKUP(RAND(),{0,0.3,0.6,0.85},{"River","Rainwater","Borehole","Vendor"}),LOOKUP(RAND(),{0,0.2,0.5,0.75},{"River","Rainwater","Borehole","Vendor"}))))))</f>
        <v>Borehole</v>
      </c>
      <c r="F164">
        <f t="shared" ca="1" si="13"/>
        <v>57</v>
      </c>
      <c r="G164">
        <f t="shared" ca="1" si="14"/>
        <v>4.5999999999999996</v>
      </c>
      <c r="H164">
        <f t="shared" ca="1" si="15"/>
        <v>4200</v>
      </c>
      <c r="I164">
        <f t="shared" ca="1" si="16"/>
        <v>0.85305887750028997</v>
      </c>
      <c r="J164">
        <v>0</v>
      </c>
    </row>
    <row r="165" spans="1:10" x14ac:dyDescent="0.3">
      <c r="A165" t="str">
        <f t="shared" si="17"/>
        <v>HH164</v>
      </c>
      <c r="B165" t="str">
        <f ca="1">LOOKUP(RAND(),{0,0.28,0.55,0.78},{"Oloitoktok A","Oloitoktok B","Kiserian","Namanga"})</f>
        <v>Oloitoktok B</v>
      </c>
      <c r="C165">
        <f ca="1">LOOKUP(RAND(),{0,0.02,0.09,0.2,0.35,0.52,0.68,0.81,0.91,0.97},{1,2,3,4,5,6,7,8,9,10})</f>
        <v>2</v>
      </c>
      <c r="D165">
        <f t="shared" ca="1" si="12"/>
        <v>30300</v>
      </c>
      <c r="E165" t="str">
        <f ca="1">IF(B165="Oloitoktok A",IF(D165&lt;15000,LOOKUP(RAND(),{0,0.45,0.75,0.92},{"River","Rainwater","Borehole","Vendor"}),IF(D165&lt;30000,LOOKUP(RAND(),{0,0.35,0.65,0.85},{"River","Rainwater","Borehole","Vendor"}),LOOKUP(RAND(),{0,0.25,0.5,0.75},{"River","Rainwater","Borehole","Vendor"}))),IF(B165="Oloitoktok B",IF(D165&lt;15000,LOOKUP(RAND(),{0,0.5,0.78,0.94},{"River","Rainwater","Borehole","Vendor"}),IF(D165&lt;30000,LOOKUP(RAND(),{0,0.4,0.68,0.87},{"River","Rainwater","Borehole","Vendor"}),LOOKUP(RAND(),{0,0.28,0.55,0.78},{"River","Rainwater","Borehole","Vendor"}))),IF(B165="Kiserian",IF(D165&lt;15000,LOOKUP(RAND(),{0,0.35,0.65,0.9},{"River","Rainwater","Borehole","Vendor"}),IF(D165&lt;30000,LOOKUP(RAND(),{0,0.25,0.55,0.82},{"River","Rainwater","Borehole","Vendor"}),LOOKUP(RAND(),{0,0.15,0.45,0.72},{"River","Rainwater","Borehole","Vendor"}))),IF(D165&lt;15000,LOOKUP(RAND(),{0,0.4,0.7,0.92},{"River","Rainwater","Borehole","Vendor"}),IF(D165&lt;30000,LOOKUP(RAND(),{0,0.3,0.6,0.85},{"River","Rainwater","Borehole","Vendor"}),LOOKUP(RAND(),{0,0.2,0.5,0.75},{"River","Rainwater","Borehole","Vendor"}))))))</f>
        <v>River</v>
      </c>
      <c r="F165">
        <f t="shared" ca="1" si="13"/>
        <v>63</v>
      </c>
      <c r="G165">
        <f t="shared" ca="1" si="14"/>
        <v>13.4</v>
      </c>
      <c r="H165">
        <f t="shared" ca="1" si="15"/>
        <v>3700</v>
      </c>
      <c r="I165">
        <f t="shared" ca="1" si="16"/>
        <v>0.62326600702214563</v>
      </c>
      <c r="J165">
        <v>0</v>
      </c>
    </row>
    <row r="166" spans="1:10" x14ac:dyDescent="0.3">
      <c r="A166" t="str">
        <f t="shared" si="17"/>
        <v>HH165</v>
      </c>
      <c r="B166" t="str">
        <f ca="1">LOOKUP(RAND(),{0,0.28,0.55,0.78},{"Oloitoktok A","Oloitoktok B","Kiserian","Namanga"})</f>
        <v>Oloitoktok B</v>
      </c>
      <c r="C166">
        <f ca="1">LOOKUP(RAND(),{0,0.02,0.09,0.2,0.35,0.52,0.68,0.81,0.91,0.97},{1,2,3,4,5,6,7,8,9,10})</f>
        <v>4</v>
      </c>
      <c r="D166">
        <f t="shared" ca="1" si="12"/>
        <v>9800</v>
      </c>
      <c r="E166" t="str">
        <f ca="1">IF(B166="Oloitoktok A",IF(D166&lt;15000,LOOKUP(RAND(),{0,0.45,0.75,0.92},{"River","Rainwater","Borehole","Vendor"}),IF(D166&lt;30000,LOOKUP(RAND(),{0,0.35,0.65,0.85},{"River","Rainwater","Borehole","Vendor"}),LOOKUP(RAND(),{0,0.25,0.5,0.75},{"River","Rainwater","Borehole","Vendor"}))),IF(B166="Oloitoktok B",IF(D166&lt;15000,LOOKUP(RAND(),{0,0.5,0.78,0.94},{"River","Rainwater","Borehole","Vendor"}),IF(D166&lt;30000,LOOKUP(RAND(),{0,0.4,0.68,0.87},{"River","Rainwater","Borehole","Vendor"}),LOOKUP(RAND(),{0,0.28,0.55,0.78},{"River","Rainwater","Borehole","Vendor"}))),IF(B166="Kiserian",IF(D166&lt;15000,LOOKUP(RAND(),{0,0.35,0.65,0.9},{"River","Rainwater","Borehole","Vendor"}),IF(D166&lt;30000,LOOKUP(RAND(),{0,0.25,0.55,0.82},{"River","Rainwater","Borehole","Vendor"}),LOOKUP(RAND(),{0,0.15,0.45,0.72},{"River","Rainwater","Borehole","Vendor"}))),IF(D166&lt;15000,LOOKUP(RAND(),{0,0.4,0.7,0.92},{"River","Rainwater","Borehole","Vendor"}),IF(D166&lt;30000,LOOKUP(RAND(),{0,0.3,0.6,0.85},{"River","Rainwater","Borehole","Vendor"}),LOOKUP(RAND(),{0,0.2,0.5,0.75},{"River","Rainwater","Borehole","Vendor"}))))))</f>
        <v>River</v>
      </c>
      <c r="F166">
        <f t="shared" ca="1" si="13"/>
        <v>53</v>
      </c>
      <c r="G166">
        <f t="shared" ca="1" si="14"/>
        <v>12.4</v>
      </c>
      <c r="H166">
        <f t="shared" ca="1" si="15"/>
        <v>4200</v>
      </c>
      <c r="I166">
        <f t="shared" ca="1" si="16"/>
        <v>0.75724325817749549</v>
      </c>
      <c r="J166">
        <v>0</v>
      </c>
    </row>
    <row r="167" spans="1:10" x14ac:dyDescent="0.3">
      <c r="A167" t="str">
        <f t="shared" si="17"/>
        <v>HH166</v>
      </c>
      <c r="B167" t="str">
        <f ca="1">LOOKUP(RAND(),{0,0.28,0.55,0.78},{"Oloitoktok A","Oloitoktok B","Kiserian","Namanga"})</f>
        <v>Oloitoktok A</v>
      </c>
      <c r="C167">
        <f ca="1">LOOKUP(RAND(),{0,0.02,0.09,0.2,0.35,0.52,0.68,0.81,0.91,0.97},{1,2,3,4,5,6,7,8,9,10})</f>
        <v>7</v>
      </c>
      <c r="D167">
        <f t="shared" ca="1" si="12"/>
        <v>49400</v>
      </c>
      <c r="E167" t="str">
        <f ca="1">IF(B167="Oloitoktok A",IF(D167&lt;15000,LOOKUP(RAND(),{0,0.45,0.75,0.92},{"River","Rainwater","Borehole","Vendor"}),IF(D167&lt;30000,LOOKUP(RAND(),{0,0.35,0.65,0.85},{"River","Rainwater","Borehole","Vendor"}),LOOKUP(RAND(),{0,0.25,0.5,0.75},{"River","Rainwater","Borehole","Vendor"}))),IF(B167="Oloitoktok B",IF(D167&lt;15000,LOOKUP(RAND(),{0,0.5,0.78,0.94},{"River","Rainwater","Borehole","Vendor"}),IF(D167&lt;30000,LOOKUP(RAND(),{0,0.4,0.68,0.87},{"River","Rainwater","Borehole","Vendor"}),LOOKUP(RAND(),{0,0.28,0.55,0.78},{"River","Rainwater","Borehole","Vendor"}))),IF(B167="Kiserian",IF(D167&lt;15000,LOOKUP(RAND(),{0,0.35,0.65,0.9},{"River","Rainwater","Borehole","Vendor"}),IF(D167&lt;30000,LOOKUP(RAND(),{0,0.25,0.55,0.82},{"River","Rainwater","Borehole","Vendor"}),LOOKUP(RAND(),{0,0.15,0.45,0.72},{"River","Rainwater","Borehole","Vendor"}))),IF(D167&lt;15000,LOOKUP(RAND(),{0,0.4,0.7,0.92},{"River","Rainwater","Borehole","Vendor"}),IF(D167&lt;30000,LOOKUP(RAND(),{0,0.3,0.6,0.85},{"River","Rainwater","Borehole","Vendor"}),LOOKUP(RAND(),{0,0.2,0.5,0.75},{"River","Rainwater","Borehole","Vendor"}))))))</f>
        <v>Rainwater</v>
      </c>
      <c r="F167">
        <f t="shared" ca="1" si="13"/>
        <v>38</v>
      </c>
      <c r="G167">
        <f t="shared" ca="1" si="14"/>
        <v>12.9</v>
      </c>
      <c r="H167">
        <f t="shared" ca="1" si="15"/>
        <v>8900</v>
      </c>
      <c r="I167">
        <f t="shared" ca="1" si="16"/>
        <v>0.57597459189389566</v>
      </c>
      <c r="J167">
        <v>0</v>
      </c>
    </row>
    <row r="168" spans="1:10" x14ac:dyDescent="0.3">
      <c r="A168" t="str">
        <f t="shared" si="17"/>
        <v>HH167</v>
      </c>
      <c r="B168" t="str">
        <f ca="1">LOOKUP(RAND(),{0,0.28,0.55,0.78},{"Oloitoktok A","Oloitoktok B","Kiserian","Namanga"})</f>
        <v>Oloitoktok A</v>
      </c>
      <c r="C168">
        <f ca="1">LOOKUP(RAND(),{0,0.02,0.09,0.2,0.35,0.52,0.68,0.81,0.91,0.97},{1,2,3,4,5,6,7,8,9,10})</f>
        <v>4</v>
      </c>
      <c r="D168">
        <f t="shared" ca="1" si="12"/>
        <v>31400</v>
      </c>
      <c r="E168" t="str">
        <f ca="1">IF(B168="Oloitoktok A",IF(D168&lt;15000,LOOKUP(RAND(),{0,0.45,0.75,0.92},{"River","Rainwater","Borehole","Vendor"}),IF(D168&lt;30000,LOOKUP(RAND(),{0,0.35,0.65,0.85},{"River","Rainwater","Borehole","Vendor"}),LOOKUP(RAND(),{0,0.25,0.5,0.75},{"River","Rainwater","Borehole","Vendor"}))),IF(B168="Oloitoktok B",IF(D168&lt;15000,LOOKUP(RAND(),{0,0.5,0.78,0.94},{"River","Rainwater","Borehole","Vendor"}),IF(D168&lt;30000,LOOKUP(RAND(),{0,0.4,0.68,0.87},{"River","Rainwater","Borehole","Vendor"}),LOOKUP(RAND(),{0,0.28,0.55,0.78},{"River","Rainwater","Borehole","Vendor"}))),IF(B168="Kiserian",IF(D168&lt;15000,LOOKUP(RAND(),{0,0.35,0.65,0.9},{"River","Rainwater","Borehole","Vendor"}),IF(D168&lt;30000,LOOKUP(RAND(),{0,0.25,0.55,0.82},{"River","Rainwater","Borehole","Vendor"}),LOOKUP(RAND(),{0,0.15,0.45,0.72},{"River","Rainwater","Borehole","Vendor"}))),IF(D168&lt;15000,LOOKUP(RAND(),{0,0.4,0.7,0.92},{"River","Rainwater","Borehole","Vendor"}),IF(D168&lt;30000,LOOKUP(RAND(),{0,0.3,0.6,0.85},{"River","Rainwater","Borehole","Vendor"}),LOOKUP(RAND(),{0,0.2,0.5,0.75},{"River","Rainwater","Borehole","Vendor"}))))))</f>
        <v>Rainwater</v>
      </c>
      <c r="F168">
        <f t="shared" ca="1" si="13"/>
        <v>63</v>
      </c>
      <c r="G168">
        <f t="shared" ca="1" si="14"/>
        <v>11.8</v>
      </c>
      <c r="H168">
        <f t="shared" ca="1" si="15"/>
        <v>5200</v>
      </c>
      <c r="I168">
        <f t="shared" ca="1" si="16"/>
        <v>0.41120181196961247</v>
      </c>
      <c r="J168">
        <v>0</v>
      </c>
    </row>
    <row r="169" spans="1:10" x14ac:dyDescent="0.3">
      <c r="A169" t="str">
        <f t="shared" si="17"/>
        <v>HH168</v>
      </c>
      <c r="B169" t="str">
        <f ca="1">LOOKUP(RAND(),{0,0.28,0.55,0.78},{"Oloitoktok A","Oloitoktok B","Kiserian","Namanga"})</f>
        <v>Kiserian</v>
      </c>
      <c r="C169">
        <f ca="1">LOOKUP(RAND(),{0,0.02,0.09,0.2,0.35,0.52,0.68,0.81,0.91,0.97},{1,2,3,4,5,6,7,8,9,10})</f>
        <v>4</v>
      </c>
      <c r="D169">
        <f t="shared" ca="1" si="12"/>
        <v>15900</v>
      </c>
      <c r="E169" t="str">
        <f ca="1">IF(B169="Oloitoktok A",IF(D169&lt;15000,LOOKUP(RAND(),{0,0.45,0.75,0.92},{"River","Rainwater","Borehole","Vendor"}),IF(D169&lt;30000,LOOKUP(RAND(),{0,0.35,0.65,0.85},{"River","Rainwater","Borehole","Vendor"}),LOOKUP(RAND(),{0,0.25,0.5,0.75},{"River","Rainwater","Borehole","Vendor"}))),IF(B169="Oloitoktok B",IF(D169&lt;15000,LOOKUP(RAND(),{0,0.5,0.78,0.94},{"River","Rainwater","Borehole","Vendor"}),IF(D169&lt;30000,LOOKUP(RAND(),{0,0.4,0.68,0.87},{"River","Rainwater","Borehole","Vendor"}),LOOKUP(RAND(),{0,0.28,0.55,0.78},{"River","Rainwater","Borehole","Vendor"}))),IF(B169="Kiserian",IF(D169&lt;15000,LOOKUP(RAND(),{0,0.35,0.65,0.9},{"River","Rainwater","Borehole","Vendor"}),IF(D169&lt;30000,LOOKUP(RAND(),{0,0.25,0.55,0.82},{"River","Rainwater","Borehole","Vendor"}),LOOKUP(RAND(),{0,0.15,0.45,0.72},{"River","Rainwater","Borehole","Vendor"}))),IF(D169&lt;15000,LOOKUP(RAND(),{0,0.4,0.7,0.92},{"River","Rainwater","Borehole","Vendor"}),IF(D169&lt;30000,LOOKUP(RAND(),{0,0.3,0.6,0.85},{"River","Rainwater","Borehole","Vendor"}),LOOKUP(RAND(),{0,0.2,0.5,0.75},{"River","Rainwater","Borehole","Vendor"}))))))</f>
        <v>River</v>
      </c>
      <c r="F169">
        <f t="shared" ca="1" si="13"/>
        <v>97</v>
      </c>
      <c r="G169">
        <f t="shared" ca="1" si="14"/>
        <v>1.5</v>
      </c>
      <c r="H169">
        <f t="shared" ca="1" si="15"/>
        <v>10500</v>
      </c>
      <c r="I169">
        <f t="shared" ca="1" si="16"/>
        <v>0.38830673419134754</v>
      </c>
      <c r="J169">
        <v>0</v>
      </c>
    </row>
    <row r="170" spans="1:10" x14ac:dyDescent="0.3">
      <c r="A170" t="str">
        <f t="shared" si="17"/>
        <v>HH169</v>
      </c>
      <c r="B170" t="str">
        <f ca="1">LOOKUP(RAND(),{0,0.28,0.55,0.78},{"Oloitoktok A","Oloitoktok B","Kiserian","Namanga"})</f>
        <v>Oloitoktok B</v>
      </c>
      <c r="C170">
        <f ca="1">LOOKUP(RAND(),{0,0.02,0.09,0.2,0.35,0.52,0.68,0.81,0.91,0.97},{1,2,3,4,5,6,7,8,9,10})</f>
        <v>5</v>
      </c>
      <c r="D170">
        <f t="shared" ca="1" si="12"/>
        <v>54900</v>
      </c>
      <c r="E170" t="str">
        <f ca="1">IF(B170="Oloitoktok A",IF(D170&lt;15000,LOOKUP(RAND(),{0,0.45,0.75,0.92},{"River","Rainwater","Borehole","Vendor"}),IF(D170&lt;30000,LOOKUP(RAND(),{0,0.35,0.65,0.85},{"River","Rainwater","Borehole","Vendor"}),LOOKUP(RAND(),{0,0.25,0.5,0.75},{"River","Rainwater","Borehole","Vendor"}))),IF(B170="Oloitoktok B",IF(D170&lt;15000,LOOKUP(RAND(),{0,0.5,0.78,0.94},{"River","Rainwater","Borehole","Vendor"}),IF(D170&lt;30000,LOOKUP(RAND(),{0,0.4,0.68,0.87},{"River","Rainwater","Borehole","Vendor"}),LOOKUP(RAND(),{0,0.28,0.55,0.78},{"River","Rainwater","Borehole","Vendor"}))),IF(B170="Kiserian",IF(D170&lt;15000,LOOKUP(RAND(),{0,0.35,0.65,0.9},{"River","Rainwater","Borehole","Vendor"}),IF(D170&lt;30000,LOOKUP(RAND(),{0,0.25,0.55,0.82},{"River","Rainwater","Borehole","Vendor"}),LOOKUP(RAND(),{0,0.15,0.45,0.72},{"River","Rainwater","Borehole","Vendor"}))),IF(D170&lt;15000,LOOKUP(RAND(),{0,0.4,0.7,0.92},{"River","Rainwater","Borehole","Vendor"}),IF(D170&lt;30000,LOOKUP(RAND(),{0,0.3,0.6,0.85},{"River","Rainwater","Borehole","Vendor"}),LOOKUP(RAND(),{0,0.2,0.5,0.75},{"River","Rainwater","Borehole","Vendor"}))))))</f>
        <v>River</v>
      </c>
      <c r="F170">
        <f t="shared" ca="1" si="13"/>
        <v>113</v>
      </c>
      <c r="G170">
        <f t="shared" ca="1" si="14"/>
        <v>5</v>
      </c>
      <c r="H170">
        <f t="shared" ca="1" si="15"/>
        <v>8500</v>
      </c>
      <c r="I170">
        <f t="shared" ca="1" si="16"/>
        <v>0.76420901860052137</v>
      </c>
      <c r="J170">
        <v>0</v>
      </c>
    </row>
    <row r="171" spans="1:10" x14ac:dyDescent="0.3">
      <c r="A171" t="str">
        <f t="shared" si="17"/>
        <v>HH170</v>
      </c>
      <c r="B171" t="str">
        <f ca="1">LOOKUP(RAND(),{0,0.28,0.55,0.78},{"Oloitoktok A","Oloitoktok B","Kiserian","Namanga"})</f>
        <v>Oloitoktok A</v>
      </c>
      <c r="C171">
        <f ca="1">LOOKUP(RAND(),{0,0.02,0.09,0.2,0.35,0.52,0.68,0.81,0.91,0.97},{1,2,3,4,5,6,7,8,9,10})</f>
        <v>9</v>
      </c>
      <c r="D171">
        <f t="shared" ca="1" si="12"/>
        <v>18600</v>
      </c>
      <c r="E171" t="str">
        <f ca="1">IF(B171="Oloitoktok A",IF(D171&lt;15000,LOOKUP(RAND(),{0,0.45,0.75,0.92},{"River","Rainwater","Borehole","Vendor"}),IF(D171&lt;30000,LOOKUP(RAND(),{0,0.35,0.65,0.85},{"River","Rainwater","Borehole","Vendor"}),LOOKUP(RAND(),{0,0.25,0.5,0.75},{"River","Rainwater","Borehole","Vendor"}))),IF(B171="Oloitoktok B",IF(D171&lt;15000,LOOKUP(RAND(),{0,0.5,0.78,0.94},{"River","Rainwater","Borehole","Vendor"}),IF(D171&lt;30000,LOOKUP(RAND(),{0,0.4,0.68,0.87},{"River","Rainwater","Borehole","Vendor"}),LOOKUP(RAND(),{0,0.28,0.55,0.78},{"River","Rainwater","Borehole","Vendor"}))),IF(B171="Kiserian",IF(D171&lt;15000,LOOKUP(RAND(),{0,0.35,0.65,0.9},{"River","Rainwater","Borehole","Vendor"}),IF(D171&lt;30000,LOOKUP(RAND(),{0,0.25,0.55,0.82},{"River","Rainwater","Borehole","Vendor"}),LOOKUP(RAND(),{0,0.15,0.45,0.72},{"River","Rainwater","Borehole","Vendor"}))),IF(D171&lt;15000,LOOKUP(RAND(),{0,0.4,0.7,0.92},{"River","Rainwater","Borehole","Vendor"}),IF(D171&lt;30000,LOOKUP(RAND(),{0,0.3,0.6,0.85},{"River","Rainwater","Borehole","Vendor"}),LOOKUP(RAND(),{0,0.2,0.5,0.75},{"River","Rainwater","Borehole","Vendor"}))))))</f>
        <v>Vendor</v>
      </c>
      <c r="F171">
        <f t="shared" ca="1" si="13"/>
        <v>25</v>
      </c>
      <c r="G171">
        <f t="shared" ca="1" si="14"/>
        <v>9.9</v>
      </c>
      <c r="H171">
        <f t="shared" ca="1" si="15"/>
        <v>6300</v>
      </c>
      <c r="I171">
        <f t="shared" ca="1" si="16"/>
        <v>0.50883307005483625</v>
      </c>
      <c r="J171">
        <v>0</v>
      </c>
    </row>
    <row r="172" spans="1:10" x14ac:dyDescent="0.3">
      <c r="A172" t="str">
        <f t="shared" si="17"/>
        <v>HH171</v>
      </c>
      <c r="B172" t="str">
        <f ca="1">LOOKUP(RAND(),{0,0.28,0.55,0.78},{"Oloitoktok A","Oloitoktok B","Kiserian","Namanga"})</f>
        <v>Oloitoktok B</v>
      </c>
      <c r="C172">
        <f ca="1">LOOKUP(RAND(),{0,0.02,0.09,0.2,0.35,0.52,0.68,0.81,0.91,0.97},{1,2,3,4,5,6,7,8,9,10})</f>
        <v>6</v>
      </c>
      <c r="D172">
        <f t="shared" ca="1" si="12"/>
        <v>75400</v>
      </c>
      <c r="E172" t="str">
        <f ca="1">IF(B172="Oloitoktok A",IF(D172&lt;15000,LOOKUP(RAND(),{0,0.45,0.75,0.92},{"River","Rainwater","Borehole","Vendor"}),IF(D172&lt;30000,LOOKUP(RAND(),{0,0.35,0.65,0.85},{"River","Rainwater","Borehole","Vendor"}),LOOKUP(RAND(),{0,0.25,0.5,0.75},{"River","Rainwater","Borehole","Vendor"}))),IF(B172="Oloitoktok B",IF(D172&lt;15000,LOOKUP(RAND(),{0,0.5,0.78,0.94},{"River","Rainwater","Borehole","Vendor"}),IF(D172&lt;30000,LOOKUP(RAND(),{0,0.4,0.68,0.87},{"River","Rainwater","Borehole","Vendor"}),LOOKUP(RAND(),{0,0.28,0.55,0.78},{"River","Rainwater","Borehole","Vendor"}))),IF(B172="Kiserian",IF(D172&lt;15000,LOOKUP(RAND(),{0,0.35,0.65,0.9},{"River","Rainwater","Borehole","Vendor"}),IF(D172&lt;30000,LOOKUP(RAND(),{0,0.25,0.55,0.82},{"River","Rainwater","Borehole","Vendor"}),LOOKUP(RAND(),{0,0.15,0.45,0.72},{"River","Rainwater","Borehole","Vendor"}))),IF(D172&lt;15000,LOOKUP(RAND(),{0,0.4,0.7,0.92},{"River","Rainwater","Borehole","Vendor"}),IF(D172&lt;30000,LOOKUP(RAND(),{0,0.3,0.6,0.85},{"River","Rainwater","Borehole","Vendor"}),LOOKUP(RAND(),{0,0.2,0.5,0.75},{"River","Rainwater","Borehole","Vendor"}))))))</f>
        <v>River</v>
      </c>
      <c r="F172">
        <f t="shared" ca="1" si="13"/>
        <v>57</v>
      </c>
      <c r="G172">
        <f t="shared" ca="1" si="14"/>
        <v>7.9</v>
      </c>
      <c r="H172">
        <f t="shared" ca="1" si="15"/>
        <v>4500</v>
      </c>
      <c r="I172">
        <f t="shared" ca="1" si="16"/>
        <v>6.6486245470124938E-2</v>
      </c>
      <c r="J172">
        <v>0</v>
      </c>
    </row>
    <row r="173" spans="1:10" x14ac:dyDescent="0.3">
      <c r="A173" t="str">
        <f t="shared" si="17"/>
        <v>HH172</v>
      </c>
      <c r="B173" t="str">
        <f ca="1">LOOKUP(RAND(),{0,0.28,0.55,0.78},{"Oloitoktok A","Oloitoktok B","Kiserian","Namanga"})</f>
        <v>Kiserian</v>
      </c>
      <c r="C173">
        <f ca="1">LOOKUP(RAND(),{0,0.02,0.09,0.2,0.35,0.52,0.68,0.81,0.91,0.97},{1,2,3,4,5,6,7,8,9,10})</f>
        <v>6</v>
      </c>
      <c r="D173">
        <f t="shared" ca="1" si="12"/>
        <v>47200</v>
      </c>
      <c r="E173" t="str">
        <f ca="1">IF(B173="Oloitoktok A",IF(D173&lt;15000,LOOKUP(RAND(),{0,0.45,0.75,0.92},{"River","Rainwater","Borehole","Vendor"}),IF(D173&lt;30000,LOOKUP(RAND(),{0,0.35,0.65,0.85},{"River","Rainwater","Borehole","Vendor"}),LOOKUP(RAND(),{0,0.25,0.5,0.75},{"River","Rainwater","Borehole","Vendor"}))),IF(B173="Oloitoktok B",IF(D173&lt;15000,LOOKUP(RAND(),{0,0.5,0.78,0.94},{"River","Rainwater","Borehole","Vendor"}),IF(D173&lt;30000,LOOKUP(RAND(),{0,0.4,0.68,0.87},{"River","Rainwater","Borehole","Vendor"}),LOOKUP(RAND(),{0,0.28,0.55,0.78},{"River","Rainwater","Borehole","Vendor"}))),IF(B173="Kiserian",IF(D173&lt;15000,LOOKUP(RAND(),{0,0.35,0.65,0.9},{"River","Rainwater","Borehole","Vendor"}),IF(D173&lt;30000,LOOKUP(RAND(),{0,0.25,0.55,0.82},{"River","Rainwater","Borehole","Vendor"}),LOOKUP(RAND(),{0,0.15,0.45,0.72},{"River","Rainwater","Borehole","Vendor"}))),IF(D173&lt;15000,LOOKUP(RAND(),{0,0.4,0.7,0.92},{"River","Rainwater","Borehole","Vendor"}),IF(D173&lt;30000,LOOKUP(RAND(),{0,0.3,0.6,0.85},{"River","Rainwater","Borehole","Vendor"}),LOOKUP(RAND(),{0,0.2,0.5,0.75},{"River","Rainwater","Borehole","Vendor"}))))))</f>
        <v>Vendor</v>
      </c>
      <c r="F173">
        <f t="shared" ca="1" si="13"/>
        <v>14</v>
      </c>
      <c r="G173">
        <f t="shared" ca="1" si="14"/>
        <v>9.3000000000000007</v>
      </c>
      <c r="H173">
        <f t="shared" ca="1" si="15"/>
        <v>5800</v>
      </c>
      <c r="I173">
        <f t="shared" ca="1" si="16"/>
        <v>0.37757764771522739</v>
      </c>
      <c r="J173">
        <v>0</v>
      </c>
    </row>
    <row r="174" spans="1:10" x14ac:dyDescent="0.3">
      <c r="A174" t="str">
        <f t="shared" si="17"/>
        <v>HH173</v>
      </c>
      <c r="B174" t="str">
        <f ca="1">LOOKUP(RAND(),{0,0.28,0.55,0.78},{"Oloitoktok A","Oloitoktok B","Kiserian","Namanga"})</f>
        <v>Kiserian</v>
      </c>
      <c r="C174">
        <f ca="1">LOOKUP(RAND(),{0,0.02,0.09,0.2,0.35,0.52,0.68,0.81,0.91,0.97},{1,2,3,4,5,6,7,8,9,10})</f>
        <v>10</v>
      </c>
      <c r="D174">
        <f t="shared" ca="1" si="12"/>
        <v>84400</v>
      </c>
      <c r="E174" t="str">
        <f ca="1">IF(B174="Oloitoktok A",IF(D174&lt;15000,LOOKUP(RAND(),{0,0.45,0.75,0.92},{"River","Rainwater","Borehole","Vendor"}),IF(D174&lt;30000,LOOKUP(RAND(),{0,0.35,0.65,0.85},{"River","Rainwater","Borehole","Vendor"}),LOOKUP(RAND(),{0,0.25,0.5,0.75},{"River","Rainwater","Borehole","Vendor"}))),IF(B174="Oloitoktok B",IF(D174&lt;15000,LOOKUP(RAND(),{0,0.5,0.78,0.94},{"River","Rainwater","Borehole","Vendor"}),IF(D174&lt;30000,LOOKUP(RAND(),{0,0.4,0.68,0.87},{"River","Rainwater","Borehole","Vendor"}),LOOKUP(RAND(),{0,0.28,0.55,0.78},{"River","Rainwater","Borehole","Vendor"}))),IF(B174="Kiserian",IF(D174&lt;15000,LOOKUP(RAND(),{0,0.35,0.65,0.9},{"River","Rainwater","Borehole","Vendor"}),IF(D174&lt;30000,LOOKUP(RAND(),{0,0.25,0.55,0.82},{"River","Rainwater","Borehole","Vendor"}),LOOKUP(RAND(),{0,0.15,0.45,0.72},{"River","Rainwater","Borehole","Vendor"}))),IF(D174&lt;15000,LOOKUP(RAND(),{0,0.4,0.7,0.92},{"River","Rainwater","Borehole","Vendor"}),IF(D174&lt;30000,LOOKUP(RAND(),{0,0.3,0.6,0.85},{"River","Rainwater","Borehole","Vendor"}),LOOKUP(RAND(),{0,0.2,0.5,0.75},{"River","Rainwater","Borehole","Vendor"}))))))</f>
        <v>Rainwater</v>
      </c>
      <c r="F174">
        <f t="shared" ca="1" si="13"/>
        <v>23</v>
      </c>
      <c r="G174">
        <f t="shared" ca="1" si="14"/>
        <v>0.8</v>
      </c>
      <c r="H174">
        <f t="shared" ca="1" si="15"/>
        <v>7400</v>
      </c>
      <c r="I174">
        <f t="shared" ca="1" si="16"/>
        <v>0.32965267706962997</v>
      </c>
      <c r="J174">
        <v>0</v>
      </c>
    </row>
    <row r="175" spans="1:10" x14ac:dyDescent="0.3">
      <c r="A175" t="str">
        <f t="shared" si="17"/>
        <v>HH174</v>
      </c>
      <c r="B175" t="str">
        <f ca="1">LOOKUP(RAND(),{0,0.28,0.55,0.78},{"Oloitoktok A","Oloitoktok B","Kiserian","Namanga"})</f>
        <v>Oloitoktok A</v>
      </c>
      <c r="C175">
        <f ca="1">LOOKUP(RAND(),{0,0.02,0.09,0.2,0.35,0.52,0.68,0.81,0.91,0.97},{1,2,3,4,5,6,7,8,9,10})</f>
        <v>3</v>
      </c>
      <c r="D175">
        <f t="shared" ca="1" si="12"/>
        <v>33600</v>
      </c>
      <c r="E175" t="str">
        <f ca="1">IF(B175="Oloitoktok A",IF(D175&lt;15000,LOOKUP(RAND(),{0,0.45,0.75,0.92},{"River","Rainwater","Borehole","Vendor"}),IF(D175&lt;30000,LOOKUP(RAND(),{0,0.35,0.65,0.85},{"River","Rainwater","Borehole","Vendor"}),LOOKUP(RAND(),{0,0.25,0.5,0.75},{"River","Rainwater","Borehole","Vendor"}))),IF(B175="Oloitoktok B",IF(D175&lt;15000,LOOKUP(RAND(),{0,0.5,0.78,0.94},{"River","Rainwater","Borehole","Vendor"}),IF(D175&lt;30000,LOOKUP(RAND(),{0,0.4,0.68,0.87},{"River","Rainwater","Borehole","Vendor"}),LOOKUP(RAND(),{0,0.28,0.55,0.78},{"River","Rainwater","Borehole","Vendor"}))),IF(B175="Kiserian",IF(D175&lt;15000,LOOKUP(RAND(),{0,0.35,0.65,0.9},{"River","Rainwater","Borehole","Vendor"}),IF(D175&lt;30000,LOOKUP(RAND(),{0,0.25,0.55,0.82},{"River","Rainwater","Borehole","Vendor"}),LOOKUP(RAND(),{0,0.15,0.45,0.72},{"River","Rainwater","Borehole","Vendor"}))),IF(D175&lt;15000,LOOKUP(RAND(),{0,0.4,0.7,0.92},{"River","Rainwater","Borehole","Vendor"}),IF(D175&lt;30000,LOOKUP(RAND(),{0,0.3,0.6,0.85},{"River","Rainwater","Borehole","Vendor"}),LOOKUP(RAND(),{0,0.2,0.5,0.75},{"River","Rainwater","Borehole","Vendor"}))))))</f>
        <v>River</v>
      </c>
      <c r="F175">
        <f t="shared" ca="1" si="13"/>
        <v>54</v>
      </c>
      <c r="G175">
        <f t="shared" ca="1" si="14"/>
        <v>4.2</v>
      </c>
      <c r="H175">
        <f t="shared" ca="1" si="15"/>
        <v>7100</v>
      </c>
      <c r="I175">
        <f t="shared" ca="1" si="16"/>
        <v>0.4611813023954725</v>
      </c>
      <c r="J175">
        <v>0</v>
      </c>
    </row>
    <row r="176" spans="1:10" x14ac:dyDescent="0.3">
      <c r="A176" t="str">
        <f t="shared" si="17"/>
        <v>HH175</v>
      </c>
      <c r="B176" t="str">
        <f ca="1">LOOKUP(RAND(),{0,0.28,0.55,0.78},{"Oloitoktok A","Oloitoktok B","Kiserian","Namanga"})</f>
        <v>Oloitoktok A</v>
      </c>
      <c r="C176">
        <f ca="1">LOOKUP(RAND(),{0,0.02,0.09,0.2,0.35,0.52,0.68,0.81,0.91,0.97},{1,2,3,4,5,6,7,8,9,10})</f>
        <v>3</v>
      </c>
      <c r="D176">
        <f t="shared" ca="1" si="12"/>
        <v>38100</v>
      </c>
      <c r="E176" t="str">
        <f ca="1">IF(B176="Oloitoktok A",IF(D176&lt;15000,LOOKUP(RAND(),{0,0.45,0.75,0.92},{"River","Rainwater","Borehole","Vendor"}),IF(D176&lt;30000,LOOKUP(RAND(),{0,0.35,0.65,0.85},{"River","Rainwater","Borehole","Vendor"}),LOOKUP(RAND(),{0,0.25,0.5,0.75},{"River","Rainwater","Borehole","Vendor"}))),IF(B176="Oloitoktok B",IF(D176&lt;15000,LOOKUP(RAND(),{0,0.5,0.78,0.94},{"River","Rainwater","Borehole","Vendor"}),IF(D176&lt;30000,LOOKUP(RAND(),{0,0.4,0.68,0.87},{"River","Rainwater","Borehole","Vendor"}),LOOKUP(RAND(),{0,0.28,0.55,0.78},{"River","Rainwater","Borehole","Vendor"}))),IF(B176="Kiserian",IF(D176&lt;15000,LOOKUP(RAND(),{0,0.35,0.65,0.9},{"River","Rainwater","Borehole","Vendor"}),IF(D176&lt;30000,LOOKUP(RAND(),{0,0.25,0.55,0.82},{"River","Rainwater","Borehole","Vendor"}),LOOKUP(RAND(),{0,0.15,0.45,0.72},{"River","Rainwater","Borehole","Vendor"}))),IF(D176&lt;15000,LOOKUP(RAND(),{0,0.4,0.7,0.92},{"River","Rainwater","Borehole","Vendor"}),IF(D176&lt;30000,LOOKUP(RAND(),{0,0.3,0.6,0.85},{"River","Rainwater","Borehole","Vendor"}),LOOKUP(RAND(),{0,0.2,0.5,0.75},{"River","Rainwater","Borehole","Vendor"}))))))</f>
        <v>Vendor</v>
      </c>
      <c r="F176">
        <f t="shared" ca="1" si="13"/>
        <v>19</v>
      </c>
      <c r="G176">
        <f t="shared" ca="1" si="14"/>
        <v>3.9</v>
      </c>
      <c r="H176">
        <f t="shared" ca="1" si="15"/>
        <v>3200</v>
      </c>
      <c r="I176">
        <f t="shared" ca="1" si="16"/>
        <v>0.20511576794955333</v>
      </c>
      <c r="J176">
        <v>0</v>
      </c>
    </row>
    <row r="177" spans="1:10" x14ac:dyDescent="0.3">
      <c r="A177" t="str">
        <f t="shared" si="17"/>
        <v>HH176</v>
      </c>
      <c r="B177" t="str">
        <f ca="1">LOOKUP(RAND(),{0,0.28,0.55,0.78},{"Oloitoktok A","Oloitoktok B","Kiserian","Namanga"})</f>
        <v>Oloitoktok A</v>
      </c>
      <c r="C177">
        <f ca="1">LOOKUP(RAND(),{0,0.02,0.09,0.2,0.35,0.52,0.68,0.81,0.91,0.97},{1,2,3,4,5,6,7,8,9,10})</f>
        <v>4</v>
      </c>
      <c r="D177">
        <f t="shared" ca="1" si="12"/>
        <v>19500</v>
      </c>
      <c r="E177" t="str">
        <f ca="1">IF(B177="Oloitoktok A",IF(D177&lt;15000,LOOKUP(RAND(),{0,0.45,0.75,0.92},{"River","Rainwater","Borehole","Vendor"}),IF(D177&lt;30000,LOOKUP(RAND(),{0,0.35,0.65,0.85},{"River","Rainwater","Borehole","Vendor"}),LOOKUP(RAND(),{0,0.25,0.5,0.75},{"River","Rainwater","Borehole","Vendor"}))),IF(B177="Oloitoktok B",IF(D177&lt;15000,LOOKUP(RAND(),{0,0.5,0.78,0.94},{"River","Rainwater","Borehole","Vendor"}),IF(D177&lt;30000,LOOKUP(RAND(),{0,0.4,0.68,0.87},{"River","Rainwater","Borehole","Vendor"}),LOOKUP(RAND(),{0,0.28,0.55,0.78},{"River","Rainwater","Borehole","Vendor"}))),IF(B177="Kiserian",IF(D177&lt;15000,LOOKUP(RAND(),{0,0.35,0.65,0.9},{"River","Rainwater","Borehole","Vendor"}),IF(D177&lt;30000,LOOKUP(RAND(),{0,0.25,0.55,0.82},{"River","Rainwater","Borehole","Vendor"}),LOOKUP(RAND(),{0,0.15,0.45,0.72},{"River","Rainwater","Borehole","Vendor"}))),IF(D177&lt;15000,LOOKUP(RAND(),{0,0.4,0.7,0.92},{"River","Rainwater","Borehole","Vendor"}),IF(D177&lt;30000,LOOKUP(RAND(),{0,0.3,0.6,0.85},{"River","Rainwater","Borehole","Vendor"}),LOOKUP(RAND(),{0,0.2,0.5,0.75},{"River","Rainwater","Borehole","Vendor"}))))))</f>
        <v>Rainwater</v>
      </c>
      <c r="F177">
        <f t="shared" ca="1" si="13"/>
        <v>29</v>
      </c>
      <c r="G177">
        <f t="shared" ca="1" si="14"/>
        <v>6.3</v>
      </c>
      <c r="H177">
        <f t="shared" ca="1" si="15"/>
        <v>4200</v>
      </c>
      <c r="I177">
        <f t="shared" ca="1" si="16"/>
        <v>0.99551799239697769</v>
      </c>
      <c r="J177">
        <v>0</v>
      </c>
    </row>
    <row r="178" spans="1:10" x14ac:dyDescent="0.3">
      <c r="A178" t="str">
        <f t="shared" si="17"/>
        <v>HH177</v>
      </c>
      <c r="B178" t="str">
        <f ca="1">LOOKUP(RAND(),{0,0.28,0.55,0.78},{"Oloitoktok A","Oloitoktok B","Kiserian","Namanga"})</f>
        <v>Oloitoktok A</v>
      </c>
      <c r="C178">
        <f ca="1">LOOKUP(RAND(),{0,0.02,0.09,0.2,0.35,0.52,0.68,0.81,0.91,0.97},{1,2,3,4,5,6,7,8,9,10})</f>
        <v>5</v>
      </c>
      <c r="D178">
        <f t="shared" ca="1" si="12"/>
        <v>25800</v>
      </c>
      <c r="E178" t="str">
        <f ca="1">IF(B178="Oloitoktok A",IF(D178&lt;15000,LOOKUP(RAND(),{0,0.45,0.75,0.92},{"River","Rainwater","Borehole","Vendor"}),IF(D178&lt;30000,LOOKUP(RAND(),{0,0.35,0.65,0.85},{"River","Rainwater","Borehole","Vendor"}),LOOKUP(RAND(),{0,0.25,0.5,0.75},{"River","Rainwater","Borehole","Vendor"}))),IF(B178="Oloitoktok B",IF(D178&lt;15000,LOOKUP(RAND(),{0,0.5,0.78,0.94},{"River","Rainwater","Borehole","Vendor"}),IF(D178&lt;30000,LOOKUP(RAND(),{0,0.4,0.68,0.87},{"River","Rainwater","Borehole","Vendor"}),LOOKUP(RAND(),{0,0.28,0.55,0.78},{"River","Rainwater","Borehole","Vendor"}))),IF(B178="Kiserian",IF(D178&lt;15000,LOOKUP(RAND(),{0,0.35,0.65,0.9},{"River","Rainwater","Borehole","Vendor"}),IF(D178&lt;30000,LOOKUP(RAND(),{0,0.25,0.55,0.82},{"River","Rainwater","Borehole","Vendor"}),LOOKUP(RAND(),{0,0.15,0.45,0.72},{"River","Rainwater","Borehole","Vendor"}))),IF(D178&lt;15000,LOOKUP(RAND(),{0,0.4,0.7,0.92},{"River","Rainwater","Borehole","Vendor"}),IF(D178&lt;30000,LOOKUP(RAND(),{0,0.3,0.6,0.85},{"River","Rainwater","Borehole","Vendor"}),LOOKUP(RAND(),{0,0.2,0.5,0.75},{"River","Rainwater","Borehole","Vendor"}))))))</f>
        <v>Rainwater</v>
      </c>
      <c r="F178">
        <f t="shared" ca="1" si="13"/>
        <v>47</v>
      </c>
      <c r="G178">
        <f t="shared" ca="1" si="14"/>
        <v>4.4000000000000004</v>
      </c>
      <c r="H178">
        <f t="shared" ca="1" si="15"/>
        <v>3500</v>
      </c>
      <c r="I178">
        <f t="shared" ca="1" si="16"/>
        <v>0.32906461676557508</v>
      </c>
      <c r="J178">
        <v>0</v>
      </c>
    </row>
    <row r="179" spans="1:10" x14ac:dyDescent="0.3">
      <c r="A179" t="str">
        <f t="shared" si="17"/>
        <v>HH178</v>
      </c>
      <c r="B179" t="str">
        <f ca="1">LOOKUP(RAND(),{0,0.28,0.55,0.78},{"Oloitoktok A","Oloitoktok B","Kiserian","Namanga"})</f>
        <v>Namanga</v>
      </c>
      <c r="C179">
        <f ca="1">LOOKUP(RAND(),{0,0.02,0.09,0.2,0.35,0.52,0.68,0.81,0.91,0.97},{1,2,3,4,5,6,7,8,9,10})</f>
        <v>2</v>
      </c>
      <c r="D179">
        <f t="shared" ca="1" si="12"/>
        <v>10100</v>
      </c>
      <c r="E179" t="str">
        <f ca="1">IF(B179="Oloitoktok A",IF(D179&lt;15000,LOOKUP(RAND(),{0,0.45,0.75,0.92},{"River","Rainwater","Borehole","Vendor"}),IF(D179&lt;30000,LOOKUP(RAND(),{0,0.35,0.65,0.85},{"River","Rainwater","Borehole","Vendor"}),LOOKUP(RAND(),{0,0.25,0.5,0.75},{"River","Rainwater","Borehole","Vendor"}))),IF(B179="Oloitoktok B",IF(D179&lt;15000,LOOKUP(RAND(),{0,0.5,0.78,0.94},{"River","Rainwater","Borehole","Vendor"}),IF(D179&lt;30000,LOOKUP(RAND(),{0,0.4,0.68,0.87},{"River","Rainwater","Borehole","Vendor"}),LOOKUP(RAND(),{0,0.28,0.55,0.78},{"River","Rainwater","Borehole","Vendor"}))),IF(B179="Kiserian",IF(D179&lt;15000,LOOKUP(RAND(),{0,0.35,0.65,0.9},{"River","Rainwater","Borehole","Vendor"}),IF(D179&lt;30000,LOOKUP(RAND(),{0,0.25,0.55,0.82},{"River","Rainwater","Borehole","Vendor"}),LOOKUP(RAND(),{0,0.15,0.45,0.72},{"River","Rainwater","Borehole","Vendor"}))),IF(D179&lt;15000,LOOKUP(RAND(),{0,0.4,0.7,0.92},{"River","Rainwater","Borehole","Vendor"}),IF(D179&lt;30000,LOOKUP(RAND(),{0,0.3,0.6,0.85},{"River","Rainwater","Borehole","Vendor"}),LOOKUP(RAND(),{0,0.2,0.5,0.75},{"River","Rainwater","Borehole","Vendor"}))))))</f>
        <v>Rainwater</v>
      </c>
      <c r="F179">
        <f t="shared" ca="1" si="13"/>
        <v>47</v>
      </c>
      <c r="G179">
        <f t="shared" ca="1" si="14"/>
        <v>11</v>
      </c>
      <c r="H179">
        <f t="shared" ca="1" si="15"/>
        <v>1600</v>
      </c>
      <c r="I179">
        <f t="shared" ca="1" si="16"/>
        <v>0.72260741548392371</v>
      </c>
      <c r="J179">
        <v>0</v>
      </c>
    </row>
    <row r="180" spans="1:10" x14ac:dyDescent="0.3">
      <c r="A180" t="str">
        <f t="shared" si="17"/>
        <v>HH179</v>
      </c>
      <c r="B180" t="str">
        <f ca="1">LOOKUP(RAND(),{0,0.28,0.55,0.78},{"Oloitoktok A","Oloitoktok B","Kiserian","Namanga"})</f>
        <v>Oloitoktok B</v>
      </c>
      <c r="C180">
        <f ca="1">LOOKUP(RAND(),{0,0.02,0.09,0.2,0.35,0.52,0.68,0.81,0.91,0.97},{1,2,3,4,5,6,7,8,9,10})</f>
        <v>5</v>
      </c>
      <c r="D180">
        <f t="shared" ca="1" si="12"/>
        <v>8200</v>
      </c>
      <c r="E180" t="str">
        <f ca="1">IF(B180="Oloitoktok A",IF(D180&lt;15000,LOOKUP(RAND(),{0,0.45,0.75,0.92},{"River","Rainwater","Borehole","Vendor"}),IF(D180&lt;30000,LOOKUP(RAND(),{0,0.35,0.65,0.85},{"River","Rainwater","Borehole","Vendor"}),LOOKUP(RAND(),{0,0.25,0.5,0.75},{"River","Rainwater","Borehole","Vendor"}))),IF(B180="Oloitoktok B",IF(D180&lt;15000,LOOKUP(RAND(),{0,0.5,0.78,0.94},{"River","Rainwater","Borehole","Vendor"}),IF(D180&lt;30000,LOOKUP(RAND(),{0,0.4,0.68,0.87},{"River","Rainwater","Borehole","Vendor"}),LOOKUP(RAND(),{0,0.28,0.55,0.78},{"River","Rainwater","Borehole","Vendor"}))),IF(B180="Kiserian",IF(D180&lt;15000,LOOKUP(RAND(),{0,0.35,0.65,0.9},{"River","Rainwater","Borehole","Vendor"}),IF(D180&lt;30000,LOOKUP(RAND(),{0,0.25,0.55,0.82},{"River","Rainwater","Borehole","Vendor"}),LOOKUP(RAND(),{0,0.15,0.45,0.72},{"River","Rainwater","Borehole","Vendor"}))),IF(D180&lt;15000,LOOKUP(RAND(),{0,0.4,0.7,0.92},{"River","Rainwater","Borehole","Vendor"}),IF(D180&lt;30000,LOOKUP(RAND(),{0,0.3,0.6,0.85},{"River","Rainwater","Borehole","Vendor"}),LOOKUP(RAND(),{0,0.2,0.5,0.75},{"River","Rainwater","Borehole","Vendor"}))))))</f>
        <v>River</v>
      </c>
      <c r="F180">
        <f t="shared" ca="1" si="13"/>
        <v>106</v>
      </c>
      <c r="G180">
        <f t="shared" ca="1" si="14"/>
        <v>11.7</v>
      </c>
      <c r="H180">
        <f t="shared" ca="1" si="15"/>
        <v>9500</v>
      </c>
      <c r="I180">
        <f t="shared" ca="1" si="16"/>
        <v>0.69455670934352531</v>
      </c>
      <c r="J180">
        <v>0</v>
      </c>
    </row>
    <row r="181" spans="1:10" x14ac:dyDescent="0.3">
      <c r="A181" t="str">
        <f t="shared" si="17"/>
        <v>HH180</v>
      </c>
      <c r="B181" t="str">
        <f ca="1">LOOKUP(RAND(),{0,0.28,0.55,0.78},{"Oloitoktok A","Oloitoktok B","Kiserian","Namanga"})</f>
        <v>Kiserian</v>
      </c>
      <c r="C181">
        <f ca="1">LOOKUP(RAND(),{0,0.02,0.09,0.2,0.35,0.52,0.68,0.81,0.91,0.97},{1,2,3,4,5,6,7,8,9,10})</f>
        <v>6</v>
      </c>
      <c r="D181">
        <f t="shared" ca="1" si="12"/>
        <v>55700</v>
      </c>
      <c r="E181" t="str">
        <f ca="1">IF(B181="Oloitoktok A",IF(D181&lt;15000,LOOKUP(RAND(),{0,0.45,0.75,0.92},{"River","Rainwater","Borehole","Vendor"}),IF(D181&lt;30000,LOOKUP(RAND(),{0,0.35,0.65,0.85},{"River","Rainwater","Borehole","Vendor"}),LOOKUP(RAND(),{0,0.25,0.5,0.75},{"River","Rainwater","Borehole","Vendor"}))),IF(B181="Oloitoktok B",IF(D181&lt;15000,LOOKUP(RAND(),{0,0.5,0.78,0.94},{"River","Rainwater","Borehole","Vendor"}),IF(D181&lt;30000,LOOKUP(RAND(),{0,0.4,0.68,0.87},{"River","Rainwater","Borehole","Vendor"}),LOOKUP(RAND(),{0,0.28,0.55,0.78},{"River","Rainwater","Borehole","Vendor"}))),IF(B181="Kiserian",IF(D181&lt;15000,LOOKUP(RAND(),{0,0.35,0.65,0.9},{"River","Rainwater","Borehole","Vendor"}),IF(D181&lt;30000,LOOKUP(RAND(),{0,0.25,0.55,0.82},{"River","Rainwater","Borehole","Vendor"}),LOOKUP(RAND(),{0,0.15,0.45,0.72},{"River","Rainwater","Borehole","Vendor"}))),IF(D181&lt;15000,LOOKUP(RAND(),{0,0.4,0.7,0.92},{"River","Rainwater","Borehole","Vendor"}),IF(D181&lt;30000,LOOKUP(RAND(),{0,0.3,0.6,0.85},{"River","Rainwater","Borehole","Vendor"}),LOOKUP(RAND(),{0,0.2,0.5,0.75},{"River","Rainwater","Borehole","Vendor"}))))))</f>
        <v>Vendor</v>
      </c>
      <c r="F181">
        <f t="shared" ca="1" si="13"/>
        <v>13</v>
      </c>
      <c r="G181">
        <f t="shared" ca="1" si="14"/>
        <v>1.3</v>
      </c>
      <c r="H181">
        <f t="shared" ca="1" si="15"/>
        <v>2700</v>
      </c>
      <c r="I181">
        <f t="shared" ca="1" si="16"/>
        <v>0.88803674100541419</v>
      </c>
      <c r="J181">
        <v>0</v>
      </c>
    </row>
    <row r="182" spans="1:10" x14ac:dyDescent="0.3">
      <c r="A182" t="str">
        <f t="shared" si="17"/>
        <v>HH181</v>
      </c>
      <c r="B182" t="str">
        <f ca="1">LOOKUP(RAND(),{0,0.28,0.55,0.78},{"Oloitoktok A","Oloitoktok B","Kiserian","Namanga"})</f>
        <v>Kiserian</v>
      </c>
      <c r="C182">
        <f ca="1">LOOKUP(RAND(),{0,0.02,0.09,0.2,0.35,0.52,0.68,0.81,0.91,0.97},{1,2,3,4,5,6,7,8,9,10})</f>
        <v>8</v>
      </c>
      <c r="D182">
        <f t="shared" ca="1" si="12"/>
        <v>18100</v>
      </c>
      <c r="E182" t="str">
        <f ca="1">IF(B182="Oloitoktok A",IF(D182&lt;15000,LOOKUP(RAND(),{0,0.45,0.75,0.92},{"River","Rainwater","Borehole","Vendor"}),IF(D182&lt;30000,LOOKUP(RAND(),{0,0.35,0.65,0.85},{"River","Rainwater","Borehole","Vendor"}),LOOKUP(RAND(),{0,0.25,0.5,0.75},{"River","Rainwater","Borehole","Vendor"}))),IF(B182="Oloitoktok B",IF(D182&lt;15000,LOOKUP(RAND(),{0,0.5,0.78,0.94},{"River","Rainwater","Borehole","Vendor"}),IF(D182&lt;30000,LOOKUP(RAND(),{0,0.4,0.68,0.87},{"River","Rainwater","Borehole","Vendor"}),LOOKUP(RAND(),{0,0.28,0.55,0.78},{"River","Rainwater","Borehole","Vendor"}))),IF(B182="Kiserian",IF(D182&lt;15000,LOOKUP(RAND(),{0,0.35,0.65,0.9},{"River","Rainwater","Borehole","Vendor"}),IF(D182&lt;30000,LOOKUP(RAND(),{0,0.25,0.55,0.82},{"River","Rainwater","Borehole","Vendor"}),LOOKUP(RAND(),{0,0.15,0.45,0.72},{"River","Rainwater","Borehole","Vendor"}))),IF(D182&lt;15000,LOOKUP(RAND(),{0,0.4,0.7,0.92},{"River","Rainwater","Borehole","Vendor"}),IF(D182&lt;30000,LOOKUP(RAND(),{0,0.3,0.6,0.85},{"River","Rainwater","Borehole","Vendor"}),LOOKUP(RAND(),{0,0.2,0.5,0.75},{"River","Rainwater","Borehole","Vendor"}))))))</f>
        <v>Vendor</v>
      </c>
      <c r="F182">
        <f t="shared" ca="1" si="13"/>
        <v>20</v>
      </c>
      <c r="G182">
        <f t="shared" ca="1" si="14"/>
        <v>8.5</v>
      </c>
      <c r="H182">
        <f t="shared" ca="1" si="15"/>
        <v>6500</v>
      </c>
      <c r="I182">
        <f t="shared" ca="1" si="16"/>
        <v>0.50663041724824842</v>
      </c>
      <c r="J182">
        <v>0</v>
      </c>
    </row>
    <row r="183" spans="1:10" x14ac:dyDescent="0.3">
      <c r="A183" t="str">
        <f t="shared" si="17"/>
        <v>HH182</v>
      </c>
      <c r="B183" t="str">
        <f ca="1">LOOKUP(RAND(),{0,0.28,0.55,0.78},{"Oloitoktok A","Oloitoktok B","Kiserian","Namanga"})</f>
        <v>Oloitoktok A</v>
      </c>
      <c r="C183">
        <f ca="1">LOOKUP(RAND(),{0,0.02,0.09,0.2,0.35,0.52,0.68,0.81,0.91,0.97},{1,2,3,4,5,6,7,8,9,10})</f>
        <v>10</v>
      </c>
      <c r="D183">
        <f t="shared" ca="1" si="12"/>
        <v>47100</v>
      </c>
      <c r="E183" t="str">
        <f ca="1">IF(B183="Oloitoktok A",IF(D183&lt;15000,LOOKUP(RAND(),{0,0.45,0.75,0.92},{"River","Rainwater","Borehole","Vendor"}),IF(D183&lt;30000,LOOKUP(RAND(),{0,0.35,0.65,0.85},{"River","Rainwater","Borehole","Vendor"}),LOOKUP(RAND(),{0,0.25,0.5,0.75},{"River","Rainwater","Borehole","Vendor"}))),IF(B183="Oloitoktok B",IF(D183&lt;15000,LOOKUP(RAND(),{0,0.5,0.78,0.94},{"River","Rainwater","Borehole","Vendor"}),IF(D183&lt;30000,LOOKUP(RAND(),{0,0.4,0.68,0.87},{"River","Rainwater","Borehole","Vendor"}),LOOKUP(RAND(),{0,0.28,0.55,0.78},{"River","Rainwater","Borehole","Vendor"}))),IF(B183="Kiserian",IF(D183&lt;15000,LOOKUP(RAND(),{0,0.35,0.65,0.9},{"River","Rainwater","Borehole","Vendor"}),IF(D183&lt;30000,LOOKUP(RAND(),{0,0.25,0.55,0.82},{"River","Rainwater","Borehole","Vendor"}),LOOKUP(RAND(),{0,0.15,0.45,0.72},{"River","Rainwater","Borehole","Vendor"}))),IF(D183&lt;15000,LOOKUP(RAND(),{0,0.4,0.7,0.92},{"River","Rainwater","Borehole","Vendor"}),IF(D183&lt;30000,LOOKUP(RAND(),{0,0.3,0.6,0.85},{"River","Rainwater","Borehole","Vendor"}),LOOKUP(RAND(),{0,0.2,0.5,0.75},{"River","Rainwater","Borehole","Vendor"}))))))</f>
        <v>Borehole</v>
      </c>
      <c r="F183">
        <f t="shared" ca="1" si="13"/>
        <v>69</v>
      </c>
      <c r="G183">
        <f t="shared" ca="1" si="14"/>
        <v>9.8000000000000007</v>
      </c>
      <c r="H183">
        <f t="shared" ca="1" si="15"/>
        <v>10800</v>
      </c>
      <c r="I183">
        <f t="shared" ca="1" si="16"/>
        <v>0.22293155605843584</v>
      </c>
      <c r="J183">
        <v>0</v>
      </c>
    </row>
    <row r="184" spans="1:10" x14ac:dyDescent="0.3">
      <c r="A184" t="str">
        <f t="shared" si="17"/>
        <v>HH183</v>
      </c>
      <c r="B184" t="str">
        <f ca="1">LOOKUP(RAND(),{0,0.28,0.55,0.78},{"Oloitoktok A","Oloitoktok B","Kiserian","Namanga"})</f>
        <v>Oloitoktok B</v>
      </c>
      <c r="C184">
        <f ca="1">LOOKUP(RAND(),{0,0.02,0.09,0.2,0.35,0.52,0.68,0.81,0.91,0.97},{1,2,3,4,5,6,7,8,9,10})</f>
        <v>3</v>
      </c>
      <c r="D184">
        <f t="shared" ca="1" si="12"/>
        <v>41400</v>
      </c>
      <c r="E184" t="str">
        <f ca="1">IF(B184="Oloitoktok A",IF(D184&lt;15000,LOOKUP(RAND(),{0,0.45,0.75,0.92},{"River","Rainwater","Borehole","Vendor"}),IF(D184&lt;30000,LOOKUP(RAND(),{0,0.35,0.65,0.85},{"River","Rainwater","Borehole","Vendor"}),LOOKUP(RAND(),{0,0.25,0.5,0.75},{"River","Rainwater","Borehole","Vendor"}))),IF(B184="Oloitoktok B",IF(D184&lt;15000,LOOKUP(RAND(),{0,0.5,0.78,0.94},{"River","Rainwater","Borehole","Vendor"}),IF(D184&lt;30000,LOOKUP(RAND(),{0,0.4,0.68,0.87},{"River","Rainwater","Borehole","Vendor"}),LOOKUP(RAND(),{0,0.28,0.55,0.78},{"River","Rainwater","Borehole","Vendor"}))),IF(B184="Kiserian",IF(D184&lt;15000,LOOKUP(RAND(),{0,0.35,0.65,0.9},{"River","Rainwater","Borehole","Vendor"}),IF(D184&lt;30000,LOOKUP(RAND(),{0,0.25,0.55,0.82},{"River","Rainwater","Borehole","Vendor"}),LOOKUP(RAND(),{0,0.15,0.45,0.72},{"River","Rainwater","Borehole","Vendor"}))),IF(D184&lt;15000,LOOKUP(RAND(),{0,0.4,0.7,0.92},{"River","Rainwater","Borehole","Vendor"}),IF(D184&lt;30000,LOOKUP(RAND(),{0,0.3,0.6,0.85},{"River","Rainwater","Borehole","Vendor"}),LOOKUP(RAND(),{0,0.2,0.5,0.75},{"River","Rainwater","Borehole","Vendor"}))))))</f>
        <v>River</v>
      </c>
      <c r="F184">
        <f t="shared" ca="1" si="13"/>
        <v>50</v>
      </c>
      <c r="G184">
        <f t="shared" ca="1" si="14"/>
        <v>6.2</v>
      </c>
      <c r="H184">
        <f t="shared" ca="1" si="15"/>
        <v>3200</v>
      </c>
      <c r="I184">
        <f t="shared" ca="1" si="16"/>
        <v>0.13832033926332943</v>
      </c>
      <c r="J184">
        <v>0</v>
      </c>
    </row>
    <row r="185" spans="1:10" x14ac:dyDescent="0.3">
      <c r="A185" t="str">
        <f t="shared" si="17"/>
        <v>HH184</v>
      </c>
      <c r="B185" t="str">
        <f ca="1">LOOKUP(RAND(),{0,0.28,0.55,0.78},{"Oloitoktok A","Oloitoktok B","Kiserian","Namanga"})</f>
        <v>Oloitoktok A</v>
      </c>
      <c r="C185">
        <f ca="1">LOOKUP(RAND(),{0,0.02,0.09,0.2,0.35,0.52,0.68,0.81,0.91,0.97},{1,2,3,4,5,6,7,8,9,10})</f>
        <v>6</v>
      </c>
      <c r="D185">
        <f t="shared" ca="1" si="12"/>
        <v>48900</v>
      </c>
      <c r="E185" t="str">
        <f ca="1">IF(B185="Oloitoktok A",IF(D185&lt;15000,LOOKUP(RAND(),{0,0.45,0.75,0.92},{"River","Rainwater","Borehole","Vendor"}),IF(D185&lt;30000,LOOKUP(RAND(),{0,0.35,0.65,0.85},{"River","Rainwater","Borehole","Vendor"}),LOOKUP(RAND(),{0,0.25,0.5,0.75},{"River","Rainwater","Borehole","Vendor"}))),IF(B185="Oloitoktok B",IF(D185&lt;15000,LOOKUP(RAND(),{0,0.5,0.78,0.94},{"River","Rainwater","Borehole","Vendor"}),IF(D185&lt;30000,LOOKUP(RAND(),{0,0.4,0.68,0.87},{"River","Rainwater","Borehole","Vendor"}),LOOKUP(RAND(),{0,0.28,0.55,0.78},{"River","Rainwater","Borehole","Vendor"}))),IF(B185="Kiserian",IF(D185&lt;15000,LOOKUP(RAND(),{0,0.35,0.65,0.9},{"River","Rainwater","Borehole","Vendor"}),IF(D185&lt;30000,LOOKUP(RAND(),{0,0.25,0.55,0.82},{"River","Rainwater","Borehole","Vendor"}),LOOKUP(RAND(),{0,0.15,0.45,0.72},{"River","Rainwater","Borehole","Vendor"}))),IF(D185&lt;15000,LOOKUP(RAND(),{0,0.4,0.7,0.92},{"River","Rainwater","Borehole","Vendor"}),IF(D185&lt;30000,LOOKUP(RAND(),{0,0.3,0.6,0.85},{"River","Rainwater","Borehole","Vendor"}),LOOKUP(RAND(),{0,0.2,0.5,0.75},{"River","Rainwater","Borehole","Vendor"}))))))</f>
        <v>Borehole</v>
      </c>
      <c r="F185">
        <f t="shared" ca="1" si="13"/>
        <v>67</v>
      </c>
      <c r="G185">
        <f t="shared" ca="1" si="14"/>
        <v>4.8</v>
      </c>
      <c r="H185">
        <f t="shared" ca="1" si="15"/>
        <v>4800</v>
      </c>
      <c r="I185">
        <f t="shared" ca="1" si="16"/>
        <v>0.29777981052566549</v>
      </c>
      <c r="J185">
        <v>0</v>
      </c>
    </row>
    <row r="186" spans="1:10" x14ac:dyDescent="0.3">
      <c r="A186" t="str">
        <f t="shared" si="17"/>
        <v>HH185</v>
      </c>
      <c r="B186" t="str">
        <f ca="1">LOOKUP(RAND(),{0,0.28,0.55,0.78},{"Oloitoktok A","Oloitoktok B","Kiserian","Namanga"})</f>
        <v>Oloitoktok B</v>
      </c>
      <c r="C186">
        <f ca="1">LOOKUP(RAND(),{0,0.02,0.09,0.2,0.35,0.52,0.68,0.81,0.91,0.97},{1,2,3,4,5,6,7,8,9,10})</f>
        <v>7</v>
      </c>
      <c r="D186">
        <f t="shared" ca="1" si="12"/>
        <v>35300</v>
      </c>
      <c r="E186" t="str">
        <f ca="1">IF(B186="Oloitoktok A",IF(D186&lt;15000,LOOKUP(RAND(),{0,0.45,0.75,0.92},{"River","Rainwater","Borehole","Vendor"}),IF(D186&lt;30000,LOOKUP(RAND(),{0,0.35,0.65,0.85},{"River","Rainwater","Borehole","Vendor"}),LOOKUP(RAND(),{0,0.25,0.5,0.75},{"River","Rainwater","Borehole","Vendor"}))),IF(B186="Oloitoktok B",IF(D186&lt;15000,LOOKUP(RAND(),{0,0.5,0.78,0.94},{"River","Rainwater","Borehole","Vendor"}),IF(D186&lt;30000,LOOKUP(RAND(),{0,0.4,0.68,0.87},{"River","Rainwater","Borehole","Vendor"}),LOOKUP(RAND(),{0,0.28,0.55,0.78},{"River","Rainwater","Borehole","Vendor"}))),IF(B186="Kiserian",IF(D186&lt;15000,LOOKUP(RAND(),{0,0.35,0.65,0.9},{"River","Rainwater","Borehole","Vendor"}),IF(D186&lt;30000,LOOKUP(RAND(),{0,0.25,0.55,0.82},{"River","Rainwater","Borehole","Vendor"}),LOOKUP(RAND(),{0,0.15,0.45,0.72},{"River","Rainwater","Borehole","Vendor"}))),IF(D186&lt;15000,LOOKUP(RAND(),{0,0.4,0.7,0.92},{"River","Rainwater","Borehole","Vendor"}),IF(D186&lt;30000,LOOKUP(RAND(),{0,0.3,0.6,0.85},{"River","Rainwater","Borehole","Vendor"}),LOOKUP(RAND(),{0,0.2,0.5,0.75},{"River","Rainwater","Borehole","Vendor"}))))))</f>
        <v>Rainwater</v>
      </c>
      <c r="F186">
        <f t="shared" ca="1" si="13"/>
        <v>17</v>
      </c>
      <c r="G186">
        <f t="shared" ca="1" si="14"/>
        <v>1.4</v>
      </c>
      <c r="H186">
        <f t="shared" ca="1" si="15"/>
        <v>7800</v>
      </c>
      <c r="I186">
        <f t="shared" ca="1" si="16"/>
        <v>0.9050389894274139</v>
      </c>
      <c r="J186">
        <v>0</v>
      </c>
    </row>
    <row r="187" spans="1:10" x14ac:dyDescent="0.3">
      <c r="A187" t="str">
        <f t="shared" si="17"/>
        <v>HH186</v>
      </c>
      <c r="B187" t="str">
        <f ca="1">LOOKUP(RAND(),{0,0.28,0.55,0.78},{"Oloitoktok A","Oloitoktok B","Kiserian","Namanga"})</f>
        <v>Kiserian</v>
      </c>
      <c r="C187">
        <f ca="1">LOOKUP(RAND(),{0,0.02,0.09,0.2,0.35,0.52,0.68,0.81,0.91,0.97},{1,2,3,4,5,6,7,8,9,10})</f>
        <v>3</v>
      </c>
      <c r="D187">
        <f t="shared" ca="1" si="12"/>
        <v>32600</v>
      </c>
      <c r="E187" t="str">
        <f ca="1">IF(B187="Oloitoktok A",IF(D187&lt;15000,LOOKUP(RAND(),{0,0.45,0.75,0.92},{"River","Rainwater","Borehole","Vendor"}),IF(D187&lt;30000,LOOKUP(RAND(),{0,0.35,0.65,0.85},{"River","Rainwater","Borehole","Vendor"}),LOOKUP(RAND(),{0,0.25,0.5,0.75},{"River","Rainwater","Borehole","Vendor"}))),IF(B187="Oloitoktok B",IF(D187&lt;15000,LOOKUP(RAND(),{0,0.5,0.78,0.94},{"River","Rainwater","Borehole","Vendor"}),IF(D187&lt;30000,LOOKUP(RAND(),{0,0.4,0.68,0.87},{"River","Rainwater","Borehole","Vendor"}),LOOKUP(RAND(),{0,0.28,0.55,0.78},{"River","Rainwater","Borehole","Vendor"}))),IF(B187="Kiserian",IF(D187&lt;15000,LOOKUP(RAND(),{0,0.35,0.65,0.9},{"River","Rainwater","Borehole","Vendor"}),IF(D187&lt;30000,LOOKUP(RAND(),{0,0.25,0.55,0.82},{"River","Rainwater","Borehole","Vendor"}),LOOKUP(RAND(),{0,0.15,0.45,0.72},{"River","Rainwater","Borehole","Vendor"}))),IF(D187&lt;15000,LOOKUP(RAND(),{0,0.4,0.7,0.92},{"River","Rainwater","Borehole","Vendor"}),IF(D187&lt;30000,LOOKUP(RAND(),{0,0.3,0.6,0.85},{"River","Rainwater","Borehole","Vendor"}),LOOKUP(RAND(),{0,0.2,0.5,0.75},{"River","Rainwater","Borehole","Vendor"}))))))</f>
        <v>Rainwater</v>
      </c>
      <c r="F187">
        <f t="shared" ca="1" si="13"/>
        <v>62</v>
      </c>
      <c r="G187">
        <f t="shared" ca="1" si="14"/>
        <v>5.3</v>
      </c>
      <c r="H187">
        <f t="shared" ca="1" si="15"/>
        <v>5900</v>
      </c>
      <c r="I187">
        <f t="shared" ca="1" si="16"/>
        <v>0.52112649364616725</v>
      </c>
      <c r="J187">
        <v>0</v>
      </c>
    </row>
    <row r="188" spans="1:10" x14ac:dyDescent="0.3">
      <c r="A188" t="str">
        <f t="shared" si="17"/>
        <v>HH187</v>
      </c>
      <c r="B188" t="str">
        <f ca="1">LOOKUP(RAND(),{0,0.28,0.55,0.78},{"Oloitoktok A","Oloitoktok B","Kiserian","Namanga"})</f>
        <v>Namanga</v>
      </c>
      <c r="C188">
        <f ca="1">LOOKUP(RAND(),{0,0.02,0.09,0.2,0.35,0.52,0.68,0.81,0.91,0.97},{1,2,3,4,5,6,7,8,9,10})</f>
        <v>3</v>
      </c>
      <c r="D188">
        <f t="shared" ca="1" si="12"/>
        <v>30700</v>
      </c>
      <c r="E188" t="str">
        <f ca="1">IF(B188="Oloitoktok A",IF(D188&lt;15000,LOOKUP(RAND(),{0,0.45,0.75,0.92},{"River","Rainwater","Borehole","Vendor"}),IF(D188&lt;30000,LOOKUP(RAND(),{0,0.35,0.65,0.85},{"River","Rainwater","Borehole","Vendor"}),LOOKUP(RAND(),{0,0.25,0.5,0.75},{"River","Rainwater","Borehole","Vendor"}))),IF(B188="Oloitoktok B",IF(D188&lt;15000,LOOKUP(RAND(),{0,0.5,0.78,0.94},{"River","Rainwater","Borehole","Vendor"}),IF(D188&lt;30000,LOOKUP(RAND(),{0,0.4,0.68,0.87},{"River","Rainwater","Borehole","Vendor"}),LOOKUP(RAND(),{0,0.28,0.55,0.78},{"River","Rainwater","Borehole","Vendor"}))),IF(B188="Kiserian",IF(D188&lt;15000,LOOKUP(RAND(),{0,0.35,0.65,0.9},{"River","Rainwater","Borehole","Vendor"}),IF(D188&lt;30000,LOOKUP(RAND(),{0,0.25,0.55,0.82},{"River","Rainwater","Borehole","Vendor"}),LOOKUP(RAND(),{0,0.15,0.45,0.72},{"River","Rainwater","Borehole","Vendor"}))),IF(D188&lt;15000,LOOKUP(RAND(),{0,0.4,0.7,0.92},{"River","Rainwater","Borehole","Vendor"}),IF(D188&lt;30000,LOOKUP(RAND(),{0,0.3,0.6,0.85},{"River","Rainwater","Borehole","Vendor"}),LOOKUP(RAND(),{0,0.2,0.5,0.75},{"River","Rainwater","Borehole","Vendor"}))))))</f>
        <v>River</v>
      </c>
      <c r="F188">
        <f t="shared" ca="1" si="13"/>
        <v>108</v>
      </c>
      <c r="G188">
        <f t="shared" ca="1" si="14"/>
        <v>11.5</v>
      </c>
      <c r="H188">
        <f t="shared" ca="1" si="15"/>
        <v>11200</v>
      </c>
      <c r="I188">
        <f t="shared" ca="1" si="16"/>
        <v>0.15653431085445679</v>
      </c>
      <c r="J188">
        <v>0</v>
      </c>
    </row>
    <row r="189" spans="1:10" x14ac:dyDescent="0.3">
      <c r="A189" t="str">
        <f t="shared" si="17"/>
        <v>HH188</v>
      </c>
      <c r="B189" t="str">
        <f ca="1">LOOKUP(RAND(),{0,0.28,0.55,0.78},{"Oloitoktok A","Oloitoktok B","Kiserian","Namanga"})</f>
        <v>Namanga</v>
      </c>
      <c r="C189">
        <f ca="1">LOOKUP(RAND(),{0,0.02,0.09,0.2,0.35,0.52,0.68,0.81,0.91,0.97},{1,2,3,4,5,6,7,8,9,10})</f>
        <v>5</v>
      </c>
      <c r="D189">
        <f t="shared" ca="1" si="12"/>
        <v>33500</v>
      </c>
      <c r="E189" t="str">
        <f ca="1">IF(B189="Oloitoktok A",IF(D189&lt;15000,LOOKUP(RAND(),{0,0.45,0.75,0.92},{"River","Rainwater","Borehole","Vendor"}),IF(D189&lt;30000,LOOKUP(RAND(),{0,0.35,0.65,0.85},{"River","Rainwater","Borehole","Vendor"}),LOOKUP(RAND(),{0,0.25,0.5,0.75},{"River","Rainwater","Borehole","Vendor"}))),IF(B189="Oloitoktok B",IF(D189&lt;15000,LOOKUP(RAND(),{0,0.5,0.78,0.94},{"River","Rainwater","Borehole","Vendor"}),IF(D189&lt;30000,LOOKUP(RAND(),{0,0.4,0.68,0.87},{"River","Rainwater","Borehole","Vendor"}),LOOKUP(RAND(),{0,0.28,0.55,0.78},{"River","Rainwater","Borehole","Vendor"}))),IF(B189="Kiserian",IF(D189&lt;15000,LOOKUP(RAND(),{0,0.35,0.65,0.9},{"River","Rainwater","Borehole","Vendor"}),IF(D189&lt;30000,LOOKUP(RAND(),{0,0.25,0.55,0.82},{"River","Rainwater","Borehole","Vendor"}),LOOKUP(RAND(),{0,0.15,0.45,0.72},{"River","Rainwater","Borehole","Vendor"}))),IF(D189&lt;15000,LOOKUP(RAND(),{0,0.4,0.7,0.92},{"River","Rainwater","Borehole","Vendor"}),IF(D189&lt;30000,LOOKUP(RAND(),{0,0.3,0.6,0.85},{"River","Rainwater","Borehole","Vendor"}),LOOKUP(RAND(),{0,0.2,0.5,0.75},{"River","Rainwater","Borehole","Vendor"}))))))</f>
        <v>River</v>
      </c>
      <c r="F189">
        <f t="shared" ca="1" si="13"/>
        <v>101</v>
      </c>
      <c r="G189">
        <f t="shared" ca="1" si="14"/>
        <v>7.1</v>
      </c>
      <c r="H189">
        <f t="shared" ca="1" si="15"/>
        <v>300</v>
      </c>
      <c r="I189">
        <f t="shared" ca="1" si="16"/>
        <v>0.9021253579515377</v>
      </c>
      <c r="J189">
        <v>0</v>
      </c>
    </row>
    <row r="190" spans="1:10" x14ac:dyDescent="0.3">
      <c r="A190" t="str">
        <f t="shared" si="17"/>
        <v>HH189</v>
      </c>
      <c r="B190" t="str">
        <f ca="1">LOOKUP(RAND(),{0,0.28,0.55,0.78},{"Oloitoktok A","Oloitoktok B","Kiserian","Namanga"})</f>
        <v>Oloitoktok A</v>
      </c>
      <c r="C190">
        <f ca="1">LOOKUP(RAND(),{0,0.02,0.09,0.2,0.35,0.52,0.68,0.81,0.91,0.97},{1,2,3,4,5,6,7,8,9,10})</f>
        <v>3</v>
      </c>
      <c r="D190">
        <f t="shared" ca="1" si="12"/>
        <v>41700</v>
      </c>
      <c r="E190" t="str">
        <f ca="1">IF(B190="Oloitoktok A",IF(D190&lt;15000,LOOKUP(RAND(),{0,0.45,0.75,0.92},{"River","Rainwater","Borehole","Vendor"}),IF(D190&lt;30000,LOOKUP(RAND(),{0,0.35,0.65,0.85},{"River","Rainwater","Borehole","Vendor"}),LOOKUP(RAND(),{0,0.25,0.5,0.75},{"River","Rainwater","Borehole","Vendor"}))),IF(B190="Oloitoktok B",IF(D190&lt;15000,LOOKUP(RAND(),{0,0.5,0.78,0.94},{"River","Rainwater","Borehole","Vendor"}),IF(D190&lt;30000,LOOKUP(RAND(),{0,0.4,0.68,0.87},{"River","Rainwater","Borehole","Vendor"}),LOOKUP(RAND(),{0,0.28,0.55,0.78},{"River","Rainwater","Borehole","Vendor"}))),IF(B190="Kiserian",IF(D190&lt;15000,LOOKUP(RAND(),{0,0.35,0.65,0.9},{"River","Rainwater","Borehole","Vendor"}),IF(D190&lt;30000,LOOKUP(RAND(),{0,0.25,0.55,0.82},{"River","Rainwater","Borehole","Vendor"}),LOOKUP(RAND(),{0,0.15,0.45,0.72},{"River","Rainwater","Borehole","Vendor"}))),IF(D190&lt;15000,LOOKUP(RAND(),{0,0.4,0.7,0.92},{"River","Rainwater","Borehole","Vendor"}),IF(D190&lt;30000,LOOKUP(RAND(),{0,0.3,0.6,0.85},{"River","Rainwater","Borehole","Vendor"}),LOOKUP(RAND(),{0,0.2,0.5,0.75},{"River","Rainwater","Borehole","Vendor"}))))))</f>
        <v>River</v>
      </c>
      <c r="F190">
        <f t="shared" ca="1" si="13"/>
        <v>111</v>
      </c>
      <c r="G190">
        <f t="shared" ca="1" si="14"/>
        <v>1.1000000000000001</v>
      </c>
      <c r="H190">
        <f t="shared" ca="1" si="15"/>
        <v>6100</v>
      </c>
      <c r="I190">
        <f t="shared" ca="1" si="16"/>
        <v>0.19756840422374755</v>
      </c>
      <c r="J190">
        <v>0</v>
      </c>
    </row>
    <row r="191" spans="1:10" x14ac:dyDescent="0.3">
      <c r="A191" t="str">
        <f t="shared" si="17"/>
        <v>HH190</v>
      </c>
      <c r="B191" t="str">
        <f ca="1">LOOKUP(RAND(),{0,0.28,0.55,0.78},{"Oloitoktok A","Oloitoktok B","Kiserian","Namanga"})</f>
        <v>Namanga</v>
      </c>
      <c r="C191">
        <f ca="1">LOOKUP(RAND(),{0,0.02,0.09,0.2,0.35,0.52,0.68,0.81,0.91,0.97},{1,2,3,4,5,6,7,8,9,10})</f>
        <v>9</v>
      </c>
      <c r="D191">
        <f t="shared" ca="1" si="12"/>
        <v>52800</v>
      </c>
      <c r="E191" t="str">
        <f ca="1">IF(B191="Oloitoktok A",IF(D191&lt;15000,LOOKUP(RAND(),{0,0.45,0.75,0.92},{"River","Rainwater","Borehole","Vendor"}),IF(D191&lt;30000,LOOKUP(RAND(),{0,0.35,0.65,0.85},{"River","Rainwater","Borehole","Vendor"}),LOOKUP(RAND(),{0,0.25,0.5,0.75},{"River","Rainwater","Borehole","Vendor"}))),IF(B191="Oloitoktok B",IF(D191&lt;15000,LOOKUP(RAND(),{0,0.5,0.78,0.94},{"River","Rainwater","Borehole","Vendor"}),IF(D191&lt;30000,LOOKUP(RAND(),{0,0.4,0.68,0.87},{"River","Rainwater","Borehole","Vendor"}),LOOKUP(RAND(),{0,0.28,0.55,0.78},{"River","Rainwater","Borehole","Vendor"}))),IF(B191="Kiserian",IF(D191&lt;15000,LOOKUP(RAND(),{0,0.35,0.65,0.9},{"River","Rainwater","Borehole","Vendor"}),IF(D191&lt;30000,LOOKUP(RAND(),{0,0.25,0.55,0.82},{"River","Rainwater","Borehole","Vendor"}),LOOKUP(RAND(),{0,0.15,0.45,0.72},{"River","Rainwater","Borehole","Vendor"}))),IF(D191&lt;15000,LOOKUP(RAND(),{0,0.4,0.7,0.92},{"River","Rainwater","Borehole","Vendor"}),IF(D191&lt;30000,LOOKUP(RAND(),{0,0.3,0.6,0.85},{"River","Rainwater","Borehole","Vendor"}),LOOKUP(RAND(),{0,0.2,0.5,0.75},{"River","Rainwater","Borehole","Vendor"}))))))</f>
        <v>Vendor</v>
      </c>
      <c r="F191">
        <f t="shared" ca="1" si="13"/>
        <v>25</v>
      </c>
      <c r="G191">
        <f t="shared" ca="1" si="14"/>
        <v>0.4</v>
      </c>
      <c r="H191">
        <f t="shared" ca="1" si="15"/>
        <v>8800</v>
      </c>
      <c r="I191">
        <f t="shared" ca="1" si="16"/>
        <v>0.50601862281265431</v>
      </c>
      <c r="J191">
        <v>0</v>
      </c>
    </row>
    <row r="192" spans="1:10" x14ac:dyDescent="0.3">
      <c r="A192" t="str">
        <f t="shared" si="17"/>
        <v>HH191</v>
      </c>
      <c r="B192" t="str">
        <f ca="1">LOOKUP(RAND(),{0,0.28,0.55,0.78},{"Oloitoktok A","Oloitoktok B","Kiserian","Namanga"})</f>
        <v>Oloitoktok A</v>
      </c>
      <c r="C192">
        <f ca="1">LOOKUP(RAND(),{0,0.02,0.09,0.2,0.35,0.52,0.68,0.81,0.91,0.97},{1,2,3,4,5,6,7,8,9,10})</f>
        <v>5</v>
      </c>
      <c r="D192">
        <f t="shared" ca="1" si="12"/>
        <v>48300</v>
      </c>
      <c r="E192" t="str">
        <f ca="1">IF(B192="Oloitoktok A",IF(D192&lt;15000,LOOKUP(RAND(),{0,0.45,0.75,0.92},{"River","Rainwater","Borehole","Vendor"}),IF(D192&lt;30000,LOOKUP(RAND(),{0,0.35,0.65,0.85},{"River","Rainwater","Borehole","Vendor"}),LOOKUP(RAND(),{0,0.25,0.5,0.75},{"River","Rainwater","Borehole","Vendor"}))),IF(B192="Oloitoktok B",IF(D192&lt;15000,LOOKUP(RAND(),{0,0.5,0.78,0.94},{"River","Rainwater","Borehole","Vendor"}),IF(D192&lt;30000,LOOKUP(RAND(),{0,0.4,0.68,0.87},{"River","Rainwater","Borehole","Vendor"}),LOOKUP(RAND(),{0,0.28,0.55,0.78},{"River","Rainwater","Borehole","Vendor"}))),IF(B192="Kiserian",IF(D192&lt;15000,LOOKUP(RAND(),{0,0.35,0.65,0.9},{"River","Rainwater","Borehole","Vendor"}),IF(D192&lt;30000,LOOKUP(RAND(),{0,0.25,0.55,0.82},{"River","Rainwater","Borehole","Vendor"}),LOOKUP(RAND(),{0,0.15,0.45,0.72},{"River","Rainwater","Borehole","Vendor"}))),IF(D192&lt;15000,LOOKUP(RAND(),{0,0.4,0.7,0.92},{"River","Rainwater","Borehole","Vendor"}),IF(D192&lt;30000,LOOKUP(RAND(),{0,0.3,0.6,0.85},{"River","Rainwater","Borehole","Vendor"}),LOOKUP(RAND(),{0,0.2,0.5,0.75},{"River","Rainwater","Borehole","Vendor"}))))))</f>
        <v>Vendor</v>
      </c>
      <c r="F192">
        <f t="shared" ca="1" si="13"/>
        <v>49</v>
      </c>
      <c r="G192">
        <f t="shared" ca="1" si="14"/>
        <v>11.4</v>
      </c>
      <c r="H192">
        <f t="shared" ca="1" si="15"/>
        <v>1500</v>
      </c>
      <c r="I192">
        <f t="shared" ca="1" si="16"/>
        <v>6.0270192686534219E-2</v>
      </c>
      <c r="J192">
        <v>0</v>
      </c>
    </row>
    <row r="193" spans="1:10" x14ac:dyDescent="0.3">
      <c r="A193" t="str">
        <f t="shared" si="17"/>
        <v>HH192</v>
      </c>
      <c r="B193" t="str">
        <f ca="1">LOOKUP(RAND(),{0,0.28,0.55,0.78},{"Oloitoktok A","Oloitoktok B","Kiserian","Namanga"})</f>
        <v>Kiserian</v>
      </c>
      <c r="C193">
        <f ca="1">LOOKUP(RAND(),{0,0.02,0.09,0.2,0.35,0.52,0.68,0.81,0.91,0.97},{1,2,3,4,5,6,7,8,9,10})</f>
        <v>8</v>
      </c>
      <c r="D193">
        <f t="shared" ca="1" si="12"/>
        <v>25400</v>
      </c>
      <c r="E193" t="str">
        <f ca="1">IF(B193="Oloitoktok A",IF(D193&lt;15000,LOOKUP(RAND(),{0,0.45,0.75,0.92},{"River","Rainwater","Borehole","Vendor"}),IF(D193&lt;30000,LOOKUP(RAND(),{0,0.35,0.65,0.85},{"River","Rainwater","Borehole","Vendor"}),LOOKUP(RAND(),{0,0.25,0.5,0.75},{"River","Rainwater","Borehole","Vendor"}))),IF(B193="Oloitoktok B",IF(D193&lt;15000,LOOKUP(RAND(),{0,0.5,0.78,0.94},{"River","Rainwater","Borehole","Vendor"}),IF(D193&lt;30000,LOOKUP(RAND(),{0,0.4,0.68,0.87},{"River","Rainwater","Borehole","Vendor"}),LOOKUP(RAND(),{0,0.28,0.55,0.78},{"River","Rainwater","Borehole","Vendor"}))),IF(B193="Kiserian",IF(D193&lt;15000,LOOKUP(RAND(),{0,0.35,0.65,0.9},{"River","Rainwater","Borehole","Vendor"}),IF(D193&lt;30000,LOOKUP(RAND(),{0,0.25,0.55,0.82},{"River","Rainwater","Borehole","Vendor"}),LOOKUP(RAND(),{0,0.15,0.45,0.72},{"River","Rainwater","Borehole","Vendor"}))),IF(D193&lt;15000,LOOKUP(RAND(),{0,0.4,0.7,0.92},{"River","Rainwater","Borehole","Vendor"}),IF(D193&lt;30000,LOOKUP(RAND(),{0,0.3,0.6,0.85},{"River","Rainwater","Borehole","Vendor"}),LOOKUP(RAND(),{0,0.2,0.5,0.75},{"River","Rainwater","Borehole","Vendor"}))))))</f>
        <v>Rainwater</v>
      </c>
      <c r="F193">
        <f t="shared" ca="1" si="13"/>
        <v>18</v>
      </c>
      <c r="G193">
        <f t="shared" ca="1" si="14"/>
        <v>6.1</v>
      </c>
      <c r="H193">
        <f t="shared" ca="1" si="15"/>
        <v>5200</v>
      </c>
      <c r="I193">
        <f t="shared" ca="1" si="16"/>
        <v>0.55454151729876888</v>
      </c>
      <c r="J193">
        <v>0</v>
      </c>
    </row>
    <row r="194" spans="1:10" x14ac:dyDescent="0.3">
      <c r="A194" t="str">
        <f t="shared" si="17"/>
        <v>HH193</v>
      </c>
      <c r="B194" t="str">
        <f ca="1">LOOKUP(RAND(),{0,0.28,0.55,0.78},{"Oloitoktok A","Oloitoktok B","Kiserian","Namanga"})</f>
        <v>Oloitoktok A</v>
      </c>
      <c r="C194">
        <f ca="1">LOOKUP(RAND(),{0,0.02,0.09,0.2,0.35,0.52,0.68,0.81,0.91,0.97},{1,2,3,4,5,6,7,8,9,10})</f>
        <v>4</v>
      </c>
      <c r="D194">
        <f t="shared" ref="D194:D257" ca="1" si="18">MAX(5000,MIN(150000,ROUND(_xlfn.LOGNORM.INV(RAND(),LN(28000+1500*C194),0.55),-2)))</f>
        <v>51300</v>
      </c>
      <c r="E194" t="str">
        <f ca="1">IF(B194="Oloitoktok A",IF(D194&lt;15000,LOOKUP(RAND(),{0,0.45,0.75,0.92},{"River","Rainwater","Borehole","Vendor"}),IF(D194&lt;30000,LOOKUP(RAND(),{0,0.35,0.65,0.85},{"River","Rainwater","Borehole","Vendor"}),LOOKUP(RAND(),{0,0.25,0.5,0.75},{"River","Rainwater","Borehole","Vendor"}))),IF(B194="Oloitoktok B",IF(D194&lt;15000,LOOKUP(RAND(),{0,0.5,0.78,0.94},{"River","Rainwater","Borehole","Vendor"}),IF(D194&lt;30000,LOOKUP(RAND(),{0,0.4,0.68,0.87},{"River","Rainwater","Borehole","Vendor"}),LOOKUP(RAND(),{0,0.28,0.55,0.78},{"River","Rainwater","Borehole","Vendor"}))),IF(B194="Kiserian",IF(D194&lt;15000,LOOKUP(RAND(),{0,0.35,0.65,0.9},{"River","Rainwater","Borehole","Vendor"}),IF(D194&lt;30000,LOOKUP(RAND(),{0,0.25,0.55,0.82},{"River","Rainwater","Borehole","Vendor"}),LOOKUP(RAND(),{0,0.15,0.45,0.72},{"River","Rainwater","Borehole","Vendor"}))),IF(D194&lt;15000,LOOKUP(RAND(),{0,0.4,0.7,0.92},{"River","Rainwater","Borehole","Vendor"}),IF(D194&lt;30000,LOOKUP(RAND(),{0,0.3,0.6,0.85},{"River","Rainwater","Borehole","Vendor"}),LOOKUP(RAND(),{0,0.2,0.5,0.75},{"River","Rainwater","Borehole","Vendor"}))))))</f>
        <v>River</v>
      </c>
      <c r="F194">
        <f t="shared" ref="F194:F257" ca="1" si="19">IF(E194="River",RANDBETWEEN(45,120),IF(E194="Rainwater",RANDBETWEEN(15,70),IF(E194="Borehole",RANDBETWEEN(20,75),RANDBETWEEN(10,60))))</f>
        <v>98</v>
      </c>
      <c r="G194">
        <f t="shared" ref="G194:G257" ca="1" si="20">IF(B194="Oloitoktok A",ROUND(RANDBETWEEN(5,150)/10,1),IF(B194="Oloitoktok B",ROUND(RANDBETWEEN(4,140)/10,1),IF(B194="Kiserian",ROUND(RANDBETWEEN(2,100)/10,1),ROUND(RANDBETWEEN(3,120)/10,1))))</f>
        <v>11.8</v>
      </c>
      <c r="H194">
        <f t="shared" ref="H194:H257" ca="1" si="21">MAX(0,ROUND((1500+(C194*250)+(D194*0.025)+(F194*8)+(G194*120)+IF(E194="River",1200,IF(E194="Rainwater",700,IF(E194="Borehole",400,200)))+_xlfn.NORM.INV(RAND(),0,3500)),-2))</f>
        <v>1800</v>
      </c>
      <c r="I194">
        <f t="shared" ref="I194:I257" ca="1" si="22">RAND()</f>
        <v>0.74195796230708977</v>
      </c>
      <c r="J194">
        <v>0</v>
      </c>
    </row>
    <row r="195" spans="1:10" x14ac:dyDescent="0.3">
      <c r="A195" t="str">
        <f t="shared" ref="A195:A258" si="23">"HH"&amp;TEXT(ROW()-1,"000")</f>
        <v>HH194</v>
      </c>
      <c r="B195" t="str">
        <f ca="1">LOOKUP(RAND(),{0,0.28,0.55,0.78},{"Oloitoktok A","Oloitoktok B","Kiserian","Namanga"})</f>
        <v>Oloitoktok B</v>
      </c>
      <c r="C195">
        <f ca="1">LOOKUP(RAND(),{0,0.02,0.09,0.2,0.35,0.52,0.68,0.81,0.91,0.97},{1,2,3,4,5,6,7,8,9,10})</f>
        <v>6</v>
      </c>
      <c r="D195">
        <f t="shared" ca="1" si="18"/>
        <v>63100</v>
      </c>
      <c r="E195" t="str">
        <f ca="1">IF(B195="Oloitoktok A",IF(D195&lt;15000,LOOKUP(RAND(),{0,0.45,0.75,0.92},{"River","Rainwater","Borehole","Vendor"}),IF(D195&lt;30000,LOOKUP(RAND(),{0,0.35,0.65,0.85},{"River","Rainwater","Borehole","Vendor"}),LOOKUP(RAND(),{0,0.25,0.5,0.75},{"River","Rainwater","Borehole","Vendor"}))),IF(B195="Oloitoktok B",IF(D195&lt;15000,LOOKUP(RAND(),{0,0.5,0.78,0.94},{"River","Rainwater","Borehole","Vendor"}),IF(D195&lt;30000,LOOKUP(RAND(),{0,0.4,0.68,0.87},{"River","Rainwater","Borehole","Vendor"}),LOOKUP(RAND(),{0,0.28,0.55,0.78},{"River","Rainwater","Borehole","Vendor"}))),IF(B195="Kiserian",IF(D195&lt;15000,LOOKUP(RAND(),{0,0.35,0.65,0.9},{"River","Rainwater","Borehole","Vendor"}),IF(D195&lt;30000,LOOKUP(RAND(),{0,0.25,0.55,0.82},{"River","Rainwater","Borehole","Vendor"}),LOOKUP(RAND(),{0,0.15,0.45,0.72},{"River","Rainwater","Borehole","Vendor"}))),IF(D195&lt;15000,LOOKUP(RAND(),{0,0.4,0.7,0.92},{"River","Rainwater","Borehole","Vendor"}),IF(D195&lt;30000,LOOKUP(RAND(),{0,0.3,0.6,0.85},{"River","Rainwater","Borehole","Vendor"}),LOOKUP(RAND(),{0,0.2,0.5,0.75},{"River","Rainwater","Borehole","Vendor"}))))))</f>
        <v>Vendor</v>
      </c>
      <c r="F195">
        <f t="shared" ca="1" si="19"/>
        <v>59</v>
      </c>
      <c r="G195">
        <f t="shared" ca="1" si="20"/>
        <v>3.6</v>
      </c>
      <c r="H195">
        <f t="shared" ca="1" si="21"/>
        <v>7200</v>
      </c>
      <c r="I195">
        <f t="shared" ca="1" si="22"/>
        <v>0.1585968815247627</v>
      </c>
      <c r="J195">
        <v>0</v>
      </c>
    </row>
    <row r="196" spans="1:10" x14ac:dyDescent="0.3">
      <c r="A196" t="str">
        <f t="shared" si="23"/>
        <v>HH195</v>
      </c>
      <c r="B196" t="str">
        <f ca="1">LOOKUP(RAND(),{0,0.28,0.55,0.78},{"Oloitoktok A","Oloitoktok B","Kiserian","Namanga"})</f>
        <v>Kiserian</v>
      </c>
      <c r="C196">
        <f ca="1">LOOKUP(RAND(),{0,0.02,0.09,0.2,0.35,0.52,0.68,0.81,0.91,0.97},{1,2,3,4,5,6,7,8,9,10})</f>
        <v>5</v>
      </c>
      <c r="D196">
        <f t="shared" ca="1" si="18"/>
        <v>80700</v>
      </c>
      <c r="E196" t="str">
        <f ca="1">IF(B196="Oloitoktok A",IF(D196&lt;15000,LOOKUP(RAND(),{0,0.45,0.75,0.92},{"River","Rainwater","Borehole","Vendor"}),IF(D196&lt;30000,LOOKUP(RAND(),{0,0.35,0.65,0.85},{"River","Rainwater","Borehole","Vendor"}),LOOKUP(RAND(),{0,0.25,0.5,0.75},{"River","Rainwater","Borehole","Vendor"}))),IF(B196="Oloitoktok B",IF(D196&lt;15000,LOOKUP(RAND(),{0,0.5,0.78,0.94},{"River","Rainwater","Borehole","Vendor"}),IF(D196&lt;30000,LOOKUP(RAND(),{0,0.4,0.68,0.87},{"River","Rainwater","Borehole","Vendor"}),LOOKUP(RAND(),{0,0.28,0.55,0.78},{"River","Rainwater","Borehole","Vendor"}))),IF(B196="Kiserian",IF(D196&lt;15000,LOOKUP(RAND(),{0,0.35,0.65,0.9},{"River","Rainwater","Borehole","Vendor"}),IF(D196&lt;30000,LOOKUP(RAND(),{0,0.25,0.55,0.82},{"River","Rainwater","Borehole","Vendor"}),LOOKUP(RAND(),{0,0.15,0.45,0.72},{"River","Rainwater","Borehole","Vendor"}))),IF(D196&lt;15000,LOOKUP(RAND(),{0,0.4,0.7,0.92},{"River","Rainwater","Borehole","Vendor"}),IF(D196&lt;30000,LOOKUP(RAND(),{0,0.3,0.6,0.85},{"River","Rainwater","Borehole","Vendor"}),LOOKUP(RAND(),{0,0.2,0.5,0.75},{"River","Rainwater","Borehole","Vendor"}))))))</f>
        <v>Rainwater</v>
      </c>
      <c r="F196">
        <f t="shared" ca="1" si="19"/>
        <v>43</v>
      </c>
      <c r="G196">
        <f t="shared" ca="1" si="20"/>
        <v>8.5</v>
      </c>
      <c r="H196">
        <f t="shared" ca="1" si="21"/>
        <v>9200</v>
      </c>
      <c r="I196">
        <f t="shared" ca="1" si="22"/>
        <v>0.26569734863278138</v>
      </c>
      <c r="J196">
        <v>0</v>
      </c>
    </row>
    <row r="197" spans="1:10" x14ac:dyDescent="0.3">
      <c r="A197" t="str">
        <f t="shared" si="23"/>
        <v>HH196</v>
      </c>
      <c r="B197" t="str">
        <f ca="1">LOOKUP(RAND(),{0,0.28,0.55,0.78},{"Oloitoktok A","Oloitoktok B","Kiserian","Namanga"})</f>
        <v>Namanga</v>
      </c>
      <c r="C197">
        <f ca="1">LOOKUP(RAND(),{0,0.02,0.09,0.2,0.35,0.52,0.68,0.81,0.91,0.97},{1,2,3,4,5,6,7,8,9,10})</f>
        <v>9</v>
      </c>
      <c r="D197">
        <f t="shared" ca="1" si="18"/>
        <v>41200</v>
      </c>
      <c r="E197" t="str">
        <f ca="1">IF(B197="Oloitoktok A",IF(D197&lt;15000,LOOKUP(RAND(),{0,0.45,0.75,0.92},{"River","Rainwater","Borehole","Vendor"}),IF(D197&lt;30000,LOOKUP(RAND(),{0,0.35,0.65,0.85},{"River","Rainwater","Borehole","Vendor"}),LOOKUP(RAND(),{0,0.25,0.5,0.75},{"River","Rainwater","Borehole","Vendor"}))),IF(B197="Oloitoktok B",IF(D197&lt;15000,LOOKUP(RAND(),{0,0.5,0.78,0.94},{"River","Rainwater","Borehole","Vendor"}),IF(D197&lt;30000,LOOKUP(RAND(),{0,0.4,0.68,0.87},{"River","Rainwater","Borehole","Vendor"}),LOOKUP(RAND(),{0,0.28,0.55,0.78},{"River","Rainwater","Borehole","Vendor"}))),IF(B197="Kiserian",IF(D197&lt;15000,LOOKUP(RAND(),{0,0.35,0.65,0.9},{"River","Rainwater","Borehole","Vendor"}),IF(D197&lt;30000,LOOKUP(RAND(),{0,0.25,0.55,0.82},{"River","Rainwater","Borehole","Vendor"}),LOOKUP(RAND(),{0,0.15,0.45,0.72},{"River","Rainwater","Borehole","Vendor"}))),IF(D197&lt;15000,LOOKUP(RAND(),{0,0.4,0.7,0.92},{"River","Rainwater","Borehole","Vendor"}),IF(D197&lt;30000,LOOKUP(RAND(),{0,0.3,0.6,0.85},{"River","Rainwater","Borehole","Vendor"}),LOOKUP(RAND(),{0,0.2,0.5,0.75},{"River","Rainwater","Borehole","Vendor"}))))))</f>
        <v>Borehole</v>
      </c>
      <c r="F197">
        <f t="shared" ca="1" si="19"/>
        <v>49</v>
      </c>
      <c r="G197">
        <f t="shared" ca="1" si="20"/>
        <v>10.1</v>
      </c>
      <c r="H197">
        <f t="shared" ca="1" si="21"/>
        <v>2000</v>
      </c>
      <c r="I197">
        <f t="shared" ca="1" si="22"/>
        <v>0.8099159364337285</v>
      </c>
      <c r="J197">
        <v>0</v>
      </c>
    </row>
    <row r="198" spans="1:10" x14ac:dyDescent="0.3">
      <c r="A198" t="str">
        <f t="shared" si="23"/>
        <v>HH197</v>
      </c>
      <c r="B198" t="str">
        <f ca="1">LOOKUP(RAND(),{0,0.28,0.55,0.78},{"Oloitoktok A","Oloitoktok B","Kiserian","Namanga"})</f>
        <v>Oloitoktok B</v>
      </c>
      <c r="C198">
        <f ca="1">LOOKUP(RAND(),{0,0.02,0.09,0.2,0.35,0.52,0.68,0.81,0.91,0.97},{1,2,3,4,5,6,7,8,9,10})</f>
        <v>5</v>
      </c>
      <c r="D198">
        <f t="shared" ca="1" si="18"/>
        <v>20200</v>
      </c>
      <c r="E198" t="str">
        <f ca="1">IF(B198="Oloitoktok A",IF(D198&lt;15000,LOOKUP(RAND(),{0,0.45,0.75,0.92},{"River","Rainwater","Borehole","Vendor"}),IF(D198&lt;30000,LOOKUP(RAND(),{0,0.35,0.65,0.85},{"River","Rainwater","Borehole","Vendor"}),LOOKUP(RAND(),{0,0.25,0.5,0.75},{"River","Rainwater","Borehole","Vendor"}))),IF(B198="Oloitoktok B",IF(D198&lt;15000,LOOKUP(RAND(),{0,0.5,0.78,0.94},{"River","Rainwater","Borehole","Vendor"}),IF(D198&lt;30000,LOOKUP(RAND(),{0,0.4,0.68,0.87},{"River","Rainwater","Borehole","Vendor"}),LOOKUP(RAND(),{0,0.28,0.55,0.78},{"River","Rainwater","Borehole","Vendor"}))),IF(B198="Kiserian",IF(D198&lt;15000,LOOKUP(RAND(),{0,0.35,0.65,0.9},{"River","Rainwater","Borehole","Vendor"}),IF(D198&lt;30000,LOOKUP(RAND(),{0,0.25,0.55,0.82},{"River","Rainwater","Borehole","Vendor"}),LOOKUP(RAND(),{0,0.15,0.45,0.72},{"River","Rainwater","Borehole","Vendor"}))),IF(D198&lt;15000,LOOKUP(RAND(),{0,0.4,0.7,0.92},{"River","Rainwater","Borehole","Vendor"}),IF(D198&lt;30000,LOOKUP(RAND(),{0,0.3,0.6,0.85},{"River","Rainwater","Borehole","Vendor"}),LOOKUP(RAND(),{0,0.2,0.5,0.75},{"River","Rainwater","Borehole","Vendor"}))))))</f>
        <v>River</v>
      </c>
      <c r="F198">
        <f t="shared" ca="1" si="19"/>
        <v>119</v>
      </c>
      <c r="G198">
        <f t="shared" ca="1" si="20"/>
        <v>0.8</v>
      </c>
      <c r="H198">
        <f t="shared" ca="1" si="21"/>
        <v>7300</v>
      </c>
      <c r="I198">
        <f t="shared" ca="1" si="22"/>
        <v>8.342877196493903E-2</v>
      </c>
      <c r="J198">
        <v>0</v>
      </c>
    </row>
    <row r="199" spans="1:10" x14ac:dyDescent="0.3">
      <c r="A199" t="str">
        <f t="shared" si="23"/>
        <v>HH198</v>
      </c>
      <c r="B199" t="str">
        <f ca="1">LOOKUP(RAND(),{0,0.28,0.55,0.78},{"Oloitoktok A","Oloitoktok B","Kiserian","Namanga"})</f>
        <v>Oloitoktok A</v>
      </c>
      <c r="C199">
        <f ca="1">LOOKUP(RAND(),{0,0.02,0.09,0.2,0.35,0.52,0.68,0.81,0.91,0.97},{1,2,3,4,5,6,7,8,9,10})</f>
        <v>4</v>
      </c>
      <c r="D199">
        <f t="shared" ca="1" si="18"/>
        <v>38300</v>
      </c>
      <c r="E199" t="str">
        <f ca="1">IF(B199="Oloitoktok A",IF(D199&lt;15000,LOOKUP(RAND(),{0,0.45,0.75,0.92},{"River","Rainwater","Borehole","Vendor"}),IF(D199&lt;30000,LOOKUP(RAND(),{0,0.35,0.65,0.85},{"River","Rainwater","Borehole","Vendor"}),LOOKUP(RAND(),{0,0.25,0.5,0.75},{"River","Rainwater","Borehole","Vendor"}))),IF(B199="Oloitoktok B",IF(D199&lt;15000,LOOKUP(RAND(),{0,0.5,0.78,0.94},{"River","Rainwater","Borehole","Vendor"}),IF(D199&lt;30000,LOOKUP(RAND(),{0,0.4,0.68,0.87},{"River","Rainwater","Borehole","Vendor"}),LOOKUP(RAND(),{0,0.28,0.55,0.78},{"River","Rainwater","Borehole","Vendor"}))),IF(B199="Kiserian",IF(D199&lt;15000,LOOKUP(RAND(),{0,0.35,0.65,0.9},{"River","Rainwater","Borehole","Vendor"}),IF(D199&lt;30000,LOOKUP(RAND(),{0,0.25,0.55,0.82},{"River","Rainwater","Borehole","Vendor"}),LOOKUP(RAND(),{0,0.15,0.45,0.72},{"River","Rainwater","Borehole","Vendor"}))),IF(D199&lt;15000,LOOKUP(RAND(),{0,0.4,0.7,0.92},{"River","Rainwater","Borehole","Vendor"}),IF(D199&lt;30000,LOOKUP(RAND(),{0,0.3,0.6,0.85},{"River","Rainwater","Borehole","Vendor"}),LOOKUP(RAND(),{0,0.2,0.5,0.75},{"River","Rainwater","Borehole","Vendor"}))))))</f>
        <v>River</v>
      </c>
      <c r="F199">
        <f t="shared" ca="1" si="19"/>
        <v>72</v>
      </c>
      <c r="G199">
        <f t="shared" ca="1" si="20"/>
        <v>3.8</v>
      </c>
      <c r="H199">
        <f t="shared" ca="1" si="21"/>
        <v>1000</v>
      </c>
      <c r="I199">
        <f t="shared" ca="1" si="22"/>
        <v>0.32773544694997547</v>
      </c>
      <c r="J199">
        <v>0</v>
      </c>
    </row>
    <row r="200" spans="1:10" x14ac:dyDescent="0.3">
      <c r="A200" t="str">
        <f t="shared" si="23"/>
        <v>HH199</v>
      </c>
      <c r="B200" t="str">
        <f ca="1">LOOKUP(RAND(),{0,0.28,0.55,0.78},{"Oloitoktok A","Oloitoktok B","Kiserian","Namanga"})</f>
        <v>Namanga</v>
      </c>
      <c r="C200">
        <f ca="1">LOOKUP(RAND(),{0,0.02,0.09,0.2,0.35,0.52,0.68,0.81,0.91,0.97},{1,2,3,4,5,6,7,8,9,10})</f>
        <v>7</v>
      </c>
      <c r="D200">
        <f t="shared" ca="1" si="18"/>
        <v>46400</v>
      </c>
      <c r="E200" t="str">
        <f ca="1">IF(B200="Oloitoktok A",IF(D200&lt;15000,LOOKUP(RAND(),{0,0.45,0.75,0.92},{"River","Rainwater","Borehole","Vendor"}),IF(D200&lt;30000,LOOKUP(RAND(),{0,0.35,0.65,0.85},{"River","Rainwater","Borehole","Vendor"}),LOOKUP(RAND(),{0,0.25,0.5,0.75},{"River","Rainwater","Borehole","Vendor"}))),IF(B200="Oloitoktok B",IF(D200&lt;15000,LOOKUP(RAND(),{0,0.5,0.78,0.94},{"River","Rainwater","Borehole","Vendor"}),IF(D200&lt;30000,LOOKUP(RAND(),{0,0.4,0.68,0.87},{"River","Rainwater","Borehole","Vendor"}),LOOKUP(RAND(),{0,0.28,0.55,0.78},{"River","Rainwater","Borehole","Vendor"}))),IF(B200="Kiserian",IF(D200&lt;15000,LOOKUP(RAND(),{0,0.35,0.65,0.9},{"River","Rainwater","Borehole","Vendor"}),IF(D200&lt;30000,LOOKUP(RAND(),{0,0.25,0.55,0.82},{"River","Rainwater","Borehole","Vendor"}),LOOKUP(RAND(),{0,0.15,0.45,0.72},{"River","Rainwater","Borehole","Vendor"}))),IF(D200&lt;15000,LOOKUP(RAND(),{0,0.4,0.7,0.92},{"River","Rainwater","Borehole","Vendor"}),IF(D200&lt;30000,LOOKUP(RAND(),{0,0.3,0.6,0.85},{"River","Rainwater","Borehole","Vendor"}),LOOKUP(RAND(),{0,0.2,0.5,0.75},{"River","Rainwater","Borehole","Vendor"}))))))</f>
        <v>Borehole</v>
      </c>
      <c r="F200">
        <f t="shared" ca="1" si="19"/>
        <v>44</v>
      </c>
      <c r="G200">
        <f t="shared" ca="1" si="20"/>
        <v>4</v>
      </c>
      <c r="H200">
        <f t="shared" ca="1" si="21"/>
        <v>2200</v>
      </c>
      <c r="I200">
        <f t="shared" ca="1" si="22"/>
        <v>0.87187265510499867</v>
      </c>
      <c r="J200">
        <v>0</v>
      </c>
    </row>
    <row r="201" spans="1:10" x14ac:dyDescent="0.3">
      <c r="A201" t="str">
        <f t="shared" si="23"/>
        <v>HH200</v>
      </c>
      <c r="B201" t="str">
        <f ca="1">LOOKUP(RAND(),{0,0.28,0.55,0.78},{"Oloitoktok A","Oloitoktok B","Kiserian","Namanga"})</f>
        <v>Oloitoktok B</v>
      </c>
      <c r="C201">
        <f ca="1">LOOKUP(RAND(),{0,0.02,0.09,0.2,0.35,0.52,0.68,0.81,0.91,0.97},{1,2,3,4,5,6,7,8,9,10})</f>
        <v>4</v>
      </c>
      <c r="D201">
        <f t="shared" ca="1" si="18"/>
        <v>22200</v>
      </c>
      <c r="E201" t="str">
        <f ca="1">IF(B201="Oloitoktok A",IF(D201&lt;15000,LOOKUP(RAND(),{0,0.45,0.75,0.92},{"River","Rainwater","Borehole","Vendor"}),IF(D201&lt;30000,LOOKUP(RAND(),{0,0.35,0.65,0.85},{"River","Rainwater","Borehole","Vendor"}),LOOKUP(RAND(),{0,0.25,0.5,0.75},{"River","Rainwater","Borehole","Vendor"}))),IF(B201="Oloitoktok B",IF(D201&lt;15000,LOOKUP(RAND(),{0,0.5,0.78,0.94},{"River","Rainwater","Borehole","Vendor"}),IF(D201&lt;30000,LOOKUP(RAND(),{0,0.4,0.68,0.87},{"River","Rainwater","Borehole","Vendor"}),LOOKUP(RAND(),{0,0.28,0.55,0.78},{"River","Rainwater","Borehole","Vendor"}))),IF(B201="Kiserian",IF(D201&lt;15000,LOOKUP(RAND(),{0,0.35,0.65,0.9},{"River","Rainwater","Borehole","Vendor"}),IF(D201&lt;30000,LOOKUP(RAND(),{0,0.25,0.55,0.82},{"River","Rainwater","Borehole","Vendor"}),LOOKUP(RAND(),{0,0.15,0.45,0.72},{"River","Rainwater","Borehole","Vendor"}))),IF(D201&lt;15000,LOOKUP(RAND(),{0,0.4,0.7,0.92},{"River","Rainwater","Borehole","Vendor"}),IF(D201&lt;30000,LOOKUP(RAND(),{0,0.3,0.6,0.85},{"River","Rainwater","Borehole","Vendor"}),LOOKUP(RAND(),{0,0.2,0.5,0.75},{"River","Rainwater","Borehole","Vendor"}))))))</f>
        <v>Borehole</v>
      </c>
      <c r="F201">
        <f t="shared" ca="1" si="19"/>
        <v>36</v>
      </c>
      <c r="G201">
        <f t="shared" ca="1" si="20"/>
        <v>9.5</v>
      </c>
      <c r="H201">
        <f t="shared" ca="1" si="21"/>
        <v>0</v>
      </c>
      <c r="I201">
        <f t="shared" ca="1" si="22"/>
        <v>0.67540110410660148</v>
      </c>
      <c r="J201">
        <v>0</v>
      </c>
    </row>
    <row r="202" spans="1:10" x14ac:dyDescent="0.3">
      <c r="A202" t="str">
        <f t="shared" si="23"/>
        <v>HH201</v>
      </c>
      <c r="B202" t="str">
        <f ca="1">LOOKUP(RAND(),{0,0.28,0.55,0.78},{"Oloitoktok A","Oloitoktok B","Kiserian","Namanga"})</f>
        <v>Oloitoktok B</v>
      </c>
      <c r="C202">
        <f ca="1">LOOKUP(RAND(),{0,0.02,0.09,0.2,0.35,0.52,0.68,0.81,0.91,0.97},{1,2,3,4,5,6,7,8,9,10})</f>
        <v>2</v>
      </c>
      <c r="D202">
        <f t="shared" ca="1" si="18"/>
        <v>35200</v>
      </c>
      <c r="E202" t="str">
        <f ca="1">IF(B202="Oloitoktok A",IF(D202&lt;15000,LOOKUP(RAND(),{0,0.45,0.75,0.92},{"River","Rainwater","Borehole","Vendor"}),IF(D202&lt;30000,LOOKUP(RAND(),{0,0.35,0.65,0.85},{"River","Rainwater","Borehole","Vendor"}),LOOKUP(RAND(),{0,0.25,0.5,0.75},{"River","Rainwater","Borehole","Vendor"}))),IF(B202="Oloitoktok B",IF(D202&lt;15000,LOOKUP(RAND(),{0,0.5,0.78,0.94},{"River","Rainwater","Borehole","Vendor"}),IF(D202&lt;30000,LOOKUP(RAND(),{0,0.4,0.68,0.87},{"River","Rainwater","Borehole","Vendor"}),LOOKUP(RAND(),{0,0.28,0.55,0.78},{"River","Rainwater","Borehole","Vendor"}))),IF(B202="Kiserian",IF(D202&lt;15000,LOOKUP(RAND(),{0,0.35,0.65,0.9},{"River","Rainwater","Borehole","Vendor"}),IF(D202&lt;30000,LOOKUP(RAND(),{0,0.25,0.55,0.82},{"River","Rainwater","Borehole","Vendor"}),LOOKUP(RAND(),{0,0.15,0.45,0.72},{"River","Rainwater","Borehole","Vendor"}))),IF(D202&lt;15000,LOOKUP(RAND(),{0,0.4,0.7,0.92},{"River","Rainwater","Borehole","Vendor"}),IF(D202&lt;30000,LOOKUP(RAND(),{0,0.3,0.6,0.85},{"River","Rainwater","Borehole","Vendor"}),LOOKUP(RAND(),{0,0.2,0.5,0.75},{"River","Rainwater","Borehole","Vendor"}))))))</f>
        <v>Borehole</v>
      </c>
      <c r="F202">
        <f t="shared" ca="1" si="19"/>
        <v>49</v>
      </c>
      <c r="G202">
        <f t="shared" ca="1" si="20"/>
        <v>5.3</v>
      </c>
      <c r="H202">
        <f t="shared" ca="1" si="21"/>
        <v>6800</v>
      </c>
      <c r="I202">
        <f t="shared" ca="1" si="22"/>
        <v>0.75827268601046249</v>
      </c>
      <c r="J202">
        <v>0</v>
      </c>
    </row>
    <row r="203" spans="1:10" x14ac:dyDescent="0.3">
      <c r="A203" t="str">
        <f t="shared" si="23"/>
        <v>HH202</v>
      </c>
      <c r="B203" t="str">
        <f ca="1">LOOKUP(RAND(),{0,0.28,0.55,0.78},{"Oloitoktok A","Oloitoktok B","Kiserian","Namanga"})</f>
        <v>Oloitoktok B</v>
      </c>
      <c r="C203">
        <f ca="1">LOOKUP(RAND(),{0,0.02,0.09,0.2,0.35,0.52,0.68,0.81,0.91,0.97},{1,2,3,4,5,6,7,8,9,10})</f>
        <v>5</v>
      </c>
      <c r="D203">
        <f t="shared" ca="1" si="18"/>
        <v>28700</v>
      </c>
      <c r="E203" t="str">
        <f ca="1">IF(B203="Oloitoktok A",IF(D203&lt;15000,LOOKUP(RAND(),{0,0.45,0.75,0.92},{"River","Rainwater","Borehole","Vendor"}),IF(D203&lt;30000,LOOKUP(RAND(),{0,0.35,0.65,0.85},{"River","Rainwater","Borehole","Vendor"}),LOOKUP(RAND(),{0,0.25,0.5,0.75},{"River","Rainwater","Borehole","Vendor"}))),IF(B203="Oloitoktok B",IF(D203&lt;15000,LOOKUP(RAND(),{0,0.5,0.78,0.94},{"River","Rainwater","Borehole","Vendor"}),IF(D203&lt;30000,LOOKUP(RAND(),{0,0.4,0.68,0.87},{"River","Rainwater","Borehole","Vendor"}),LOOKUP(RAND(),{0,0.28,0.55,0.78},{"River","Rainwater","Borehole","Vendor"}))),IF(B203="Kiserian",IF(D203&lt;15000,LOOKUP(RAND(),{0,0.35,0.65,0.9},{"River","Rainwater","Borehole","Vendor"}),IF(D203&lt;30000,LOOKUP(RAND(),{0,0.25,0.55,0.82},{"River","Rainwater","Borehole","Vendor"}),LOOKUP(RAND(),{0,0.15,0.45,0.72},{"River","Rainwater","Borehole","Vendor"}))),IF(D203&lt;15000,LOOKUP(RAND(),{0,0.4,0.7,0.92},{"River","Rainwater","Borehole","Vendor"}),IF(D203&lt;30000,LOOKUP(RAND(),{0,0.3,0.6,0.85},{"River","Rainwater","Borehole","Vendor"}),LOOKUP(RAND(),{0,0.2,0.5,0.75},{"River","Rainwater","Borehole","Vendor"}))))))</f>
        <v>Borehole</v>
      </c>
      <c r="F203">
        <f t="shared" ca="1" si="19"/>
        <v>22</v>
      </c>
      <c r="G203">
        <f t="shared" ca="1" si="20"/>
        <v>2</v>
      </c>
      <c r="H203">
        <f t="shared" ca="1" si="21"/>
        <v>2700</v>
      </c>
      <c r="I203">
        <f t="shared" ca="1" si="22"/>
        <v>0.70085497200881119</v>
      </c>
      <c r="J203">
        <v>0</v>
      </c>
    </row>
    <row r="204" spans="1:10" x14ac:dyDescent="0.3">
      <c r="A204" t="str">
        <f t="shared" si="23"/>
        <v>HH203</v>
      </c>
      <c r="B204" t="str">
        <f ca="1">LOOKUP(RAND(),{0,0.28,0.55,0.78},{"Oloitoktok A","Oloitoktok B","Kiserian","Namanga"})</f>
        <v>Namanga</v>
      </c>
      <c r="C204">
        <f ca="1">LOOKUP(RAND(),{0,0.02,0.09,0.2,0.35,0.52,0.68,0.81,0.91,0.97},{1,2,3,4,5,6,7,8,9,10})</f>
        <v>5</v>
      </c>
      <c r="D204">
        <f t="shared" ca="1" si="18"/>
        <v>42500</v>
      </c>
      <c r="E204" t="str">
        <f ca="1">IF(B204="Oloitoktok A",IF(D204&lt;15000,LOOKUP(RAND(),{0,0.45,0.75,0.92},{"River","Rainwater","Borehole","Vendor"}),IF(D204&lt;30000,LOOKUP(RAND(),{0,0.35,0.65,0.85},{"River","Rainwater","Borehole","Vendor"}),LOOKUP(RAND(),{0,0.25,0.5,0.75},{"River","Rainwater","Borehole","Vendor"}))),IF(B204="Oloitoktok B",IF(D204&lt;15000,LOOKUP(RAND(),{0,0.5,0.78,0.94},{"River","Rainwater","Borehole","Vendor"}),IF(D204&lt;30000,LOOKUP(RAND(),{0,0.4,0.68,0.87},{"River","Rainwater","Borehole","Vendor"}),LOOKUP(RAND(),{0,0.28,0.55,0.78},{"River","Rainwater","Borehole","Vendor"}))),IF(B204="Kiserian",IF(D204&lt;15000,LOOKUP(RAND(),{0,0.35,0.65,0.9},{"River","Rainwater","Borehole","Vendor"}),IF(D204&lt;30000,LOOKUP(RAND(),{0,0.25,0.55,0.82},{"River","Rainwater","Borehole","Vendor"}),LOOKUP(RAND(),{0,0.15,0.45,0.72},{"River","Rainwater","Borehole","Vendor"}))),IF(D204&lt;15000,LOOKUP(RAND(),{0,0.4,0.7,0.92},{"River","Rainwater","Borehole","Vendor"}),IF(D204&lt;30000,LOOKUP(RAND(),{0,0.3,0.6,0.85},{"River","Rainwater","Borehole","Vendor"}),LOOKUP(RAND(),{0,0.2,0.5,0.75},{"River","Rainwater","Borehole","Vendor"}))))))</f>
        <v>Borehole</v>
      </c>
      <c r="F204">
        <f t="shared" ca="1" si="19"/>
        <v>28</v>
      </c>
      <c r="G204">
        <f t="shared" ca="1" si="20"/>
        <v>6</v>
      </c>
      <c r="H204">
        <f t="shared" ca="1" si="21"/>
        <v>0</v>
      </c>
      <c r="I204">
        <f t="shared" ca="1" si="22"/>
        <v>0.64056841119132135</v>
      </c>
      <c r="J204">
        <v>0</v>
      </c>
    </row>
    <row r="205" spans="1:10" x14ac:dyDescent="0.3">
      <c r="A205" t="str">
        <f t="shared" si="23"/>
        <v>HH204</v>
      </c>
      <c r="B205" t="str">
        <f ca="1">LOOKUP(RAND(),{0,0.28,0.55,0.78},{"Oloitoktok A","Oloitoktok B","Kiserian","Namanga"})</f>
        <v>Oloitoktok A</v>
      </c>
      <c r="C205">
        <f ca="1">LOOKUP(RAND(),{0,0.02,0.09,0.2,0.35,0.52,0.68,0.81,0.91,0.97},{1,2,3,4,5,6,7,8,9,10})</f>
        <v>7</v>
      </c>
      <c r="D205">
        <f t="shared" ca="1" si="18"/>
        <v>12900</v>
      </c>
      <c r="E205" t="str">
        <f ca="1">IF(B205="Oloitoktok A",IF(D205&lt;15000,LOOKUP(RAND(),{0,0.45,0.75,0.92},{"River","Rainwater","Borehole","Vendor"}),IF(D205&lt;30000,LOOKUP(RAND(),{0,0.35,0.65,0.85},{"River","Rainwater","Borehole","Vendor"}),LOOKUP(RAND(),{0,0.25,0.5,0.75},{"River","Rainwater","Borehole","Vendor"}))),IF(B205="Oloitoktok B",IF(D205&lt;15000,LOOKUP(RAND(),{0,0.5,0.78,0.94},{"River","Rainwater","Borehole","Vendor"}),IF(D205&lt;30000,LOOKUP(RAND(),{0,0.4,0.68,0.87},{"River","Rainwater","Borehole","Vendor"}),LOOKUP(RAND(),{0,0.28,0.55,0.78},{"River","Rainwater","Borehole","Vendor"}))),IF(B205="Kiserian",IF(D205&lt;15000,LOOKUP(RAND(),{0,0.35,0.65,0.9},{"River","Rainwater","Borehole","Vendor"}),IF(D205&lt;30000,LOOKUP(RAND(),{0,0.25,0.55,0.82},{"River","Rainwater","Borehole","Vendor"}),LOOKUP(RAND(),{0,0.15,0.45,0.72},{"River","Rainwater","Borehole","Vendor"}))),IF(D205&lt;15000,LOOKUP(RAND(),{0,0.4,0.7,0.92},{"River","Rainwater","Borehole","Vendor"}),IF(D205&lt;30000,LOOKUP(RAND(),{0,0.3,0.6,0.85},{"River","Rainwater","Borehole","Vendor"}),LOOKUP(RAND(),{0,0.2,0.5,0.75},{"River","Rainwater","Borehole","Vendor"}))))))</f>
        <v>River</v>
      </c>
      <c r="F205">
        <f t="shared" ca="1" si="19"/>
        <v>80</v>
      </c>
      <c r="G205">
        <f t="shared" ca="1" si="20"/>
        <v>10.6</v>
      </c>
      <c r="H205">
        <f t="shared" ca="1" si="21"/>
        <v>6300</v>
      </c>
      <c r="I205">
        <f t="shared" ca="1" si="22"/>
        <v>0.74327628181832439</v>
      </c>
      <c r="J205">
        <v>0</v>
      </c>
    </row>
    <row r="206" spans="1:10" x14ac:dyDescent="0.3">
      <c r="A206" t="str">
        <f t="shared" si="23"/>
        <v>HH205</v>
      </c>
      <c r="B206" t="str">
        <f ca="1">LOOKUP(RAND(),{0,0.28,0.55,0.78},{"Oloitoktok A","Oloitoktok B","Kiserian","Namanga"})</f>
        <v>Oloitoktok A</v>
      </c>
      <c r="C206">
        <f ca="1">LOOKUP(RAND(),{0,0.02,0.09,0.2,0.35,0.52,0.68,0.81,0.91,0.97},{1,2,3,4,5,6,7,8,9,10})</f>
        <v>6</v>
      </c>
      <c r="D206">
        <f t="shared" ca="1" si="18"/>
        <v>37000</v>
      </c>
      <c r="E206" t="str">
        <f ca="1">IF(B206="Oloitoktok A",IF(D206&lt;15000,LOOKUP(RAND(),{0,0.45,0.75,0.92},{"River","Rainwater","Borehole","Vendor"}),IF(D206&lt;30000,LOOKUP(RAND(),{0,0.35,0.65,0.85},{"River","Rainwater","Borehole","Vendor"}),LOOKUP(RAND(),{0,0.25,0.5,0.75},{"River","Rainwater","Borehole","Vendor"}))),IF(B206="Oloitoktok B",IF(D206&lt;15000,LOOKUP(RAND(),{0,0.5,0.78,0.94},{"River","Rainwater","Borehole","Vendor"}),IF(D206&lt;30000,LOOKUP(RAND(),{0,0.4,0.68,0.87},{"River","Rainwater","Borehole","Vendor"}),LOOKUP(RAND(),{0,0.28,0.55,0.78},{"River","Rainwater","Borehole","Vendor"}))),IF(B206="Kiserian",IF(D206&lt;15000,LOOKUP(RAND(),{0,0.35,0.65,0.9},{"River","Rainwater","Borehole","Vendor"}),IF(D206&lt;30000,LOOKUP(RAND(),{0,0.25,0.55,0.82},{"River","Rainwater","Borehole","Vendor"}),LOOKUP(RAND(),{0,0.15,0.45,0.72},{"River","Rainwater","Borehole","Vendor"}))),IF(D206&lt;15000,LOOKUP(RAND(),{0,0.4,0.7,0.92},{"River","Rainwater","Borehole","Vendor"}),IF(D206&lt;30000,LOOKUP(RAND(),{0,0.3,0.6,0.85},{"River","Rainwater","Borehole","Vendor"}),LOOKUP(RAND(),{0,0.2,0.5,0.75},{"River","Rainwater","Borehole","Vendor"}))))))</f>
        <v>Borehole</v>
      </c>
      <c r="F206">
        <f t="shared" ca="1" si="19"/>
        <v>73</v>
      </c>
      <c r="G206">
        <f t="shared" ca="1" si="20"/>
        <v>13.7</v>
      </c>
      <c r="H206">
        <f t="shared" ca="1" si="21"/>
        <v>0</v>
      </c>
      <c r="I206">
        <f t="shared" ca="1" si="22"/>
        <v>9.966752049473282E-2</v>
      </c>
      <c r="J206">
        <v>0</v>
      </c>
    </row>
    <row r="207" spans="1:10" x14ac:dyDescent="0.3">
      <c r="A207" t="str">
        <f t="shared" si="23"/>
        <v>HH206</v>
      </c>
      <c r="B207" t="str">
        <f ca="1">LOOKUP(RAND(),{0,0.28,0.55,0.78},{"Oloitoktok A","Oloitoktok B","Kiserian","Namanga"})</f>
        <v>Oloitoktok B</v>
      </c>
      <c r="C207">
        <f ca="1">LOOKUP(RAND(),{0,0.02,0.09,0.2,0.35,0.52,0.68,0.81,0.91,0.97},{1,2,3,4,5,6,7,8,9,10})</f>
        <v>6</v>
      </c>
      <c r="D207">
        <f t="shared" ca="1" si="18"/>
        <v>26500</v>
      </c>
      <c r="E207" t="str">
        <f ca="1">IF(B207="Oloitoktok A",IF(D207&lt;15000,LOOKUP(RAND(),{0,0.45,0.75,0.92},{"River","Rainwater","Borehole","Vendor"}),IF(D207&lt;30000,LOOKUP(RAND(),{0,0.35,0.65,0.85},{"River","Rainwater","Borehole","Vendor"}),LOOKUP(RAND(),{0,0.25,0.5,0.75},{"River","Rainwater","Borehole","Vendor"}))),IF(B207="Oloitoktok B",IF(D207&lt;15000,LOOKUP(RAND(),{0,0.5,0.78,0.94},{"River","Rainwater","Borehole","Vendor"}),IF(D207&lt;30000,LOOKUP(RAND(),{0,0.4,0.68,0.87},{"River","Rainwater","Borehole","Vendor"}),LOOKUP(RAND(),{0,0.28,0.55,0.78},{"River","Rainwater","Borehole","Vendor"}))),IF(B207="Kiserian",IF(D207&lt;15000,LOOKUP(RAND(),{0,0.35,0.65,0.9},{"River","Rainwater","Borehole","Vendor"}),IF(D207&lt;30000,LOOKUP(RAND(),{0,0.25,0.55,0.82},{"River","Rainwater","Borehole","Vendor"}),LOOKUP(RAND(),{0,0.15,0.45,0.72},{"River","Rainwater","Borehole","Vendor"}))),IF(D207&lt;15000,LOOKUP(RAND(),{0,0.4,0.7,0.92},{"River","Rainwater","Borehole","Vendor"}),IF(D207&lt;30000,LOOKUP(RAND(),{0,0.3,0.6,0.85},{"River","Rainwater","Borehole","Vendor"}),LOOKUP(RAND(),{0,0.2,0.5,0.75},{"River","Rainwater","Borehole","Vendor"}))))))</f>
        <v>Borehole</v>
      </c>
      <c r="F207">
        <f t="shared" ca="1" si="19"/>
        <v>38</v>
      </c>
      <c r="G207">
        <f t="shared" ca="1" si="20"/>
        <v>3.7</v>
      </c>
      <c r="H207">
        <f t="shared" ca="1" si="21"/>
        <v>4800</v>
      </c>
      <c r="I207">
        <f t="shared" ca="1" si="22"/>
        <v>0.41590008213639706</v>
      </c>
      <c r="J207">
        <v>0</v>
      </c>
    </row>
    <row r="208" spans="1:10" x14ac:dyDescent="0.3">
      <c r="A208" t="str">
        <f t="shared" si="23"/>
        <v>HH207</v>
      </c>
      <c r="B208" t="str">
        <f ca="1">LOOKUP(RAND(),{0,0.28,0.55,0.78},{"Oloitoktok A","Oloitoktok B","Kiserian","Namanga"})</f>
        <v>Oloitoktok A</v>
      </c>
      <c r="C208">
        <f ca="1">LOOKUP(RAND(),{0,0.02,0.09,0.2,0.35,0.52,0.68,0.81,0.91,0.97},{1,2,3,4,5,6,7,8,9,10})</f>
        <v>6</v>
      </c>
      <c r="D208">
        <f t="shared" ca="1" si="18"/>
        <v>31000</v>
      </c>
      <c r="E208" t="str">
        <f ca="1">IF(B208="Oloitoktok A",IF(D208&lt;15000,LOOKUP(RAND(),{0,0.45,0.75,0.92},{"River","Rainwater","Borehole","Vendor"}),IF(D208&lt;30000,LOOKUP(RAND(),{0,0.35,0.65,0.85},{"River","Rainwater","Borehole","Vendor"}),LOOKUP(RAND(),{0,0.25,0.5,0.75},{"River","Rainwater","Borehole","Vendor"}))),IF(B208="Oloitoktok B",IF(D208&lt;15000,LOOKUP(RAND(),{0,0.5,0.78,0.94},{"River","Rainwater","Borehole","Vendor"}),IF(D208&lt;30000,LOOKUP(RAND(),{0,0.4,0.68,0.87},{"River","Rainwater","Borehole","Vendor"}),LOOKUP(RAND(),{0,0.28,0.55,0.78},{"River","Rainwater","Borehole","Vendor"}))),IF(B208="Kiserian",IF(D208&lt;15000,LOOKUP(RAND(),{0,0.35,0.65,0.9},{"River","Rainwater","Borehole","Vendor"}),IF(D208&lt;30000,LOOKUP(RAND(),{0,0.25,0.55,0.82},{"River","Rainwater","Borehole","Vendor"}),LOOKUP(RAND(),{0,0.15,0.45,0.72},{"River","Rainwater","Borehole","Vendor"}))),IF(D208&lt;15000,LOOKUP(RAND(),{0,0.4,0.7,0.92},{"River","Rainwater","Borehole","Vendor"}),IF(D208&lt;30000,LOOKUP(RAND(),{0,0.3,0.6,0.85},{"River","Rainwater","Borehole","Vendor"}),LOOKUP(RAND(),{0,0.2,0.5,0.75},{"River","Rainwater","Borehole","Vendor"}))))))</f>
        <v>Borehole</v>
      </c>
      <c r="F208">
        <f t="shared" ca="1" si="19"/>
        <v>27</v>
      </c>
      <c r="G208">
        <f t="shared" ca="1" si="20"/>
        <v>14</v>
      </c>
      <c r="H208">
        <f t="shared" ca="1" si="21"/>
        <v>4600</v>
      </c>
      <c r="I208">
        <f t="shared" ca="1" si="22"/>
        <v>0.77178318744863628</v>
      </c>
      <c r="J208">
        <v>0</v>
      </c>
    </row>
    <row r="209" spans="1:10" x14ac:dyDescent="0.3">
      <c r="A209" t="str">
        <f t="shared" si="23"/>
        <v>HH208</v>
      </c>
      <c r="B209" t="str">
        <f ca="1">LOOKUP(RAND(),{0,0.28,0.55,0.78},{"Oloitoktok A","Oloitoktok B","Kiserian","Namanga"})</f>
        <v>Oloitoktok B</v>
      </c>
      <c r="C209">
        <f ca="1">LOOKUP(RAND(),{0,0.02,0.09,0.2,0.35,0.52,0.68,0.81,0.91,0.97},{1,2,3,4,5,6,7,8,9,10})</f>
        <v>5</v>
      </c>
      <c r="D209">
        <f t="shared" ca="1" si="18"/>
        <v>58800</v>
      </c>
      <c r="E209" t="str">
        <f ca="1">IF(B209="Oloitoktok A",IF(D209&lt;15000,LOOKUP(RAND(),{0,0.45,0.75,0.92},{"River","Rainwater","Borehole","Vendor"}),IF(D209&lt;30000,LOOKUP(RAND(),{0,0.35,0.65,0.85},{"River","Rainwater","Borehole","Vendor"}),LOOKUP(RAND(),{0,0.25,0.5,0.75},{"River","Rainwater","Borehole","Vendor"}))),IF(B209="Oloitoktok B",IF(D209&lt;15000,LOOKUP(RAND(),{0,0.5,0.78,0.94},{"River","Rainwater","Borehole","Vendor"}),IF(D209&lt;30000,LOOKUP(RAND(),{0,0.4,0.68,0.87},{"River","Rainwater","Borehole","Vendor"}),LOOKUP(RAND(),{0,0.28,0.55,0.78},{"River","Rainwater","Borehole","Vendor"}))),IF(B209="Kiserian",IF(D209&lt;15000,LOOKUP(RAND(),{0,0.35,0.65,0.9},{"River","Rainwater","Borehole","Vendor"}),IF(D209&lt;30000,LOOKUP(RAND(),{0,0.25,0.55,0.82},{"River","Rainwater","Borehole","Vendor"}),LOOKUP(RAND(),{0,0.15,0.45,0.72},{"River","Rainwater","Borehole","Vendor"}))),IF(D209&lt;15000,LOOKUP(RAND(),{0,0.4,0.7,0.92},{"River","Rainwater","Borehole","Vendor"}),IF(D209&lt;30000,LOOKUP(RAND(),{0,0.3,0.6,0.85},{"River","Rainwater","Borehole","Vendor"}),LOOKUP(RAND(),{0,0.2,0.5,0.75},{"River","Rainwater","Borehole","Vendor"}))))))</f>
        <v>Vendor</v>
      </c>
      <c r="F209">
        <f t="shared" ca="1" si="19"/>
        <v>52</v>
      </c>
      <c r="G209">
        <f t="shared" ca="1" si="20"/>
        <v>8.6999999999999993</v>
      </c>
      <c r="H209">
        <f t="shared" ca="1" si="21"/>
        <v>8000</v>
      </c>
      <c r="I209">
        <f t="shared" ca="1" si="22"/>
        <v>0.4464961742845418</v>
      </c>
      <c r="J209">
        <v>0</v>
      </c>
    </row>
    <row r="210" spans="1:10" x14ac:dyDescent="0.3">
      <c r="A210" t="str">
        <f t="shared" si="23"/>
        <v>HH209</v>
      </c>
      <c r="B210" t="str">
        <f ca="1">LOOKUP(RAND(),{0,0.28,0.55,0.78},{"Oloitoktok A","Oloitoktok B","Kiserian","Namanga"})</f>
        <v>Kiserian</v>
      </c>
      <c r="C210">
        <f ca="1">LOOKUP(RAND(),{0,0.02,0.09,0.2,0.35,0.52,0.68,0.81,0.91,0.97},{1,2,3,4,5,6,7,8,9,10})</f>
        <v>9</v>
      </c>
      <c r="D210">
        <f t="shared" ca="1" si="18"/>
        <v>45600</v>
      </c>
      <c r="E210" t="str">
        <f ca="1">IF(B210="Oloitoktok A",IF(D210&lt;15000,LOOKUP(RAND(),{0,0.45,0.75,0.92},{"River","Rainwater","Borehole","Vendor"}),IF(D210&lt;30000,LOOKUP(RAND(),{0,0.35,0.65,0.85},{"River","Rainwater","Borehole","Vendor"}),LOOKUP(RAND(),{0,0.25,0.5,0.75},{"River","Rainwater","Borehole","Vendor"}))),IF(B210="Oloitoktok B",IF(D210&lt;15000,LOOKUP(RAND(),{0,0.5,0.78,0.94},{"River","Rainwater","Borehole","Vendor"}),IF(D210&lt;30000,LOOKUP(RAND(),{0,0.4,0.68,0.87},{"River","Rainwater","Borehole","Vendor"}),LOOKUP(RAND(),{0,0.28,0.55,0.78},{"River","Rainwater","Borehole","Vendor"}))),IF(B210="Kiserian",IF(D210&lt;15000,LOOKUP(RAND(),{0,0.35,0.65,0.9},{"River","Rainwater","Borehole","Vendor"}),IF(D210&lt;30000,LOOKUP(RAND(),{0,0.25,0.55,0.82},{"River","Rainwater","Borehole","Vendor"}),LOOKUP(RAND(),{0,0.15,0.45,0.72},{"River","Rainwater","Borehole","Vendor"}))),IF(D210&lt;15000,LOOKUP(RAND(),{0,0.4,0.7,0.92},{"River","Rainwater","Borehole","Vendor"}),IF(D210&lt;30000,LOOKUP(RAND(),{0,0.3,0.6,0.85},{"River","Rainwater","Borehole","Vendor"}),LOOKUP(RAND(),{0,0.2,0.5,0.75},{"River","Rainwater","Borehole","Vendor"}))))))</f>
        <v>Vendor</v>
      </c>
      <c r="F210">
        <f t="shared" ca="1" si="19"/>
        <v>33</v>
      </c>
      <c r="G210">
        <f t="shared" ca="1" si="20"/>
        <v>6.9</v>
      </c>
      <c r="H210">
        <f t="shared" ca="1" si="21"/>
        <v>0</v>
      </c>
      <c r="I210">
        <f t="shared" ca="1" si="22"/>
        <v>0.401513354634082</v>
      </c>
      <c r="J210">
        <v>0</v>
      </c>
    </row>
    <row r="211" spans="1:10" x14ac:dyDescent="0.3">
      <c r="A211" t="str">
        <f t="shared" si="23"/>
        <v>HH210</v>
      </c>
      <c r="B211" t="str">
        <f ca="1">LOOKUP(RAND(),{0,0.28,0.55,0.78},{"Oloitoktok A","Oloitoktok B","Kiserian","Namanga"})</f>
        <v>Kiserian</v>
      </c>
      <c r="C211">
        <f ca="1">LOOKUP(RAND(),{0,0.02,0.09,0.2,0.35,0.52,0.68,0.81,0.91,0.97},{1,2,3,4,5,6,7,8,9,10})</f>
        <v>5</v>
      </c>
      <c r="D211">
        <f t="shared" ca="1" si="18"/>
        <v>27700</v>
      </c>
      <c r="E211" t="str">
        <f ca="1">IF(B211="Oloitoktok A",IF(D211&lt;15000,LOOKUP(RAND(),{0,0.45,0.75,0.92},{"River","Rainwater","Borehole","Vendor"}),IF(D211&lt;30000,LOOKUP(RAND(),{0,0.35,0.65,0.85},{"River","Rainwater","Borehole","Vendor"}),LOOKUP(RAND(),{0,0.25,0.5,0.75},{"River","Rainwater","Borehole","Vendor"}))),IF(B211="Oloitoktok B",IF(D211&lt;15000,LOOKUP(RAND(),{0,0.5,0.78,0.94},{"River","Rainwater","Borehole","Vendor"}),IF(D211&lt;30000,LOOKUP(RAND(),{0,0.4,0.68,0.87},{"River","Rainwater","Borehole","Vendor"}),LOOKUP(RAND(),{0,0.28,0.55,0.78},{"River","Rainwater","Borehole","Vendor"}))),IF(B211="Kiserian",IF(D211&lt;15000,LOOKUP(RAND(),{0,0.35,0.65,0.9},{"River","Rainwater","Borehole","Vendor"}),IF(D211&lt;30000,LOOKUP(RAND(),{0,0.25,0.55,0.82},{"River","Rainwater","Borehole","Vendor"}),LOOKUP(RAND(),{0,0.15,0.45,0.72},{"River","Rainwater","Borehole","Vendor"}))),IF(D211&lt;15000,LOOKUP(RAND(),{0,0.4,0.7,0.92},{"River","Rainwater","Borehole","Vendor"}),IF(D211&lt;30000,LOOKUP(RAND(),{0,0.3,0.6,0.85},{"River","Rainwater","Borehole","Vendor"}),LOOKUP(RAND(),{0,0.2,0.5,0.75},{"River","Rainwater","Borehole","Vendor"}))))))</f>
        <v>Rainwater</v>
      </c>
      <c r="F211">
        <f t="shared" ca="1" si="19"/>
        <v>56</v>
      </c>
      <c r="G211">
        <f t="shared" ca="1" si="20"/>
        <v>1.1000000000000001</v>
      </c>
      <c r="H211">
        <f t="shared" ca="1" si="21"/>
        <v>12600</v>
      </c>
      <c r="I211">
        <f t="shared" ca="1" si="22"/>
        <v>0.78747515657726364</v>
      </c>
      <c r="J211">
        <v>0</v>
      </c>
    </row>
    <row r="212" spans="1:10" x14ac:dyDescent="0.3">
      <c r="A212" t="str">
        <f t="shared" si="23"/>
        <v>HH211</v>
      </c>
      <c r="B212" t="str">
        <f ca="1">LOOKUP(RAND(),{0,0.28,0.55,0.78},{"Oloitoktok A","Oloitoktok B","Kiserian","Namanga"})</f>
        <v>Namanga</v>
      </c>
      <c r="C212">
        <f ca="1">LOOKUP(RAND(),{0,0.02,0.09,0.2,0.35,0.52,0.68,0.81,0.91,0.97},{1,2,3,4,5,6,7,8,9,10})</f>
        <v>4</v>
      </c>
      <c r="D212">
        <f t="shared" ca="1" si="18"/>
        <v>34500</v>
      </c>
      <c r="E212" t="str">
        <f ca="1">IF(B212="Oloitoktok A",IF(D212&lt;15000,LOOKUP(RAND(),{0,0.45,0.75,0.92},{"River","Rainwater","Borehole","Vendor"}),IF(D212&lt;30000,LOOKUP(RAND(),{0,0.35,0.65,0.85},{"River","Rainwater","Borehole","Vendor"}),LOOKUP(RAND(),{0,0.25,0.5,0.75},{"River","Rainwater","Borehole","Vendor"}))),IF(B212="Oloitoktok B",IF(D212&lt;15000,LOOKUP(RAND(),{0,0.5,0.78,0.94},{"River","Rainwater","Borehole","Vendor"}),IF(D212&lt;30000,LOOKUP(RAND(),{0,0.4,0.68,0.87},{"River","Rainwater","Borehole","Vendor"}),LOOKUP(RAND(),{0,0.28,0.55,0.78},{"River","Rainwater","Borehole","Vendor"}))),IF(B212="Kiserian",IF(D212&lt;15000,LOOKUP(RAND(),{0,0.35,0.65,0.9},{"River","Rainwater","Borehole","Vendor"}),IF(D212&lt;30000,LOOKUP(RAND(),{0,0.25,0.55,0.82},{"River","Rainwater","Borehole","Vendor"}),LOOKUP(RAND(),{0,0.15,0.45,0.72},{"River","Rainwater","Borehole","Vendor"}))),IF(D212&lt;15000,LOOKUP(RAND(),{0,0.4,0.7,0.92},{"River","Rainwater","Borehole","Vendor"}),IF(D212&lt;30000,LOOKUP(RAND(),{0,0.3,0.6,0.85},{"River","Rainwater","Borehole","Vendor"}),LOOKUP(RAND(),{0,0.2,0.5,0.75},{"River","Rainwater","Borehole","Vendor"}))))))</f>
        <v>River</v>
      </c>
      <c r="F212">
        <f t="shared" ca="1" si="19"/>
        <v>114</v>
      </c>
      <c r="G212">
        <f t="shared" ca="1" si="20"/>
        <v>5.9</v>
      </c>
      <c r="H212">
        <f t="shared" ca="1" si="21"/>
        <v>14800</v>
      </c>
      <c r="I212">
        <f t="shared" ca="1" si="22"/>
        <v>0.83167886381615908</v>
      </c>
      <c r="J212">
        <v>0</v>
      </c>
    </row>
    <row r="213" spans="1:10" x14ac:dyDescent="0.3">
      <c r="A213" t="str">
        <f t="shared" si="23"/>
        <v>HH212</v>
      </c>
      <c r="B213" t="str">
        <f ca="1">LOOKUP(RAND(),{0,0.28,0.55,0.78},{"Oloitoktok A","Oloitoktok B","Kiserian","Namanga"})</f>
        <v>Namanga</v>
      </c>
      <c r="C213">
        <f ca="1">LOOKUP(RAND(),{0,0.02,0.09,0.2,0.35,0.52,0.68,0.81,0.91,0.97},{1,2,3,4,5,6,7,8,9,10})</f>
        <v>4</v>
      </c>
      <c r="D213">
        <f t="shared" ca="1" si="18"/>
        <v>13900</v>
      </c>
      <c r="E213" t="str">
        <f ca="1">IF(B213="Oloitoktok A",IF(D213&lt;15000,LOOKUP(RAND(),{0,0.45,0.75,0.92},{"River","Rainwater","Borehole","Vendor"}),IF(D213&lt;30000,LOOKUP(RAND(),{0,0.35,0.65,0.85},{"River","Rainwater","Borehole","Vendor"}),LOOKUP(RAND(),{0,0.25,0.5,0.75},{"River","Rainwater","Borehole","Vendor"}))),IF(B213="Oloitoktok B",IF(D213&lt;15000,LOOKUP(RAND(),{0,0.5,0.78,0.94},{"River","Rainwater","Borehole","Vendor"}),IF(D213&lt;30000,LOOKUP(RAND(),{0,0.4,0.68,0.87},{"River","Rainwater","Borehole","Vendor"}),LOOKUP(RAND(),{0,0.28,0.55,0.78},{"River","Rainwater","Borehole","Vendor"}))),IF(B213="Kiserian",IF(D213&lt;15000,LOOKUP(RAND(),{0,0.35,0.65,0.9},{"River","Rainwater","Borehole","Vendor"}),IF(D213&lt;30000,LOOKUP(RAND(),{0,0.25,0.55,0.82},{"River","Rainwater","Borehole","Vendor"}),LOOKUP(RAND(),{0,0.15,0.45,0.72},{"River","Rainwater","Borehole","Vendor"}))),IF(D213&lt;15000,LOOKUP(RAND(),{0,0.4,0.7,0.92},{"River","Rainwater","Borehole","Vendor"}),IF(D213&lt;30000,LOOKUP(RAND(),{0,0.3,0.6,0.85},{"River","Rainwater","Borehole","Vendor"}),LOOKUP(RAND(),{0,0.2,0.5,0.75},{"River","Rainwater","Borehole","Vendor"}))))))</f>
        <v>Borehole</v>
      </c>
      <c r="F213">
        <f t="shared" ca="1" si="19"/>
        <v>66</v>
      </c>
      <c r="G213">
        <f t="shared" ca="1" si="20"/>
        <v>8.6999999999999993</v>
      </c>
      <c r="H213">
        <f t="shared" ca="1" si="21"/>
        <v>9000</v>
      </c>
      <c r="I213">
        <f t="shared" ca="1" si="22"/>
        <v>0.59011557692940741</v>
      </c>
      <c r="J213">
        <v>0</v>
      </c>
    </row>
    <row r="214" spans="1:10" x14ac:dyDescent="0.3">
      <c r="A214" t="str">
        <f t="shared" si="23"/>
        <v>HH213</v>
      </c>
      <c r="B214" t="str">
        <f ca="1">LOOKUP(RAND(),{0,0.28,0.55,0.78},{"Oloitoktok A","Oloitoktok B","Kiserian","Namanga"})</f>
        <v>Kiserian</v>
      </c>
      <c r="C214">
        <f ca="1">LOOKUP(RAND(),{0,0.02,0.09,0.2,0.35,0.52,0.68,0.81,0.91,0.97},{1,2,3,4,5,6,7,8,9,10})</f>
        <v>6</v>
      </c>
      <c r="D214">
        <f t="shared" ca="1" si="18"/>
        <v>25400</v>
      </c>
      <c r="E214" t="str">
        <f ca="1">IF(B214="Oloitoktok A",IF(D214&lt;15000,LOOKUP(RAND(),{0,0.45,0.75,0.92},{"River","Rainwater","Borehole","Vendor"}),IF(D214&lt;30000,LOOKUP(RAND(),{0,0.35,0.65,0.85},{"River","Rainwater","Borehole","Vendor"}),LOOKUP(RAND(),{0,0.25,0.5,0.75},{"River","Rainwater","Borehole","Vendor"}))),IF(B214="Oloitoktok B",IF(D214&lt;15000,LOOKUP(RAND(),{0,0.5,0.78,0.94},{"River","Rainwater","Borehole","Vendor"}),IF(D214&lt;30000,LOOKUP(RAND(),{0,0.4,0.68,0.87},{"River","Rainwater","Borehole","Vendor"}),LOOKUP(RAND(),{0,0.28,0.55,0.78},{"River","Rainwater","Borehole","Vendor"}))),IF(B214="Kiserian",IF(D214&lt;15000,LOOKUP(RAND(),{0,0.35,0.65,0.9},{"River","Rainwater","Borehole","Vendor"}),IF(D214&lt;30000,LOOKUP(RAND(),{0,0.25,0.55,0.82},{"River","Rainwater","Borehole","Vendor"}),LOOKUP(RAND(),{0,0.15,0.45,0.72},{"River","Rainwater","Borehole","Vendor"}))),IF(D214&lt;15000,LOOKUP(RAND(),{0,0.4,0.7,0.92},{"River","Rainwater","Borehole","Vendor"}),IF(D214&lt;30000,LOOKUP(RAND(),{0,0.3,0.6,0.85},{"River","Rainwater","Borehole","Vendor"}),LOOKUP(RAND(),{0,0.2,0.5,0.75},{"River","Rainwater","Borehole","Vendor"}))))))</f>
        <v>River</v>
      </c>
      <c r="F214">
        <f t="shared" ca="1" si="19"/>
        <v>93</v>
      </c>
      <c r="G214">
        <f t="shared" ca="1" si="20"/>
        <v>3.1</v>
      </c>
      <c r="H214">
        <f t="shared" ca="1" si="21"/>
        <v>8300</v>
      </c>
      <c r="I214">
        <f t="shared" ca="1" si="22"/>
        <v>0.70474850072302853</v>
      </c>
      <c r="J214">
        <v>0</v>
      </c>
    </row>
    <row r="215" spans="1:10" x14ac:dyDescent="0.3">
      <c r="A215" t="str">
        <f t="shared" si="23"/>
        <v>HH214</v>
      </c>
      <c r="B215" t="str">
        <f ca="1">LOOKUP(RAND(),{0,0.28,0.55,0.78},{"Oloitoktok A","Oloitoktok B","Kiserian","Namanga"})</f>
        <v>Namanga</v>
      </c>
      <c r="C215">
        <f ca="1">LOOKUP(RAND(),{0,0.02,0.09,0.2,0.35,0.52,0.68,0.81,0.91,0.97},{1,2,3,4,5,6,7,8,9,10})</f>
        <v>6</v>
      </c>
      <c r="D215">
        <f t="shared" ca="1" si="18"/>
        <v>18800</v>
      </c>
      <c r="E215" t="str">
        <f ca="1">IF(B215="Oloitoktok A",IF(D215&lt;15000,LOOKUP(RAND(),{0,0.45,0.75,0.92},{"River","Rainwater","Borehole","Vendor"}),IF(D215&lt;30000,LOOKUP(RAND(),{0,0.35,0.65,0.85},{"River","Rainwater","Borehole","Vendor"}),LOOKUP(RAND(),{0,0.25,0.5,0.75},{"River","Rainwater","Borehole","Vendor"}))),IF(B215="Oloitoktok B",IF(D215&lt;15000,LOOKUP(RAND(),{0,0.5,0.78,0.94},{"River","Rainwater","Borehole","Vendor"}),IF(D215&lt;30000,LOOKUP(RAND(),{0,0.4,0.68,0.87},{"River","Rainwater","Borehole","Vendor"}),LOOKUP(RAND(),{0,0.28,0.55,0.78},{"River","Rainwater","Borehole","Vendor"}))),IF(B215="Kiserian",IF(D215&lt;15000,LOOKUP(RAND(),{0,0.35,0.65,0.9},{"River","Rainwater","Borehole","Vendor"}),IF(D215&lt;30000,LOOKUP(RAND(),{0,0.25,0.55,0.82},{"River","Rainwater","Borehole","Vendor"}),LOOKUP(RAND(),{0,0.15,0.45,0.72},{"River","Rainwater","Borehole","Vendor"}))),IF(D215&lt;15000,LOOKUP(RAND(),{0,0.4,0.7,0.92},{"River","Rainwater","Borehole","Vendor"}),IF(D215&lt;30000,LOOKUP(RAND(),{0,0.3,0.6,0.85},{"River","Rainwater","Borehole","Vendor"}),LOOKUP(RAND(),{0,0.2,0.5,0.75},{"River","Rainwater","Borehole","Vendor"}))))))</f>
        <v>Rainwater</v>
      </c>
      <c r="F215">
        <f t="shared" ca="1" si="19"/>
        <v>25</v>
      </c>
      <c r="G215">
        <f t="shared" ca="1" si="20"/>
        <v>2</v>
      </c>
      <c r="H215">
        <f t="shared" ca="1" si="21"/>
        <v>8100</v>
      </c>
      <c r="I215">
        <f t="shared" ca="1" si="22"/>
        <v>0.59622902009911738</v>
      </c>
      <c r="J215">
        <v>0</v>
      </c>
    </row>
    <row r="216" spans="1:10" x14ac:dyDescent="0.3">
      <c r="A216" t="str">
        <f t="shared" si="23"/>
        <v>HH215</v>
      </c>
      <c r="B216" t="str">
        <f ca="1">LOOKUP(RAND(),{0,0.28,0.55,0.78},{"Oloitoktok A","Oloitoktok B","Kiserian","Namanga"})</f>
        <v>Namanga</v>
      </c>
      <c r="C216">
        <f ca="1">LOOKUP(RAND(),{0,0.02,0.09,0.2,0.35,0.52,0.68,0.81,0.91,0.97},{1,2,3,4,5,6,7,8,9,10})</f>
        <v>4</v>
      </c>
      <c r="D216">
        <f t="shared" ca="1" si="18"/>
        <v>23200</v>
      </c>
      <c r="E216" t="str">
        <f ca="1">IF(B216="Oloitoktok A",IF(D216&lt;15000,LOOKUP(RAND(),{0,0.45,0.75,0.92},{"River","Rainwater","Borehole","Vendor"}),IF(D216&lt;30000,LOOKUP(RAND(),{0,0.35,0.65,0.85},{"River","Rainwater","Borehole","Vendor"}),LOOKUP(RAND(),{0,0.25,0.5,0.75},{"River","Rainwater","Borehole","Vendor"}))),IF(B216="Oloitoktok B",IF(D216&lt;15000,LOOKUP(RAND(),{0,0.5,0.78,0.94},{"River","Rainwater","Borehole","Vendor"}),IF(D216&lt;30000,LOOKUP(RAND(),{0,0.4,0.68,0.87},{"River","Rainwater","Borehole","Vendor"}),LOOKUP(RAND(),{0,0.28,0.55,0.78},{"River","Rainwater","Borehole","Vendor"}))),IF(B216="Kiserian",IF(D216&lt;15000,LOOKUP(RAND(),{0,0.35,0.65,0.9},{"River","Rainwater","Borehole","Vendor"}),IF(D216&lt;30000,LOOKUP(RAND(),{0,0.25,0.55,0.82},{"River","Rainwater","Borehole","Vendor"}),LOOKUP(RAND(),{0,0.15,0.45,0.72},{"River","Rainwater","Borehole","Vendor"}))),IF(D216&lt;15000,LOOKUP(RAND(),{0,0.4,0.7,0.92},{"River","Rainwater","Borehole","Vendor"}),IF(D216&lt;30000,LOOKUP(RAND(),{0,0.3,0.6,0.85},{"River","Rainwater","Borehole","Vendor"}),LOOKUP(RAND(),{0,0.2,0.5,0.75},{"River","Rainwater","Borehole","Vendor"}))))))</f>
        <v>Borehole</v>
      </c>
      <c r="F216">
        <f t="shared" ca="1" si="19"/>
        <v>67</v>
      </c>
      <c r="G216">
        <f t="shared" ca="1" si="20"/>
        <v>3.9</v>
      </c>
      <c r="H216">
        <f t="shared" ca="1" si="21"/>
        <v>5600</v>
      </c>
      <c r="I216">
        <f t="shared" ca="1" si="22"/>
        <v>2.4646097099998543E-2</v>
      </c>
      <c r="J216">
        <v>0</v>
      </c>
    </row>
    <row r="217" spans="1:10" x14ac:dyDescent="0.3">
      <c r="A217" t="str">
        <f t="shared" si="23"/>
        <v>HH216</v>
      </c>
      <c r="B217" t="str">
        <f ca="1">LOOKUP(RAND(),{0,0.28,0.55,0.78},{"Oloitoktok A","Oloitoktok B","Kiserian","Namanga"})</f>
        <v>Kiserian</v>
      </c>
      <c r="C217">
        <f ca="1">LOOKUP(RAND(),{0,0.02,0.09,0.2,0.35,0.52,0.68,0.81,0.91,0.97},{1,2,3,4,5,6,7,8,9,10})</f>
        <v>8</v>
      </c>
      <c r="D217">
        <f t="shared" ca="1" si="18"/>
        <v>41400</v>
      </c>
      <c r="E217" t="str">
        <f ca="1">IF(B217="Oloitoktok A",IF(D217&lt;15000,LOOKUP(RAND(),{0,0.45,0.75,0.92},{"River","Rainwater","Borehole","Vendor"}),IF(D217&lt;30000,LOOKUP(RAND(),{0,0.35,0.65,0.85},{"River","Rainwater","Borehole","Vendor"}),LOOKUP(RAND(),{0,0.25,0.5,0.75},{"River","Rainwater","Borehole","Vendor"}))),IF(B217="Oloitoktok B",IF(D217&lt;15000,LOOKUP(RAND(),{0,0.5,0.78,0.94},{"River","Rainwater","Borehole","Vendor"}),IF(D217&lt;30000,LOOKUP(RAND(),{0,0.4,0.68,0.87},{"River","Rainwater","Borehole","Vendor"}),LOOKUP(RAND(),{0,0.28,0.55,0.78},{"River","Rainwater","Borehole","Vendor"}))),IF(B217="Kiserian",IF(D217&lt;15000,LOOKUP(RAND(),{0,0.35,0.65,0.9},{"River","Rainwater","Borehole","Vendor"}),IF(D217&lt;30000,LOOKUP(RAND(),{0,0.25,0.55,0.82},{"River","Rainwater","Borehole","Vendor"}),LOOKUP(RAND(),{0,0.15,0.45,0.72},{"River","Rainwater","Borehole","Vendor"}))),IF(D217&lt;15000,LOOKUP(RAND(),{0,0.4,0.7,0.92},{"River","Rainwater","Borehole","Vendor"}),IF(D217&lt;30000,LOOKUP(RAND(),{0,0.3,0.6,0.85},{"River","Rainwater","Borehole","Vendor"}),LOOKUP(RAND(),{0,0.2,0.5,0.75},{"River","Rainwater","Borehole","Vendor"}))))))</f>
        <v>Rainwater</v>
      </c>
      <c r="F217">
        <f t="shared" ca="1" si="19"/>
        <v>42</v>
      </c>
      <c r="G217">
        <f t="shared" ca="1" si="20"/>
        <v>8.1999999999999993</v>
      </c>
      <c r="H217">
        <f t="shared" ca="1" si="21"/>
        <v>3500</v>
      </c>
      <c r="I217">
        <f t="shared" ca="1" si="22"/>
        <v>0.70295426787433091</v>
      </c>
      <c r="J217">
        <v>0</v>
      </c>
    </row>
    <row r="218" spans="1:10" x14ac:dyDescent="0.3">
      <c r="A218" t="str">
        <f t="shared" si="23"/>
        <v>HH217</v>
      </c>
      <c r="B218" t="str">
        <f ca="1">LOOKUP(RAND(),{0,0.28,0.55,0.78},{"Oloitoktok A","Oloitoktok B","Kiserian","Namanga"})</f>
        <v>Oloitoktok A</v>
      </c>
      <c r="C218">
        <f ca="1">LOOKUP(RAND(),{0,0.02,0.09,0.2,0.35,0.52,0.68,0.81,0.91,0.97},{1,2,3,4,5,6,7,8,9,10})</f>
        <v>6</v>
      </c>
      <c r="D218">
        <f t="shared" ca="1" si="18"/>
        <v>150000</v>
      </c>
      <c r="E218" t="str">
        <f ca="1">IF(B218="Oloitoktok A",IF(D218&lt;15000,LOOKUP(RAND(),{0,0.45,0.75,0.92},{"River","Rainwater","Borehole","Vendor"}),IF(D218&lt;30000,LOOKUP(RAND(),{0,0.35,0.65,0.85},{"River","Rainwater","Borehole","Vendor"}),LOOKUP(RAND(),{0,0.25,0.5,0.75},{"River","Rainwater","Borehole","Vendor"}))),IF(B218="Oloitoktok B",IF(D218&lt;15000,LOOKUP(RAND(),{0,0.5,0.78,0.94},{"River","Rainwater","Borehole","Vendor"}),IF(D218&lt;30000,LOOKUP(RAND(),{0,0.4,0.68,0.87},{"River","Rainwater","Borehole","Vendor"}),LOOKUP(RAND(),{0,0.28,0.55,0.78},{"River","Rainwater","Borehole","Vendor"}))),IF(B218="Kiserian",IF(D218&lt;15000,LOOKUP(RAND(),{0,0.35,0.65,0.9},{"River","Rainwater","Borehole","Vendor"}),IF(D218&lt;30000,LOOKUP(RAND(),{0,0.25,0.55,0.82},{"River","Rainwater","Borehole","Vendor"}),LOOKUP(RAND(),{0,0.15,0.45,0.72},{"River","Rainwater","Borehole","Vendor"}))),IF(D218&lt;15000,LOOKUP(RAND(),{0,0.4,0.7,0.92},{"River","Rainwater","Borehole","Vendor"}),IF(D218&lt;30000,LOOKUP(RAND(),{0,0.3,0.6,0.85},{"River","Rainwater","Borehole","Vendor"}),LOOKUP(RAND(),{0,0.2,0.5,0.75},{"River","Rainwater","Borehole","Vendor"}))))))</f>
        <v>Vendor</v>
      </c>
      <c r="F218">
        <f t="shared" ca="1" si="19"/>
        <v>52</v>
      </c>
      <c r="G218">
        <f t="shared" ca="1" si="20"/>
        <v>2</v>
      </c>
      <c r="H218">
        <f t="shared" ca="1" si="21"/>
        <v>10600</v>
      </c>
      <c r="I218">
        <f t="shared" ca="1" si="22"/>
        <v>0.7628346715498836</v>
      </c>
      <c r="J218">
        <v>0</v>
      </c>
    </row>
    <row r="219" spans="1:10" x14ac:dyDescent="0.3">
      <c r="A219" t="str">
        <f t="shared" si="23"/>
        <v>HH218</v>
      </c>
      <c r="B219" t="str">
        <f ca="1">LOOKUP(RAND(),{0,0.28,0.55,0.78},{"Oloitoktok A","Oloitoktok B","Kiserian","Namanga"})</f>
        <v>Oloitoktok B</v>
      </c>
      <c r="C219">
        <f ca="1">LOOKUP(RAND(),{0,0.02,0.09,0.2,0.35,0.52,0.68,0.81,0.91,0.97},{1,2,3,4,5,6,7,8,9,10})</f>
        <v>6</v>
      </c>
      <c r="D219">
        <f t="shared" ca="1" si="18"/>
        <v>39400</v>
      </c>
      <c r="E219" t="str">
        <f ca="1">IF(B219="Oloitoktok A",IF(D219&lt;15000,LOOKUP(RAND(),{0,0.45,0.75,0.92},{"River","Rainwater","Borehole","Vendor"}),IF(D219&lt;30000,LOOKUP(RAND(),{0,0.35,0.65,0.85},{"River","Rainwater","Borehole","Vendor"}),LOOKUP(RAND(),{0,0.25,0.5,0.75},{"River","Rainwater","Borehole","Vendor"}))),IF(B219="Oloitoktok B",IF(D219&lt;15000,LOOKUP(RAND(),{0,0.5,0.78,0.94},{"River","Rainwater","Borehole","Vendor"}),IF(D219&lt;30000,LOOKUP(RAND(),{0,0.4,0.68,0.87},{"River","Rainwater","Borehole","Vendor"}),LOOKUP(RAND(),{0,0.28,0.55,0.78},{"River","Rainwater","Borehole","Vendor"}))),IF(B219="Kiserian",IF(D219&lt;15000,LOOKUP(RAND(),{0,0.35,0.65,0.9},{"River","Rainwater","Borehole","Vendor"}),IF(D219&lt;30000,LOOKUP(RAND(),{0,0.25,0.55,0.82},{"River","Rainwater","Borehole","Vendor"}),LOOKUP(RAND(),{0,0.15,0.45,0.72},{"River","Rainwater","Borehole","Vendor"}))),IF(D219&lt;15000,LOOKUP(RAND(),{0,0.4,0.7,0.92},{"River","Rainwater","Borehole","Vendor"}),IF(D219&lt;30000,LOOKUP(RAND(),{0,0.3,0.6,0.85},{"River","Rainwater","Borehole","Vendor"}),LOOKUP(RAND(),{0,0.2,0.5,0.75},{"River","Rainwater","Borehole","Vendor"}))))))</f>
        <v>Vendor</v>
      </c>
      <c r="F219">
        <f t="shared" ca="1" si="19"/>
        <v>30</v>
      </c>
      <c r="G219">
        <f t="shared" ca="1" si="20"/>
        <v>5.2</v>
      </c>
      <c r="H219">
        <f t="shared" ca="1" si="21"/>
        <v>4500</v>
      </c>
      <c r="I219">
        <f t="shared" ca="1" si="22"/>
        <v>0.44490189818279069</v>
      </c>
      <c r="J219">
        <v>0</v>
      </c>
    </row>
    <row r="220" spans="1:10" x14ac:dyDescent="0.3">
      <c r="A220" t="str">
        <f t="shared" si="23"/>
        <v>HH219</v>
      </c>
      <c r="B220" t="str">
        <f ca="1">LOOKUP(RAND(),{0,0.28,0.55,0.78},{"Oloitoktok A","Oloitoktok B","Kiserian","Namanga"})</f>
        <v>Namanga</v>
      </c>
      <c r="C220">
        <f ca="1">LOOKUP(RAND(),{0,0.02,0.09,0.2,0.35,0.52,0.68,0.81,0.91,0.97},{1,2,3,4,5,6,7,8,9,10})</f>
        <v>3</v>
      </c>
      <c r="D220">
        <f t="shared" ca="1" si="18"/>
        <v>42000</v>
      </c>
      <c r="E220" t="str">
        <f ca="1">IF(B220="Oloitoktok A",IF(D220&lt;15000,LOOKUP(RAND(),{0,0.45,0.75,0.92},{"River","Rainwater","Borehole","Vendor"}),IF(D220&lt;30000,LOOKUP(RAND(),{0,0.35,0.65,0.85},{"River","Rainwater","Borehole","Vendor"}),LOOKUP(RAND(),{0,0.25,0.5,0.75},{"River","Rainwater","Borehole","Vendor"}))),IF(B220="Oloitoktok B",IF(D220&lt;15000,LOOKUP(RAND(),{0,0.5,0.78,0.94},{"River","Rainwater","Borehole","Vendor"}),IF(D220&lt;30000,LOOKUP(RAND(),{0,0.4,0.68,0.87},{"River","Rainwater","Borehole","Vendor"}),LOOKUP(RAND(),{0,0.28,0.55,0.78},{"River","Rainwater","Borehole","Vendor"}))),IF(B220="Kiserian",IF(D220&lt;15000,LOOKUP(RAND(),{0,0.35,0.65,0.9},{"River","Rainwater","Borehole","Vendor"}),IF(D220&lt;30000,LOOKUP(RAND(),{0,0.25,0.55,0.82},{"River","Rainwater","Borehole","Vendor"}),LOOKUP(RAND(),{0,0.15,0.45,0.72},{"River","Rainwater","Borehole","Vendor"}))),IF(D220&lt;15000,LOOKUP(RAND(),{0,0.4,0.7,0.92},{"River","Rainwater","Borehole","Vendor"}),IF(D220&lt;30000,LOOKUP(RAND(),{0,0.3,0.6,0.85},{"River","Rainwater","Borehole","Vendor"}),LOOKUP(RAND(),{0,0.2,0.5,0.75},{"River","Rainwater","Borehole","Vendor"}))))))</f>
        <v>Vendor</v>
      </c>
      <c r="F220">
        <f t="shared" ca="1" si="19"/>
        <v>49</v>
      </c>
      <c r="G220">
        <f t="shared" ca="1" si="20"/>
        <v>4.9000000000000004</v>
      </c>
      <c r="H220">
        <f t="shared" ca="1" si="21"/>
        <v>12300</v>
      </c>
      <c r="I220">
        <f t="shared" ca="1" si="22"/>
        <v>0.42150072282818374</v>
      </c>
      <c r="J220">
        <v>0</v>
      </c>
    </row>
    <row r="221" spans="1:10" x14ac:dyDescent="0.3">
      <c r="A221" t="str">
        <f t="shared" si="23"/>
        <v>HH220</v>
      </c>
      <c r="B221" t="str">
        <f ca="1">LOOKUP(RAND(),{0,0.28,0.55,0.78},{"Oloitoktok A","Oloitoktok B","Kiserian","Namanga"})</f>
        <v>Namanga</v>
      </c>
      <c r="C221">
        <f ca="1">LOOKUP(RAND(),{0,0.02,0.09,0.2,0.35,0.52,0.68,0.81,0.91,0.97},{1,2,3,4,5,6,7,8,9,10})</f>
        <v>4</v>
      </c>
      <c r="D221">
        <f t="shared" ca="1" si="18"/>
        <v>29100</v>
      </c>
      <c r="E221" t="str">
        <f ca="1">IF(B221="Oloitoktok A",IF(D221&lt;15000,LOOKUP(RAND(),{0,0.45,0.75,0.92},{"River","Rainwater","Borehole","Vendor"}),IF(D221&lt;30000,LOOKUP(RAND(),{0,0.35,0.65,0.85},{"River","Rainwater","Borehole","Vendor"}),LOOKUP(RAND(),{0,0.25,0.5,0.75},{"River","Rainwater","Borehole","Vendor"}))),IF(B221="Oloitoktok B",IF(D221&lt;15000,LOOKUP(RAND(),{0,0.5,0.78,0.94},{"River","Rainwater","Borehole","Vendor"}),IF(D221&lt;30000,LOOKUP(RAND(),{0,0.4,0.68,0.87},{"River","Rainwater","Borehole","Vendor"}),LOOKUP(RAND(),{0,0.28,0.55,0.78},{"River","Rainwater","Borehole","Vendor"}))),IF(B221="Kiserian",IF(D221&lt;15000,LOOKUP(RAND(),{0,0.35,0.65,0.9},{"River","Rainwater","Borehole","Vendor"}),IF(D221&lt;30000,LOOKUP(RAND(),{0,0.25,0.55,0.82},{"River","Rainwater","Borehole","Vendor"}),LOOKUP(RAND(),{0,0.15,0.45,0.72},{"River","Rainwater","Borehole","Vendor"}))),IF(D221&lt;15000,LOOKUP(RAND(),{0,0.4,0.7,0.92},{"River","Rainwater","Borehole","Vendor"}),IF(D221&lt;30000,LOOKUP(RAND(),{0,0.3,0.6,0.85},{"River","Rainwater","Borehole","Vendor"}),LOOKUP(RAND(),{0,0.2,0.5,0.75},{"River","Rainwater","Borehole","Vendor"}))))))</f>
        <v>Rainwater</v>
      </c>
      <c r="F221">
        <f t="shared" ca="1" si="19"/>
        <v>18</v>
      </c>
      <c r="G221">
        <f t="shared" ca="1" si="20"/>
        <v>5.9</v>
      </c>
      <c r="H221">
        <f t="shared" ca="1" si="21"/>
        <v>8000</v>
      </c>
      <c r="I221">
        <f t="shared" ca="1" si="22"/>
        <v>0.68933569972513808</v>
      </c>
      <c r="J221">
        <v>0</v>
      </c>
    </row>
    <row r="222" spans="1:10" x14ac:dyDescent="0.3">
      <c r="A222" t="str">
        <f t="shared" si="23"/>
        <v>HH221</v>
      </c>
      <c r="B222" t="str">
        <f ca="1">LOOKUP(RAND(),{0,0.28,0.55,0.78},{"Oloitoktok A","Oloitoktok B","Kiserian","Namanga"})</f>
        <v>Oloitoktok B</v>
      </c>
      <c r="C222">
        <f ca="1">LOOKUP(RAND(),{0,0.02,0.09,0.2,0.35,0.52,0.68,0.81,0.91,0.97},{1,2,3,4,5,6,7,8,9,10})</f>
        <v>9</v>
      </c>
      <c r="D222">
        <f t="shared" ca="1" si="18"/>
        <v>74100</v>
      </c>
      <c r="E222" t="str">
        <f ca="1">IF(B222="Oloitoktok A",IF(D222&lt;15000,LOOKUP(RAND(),{0,0.45,0.75,0.92},{"River","Rainwater","Borehole","Vendor"}),IF(D222&lt;30000,LOOKUP(RAND(),{0,0.35,0.65,0.85},{"River","Rainwater","Borehole","Vendor"}),LOOKUP(RAND(),{0,0.25,0.5,0.75},{"River","Rainwater","Borehole","Vendor"}))),IF(B222="Oloitoktok B",IF(D222&lt;15000,LOOKUP(RAND(),{0,0.5,0.78,0.94},{"River","Rainwater","Borehole","Vendor"}),IF(D222&lt;30000,LOOKUP(RAND(),{0,0.4,0.68,0.87},{"River","Rainwater","Borehole","Vendor"}),LOOKUP(RAND(),{0,0.28,0.55,0.78},{"River","Rainwater","Borehole","Vendor"}))),IF(B222="Kiserian",IF(D222&lt;15000,LOOKUP(RAND(),{0,0.35,0.65,0.9},{"River","Rainwater","Borehole","Vendor"}),IF(D222&lt;30000,LOOKUP(RAND(),{0,0.25,0.55,0.82},{"River","Rainwater","Borehole","Vendor"}),LOOKUP(RAND(),{0,0.15,0.45,0.72},{"River","Rainwater","Borehole","Vendor"}))),IF(D222&lt;15000,LOOKUP(RAND(),{0,0.4,0.7,0.92},{"River","Rainwater","Borehole","Vendor"}),IF(D222&lt;30000,LOOKUP(RAND(),{0,0.3,0.6,0.85},{"River","Rainwater","Borehole","Vendor"}),LOOKUP(RAND(),{0,0.2,0.5,0.75},{"River","Rainwater","Borehole","Vendor"}))))))</f>
        <v>Borehole</v>
      </c>
      <c r="F222">
        <f t="shared" ca="1" si="19"/>
        <v>39</v>
      </c>
      <c r="G222">
        <f t="shared" ca="1" si="20"/>
        <v>2.5</v>
      </c>
      <c r="H222">
        <f t="shared" ca="1" si="21"/>
        <v>4800</v>
      </c>
      <c r="I222">
        <f t="shared" ca="1" si="22"/>
        <v>0.51673997254467574</v>
      </c>
      <c r="J222">
        <v>0</v>
      </c>
    </row>
    <row r="223" spans="1:10" x14ac:dyDescent="0.3">
      <c r="A223" t="str">
        <f t="shared" si="23"/>
        <v>HH222</v>
      </c>
      <c r="B223" t="str">
        <f ca="1">LOOKUP(RAND(),{0,0.28,0.55,0.78},{"Oloitoktok A","Oloitoktok B","Kiserian","Namanga"})</f>
        <v>Kiserian</v>
      </c>
      <c r="C223">
        <f ca="1">LOOKUP(RAND(),{0,0.02,0.09,0.2,0.35,0.52,0.68,0.81,0.91,0.97},{1,2,3,4,5,6,7,8,9,10})</f>
        <v>6</v>
      </c>
      <c r="D223">
        <f t="shared" ca="1" si="18"/>
        <v>31200</v>
      </c>
      <c r="E223" t="str">
        <f ca="1">IF(B223="Oloitoktok A",IF(D223&lt;15000,LOOKUP(RAND(),{0,0.45,0.75,0.92},{"River","Rainwater","Borehole","Vendor"}),IF(D223&lt;30000,LOOKUP(RAND(),{0,0.35,0.65,0.85},{"River","Rainwater","Borehole","Vendor"}),LOOKUP(RAND(),{0,0.25,0.5,0.75},{"River","Rainwater","Borehole","Vendor"}))),IF(B223="Oloitoktok B",IF(D223&lt;15000,LOOKUP(RAND(),{0,0.5,0.78,0.94},{"River","Rainwater","Borehole","Vendor"}),IF(D223&lt;30000,LOOKUP(RAND(),{0,0.4,0.68,0.87},{"River","Rainwater","Borehole","Vendor"}),LOOKUP(RAND(),{0,0.28,0.55,0.78},{"River","Rainwater","Borehole","Vendor"}))),IF(B223="Kiserian",IF(D223&lt;15000,LOOKUP(RAND(),{0,0.35,0.65,0.9},{"River","Rainwater","Borehole","Vendor"}),IF(D223&lt;30000,LOOKUP(RAND(),{0,0.25,0.55,0.82},{"River","Rainwater","Borehole","Vendor"}),LOOKUP(RAND(),{0,0.15,0.45,0.72},{"River","Rainwater","Borehole","Vendor"}))),IF(D223&lt;15000,LOOKUP(RAND(),{0,0.4,0.7,0.92},{"River","Rainwater","Borehole","Vendor"}),IF(D223&lt;30000,LOOKUP(RAND(),{0,0.3,0.6,0.85},{"River","Rainwater","Borehole","Vendor"}),LOOKUP(RAND(),{0,0.2,0.5,0.75},{"River","Rainwater","Borehole","Vendor"}))))))</f>
        <v>Borehole</v>
      </c>
      <c r="F223">
        <f t="shared" ca="1" si="19"/>
        <v>62</v>
      </c>
      <c r="G223">
        <f t="shared" ca="1" si="20"/>
        <v>5.7</v>
      </c>
      <c r="H223">
        <f t="shared" ca="1" si="21"/>
        <v>5000</v>
      </c>
      <c r="I223">
        <f t="shared" ca="1" si="22"/>
        <v>9.5851148758958948E-2</v>
      </c>
      <c r="J223">
        <v>0</v>
      </c>
    </row>
    <row r="224" spans="1:10" x14ac:dyDescent="0.3">
      <c r="A224" t="str">
        <f t="shared" si="23"/>
        <v>HH223</v>
      </c>
      <c r="B224" t="str">
        <f ca="1">LOOKUP(RAND(),{0,0.28,0.55,0.78},{"Oloitoktok A","Oloitoktok B","Kiserian","Namanga"})</f>
        <v>Oloitoktok A</v>
      </c>
      <c r="C224">
        <f ca="1">LOOKUP(RAND(),{0,0.02,0.09,0.2,0.35,0.52,0.68,0.81,0.91,0.97},{1,2,3,4,5,6,7,8,9,10})</f>
        <v>6</v>
      </c>
      <c r="D224">
        <f t="shared" ca="1" si="18"/>
        <v>38300</v>
      </c>
      <c r="E224" t="str">
        <f ca="1">IF(B224="Oloitoktok A",IF(D224&lt;15000,LOOKUP(RAND(),{0,0.45,0.75,0.92},{"River","Rainwater","Borehole","Vendor"}),IF(D224&lt;30000,LOOKUP(RAND(),{0,0.35,0.65,0.85},{"River","Rainwater","Borehole","Vendor"}),LOOKUP(RAND(),{0,0.25,0.5,0.75},{"River","Rainwater","Borehole","Vendor"}))),IF(B224="Oloitoktok B",IF(D224&lt;15000,LOOKUP(RAND(),{0,0.5,0.78,0.94},{"River","Rainwater","Borehole","Vendor"}),IF(D224&lt;30000,LOOKUP(RAND(),{0,0.4,0.68,0.87},{"River","Rainwater","Borehole","Vendor"}),LOOKUP(RAND(),{0,0.28,0.55,0.78},{"River","Rainwater","Borehole","Vendor"}))),IF(B224="Kiserian",IF(D224&lt;15000,LOOKUP(RAND(),{0,0.35,0.65,0.9},{"River","Rainwater","Borehole","Vendor"}),IF(D224&lt;30000,LOOKUP(RAND(),{0,0.25,0.55,0.82},{"River","Rainwater","Borehole","Vendor"}),LOOKUP(RAND(),{0,0.15,0.45,0.72},{"River","Rainwater","Borehole","Vendor"}))),IF(D224&lt;15000,LOOKUP(RAND(),{0,0.4,0.7,0.92},{"River","Rainwater","Borehole","Vendor"}),IF(D224&lt;30000,LOOKUP(RAND(),{0,0.3,0.6,0.85},{"River","Rainwater","Borehole","Vendor"}),LOOKUP(RAND(),{0,0.2,0.5,0.75},{"River","Rainwater","Borehole","Vendor"}))))))</f>
        <v>Borehole</v>
      </c>
      <c r="F224">
        <f t="shared" ca="1" si="19"/>
        <v>45</v>
      </c>
      <c r="G224">
        <f t="shared" ca="1" si="20"/>
        <v>13</v>
      </c>
      <c r="H224">
        <f t="shared" ca="1" si="21"/>
        <v>3400</v>
      </c>
      <c r="I224">
        <f t="shared" ca="1" si="22"/>
        <v>0.21655523609850869</v>
      </c>
      <c r="J224">
        <v>0</v>
      </c>
    </row>
    <row r="225" spans="1:10" x14ac:dyDescent="0.3">
      <c r="A225" t="str">
        <f t="shared" si="23"/>
        <v>HH224</v>
      </c>
      <c r="B225" t="str">
        <f ca="1">LOOKUP(RAND(),{0,0.28,0.55,0.78},{"Oloitoktok A","Oloitoktok B","Kiserian","Namanga"})</f>
        <v>Oloitoktok A</v>
      </c>
      <c r="C225">
        <f ca="1">LOOKUP(RAND(),{0,0.02,0.09,0.2,0.35,0.52,0.68,0.81,0.91,0.97},{1,2,3,4,5,6,7,8,9,10})</f>
        <v>3</v>
      </c>
      <c r="D225">
        <f t="shared" ca="1" si="18"/>
        <v>26100</v>
      </c>
      <c r="E225" t="str">
        <f ca="1">IF(B225="Oloitoktok A",IF(D225&lt;15000,LOOKUP(RAND(),{0,0.45,0.75,0.92},{"River","Rainwater","Borehole","Vendor"}),IF(D225&lt;30000,LOOKUP(RAND(),{0,0.35,0.65,0.85},{"River","Rainwater","Borehole","Vendor"}),LOOKUP(RAND(),{0,0.25,0.5,0.75},{"River","Rainwater","Borehole","Vendor"}))),IF(B225="Oloitoktok B",IF(D225&lt;15000,LOOKUP(RAND(),{0,0.5,0.78,0.94},{"River","Rainwater","Borehole","Vendor"}),IF(D225&lt;30000,LOOKUP(RAND(),{0,0.4,0.68,0.87},{"River","Rainwater","Borehole","Vendor"}),LOOKUP(RAND(),{0,0.28,0.55,0.78},{"River","Rainwater","Borehole","Vendor"}))),IF(B225="Kiserian",IF(D225&lt;15000,LOOKUP(RAND(),{0,0.35,0.65,0.9},{"River","Rainwater","Borehole","Vendor"}),IF(D225&lt;30000,LOOKUP(RAND(),{0,0.25,0.55,0.82},{"River","Rainwater","Borehole","Vendor"}),LOOKUP(RAND(),{0,0.15,0.45,0.72},{"River","Rainwater","Borehole","Vendor"}))),IF(D225&lt;15000,LOOKUP(RAND(),{0,0.4,0.7,0.92},{"River","Rainwater","Borehole","Vendor"}),IF(D225&lt;30000,LOOKUP(RAND(),{0,0.3,0.6,0.85},{"River","Rainwater","Borehole","Vendor"}),LOOKUP(RAND(),{0,0.2,0.5,0.75},{"River","Rainwater","Borehole","Vendor"}))))))</f>
        <v>River</v>
      </c>
      <c r="F225">
        <f t="shared" ca="1" si="19"/>
        <v>55</v>
      </c>
      <c r="G225">
        <f t="shared" ca="1" si="20"/>
        <v>8.6999999999999993</v>
      </c>
      <c r="H225">
        <f t="shared" ca="1" si="21"/>
        <v>3600</v>
      </c>
      <c r="I225">
        <f t="shared" ca="1" si="22"/>
        <v>0.88205491117791113</v>
      </c>
      <c r="J225">
        <v>0</v>
      </c>
    </row>
    <row r="226" spans="1:10" x14ac:dyDescent="0.3">
      <c r="A226" t="str">
        <f t="shared" si="23"/>
        <v>HH225</v>
      </c>
      <c r="B226" t="str">
        <f ca="1">LOOKUP(RAND(),{0,0.28,0.55,0.78},{"Oloitoktok A","Oloitoktok B","Kiserian","Namanga"})</f>
        <v>Namanga</v>
      </c>
      <c r="C226">
        <f ca="1">LOOKUP(RAND(),{0,0.02,0.09,0.2,0.35,0.52,0.68,0.81,0.91,0.97},{1,2,3,4,5,6,7,8,9,10})</f>
        <v>3</v>
      </c>
      <c r="D226">
        <f t="shared" ca="1" si="18"/>
        <v>41400</v>
      </c>
      <c r="E226" t="str">
        <f ca="1">IF(B226="Oloitoktok A",IF(D226&lt;15000,LOOKUP(RAND(),{0,0.45,0.75,0.92},{"River","Rainwater","Borehole","Vendor"}),IF(D226&lt;30000,LOOKUP(RAND(),{0,0.35,0.65,0.85},{"River","Rainwater","Borehole","Vendor"}),LOOKUP(RAND(),{0,0.25,0.5,0.75},{"River","Rainwater","Borehole","Vendor"}))),IF(B226="Oloitoktok B",IF(D226&lt;15000,LOOKUP(RAND(),{0,0.5,0.78,0.94},{"River","Rainwater","Borehole","Vendor"}),IF(D226&lt;30000,LOOKUP(RAND(),{0,0.4,0.68,0.87},{"River","Rainwater","Borehole","Vendor"}),LOOKUP(RAND(),{0,0.28,0.55,0.78},{"River","Rainwater","Borehole","Vendor"}))),IF(B226="Kiserian",IF(D226&lt;15000,LOOKUP(RAND(),{0,0.35,0.65,0.9},{"River","Rainwater","Borehole","Vendor"}),IF(D226&lt;30000,LOOKUP(RAND(),{0,0.25,0.55,0.82},{"River","Rainwater","Borehole","Vendor"}),LOOKUP(RAND(),{0,0.15,0.45,0.72},{"River","Rainwater","Borehole","Vendor"}))),IF(D226&lt;15000,LOOKUP(RAND(),{0,0.4,0.7,0.92},{"River","Rainwater","Borehole","Vendor"}),IF(D226&lt;30000,LOOKUP(RAND(),{0,0.3,0.6,0.85},{"River","Rainwater","Borehole","Vendor"}),LOOKUP(RAND(),{0,0.2,0.5,0.75},{"River","Rainwater","Borehole","Vendor"}))))))</f>
        <v>Borehole</v>
      </c>
      <c r="F226">
        <f t="shared" ca="1" si="19"/>
        <v>34</v>
      </c>
      <c r="G226">
        <f t="shared" ca="1" si="20"/>
        <v>11.6</v>
      </c>
      <c r="H226">
        <f t="shared" ca="1" si="21"/>
        <v>0</v>
      </c>
      <c r="I226">
        <f t="shared" ca="1" si="22"/>
        <v>0.88744851383442591</v>
      </c>
      <c r="J226">
        <v>0</v>
      </c>
    </row>
    <row r="227" spans="1:10" x14ac:dyDescent="0.3">
      <c r="A227" t="str">
        <f t="shared" si="23"/>
        <v>HH226</v>
      </c>
      <c r="B227" t="str">
        <f ca="1">LOOKUP(RAND(),{0,0.28,0.55,0.78},{"Oloitoktok A","Oloitoktok B","Kiserian","Namanga"})</f>
        <v>Namanga</v>
      </c>
      <c r="C227">
        <f ca="1">LOOKUP(RAND(),{0,0.02,0.09,0.2,0.35,0.52,0.68,0.81,0.91,0.97},{1,2,3,4,5,6,7,8,9,10})</f>
        <v>1</v>
      </c>
      <c r="D227">
        <f t="shared" ca="1" si="18"/>
        <v>30300</v>
      </c>
      <c r="E227" t="str">
        <f ca="1">IF(B227="Oloitoktok A",IF(D227&lt;15000,LOOKUP(RAND(),{0,0.45,0.75,0.92},{"River","Rainwater","Borehole","Vendor"}),IF(D227&lt;30000,LOOKUP(RAND(),{0,0.35,0.65,0.85},{"River","Rainwater","Borehole","Vendor"}),LOOKUP(RAND(),{0,0.25,0.5,0.75},{"River","Rainwater","Borehole","Vendor"}))),IF(B227="Oloitoktok B",IF(D227&lt;15000,LOOKUP(RAND(),{0,0.5,0.78,0.94},{"River","Rainwater","Borehole","Vendor"}),IF(D227&lt;30000,LOOKUP(RAND(),{0,0.4,0.68,0.87},{"River","Rainwater","Borehole","Vendor"}),LOOKUP(RAND(),{0,0.28,0.55,0.78},{"River","Rainwater","Borehole","Vendor"}))),IF(B227="Kiserian",IF(D227&lt;15000,LOOKUP(RAND(),{0,0.35,0.65,0.9},{"River","Rainwater","Borehole","Vendor"}),IF(D227&lt;30000,LOOKUP(RAND(),{0,0.25,0.55,0.82},{"River","Rainwater","Borehole","Vendor"}),LOOKUP(RAND(),{0,0.15,0.45,0.72},{"River","Rainwater","Borehole","Vendor"}))),IF(D227&lt;15000,LOOKUP(RAND(),{0,0.4,0.7,0.92},{"River","Rainwater","Borehole","Vendor"}),IF(D227&lt;30000,LOOKUP(RAND(),{0,0.3,0.6,0.85},{"River","Rainwater","Borehole","Vendor"}),LOOKUP(RAND(),{0,0.2,0.5,0.75},{"River","Rainwater","Borehole","Vendor"}))))))</f>
        <v>Borehole</v>
      </c>
      <c r="F227">
        <f t="shared" ca="1" si="19"/>
        <v>52</v>
      </c>
      <c r="G227">
        <f t="shared" ca="1" si="20"/>
        <v>3</v>
      </c>
      <c r="H227">
        <f t="shared" ca="1" si="21"/>
        <v>1400</v>
      </c>
      <c r="I227">
        <f t="shared" ca="1" si="22"/>
        <v>0.30616633999273801</v>
      </c>
      <c r="J227">
        <v>0</v>
      </c>
    </row>
    <row r="228" spans="1:10" x14ac:dyDescent="0.3">
      <c r="A228" t="str">
        <f t="shared" si="23"/>
        <v>HH227</v>
      </c>
      <c r="B228" t="str">
        <f ca="1">LOOKUP(RAND(),{0,0.28,0.55,0.78},{"Oloitoktok A","Oloitoktok B","Kiserian","Namanga"})</f>
        <v>Oloitoktok B</v>
      </c>
      <c r="C228">
        <f ca="1">LOOKUP(RAND(),{0,0.02,0.09,0.2,0.35,0.52,0.68,0.81,0.91,0.97},{1,2,3,4,5,6,7,8,9,10})</f>
        <v>6</v>
      </c>
      <c r="D228">
        <f t="shared" ca="1" si="18"/>
        <v>23200</v>
      </c>
      <c r="E228" t="str">
        <f ca="1">IF(B228="Oloitoktok A",IF(D228&lt;15000,LOOKUP(RAND(),{0,0.45,0.75,0.92},{"River","Rainwater","Borehole","Vendor"}),IF(D228&lt;30000,LOOKUP(RAND(),{0,0.35,0.65,0.85},{"River","Rainwater","Borehole","Vendor"}),LOOKUP(RAND(),{0,0.25,0.5,0.75},{"River","Rainwater","Borehole","Vendor"}))),IF(B228="Oloitoktok B",IF(D228&lt;15000,LOOKUP(RAND(),{0,0.5,0.78,0.94},{"River","Rainwater","Borehole","Vendor"}),IF(D228&lt;30000,LOOKUP(RAND(),{0,0.4,0.68,0.87},{"River","Rainwater","Borehole","Vendor"}),LOOKUP(RAND(),{0,0.28,0.55,0.78},{"River","Rainwater","Borehole","Vendor"}))),IF(B228="Kiserian",IF(D228&lt;15000,LOOKUP(RAND(),{0,0.35,0.65,0.9},{"River","Rainwater","Borehole","Vendor"}),IF(D228&lt;30000,LOOKUP(RAND(),{0,0.25,0.55,0.82},{"River","Rainwater","Borehole","Vendor"}),LOOKUP(RAND(),{0,0.15,0.45,0.72},{"River","Rainwater","Borehole","Vendor"}))),IF(D228&lt;15000,LOOKUP(RAND(),{0,0.4,0.7,0.92},{"River","Rainwater","Borehole","Vendor"}),IF(D228&lt;30000,LOOKUP(RAND(),{0,0.3,0.6,0.85},{"River","Rainwater","Borehole","Vendor"}),LOOKUP(RAND(),{0,0.2,0.5,0.75},{"River","Rainwater","Borehole","Vendor"}))))))</f>
        <v>Vendor</v>
      </c>
      <c r="F228">
        <f t="shared" ca="1" si="19"/>
        <v>17</v>
      </c>
      <c r="G228">
        <f t="shared" ca="1" si="20"/>
        <v>5.6</v>
      </c>
      <c r="H228">
        <f t="shared" ca="1" si="21"/>
        <v>6400</v>
      </c>
      <c r="I228">
        <f t="shared" ca="1" si="22"/>
        <v>0.5071479637844345</v>
      </c>
      <c r="J228">
        <v>0</v>
      </c>
    </row>
    <row r="229" spans="1:10" x14ac:dyDescent="0.3">
      <c r="A229" t="str">
        <f t="shared" si="23"/>
        <v>HH228</v>
      </c>
      <c r="B229" t="str">
        <f ca="1">LOOKUP(RAND(),{0,0.28,0.55,0.78},{"Oloitoktok A","Oloitoktok B","Kiserian","Namanga"})</f>
        <v>Oloitoktok A</v>
      </c>
      <c r="C229">
        <f ca="1">LOOKUP(RAND(),{0,0.02,0.09,0.2,0.35,0.52,0.68,0.81,0.91,0.97},{1,2,3,4,5,6,7,8,9,10})</f>
        <v>2</v>
      </c>
      <c r="D229">
        <f t="shared" ca="1" si="18"/>
        <v>52300</v>
      </c>
      <c r="E229" t="str">
        <f ca="1">IF(B229="Oloitoktok A",IF(D229&lt;15000,LOOKUP(RAND(),{0,0.45,0.75,0.92},{"River","Rainwater","Borehole","Vendor"}),IF(D229&lt;30000,LOOKUP(RAND(),{0,0.35,0.65,0.85},{"River","Rainwater","Borehole","Vendor"}),LOOKUP(RAND(),{0,0.25,0.5,0.75},{"River","Rainwater","Borehole","Vendor"}))),IF(B229="Oloitoktok B",IF(D229&lt;15000,LOOKUP(RAND(),{0,0.5,0.78,0.94},{"River","Rainwater","Borehole","Vendor"}),IF(D229&lt;30000,LOOKUP(RAND(),{0,0.4,0.68,0.87},{"River","Rainwater","Borehole","Vendor"}),LOOKUP(RAND(),{0,0.28,0.55,0.78},{"River","Rainwater","Borehole","Vendor"}))),IF(B229="Kiserian",IF(D229&lt;15000,LOOKUP(RAND(),{0,0.35,0.65,0.9},{"River","Rainwater","Borehole","Vendor"}),IF(D229&lt;30000,LOOKUP(RAND(),{0,0.25,0.55,0.82},{"River","Rainwater","Borehole","Vendor"}),LOOKUP(RAND(),{0,0.15,0.45,0.72},{"River","Rainwater","Borehole","Vendor"}))),IF(D229&lt;15000,LOOKUP(RAND(),{0,0.4,0.7,0.92},{"River","Rainwater","Borehole","Vendor"}),IF(D229&lt;30000,LOOKUP(RAND(),{0,0.3,0.6,0.85},{"River","Rainwater","Borehole","Vendor"}),LOOKUP(RAND(),{0,0.2,0.5,0.75},{"River","Rainwater","Borehole","Vendor"}))))))</f>
        <v>Rainwater</v>
      </c>
      <c r="F229">
        <f t="shared" ca="1" si="19"/>
        <v>54</v>
      </c>
      <c r="G229">
        <f t="shared" ca="1" si="20"/>
        <v>8.8000000000000007</v>
      </c>
      <c r="H229">
        <f t="shared" ca="1" si="21"/>
        <v>2700</v>
      </c>
      <c r="I229">
        <f t="shared" ca="1" si="22"/>
        <v>0.62832343727965889</v>
      </c>
      <c r="J229">
        <v>0</v>
      </c>
    </row>
    <row r="230" spans="1:10" x14ac:dyDescent="0.3">
      <c r="A230" t="str">
        <f t="shared" si="23"/>
        <v>HH229</v>
      </c>
      <c r="B230" t="str">
        <f ca="1">LOOKUP(RAND(),{0,0.28,0.55,0.78},{"Oloitoktok A","Oloitoktok B","Kiserian","Namanga"})</f>
        <v>Oloitoktok A</v>
      </c>
      <c r="C230">
        <f ca="1">LOOKUP(RAND(),{0,0.02,0.09,0.2,0.35,0.52,0.68,0.81,0.91,0.97},{1,2,3,4,5,6,7,8,9,10})</f>
        <v>5</v>
      </c>
      <c r="D230">
        <f t="shared" ca="1" si="18"/>
        <v>18700</v>
      </c>
      <c r="E230" t="str">
        <f ca="1">IF(B230="Oloitoktok A",IF(D230&lt;15000,LOOKUP(RAND(),{0,0.45,0.75,0.92},{"River","Rainwater","Borehole","Vendor"}),IF(D230&lt;30000,LOOKUP(RAND(),{0,0.35,0.65,0.85},{"River","Rainwater","Borehole","Vendor"}),LOOKUP(RAND(),{0,0.25,0.5,0.75},{"River","Rainwater","Borehole","Vendor"}))),IF(B230="Oloitoktok B",IF(D230&lt;15000,LOOKUP(RAND(),{0,0.5,0.78,0.94},{"River","Rainwater","Borehole","Vendor"}),IF(D230&lt;30000,LOOKUP(RAND(),{0,0.4,0.68,0.87},{"River","Rainwater","Borehole","Vendor"}),LOOKUP(RAND(),{0,0.28,0.55,0.78},{"River","Rainwater","Borehole","Vendor"}))),IF(B230="Kiserian",IF(D230&lt;15000,LOOKUP(RAND(),{0,0.35,0.65,0.9},{"River","Rainwater","Borehole","Vendor"}),IF(D230&lt;30000,LOOKUP(RAND(),{0,0.25,0.55,0.82},{"River","Rainwater","Borehole","Vendor"}),LOOKUP(RAND(),{0,0.15,0.45,0.72},{"River","Rainwater","Borehole","Vendor"}))),IF(D230&lt;15000,LOOKUP(RAND(),{0,0.4,0.7,0.92},{"River","Rainwater","Borehole","Vendor"}),IF(D230&lt;30000,LOOKUP(RAND(),{0,0.3,0.6,0.85},{"River","Rainwater","Borehole","Vendor"}),LOOKUP(RAND(),{0,0.2,0.5,0.75},{"River","Rainwater","Borehole","Vendor"}))))))</f>
        <v>Rainwater</v>
      </c>
      <c r="F230">
        <f t="shared" ca="1" si="19"/>
        <v>43</v>
      </c>
      <c r="G230">
        <f t="shared" ca="1" si="20"/>
        <v>4.8</v>
      </c>
      <c r="H230">
        <f t="shared" ca="1" si="21"/>
        <v>7500</v>
      </c>
      <c r="I230">
        <f t="shared" ca="1" si="22"/>
        <v>0.58099880033215201</v>
      </c>
      <c r="J230">
        <v>0</v>
      </c>
    </row>
    <row r="231" spans="1:10" x14ac:dyDescent="0.3">
      <c r="A231" t="str">
        <f t="shared" si="23"/>
        <v>HH230</v>
      </c>
      <c r="B231" t="str">
        <f ca="1">LOOKUP(RAND(),{0,0.28,0.55,0.78},{"Oloitoktok A","Oloitoktok B","Kiserian","Namanga"})</f>
        <v>Oloitoktok B</v>
      </c>
      <c r="C231">
        <f ca="1">LOOKUP(RAND(),{0,0.02,0.09,0.2,0.35,0.52,0.68,0.81,0.91,0.97},{1,2,3,4,5,6,7,8,9,10})</f>
        <v>4</v>
      </c>
      <c r="D231">
        <f t="shared" ca="1" si="18"/>
        <v>28100</v>
      </c>
      <c r="E231" t="str">
        <f ca="1">IF(B231="Oloitoktok A",IF(D231&lt;15000,LOOKUP(RAND(),{0,0.45,0.75,0.92},{"River","Rainwater","Borehole","Vendor"}),IF(D231&lt;30000,LOOKUP(RAND(),{0,0.35,0.65,0.85},{"River","Rainwater","Borehole","Vendor"}),LOOKUP(RAND(),{0,0.25,0.5,0.75},{"River","Rainwater","Borehole","Vendor"}))),IF(B231="Oloitoktok B",IF(D231&lt;15000,LOOKUP(RAND(),{0,0.5,0.78,0.94},{"River","Rainwater","Borehole","Vendor"}),IF(D231&lt;30000,LOOKUP(RAND(),{0,0.4,0.68,0.87},{"River","Rainwater","Borehole","Vendor"}),LOOKUP(RAND(),{0,0.28,0.55,0.78},{"River","Rainwater","Borehole","Vendor"}))),IF(B231="Kiserian",IF(D231&lt;15000,LOOKUP(RAND(),{0,0.35,0.65,0.9},{"River","Rainwater","Borehole","Vendor"}),IF(D231&lt;30000,LOOKUP(RAND(),{0,0.25,0.55,0.82},{"River","Rainwater","Borehole","Vendor"}),LOOKUP(RAND(),{0,0.15,0.45,0.72},{"River","Rainwater","Borehole","Vendor"}))),IF(D231&lt;15000,LOOKUP(RAND(),{0,0.4,0.7,0.92},{"River","Rainwater","Borehole","Vendor"}),IF(D231&lt;30000,LOOKUP(RAND(),{0,0.3,0.6,0.85},{"River","Rainwater","Borehole","Vendor"}),LOOKUP(RAND(),{0,0.2,0.5,0.75},{"River","Rainwater","Borehole","Vendor"}))))))</f>
        <v>River</v>
      </c>
      <c r="F231">
        <f t="shared" ca="1" si="19"/>
        <v>78</v>
      </c>
      <c r="G231">
        <f t="shared" ca="1" si="20"/>
        <v>12.9</v>
      </c>
      <c r="H231">
        <f t="shared" ca="1" si="21"/>
        <v>6000</v>
      </c>
      <c r="I231">
        <f t="shared" ca="1" si="22"/>
        <v>0.3935770307198424</v>
      </c>
      <c r="J231">
        <v>0</v>
      </c>
    </row>
    <row r="232" spans="1:10" x14ac:dyDescent="0.3">
      <c r="A232" t="str">
        <f t="shared" si="23"/>
        <v>HH231</v>
      </c>
      <c r="B232" t="str">
        <f ca="1">LOOKUP(RAND(),{0,0.28,0.55,0.78},{"Oloitoktok A","Oloitoktok B","Kiserian","Namanga"})</f>
        <v>Oloitoktok A</v>
      </c>
      <c r="C232">
        <f ca="1">LOOKUP(RAND(),{0,0.02,0.09,0.2,0.35,0.52,0.68,0.81,0.91,0.97},{1,2,3,4,5,6,7,8,9,10})</f>
        <v>5</v>
      </c>
      <c r="D232">
        <f t="shared" ca="1" si="18"/>
        <v>75700</v>
      </c>
      <c r="E232" t="str">
        <f ca="1">IF(B232="Oloitoktok A",IF(D232&lt;15000,LOOKUP(RAND(),{0,0.45,0.75,0.92},{"River","Rainwater","Borehole","Vendor"}),IF(D232&lt;30000,LOOKUP(RAND(),{0,0.35,0.65,0.85},{"River","Rainwater","Borehole","Vendor"}),LOOKUP(RAND(),{0,0.25,0.5,0.75},{"River","Rainwater","Borehole","Vendor"}))),IF(B232="Oloitoktok B",IF(D232&lt;15000,LOOKUP(RAND(),{0,0.5,0.78,0.94},{"River","Rainwater","Borehole","Vendor"}),IF(D232&lt;30000,LOOKUP(RAND(),{0,0.4,0.68,0.87},{"River","Rainwater","Borehole","Vendor"}),LOOKUP(RAND(),{0,0.28,0.55,0.78},{"River","Rainwater","Borehole","Vendor"}))),IF(B232="Kiserian",IF(D232&lt;15000,LOOKUP(RAND(),{0,0.35,0.65,0.9},{"River","Rainwater","Borehole","Vendor"}),IF(D232&lt;30000,LOOKUP(RAND(),{0,0.25,0.55,0.82},{"River","Rainwater","Borehole","Vendor"}),LOOKUP(RAND(),{0,0.15,0.45,0.72},{"River","Rainwater","Borehole","Vendor"}))),IF(D232&lt;15000,LOOKUP(RAND(),{0,0.4,0.7,0.92},{"River","Rainwater","Borehole","Vendor"}),IF(D232&lt;30000,LOOKUP(RAND(),{0,0.3,0.6,0.85},{"River","Rainwater","Borehole","Vendor"}),LOOKUP(RAND(),{0,0.2,0.5,0.75},{"River","Rainwater","Borehole","Vendor"}))))))</f>
        <v>Rainwater</v>
      </c>
      <c r="F232">
        <f t="shared" ca="1" si="19"/>
        <v>59</v>
      </c>
      <c r="G232">
        <f t="shared" ca="1" si="20"/>
        <v>14.2</v>
      </c>
      <c r="H232">
        <f t="shared" ca="1" si="21"/>
        <v>4700</v>
      </c>
      <c r="I232">
        <f t="shared" ca="1" si="22"/>
        <v>5.9994616549822744E-2</v>
      </c>
      <c r="J232">
        <v>0</v>
      </c>
    </row>
    <row r="233" spans="1:10" x14ac:dyDescent="0.3">
      <c r="A233" t="str">
        <f t="shared" si="23"/>
        <v>HH232</v>
      </c>
      <c r="B233" t="str">
        <f ca="1">LOOKUP(RAND(),{0,0.28,0.55,0.78},{"Oloitoktok A","Oloitoktok B","Kiserian","Namanga"})</f>
        <v>Oloitoktok A</v>
      </c>
      <c r="C233">
        <f ca="1">LOOKUP(RAND(),{0,0.02,0.09,0.2,0.35,0.52,0.68,0.81,0.91,0.97},{1,2,3,4,5,6,7,8,9,10})</f>
        <v>4</v>
      </c>
      <c r="D233">
        <f t="shared" ca="1" si="18"/>
        <v>15300</v>
      </c>
      <c r="E233" t="str">
        <f ca="1">IF(B233="Oloitoktok A",IF(D233&lt;15000,LOOKUP(RAND(),{0,0.45,0.75,0.92},{"River","Rainwater","Borehole","Vendor"}),IF(D233&lt;30000,LOOKUP(RAND(),{0,0.35,0.65,0.85},{"River","Rainwater","Borehole","Vendor"}),LOOKUP(RAND(),{0,0.25,0.5,0.75},{"River","Rainwater","Borehole","Vendor"}))),IF(B233="Oloitoktok B",IF(D233&lt;15000,LOOKUP(RAND(),{0,0.5,0.78,0.94},{"River","Rainwater","Borehole","Vendor"}),IF(D233&lt;30000,LOOKUP(RAND(),{0,0.4,0.68,0.87},{"River","Rainwater","Borehole","Vendor"}),LOOKUP(RAND(),{0,0.28,0.55,0.78},{"River","Rainwater","Borehole","Vendor"}))),IF(B233="Kiserian",IF(D233&lt;15000,LOOKUP(RAND(),{0,0.35,0.65,0.9},{"River","Rainwater","Borehole","Vendor"}),IF(D233&lt;30000,LOOKUP(RAND(),{0,0.25,0.55,0.82},{"River","Rainwater","Borehole","Vendor"}),LOOKUP(RAND(),{0,0.15,0.45,0.72},{"River","Rainwater","Borehole","Vendor"}))),IF(D233&lt;15000,LOOKUP(RAND(),{0,0.4,0.7,0.92},{"River","Rainwater","Borehole","Vendor"}),IF(D233&lt;30000,LOOKUP(RAND(),{0,0.3,0.6,0.85},{"River","Rainwater","Borehole","Vendor"}),LOOKUP(RAND(),{0,0.2,0.5,0.75},{"River","Rainwater","Borehole","Vendor"}))))))</f>
        <v>Borehole</v>
      </c>
      <c r="F233">
        <f t="shared" ca="1" si="19"/>
        <v>50</v>
      </c>
      <c r="G233">
        <f t="shared" ca="1" si="20"/>
        <v>8.1</v>
      </c>
      <c r="H233">
        <f t="shared" ca="1" si="21"/>
        <v>9700</v>
      </c>
      <c r="I233">
        <f t="shared" ca="1" si="22"/>
        <v>0.85307994726949032</v>
      </c>
      <c r="J233">
        <v>0</v>
      </c>
    </row>
    <row r="234" spans="1:10" x14ac:dyDescent="0.3">
      <c r="A234" t="str">
        <f t="shared" si="23"/>
        <v>HH233</v>
      </c>
      <c r="B234" t="str">
        <f ca="1">LOOKUP(RAND(),{0,0.28,0.55,0.78},{"Oloitoktok A","Oloitoktok B","Kiserian","Namanga"})</f>
        <v>Kiserian</v>
      </c>
      <c r="C234">
        <f ca="1">LOOKUP(RAND(),{0,0.02,0.09,0.2,0.35,0.52,0.68,0.81,0.91,0.97},{1,2,3,4,5,6,7,8,9,10})</f>
        <v>7</v>
      </c>
      <c r="D234">
        <f t="shared" ca="1" si="18"/>
        <v>24900</v>
      </c>
      <c r="E234" t="str">
        <f ca="1">IF(B234="Oloitoktok A",IF(D234&lt;15000,LOOKUP(RAND(),{0,0.45,0.75,0.92},{"River","Rainwater","Borehole","Vendor"}),IF(D234&lt;30000,LOOKUP(RAND(),{0,0.35,0.65,0.85},{"River","Rainwater","Borehole","Vendor"}),LOOKUP(RAND(),{0,0.25,0.5,0.75},{"River","Rainwater","Borehole","Vendor"}))),IF(B234="Oloitoktok B",IF(D234&lt;15000,LOOKUP(RAND(),{0,0.5,0.78,0.94},{"River","Rainwater","Borehole","Vendor"}),IF(D234&lt;30000,LOOKUP(RAND(),{0,0.4,0.68,0.87},{"River","Rainwater","Borehole","Vendor"}),LOOKUP(RAND(),{0,0.28,0.55,0.78},{"River","Rainwater","Borehole","Vendor"}))),IF(B234="Kiserian",IF(D234&lt;15000,LOOKUP(RAND(),{0,0.35,0.65,0.9},{"River","Rainwater","Borehole","Vendor"}),IF(D234&lt;30000,LOOKUP(RAND(),{0,0.25,0.55,0.82},{"River","Rainwater","Borehole","Vendor"}),LOOKUP(RAND(),{0,0.15,0.45,0.72},{"River","Rainwater","Borehole","Vendor"}))),IF(D234&lt;15000,LOOKUP(RAND(),{0,0.4,0.7,0.92},{"River","Rainwater","Borehole","Vendor"}),IF(D234&lt;30000,LOOKUP(RAND(),{0,0.3,0.6,0.85},{"River","Rainwater","Borehole","Vendor"}),LOOKUP(RAND(),{0,0.2,0.5,0.75},{"River","Rainwater","Borehole","Vendor"}))))))</f>
        <v>Borehole</v>
      </c>
      <c r="F234">
        <f t="shared" ca="1" si="19"/>
        <v>49</v>
      </c>
      <c r="G234">
        <f t="shared" ca="1" si="20"/>
        <v>8.1999999999999993</v>
      </c>
      <c r="H234">
        <f t="shared" ca="1" si="21"/>
        <v>2400</v>
      </c>
      <c r="I234">
        <f t="shared" ca="1" si="22"/>
        <v>0.5766346764067124</v>
      </c>
      <c r="J234">
        <v>0</v>
      </c>
    </row>
    <row r="235" spans="1:10" x14ac:dyDescent="0.3">
      <c r="A235" t="str">
        <f t="shared" si="23"/>
        <v>HH234</v>
      </c>
      <c r="B235" t="str">
        <f ca="1">LOOKUP(RAND(),{0,0.28,0.55,0.78},{"Oloitoktok A","Oloitoktok B","Kiserian","Namanga"})</f>
        <v>Oloitoktok B</v>
      </c>
      <c r="C235">
        <f ca="1">LOOKUP(RAND(),{0,0.02,0.09,0.2,0.35,0.52,0.68,0.81,0.91,0.97},{1,2,3,4,5,6,7,8,9,10})</f>
        <v>5</v>
      </c>
      <c r="D235">
        <f t="shared" ca="1" si="18"/>
        <v>41300</v>
      </c>
      <c r="E235" t="str">
        <f ca="1">IF(B235="Oloitoktok A",IF(D235&lt;15000,LOOKUP(RAND(),{0,0.45,0.75,0.92},{"River","Rainwater","Borehole","Vendor"}),IF(D235&lt;30000,LOOKUP(RAND(),{0,0.35,0.65,0.85},{"River","Rainwater","Borehole","Vendor"}),LOOKUP(RAND(),{0,0.25,0.5,0.75},{"River","Rainwater","Borehole","Vendor"}))),IF(B235="Oloitoktok B",IF(D235&lt;15000,LOOKUP(RAND(),{0,0.5,0.78,0.94},{"River","Rainwater","Borehole","Vendor"}),IF(D235&lt;30000,LOOKUP(RAND(),{0,0.4,0.68,0.87},{"River","Rainwater","Borehole","Vendor"}),LOOKUP(RAND(),{0,0.28,0.55,0.78},{"River","Rainwater","Borehole","Vendor"}))),IF(B235="Kiserian",IF(D235&lt;15000,LOOKUP(RAND(),{0,0.35,0.65,0.9},{"River","Rainwater","Borehole","Vendor"}),IF(D235&lt;30000,LOOKUP(RAND(),{0,0.25,0.55,0.82},{"River","Rainwater","Borehole","Vendor"}),LOOKUP(RAND(),{0,0.15,0.45,0.72},{"River","Rainwater","Borehole","Vendor"}))),IF(D235&lt;15000,LOOKUP(RAND(),{0,0.4,0.7,0.92},{"River","Rainwater","Borehole","Vendor"}),IF(D235&lt;30000,LOOKUP(RAND(),{0,0.3,0.6,0.85},{"River","Rainwater","Borehole","Vendor"}),LOOKUP(RAND(),{0,0.2,0.5,0.75},{"River","Rainwater","Borehole","Vendor"}))))))</f>
        <v>Vendor</v>
      </c>
      <c r="F235">
        <f t="shared" ca="1" si="19"/>
        <v>35</v>
      </c>
      <c r="G235">
        <f t="shared" ca="1" si="20"/>
        <v>4.5999999999999996</v>
      </c>
      <c r="H235">
        <f t="shared" ca="1" si="21"/>
        <v>1400</v>
      </c>
      <c r="I235">
        <f t="shared" ca="1" si="22"/>
        <v>0.30971371787907831</v>
      </c>
      <c r="J235">
        <v>0</v>
      </c>
    </row>
    <row r="236" spans="1:10" x14ac:dyDescent="0.3">
      <c r="A236" t="str">
        <f t="shared" si="23"/>
        <v>HH235</v>
      </c>
      <c r="B236" t="str">
        <f ca="1">LOOKUP(RAND(),{0,0.28,0.55,0.78},{"Oloitoktok A","Oloitoktok B","Kiserian","Namanga"})</f>
        <v>Namanga</v>
      </c>
      <c r="C236">
        <f ca="1">LOOKUP(RAND(),{0,0.02,0.09,0.2,0.35,0.52,0.68,0.81,0.91,0.97},{1,2,3,4,5,6,7,8,9,10})</f>
        <v>7</v>
      </c>
      <c r="D236">
        <f t="shared" ca="1" si="18"/>
        <v>18000</v>
      </c>
      <c r="E236" t="str">
        <f ca="1">IF(B236="Oloitoktok A",IF(D236&lt;15000,LOOKUP(RAND(),{0,0.45,0.75,0.92},{"River","Rainwater","Borehole","Vendor"}),IF(D236&lt;30000,LOOKUP(RAND(),{0,0.35,0.65,0.85},{"River","Rainwater","Borehole","Vendor"}),LOOKUP(RAND(),{0,0.25,0.5,0.75},{"River","Rainwater","Borehole","Vendor"}))),IF(B236="Oloitoktok B",IF(D236&lt;15000,LOOKUP(RAND(),{0,0.5,0.78,0.94},{"River","Rainwater","Borehole","Vendor"}),IF(D236&lt;30000,LOOKUP(RAND(),{0,0.4,0.68,0.87},{"River","Rainwater","Borehole","Vendor"}),LOOKUP(RAND(),{0,0.28,0.55,0.78},{"River","Rainwater","Borehole","Vendor"}))),IF(B236="Kiserian",IF(D236&lt;15000,LOOKUP(RAND(),{0,0.35,0.65,0.9},{"River","Rainwater","Borehole","Vendor"}),IF(D236&lt;30000,LOOKUP(RAND(),{0,0.25,0.55,0.82},{"River","Rainwater","Borehole","Vendor"}),LOOKUP(RAND(),{0,0.15,0.45,0.72},{"River","Rainwater","Borehole","Vendor"}))),IF(D236&lt;15000,LOOKUP(RAND(),{0,0.4,0.7,0.92},{"River","Rainwater","Borehole","Vendor"}),IF(D236&lt;30000,LOOKUP(RAND(),{0,0.3,0.6,0.85},{"River","Rainwater","Borehole","Vendor"}),LOOKUP(RAND(),{0,0.2,0.5,0.75},{"River","Rainwater","Borehole","Vendor"}))))))</f>
        <v>Borehole</v>
      </c>
      <c r="F236">
        <f t="shared" ca="1" si="19"/>
        <v>71</v>
      </c>
      <c r="G236">
        <f t="shared" ca="1" si="20"/>
        <v>4.2</v>
      </c>
      <c r="H236">
        <f t="shared" ca="1" si="21"/>
        <v>7700</v>
      </c>
      <c r="I236">
        <f t="shared" ca="1" si="22"/>
        <v>0.98446845170210784</v>
      </c>
      <c r="J236">
        <v>0</v>
      </c>
    </row>
    <row r="237" spans="1:10" x14ac:dyDescent="0.3">
      <c r="A237" t="str">
        <f t="shared" si="23"/>
        <v>HH236</v>
      </c>
      <c r="B237" t="str">
        <f ca="1">LOOKUP(RAND(),{0,0.28,0.55,0.78},{"Oloitoktok A","Oloitoktok B","Kiserian","Namanga"})</f>
        <v>Kiserian</v>
      </c>
      <c r="C237">
        <f ca="1">LOOKUP(RAND(),{0,0.02,0.09,0.2,0.35,0.52,0.68,0.81,0.91,0.97},{1,2,3,4,5,6,7,8,9,10})</f>
        <v>5</v>
      </c>
      <c r="D237">
        <f t="shared" ca="1" si="18"/>
        <v>24800</v>
      </c>
      <c r="E237" t="str">
        <f ca="1">IF(B237="Oloitoktok A",IF(D237&lt;15000,LOOKUP(RAND(),{0,0.45,0.75,0.92},{"River","Rainwater","Borehole","Vendor"}),IF(D237&lt;30000,LOOKUP(RAND(),{0,0.35,0.65,0.85},{"River","Rainwater","Borehole","Vendor"}),LOOKUP(RAND(),{0,0.25,0.5,0.75},{"River","Rainwater","Borehole","Vendor"}))),IF(B237="Oloitoktok B",IF(D237&lt;15000,LOOKUP(RAND(),{0,0.5,0.78,0.94},{"River","Rainwater","Borehole","Vendor"}),IF(D237&lt;30000,LOOKUP(RAND(),{0,0.4,0.68,0.87},{"River","Rainwater","Borehole","Vendor"}),LOOKUP(RAND(),{0,0.28,0.55,0.78},{"River","Rainwater","Borehole","Vendor"}))),IF(B237="Kiserian",IF(D237&lt;15000,LOOKUP(RAND(),{0,0.35,0.65,0.9},{"River","Rainwater","Borehole","Vendor"}),IF(D237&lt;30000,LOOKUP(RAND(),{0,0.25,0.55,0.82},{"River","Rainwater","Borehole","Vendor"}),LOOKUP(RAND(),{0,0.15,0.45,0.72},{"River","Rainwater","Borehole","Vendor"}))),IF(D237&lt;15000,LOOKUP(RAND(),{0,0.4,0.7,0.92},{"River","Rainwater","Borehole","Vendor"}),IF(D237&lt;30000,LOOKUP(RAND(),{0,0.3,0.6,0.85},{"River","Rainwater","Borehole","Vendor"}),LOOKUP(RAND(),{0,0.2,0.5,0.75},{"River","Rainwater","Borehole","Vendor"}))))))</f>
        <v>Borehole</v>
      </c>
      <c r="F237">
        <f t="shared" ca="1" si="19"/>
        <v>74</v>
      </c>
      <c r="G237">
        <f t="shared" ca="1" si="20"/>
        <v>1.1000000000000001</v>
      </c>
      <c r="H237">
        <f t="shared" ca="1" si="21"/>
        <v>8400</v>
      </c>
      <c r="I237">
        <f t="shared" ca="1" si="22"/>
        <v>0.84522546913828445</v>
      </c>
      <c r="J237">
        <v>0</v>
      </c>
    </row>
    <row r="238" spans="1:10" x14ac:dyDescent="0.3">
      <c r="A238" t="str">
        <f t="shared" si="23"/>
        <v>HH237</v>
      </c>
      <c r="B238" t="str">
        <f ca="1">LOOKUP(RAND(),{0,0.28,0.55,0.78},{"Oloitoktok A","Oloitoktok B","Kiserian","Namanga"})</f>
        <v>Oloitoktok A</v>
      </c>
      <c r="C238">
        <f ca="1">LOOKUP(RAND(),{0,0.02,0.09,0.2,0.35,0.52,0.68,0.81,0.91,0.97},{1,2,3,4,5,6,7,8,9,10})</f>
        <v>6</v>
      </c>
      <c r="D238">
        <f t="shared" ca="1" si="18"/>
        <v>57700</v>
      </c>
      <c r="E238" t="str">
        <f ca="1">IF(B238="Oloitoktok A",IF(D238&lt;15000,LOOKUP(RAND(),{0,0.45,0.75,0.92},{"River","Rainwater","Borehole","Vendor"}),IF(D238&lt;30000,LOOKUP(RAND(),{0,0.35,0.65,0.85},{"River","Rainwater","Borehole","Vendor"}),LOOKUP(RAND(),{0,0.25,0.5,0.75},{"River","Rainwater","Borehole","Vendor"}))),IF(B238="Oloitoktok B",IF(D238&lt;15000,LOOKUP(RAND(),{0,0.5,0.78,0.94},{"River","Rainwater","Borehole","Vendor"}),IF(D238&lt;30000,LOOKUP(RAND(),{0,0.4,0.68,0.87},{"River","Rainwater","Borehole","Vendor"}),LOOKUP(RAND(),{0,0.28,0.55,0.78},{"River","Rainwater","Borehole","Vendor"}))),IF(B238="Kiserian",IF(D238&lt;15000,LOOKUP(RAND(),{0,0.35,0.65,0.9},{"River","Rainwater","Borehole","Vendor"}),IF(D238&lt;30000,LOOKUP(RAND(),{0,0.25,0.55,0.82},{"River","Rainwater","Borehole","Vendor"}),LOOKUP(RAND(),{0,0.15,0.45,0.72},{"River","Rainwater","Borehole","Vendor"}))),IF(D238&lt;15000,LOOKUP(RAND(),{0,0.4,0.7,0.92},{"River","Rainwater","Borehole","Vendor"}),IF(D238&lt;30000,LOOKUP(RAND(),{0,0.3,0.6,0.85},{"River","Rainwater","Borehole","Vendor"}),LOOKUP(RAND(),{0,0.2,0.5,0.75},{"River","Rainwater","Borehole","Vendor"}))))))</f>
        <v>Vendor</v>
      </c>
      <c r="F238">
        <f t="shared" ca="1" si="19"/>
        <v>50</v>
      </c>
      <c r="G238">
        <f t="shared" ca="1" si="20"/>
        <v>7</v>
      </c>
      <c r="H238">
        <f t="shared" ca="1" si="21"/>
        <v>2000</v>
      </c>
      <c r="I238">
        <f t="shared" ca="1" si="22"/>
        <v>0.95473585278043993</v>
      </c>
      <c r="J238">
        <v>0</v>
      </c>
    </row>
    <row r="239" spans="1:10" x14ac:dyDescent="0.3">
      <c r="A239" t="str">
        <f t="shared" si="23"/>
        <v>HH238</v>
      </c>
      <c r="B239" t="str">
        <f ca="1">LOOKUP(RAND(),{0,0.28,0.55,0.78},{"Oloitoktok A","Oloitoktok B","Kiserian","Namanga"})</f>
        <v>Oloitoktok B</v>
      </c>
      <c r="C239">
        <f ca="1">LOOKUP(RAND(),{0,0.02,0.09,0.2,0.35,0.52,0.68,0.81,0.91,0.97},{1,2,3,4,5,6,7,8,9,10})</f>
        <v>6</v>
      </c>
      <c r="D239">
        <f t="shared" ca="1" si="18"/>
        <v>16400</v>
      </c>
      <c r="E239" t="str">
        <f ca="1">IF(B239="Oloitoktok A",IF(D239&lt;15000,LOOKUP(RAND(),{0,0.45,0.75,0.92},{"River","Rainwater","Borehole","Vendor"}),IF(D239&lt;30000,LOOKUP(RAND(),{0,0.35,0.65,0.85},{"River","Rainwater","Borehole","Vendor"}),LOOKUP(RAND(),{0,0.25,0.5,0.75},{"River","Rainwater","Borehole","Vendor"}))),IF(B239="Oloitoktok B",IF(D239&lt;15000,LOOKUP(RAND(),{0,0.5,0.78,0.94},{"River","Rainwater","Borehole","Vendor"}),IF(D239&lt;30000,LOOKUP(RAND(),{0,0.4,0.68,0.87},{"River","Rainwater","Borehole","Vendor"}),LOOKUP(RAND(),{0,0.28,0.55,0.78},{"River","Rainwater","Borehole","Vendor"}))),IF(B239="Kiserian",IF(D239&lt;15000,LOOKUP(RAND(),{0,0.35,0.65,0.9},{"River","Rainwater","Borehole","Vendor"}),IF(D239&lt;30000,LOOKUP(RAND(),{0,0.25,0.55,0.82},{"River","Rainwater","Borehole","Vendor"}),LOOKUP(RAND(),{0,0.15,0.45,0.72},{"River","Rainwater","Borehole","Vendor"}))),IF(D239&lt;15000,LOOKUP(RAND(),{0,0.4,0.7,0.92},{"River","Rainwater","Borehole","Vendor"}),IF(D239&lt;30000,LOOKUP(RAND(),{0,0.3,0.6,0.85},{"River","Rainwater","Borehole","Vendor"}),LOOKUP(RAND(),{0,0.2,0.5,0.75},{"River","Rainwater","Borehole","Vendor"}))))))</f>
        <v>Vendor</v>
      </c>
      <c r="F239">
        <f t="shared" ca="1" si="19"/>
        <v>36</v>
      </c>
      <c r="G239">
        <f t="shared" ca="1" si="20"/>
        <v>0.6</v>
      </c>
      <c r="H239">
        <f t="shared" ca="1" si="21"/>
        <v>7900</v>
      </c>
      <c r="I239">
        <f t="shared" ca="1" si="22"/>
        <v>0.58576736714991917</v>
      </c>
      <c r="J239">
        <v>0</v>
      </c>
    </row>
    <row r="240" spans="1:10" x14ac:dyDescent="0.3">
      <c r="A240" t="str">
        <f t="shared" si="23"/>
        <v>HH239</v>
      </c>
      <c r="B240" t="str">
        <f ca="1">LOOKUP(RAND(),{0,0.28,0.55,0.78},{"Oloitoktok A","Oloitoktok B","Kiserian","Namanga"})</f>
        <v>Oloitoktok A</v>
      </c>
      <c r="C240">
        <f ca="1">LOOKUP(RAND(),{0,0.02,0.09,0.2,0.35,0.52,0.68,0.81,0.91,0.97},{1,2,3,4,5,6,7,8,9,10})</f>
        <v>8</v>
      </c>
      <c r="D240">
        <f t="shared" ca="1" si="18"/>
        <v>69000</v>
      </c>
      <c r="E240" t="str">
        <f ca="1">IF(B240="Oloitoktok A",IF(D240&lt;15000,LOOKUP(RAND(),{0,0.45,0.75,0.92},{"River","Rainwater","Borehole","Vendor"}),IF(D240&lt;30000,LOOKUP(RAND(),{0,0.35,0.65,0.85},{"River","Rainwater","Borehole","Vendor"}),LOOKUP(RAND(),{0,0.25,0.5,0.75},{"River","Rainwater","Borehole","Vendor"}))),IF(B240="Oloitoktok B",IF(D240&lt;15000,LOOKUP(RAND(),{0,0.5,0.78,0.94},{"River","Rainwater","Borehole","Vendor"}),IF(D240&lt;30000,LOOKUP(RAND(),{0,0.4,0.68,0.87},{"River","Rainwater","Borehole","Vendor"}),LOOKUP(RAND(),{0,0.28,0.55,0.78},{"River","Rainwater","Borehole","Vendor"}))),IF(B240="Kiserian",IF(D240&lt;15000,LOOKUP(RAND(),{0,0.35,0.65,0.9},{"River","Rainwater","Borehole","Vendor"}),IF(D240&lt;30000,LOOKUP(RAND(),{0,0.25,0.55,0.82},{"River","Rainwater","Borehole","Vendor"}),LOOKUP(RAND(),{0,0.15,0.45,0.72},{"River","Rainwater","Borehole","Vendor"}))),IF(D240&lt;15000,LOOKUP(RAND(),{0,0.4,0.7,0.92},{"River","Rainwater","Borehole","Vendor"}),IF(D240&lt;30000,LOOKUP(RAND(),{0,0.3,0.6,0.85},{"River","Rainwater","Borehole","Vendor"}),LOOKUP(RAND(),{0,0.2,0.5,0.75},{"River","Rainwater","Borehole","Vendor"}))))))</f>
        <v>Rainwater</v>
      </c>
      <c r="F240">
        <f t="shared" ca="1" si="19"/>
        <v>20</v>
      </c>
      <c r="G240">
        <f t="shared" ca="1" si="20"/>
        <v>5.2</v>
      </c>
      <c r="H240">
        <f t="shared" ca="1" si="21"/>
        <v>8400</v>
      </c>
      <c r="I240">
        <f t="shared" ca="1" si="22"/>
        <v>0.16625332131164428</v>
      </c>
      <c r="J240">
        <v>0</v>
      </c>
    </row>
    <row r="241" spans="1:10" x14ac:dyDescent="0.3">
      <c r="A241" t="str">
        <f t="shared" si="23"/>
        <v>HH240</v>
      </c>
      <c r="B241" t="str">
        <f ca="1">LOOKUP(RAND(),{0,0.28,0.55,0.78},{"Oloitoktok A","Oloitoktok B","Kiserian","Namanga"})</f>
        <v>Oloitoktok A</v>
      </c>
      <c r="C241">
        <f ca="1">LOOKUP(RAND(),{0,0.02,0.09,0.2,0.35,0.52,0.68,0.81,0.91,0.97},{1,2,3,4,5,6,7,8,9,10})</f>
        <v>5</v>
      </c>
      <c r="D241">
        <f t="shared" ca="1" si="18"/>
        <v>38500</v>
      </c>
      <c r="E241" t="str">
        <f ca="1">IF(B241="Oloitoktok A",IF(D241&lt;15000,LOOKUP(RAND(),{0,0.45,0.75,0.92},{"River","Rainwater","Borehole","Vendor"}),IF(D241&lt;30000,LOOKUP(RAND(),{0,0.35,0.65,0.85},{"River","Rainwater","Borehole","Vendor"}),LOOKUP(RAND(),{0,0.25,0.5,0.75},{"River","Rainwater","Borehole","Vendor"}))),IF(B241="Oloitoktok B",IF(D241&lt;15000,LOOKUP(RAND(),{0,0.5,0.78,0.94},{"River","Rainwater","Borehole","Vendor"}),IF(D241&lt;30000,LOOKUP(RAND(),{0,0.4,0.68,0.87},{"River","Rainwater","Borehole","Vendor"}),LOOKUP(RAND(),{0,0.28,0.55,0.78},{"River","Rainwater","Borehole","Vendor"}))),IF(B241="Kiserian",IF(D241&lt;15000,LOOKUP(RAND(),{0,0.35,0.65,0.9},{"River","Rainwater","Borehole","Vendor"}),IF(D241&lt;30000,LOOKUP(RAND(),{0,0.25,0.55,0.82},{"River","Rainwater","Borehole","Vendor"}),LOOKUP(RAND(),{0,0.15,0.45,0.72},{"River","Rainwater","Borehole","Vendor"}))),IF(D241&lt;15000,LOOKUP(RAND(),{0,0.4,0.7,0.92},{"River","Rainwater","Borehole","Vendor"}),IF(D241&lt;30000,LOOKUP(RAND(),{0,0.3,0.6,0.85},{"River","Rainwater","Borehole","Vendor"}),LOOKUP(RAND(),{0,0.2,0.5,0.75},{"River","Rainwater","Borehole","Vendor"}))))))</f>
        <v>Vendor</v>
      </c>
      <c r="F241">
        <f t="shared" ca="1" si="19"/>
        <v>48</v>
      </c>
      <c r="G241">
        <f t="shared" ca="1" si="20"/>
        <v>3.3</v>
      </c>
      <c r="H241">
        <f t="shared" ca="1" si="21"/>
        <v>9100</v>
      </c>
      <c r="I241">
        <f t="shared" ca="1" si="22"/>
        <v>0.12973941933338207</v>
      </c>
      <c r="J241">
        <v>0</v>
      </c>
    </row>
    <row r="242" spans="1:10" x14ac:dyDescent="0.3">
      <c r="A242" t="str">
        <f t="shared" si="23"/>
        <v>HH241</v>
      </c>
      <c r="B242" t="str">
        <f ca="1">LOOKUP(RAND(),{0,0.28,0.55,0.78},{"Oloitoktok A","Oloitoktok B","Kiserian","Namanga"})</f>
        <v>Oloitoktok B</v>
      </c>
      <c r="C242">
        <f ca="1">LOOKUP(RAND(),{0,0.02,0.09,0.2,0.35,0.52,0.68,0.81,0.91,0.97},{1,2,3,4,5,6,7,8,9,10})</f>
        <v>9</v>
      </c>
      <c r="D242">
        <f t="shared" ca="1" si="18"/>
        <v>22700</v>
      </c>
      <c r="E242" t="str">
        <f ca="1">IF(B242="Oloitoktok A",IF(D242&lt;15000,LOOKUP(RAND(),{0,0.45,0.75,0.92},{"River","Rainwater","Borehole","Vendor"}),IF(D242&lt;30000,LOOKUP(RAND(),{0,0.35,0.65,0.85},{"River","Rainwater","Borehole","Vendor"}),LOOKUP(RAND(),{0,0.25,0.5,0.75},{"River","Rainwater","Borehole","Vendor"}))),IF(B242="Oloitoktok B",IF(D242&lt;15000,LOOKUP(RAND(),{0,0.5,0.78,0.94},{"River","Rainwater","Borehole","Vendor"}),IF(D242&lt;30000,LOOKUP(RAND(),{0,0.4,0.68,0.87},{"River","Rainwater","Borehole","Vendor"}),LOOKUP(RAND(),{0,0.28,0.55,0.78},{"River","Rainwater","Borehole","Vendor"}))),IF(B242="Kiserian",IF(D242&lt;15000,LOOKUP(RAND(),{0,0.35,0.65,0.9},{"River","Rainwater","Borehole","Vendor"}),IF(D242&lt;30000,LOOKUP(RAND(),{0,0.25,0.55,0.82},{"River","Rainwater","Borehole","Vendor"}),LOOKUP(RAND(),{0,0.15,0.45,0.72},{"River","Rainwater","Borehole","Vendor"}))),IF(D242&lt;15000,LOOKUP(RAND(),{0,0.4,0.7,0.92},{"River","Rainwater","Borehole","Vendor"}),IF(D242&lt;30000,LOOKUP(RAND(),{0,0.3,0.6,0.85},{"River","Rainwater","Borehole","Vendor"}),LOOKUP(RAND(),{0,0.2,0.5,0.75},{"River","Rainwater","Borehole","Vendor"}))))))</f>
        <v>River</v>
      </c>
      <c r="F242">
        <f t="shared" ca="1" si="19"/>
        <v>81</v>
      </c>
      <c r="G242">
        <f t="shared" ca="1" si="20"/>
        <v>1.5</v>
      </c>
      <c r="H242">
        <f t="shared" ca="1" si="21"/>
        <v>9100</v>
      </c>
      <c r="I242">
        <f t="shared" ca="1" si="22"/>
        <v>0.47974793056699205</v>
      </c>
      <c r="J242">
        <v>0</v>
      </c>
    </row>
    <row r="243" spans="1:10" x14ac:dyDescent="0.3">
      <c r="A243" t="str">
        <f t="shared" si="23"/>
        <v>HH242</v>
      </c>
      <c r="B243" t="str">
        <f ca="1">LOOKUP(RAND(),{0,0.28,0.55,0.78},{"Oloitoktok A","Oloitoktok B","Kiserian","Namanga"})</f>
        <v>Oloitoktok B</v>
      </c>
      <c r="C243">
        <f ca="1">LOOKUP(RAND(),{0,0.02,0.09,0.2,0.35,0.52,0.68,0.81,0.91,0.97},{1,2,3,4,5,6,7,8,9,10})</f>
        <v>4</v>
      </c>
      <c r="D243">
        <f t="shared" ca="1" si="18"/>
        <v>61100</v>
      </c>
      <c r="E243" t="str">
        <f ca="1">IF(B243="Oloitoktok A",IF(D243&lt;15000,LOOKUP(RAND(),{0,0.45,0.75,0.92},{"River","Rainwater","Borehole","Vendor"}),IF(D243&lt;30000,LOOKUP(RAND(),{0,0.35,0.65,0.85},{"River","Rainwater","Borehole","Vendor"}),LOOKUP(RAND(),{0,0.25,0.5,0.75},{"River","Rainwater","Borehole","Vendor"}))),IF(B243="Oloitoktok B",IF(D243&lt;15000,LOOKUP(RAND(),{0,0.5,0.78,0.94},{"River","Rainwater","Borehole","Vendor"}),IF(D243&lt;30000,LOOKUP(RAND(),{0,0.4,0.68,0.87},{"River","Rainwater","Borehole","Vendor"}),LOOKUP(RAND(),{0,0.28,0.55,0.78},{"River","Rainwater","Borehole","Vendor"}))),IF(B243="Kiserian",IF(D243&lt;15000,LOOKUP(RAND(),{0,0.35,0.65,0.9},{"River","Rainwater","Borehole","Vendor"}),IF(D243&lt;30000,LOOKUP(RAND(),{0,0.25,0.55,0.82},{"River","Rainwater","Borehole","Vendor"}),LOOKUP(RAND(),{0,0.15,0.45,0.72},{"River","Rainwater","Borehole","Vendor"}))),IF(D243&lt;15000,LOOKUP(RAND(),{0,0.4,0.7,0.92},{"River","Rainwater","Borehole","Vendor"}),IF(D243&lt;30000,LOOKUP(RAND(),{0,0.3,0.6,0.85},{"River","Rainwater","Borehole","Vendor"}),LOOKUP(RAND(),{0,0.2,0.5,0.75},{"River","Rainwater","Borehole","Vendor"}))))))</f>
        <v>Rainwater</v>
      </c>
      <c r="F243">
        <f t="shared" ca="1" si="19"/>
        <v>43</v>
      </c>
      <c r="G243">
        <f t="shared" ca="1" si="20"/>
        <v>8.8000000000000007</v>
      </c>
      <c r="H243">
        <f t="shared" ca="1" si="21"/>
        <v>0</v>
      </c>
      <c r="I243">
        <f t="shared" ca="1" si="22"/>
        <v>0.86073232933620725</v>
      </c>
      <c r="J243">
        <v>0</v>
      </c>
    </row>
    <row r="244" spans="1:10" x14ac:dyDescent="0.3">
      <c r="A244" t="str">
        <f t="shared" si="23"/>
        <v>HH243</v>
      </c>
      <c r="B244" t="str">
        <f ca="1">LOOKUP(RAND(),{0,0.28,0.55,0.78},{"Oloitoktok A","Oloitoktok B","Kiserian","Namanga"})</f>
        <v>Namanga</v>
      </c>
      <c r="C244">
        <f ca="1">LOOKUP(RAND(),{0,0.02,0.09,0.2,0.35,0.52,0.68,0.81,0.91,0.97},{1,2,3,4,5,6,7,8,9,10})</f>
        <v>4</v>
      </c>
      <c r="D244">
        <f t="shared" ca="1" si="18"/>
        <v>54800</v>
      </c>
      <c r="E244" t="str">
        <f ca="1">IF(B244="Oloitoktok A",IF(D244&lt;15000,LOOKUP(RAND(),{0,0.45,0.75,0.92},{"River","Rainwater","Borehole","Vendor"}),IF(D244&lt;30000,LOOKUP(RAND(),{0,0.35,0.65,0.85},{"River","Rainwater","Borehole","Vendor"}),LOOKUP(RAND(),{0,0.25,0.5,0.75},{"River","Rainwater","Borehole","Vendor"}))),IF(B244="Oloitoktok B",IF(D244&lt;15000,LOOKUP(RAND(),{0,0.5,0.78,0.94},{"River","Rainwater","Borehole","Vendor"}),IF(D244&lt;30000,LOOKUP(RAND(),{0,0.4,0.68,0.87},{"River","Rainwater","Borehole","Vendor"}),LOOKUP(RAND(),{0,0.28,0.55,0.78},{"River","Rainwater","Borehole","Vendor"}))),IF(B244="Kiserian",IF(D244&lt;15000,LOOKUP(RAND(),{0,0.35,0.65,0.9},{"River","Rainwater","Borehole","Vendor"}),IF(D244&lt;30000,LOOKUP(RAND(),{0,0.25,0.55,0.82},{"River","Rainwater","Borehole","Vendor"}),LOOKUP(RAND(),{0,0.15,0.45,0.72},{"River","Rainwater","Borehole","Vendor"}))),IF(D244&lt;15000,LOOKUP(RAND(),{0,0.4,0.7,0.92},{"River","Rainwater","Borehole","Vendor"}),IF(D244&lt;30000,LOOKUP(RAND(),{0,0.3,0.6,0.85},{"River","Rainwater","Borehole","Vendor"}),LOOKUP(RAND(),{0,0.2,0.5,0.75},{"River","Rainwater","Borehole","Vendor"}))))))</f>
        <v>Vendor</v>
      </c>
      <c r="F244">
        <f t="shared" ca="1" si="19"/>
        <v>31</v>
      </c>
      <c r="G244">
        <f t="shared" ca="1" si="20"/>
        <v>8.1999999999999993</v>
      </c>
      <c r="H244">
        <f t="shared" ca="1" si="21"/>
        <v>2400</v>
      </c>
      <c r="I244">
        <f t="shared" ca="1" si="22"/>
        <v>0.23634690886206655</v>
      </c>
      <c r="J244">
        <v>0</v>
      </c>
    </row>
    <row r="245" spans="1:10" x14ac:dyDescent="0.3">
      <c r="A245" t="str">
        <f t="shared" si="23"/>
        <v>HH244</v>
      </c>
      <c r="B245" t="str">
        <f ca="1">LOOKUP(RAND(),{0,0.28,0.55,0.78},{"Oloitoktok A","Oloitoktok B","Kiserian","Namanga"})</f>
        <v>Namanga</v>
      </c>
      <c r="C245">
        <f ca="1">LOOKUP(RAND(),{0,0.02,0.09,0.2,0.35,0.52,0.68,0.81,0.91,0.97},{1,2,3,4,5,6,7,8,9,10})</f>
        <v>4</v>
      </c>
      <c r="D245">
        <f t="shared" ca="1" si="18"/>
        <v>94100</v>
      </c>
      <c r="E245" t="str">
        <f ca="1">IF(B245="Oloitoktok A",IF(D245&lt;15000,LOOKUP(RAND(),{0,0.45,0.75,0.92},{"River","Rainwater","Borehole","Vendor"}),IF(D245&lt;30000,LOOKUP(RAND(),{0,0.35,0.65,0.85},{"River","Rainwater","Borehole","Vendor"}),LOOKUP(RAND(),{0,0.25,0.5,0.75},{"River","Rainwater","Borehole","Vendor"}))),IF(B245="Oloitoktok B",IF(D245&lt;15000,LOOKUP(RAND(),{0,0.5,0.78,0.94},{"River","Rainwater","Borehole","Vendor"}),IF(D245&lt;30000,LOOKUP(RAND(),{0,0.4,0.68,0.87},{"River","Rainwater","Borehole","Vendor"}),LOOKUP(RAND(),{0,0.28,0.55,0.78},{"River","Rainwater","Borehole","Vendor"}))),IF(B245="Kiserian",IF(D245&lt;15000,LOOKUP(RAND(),{0,0.35,0.65,0.9},{"River","Rainwater","Borehole","Vendor"}),IF(D245&lt;30000,LOOKUP(RAND(),{0,0.25,0.55,0.82},{"River","Rainwater","Borehole","Vendor"}),LOOKUP(RAND(),{0,0.15,0.45,0.72},{"River","Rainwater","Borehole","Vendor"}))),IF(D245&lt;15000,LOOKUP(RAND(),{0,0.4,0.7,0.92},{"River","Rainwater","Borehole","Vendor"}),IF(D245&lt;30000,LOOKUP(RAND(),{0,0.3,0.6,0.85},{"River","Rainwater","Borehole","Vendor"}),LOOKUP(RAND(),{0,0.2,0.5,0.75},{"River","Rainwater","Borehole","Vendor"}))))))</f>
        <v>Vendor</v>
      </c>
      <c r="F245">
        <f t="shared" ca="1" si="19"/>
        <v>18</v>
      </c>
      <c r="G245">
        <f t="shared" ca="1" si="20"/>
        <v>6.7</v>
      </c>
      <c r="H245">
        <f t="shared" ca="1" si="21"/>
        <v>10800</v>
      </c>
      <c r="I245">
        <f t="shared" ca="1" si="22"/>
        <v>8.9044285740521145E-2</v>
      </c>
      <c r="J245">
        <v>0</v>
      </c>
    </row>
    <row r="246" spans="1:10" x14ac:dyDescent="0.3">
      <c r="A246" t="str">
        <f t="shared" si="23"/>
        <v>HH245</v>
      </c>
      <c r="B246" t="str">
        <f ca="1">LOOKUP(RAND(),{0,0.28,0.55,0.78},{"Oloitoktok A","Oloitoktok B","Kiserian","Namanga"})</f>
        <v>Oloitoktok A</v>
      </c>
      <c r="C246">
        <f ca="1">LOOKUP(RAND(),{0,0.02,0.09,0.2,0.35,0.52,0.68,0.81,0.91,0.97},{1,2,3,4,5,6,7,8,9,10})</f>
        <v>4</v>
      </c>
      <c r="D246">
        <f t="shared" ca="1" si="18"/>
        <v>27500</v>
      </c>
      <c r="E246" t="str">
        <f ca="1">IF(B246="Oloitoktok A",IF(D246&lt;15000,LOOKUP(RAND(),{0,0.45,0.75,0.92},{"River","Rainwater","Borehole","Vendor"}),IF(D246&lt;30000,LOOKUP(RAND(),{0,0.35,0.65,0.85},{"River","Rainwater","Borehole","Vendor"}),LOOKUP(RAND(),{0,0.25,0.5,0.75},{"River","Rainwater","Borehole","Vendor"}))),IF(B246="Oloitoktok B",IF(D246&lt;15000,LOOKUP(RAND(),{0,0.5,0.78,0.94},{"River","Rainwater","Borehole","Vendor"}),IF(D246&lt;30000,LOOKUP(RAND(),{0,0.4,0.68,0.87},{"River","Rainwater","Borehole","Vendor"}),LOOKUP(RAND(),{0,0.28,0.55,0.78},{"River","Rainwater","Borehole","Vendor"}))),IF(B246="Kiserian",IF(D246&lt;15000,LOOKUP(RAND(),{0,0.35,0.65,0.9},{"River","Rainwater","Borehole","Vendor"}),IF(D246&lt;30000,LOOKUP(RAND(),{0,0.25,0.55,0.82},{"River","Rainwater","Borehole","Vendor"}),LOOKUP(RAND(),{0,0.15,0.45,0.72},{"River","Rainwater","Borehole","Vendor"}))),IF(D246&lt;15000,LOOKUP(RAND(),{0,0.4,0.7,0.92},{"River","Rainwater","Borehole","Vendor"}),IF(D246&lt;30000,LOOKUP(RAND(),{0,0.3,0.6,0.85},{"River","Rainwater","Borehole","Vendor"}),LOOKUP(RAND(),{0,0.2,0.5,0.75},{"River","Rainwater","Borehole","Vendor"}))))))</f>
        <v>Rainwater</v>
      </c>
      <c r="F246">
        <f t="shared" ca="1" si="19"/>
        <v>48</v>
      </c>
      <c r="G246">
        <f t="shared" ca="1" si="20"/>
        <v>12.9</v>
      </c>
      <c r="H246">
        <f t="shared" ca="1" si="21"/>
        <v>8900</v>
      </c>
      <c r="I246">
        <f t="shared" ca="1" si="22"/>
        <v>0.34147555353740178</v>
      </c>
      <c r="J246">
        <v>0</v>
      </c>
    </row>
    <row r="247" spans="1:10" x14ac:dyDescent="0.3">
      <c r="A247" t="str">
        <f t="shared" si="23"/>
        <v>HH246</v>
      </c>
      <c r="B247" t="str">
        <f ca="1">LOOKUP(RAND(),{0,0.28,0.55,0.78},{"Oloitoktok A","Oloitoktok B","Kiserian","Namanga"})</f>
        <v>Oloitoktok B</v>
      </c>
      <c r="C247">
        <f ca="1">LOOKUP(RAND(),{0,0.02,0.09,0.2,0.35,0.52,0.68,0.81,0.91,0.97},{1,2,3,4,5,6,7,8,9,10})</f>
        <v>7</v>
      </c>
      <c r="D247">
        <f t="shared" ca="1" si="18"/>
        <v>18700</v>
      </c>
      <c r="E247" t="str">
        <f ca="1">IF(B247="Oloitoktok A",IF(D247&lt;15000,LOOKUP(RAND(),{0,0.45,0.75,0.92},{"River","Rainwater","Borehole","Vendor"}),IF(D247&lt;30000,LOOKUP(RAND(),{0,0.35,0.65,0.85},{"River","Rainwater","Borehole","Vendor"}),LOOKUP(RAND(),{0,0.25,0.5,0.75},{"River","Rainwater","Borehole","Vendor"}))),IF(B247="Oloitoktok B",IF(D247&lt;15000,LOOKUP(RAND(),{0,0.5,0.78,0.94},{"River","Rainwater","Borehole","Vendor"}),IF(D247&lt;30000,LOOKUP(RAND(),{0,0.4,0.68,0.87},{"River","Rainwater","Borehole","Vendor"}),LOOKUP(RAND(),{0,0.28,0.55,0.78},{"River","Rainwater","Borehole","Vendor"}))),IF(B247="Kiserian",IF(D247&lt;15000,LOOKUP(RAND(),{0,0.35,0.65,0.9},{"River","Rainwater","Borehole","Vendor"}),IF(D247&lt;30000,LOOKUP(RAND(),{0,0.25,0.55,0.82},{"River","Rainwater","Borehole","Vendor"}),LOOKUP(RAND(),{0,0.15,0.45,0.72},{"River","Rainwater","Borehole","Vendor"}))),IF(D247&lt;15000,LOOKUP(RAND(),{0,0.4,0.7,0.92},{"River","Rainwater","Borehole","Vendor"}),IF(D247&lt;30000,LOOKUP(RAND(),{0,0.3,0.6,0.85},{"River","Rainwater","Borehole","Vendor"}),LOOKUP(RAND(),{0,0.2,0.5,0.75},{"River","Rainwater","Borehole","Vendor"}))))))</f>
        <v>Rainwater</v>
      </c>
      <c r="F247">
        <f t="shared" ca="1" si="19"/>
        <v>62</v>
      </c>
      <c r="G247">
        <f t="shared" ca="1" si="20"/>
        <v>13.7</v>
      </c>
      <c r="H247">
        <f t="shared" ca="1" si="21"/>
        <v>9800</v>
      </c>
      <c r="I247">
        <f t="shared" ca="1" si="22"/>
        <v>4.7372689694867298E-2</v>
      </c>
      <c r="J247">
        <v>0</v>
      </c>
    </row>
    <row r="248" spans="1:10" x14ac:dyDescent="0.3">
      <c r="A248" t="str">
        <f t="shared" si="23"/>
        <v>HH247</v>
      </c>
      <c r="B248" t="str">
        <f ca="1">LOOKUP(RAND(),{0,0.28,0.55,0.78},{"Oloitoktok A","Oloitoktok B","Kiserian","Namanga"})</f>
        <v>Oloitoktok B</v>
      </c>
      <c r="C248">
        <f ca="1">LOOKUP(RAND(),{0,0.02,0.09,0.2,0.35,0.52,0.68,0.81,0.91,0.97},{1,2,3,4,5,6,7,8,9,10})</f>
        <v>6</v>
      </c>
      <c r="D248">
        <f t="shared" ca="1" si="18"/>
        <v>30000</v>
      </c>
      <c r="E248" t="str">
        <f ca="1">IF(B248="Oloitoktok A",IF(D248&lt;15000,LOOKUP(RAND(),{0,0.45,0.75,0.92},{"River","Rainwater","Borehole","Vendor"}),IF(D248&lt;30000,LOOKUP(RAND(),{0,0.35,0.65,0.85},{"River","Rainwater","Borehole","Vendor"}),LOOKUP(RAND(),{0,0.25,0.5,0.75},{"River","Rainwater","Borehole","Vendor"}))),IF(B248="Oloitoktok B",IF(D248&lt;15000,LOOKUP(RAND(),{0,0.5,0.78,0.94},{"River","Rainwater","Borehole","Vendor"}),IF(D248&lt;30000,LOOKUP(RAND(),{0,0.4,0.68,0.87},{"River","Rainwater","Borehole","Vendor"}),LOOKUP(RAND(),{0,0.28,0.55,0.78},{"River","Rainwater","Borehole","Vendor"}))),IF(B248="Kiserian",IF(D248&lt;15000,LOOKUP(RAND(),{0,0.35,0.65,0.9},{"River","Rainwater","Borehole","Vendor"}),IF(D248&lt;30000,LOOKUP(RAND(),{0,0.25,0.55,0.82},{"River","Rainwater","Borehole","Vendor"}),LOOKUP(RAND(),{0,0.15,0.45,0.72},{"River","Rainwater","Borehole","Vendor"}))),IF(D248&lt;15000,LOOKUP(RAND(),{0,0.4,0.7,0.92},{"River","Rainwater","Borehole","Vendor"}),IF(D248&lt;30000,LOOKUP(RAND(),{0,0.3,0.6,0.85},{"River","Rainwater","Borehole","Vendor"}),LOOKUP(RAND(),{0,0.2,0.5,0.75},{"River","Rainwater","Borehole","Vendor"}))))))</f>
        <v>Rainwater</v>
      </c>
      <c r="F248">
        <f t="shared" ca="1" si="19"/>
        <v>57</v>
      </c>
      <c r="G248">
        <f t="shared" ca="1" si="20"/>
        <v>6.9</v>
      </c>
      <c r="H248">
        <f t="shared" ca="1" si="21"/>
        <v>7300</v>
      </c>
      <c r="I248">
        <f t="shared" ca="1" si="22"/>
        <v>0.16425817918120178</v>
      </c>
      <c r="J248">
        <v>0</v>
      </c>
    </row>
    <row r="249" spans="1:10" x14ac:dyDescent="0.3">
      <c r="A249" t="str">
        <f t="shared" si="23"/>
        <v>HH248</v>
      </c>
      <c r="B249" t="str">
        <f ca="1">LOOKUP(RAND(),{0,0.28,0.55,0.78},{"Oloitoktok A","Oloitoktok B","Kiserian","Namanga"})</f>
        <v>Oloitoktok A</v>
      </c>
      <c r="C249">
        <f ca="1">LOOKUP(RAND(),{0,0.02,0.09,0.2,0.35,0.52,0.68,0.81,0.91,0.97},{1,2,3,4,5,6,7,8,9,10})</f>
        <v>5</v>
      </c>
      <c r="D249">
        <f t="shared" ca="1" si="18"/>
        <v>10400</v>
      </c>
      <c r="E249" t="str">
        <f ca="1">IF(B249="Oloitoktok A",IF(D249&lt;15000,LOOKUP(RAND(),{0,0.45,0.75,0.92},{"River","Rainwater","Borehole","Vendor"}),IF(D249&lt;30000,LOOKUP(RAND(),{0,0.35,0.65,0.85},{"River","Rainwater","Borehole","Vendor"}),LOOKUP(RAND(),{0,0.25,0.5,0.75},{"River","Rainwater","Borehole","Vendor"}))),IF(B249="Oloitoktok B",IF(D249&lt;15000,LOOKUP(RAND(),{0,0.5,0.78,0.94},{"River","Rainwater","Borehole","Vendor"}),IF(D249&lt;30000,LOOKUP(RAND(),{0,0.4,0.68,0.87},{"River","Rainwater","Borehole","Vendor"}),LOOKUP(RAND(),{0,0.28,0.55,0.78},{"River","Rainwater","Borehole","Vendor"}))),IF(B249="Kiserian",IF(D249&lt;15000,LOOKUP(RAND(),{0,0.35,0.65,0.9},{"River","Rainwater","Borehole","Vendor"}),IF(D249&lt;30000,LOOKUP(RAND(),{0,0.25,0.55,0.82},{"River","Rainwater","Borehole","Vendor"}),LOOKUP(RAND(),{0,0.15,0.45,0.72},{"River","Rainwater","Borehole","Vendor"}))),IF(D249&lt;15000,LOOKUP(RAND(),{0,0.4,0.7,0.92},{"River","Rainwater","Borehole","Vendor"}),IF(D249&lt;30000,LOOKUP(RAND(),{0,0.3,0.6,0.85},{"River","Rainwater","Borehole","Vendor"}),LOOKUP(RAND(),{0,0.2,0.5,0.75},{"River","Rainwater","Borehole","Vendor"}))))))</f>
        <v>Borehole</v>
      </c>
      <c r="F249">
        <f t="shared" ca="1" si="19"/>
        <v>21</v>
      </c>
      <c r="G249">
        <f t="shared" ca="1" si="20"/>
        <v>12.2</v>
      </c>
      <c r="H249">
        <f t="shared" ca="1" si="21"/>
        <v>3500</v>
      </c>
      <c r="I249">
        <f t="shared" ca="1" si="22"/>
        <v>0.15945579852049585</v>
      </c>
      <c r="J249">
        <v>0</v>
      </c>
    </row>
    <row r="250" spans="1:10" x14ac:dyDescent="0.3">
      <c r="A250" t="str">
        <f t="shared" si="23"/>
        <v>HH249</v>
      </c>
      <c r="B250" t="str">
        <f ca="1">LOOKUP(RAND(),{0,0.28,0.55,0.78},{"Oloitoktok A","Oloitoktok B","Kiserian","Namanga"})</f>
        <v>Oloitoktok A</v>
      </c>
      <c r="C250">
        <f ca="1">LOOKUP(RAND(),{0,0.02,0.09,0.2,0.35,0.52,0.68,0.81,0.91,0.97},{1,2,3,4,5,6,7,8,9,10})</f>
        <v>10</v>
      </c>
      <c r="D250">
        <f t="shared" ca="1" si="18"/>
        <v>50000</v>
      </c>
      <c r="E250" t="str">
        <f ca="1">IF(B250="Oloitoktok A",IF(D250&lt;15000,LOOKUP(RAND(),{0,0.45,0.75,0.92},{"River","Rainwater","Borehole","Vendor"}),IF(D250&lt;30000,LOOKUP(RAND(),{0,0.35,0.65,0.85},{"River","Rainwater","Borehole","Vendor"}),LOOKUP(RAND(),{0,0.25,0.5,0.75},{"River","Rainwater","Borehole","Vendor"}))),IF(B250="Oloitoktok B",IF(D250&lt;15000,LOOKUP(RAND(),{0,0.5,0.78,0.94},{"River","Rainwater","Borehole","Vendor"}),IF(D250&lt;30000,LOOKUP(RAND(),{0,0.4,0.68,0.87},{"River","Rainwater","Borehole","Vendor"}),LOOKUP(RAND(),{0,0.28,0.55,0.78},{"River","Rainwater","Borehole","Vendor"}))),IF(B250="Kiserian",IF(D250&lt;15000,LOOKUP(RAND(),{0,0.35,0.65,0.9},{"River","Rainwater","Borehole","Vendor"}),IF(D250&lt;30000,LOOKUP(RAND(),{0,0.25,0.55,0.82},{"River","Rainwater","Borehole","Vendor"}),LOOKUP(RAND(),{0,0.15,0.45,0.72},{"River","Rainwater","Borehole","Vendor"}))),IF(D250&lt;15000,LOOKUP(RAND(),{0,0.4,0.7,0.92},{"River","Rainwater","Borehole","Vendor"}),IF(D250&lt;30000,LOOKUP(RAND(),{0,0.3,0.6,0.85},{"River","Rainwater","Borehole","Vendor"}),LOOKUP(RAND(),{0,0.2,0.5,0.75},{"River","Rainwater","Borehole","Vendor"}))))))</f>
        <v>River</v>
      </c>
      <c r="F250">
        <f t="shared" ca="1" si="19"/>
        <v>90</v>
      </c>
      <c r="G250">
        <f t="shared" ca="1" si="20"/>
        <v>8.6999999999999993</v>
      </c>
      <c r="H250">
        <f t="shared" ca="1" si="21"/>
        <v>7700</v>
      </c>
      <c r="I250">
        <f t="shared" ca="1" si="22"/>
        <v>0.25255088189812214</v>
      </c>
      <c r="J250">
        <v>0</v>
      </c>
    </row>
    <row r="251" spans="1:10" x14ac:dyDescent="0.3">
      <c r="A251" t="str">
        <f t="shared" si="23"/>
        <v>HH250</v>
      </c>
      <c r="B251" t="str">
        <f ca="1">LOOKUP(RAND(),{0,0.28,0.55,0.78},{"Oloitoktok A","Oloitoktok B","Kiserian","Namanga"})</f>
        <v>Oloitoktok A</v>
      </c>
      <c r="C251">
        <f ca="1">LOOKUP(RAND(),{0,0.02,0.09,0.2,0.35,0.52,0.68,0.81,0.91,0.97},{1,2,3,4,5,6,7,8,9,10})</f>
        <v>3</v>
      </c>
      <c r="D251">
        <f t="shared" ca="1" si="18"/>
        <v>11800</v>
      </c>
      <c r="E251" t="str">
        <f ca="1">IF(B251="Oloitoktok A",IF(D251&lt;15000,LOOKUP(RAND(),{0,0.45,0.75,0.92},{"River","Rainwater","Borehole","Vendor"}),IF(D251&lt;30000,LOOKUP(RAND(),{0,0.35,0.65,0.85},{"River","Rainwater","Borehole","Vendor"}),LOOKUP(RAND(),{0,0.25,0.5,0.75},{"River","Rainwater","Borehole","Vendor"}))),IF(B251="Oloitoktok B",IF(D251&lt;15000,LOOKUP(RAND(),{0,0.5,0.78,0.94},{"River","Rainwater","Borehole","Vendor"}),IF(D251&lt;30000,LOOKUP(RAND(),{0,0.4,0.68,0.87},{"River","Rainwater","Borehole","Vendor"}),LOOKUP(RAND(),{0,0.28,0.55,0.78},{"River","Rainwater","Borehole","Vendor"}))),IF(B251="Kiserian",IF(D251&lt;15000,LOOKUP(RAND(),{0,0.35,0.65,0.9},{"River","Rainwater","Borehole","Vendor"}),IF(D251&lt;30000,LOOKUP(RAND(),{0,0.25,0.55,0.82},{"River","Rainwater","Borehole","Vendor"}),LOOKUP(RAND(),{0,0.15,0.45,0.72},{"River","Rainwater","Borehole","Vendor"}))),IF(D251&lt;15000,LOOKUP(RAND(),{0,0.4,0.7,0.92},{"River","Rainwater","Borehole","Vendor"}),IF(D251&lt;30000,LOOKUP(RAND(),{0,0.3,0.6,0.85},{"River","Rainwater","Borehole","Vendor"}),LOOKUP(RAND(),{0,0.2,0.5,0.75},{"River","Rainwater","Borehole","Vendor"}))))))</f>
        <v>Borehole</v>
      </c>
      <c r="F251">
        <f t="shared" ca="1" si="19"/>
        <v>36</v>
      </c>
      <c r="G251">
        <f t="shared" ca="1" si="20"/>
        <v>0.5</v>
      </c>
      <c r="H251">
        <f t="shared" ca="1" si="21"/>
        <v>5600</v>
      </c>
      <c r="I251">
        <f t="shared" ca="1" si="22"/>
        <v>0.18666987985940098</v>
      </c>
      <c r="J251">
        <v>0</v>
      </c>
    </row>
    <row r="252" spans="1:10" x14ac:dyDescent="0.3">
      <c r="A252" t="str">
        <f t="shared" si="23"/>
        <v>HH251</v>
      </c>
      <c r="B252" t="str">
        <f ca="1">LOOKUP(RAND(),{0,0.28,0.55,0.78},{"Oloitoktok A","Oloitoktok B","Kiserian","Namanga"})</f>
        <v>Namanga</v>
      </c>
      <c r="C252">
        <f ca="1">LOOKUP(RAND(),{0,0.02,0.09,0.2,0.35,0.52,0.68,0.81,0.91,0.97},{1,2,3,4,5,6,7,8,9,10})</f>
        <v>8</v>
      </c>
      <c r="D252">
        <f t="shared" ca="1" si="18"/>
        <v>34200</v>
      </c>
      <c r="E252" t="str">
        <f ca="1">IF(B252="Oloitoktok A",IF(D252&lt;15000,LOOKUP(RAND(),{0,0.45,0.75,0.92},{"River","Rainwater","Borehole","Vendor"}),IF(D252&lt;30000,LOOKUP(RAND(),{0,0.35,0.65,0.85},{"River","Rainwater","Borehole","Vendor"}),LOOKUP(RAND(),{0,0.25,0.5,0.75},{"River","Rainwater","Borehole","Vendor"}))),IF(B252="Oloitoktok B",IF(D252&lt;15000,LOOKUP(RAND(),{0,0.5,0.78,0.94},{"River","Rainwater","Borehole","Vendor"}),IF(D252&lt;30000,LOOKUP(RAND(),{0,0.4,0.68,0.87},{"River","Rainwater","Borehole","Vendor"}),LOOKUP(RAND(),{0,0.28,0.55,0.78},{"River","Rainwater","Borehole","Vendor"}))),IF(B252="Kiserian",IF(D252&lt;15000,LOOKUP(RAND(),{0,0.35,0.65,0.9},{"River","Rainwater","Borehole","Vendor"}),IF(D252&lt;30000,LOOKUP(RAND(),{0,0.25,0.55,0.82},{"River","Rainwater","Borehole","Vendor"}),LOOKUP(RAND(),{0,0.15,0.45,0.72},{"River","Rainwater","Borehole","Vendor"}))),IF(D252&lt;15000,LOOKUP(RAND(),{0,0.4,0.7,0.92},{"River","Rainwater","Borehole","Vendor"}),IF(D252&lt;30000,LOOKUP(RAND(),{0,0.3,0.6,0.85},{"River","Rainwater","Borehole","Vendor"}),LOOKUP(RAND(),{0,0.2,0.5,0.75},{"River","Rainwater","Borehole","Vendor"}))))))</f>
        <v>River</v>
      </c>
      <c r="F252">
        <f t="shared" ca="1" si="19"/>
        <v>96</v>
      </c>
      <c r="G252">
        <f t="shared" ca="1" si="20"/>
        <v>5.3</v>
      </c>
      <c r="H252">
        <f t="shared" ca="1" si="21"/>
        <v>3100</v>
      </c>
      <c r="I252">
        <f t="shared" ca="1" si="22"/>
        <v>0.13450784993026732</v>
      </c>
      <c r="J252">
        <v>0</v>
      </c>
    </row>
    <row r="253" spans="1:10" x14ac:dyDescent="0.3">
      <c r="A253" t="str">
        <f t="shared" si="23"/>
        <v>HH252</v>
      </c>
      <c r="B253" t="str">
        <f ca="1">LOOKUP(RAND(),{0,0.28,0.55,0.78},{"Oloitoktok A","Oloitoktok B","Kiserian","Namanga"})</f>
        <v>Oloitoktok B</v>
      </c>
      <c r="C253">
        <f ca="1">LOOKUP(RAND(),{0,0.02,0.09,0.2,0.35,0.52,0.68,0.81,0.91,0.97},{1,2,3,4,5,6,7,8,9,10})</f>
        <v>4</v>
      </c>
      <c r="D253">
        <f t="shared" ca="1" si="18"/>
        <v>11100</v>
      </c>
      <c r="E253" t="str">
        <f ca="1">IF(B253="Oloitoktok A",IF(D253&lt;15000,LOOKUP(RAND(),{0,0.45,0.75,0.92},{"River","Rainwater","Borehole","Vendor"}),IF(D253&lt;30000,LOOKUP(RAND(),{0,0.35,0.65,0.85},{"River","Rainwater","Borehole","Vendor"}),LOOKUP(RAND(),{0,0.25,0.5,0.75},{"River","Rainwater","Borehole","Vendor"}))),IF(B253="Oloitoktok B",IF(D253&lt;15000,LOOKUP(RAND(),{0,0.5,0.78,0.94},{"River","Rainwater","Borehole","Vendor"}),IF(D253&lt;30000,LOOKUP(RAND(),{0,0.4,0.68,0.87},{"River","Rainwater","Borehole","Vendor"}),LOOKUP(RAND(),{0,0.28,0.55,0.78},{"River","Rainwater","Borehole","Vendor"}))),IF(B253="Kiserian",IF(D253&lt;15000,LOOKUP(RAND(),{0,0.35,0.65,0.9},{"River","Rainwater","Borehole","Vendor"}),IF(D253&lt;30000,LOOKUP(RAND(),{0,0.25,0.55,0.82},{"River","Rainwater","Borehole","Vendor"}),LOOKUP(RAND(),{0,0.15,0.45,0.72},{"River","Rainwater","Borehole","Vendor"}))),IF(D253&lt;15000,LOOKUP(RAND(),{0,0.4,0.7,0.92},{"River","Rainwater","Borehole","Vendor"}),IF(D253&lt;30000,LOOKUP(RAND(),{0,0.3,0.6,0.85},{"River","Rainwater","Borehole","Vendor"}),LOOKUP(RAND(),{0,0.2,0.5,0.75},{"River","Rainwater","Borehole","Vendor"}))))))</f>
        <v>Rainwater</v>
      </c>
      <c r="F253">
        <f t="shared" ca="1" si="19"/>
        <v>27</v>
      </c>
      <c r="G253">
        <f t="shared" ca="1" si="20"/>
        <v>3.7</v>
      </c>
      <c r="H253">
        <f t="shared" ca="1" si="21"/>
        <v>5800</v>
      </c>
      <c r="I253">
        <f t="shared" ca="1" si="22"/>
        <v>0.13246421435369848</v>
      </c>
      <c r="J253">
        <v>0</v>
      </c>
    </row>
    <row r="254" spans="1:10" x14ac:dyDescent="0.3">
      <c r="A254" t="str">
        <f t="shared" si="23"/>
        <v>HH253</v>
      </c>
      <c r="B254" t="str">
        <f ca="1">LOOKUP(RAND(),{0,0.28,0.55,0.78},{"Oloitoktok A","Oloitoktok B","Kiserian","Namanga"})</f>
        <v>Kiserian</v>
      </c>
      <c r="C254">
        <f ca="1">LOOKUP(RAND(),{0,0.02,0.09,0.2,0.35,0.52,0.68,0.81,0.91,0.97},{1,2,3,4,5,6,7,8,9,10})</f>
        <v>3</v>
      </c>
      <c r="D254">
        <f t="shared" ca="1" si="18"/>
        <v>56200</v>
      </c>
      <c r="E254" t="str">
        <f ca="1">IF(B254="Oloitoktok A",IF(D254&lt;15000,LOOKUP(RAND(),{0,0.45,0.75,0.92},{"River","Rainwater","Borehole","Vendor"}),IF(D254&lt;30000,LOOKUP(RAND(),{0,0.35,0.65,0.85},{"River","Rainwater","Borehole","Vendor"}),LOOKUP(RAND(),{0,0.25,0.5,0.75},{"River","Rainwater","Borehole","Vendor"}))),IF(B254="Oloitoktok B",IF(D254&lt;15000,LOOKUP(RAND(),{0,0.5,0.78,0.94},{"River","Rainwater","Borehole","Vendor"}),IF(D254&lt;30000,LOOKUP(RAND(),{0,0.4,0.68,0.87},{"River","Rainwater","Borehole","Vendor"}),LOOKUP(RAND(),{0,0.28,0.55,0.78},{"River","Rainwater","Borehole","Vendor"}))),IF(B254="Kiserian",IF(D254&lt;15000,LOOKUP(RAND(),{0,0.35,0.65,0.9},{"River","Rainwater","Borehole","Vendor"}),IF(D254&lt;30000,LOOKUP(RAND(),{0,0.25,0.55,0.82},{"River","Rainwater","Borehole","Vendor"}),LOOKUP(RAND(),{0,0.15,0.45,0.72},{"River","Rainwater","Borehole","Vendor"}))),IF(D254&lt;15000,LOOKUP(RAND(),{0,0.4,0.7,0.92},{"River","Rainwater","Borehole","Vendor"}),IF(D254&lt;30000,LOOKUP(RAND(),{0,0.3,0.6,0.85},{"River","Rainwater","Borehole","Vendor"}),LOOKUP(RAND(),{0,0.2,0.5,0.75},{"River","Rainwater","Borehole","Vendor"}))))))</f>
        <v>River</v>
      </c>
      <c r="F254">
        <f t="shared" ca="1" si="19"/>
        <v>61</v>
      </c>
      <c r="G254">
        <f t="shared" ca="1" si="20"/>
        <v>9.1</v>
      </c>
      <c r="H254">
        <f t="shared" ca="1" si="21"/>
        <v>14600</v>
      </c>
      <c r="I254">
        <f t="shared" ca="1" si="22"/>
        <v>0.77281593293399353</v>
      </c>
      <c r="J254">
        <v>0</v>
      </c>
    </row>
    <row r="255" spans="1:10" x14ac:dyDescent="0.3">
      <c r="A255" t="str">
        <f t="shared" si="23"/>
        <v>HH254</v>
      </c>
      <c r="B255" t="str">
        <f ca="1">LOOKUP(RAND(),{0,0.28,0.55,0.78},{"Oloitoktok A","Oloitoktok B","Kiserian","Namanga"})</f>
        <v>Oloitoktok B</v>
      </c>
      <c r="C255">
        <f ca="1">LOOKUP(RAND(),{0,0.02,0.09,0.2,0.35,0.52,0.68,0.81,0.91,0.97},{1,2,3,4,5,6,7,8,9,10})</f>
        <v>5</v>
      </c>
      <c r="D255">
        <f t="shared" ca="1" si="18"/>
        <v>32100</v>
      </c>
      <c r="E255" t="str">
        <f ca="1">IF(B255="Oloitoktok A",IF(D255&lt;15000,LOOKUP(RAND(),{0,0.45,0.75,0.92},{"River","Rainwater","Borehole","Vendor"}),IF(D255&lt;30000,LOOKUP(RAND(),{0,0.35,0.65,0.85},{"River","Rainwater","Borehole","Vendor"}),LOOKUP(RAND(),{0,0.25,0.5,0.75},{"River","Rainwater","Borehole","Vendor"}))),IF(B255="Oloitoktok B",IF(D255&lt;15000,LOOKUP(RAND(),{0,0.5,0.78,0.94},{"River","Rainwater","Borehole","Vendor"}),IF(D255&lt;30000,LOOKUP(RAND(),{0,0.4,0.68,0.87},{"River","Rainwater","Borehole","Vendor"}),LOOKUP(RAND(),{0,0.28,0.55,0.78},{"River","Rainwater","Borehole","Vendor"}))),IF(B255="Kiserian",IF(D255&lt;15000,LOOKUP(RAND(),{0,0.35,0.65,0.9},{"River","Rainwater","Borehole","Vendor"}),IF(D255&lt;30000,LOOKUP(RAND(),{0,0.25,0.55,0.82},{"River","Rainwater","Borehole","Vendor"}),LOOKUP(RAND(),{0,0.15,0.45,0.72},{"River","Rainwater","Borehole","Vendor"}))),IF(D255&lt;15000,LOOKUP(RAND(),{0,0.4,0.7,0.92},{"River","Rainwater","Borehole","Vendor"}),IF(D255&lt;30000,LOOKUP(RAND(),{0,0.3,0.6,0.85},{"River","Rainwater","Borehole","Vendor"}),LOOKUP(RAND(),{0,0.2,0.5,0.75},{"River","Rainwater","Borehole","Vendor"}))))))</f>
        <v>Vendor</v>
      </c>
      <c r="F255">
        <f t="shared" ca="1" si="19"/>
        <v>10</v>
      </c>
      <c r="G255">
        <f t="shared" ca="1" si="20"/>
        <v>7.4</v>
      </c>
      <c r="H255">
        <f t="shared" ca="1" si="21"/>
        <v>6900</v>
      </c>
      <c r="I255">
        <f t="shared" ca="1" si="22"/>
        <v>0.72671201834843668</v>
      </c>
      <c r="J255">
        <v>0</v>
      </c>
    </row>
    <row r="256" spans="1:10" x14ac:dyDescent="0.3">
      <c r="A256" t="str">
        <f t="shared" si="23"/>
        <v>HH255</v>
      </c>
      <c r="B256" t="str">
        <f ca="1">LOOKUP(RAND(),{0,0.28,0.55,0.78},{"Oloitoktok A","Oloitoktok B","Kiserian","Namanga"})</f>
        <v>Oloitoktok A</v>
      </c>
      <c r="C256">
        <f ca="1">LOOKUP(RAND(),{0,0.02,0.09,0.2,0.35,0.52,0.68,0.81,0.91,0.97},{1,2,3,4,5,6,7,8,9,10})</f>
        <v>3</v>
      </c>
      <c r="D256">
        <f t="shared" ca="1" si="18"/>
        <v>15900</v>
      </c>
      <c r="E256" t="str">
        <f ca="1">IF(B256="Oloitoktok A",IF(D256&lt;15000,LOOKUP(RAND(),{0,0.45,0.75,0.92},{"River","Rainwater","Borehole","Vendor"}),IF(D256&lt;30000,LOOKUP(RAND(),{0,0.35,0.65,0.85},{"River","Rainwater","Borehole","Vendor"}),LOOKUP(RAND(),{0,0.25,0.5,0.75},{"River","Rainwater","Borehole","Vendor"}))),IF(B256="Oloitoktok B",IF(D256&lt;15000,LOOKUP(RAND(),{0,0.5,0.78,0.94},{"River","Rainwater","Borehole","Vendor"}),IF(D256&lt;30000,LOOKUP(RAND(),{0,0.4,0.68,0.87},{"River","Rainwater","Borehole","Vendor"}),LOOKUP(RAND(),{0,0.28,0.55,0.78},{"River","Rainwater","Borehole","Vendor"}))),IF(B256="Kiserian",IF(D256&lt;15000,LOOKUP(RAND(),{0,0.35,0.65,0.9},{"River","Rainwater","Borehole","Vendor"}),IF(D256&lt;30000,LOOKUP(RAND(),{0,0.25,0.55,0.82},{"River","Rainwater","Borehole","Vendor"}),LOOKUP(RAND(),{0,0.15,0.45,0.72},{"River","Rainwater","Borehole","Vendor"}))),IF(D256&lt;15000,LOOKUP(RAND(),{0,0.4,0.7,0.92},{"River","Rainwater","Borehole","Vendor"}),IF(D256&lt;30000,LOOKUP(RAND(),{0,0.3,0.6,0.85},{"River","Rainwater","Borehole","Vendor"}),LOOKUP(RAND(),{0,0.2,0.5,0.75},{"River","Rainwater","Borehole","Vendor"}))))))</f>
        <v>Rainwater</v>
      </c>
      <c r="F256">
        <f t="shared" ca="1" si="19"/>
        <v>41</v>
      </c>
      <c r="G256">
        <f t="shared" ca="1" si="20"/>
        <v>1.9</v>
      </c>
      <c r="H256">
        <f t="shared" ca="1" si="21"/>
        <v>0</v>
      </c>
      <c r="I256">
        <f t="shared" ca="1" si="22"/>
        <v>0.25797655145634235</v>
      </c>
      <c r="J256">
        <v>0</v>
      </c>
    </row>
    <row r="257" spans="1:10" x14ac:dyDescent="0.3">
      <c r="A257" t="str">
        <f t="shared" si="23"/>
        <v>HH256</v>
      </c>
      <c r="B257" t="str">
        <f ca="1">LOOKUP(RAND(),{0,0.28,0.55,0.78},{"Oloitoktok A","Oloitoktok B","Kiserian","Namanga"})</f>
        <v>Oloitoktok B</v>
      </c>
      <c r="C257">
        <f ca="1">LOOKUP(RAND(),{0,0.02,0.09,0.2,0.35,0.52,0.68,0.81,0.91,0.97},{1,2,3,4,5,6,7,8,9,10})</f>
        <v>4</v>
      </c>
      <c r="D257">
        <f t="shared" ca="1" si="18"/>
        <v>132900</v>
      </c>
      <c r="E257" t="str">
        <f ca="1">IF(B257="Oloitoktok A",IF(D257&lt;15000,LOOKUP(RAND(),{0,0.45,0.75,0.92},{"River","Rainwater","Borehole","Vendor"}),IF(D257&lt;30000,LOOKUP(RAND(),{0,0.35,0.65,0.85},{"River","Rainwater","Borehole","Vendor"}),LOOKUP(RAND(),{0,0.25,0.5,0.75},{"River","Rainwater","Borehole","Vendor"}))),IF(B257="Oloitoktok B",IF(D257&lt;15000,LOOKUP(RAND(),{0,0.5,0.78,0.94},{"River","Rainwater","Borehole","Vendor"}),IF(D257&lt;30000,LOOKUP(RAND(),{0,0.4,0.68,0.87},{"River","Rainwater","Borehole","Vendor"}),LOOKUP(RAND(),{0,0.28,0.55,0.78},{"River","Rainwater","Borehole","Vendor"}))),IF(B257="Kiserian",IF(D257&lt;15000,LOOKUP(RAND(),{0,0.35,0.65,0.9},{"River","Rainwater","Borehole","Vendor"}),IF(D257&lt;30000,LOOKUP(RAND(),{0,0.25,0.55,0.82},{"River","Rainwater","Borehole","Vendor"}),LOOKUP(RAND(),{0,0.15,0.45,0.72},{"River","Rainwater","Borehole","Vendor"}))),IF(D257&lt;15000,LOOKUP(RAND(),{0,0.4,0.7,0.92},{"River","Rainwater","Borehole","Vendor"}),IF(D257&lt;30000,LOOKUP(RAND(),{0,0.3,0.6,0.85},{"River","Rainwater","Borehole","Vendor"}),LOOKUP(RAND(),{0,0.2,0.5,0.75},{"River","Rainwater","Borehole","Vendor"}))))))</f>
        <v>Rainwater</v>
      </c>
      <c r="F257">
        <f t="shared" ca="1" si="19"/>
        <v>59</v>
      </c>
      <c r="G257">
        <f t="shared" ca="1" si="20"/>
        <v>0.4</v>
      </c>
      <c r="H257">
        <f t="shared" ca="1" si="21"/>
        <v>3000</v>
      </c>
      <c r="I257">
        <f t="shared" ca="1" si="22"/>
        <v>0.23066408799586569</v>
      </c>
      <c r="J257">
        <v>0</v>
      </c>
    </row>
    <row r="258" spans="1:10" x14ac:dyDescent="0.3">
      <c r="A258" t="str">
        <f t="shared" si="23"/>
        <v>HH257</v>
      </c>
      <c r="B258" t="str">
        <f ca="1">LOOKUP(RAND(),{0,0.28,0.55,0.78},{"Oloitoktok A","Oloitoktok B","Kiserian","Namanga"})</f>
        <v>Namanga</v>
      </c>
      <c r="C258">
        <f ca="1">LOOKUP(RAND(),{0,0.02,0.09,0.2,0.35,0.52,0.68,0.81,0.91,0.97},{1,2,3,4,5,6,7,8,9,10})</f>
        <v>2</v>
      </c>
      <c r="D258">
        <f t="shared" ref="D258:D321" ca="1" si="24">MAX(5000,MIN(150000,ROUND(_xlfn.LOGNORM.INV(RAND(),LN(28000+1500*C258),0.55),-2)))</f>
        <v>54400</v>
      </c>
      <c r="E258" t="str">
        <f ca="1">IF(B258="Oloitoktok A",IF(D258&lt;15000,LOOKUP(RAND(),{0,0.45,0.75,0.92},{"River","Rainwater","Borehole","Vendor"}),IF(D258&lt;30000,LOOKUP(RAND(),{0,0.35,0.65,0.85},{"River","Rainwater","Borehole","Vendor"}),LOOKUP(RAND(),{0,0.25,0.5,0.75},{"River","Rainwater","Borehole","Vendor"}))),IF(B258="Oloitoktok B",IF(D258&lt;15000,LOOKUP(RAND(),{0,0.5,0.78,0.94},{"River","Rainwater","Borehole","Vendor"}),IF(D258&lt;30000,LOOKUP(RAND(),{0,0.4,0.68,0.87},{"River","Rainwater","Borehole","Vendor"}),LOOKUP(RAND(),{0,0.28,0.55,0.78},{"River","Rainwater","Borehole","Vendor"}))),IF(B258="Kiserian",IF(D258&lt;15000,LOOKUP(RAND(),{0,0.35,0.65,0.9},{"River","Rainwater","Borehole","Vendor"}),IF(D258&lt;30000,LOOKUP(RAND(),{0,0.25,0.55,0.82},{"River","Rainwater","Borehole","Vendor"}),LOOKUP(RAND(),{0,0.15,0.45,0.72},{"River","Rainwater","Borehole","Vendor"}))),IF(D258&lt;15000,LOOKUP(RAND(),{0,0.4,0.7,0.92},{"River","Rainwater","Borehole","Vendor"}),IF(D258&lt;30000,LOOKUP(RAND(),{0,0.3,0.6,0.85},{"River","Rainwater","Borehole","Vendor"}),LOOKUP(RAND(),{0,0.2,0.5,0.75},{"River","Rainwater","Borehole","Vendor"}))))))</f>
        <v>Rainwater</v>
      </c>
      <c r="F258">
        <f t="shared" ref="F258:F321" ca="1" si="25">IF(E258="River",RANDBETWEEN(45,120),IF(E258="Rainwater",RANDBETWEEN(15,70),IF(E258="Borehole",RANDBETWEEN(20,75),RANDBETWEEN(10,60))))</f>
        <v>59</v>
      </c>
      <c r="G258">
        <f t="shared" ref="G258:G321" ca="1" si="26">IF(B258="Oloitoktok A",ROUND(RANDBETWEEN(5,150)/10,1),IF(B258="Oloitoktok B",ROUND(RANDBETWEEN(4,140)/10,1),IF(B258="Kiserian",ROUND(RANDBETWEEN(2,100)/10,1),ROUND(RANDBETWEEN(3,120)/10,1))))</f>
        <v>6.1</v>
      </c>
      <c r="H258">
        <f t="shared" ref="H258:H321" ca="1" si="27">MAX(0,ROUND((1500+(C258*250)+(D258*0.025)+(F258*8)+(G258*120)+IF(E258="River",1200,IF(E258="Rainwater",700,IF(E258="Borehole",400,200)))+_xlfn.NORM.INV(RAND(),0,3500)),-2))</f>
        <v>2500</v>
      </c>
      <c r="I258">
        <f t="shared" ref="I258:I321" ca="1" si="28">RAND()</f>
        <v>0.77335996905825355</v>
      </c>
      <c r="J258">
        <v>0</v>
      </c>
    </row>
    <row r="259" spans="1:10" x14ac:dyDescent="0.3">
      <c r="A259" t="str">
        <f t="shared" ref="A259:A322" si="29">"HH"&amp;TEXT(ROW()-1,"000")</f>
        <v>HH258</v>
      </c>
      <c r="B259" t="str">
        <f ca="1">LOOKUP(RAND(),{0,0.28,0.55,0.78},{"Oloitoktok A","Oloitoktok B","Kiserian","Namanga"})</f>
        <v>Oloitoktok B</v>
      </c>
      <c r="C259">
        <f ca="1">LOOKUP(RAND(),{0,0.02,0.09,0.2,0.35,0.52,0.68,0.81,0.91,0.97},{1,2,3,4,5,6,7,8,9,10})</f>
        <v>2</v>
      </c>
      <c r="D259">
        <f t="shared" ca="1" si="24"/>
        <v>28600</v>
      </c>
      <c r="E259" t="str">
        <f ca="1">IF(B259="Oloitoktok A",IF(D259&lt;15000,LOOKUP(RAND(),{0,0.45,0.75,0.92},{"River","Rainwater","Borehole","Vendor"}),IF(D259&lt;30000,LOOKUP(RAND(),{0,0.35,0.65,0.85},{"River","Rainwater","Borehole","Vendor"}),LOOKUP(RAND(),{0,0.25,0.5,0.75},{"River","Rainwater","Borehole","Vendor"}))),IF(B259="Oloitoktok B",IF(D259&lt;15000,LOOKUP(RAND(),{0,0.5,0.78,0.94},{"River","Rainwater","Borehole","Vendor"}),IF(D259&lt;30000,LOOKUP(RAND(),{0,0.4,0.68,0.87},{"River","Rainwater","Borehole","Vendor"}),LOOKUP(RAND(),{0,0.28,0.55,0.78},{"River","Rainwater","Borehole","Vendor"}))),IF(B259="Kiserian",IF(D259&lt;15000,LOOKUP(RAND(),{0,0.35,0.65,0.9},{"River","Rainwater","Borehole","Vendor"}),IF(D259&lt;30000,LOOKUP(RAND(),{0,0.25,0.55,0.82},{"River","Rainwater","Borehole","Vendor"}),LOOKUP(RAND(),{0,0.15,0.45,0.72},{"River","Rainwater","Borehole","Vendor"}))),IF(D259&lt;15000,LOOKUP(RAND(),{0,0.4,0.7,0.92},{"River","Rainwater","Borehole","Vendor"}),IF(D259&lt;30000,LOOKUP(RAND(),{0,0.3,0.6,0.85},{"River","Rainwater","Borehole","Vendor"}),LOOKUP(RAND(),{0,0.2,0.5,0.75},{"River","Rainwater","Borehole","Vendor"}))))))</f>
        <v>Rainwater</v>
      </c>
      <c r="F259">
        <f t="shared" ca="1" si="25"/>
        <v>35</v>
      </c>
      <c r="G259">
        <f t="shared" ca="1" si="26"/>
        <v>6.5</v>
      </c>
      <c r="H259">
        <f t="shared" ca="1" si="27"/>
        <v>0</v>
      </c>
      <c r="I259">
        <f t="shared" ca="1" si="28"/>
        <v>0.15294167335883113</v>
      </c>
      <c r="J259">
        <v>0</v>
      </c>
    </row>
    <row r="260" spans="1:10" x14ac:dyDescent="0.3">
      <c r="A260" t="str">
        <f t="shared" si="29"/>
        <v>HH259</v>
      </c>
      <c r="B260" t="str">
        <f ca="1">LOOKUP(RAND(),{0,0.28,0.55,0.78},{"Oloitoktok A","Oloitoktok B","Kiserian","Namanga"})</f>
        <v>Kiserian</v>
      </c>
      <c r="C260">
        <f ca="1">LOOKUP(RAND(),{0,0.02,0.09,0.2,0.35,0.52,0.68,0.81,0.91,0.97},{1,2,3,4,5,6,7,8,9,10})</f>
        <v>6</v>
      </c>
      <c r="D260">
        <f t="shared" ca="1" si="24"/>
        <v>29500</v>
      </c>
      <c r="E260" t="str">
        <f ca="1">IF(B260="Oloitoktok A",IF(D260&lt;15000,LOOKUP(RAND(),{0,0.45,0.75,0.92},{"River","Rainwater","Borehole","Vendor"}),IF(D260&lt;30000,LOOKUP(RAND(),{0,0.35,0.65,0.85},{"River","Rainwater","Borehole","Vendor"}),LOOKUP(RAND(),{0,0.25,0.5,0.75},{"River","Rainwater","Borehole","Vendor"}))),IF(B260="Oloitoktok B",IF(D260&lt;15000,LOOKUP(RAND(),{0,0.5,0.78,0.94},{"River","Rainwater","Borehole","Vendor"}),IF(D260&lt;30000,LOOKUP(RAND(),{0,0.4,0.68,0.87},{"River","Rainwater","Borehole","Vendor"}),LOOKUP(RAND(),{0,0.28,0.55,0.78},{"River","Rainwater","Borehole","Vendor"}))),IF(B260="Kiserian",IF(D260&lt;15000,LOOKUP(RAND(),{0,0.35,0.65,0.9},{"River","Rainwater","Borehole","Vendor"}),IF(D260&lt;30000,LOOKUP(RAND(),{0,0.25,0.55,0.82},{"River","Rainwater","Borehole","Vendor"}),LOOKUP(RAND(),{0,0.15,0.45,0.72},{"River","Rainwater","Borehole","Vendor"}))),IF(D260&lt;15000,LOOKUP(RAND(),{0,0.4,0.7,0.92},{"River","Rainwater","Borehole","Vendor"}),IF(D260&lt;30000,LOOKUP(RAND(),{0,0.3,0.6,0.85},{"River","Rainwater","Borehole","Vendor"}),LOOKUP(RAND(),{0,0.2,0.5,0.75},{"River","Rainwater","Borehole","Vendor"}))))))</f>
        <v>Rainwater</v>
      </c>
      <c r="F260">
        <f t="shared" ca="1" si="25"/>
        <v>22</v>
      </c>
      <c r="G260">
        <f t="shared" ca="1" si="26"/>
        <v>6.9</v>
      </c>
      <c r="H260">
        <f t="shared" ca="1" si="27"/>
        <v>15400</v>
      </c>
      <c r="I260">
        <f t="shared" ca="1" si="28"/>
        <v>0.7513848223552807</v>
      </c>
      <c r="J260">
        <v>0</v>
      </c>
    </row>
    <row r="261" spans="1:10" x14ac:dyDescent="0.3">
      <c r="A261" t="str">
        <f t="shared" si="29"/>
        <v>HH260</v>
      </c>
      <c r="B261" t="str">
        <f ca="1">LOOKUP(RAND(),{0,0.28,0.55,0.78},{"Oloitoktok A","Oloitoktok B","Kiserian","Namanga"})</f>
        <v>Oloitoktok A</v>
      </c>
      <c r="C261">
        <f ca="1">LOOKUP(RAND(),{0,0.02,0.09,0.2,0.35,0.52,0.68,0.81,0.91,0.97},{1,2,3,4,5,6,7,8,9,10})</f>
        <v>5</v>
      </c>
      <c r="D261">
        <f t="shared" ca="1" si="24"/>
        <v>55800</v>
      </c>
      <c r="E261" t="str">
        <f ca="1">IF(B261="Oloitoktok A",IF(D261&lt;15000,LOOKUP(RAND(),{0,0.45,0.75,0.92},{"River","Rainwater","Borehole","Vendor"}),IF(D261&lt;30000,LOOKUP(RAND(),{0,0.35,0.65,0.85},{"River","Rainwater","Borehole","Vendor"}),LOOKUP(RAND(),{0,0.25,0.5,0.75},{"River","Rainwater","Borehole","Vendor"}))),IF(B261="Oloitoktok B",IF(D261&lt;15000,LOOKUP(RAND(),{0,0.5,0.78,0.94},{"River","Rainwater","Borehole","Vendor"}),IF(D261&lt;30000,LOOKUP(RAND(),{0,0.4,0.68,0.87},{"River","Rainwater","Borehole","Vendor"}),LOOKUP(RAND(),{0,0.28,0.55,0.78},{"River","Rainwater","Borehole","Vendor"}))),IF(B261="Kiserian",IF(D261&lt;15000,LOOKUP(RAND(),{0,0.35,0.65,0.9},{"River","Rainwater","Borehole","Vendor"}),IF(D261&lt;30000,LOOKUP(RAND(),{0,0.25,0.55,0.82},{"River","Rainwater","Borehole","Vendor"}),LOOKUP(RAND(),{0,0.15,0.45,0.72},{"River","Rainwater","Borehole","Vendor"}))),IF(D261&lt;15000,LOOKUP(RAND(),{0,0.4,0.7,0.92},{"River","Rainwater","Borehole","Vendor"}),IF(D261&lt;30000,LOOKUP(RAND(),{0,0.3,0.6,0.85},{"River","Rainwater","Borehole","Vendor"}),LOOKUP(RAND(),{0,0.2,0.5,0.75},{"River","Rainwater","Borehole","Vendor"}))))))</f>
        <v>Vendor</v>
      </c>
      <c r="F261">
        <f t="shared" ca="1" si="25"/>
        <v>28</v>
      </c>
      <c r="G261">
        <f t="shared" ca="1" si="26"/>
        <v>1.2</v>
      </c>
      <c r="H261">
        <f t="shared" ca="1" si="27"/>
        <v>5300</v>
      </c>
      <c r="I261">
        <f t="shared" ca="1" si="28"/>
        <v>0.82872314433304872</v>
      </c>
      <c r="J261">
        <v>0</v>
      </c>
    </row>
    <row r="262" spans="1:10" x14ac:dyDescent="0.3">
      <c r="A262" t="str">
        <f t="shared" si="29"/>
        <v>HH261</v>
      </c>
      <c r="B262" t="str">
        <f ca="1">LOOKUP(RAND(),{0,0.28,0.55,0.78},{"Oloitoktok A","Oloitoktok B","Kiserian","Namanga"})</f>
        <v>Oloitoktok B</v>
      </c>
      <c r="C262">
        <f ca="1">LOOKUP(RAND(),{0,0.02,0.09,0.2,0.35,0.52,0.68,0.81,0.91,0.97},{1,2,3,4,5,6,7,8,9,10})</f>
        <v>9</v>
      </c>
      <c r="D262">
        <f t="shared" ca="1" si="24"/>
        <v>105600</v>
      </c>
      <c r="E262" t="str">
        <f ca="1">IF(B262="Oloitoktok A",IF(D262&lt;15000,LOOKUP(RAND(),{0,0.45,0.75,0.92},{"River","Rainwater","Borehole","Vendor"}),IF(D262&lt;30000,LOOKUP(RAND(),{0,0.35,0.65,0.85},{"River","Rainwater","Borehole","Vendor"}),LOOKUP(RAND(),{0,0.25,0.5,0.75},{"River","Rainwater","Borehole","Vendor"}))),IF(B262="Oloitoktok B",IF(D262&lt;15000,LOOKUP(RAND(),{0,0.5,0.78,0.94},{"River","Rainwater","Borehole","Vendor"}),IF(D262&lt;30000,LOOKUP(RAND(),{0,0.4,0.68,0.87},{"River","Rainwater","Borehole","Vendor"}),LOOKUP(RAND(),{0,0.28,0.55,0.78},{"River","Rainwater","Borehole","Vendor"}))),IF(B262="Kiserian",IF(D262&lt;15000,LOOKUP(RAND(),{0,0.35,0.65,0.9},{"River","Rainwater","Borehole","Vendor"}),IF(D262&lt;30000,LOOKUP(RAND(),{0,0.25,0.55,0.82},{"River","Rainwater","Borehole","Vendor"}),LOOKUP(RAND(),{0,0.15,0.45,0.72},{"River","Rainwater","Borehole","Vendor"}))),IF(D262&lt;15000,LOOKUP(RAND(),{0,0.4,0.7,0.92},{"River","Rainwater","Borehole","Vendor"}),IF(D262&lt;30000,LOOKUP(RAND(),{0,0.3,0.6,0.85},{"River","Rainwater","Borehole","Vendor"}),LOOKUP(RAND(),{0,0.2,0.5,0.75},{"River","Rainwater","Borehole","Vendor"}))))))</f>
        <v>River</v>
      </c>
      <c r="F262">
        <f t="shared" ca="1" si="25"/>
        <v>119</v>
      </c>
      <c r="G262">
        <f t="shared" ca="1" si="26"/>
        <v>13.5</v>
      </c>
      <c r="H262">
        <f t="shared" ca="1" si="27"/>
        <v>8300</v>
      </c>
      <c r="I262">
        <f t="shared" ca="1" si="28"/>
        <v>0.80054842050212371</v>
      </c>
      <c r="J262">
        <v>0</v>
      </c>
    </row>
    <row r="263" spans="1:10" x14ac:dyDescent="0.3">
      <c r="A263" t="str">
        <f t="shared" si="29"/>
        <v>HH262</v>
      </c>
      <c r="B263" t="str">
        <f ca="1">LOOKUP(RAND(),{0,0.28,0.55,0.78},{"Oloitoktok A","Oloitoktok B","Kiserian","Namanga"})</f>
        <v>Namanga</v>
      </c>
      <c r="C263">
        <f ca="1">LOOKUP(RAND(),{0,0.02,0.09,0.2,0.35,0.52,0.68,0.81,0.91,0.97},{1,2,3,4,5,6,7,8,9,10})</f>
        <v>8</v>
      </c>
      <c r="D263">
        <f t="shared" ca="1" si="24"/>
        <v>80600</v>
      </c>
      <c r="E263" t="str">
        <f ca="1">IF(B263="Oloitoktok A",IF(D263&lt;15000,LOOKUP(RAND(),{0,0.45,0.75,0.92},{"River","Rainwater","Borehole","Vendor"}),IF(D263&lt;30000,LOOKUP(RAND(),{0,0.35,0.65,0.85},{"River","Rainwater","Borehole","Vendor"}),LOOKUP(RAND(),{0,0.25,0.5,0.75},{"River","Rainwater","Borehole","Vendor"}))),IF(B263="Oloitoktok B",IF(D263&lt;15000,LOOKUP(RAND(),{0,0.5,0.78,0.94},{"River","Rainwater","Borehole","Vendor"}),IF(D263&lt;30000,LOOKUP(RAND(),{0,0.4,0.68,0.87},{"River","Rainwater","Borehole","Vendor"}),LOOKUP(RAND(),{0,0.28,0.55,0.78},{"River","Rainwater","Borehole","Vendor"}))),IF(B263="Kiserian",IF(D263&lt;15000,LOOKUP(RAND(),{0,0.35,0.65,0.9},{"River","Rainwater","Borehole","Vendor"}),IF(D263&lt;30000,LOOKUP(RAND(),{0,0.25,0.55,0.82},{"River","Rainwater","Borehole","Vendor"}),LOOKUP(RAND(),{0,0.15,0.45,0.72},{"River","Rainwater","Borehole","Vendor"}))),IF(D263&lt;15000,LOOKUP(RAND(),{0,0.4,0.7,0.92},{"River","Rainwater","Borehole","Vendor"}),IF(D263&lt;30000,LOOKUP(RAND(),{0,0.3,0.6,0.85},{"River","Rainwater","Borehole","Vendor"}),LOOKUP(RAND(),{0,0.2,0.5,0.75},{"River","Rainwater","Borehole","Vendor"}))))))</f>
        <v>Rainwater</v>
      </c>
      <c r="F263">
        <f t="shared" ca="1" si="25"/>
        <v>45</v>
      </c>
      <c r="G263">
        <f t="shared" ca="1" si="26"/>
        <v>10.9</v>
      </c>
      <c r="H263">
        <f t="shared" ca="1" si="27"/>
        <v>4600</v>
      </c>
      <c r="I263">
        <f t="shared" ca="1" si="28"/>
        <v>0.74217814543663241</v>
      </c>
      <c r="J263">
        <v>0</v>
      </c>
    </row>
    <row r="264" spans="1:10" x14ac:dyDescent="0.3">
      <c r="A264" t="str">
        <f t="shared" si="29"/>
        <v>HH263</v>
      </c>
      <c r="B264" t="str">
        <f ca="1">LOOKUP(RAND(),{0,0.28,0.55,0.78},{"Oloitoktok A","Oloitoktok B","Kiserian","Namanga"})</f>
        <v>Kiserian</v>
      </c>
      <c r="C264">
        <f ca="1">LOOKUP(RAND(),{0,0.02,0.09,0.2,0.35,0.52,0.68,0.81,0.91,0.97},{1,2,3,4,5,6,7,8,9,10})</f>
        <v>6</v>
      </c>
      <c r="D264">
        <f t="shared" ca="1" si="24"/>
        <v>32800</v>
      </c>
      <c r="E264" t="str">
        <f ca="1">IF(B264="Oloitoktok A",IF(D264&lt;15000,LOOKUP(RAND(),{0,0.45,0.75,0.92},{"River","Rainwater","Borehole","Vendor"}),IF(D264&lt;30000,LOOKUP(RAND(),{0,0.35,0.65,0.85},{"River","Rainwater","Borehole","Vendor"}),LOOKUP(RAND(),{0,0.25,0.5,0.75},{"River","Rainwater","Borehole","Vendor"}))),IF(B264="Oloitoktok B",IF(D264&lt;15000,LOOKUP(RAND(),{0,0.5,0.78,0.94},{"River","Rainwater","Borehole","Vendor"}),IF(D264&lt;30000,LOOKUP(RAND(),{0,0.4,0.68,0.87},{"River","Rainwater","Borehole","Vendor"}),LOOKUP(RAND(),{0,0.28,0.55,0.78},{"River","Rainwater","Borehole","Vendor"}))),IF(B264="Kiserian",IF(D264&lt;15000,LOOKUP(RAND(),{0,0.35,0.65,0.9},{"River","Rainwater","Borehole","Vendor"}),IF(D264&lt;30000,LOOKUP(RAND(),{0,0.25,0.55,0.82},{"River","Rainwater","Borehole","Vendor"}),LOOKUP(RAND(),{0,0.15,0.45,0.72},{"River","Rainwater","Borehole","Vendor"}))),IF(D264&lt;15000,LOOKUP(RAND(),{0,0.4,0.7,0.92},{"River","Rainwater","Borehole","Vendor"}),IF(D264&lt;30000,LOOKUP(RAND(),{0,0.3,0.6,0.85},{"River","Rainwater","Borehole","Vendor"}),LOOKUP(RAND(),{0,0.2,0.5,0.75},{"River","Rainwater","Borehole","Vendor"}))))))</f>
        <v>Vendor</v>
      </c>
      <c r="F264">
        <f t="shared" ca="1" si="25"/>
        <v>29</v>
      </c>
      <c r="G264">
        <f t="shared" ca="1" si="26"/>
        <v>9.1</v>
      </c>
      <c r="H264">
        <f t="shared" ca="1" si="27"/>
        <v>3200</v>
      </c>
      <c r="I264">
        <f t="shared" ca="1" si="28"/>
        <v>0.35092121570909685</v>
      </c>
      <c r="J264">
        <v>0</v>
      </c>
    </row>
    <row r="265" spans="1:10" x14ac:dyDescent="0.3">
      <c r="A265" t="str">
        <f t="shared" si="29"/>
        <v>HH264</v>
      </c>
      <c r="B265" t="str">
        <f ca="1">LOOKUP(RAND(),{0,0.28,0.55,0.78},{"Oloitoktok A","Oloitoktok B","Kiserian","Namanga"})</f>
        <v>Kiserian</v>
      </c>
      <c r="C265">
        <f ca="1">LOOKUP(RAND(),{0,0.02,0.09,0.2,0.35,0.52,0.68,0.81,0.91,0.97},{1,2,3,4,5,6,7,8,9,10})</f>
        <v>8</v>
      </c>
      <c r="D265">
        <f t="shared" ca="1" si="24"/>
        <v>96700</v>
      </c>
      <c r="E265" t="str">
        <f ca="1">IF(B265="Oloitoktok A",IF(D265&lt;15000,LOOKUP(RAND(),{0,0.45,0.75,0.92},{"River","Rainwater","Borehole","Vendor"}),IF(D265&lt;30000,LOOKUP(RAND(),{0,0.35,0.65,0.85},{"River","Rainwater","Borehole","Vendor"}),LOOKUP(RAND(),{0,0.25,0.5,0.75},{"River","Rainwater","Borehole","Vendor"}))),IF(B265="Oloitoktok B",IF(D265&lt;15000,LOOKUP(RAND(),{0,0.5,0.78,0.94},{"River","Rainwater","Borehole","Vendor"}),IF(D265&lt;30000,LOOKUP(RAND(),{0,0.4,0.68,0.87},{"River","Rainwater","Borehole","Vendor"}),LOOKUP(RAND(),{0,0.28,0.55,0.78},{"River","Rainwater","Borehole","Vendor"}))),IF(B265="Kiserian",IF(D265&lt;15000,LOOKUP(RAND(),{0,0.35,0.65,0.9},{"River","Rainwater","Borehole","Vendor"}),IF(D265&lt;30000,LOOKUP(RAND(),{0,0.25,0.55,0.82},{"River","Rainwater","Borehole","Vendor"}),LOOKUP(RAND(),{0,0.15,0.45,0.72},{"River","Rainwater","Borehole","Vendor"}))),IF(D265&lt;15000,LOOKUP(RAND(),{0,0.4,0.7,0.92},{"River","Rainwater","Borehole","Vendor"}),IF(D265&lt;30000,LOOKUP(RAND(),{0,0.3,0.6,0.85},{"River","Rainwater","Borehole","Vendor"}),LOOKUP(RAND(),{0,0.2,0.5,0.75},{"River","Rainwater","Borehole","Vendor"}))))))</f>
        <v>Borehole</v>
      </c>
      <c r="F265">
        <f t="shared" ca="1" si="25"/>
        <v>37</v>
      </c>
      <c r="G265">
        <f t="shared" ca="1" si="26"/>
        <v>8</v>
      </c>
      <c r="H265">
        <f t="shared" ca="1" si="27"/>
        <v>7200</v>
      </c>
      <c r="I265">
        <f t="shared" ca="1" si="28"/>
        <v>7.5594608137321107E-2</v>
      </c>
      <c r="J265">
        <v>0</v>
      </c>
    </row>
    <row r="266" spans="1:10" x14ac:dyDescent="0.3">
      <c r="A266" t="str">
        <f t="shared" si="29"/>
        <v>HH265</v>
      </c>
      <c r="B266" t="str">
        <f ca="1">LOOKUP(RAND(),{0,0.28,0.55,0.78},{"Oloitoktok A","Oloitoktok B","Kiserian","Namanga"})</f>
        <v>Namanga</v>
      </c>
      <c r="C266">
        <f ca="1">LOOKUP(RAND(),{0,0.02,0.09,0.2,0.35,0.52,0.68,0.81,0.91,0.97},{1,2,3,4,5,6,7,8,9,10})</f>
        <v>6</v>
      </c>
      <c r="D266">
        <f t="shared" ca="1" si="24"/>
        <v>30900</v>
      </c>
      <c r="E266" t="str">
        <f ca="1">IF(B266="Oloitoktok A",IF(D266&lt;15000,LOOKUP(RAND(),{0,0.45,0.75,0.92},{"River","Rainwater","Borehole","Vendor"}),IF(D266&lt;30000,LOOKUP(RAND(),{0,0.35,0.65,0.85},{"River","Rainwater","Borehole","Vendor"}),LOOKUP(RAND(),{0,0.25,0.5,0.75},{"River","Rainwater","Borehole","Vendor"}))),IF(B266="Oloitoktok B",IF(D266&lt;15000,LOOKUP(RAND(),{0,0.5,0.78,0.94},{"River","Rainwater","Borehole","Vendor"}),IF(D266&lt;30000,LOOKUP(RAND(),{0,0.4,0.68,0.87},{"River","Rainwater","Borehole","Vendor"}),LOOKUP(RAND(),{0,0.28,0.55,0.78},{"River","Rainwater","Borehole","Vendor"}))),IF(B266="Kiserian",IF(D266&lt;15000,LOOKUP(RAND(),{0,0.35,0.65,0.9},{"River","Rainwater","Borehole","Vendor"}),IF(D266&lt;30000,LOOKUP(RAND(),{0,0.25,0.55,0.82},{"River","Rainwater","Borehole","Vendor"}),LOOKUP(RAND(),{0,0.15,0.45,0.72},{"River","Rainwater","Borehole","Vendor"}))),IF(D266&lt;15000,LOOKUP(RAND(),{0,0.4,0.7,0.92},{"River","Rainwater","Borehole","Vendor"}),IF(D266&lt;30000,LOOKUP(RAND(),{0,0.3,0.6,0.85},{"River","Rainwater","Borehole","Vendor"}),LOOKUP(RAND(),{0,0.2,0.5,0.75},{"River","Rainwater","Borehole","Vendor"}))))))</f>
        <v>Borehole</v>
      </c>
      <c r="F266">
        <f t="shared" ca="1" si="25"/>
        <v>63</v>
      </c>
      <c r="G266">
        <f t="shared" ca="1" si="26"/>
        <v>5.6</v>
      </c>
      <c r="H266">
        <f t="shared" ca="1" si="27"/>
        <v>7300</v>
      </c>
      <c r="I266">
        <f t="shared" ca="1" si="28"/>
        <v>0.50484571922546251</v>
      </c>
      <c r="J266">
        <v>0</v>
      </c>
    </row>
    <row r="267" spans="1:10" x14ac:dyDescent="0.3">
      <c r="A267" t="str">
        <f t="shared" si="29"/>
        <v>HH266</v>
      </c>
      <c r="B267" t="str">
        <f ca="1">LOOKUP(RAND(),{0,0.28,0.55,0.78},{"Oloitoktok A","Oloitoktok B","Kiserian","Namanga"})</f>
        <v>Oloitoktok B</v>
      </c>
      <c r="C267">
        <f ca="1">LOOKUP(RAND(),{0,0.02,0.09,0.2,0.35,0.52,0.68,0.81,0.91,0.97},{1,2,3,4,5,6,7,8,9,10})</f>
        <v>3</v>
      </c>
      <c r="D267">
        <f t="shared" ca="1" si="24"/>
        <v>42000</v>
      </c>
      <c r="E267" t="str">
        <f ca="1">IF(B267="Oloitoktok A",IF(D267&lt;15000,LOOKUP(RAND(),{0,0.45,0.75,0.92},{"River","Rainwater","Borehole","Vendor"}),IF(D267&lt;30000,LOOKUP(RAND(),{0,0.35,0.65,0.85},{"River","Rainwater","Borehole","Vendor"}),LOOKUP(RAND(),{0,0.25,0.5,0.75},{"River","Rainwater","Borehole","Vendor"}))),IF(B267="Oloitoktok B",IF(D267&lt;15000,LOOKUP(RAND(),{0,0.5,0.78,0.94},{"River","Rainwater","Borehole","Vendor"}),IF(D267&lt;30000,LOOKUP(RAND(),{0,0.4,0.68,0.87},{"River","Rainwater","Borehole","Vendor"}),LOOKUP(RAND(),{0,0.28,0.55,0.78},{"River","Rainwater","Borehole","Vendor"}))),IF(B267="Kiserian",IF(D267&lt;15000,LOOKUP(RAND(),{0,0.35,0.65,0.9},{"River","Rainwater","Borehole","Vendor"}),IF(D267&lt;30000,LOOKUP(RAND(),{0,0.25,0.55,0.82},{"River","Rainwater","Borehole","Vendor"}),LOOKUP(RAND(),{0,0.15,0.45,0.72},{"River","Rainwater","Borehole","Vendor"}))),IF(D267&lt;15000,LOOKUP(RAND(),{0,0.4,0.7,0.92},{"River","Rainwater","Borehole","Vendor"}),IF(D267&lt;30000,LOOKUP(RAND(),{0,0.3,0.6,0.85},{"River","Rainwater","Borehole","Vendor"}),LOOKUP(RAND(),{0,0.2,0.5,0.75},{"River","Rainwater","Borehole","Vendor"}))))))</f>
        <v>Borehole</v>
      </c>
      <c r="F267">
        <f t="shared" ca="1" si="25"/>
        <v>72</v>
      </c>
      <c r="G267">
        <f t="shared" ca="1" si="26"/>
        <v>10.4</v>
      </c>
      <c r="H267">
        <f t="shared" ca="1" si="27"/>
        <v>2400</v>
      </c>
      <c r="I267">
        <f t="shared" ca="1" si="28"/>
        <v>0.45817863821890281</v>
      </c>
      <c r="J267">
        <v>0</v>
      </c>
    </row>
    <row r="268" spans="1:10" x14ac:dyDescent="0.3">
      <c r="A268" t="str">
        <f t="shared" si="29"/>
        <v>HH267</v>
      </c>
      <c r="B268" t="str">
        <f ca="1">LOOKUP(RAND(),{0,0.28,0.55,0.78},{"Oloitoktok A","Oloitoktok B","Kiserian","Namanga"})</f>
        <v>Kiserian</v>
      </c>
      <c r="C268">
        <f ca="1">LOOKUP(RAND(),{0,0.02,0.09,0.2,0.35,0.52,0.68,0.81,0.91,0.97},{1,2,3,4,5,6,7,8,9,10})</f>
        <v>6</v>
      </c>
      <c r="D268">
        <f t="shared" ca="1" si="24"/>
        <v>33500</v>
      </c>
      <c r="E268" t="str">
        <f ca="1">IF(B268="Oloitoktok A",IF(D268&lt;15000,LOOKUP(RAND(),{0,0.45,0.75,0.92},{"River","Rainwater","Borehole","Vendor"}),IF(D268&lt;30000,LOOKUP(RAND(),{0,0.35,0.65,0.85},{"River","Rainwater","Borehole","Vendor"}),LOOKUP(RAND(),{0,0.25,0.5,0.75},{"River","Rainwater","Borehole","Vendor"}))),IF(B268="Oloitoktok B",IF(D268&lt;15000,LOOKUP(RAND(),{0,0.5,0.78,0.94},{"River","Rainwater","Borehole","Vendor"}),IF(D268&lt;30000,LOOKUP(RAND(),{0,0.4,0.68,0.87},{"River","Rainwater","Borehole","Vendor"}),LOOKUP(RAND(),{0,0.28,0.55,0.78},{"River","Rainwater","Borehole","Vendor"}))),IF(B268="Kiserian",IF(D268&lt;15000,LOOKUP(RAND(),{0,0.35,0.65,0.9},{"River","Rainwater","Borehole","Vendor"}),IF(D268&lt;30000,LOOKUP(RAND(),{0,0.25,0.55,0.82},{"River","Rainwater","Borehole","Vendor"}),LOOKUP(RAND(),{0,0.15,0.45,0.72},{"River","Rainwater","Borehole","Vendor"}))),IF(D268&lt;15000,LOOKUP(RAND(),{0,0.4,0.7,0.92},{"River","Rainwater","Borehole","Vendor"}),IF(D268&lt;30000,LOOKUP(RAND(),{0,0.3,0.6,0.85},{"River","Rainwater","Borehole","Vendor"}),LOOKUP(RAND(),{0,0.2,0.5,0.75},{"River","Rainwater","Borehole","Vendor"}))))))</f>
        <v>Vendor</v>
      </c>
      <c r="F268">
        <f t="shared" ca="1" si="25"/>
        <v>12</v>
      </c>
      <c r="G268">
        <f t="shared" ca="1" si="26"/>
        <v>9.8000000000000007</v>
      </c>
      <c r="H268">
        <f t="shared" ca="1" si="27"/>
        <v>10300</v>
      </c>
      <c r="I268">
        <f t="shared" ca="1" si="28"/>
        <v>0.45701034745658342</v>
      </c>
      <c r="J268">
        <v>0</v>
      </c>
    </row>
    <row r="269" spans="1:10" x14ac:dyDescent="0.3">
      <c r="A269" t="str">
        <f t="shared" si="29"/>
        <v>HH268</v>
      </c>
      <c r="B269" t="str">
        <f ca="1">LOOKUP(RAND(),{0,0.28,0.55,0.78},{"Oloitoktok A","Oloitoktok B","Kiserian","Namanga"})</f>
        <v>Namanga</v>
      </c>
      <c r="C269">
        <f ca="1">LOOKUP(RAND(),{0,0.02,0.09,0.2,0.35,0.52,0.68,0.81,0.91,0.97},{1,2,3,4,5,6,7,8,9,10})</f>
        <v>5</v>
      </c>
      <c r="D269">
        <f t="shared" ca="1" si="24"/>
        <v>51400</v>
      </c>
      <c r="E269" t="str">
        <f ca="1">IF(B269="Oloitoktok A",IF(D269&lt;15000,LOOKUP(RAND(),{0,0.45,0.75,0.92},{"River","Rainwater","Borehole","Vendor"}),IF(D269&lt;30000,LOOKUP(RAND(),{0,0.35,0.65,0.85},{"River","Rainwater","Borehole","Vendor"}),LOOKUP(RAND(),{0,0.25,0.5,0.75},{"River","Rainwater","Borehole","Vendor"}))),IF(B269="Oloitoktok B",IF(D269&lt;15000,LOOKUP(RAND(),{0,0.5,0.78,0.94},{"River","Rainwater","Borehole","Vendor"}),IF(D269&lt;30000,LOOKUP(RAND(),{0,0.4,0.68,0.87},{"River","Rainwater","Borehole","Vendor"}),LOOKUP(RAND(),{0,0.28,0.55,0.78},{"River","Rainwater","Borehole","Vendor"}))),IF(B269="Kiserian",IF(D269&lt;15000,LOOKUP(RAND(),{0,0.35,0.65,0.9},{"River","Rainwater","Borehole","Vendor"}),IF(D269&lt;30000,LOOKUP(RAND(),{0,0.25,0.55,0.82},{"River","Rainwater","Borehole","Vendor"}),LOOKUP(RAND(),{0,0.15,0.45,0.72},{"River","Rainwater","Borehole","Vendor"}))),IF(D269&lt;15000,LOOKUP(RAND(),{0,0.4,0.7,0.92},{"River","Rainwater","Borehole","Vendor"}),IF(D269&lt;30000,LOOKUP(RAND(),{0,0.3,0.6,0.85},{"River","Rainwater","Borehole","Vendor"}),LOOKUP(RAND(),{0,0.2,0.5,0.75},{"River","Rainwater","Borehole","Vendor"}))))))</f>
        <v>Vendor</v>
      </c>
      <c r="F269">
        <f t="shared" ca="1" si="25"/>
        <v>50</v>
      </c>
      <c r="G269">
        <f t="shared" ca="1" si="26"/>
        <v>9.1</v>
      </c>
      <c r="H269">
        <f t="shared" ca="1" si="27"/>
        <v>4900</v>
      </c>
      <c r="I269">
        <f t="shared" ca="1" si="28"/>
        <v>0.3393680788320127</v>
      </c>
      <c r="J269">
        <v>0</v>
      </c>
    </row>
    <row r="270" spans="1:10" x14ac:dyDescent="0.3">
      <c r="A270" t="str">
        <f t="shared" si="29"/>
        <v>HH269</v>
      </c>
      <c r="B270" t="str">
        <f ca="1">LOOKUP(RAND(),{0,0.28,0.55,0.78},{"Oloitoktok A","Oloitoktok B","Kiserian","Namanga"})</f>
        <v>Oloitoktok A</v>
      </c>
      <c r="C270">
        <f ca="1">LOOKUP(RAND(),{0,0.02,0.09,0.2,0.35,0.52,0.68,0.81,0.91,0.97},{1,2,3,4,5,6,7,8,9,10})</f>
        <v>3</v>
      </c>
      <c r="D270">
        <f t="shared" ca="1" si="24"/>
        <v>16800</v>
      </c>
      <c r="E270" t="str">
        <f ca="1">IF(B270="Oloitoktok A",IF(D270&lt;15000,LOOKUP(RAND(),{0,0.45,0.75,0.92},{"River","Rainwater","Borehole","Vendor"}),IF(D270&lt;30000,LOOKUP(RAND(),{0,0.35,0.65,0.85},{"River","Rainwater","Borehole","Vendor"}),LOOKUP(RAND(),{0,0.25,0.5,0.75},{"River","Rainwater","Borehole","Vendor"}))),IF(B270="Oloitoktok B",IF(D270&lt;15000,LOOKUP(RAND(),{0,0.5,0.78,0.94},{"River","Rainwater","Borehole","Vendor"}),IF(D270&lt;30000,LOOKUP(RAND(),{0,0.4,0.68,0.87},{"River","Rainwater","Borehole","Vendor"}),LOOKUP(RAND(),{0,0.28,0.55,0.78},{"River","Rainwater","Borehole","Vendor"}))),IF(B270="Kiserian",IF(D270&lt;15000,LOOKUP(RAND(),{0,0.35,0.65,0.9},{"River","Rainwater","Borehole","Vendor"}),IF(D270&lt;30000,LOOKUP(RAND(),{0,0.25,0.55,0.82},{"River","Rainwater","Borehole","Vendor"}),LOOKUP(RAND(),{0,0.15,0.45,0.72},{"River","Rainwater","Borehole","Vendor"}))),IF(D270&lt;15000,LOOKUP(RAND(),{0,0.4,0.7,0.92},{"River","Rainwater","Borehole","Vendor"}),IF(D270&lt;30000,LOOKUP(RAND(),{0,0.3,0.6,0.85},{"River","Rainwater","Borehole","Vendor"}),LOOKUP(RAND(),{0,0.2,0.5,0.75},{"River","Rainwater","Borehole","Vendor"}))))))</f>
        <v>Borehole</v>
      </c>
      <c r="F270">
        <f t="shared" ca="1" si="25"/>
        <v>47</v>
      </c>
      <c r="G270">
        <f t="shared" ca="1" si="26"/>
        <v>10.3</v>
      </c>
      <c r="H270">
        <f t="shared" ca="1" si="27"/>
        <v>3300</v>
      </c>
      <c r="I270">
        <f t="shared" ca="1" si="28"/>
        <v>0.29793537523508651</v>
      </c>
      <c r="J270">
        <v>0</v>
      </c>
    </row>
    <row r="271" spans="1:10" x14ac:dyDescent="0.3">
      <c r="A271" t="str">
        <f t="shared" si="29"/>
        <v>HH270</v>
      </c>
      <c r="B271" t="str">
        <f ca="1">LOOKUP(RAND(),{0,0.28,0.55,0.78},{"Oloitoktok A","Oloitoktok B","Kiserian","Namanga"})</f>
        <v>Oloitoktok B</v>
      </c>
      <c r="C271">
        <f ca="1">LOOKUP(RAND(),{0,0.02,0.09,0.2,0.35,0.52,0.68,0.81,0.91,0.97},{1,2,3,4,5,6,7,8,9,10})</f>
        <v>7</v>
      </c>
      <c r="D271">
        <f t="shared" ca="1" si="24"/>
        <v>14200</v>
      </c>
      <c r="E271" t="str">
        <f ca="1">IF(B271="Oloitoktok A",IF(D271&lt;15000,LOOKUP(RAND(),{0,0.45,0.75,0.92},{"River","Rainwater","Borehole","Vendor"}),IF(D271&lt;30000,LOOKUP(RAND(),{0,0.35,0.65,0.85},{"River","Rainwater","Borehole","Vendor"}),LOOKUP(RAND(),{0,0.25,0.5,0.75},{"River","Rainwater","Borehole","Vendor"}))),IF(B271="Oloitoktok B",IF(D271&lt;15000,LOOKUP(RAND(),{0,0.5,0.78,0.94},{"River","Rainwater","Borehole","Vendor"}),IF(D271&lt;30000,LOOKUP(RAND(),{0,0.4,0.68,0.87},{"River","Rainwater","Borehole","Vendor"}),LOOKUP(RAND(),{0,0.28,0.55,0.78},{"River","Rainwater","Borehole","Vendor"}))),IF(B271="Kiserian",IF(D271&lt;15000,LOOKUP(RAND(),{0,0.35,0.65,0.9},{"River","Rainwater","Borehole","Vendor"}),IF(D271&lt;30000,LOOKUP(RAND(),{0,0.25,0.55,0.82},{"River","Rainwater","Borehole","Vendor"}),LOOKUP(RAND(),{0,0.15,0.45,0.72},{"River","Rainwater","Borehole","Vendor"}))),IF(D271&lt;15000,LOOKUP(RAND(),{0,0.4,0.7,0.92},{"River","Rainwater","Borehole","Vendor"}),IF(D271&lt;30000,LOOKUP(RAND(),{0,0.3,0.6,0.85},{"River","Rainwater","Borehole","Vendor"}),LOOKUP(RAND(),{0,0.2,0.5,0.75},{"River","Rainwater","Borehole","Vendor"}))))))</f>
        <v>Borehole</v>
      </c>
      <c r="F271">
        <f t="shared" ca="1" si="25"/>
        <v>22</v>
      </c>
      <c r="G271">
        <f t="shared" ca="1" si="26"/>
        <v>2.2000000000000002</v>
      </c>
      <c r="H271">
        <f t="shared" ca="1" si="27"/>
        <v>8700</v>
      </c>
      <c r="I271">
        <f t="shared" ca="1" si="28"/>
        <v>0.91417101407740553</v>
      </c>
      <c r="J271">
        <v>0</v>
      </c>
    </row>
    <row r="272" spans="1:10" x14ac:dyDescent="0.3">
      <c r="A272" t="str">
        <f t="shared" si="29"/>
        <v>HH271</v>
      </c>
      <c r="B272" t="str">
        <f ca="1">LOOKUP(RAND(),{0,0.28,0.55,0.78},{"Oloitoktok A","Oloitoktok B","Kiserian","Namanga"})</f>
        <v>Oloitoktok B</v>
      </c>
      <c r="C272">
        <f ca="1">LOOKUP(RAND(),{0,0.02,0.09,0.2,0.35,0.52,0.68,0.81,0.91,0.97},{1,2,3,4,5,6,7,8,9,10})</f>
        <v>5</v>
      </c>
      <c r="D272">
        <f t="shared" ca="1" si="24"/>
        <v>18200</v>
      </c>
      <c r="E272" t="str">
        <f ca="1">IF(B272="Oloitoktok A",IF(D272&lt;15000,LOOKUP(RAND(),{0,0.45,0.75,0.92},{"River","Rainwater","Borehole","Vendor"}),IF(D272&lt;30000,LOOKUP(RAND(),{0,0.35,0.65,0.85},{"River","Rainwater","Borehole","Vendor"}),LOOKUP(RAND(),{0,0.25,0.5,0.75},{"River","Rainwater","Borehole","Vendor"}))),IF(B272="Oloitoktok B",IF(D272&lt;15000,LOOKUP(RAND(),{0,0.5,0.78,0.94},{"River","Rainwater","Borehole","Vendor"}),IF(D272&lt;30000,LOOKUP(RAND(),{0,0.4,0.68,0.87},{"River","Rainwater","Borehole","Vendor"}),LOOKUP(RAND(),{0,0.28,0.55,0.78},{"River","Rainwater","Borehole","Vendor"}))),IF(B272="Kiserian",IF(D272&lt;15000,LOOKUP(RAND(),{0,0.35,0.65,0.9},{"River","Rainwater","Borehole","Vendor"}),IF(D272&lt;30000,LOOKUP(RAND(),{0,0.25,0.55,0.82},{"River","Rainwater","Borehole","Vendor"}),LOOKUP(RAND(),{0,0.15,0.45,0.72},{"River","Rainwater","Borehole","Vendor"}))),IF(D272&lt;15000,LOOKUP(RAND(),{0,0.4,0.7,0.92},{"River","Rainwater","Borehole","Vendor"}),IF(D272&lt;30000,LOOKUP(RAND(),{0,0.3,0.6,0.85},{"River","Rainwater","Borehole","Vendor"}),LOOKUP(RAND(),{0,0.2,0.5,0.75},{"River","Rainwater","Borehole","Vendor"}))))))</f>
        <v>River</v>
      </c>
      <c r="F272">
        <f t="shared" ca="1" si="25"/>
        <v>90</v>
      </c>
      <c r="G272">
        <f t="shared" ca="1" si="26"/>
        <v>13.3</v>
      </c>
      <c r="H272">
        <f t="shared" ca="1" si="27"/>
        <v>6700</v>
      </c>
      <c r="I272">
        <f t="shared" ca="1" si="28"/>
        <v>0.82871107572145419</v>
      </c>
      <c r="J272">
        <v>0</v>
      </c>
    </row>
    <row r="273" spans="1:10" x14ac:dyDescent="0.3">
      <c r="A273" t="str">
        <f t="shared" si="29"/>
        <v>HH272</v>
      </c>
      <c r="B273" t="str">
        <f ca="1">LOOKUP(RAND(),{0,0.28,0.55,0.78},{"Oloitoktok A","Oloitoktok B","Kiserian","Namanga"})</f>
        <v>Oloitoktok B</v>
      </c>
      <c r="C273">
        <f ca="1">LOOKUP(RAND(),{0,0.02,0.09,0.2,0.35,0.52,0.68,0.81,0.91,0.97},{1,2,3,4,5,6,7,8,9,10})</f>
        <v>9</v>
      </c>
      <c r="D273">
        <f t="shared" ca="1" si="24"/>
        <v>31000</v>
      </c>
      <c r="E273" t="str">
        <f ca="1">IF(B273="Oloitoktok A",IF(D273&lt;15000,LOOKUP(RAND(),{0,0.45,0.75,0.92},{"River","Rainwater","Borehole","Vendor"}),IF(D273&lt;30000,LOOKUP(RAND(),{0,0.35,0.65,0.85},{"River","Rainwater","Borehole","Vendor"}),LOOKUP(RAND(),{0,0.25,0.5,0.75},{"River","Rainwater","Borehole","Vendor"}))),IF(B273="Oloitoktok B",IF(D273&lt;15000,LOOKUP(RAND(),{0,0.5,0.78,0.94},{"River","Rainwater","Borehole","Vendor"}),IF(D273&lt;30000,LOOKUP(RAND(),{0,0.4,0.68,0.87},{"River","Rainwater","Borehole","Vendor"}),LOOKUP(RAND(),{0,0.28,0.55,0.78},{"River","Rainwater","Borehole","Vendor"}))),IF(B273="Kiserian",IF(D273&lt;15000,LOOKUP(RAND(),{0,0.35,0.65,0.9},{"River","Rainwater","Borehole","Vendor"}),IF(D273&lt;30000,LOOKUP(RAND(),{0,0.25,0.55,0.82},{"River","Rainwater","Borehole","Vendor"}),LOOKUP(RAND(),{0,0.15,0.45,0.72},{"River","Rainwater","Borehole","Vendor"}))),IF(D273&lt;15000,LOOKUP(RAND(),{0,0.4,0.7,0.92},{"River","Rainwater","Borehole","Vendor"}),IF(D273&lt;30000,LOOKUP(RAND(),{0,0.3,0.6,0.85},{"River","Rainwater","Borehole","Vendor"}),LOOKUP(RAND(),{0,0.2,0.5,0.75},{"River","Rainwater","Borehole","Vendor"}))))))</f>
        <v>River</v>
      </c>
      <c r="F273">
        <f t="shared" ca="1" si="25"/>
        <v>59</v>
      </c>
      <c r="G273">
        <f t="shared" ca="1" si="26"/>
        <v>8.1</v>
      </c>
      <c r="H273">
        <f t="shared" ca="1" si="27"/>
        <v>3600</v>
      </c>
      <c r="I273">
        <f t="shared" ca="1" si="28"/>
        <v>0.13295392966184683</v>
      </c>
      <c r="J273">
        <v>0</v>
      </c>
    </row>
    <row r="274" spans="1:10" x14ac:dyDescent="0.3">
      <c r="A274" t="str">
        <f t="shared" si="29"/>
        <v>HH273</v>
      </c>
      <c r="B274" t="str">
        <f ca="1">LOOKUP(RAND(),{0,0.28,0.55,0.78},{"Oloitoktok A","Oloitoktok B","Kiserian","Namanga"})</f>
        <v>Oloitoktok A</v>
      </c>
      <c r="C274">
        <f ca="1">LOOKUP(RAND(),{0,0.02,0.09,0.2,0.35,0.52,0.68,0.81,0.91,0.97},{1,2,3,4,5,6,7,8,9,10})</f>
        <v>6</v>
      </c>
      <c r="D274">
        <f t="shared" ca="1" si="24"/>
        <v>34700</v>
      </c>
      <c r="E274" t="str">
        <f ca="1">IF(B274="Oloitoktok A",IF(D274&lt;15000,LOOKUP(RAND(),{0,0.45,0.75,0.92},{"River","Rainwater","Borehole","Vendor"}),IF(D274&lt;30000,LOOKUP(RAND(),{0,0.35,0.65,0.85},{"River","Rainwater","Borehole","Vendor"}),LOOKUP(RAND(),{0,0.25,0.5,0.75},{"River","Rainwater","Borehole","Vendor"}))),IF(B274="Oloitoktok B",IF(D274&lt;15000,LOOKUP(RAND(),{0,0.5,0.78,0.94},{"River","Rainwater","Borehole","Vendor"}),IF(D274&lt;30000,LOOKUP(RAND(),{0,0.4,0.68,0.87},{"River","Rainwater","Borehole","Vendor"}),LOOKUP(RAND(),{0,0.28,0.55,0.78},{"River","Rainwater","Borehole","Vendor"}))),IF(B274="Kiserian",IF(D274&lt;15000,LOOKUP(RAND(),{0,0.35,0.65,0.9},{"River","Rainwater","Borehole","Vendor"}),IF(D274&lt;30000,LOOKUP(RAND(),{0,0.25,0.55,0.82},{"River","Rainwater","Borehole","Vendor"}),LOOKUP(RAND(),{0,0.15,0.45,0.72},{"River","Rainwater","Borehole","Vendor"}))),IF(D274&lt;15000,LOOKUP(RAND(),{0,0.4,0.7,0.92},{"River","Rainwater","Borehole","Vendor"}),IF(D274&lt;30000,LOOKUP(RAND(),{0,0.3,0.6,0.85},{"River","Rainwater","Borehole","Vendor"}),LOOKUP(RAND(),{0,0.2,0.5,0.75},{"River","Rainwater","Borehole","Vendor"}))))))</f>
        <v>River</v>
      </c>
      <c r="F274">
        <f t="shared" ca="1" si="25"/>
        <v>104</v>
      </c>
      <c r="G274">
        <f t="shared" ca="1" si="26"/>
        <v>4.2</v>
      </c>
      <c r="H274">
        <f t="shared" ca="1" si="27"/>
        <v>600</v>
      </c>
      <c r="I274">
        <f t="shared" ca="1" si="28"/>
        <v>0.86316274490172007</v>
      </c>
      <c r="J274">
        <v>0</v>
      </c>
    </row>
    <row r="275" spans="1:10" x14ac:dyDescent="0.3">
      <c r="A275" t="str">
        <f t="shared" si="29"/>
        <v>HH274</v>
      </c>
      <c r="B275" t="str">
        <f ca="1">LOOKUP(RAND(),{0,0.28,0.55,0.78},{"Oloitoktok A","Oloitoktok B","Kiserian","Namanga"})</f>
        <v>Kiserian</v>
      </c>
      <c r="C275">
        <f ca="1">LOOKUP(RAND(),{0,0.02,0.09,0.2,0.35,0.52,0.68,0.81,0.91,0.97},{1,2,3,4,5,6,7,8,9,10})</f>
        <v>6</v>
      </c>
      <c r="D275">
        <f t="shared" ca="1" si="24"/>
        <v>25300</v>
      </c>
      <c r="E275" t="str">
        <f ca="1">IF(B275="Oloitoktok A",IF(D275&lt;15000,LOOKUP(RAND(),{0,0.45,0.75,0.92},{"River","Rainwater","Borehole","Vendor"}),IF(D275&lt;30000,LOOKUP(RAND(),{0,0.35,0.65,0.85},{"River","Rainwater","Borehole","Vendor"}),LOOKUP(RAND(),{0,0.25,0.5,0.75},{"River","Rainwater","Borehole","Vendor"}))),IF(B275="Oloitoktok B",IF(D275&lt;15000,LOOKUP(RAND(),{0,0.5,0.78,0.94},{"River","Rainwater","Borehole","Vendor"}),IF(D275&lt;30000,LOOKUP(RAND(),{0,0.4,0.68,0.87},{"River","Rainwater","Borehole","Vendor"}),LOOKUP(RAND(),{0,0.28,0.55,0.78},{"River","Rainwater","Borehole","Vendor"}))),IF(B275="Kiserian",IF(D275&lt;15000,LOOKUP(RAND(),{0,0.35,0.65,0.9},{"River","Rainwater","Borehole","Vendor"}),IF(D275&lt;30000,LOOKUP(RAND(),{0,0.25,0.55,0.82},{"River","Rainwater","Borehole","Vendor"}),LOOKUP(RAND(),{0,0.15,0.45,0.72},{"River","Rainwater","Borehole","Vendor"}))),IF(D275&lt;15000,LOOKUP(RAND(),{0,0.4,0.7,0.92},{"River","Rainwater","Borehole","Vendor"}),IF(D275&lt;30000,LOOKUP(RAND(),{0,0.3,0.6,0.85},{"River","Rainwater","Borehole","Vendor"}),LOOKUP(RAND(),{0,0.2,0.5,0.75},{"River","Rainwater","Borehole","Vendor"}))))))</f>
        <v>Vendor</v>
      </c>
      <c r="F275">
        <f t="shared" ca="1" si="25"/>
        <v>14</v>
      </c>
      <c r="G275">
        <f t="shared" ca="1" si="26"/>
        <v>5.0999999999999996</v>
      </c>
      <c r="H275">
        <f t="shared" ca="1" si="27"/>
        <v>7600</v>
      </c>
      <c r="I275">
        <f t="shared" ca="1" si="28"/>
        <v>0.16832424528264034</v>
      </c>
      <c r="J275">
        <v>0</v>
      </c>
    </row>
    <row r="276" spans="1:10" x14ac:dyDescent="0.3">
      <c r="A276" t="str">
        <f t="shared" si="29"/>
        <v>HH275</v>
      </c>
      <c r="B276" t="str">
        <f ca="1">LOOKUP(RAND(),{0,0.28,0.55,0.78},{"Oloitoktok A","Oloitoktok B","Kiserian","Namanga"})</f>
        <v>Oloitoktok A</v>
      </c>
      <c r="C276">
        <f ca="1">LOOKUP(RAND(),{0,0.02,0.09,0.2,0.35,0.52,0.68,0.81,0.91,0.97},{1,2,3,4,5,6,7,8,9,10})</f>
        <v>4</v>
      </c>
      <c r="D276">
        <f t="shared" ca="1" si="24"/>
        <v>64600</v>
      </c>
      <c r="E276" t="str">
        <f ca="1">IF(B276="Oloitoktok A",IF(D276&lt;15000,LOOKUP(RAND(),{0,0.45,0.75,0.92},{"River","Rainwater","Borehole","Vendor"}),IF(D276&lt;30000,LOOKUP(RAND(),{0,0.35,0.65,0.85},{"River","Rainwater","Borehole","Vendor"}),LOOKUP(RAND(),{0,0.25,0.5,0.75},{"River","Rainwater","Borehole","Vendor"}))),IF(B276="Oloitoktok B",IF(D276&lt;15000,LOOKUP(RAND(),{0,0.5,0.78,0.94},{"River","Rainwater","Borehole","Vendor"}),IF(D276&lt;30000,LOOKUP(RAND(),{0,0.4,0.68,0.87},{"River","Rainwater","Borehole","Vendor"}),LOOKUP(RAND(),{0,0.28,0.55,0.78},{"River","Rainwater","Borehole","Vendor"}))),IF(B276="Kiserian",IF(D276&lt;15000,LOOKUP(RAND(),{0,0.35,0.65,0.9},{"River","Rainwater","Borehole","Vendor"}),IF(D276&lt;30000,LOOKUP(RAND(),{0,0.25,0.55,0.82},{"River","Rainwater","Borehole","Vendor"}),LOOKUP(RAND(),{0,0.15,0.45,0.72},{"River","Rainwater","Borehole","Vendor"}))),IF(D276&lt;15000,LOOKUP(RAND(),{0,0.4,0.7,0.92},{"River","Rainwater","Borehole","Vendor"}),IF(D276&lt;30000,LOOKUP(RAND(),{0,0.3,0.6,0.85},{"River","Rainwater","Borehole","Vendor"}),LOOKUP(RAND(),{0,0.2,0.5,0.75},{"River","Rainwater","Borehole","Vendor"}))))))</f>
        <v>River</v>
      </c>
      <c r="F276">
        <f t="shared" ca="1" si="25"/>
        <v>57</v>
      </c>
      <c r="G276">
        <f t="shared" ca="1" si="26"/>
        <v>10.6</v>
      </c>
      <c r="H276">
        <f t="shared" ca="1" si="27"/>
        <v>2600</v>
      </c>
      <c r="I276">
        <f t="shared" ca="1" si="28"/>
        <v>0.52326242231707532</v>
      </c>
      <c r="J276">
        <v>0</v>
      </c>
    </row>
    <row r="277" spans="1:10" x14ac:dyDescent="0.3">
      <c r="A277" t="str">
        <f t="shared" si="29"/>
        <v>HH276</v>
      </c>
      <c r="B277" t="str">
        <f ca="1">LOOKUP(RAND(),{0,0.28,0.55,0.78},{"Oloitoktok A","Oloitoktok B","Kiserian","Namanga"})</f>
        <v>Namanga</v>
      </c>
      <c r="C277">
        <f ca="1">LOOKUP(RAND(),{0,0.02,0.09,0.2,0.35,0.52,0.68,0.81,0.91,0.97},{1,2,3,4,5,6,7,8,9,10})</f>
        <v>4</v>
      </c>
      <c r="D277">
        <f t="shared" ca="1" si="24"/>
        <v>36000</v>
      </c>
      <c r="E277" t="str">
        <f ca="1">IF(B277="Oloitoktok A",IF(D277&lt;15000,LOOKUP(RAND(),{0,0.45,0.75,0.92},{"River","Rainwater","Borehole","Vendor"}),IF(D277&lt;30000,LOOKUP(RAND(),{0,0.35,0.65,0.85},{"River","Rainwater","Borehole","Vendor"}),LOOKUP(RAND(),{0,0.25,0.5,0.75},{"River","Rainwater","Borehole","Vendor"}))),IF(B277="Oloitoktok B",IF(D277&lt;15000,LOOKUP(RAND(),{0,0.5,0.78,0.94},{"River","Rainwater","Borehole","Vendor"}),IF(D277&lt;30000,LOOKUP(RAND(),{0,0.4,0.68,0.87},{"River","Rainwater","Borehole","Vendor"}),LOOKUP(RAND(),{0,0.28,0.55,0.78},{"River","Rainwater","Borehole","Vendor"}))),IF(B277="Kiserian",IF(D277&lt;15000,LOOKUP(RAND(),{0,0.35,0.65,0.9},{"River","Rainwater","Borehole","Vendor"}),IF(D277&lt;30000,LOOKUP(RAND(),{0,0.25,0.55,0.82},{"River","Rainwater","Borehole","Vendor"}),LOOKUP(RAND(),{0,0.15,0.45,0.72},{"River","Rainwater","Borehole","Vendor"}))),IF(D277&lt;15000,LOOKUP(RAND(),{0,0.4,0.7,0.92},{"River","Rainwater","Borehole","Vendor"}),IF(D277&lt;30000,LOOKUP(RAND(),{0,0.3,0.6,0.85},{"River","Rainwater","Borehole","Vendor"}),LOOKUP(RAND(),{0,0.2,0.5,0.75},{"River","Rainwater","Borehole","Vendor"}))))))</f>
        <v>Borehole</v>
      </c>
      <c r="F277">
        <f t="shared" ca="1" si="25"/>
        <v>43</v>
      </c>
      <c r="G277">
        <f t="shared" ca="1" si="26"/>
        <v>1.9</v>
      </c>
      <c r="H277">
        <f t="shared" ca="1" si="27"/>
        <v>9000</v>
      </c>
      <c r="I277">
        <f t="shared" ca="1" si="28"/>
        <v>0.86447477676654949</v>
      </c>
      <c r="J277">
        <v>0</v>
      </c>
    </row>
    <row r="278" spans="1:10" x14ac:dyDescent="0.3">
      <c r="A278" t="str">
        <f t="shared" si="29"/>
        <v>HH277</v>
      </c>
      <c r="B278" t="str">
        <f ca="1">LOOKUP(RAND(),{0,0.28,0.55,0.78},{"Oloitoktok A","Oloitoktok B","Kiserian","Namanga"})</f>
        <v>Namanga</v>
      </c>
      <c r="C278">
        <f ca="1">LOOKUP(RAND(),{0,0.02,0.09,0.2,0.35,0.52,0.68,0.81,0.91,0.97},{1,2,3,4,5,6,7,8,9,10})</f>
        <v>5</v>
      </c>
      <c r="D278">
        <f t="shared" ca="1" si="24"/>
        <v>27600</v>
      </c>
      <c r="E278" t="str">
        <f ca="1">IF(B278="Oloitoktok A",IF(D278&lt;15000,LOOKUP(RAND(),{0,0.45,0.75,0.92},{"River","Rainwater","Borehole","Vendor"}),IF(D278&lt;30000,LOOKUP(RAND(),{0,0.35,0.65,0.85},{"River","Rainwater","Borehole","Vendor"}),LOOKUP(RAND(),{0,0.25,0.5,0.75},{"River","Rainwater","Borehole","Vendor"}))),IF(B278="Oloitoktok B",IF(D278&lt;15000,LOOKUP(RAND(),{0,0.5,0.78,0.94},{"River","Rainwater","Borehole","Vendor"}),IF(D278&lt;30000,LOOKUP(RAND(),{0,0.4,0.68,0.87},{"River","Rainwater","Borehole","Vendor"}),LOOKUP(RAND(),{0,0.28,0.55,0.78},{"River","Rainwater","Borehole","Vendor"}))),IF(B278="Kiserian",IF(D278&lt;15000,LOOKUP(RAND(),{0,0.35,0.65,0.9},{"River","Rainwater","Borehole","Vendor"}),IF(D278&lt;30000,LOOKUP(RAND(),{0,0.25,0.55,0.82},{"River","Rainwater","Borehole","Vendor"}),LOOKUP(RAND(),{0,0.15,0.45,0.72},{"River","Rainwater","Borehole","Vendor"}))),IF(D278&lt;15000,LOOKUP(RAND(),{0,0.4,0.7,0.92},{"River","Rainwater","Borehole","Vendor"}),IF(D278&lt;30000,LOOKUP(RAND(),{0,0.3,0.6,0.85},{"River","Rainwater","Borehole","Vendor"}),LOOKUP(RAND(),{0,0.2,0.5,0.75},{"River","Rainwater","Borehole","Vendor"}))))))</f>
        <v>River</v>
      </c>
      <c r="F278">
        <f t="shared" ca="1" si="25"/>
        <v>77</v>
      </c>
      <c r="G278">
        <f t="shared" ca="1" si="26"/>
        <v>9.1999999999999993</v>
      </c>
      <c r="H278">
        <f t="shared" ca="1" si="27"/>
        <v>4700</v>
      </c>
      <c r="I278">
        <f t="shared" ca="1" si="28"/>
        <v>0.11548463737879255</v>
      </c>
      <c r="J278">
        <v>0</v>
      </c>
    </row>
    <row r="279" spans="1:10" x14ac:dyDescent="0.3">
      <c r="A279" t="str">
        <f t="shared" si="29"/>
        <v>HH278</v>
      </c>
      <c r="B279" t="str">
        <f ca="1">LOOKUP(RAND(),{0,0.28,0.55,0.78},{"Oloitoktok A","Oloitoktok B","Kiserian","Namanga"})</f>
        <v>Oloitoktok B</v>
      </c>
      <c r="C279">
        <f ca="1">LOOKUP(RAND(),{0,0.02,0.09,0.2,0.35,0.52,0.68,0.81,0.91,0.97},{1,2,3,4,5,6,7,8,9,10})</f>
        <v>6</v>
      </c>
      <c r="D279">
        <f t="shared" ca="1" si="24"/>
        <v>34900</v>
      </c>
      <c r="E279" t="str">
        <f ca="1">IF(B279="Oloitoktok A",IF(D279&lt;15000,LOOKUP(RAND(),{0,0.45,0.75,0.92},{"River","Rainwater","Borehole","Vendor"}),IF(D279&lt;30000,LOOKUP(RAND(),{0,0.35,0.65,0.85},{"River","Rainwater","Borehole","Vendor"}),LOOKUP(RAND(),{0,0.25,0.5,0.75},{"River","Rainwater","Borehole","Vendor"}))),IF(B279="Oloitoktok B",IF(D279&lt;15000,LOOKUP(RAND(),{0,0.5,0.78,0.94},{"River","Rainwater","Borehole","Vendor"}),IF(D279&lt;30000,LOOKUP(RAND(),{0,0.4,0.68,0.87},{"River","Rainwater","Borehole","Vendor"}),LOOKUP(RAND(),{0,0.28,0.55,0.78},{"River","Rainwater","Borehole","Vendor"}))),IF(B279="Kiserian",IF(D279&lt;15000,LOOKUP(RAND(),{0,0.35,0.65,0.9},{"River","Rainwater","Borehole","Vendor"}),IF(D279&lt;30000,LOOKUP(RAND(),{0,0.25,0.55,0.82},{"River","Rainwater","Borehole","Vendor"}),LOOKUP(RAND(),{0,0.15,0.45,0.72},{"River","Rainwater","Borehole","Vendor"}))),IF(D279&lt;15000,LOOKUP(RAND(),{0,0.4,0.7,0.92},{"River","Rainwater","Borehole","Vendor"}),IF(D279&lt;30000,LOOKUP(RAND(),{0,0.3,0.6,0.85},{"River","Rainwater","Borehole","Vendor"}),LOOKUP(RAND(),{0,0.2,0.5,0.75},{"River","Rainwater","Borehole","Vendor"}))))))</f>
        <v>Borehole</v>
      </c>
      <c r="F279">
        <f t="shared" ca="1" si="25"/>
        <v>50</v>
      </c>
      <c r="G279">
        <f t="shared" ca="1" si="26"/>
        <v>8.1</v>
      </c>
      <c r="H279">
        <f t="shared" ca="1" si="27"/>
        <v>8300</v>
      </c>
      <c r="I279">
        <f t="shared" ca="1" si="28"/>
        <v>0.58653120965434991</v>
      </c>
      <c r="J279">
        <v>0</v>
      </c>
    </row>
    <row r="280" spans="1:10" x14ac:dyDescent="0.3">
      <c r="A280" t="str">
        <f t="shared" si="29"/>
        <v>HH279</v>
      </c>
      <c r="B280" t="str">
        <f ca="1">LOOKUP(RAND(),{0,0.28,0.55,0.78},{"Oloitoktok A","Oloitoktok B","Kiserian","Namanga"})</f>
        <v>Oloitoktok A</v>
      </c>
      <c r="C280">
        <f ca="1">LOOKUP(RAND(),{0,0.02,0.09,0.2,0.35,0.52,0.68,0.81,0.91,0.97},{1,2,3,4,5,6,7,8,9,10})</f>
        <v>6</v>
      </c>
      <c r="D280">
        <f t="shared" ca="1" si="24"/>
        <v>52400</v>
      </c>
      <c r="E280" t="str">
        <f ca="1">IF(B280="Oloitoktok A",IF(D280&lt;15000,LOOKUP(RAND(),{0,0.45,0.75,0.92},{"River","Rainwater","Borehole","Vendor"}),IF(D280&lt;30000,LOOKUP(RAND(),{0,0.35,0.65,0.85},{"River","Rainwater","Borehole","Vendor"}),LOOKUP(RAND(),{0,0.25,0.5,0.75},{"River","Rainwater","Borehole","Vendor"}))),IF(B280="Oloitoktok B",IF(D280&lt;15000,LOOKUP(RAND(),{0,0.5,0.78,0.94},{"River","Rainwater","Borehole","Vendor"}),IF(D280&lt;30000,LOOKUP(RAND(),{0,0.4,0.68,0.87},{"River","Rainwater","Borehole","Vendor"}),LOOKUP(RAND(),{0,0.28,0.55,0.78},{"River","Rainwater","Borehole","Vendor"}))),IF(B280="Kiserian",IF(D280&lt;15000,LOOKUP(RAND(),{0,0.35,0.65,0.9},{"River","Rainwater","Borehole","Vendor"}),IF(D280&lt;30000,LOOKUP(RAND(),{0,0.25,0.55,0.82},{"River","Rainwater","Borehole","Vendor"}),LOOKUP(RAND(),{0,0.15,0.45,0.72},{"River","Rainwater","Borehole","Vendor"}))),IF(D280&lt;15000,LOOKUP(RAND(),{0,0.4,0.7,0.92},{"River","Rainwater","Borehole","Vendor"}),IF(D280&lt;30000,LOOKUP(RAND(),{0,0.3,0.6,0.85},{"River","Rainwater","Borehole","Vendor"}),LOOKUP(RAND(),{0,0.2,0.5,0.75},{"River","Rainwater","Borehole","Vendor"}))))))</f>
        <v>Rainwater</v>
      </c>
      <c r="F280">
        <f t="shared" ca="1" si="25"/>
        <v>43</v>
      </c>
      <c r="G280">
        <f t="shared" ca="1" si="26"/>
        <v>5.6</v>
      </c>
      <c r="H280">
        <f t="shared" ca="1" si="27"/>
        <v>600</v>
      </c>
      <c r="I280">
        <f t="shared" ca="1" si="28"/>
        <v>0.44312761575438675</v>
      </c>
      <c r="J280">
        <v>0</v>
      </c>
    </row>
    <row r="281" spans="1:10" x14ac:dyDescent="0.3">
      <c r="A281" t="str">
        <f t="shared" si="29"/>
        <v>HH280</v>
      </c>
      <c r="B281" t="str">
        <f ca="1">LOOKUP(RAND(),{0,0.28,0.55,0.78},{"Oloitoktok A","Oloitoktok B","Kiserian","Namanga"})</f>
        <v>Namanga</v>
      </c>
      <c r="C281">
        <f ca="1">LOOKUP(RAND(),{0,0.02,0.09,0.2,0.35,0.52,0.68,0.81,0.91,0.97},{1,2,3,4,5,6,7,8,9,10})</f>
        <v>5</v>
      </c>
      <c r="D281">
        <f t="shared" ca="1" si="24"/>
        <v>82800</v>
      </c>
      <c r="E281" t="str">
        <f ca="1">IF(B281="Oloitoktok A",IF(D281&lt;15000,LOOKUP(RAND(),{0,0.45,0.75,0.92},{"River","Rainwater","Borehole","Vendor"}),IF(D281&lt;30000,LOOKUP(RAND(),{0,0.35,0.65,0.85},{"River","Rainwater","Borehole","Vendor"}),LOOKUP(RAND(),{0,0.25,0.5,0.75},{"River","Rainwater","Borehole","Vendor"}))),IF(B281="Oloitoktok B",IF(D281&lt;15000,LOOKUP(RAND(),{0,0.5,0.78,0.94},{"River","Rainwater","Borehole","Vendor"}),IF(D281&lt;30000,LOOKUP(RAND(),{0,0.4,0.68,0.87},{"River","Rainwater","Borehole","Vendor"}),LOOKUP(RAND(),{0,0.28,0.55,0.78},{"River","Rainwater","Borehole","Vendor"}))),IF(B281="Kiserian",IF(D281&lt;15000,LOOKUP(RAND(),{0,0.35,0.65,0.9},{"River","Rainwater","Borehole","Vendor"}),IF(D281&lt;30000,LOOKUP(RAND(),{0,0.25,0.55,0.82},{"River","Rainwater","Borehole","Vendor"}),LOOKUP(RAND(),{0,0.15,0.45,0.72},{"River","Rainwater","Borehole","Vendor"}))),IF(D281&lt;15000,LOOKUP(RAND(),{0,0.4,0.7,0.92},{"River","Rainwater","Borehole","Vendor"}),IF(D281&lt;30000,LOOKUP(RAND(),{0,0.3,0.6,0.85},{"River","Rainwater","Borehole","Vendor"}),LOOKUP(RAND(),{0,0.2,0.5,0.75},{"River","Rainwater","Borehole","Vendor"}))))))</f>
        <v>Rainwater</v>
      </c>
      <c r="F281">
        <f t="shared" ca="1" si="25"/>
        <v>52</v>
      </c>
      <c r="G281">
        <f t="shared" ca="1" si="26"/>
        <v>4.0999999999999996</v>
      </c>
      <c r="H281">
        <f t="shared" ca="1" si="27"/>
        <v>9200</v>
      </c>
      <c r="I281">
        <f t="shared" ca="1" si="28"/>
        <v>0.17386529748726343</v>
      </c>
      <c r="J281">
        <v>0</v>
      </c>
    </row>
    <row r="282" spans="1:10" x14ac:dyDescent="0.3">
      <c r="A282" t="str">
        <f t="shared" si="29"/>
        <v>HH281</v>
      </c>
      <c r="B282" t="str">
        <f ca="1">LOOKUP(RAND(),{0,0.28,0.55,0.78},{"Oloitoktok A","Oloitoktok B","Kiserian","Namanga"})</f>
        <v>Oloitoktok A</v>
      </c>
      <c r="C282">
        <f ca="1">LOOKUP(RAND(),{0,0.02,0.09,0.2,0.35,0.52,0.68,0.81,0.91,0.97},{1,2,3,4,5,6,7,8,9,10})</f>
        <v>4</v>
      </c>
      <c r="D282">
        <f t="shared" ca="1" si="24"/>
        <v>29200</v>
      </c>
      <c r="E282" t="str">
        <f ca="1">IF(B282="Oloitoktok A",IF(D282&lt;15000,LOOKUP(RAND(),{0,0.45,0.75,0.92},{"River","Rainwater","Borehole","Vendor"}),IF(D282&lt;30000,LOOKUP(RAND(),{0,0.35,0.65,0.85},{"River","Rainwater","Borehole","Vendor"}),LOOKUP(RAND(),{0,0.25,0.5,0.75},{"River","Rainwater","Borehole","Vendor"}))),IF(B282="Oloitoktok B",IF(D282&lt;15000,LOOKUP(RAND(),{0,0.5,0.78,0.94},{"River","Rainwater","Borehole","Vendor"}),IF(D282&lt;30000,LOOKUP(RAND(),{0,0.4,0.68,0.87},{"River","Rainwater","Borehole","Vendor"}),LOOKUP(RAND(),{0,0.28,0.55,0.78},{"River","Rainwater","Borehole","Vendor"}))),IF(B282="Kiserian",IF(D282&lt;15000,LOOKUP(RAND(),{0,0.35,0.65,0.9},{"River","Rainwater","Borehole","Vendor"}),IF(D282&lt;30000,LOOKUP(RAND(),{0,0.25,0.55,0.82},{"River","Rainwater","Borehole","Vendor"}),LOOKUP(RAND(),{0,0.15,0.45,0.72},{"River","Rainwater","Borehole","Vendor"}))),IF(D282&lt;15000,LOOKUP(RAND(),{0,0.4,0.7,0.92},{"River","Rainwater","Borehole","Vendor"}),IF(D282&lt;30000,LOOKUP(RAND(),{0,0.3,0.6,0.85},{"River","Rainwater","Borehole","Vendor"}),LOOKUP(RAND(),{0,0.2,0.5,0.75},{"River","Rainwater","Borehole","Vendor"}))))))</f>
        <v>River</v>
      </c>
      <c r="F282">
        <f t="shared" ca="1" si="25"/>
        <v>56</v>
      </c>
      <c r="G282">
        <f t="shared" ca="1" si="26"/>
        <v>14.7</v>
      </c>
      <c r="H282">
        <f t="shared" ca="1" si="27"/>
        <v>10700</v>
      </c>
      <c r="I282">
        <f t="shared" ca="1" si="28"/>
        <v>0.61136397475958393</v>
      </c>
      <c r="J282">
        <v>0</v>
      </c>
    </row>
    <row r="283" spans="1:10" x14ac:dyDescent="0.3">
      <c r="A283" t="str">
        <f t="shared" si="29"/>
        <v>HH282</v>
      </c>
      <c r="B283" t="str">
        <f ca="1">LOOKUP(RAND(),{0,0.28,0.55,0.78},{"Oloitoktok A","Oloitoktok B","Kiserian","Namanga"})</f>
        <v>Kiserian</v>
      </c>
      <c r="C283">
        <f ca="1">LOOKUP(RAND(),{0,0.02,0.09,0.2,0.35,0.52,0.68,0.81,0.91,0.97},{1,2,3,4,5,6,7,8,9,10})</f>
        <v>3</v>
      </c>
      <c r="D283">
        <f t="shared" ca="1" si="24"/>
        <v>44200</v>
      </c>
      <c r="E283" t="str">
        <f ca="1">IF(B283="Oloitoktok A",IF(D283&lt;15000,LOOKUP(RAND(),{0,0.45,0.75,0.92},{"River","Rainwater","Borehole","Vendor"}),IF(D283&lt;30000,LOOKUP(RAND(),{0,0.35,0.65,0.85},{"River","Rainwater","Borehole","Vendor"}),LOOKUP(RAND(),{0,0.25,0.5,0.75},{"River","Rainwater","Borehole","Vendor"}))),IF(B283="Oloitoktok B",IF(D283&lt;15000,LOOKUP(RAND(),{0,0.5,0.78,0.94},{"River","Rainwater","Borehole","Vendor"}),IF(D283&lt;30000,LOOKUP(RAND(),{0,0.4,0.68,0.87},{"River","Rainwater","Borehole","Vendor"}),LOOKUP(RAND(),{0,0.28,0.55,0.78},{"River","Rainwater","Borehole","Vendor"}))),IF(B283="Kiserian",IF(D283&lt;15000,LOOKUP(RAND(),{0,0.35,0.65,0.9},{"River","Rainwater","Borehole","Vendor"}),IF(D283&lt;30000,LOOKUP(RAND(),{0,0.25,0.55,0.82},{"River","Rainwater","Borehole","Vendor"}),LOOKUP(RAND(),{0,0.15,0.45,0.72},{"River","Rainwater","Borehole","Vendor"}))),IF(D283&lt;15000,LOOKUP(RAND(),{0,0.4,0.7,0.92},{"River","Rainwater","Borehole","Vendor"}),IF(D283&lt;30000,LOOKUP(RAND(),{0,0.3,0.6,0.85},{"River","Rainwater","Borehole","Vendor"}),LOOKUP(RAND(),{0,0.2,0.5,0.75},{"River","Rainwater","Borehole","Vendor"}))))))</f>
        <v>Rainwater</v>
      </c>
      <c r="F283">
        <f t="shared" ca="1" si="25"/>
        <v>28</v>
      </c>
      <c r="G283">
        <f t="shared" ca="1" si="26"/>
        <v>8.6</v>
      </c>
      <c r="H283">
        <f t="shared" ca="1" si="27"/>
        <v>5100</v>
      </c>
      <c r="I283">
        <f t="shared" ca="1" si="28"/>
        <v>0.4556005035035956</v>
      </c>
      <c r="J283">
        <v>0</v>
      </c>
    </row>
    <row r="284" spans="1:10" x14ac:dyDescent="0.3">
      <c r="A284" t="str">
        <f t="shared" si="29"/>
        <v>HH283</v>
      </c>
      <c r="B284" t="str">
        <f ca="1">LOOKUP(RAND(),{0,0.28,0.55,0.78},{"Oloitoktok A","Oloitoktok B","Kiserian","Namanga"})</f>
        <v>Oloitoktok A</v>
      </c>
      <c r="C284">
        <f ca="1">LOOKUP(RAND(),{0,0.02,0.09,0.2,0.35,0.52,0.68,0.81,0.91,0.97},{1,2,3,4,5,6,7,8,9,10})</f>
        <v>4</v>
      </c>
      <c r="D284">
        <f t="shared" ca="1" si="24"/>
        <v>30400</v>
      </c>
      <c r="E284" t="str">
        <f ca="1">IF(B284="Oloitoktok A",IF(D284&lt;15000,LOOKUP(RAND(),{0,0.45,0.75,0.92},{"River","Rainwater","Borehole","Vendor"}),IF(D284&lt;30000,LOOKUP(RAND(),{0,0.35,0.65,0.85},{"River","Rainwater","Borehole","Vendor"}),LOOKUP(RAND(),{0,0.25,0.5,0.75},{"River","Rainwater","Borehole","Vendor"}))),IF(B284="Oloitoktok B",IF(D284&lt;15000,LOOKUP(RAND(),{0,0.5,0.78,0.94},{"River","Rainwater","Borehole","Vendor"}),IF(D284&lt;30000,LOOKUP(RAND(),{0,0.4,0.68,0.87},{"River","Rainwater","Borehole","Vendor"}),LOOKUP(RAND(),{0,0.28,0.55,0.78},{"River","Rainwater","Borehole","Vendor"}))),IF(B284="Kiserian",IF(D284&lt;15000,LOOKUP(RAND(),{0,0.35,0.65,0.9},{"River","Rainwater","Borehole","Vendor"}),IF(D284&lt;30000,LOOKUP(RAND(),{0,0.25,0.55,0.82},{"River","Rainwater","Borehole","Vendor"}),LOOKUP(RAND(),{0,0.15,0.45,0.72},{"River","Rainwater","Borehole","Vendor"}))),IF(D284&lt;15000,LOOKUP(RAND(),{0,0.4,0.7,0.92},{"River","Rainwater","Borehole","Vendor"}),IF(D284&lt;30000,LOOKUP(RAND(),{0,0.3,0.6,0.85},{"River","Rainwater","Borehole","Vendor"}),LOOKUP(RAND(),{0,0.2,0.5,0.75},{"River","Rainwater","Borehole","Vendor"}))))))</f>
        <v>Vendor</v>
      </c>
      <c r="F284">
        <f t="shared" ca="1" si="25"/>
        <v>59</v>
      </c>
      <c r="G284">
        <f t="shared" ca="1" si="26"/>
        <v>13.9</v>
      </c>
      <c r="H284">
        <f t="shared" ca="1" si="27"/>
        <v>5800</v>
      </c>
      <c r="I284">
        <f t="shared" ca="1" si="28"/>
        <v>0.16671394526945194</v>
      </c>
      <c r="J284">
        <v>0</v>
      </c>
    </row>
    <row r="285" spans="1:10" x14ac:dyDescent="0.3">
      <c r="A285" t="str">
        <f t="shared" si="29"/>
        <v>HH284</v>
      </c>
      <c r="B285" t="str">
        <f ca="1">LOOKUP(RAND(),{0,0.28,0.55,0.78},{"Oloitoktok A","Oloitoktok B","Kiserian","Namanga"})</f>
        <v>Kiserian</v>
      </c>
      <c r="C285">
        <f ca="1">LOOKUP(RAND(),{0,0.02,0.09,0.2,0.35,0.52,0.68,0.81,0.91,0.97},{1,2,3,4,5,6,7,8,9,10})</f>
        <v>1</v>
      </c>
      <c r="D285">
        <f t="shared" ca="1" si="24"/>
        <v>27900</v>
      </c>
      <c r="E285" t="str">
        <f ca="1">IF(B285="Oloitoktok A",IF(D285&lt;15000,LOOKUP(RAND(),{0,0.45,0.75,0.92},{"River","Rainwater","Borehole","Vendor"}),IF(D285&lt;30000,LOOKUP(RAND(),{0,0.35,0.65,0.85},{"River","Rainwater","Borehole","Vendor"}),LOOKUP(RAND(),{0,0.25,0.5,0.75},{"River","Rainwater","Borehole","Vendor"}))),IF(B285="Oloitoktok B",IF(D285&lt;15000,LOOKUP(RAND(),{0,0.5,0.78,0.94},{"River","Rainwater","Borehole","Vendor"}),IF(D285&lt;30000,LOOKUP(RAND(),{0,0.4,0.68,0.87},{"River","Rainwater","Borehole","Vendor"}),LOOKUP(RAND(),{0,0.28,0.55,0.78},{"River","Rainwater","Borehole","Vendor"}))),IF(B285="Kiserian",IF(D285&lt;15000,LOOKUP(RAND(),{0,0.35,0.65,0.9},{"River","Rainwater","Borehole","Vendor"}),IF(D285&lt;30000,LOOKUP(RAND(),{0,0.25,0.55,0.82},{"River","Rainwater","Borehole","Vendor"}),LOOKUP(RAND(),{0,0.15,0.45,0.72},{"River","Rainwater","Borehole","Vendor"}))),IF(D285&lt;15000,LOOKUP(RAND(),{0,0.4,0.7,0.92},{"River","Rainwater","Borehole","Vendor"}),IF(D285&lt;30000,LOOKUP(RAND(),{0,0.3,0.6,0.85},{"River","Rainwater","Borehole","Vendor"}),LOOKUP(RAND(),{0,0.2,0.5,0.75},{"River","Rainwater","Borehole","Vendor"}))))))</f>
        <v>Vendor</v>
      </c>
      <c r="F285">
        <f t="shared" ca="1" si="25"/>
        <v>32</v>
      </c>
      <c r="G285">
        <f t="shared" ca="1" si="26"/>
        <v>9.6</v>
      </c>
      <c r="H285">
        <f t="shared" ca="1" si="27"/>
        <v>4800</v>
      </c>
      <c r="I285">
        <f t="shared" ca="1" si="28"/>
        <v>0.45619487772652934</v>
      </c>
      <c r="J285">
        <v>0</v>
      </c>
    </row>
    <row r="286" spans="1:10" x14ac:dyDescent="0.3">
      <c r="A286" t="str">
        <f t="shared" si="29"/>
        <v>HH285</v>
      </c>
      <c r="B286" t="str">
        <f ca="1">LOOKUP(RAND(),{0,0.28,0.55,0.78},{"Oloitoktok A","Oloitoktok B","Kiserian","Namanga"})</f>
        <v>Kiserian</v>
      </c>
      <c r="C286">
        <f ca="1">LOOKUP(RAND(),{0,0.02,0.09,0.2,0.35,0.52,0.68,0.81,0.91,0.97},{1,2,3,4,5,6,7,8,9,10})</f>
        <v>2</v>
      </c>
      <c r="D286">
        <f t="shared" ca="1" si="24"/>
        <v>13300</v>
      </c>
      <c r="E286" t="str">
        <f ca="1">IF(B286="Oloitoktok A",IF(D286&lt;15000,LOOKUP(RAND(),{0,0.45,0.75,0.92},{"River","Rainwater","Borehole","Vendor"}),IF(D286&lt;30000,LOOKUP(RAND(),{0,0.35,0.65,0.85},{"River","Rainwater","Borehole","Vendor"}),LOOKUP(RAND(),{0,0.25,0.5,0.75},{"River","Rainwater","Borehole","Vendor"}))),IF(B286="Oloitoktok B",IF(D286&lt;15000,LOOKUP(RAND(),{0,0.5,0.78,0.94},{"River","Rainwater","Borehole","Vendor"}),IF(D286&lt;30000,LOOKUP(RAND(),{0,0.4,0.68,0.87},{"River","Rainwater","Borehole","Vendor"}),LOOKUP(RAND(),{0,0.28,0.55,0.78},{"River","Rainwater","Borehole","Vendor"}))),IF(B286="Kiserian",IF(D286&lt;15000,LOOKUP(RAND(),{0,0.35,0.65,0.9},{"River","Rainwater","Borehole","Vendor"}),IF(D286&lt;30000,LOOKUP(RAND(),{0,0.25,0.55,0.82},{"River","Rainwater","Borehole","Vendor"}),LOOKUP(RAND(),{0,0.15,0.45,0.72},{"River","Rainwater","Borehole","Vendor"}))),IF(D286&lt;15000,LOOKUP(RAND(),{0,0.4,0.7,0.92},{"River","Rainwater","Borehole","Vendor"}),IF(D286&lt;30000,LOOKUP(RAND(),{0,0.3,0.6,0.85},{"River","Rainwater","Borehole","Vendor"}),LOOKUP(RAND(),{0,0.2,0.5,0.75},{"River","Rainwater","Borehole","Vendor"}))))))</f>
        <v>River</v>
      </c>
      <c r="F286">
        <f t="shared" ca="1" si="25"/>
        <v>96</v>
      </c>
      <c r="G286">
        <f t="shared" ca="1" si="26"/>
        <v>4.8</v>
      </c>
      <c r="H286">
        <f t="shared" ca="1" si="27"/>
        <v>9500</v>
      </c>
      <c r="I286">
        <f t="shared" ca="1" si="28"/>
        <v>0.16310957545479732</v>
      </c>
      <c r="J286">
        <v>0</v>
      </c>
    </row>
    <row r="287" spans="1:10" x14ac:dyDescent="0.3">
      <c r="A287" t="str">
        <f t="shared" si="29"/>
        <v>HH286</v>
      </c>
      <c r="B287" t="str">
        <f ca="1">LOOKUP(RAND(),{0,0.28,0.55,0.78},{"Oloitoktok A","Oloitoktok B","Kiserian","Namanga"})</f>
        <v>Oloitoktok B</v>
      </c>
      <c r="C287">
        <f ca="1">LOOKUP(RAND(),{0,0.02,0.09,0.2,0.35,0.52,0.68,0.81,0.91,0.97},{1,2,3,4,5,6,7,8,9,10})</f>
        <v>7</v>
      </c>
      <c r="D287">
        <f t="shared" ca="1" si="24"/>
        <v>13700</v>
      </c>
      <c r="E287" t="str">
        <f ca="1">IF(B287="Oloitoktok A",IF(D287&lt;15000,LOOKUP(RAND(),{0,0.45,0.75,0.92},{"River","Rainwater","Borehole","Vendor"}),IF(D287&lt;30000,LOOKUP(RAND(),{0,0.35,0.65,0.85},{"River","Rainwater","Borehole","Vendor"}),LOOKUP(RAND(),{0,0.25,0.5,0.75},{"River","Rainwater","Borehole","Vendor"}))),IF(B287="Oloitoktok B",IF(D287&lt;15000,LOOKUP(RAND(),{0,0.5,0.78,0.94},{"River","Rainwater","Borehole","Vendor"}),IF(D287&lt;30000,LOOKUP(RAND(),{0,0.4,0.68,0.87},{"River","Rainwater","Borehole","Vendor"}),LOOKUP(RAND(),{0,0.28,0.55,0.78},{"River","Rainwater","Borehole","Vendor"}))),IF(B287="Kiserian",IF(D287&lt;15000,LOOKUP(RAND(),{0,0.35,0.65,0.9},{"River","Rainwater","Borehole","Vendor"}),IF(D287&lt;30000,LOOKUP(RAND(),{0,0.25,0.55,0.82},{"River","Rainwater","Borehole","Vendor"}),LOOKUP(RAND(),{0,0.15,0.45,0.72},{"River","Rainwater","Borehole","Vendor"}))),IF(D287&lt;15000,LOOKUP(RAND(),{0,0.4,0.7,0.92},{"River","Rainwater","Borehole","Vendor"}),IF(D287&lt;30000,LOOKUP(RAND(),{0,0.3,0.6,0.85},{"River","Rainwater","Borehole","Vendor"}),LOOKUP(RAND(),{0,0.2,0.5,0.75},{"River","Rainwater","Borehole","Vendor"}))))))</f>
        <v>River</v>
      </c>
      <c r="F287">
        <f t="shared" ca="1" si="25"/>
        <v>104</v>
      </c>
      <c r="G287">
        <f t="shared" ca="1" si="26"/>
        <v>10.7</v>
      </c>
      <c r="H287">
        <f t="shared" ca="1" si="27"/>
        <v>10600</v>
      </c>
      <c r="I287">
        <f t="shared" ca="1" si="28"/>
        <v>0.82045801177831723</v>
      </c>
      <c r="J287">
        <v>0</v>
      </c>
    </row>
    <row r="288" spans="1:10" x14ac:dyDescent="0.3">
      <c r="A288" t="str">
        <f t="shared" si="29"/>
        <v>HH287</v>
      </c>
      <c r="B288" t="str">
        <f ca="1">LOOKUP(RAND(),{0,0.28,0.55,0.78},{"Oloitoktok A","Oloitoktok B","Kiserian","Namanga"})</f>
        <v>Oloitoktok B</v>
      </c>
      <c r="C288">
        <f ca="1">LOOKUP(RAND(),{0,0.02,0.09,0.2,0.35,0.52,0.68,0.81,0.91,0.97},{1,2,3,4,5,6,7,8,9,10})</f>
        <v>6</v>
      </c>
      <c r="D288">
        <f t="shared" ca="1" si="24"/>
        <v>50500</v>
      </c>
      <c r="E288" t="str">
        <f ca="1">IF(B288="Oloitoktok A",IF(D288&lt;15000,LOOKUP(RAND(),{0,0.45,0.75,0.92},{"River","Rainwater","Borehole","Vendor"}),IF(D288&lt;30000,LOOKUP(RAND(),{0,0.35,0.65,0.85},{"River","Rainwater","Borehole","Vendor"}),LOOKUP(RAND(),{0,0.25,0.5,0.75},{"River","Rainwater","Borehole","Vendor"}))),IF(B288="Oloitoktok B",IF(D288&lt;15000,LOOKUP(RAND(),{0,0.5,0.78,0.94},{"River","Rainwater","Borehole","Vendor"}),IF(D288&lt;30000,LOOKUP(RAND(),{0,0.4,0.68,0.87},{"River","Rainwater","Borehole","Vendor"}),LOOKUP(RAND(),{0,0.28,0.55,0.78},{"River","Rainwater","Borehole","Vendor"}))),IF(B288="Kiserian",IF(D288&lt;15000,LOOKUP(RAND(),{0,0.35,0.65,0.9},{"River","Rainwater","Borehole","Vendor"}),IF(D288&lt;30000,LOOKUP(RAND(),{0,0.25,0.55,0.82},{"River","Rainwater","Borehole","Vendor"}),LOOKUP(RAND(),{0,0.15,0.45,0.72},{"River","Rainwater","Borehole","Vendor"}))),IF(D288&lt;15000,LOOKUP(RAND(),{0,0.4,0.7,0.92},{"River","Rainwater","Borehole","Vendor"}),IF(D288&lt;30000,LOOKUP(RAND(),{0,0.3,0.6,0.85},{"River","Rainwater","Borehole","Vendor"}),LOOKUP(RAND(),{0,0.2,0.5,0.75},{"River","Rainwater","Borehole","Vendor"}))))))</f>
        <v>River</v>
      </c>
      <c r="F288">
        <f t="shared" ca="1" si="25"/>
        <v>93</v>
      </c>
      <c r="G288">
        <f t="shared" ca="1" si="26"/>
        <v>11.8</v>
      </c>
      <c r="H288">
        <f t="shared" ca="1" si="27"/>
        <v>6600</v>
      </c>
      <c r="I288">
        <f t="shared" ca="1" si="28"/>
        <v>0.69197026545095408</v>
      </c>
      <c r="J288">
        <v>0</v>
      </c>
    </row>
    <row r="289" spans="1:10" x14ac:dyDescent="0.3">
      <c r="A289" t="str">
        <f t="shared" si="29"/>
        <v>HH288</v>
      </c>
      <c r="B289" t="str">
        <f ca="1">LOOKUP(RAND(),{0,0.28,0.55,0.78},{"Oloitoktok A","Oloitoktok B","Kiserian","Namanga"})</f>
        <v>Kiserian</v>
      </c>
      <c r="C289">
        <f ca="1">LOOKUP(RAND(),{0,0.02,0.09,0.2,0.35,0.52,0.68,0.81,0.91,0.97},{1,2,3,4,5,6,7,8,9,10})</f>
        <v>5</v>
      </c>
      <c r="D289">
        <f t="shared" ca="1" si="24"/>
        <v>36500</v>
      </c>
      <c r="E289" t="str">
        <f ca="1">IF(B289="Oloitoktok A",IF(D289&lt;15000,LOOKUP(RAND(),{0,0.45,0.75,0.92},{"River","Rainwater","Borehole","Vendor"}),IF(D289&lt;30000,LOOKUP(RAND(),{0,0.35,0.65,0.85},{"River","Rainwater","Borehole","Vendor"}),LOOKUP(RAND(),{0,0.25,0.5,0.75},{"River","Rainwater","Borehole","Vendor"}))),IF(B289="Oloitoktok B",IF(D289&lt;15000,LOOKUP(RAND(),{0,0.5,0.78,0.94},{"River","Rainwater","Borehole","Vendor"}),IF(D289&lt;30000,LOOKUP(RAND(),{0,0.4,0.68,0.87},{"River","Rainwater","Borehole","Vendor"}),LOOKUP(RAND(),{0,0.28,0.55,0.78},{"River","Rainwater","Borehole","Vendor"}))),IF(B289="Kiserian",IF(D289&lt;15000,LOOKUP(RAND(),{0,0.35,0.65,0.9},{"River","Rainwater","Borehole","Vendor"}),IF(D289&lt;30000,LOOKUP(RAND(),{0,0.25,0.55,0.82},{"River","Rainwater","Borehole","Vendor"}),LOOKUP(RAND(),{0,0.15,0.45,0.72},{"River","Rainwater","Borehole","Vendor"}))),IF(D289&lt;15000,LOOKUP(RAND(),{0,0.4,0.7,0.92},{"River","Rainwater","Borehole","Vendor"}),IF(D289&lt;30000,LOOKUP(RAND(),{0,0.3,0.6,0.85},{"River","Rainwater","Borehole","Vendor"}),LOOKUP(RAND(),{0,0.2,0.5,0.75},{"River","Rainwater","Borehole","Vendor"}))))))</f>
        <v>Vendor</v>
      </c>
      <c r="F289">
        <f t="shared" ca="1" si="25"/>
        <v>23</v>
      </c>
      <c r="G289">
        <f t="shared" ca="1" si="26"/>
        <v>3.9</v>
      </c>
      <c r="H289">
        <f t="shared" ca="1" si="27"/>
        <v>2100</v>
      </c>
      <c r="I289">
        <f t="shared" ca="1" si="28"/>
        <v>0.15592523104998945</v>
      </c>
      <c r="J289">
        <v>0</v>
      </c>
    </row>
    <row r="290" spans="1:10" x14ac:dyDescent="0.3">
      <c r="A290" t="str">
        <f t="shared" si="29"/>
        <v>HH289</v>
      </c>
      <c r="B290" t="str">
        <f ca="1">LOOKUP(RAND(),{0,0.28,0.55,0.78},{"Oloitoktok A","Oloitoktok B","Kiserian","Namanga"})</f>
        <v>Oloitoktok A</v>
      </c>
      <c r="C290">
        <f ca="1">LOOKUP(RAND(),{0,0.02,0.09,0.2,0.35,0.52,0.68,0.81,0.91,0.97},{1,2,3,4,5,6,7,8,9,10})</f>
        <v>6</v>
      </c>
      <c r="D290">
        <f t="shared" ca="1" si="24"/>
        <v>23400</v>
      </c>
      <c r="E290" t="str">
        <f ca="1">IF(B290="Oloitoktok A",IF(D290&lt;15000,LOOKUP(RAND(),{0,0.45,0.75,0.92},{"River","Rainwater","Borehole","Vendor"}),IF(D290&lt;30000,LOOKUP(RAND(),{0,0.35,0.65,0.85},{"River","Rainwater","Borehole","Vendor"}),LOOKUP(RAND(),{0,0.25,0.5,0.75},{"River","Rainwater","Borehole","Vendor"}))),IF(B290="Oloitoktok B",IF(D290&lt;15000,LOOKUP(RAND(),{0,0.5,0.78,0.94},{"River","Rainwater","Borehole","Vendor"}),IF(D290&lt;30000,LOOKUP(RAND(),{0,0.4,0.68,0.87},{"River","Rainwater","Borehole","Vendor"}),LOOKUP(RAND(),{0,0.28,0.55,0.78},{"River","Rainwater","Borehole","Vendor"}))),IF(B290="Kiserian",IF(D290&lt;15000,LOOKUP(RAND(),{0,0.35,0.65,0.9},{"River","Rainwater","Borehole","Vendor"}),IF(D290&lt;30000,LOOKUP(RAND(),{0,0.25,0.55,0.82},{"River","Rainwater","Borehole","Vendor"}),LOOKUP(RAND(),{0,0.15,0.45,0.72},{"River","Rainwater","Borehole","Vendor"}))),IF(D290&lt;15000,LOOKUP(RAND(),{0,0.4,0.7,0.92},{"River","Rainwater","Borehole","Vendor"}),IF(D290&lt;30000,LOOKUP(RAND(),{0,0.3,0.6,0.85},{"River","Rainwater","Borehole","Vendor"}),LOOKUP(RAND(),{0,0.2,0.5,0.75},{"River","Rainwater","Borehole","Vendor"}))))))</f>
        <v>River</v>
      </c>
      <c r="F290">
        <f t="shared" ca="1" si="25"/>
        <v>70</v>
      </c>
      <c r="G290">
        <f t="shared" ca="1" si="26"/>
        <v>1.2</v>
      </c>
      <c r="H290">
        <f t="shared" ca="1" si="27"/>
        <v>4600</v>
      </c>
      <c r="I290">
        <f t="shared" ca="1" si="28"/>
        <v>7.0685551211016717E-2</v>
      </c>
      <c r="J290">
        <v>0</v>
      </c>
    </row>
    <row r="291" spans="1:10" x14ac:dyDescent="0.3">
      <c r="A291" t="str">
        <f t="shared" si="29"/>
        <v>HH290</v>
      </c>
      <c r="B291" t="str">
        <f ca="1">LOOKUP(RAND(),{0,0.28,0.55,0.78},{"Oloitoktok A","Oloitoktok B","Kiserian","Namanga"})</f>
        <v>Namanga</v>
      </c>
      <c r="C291">
        <f ca="1">LOOKUP(RAND(),{0,0.02,0.09,0.2,0.35,0.52,0.68,0.81,0.91,0.97},{1,2,3,4,5,6,7,8,9,10})</f>
        <v>6</v>
      </c>
      <c r="D291">
        <f t="shared" ca="1" si="24"/>
        <v>96300</v>
      </c>
      <c r="E291" t="str">
        <f ca="1">IF(B291="Oloitoktok A",IF(D291&lt;15000,LOOKUP(RAND(),{0,0.45,0.75,0.92},{"River","Rainwater","Borehole","Vendor"}),IF(D291&lt;30000,LOOKUP(RAND(),{0,0.35,0.65,0.85},{"River","Rainwater","Borehole","Vendor"}),LOOKUP(RAND(),{0,0.25,0.5,0.75},{"River","Rainwater","Borehole","Vendor"}))),IF(B291="Oloitoktok B",IF(D291&lt;15000,LOOKUP(RAND(),{0,0.5,0.78,0.94},{"River","Rainwater","Borehole","Vendor"}),IF(D291&lt;30000,LOOKUP(RAND(),{0,0.4,0.68,0.87},{"River","Rainwater","Borehole","Vendor"}),LOOKUP(RAND(),{0,0.28,0.55,0.78},{"River","Rainwater","Borehole","Vendor"}))),IF(B291="Kiserian",IF(D291&lt;15000,LOOKUP(RAND(),{0,0.35,0.65,0.9},{"River","Rainwater","Borehole","Vendor"}),IF(D291&lt;30000,LOOKUP(RAND(),{0,0.25,0.55,0.82},{"River","Rainwater","Borehole","Vendor"}),LOOKUP(RAND(),{0,0.15,0.45,0.72},{"River","Rainwater","Borehole","Vendor"}))),IF(D291&lt;15000,LOOKUP(RAND(),{0,0.4,0.7,0.92},{"River","Rainwater","Borehole","Vendor"}),IF(D291&lt;30000,LOOKUP(RAND(),{0,0.3,0.6,0.85},{"River","Rainwater","Borehole","Vendor"}),LOOKUP(RAND(),{0,0.2,0.5,0.75},{"River","Rainwater","Borehole","Vendor"}))))))</f>
        <v>Borehole</v>
      </c>
      <c r="F291">
        <f t="shared" ca="1" si="25"/>
        <v>52</v>
      </c>
      <c r="G291">
        <f t="shared" ca="1" si="26"/>
        <v>1.7</v>
      </c>
      <c r="H291">
        <f t="shared" ca="1" si="27"/>
        <v>10000</v>
      </c>
      <c r="I291">
        <f t="shared" ca="1" si="28"/>
        <v>0.96660231290050413</v>
      </c>
      <c r="J291">
        <v>0</v>
      </c>
    </row>
    <row r="292" spans="1:10" x14ac:dyDescent="0.3">
      <c r="A292" t="str">
        <f t="shared" si="29"/>
        <v>HH291</v>
      </c>
      <c r="B292" t="str">
        <f ca="1">LOOKUP(RAND(),{0,0.28,0.55,0.78},{"Oloitoktok A","Oloitoktok B","Kiserian","Namanga"})</f>
        <v>Oloitoktok A</v>
      </c>
      <c r="C292">
        <f ca="1">LOOKUP(RAND(),{0,0.02,0.09,0.2,0.35,0.52,0.68,0.81,0.91,0.97},{1,2,3,4,5,6,7,8,9,10})</f>
        <v>5</v>
      </c>
      <c r="D292">
        <f t="shared" ca="1" si="24"/>
        <v>78100</v>
      </c>
      <c r="E292" t="str">
        <f ca="1">IF(B292="Oloitoktok A",IF(D292&lt;15000,LOOKUP(RAND(),{0,0.45,0.75,0.92},{"River","Rainwater","Borehole","Vendor"}),IF(D292&lt;30000,LOOKUP(RAND(),{0,0.35,0.65,0.85},{"River","Rainwater","Borehole","Vendor"}),LOOKUP(RAND(),{0,0.25,0.5,0.75},{"River","Rainwater","Borehole","Vendor"}))),IF(B292="Oloitoktok B",IF(D292&lt;15000,LOOKUP(RAND(),{0,0.5,0.78,0.94},{"River","Rainwater","Borehole","Vendor"}),IF(D292&lt;30000,LOOKUP(RAND(),{0,0.4,0.68,0.87},{"River","Rainwater","Borehole","Vendor"}),LOOKUP(RAND(),{0,0.28,0.55,0.78},{"River","Rainwater","Borehole","Vendor"}))),IF(B292="Kiserian",IF(D292&lt;15000,LOOKUP(RAND(),{0,0.35,0.65,0.9},{"River","Rainwater","Borehole","Vendor"}),IF(D292&lt;30000,LOOKUP(RAND(),{0,0.25,0.55,0.82},{"River","Rainwater","Borehole","Vendor"}),LOOKUP(RAND(),{0,0.15,0.45,0.72},{"River","Rainwater","Borehole","Vendor"}))),IF(D292&lt;15000,LOOKUP(RAND(),{0,0.4,0.7,0.92},{"River","Rainwater","Borehole","Vendor"}),IF(D292&lt;30000,LOOKUP(RAND(),{0,0.3,0.6,0.85},{"River","Rainwater","Borehole","Vendor"}),LOOKUP(RAND(),{0,0.2,0.5,0.75},{"River","Rainwater","Borehole","Vendor"}))))))</f>
        <v>Vendor</v>
      </c>
      <c r="F292">
        <f t="shared" ca="1" si="25"/>
        <v>36</v>
      </c>
      <c r="G292">
        <f t="shared" ca="1" si="26"/>
        <v>9.1999999999999993</v>
      </c>
      <c r="H292">
        <f t="shared" ca="1" si="27"/>
        <v>7600</v>
      </c>
      <c r="I292">
        <f t="shared" ca="1" si="28"/>
        <v>0.614961542775459</v>
      </c>
      <c r="J292">
        <v>0</v>
      </c>
    </row>
    <row r="293" spans="1:10" x14ac:dyDescent="0.3">
      <c r="A293" t="str">
        <f t="shared" si="29"/>
        <v>HH292</v>
      </c>
      <c r="B293" t="str">
        <f ca="1">LOOKUP(RAND(),{0,0.28,0.55,0.78},{"Oloitoktok A","Oloitoktok B","Kiserian","Namanga"})</f>
        <v>Oloitoktok A</v>
      </c>
      <c r="C293">
        <f ca="1">LOOKUP(RAND(),{0,0.02,0.09,0.2,0.35,0.52,0.68,0.81,0.91,0.97},{1,2,3,4,5,6,7,8,9,10})</f>
        <v>3</v>
      </c>
      <c r="D293">
        <f t="shared" ca="1" si="24"/>
        <v>36400</v>
      </c>
      <c r="E293" t="str">
        <f ca="1">IF(B293="Oloitoktok A",IF(D293&lt;15000,LOOKUP(RAND(),{0,0.45,0.75,0.92},{"River","Rainwater","Borehole","Vendor"}),IF(D293&lt;30000,LOOKUP(RAND(),{0,0.35,0.65,0.85},{"River","Rainwater","Borehole","Vendor"}),LOOKUP(RAND(),{0,0.25,0.5,0.75},{"River","Rainwater","Borehole","Vendor"}))),IF(B293="Oloitoktok B",IF(D293&lt;15000,LOOKUP(RAND(),{0,0.5,0.78,0.94},{"River","Rainwater","Borehole","Vendor"}),IF(D293&lt;30000,LOOKUP(RAND(),{0,0.4,0.68,0.87},{"River","Rainwater","Borehole","Vendor"}),LOOKUP(RAND(),{0,0.28,0.55,0.78},{"River","Rainwater","Borehole","Vendor"}))),IF(B293="Kiserian",IF(D293&lt;15000,LOOKUP(RAND(),{0,0.35,0.65,0.9},{"River","Rainwater","Borehole","Vendor"}),IF(D293&lt;30000,LOOKUP(RAND(),{0,0.25,0.55,0.82},{"River","Rainwater","Borehole","Vendor"}),LOOKUP(RAND(),{0,0.15,0.45,0.72},{"River","Rainwater","Borehole","Vendor"}))),IF(D293&lt;15000,LOOKUP(RAND(),{0,0.4,0.7,0.92},{"River","Rainwater","Borehole","Vendor"}),IF(D293&lt;30000,LOOKUP(RAND(),{0,0.3,0.6,0.85},{"River","Rainwater","Borehole","Vendor"}),LOOKUP(RAND(),{0,0.2,0.5,0.75},{"River","Rainwater","Borehole","Vendor"}))))))</f>
        <v>Borehole</v>
      </c>
      <c r="F293">
        <f t="shared" ca="1" si="25"/>
        <v>70</v>
      </c>
      <c r="G293">
        <f t="shared" ca="1" si="26"/>
        <v>12.3</v>
      </c>
      <c r="H293">
        <f t="shared" ca="1" si="27"/>
        <v>7200</v>
      </c>
      <c r="I293">
        <f t="shared" ca="1" si="28"/>
        <v>0.96405581594271028</v>
      </c>
      <c r="J293">
        <v>0</v>
      </c>
    </row>
    <row r="294" spans="1:10" x14ac:dyDescent="0.3">
      <c r="A294" t="str">
        <f t="shared" si="29"/>
        <v>HH293</v>
      </c>
      <c r="B294" t="str">
        <f ca="1">LOOKUP(RAND(),{0,0.28,0.55,0.78},{"Oloitoktok A","Oloitoktok B","Kiserian","Namanga"})</f>
        <v>Namanga</v>
      </c>
      <c r="C294">
        <f ca="1">LOOKUP(RAND(),{0,0.02,0.09,0.2,0.35,0.52,0.68,0.81,0.91,0.97},{1,2,3,4,5,6,7,8,9,10})</f>
        <v>7</v>
      </c>
      <c r="D294">
        <f t="shared" ca="1" si="24"/>
        <v>70600</v>
      </c>
      <c r="E294" t="str">
        <f ca="1">IF(B294="Oloitoktok A",IF(D294&lt;15000,LOOKUP(RAND(),{0,0.45,0.75,0.92},{"River","Rainwater","Borehole","Vendor"}),IF(D294&lt;30000,LOOKUP(RAND(),{0,0.35,0.65,0.85},{"River","Rainwater","Borehole","Vendor"}),LOOKUP(RAND(),{0,0.25,0.5,0.75},{"River","Rainwater","Borehole","Vendor"}))),IF(B294="Oloitoktok B",IF(D294&lt;15000,LOOKUP(RAND(),{0,0.5,0.78,0.94},{"River","Rainwater","Borehole","Vendor"}),IF(D294&lt;30000,LOOKUP(RAND(),{0,0.4,0.68,0.87},{"River","Rainwater","Borehole","Vendor"}),LOOKUP(RAND(),{0,0.28,0.55,0.78},{"River","Rainwater","Borehole","Vendor"}))),IF(B294="Kiserian",IF(D294&lt;15000,LOOKUP(RAND(),{0,0.35,0.65,0.9},{"River","Rainwater","Borehole","Vendor"}),IF(D294&lt;30000,LOOKUP(RAND(),{0,0.25,0.55,0.82},{"River","Rainwater","Borehole","Vendor"}),LOOKUP(RAND(),{0,0.15,0.45,0.72},{"River","Rainwater","Borehole","Vendor"}))),IF(D294&lt;15000,LOOKUP(RAND(),{0,0.4,0.7,0.92},{"River","Rainwater","Borehole","Vendor"}),IF(D294&lt;30000,LOOKUP(RAND(),{0,0.3,0.6,0.85},{"River","Rainwater","Borehole","Vendor"}),LOOKUP(RAND(),{0,0.2,0.5,0.75},{"River","Rainwater","Borehole","Vendor"}))))))</f>
        <v>Vendor</v>
      </c>
      <c r="F294">
        <f t="shared" ca="1" si="25"/>
        <v>17</v>
      </c>
      <c r="G294">
        <f t="shared" ca="1" si="26"/>
        <v>3.5</v>
      </c>
      <c r="H294">
        <f t="shared" ca="1" si="27"/>
        <v>5400</v>
      </c>
      <c r="I294">
        <f t="shared" ca="1" si="28"/>
        <v>0.9162389921365881</v>
      </c>
      <c r="J294">
        <v>0</v>
      </c>
    </row>
    <row r="295" spans="1:10" x14ac:dyDescent="0.3">
      <c r="A295" t="str">
        <f t="shared" si="29"/>
        <v>HH294</v>
      </c>
      <c r="B295" t="str">
        <f ca="1">LOOKUP(RAND(),{0,0.28,0.55,0.78},{"Oloitoktok A","Oloitoktok B","Kiserian","Namanga"})</f>
        <v>Kiserian</v>
      </c>
      <c r="C295">
        <f ca="1">LOOKUP(RAND(),{0,0.02,0.09,0.2,0.35,0.52,0.68,0.81,0.91,0.97},{1,2,3,4,5,6,7,8,9,10})</f>
        <v>9</v>
      </c>
      <c r="D295">
        <f t="shared" ca="1" si="24"/>
        <v>89500</v>
      </c>
      <c r="E295" t="str">
        <f ca="1">IF(B295="Oloitoktok A",IF(D295&lt;15000,LOOKUP(RAND(),{0,0.45,0.75,0.92},{"River","Rainwater","Borehole","Vendor"}),IF(D295&lt;30000,LOOKUP(RAND(),{0,0.35,0.65,0.85},{"River","Rainwater","Borehole","Vendor"}),LOOKUP(RAND(),{0,0.25,0.5,0.75},{"River","Rainwater","Borehole","Vendor"}))),IF(B295="Oloitoktok B",IF(D295&lt;15000,LOOKUP(RAND(),{0,0.5,0.78,0.94},{"River","Rainwater","Borehole","Vendor"}),IF(D295&lt;30000,LOOKUP(RAND(),{0,0.4,0.68,0.87},{"River","Rainwater","Borehole","Vendor"}),LOOKUP(RAND(),{0,0.28,0.55,0.78},{"River","Rainwater","Borehole","Vendor"}))),IF(B295="Kiserian",IF(D295&lt;15000,LOOKUP(RAND(),{0,0.35,0.65,0.9},{"River","Rainwater","Borehole","Vendor"}),IF(D295&lt;30000,LOOKUP(RAND(),{0,0.25,0.55,0.82},{"River","Rainwater","Borehole","Vendor"}),LOOKUP(RAND(),{0,0.15,0.45,0.72},{"River","Rainwater","Borehole","Vendor"}))),IF(D295&lt;15000,LOOKUP(RAND(),{0,0.4,0.7,0.92},{"River","Rainwater","Borehole","Vendor"}),IF(D295&lt;30000,LOOKUP(RAND(),{0,0.3,0.6,0.85},{"River","Rainwater","Borehole","Vendor"}),LOOKUP(RAND(),{0,0.2,0.5,0.75},{"River","Rainwater","Borehole","Vendor"}))))))</f>
        <v>Vendor</v>
      </c>
      <c r="F295">
        <f t="shared" ca="1" si="25"/>
        <v>45</v>
      </c>
      <c r="G295">
        <f t="shared" ca="1" si="26"/>
        <v>4.8</v>
      </c>
      <c r="H295">
        <f t="shared" ca="1" si="27"/>
        <v>2700</v>
      </c>
      <c r="I295">
        <f t="shared" ca="1" si="28"/>
        <v>0.52182505031290394</v>
      </c>
      <c r="J295">
        <v>0</v>
      </c>
    </row>
    <row r="296" spans="1:10" x14ac:dyDescent="0.3">
      <c r="A296" t="str">
        <f t="shared" si="29"/>
        <v>HH295</v>
      </c>
      <c r="B296" t="str">
        <f ca="1">LOOKUP(RAND(),{0,0.28,0.55,0.78},{"Oloitoktok A","Oloitoktok B","Kiserian","Namanga"})</f>
        <v>Oloitoktok A</v>
      </c>
      <c r="C296">
        <f ca="1">LOOKUP(RAND(),{0,0.02,0.09,0.2,0.35,0.52,0.68,0.81,0.91,0.97},{1,2,3,4,5,6,7,8,9,10})</f>
        <v>4</v>
      </c>
      <c r="D296">
        <f t="shared" ca="1" si="24"/>
        <v>36300</v>
      </c>
      <c r="E296" t="str">
        <f ca="1">IF(B296="Oloitoktok A",IF(D296&lt;15000,LOOKUP(RAND(),{0,0.45,0.75,0.92},{"River","Rainwater","Borehole","Vendor"}),IF(D296&lt;30000,LOOKUP(RAND(),{0,0.35,0.65,0.85},{"River","Rainwater","Borehole","Vendor"}),LOOKUP(RAND(),{0,0.25,0.5,0.75},{"River","Rainwater","Borehole","Vendor"}))),IF(B296="Oloitoktok B",IF(D296&lt;15000,LOOKUP(RAND(),{0,0.5,0.78,0.94},{"River","Rainwater","Borehole","Vendor"}),IF(D296&lt;30000,LOOKUP(RAND(),{0,0.4,0.68,0.87},{"River","Rainwater","Borehole","Vendor"}),LOOKUP(RAND(),{0,0.28,0.55,0.78},{"River","Rainwater","Borehole","Vendor"}))),IF(B296="Kiserian",IF(D296&lt;15000,LOOKUP(RAND(),{0,0.35,0.65,0.9},{"River","Rainwater","Borehole","Vendor"}),IF(D296&lt;30000,LOOKUP(RAND(),{0,0.25,0.55,0.82},{"River","Rainwater","Borehole","Vendor"}),LOOKUP(RAND(),{0,0.15,0.45,0.72},{"River","Rainwater","Borehole","Vendor"}))),IF(D296&lt;15000,LOOKUP(RAND(),{0,0.4,0.7,0.92},{"River","Rainwater","Borehole","Vendor"}),IF(D296&lt;30000,LOOKUP(RAND(),{0,0.3,0.6,0.85},{"River","Rainwater","Borehole","Vendor"}),LOOKUP(RAND(),{0,0.2,0.5,0.75},{"River","Rainwater","Borehole","Vendor"}))))))</f>
        <v>Vendor</v>
      </c>
      <c r="F296">
        <f t="shared" ca="1" si="25"/>
        <v>46</v>
      </c>
      <c r="G296">
        <f t="shared" ca="1" si="26"/>
        <v>7.3</v>
      </c>
      <c r="H296">
        <f t="shared" ca="1" si="27"/>
        <v>4500</v>
      </c>
      <c r="I296">
        <f t="shared" ca="1" si="28"/>
        <v>0.67394617703815429</v>
      </c>
      <c r="J296">
        <v>0</v>
      </c>
    </row>
    <row r="297" spans="1:10" x14ac:dyDescent="0.3">
      <c r="A297" t="str">
        <f t="shared" si="29"/>
        <v>HH296</v>
      </c>
      <c r="B297" t="str">
        <f ca="1">LOOKUP(RAND(),{0,0.28,0.55,0.78},{"Oloitoktok A","Oloitoktok B","Kiserian","Namanga"})</f>
        <v>Namanga</v>
      </c>
      <c r="C297">
        <f ca="1">LOOKUP(RAND(),{0,0.02,0.09,0.2,0.35,0.52,0.68,0.81,0.91,0.97},{1,2,3,4,5,6,7,8,9,10})</f>
        <v>7</v>
      </c>
      <c r="D297">
        <f t="shared" ca="1" si="24"/>
        <v>28500</v>
      </c>
      <c r="E297" t="str">
        <f ca="1">IF(B297="Oloitoktok A",IF(D297&lt;15000,LOOKUP(RAND(),{0,0.45,0.75,0.92},{"River","Rainwater","Borehole","Vendor"}),IF(D297&lt;30000,LOOKUP(RAND(),{0,0.35,0.65,0.85},{"River","Rainwater","Borehole","Vendor"}),LOOKUP(RAND(),{0,0.25,0.5,0.75},{"River","Rainwater","Borehole","Vendor"}))),IF(B297="Oloitoktok B",IF(D297&lt;15000,LOOKUP(RAND(),{0,0.5,0.78,0.94},{"River","Rainwater","Borehole","Vendor"}),IF(D297&lt;30000,LOOKUP(RAND(),{0,0.4,0.68,0.87},{"River","Rainwater","Borehole","Vendor"}),LOOKUP(RAND(),{0,0.28,0.55,0.78},{"River","Rainwater","Borehole","Vendor"}))),IF(B297="Kiserian",IF(D297&lt;15000,LOOKUP(RAND(),{0,0.35,0.65,0.9},{"River","Rainwater","Borehole","Vendor"}),IF(D297&lt;30000,LOOKUP(RAND(),{0,0.25,0.55,0.82},{"River","Rainwater","Borehole","Vendor"}),LOOKUP(RAND(),{0,0.15,0.45,0.72},{"River","Rainwater","Borehole","Vendor"}))),IF(D297&lt;15000,LOOKUP(RAND(),{0,0.4,0.7,0.92},{"River","Rainwater","Borehole","Vendor"}),IF(D297&lt;30000,LOOKUP(RAND(),{0,0.3,0.6,0.85},{"River","Rainwater","Borehole","Vendor"}),LOOKUP(RAND(),{0,0.2,0.5,0.75},{"River","Rainwater","Borehole","Vendor"}))))))</f>
        <v>Borehole</v>
      </c>
      <c r="F297">
        <f t="shared" ca="1" si="25"/>
        <v>56</v>
      </c>
      <c r="G297">
        <f t="shared" ca="1" si="26"/>
        <v>9.6999999999999993</v>
      </c>
      <c r="H297">
        <f t="shared" ca="1" si="27"/>
        <v>6900</v>
      </c>
      <c r="I297">
        <f t="shared" ca="1" si="28"/>
        <v>0.66919360425594332</v>
      </c>
      <c r="J297">
        <v>0</v>
      </c>
    </row>
    <row r="298" spans="1:10" x14ac:dyDescent="0.3">
      <c r="A298" t="str">
        <f t="shared" si="29"/>
        <v>HH297</v>
      </c>
      <c r="B298" t="str">
        <f ca="1">LOOKUP(RAND(),{0,0.28,0.55,0.78},{"Oloitoktok A","Oloitoktok B","Kiserian","Namanga"})</f>
        <v>Kiserian</v>
      </c>
      <c r="C298">
        <f ca="1">LOOKUP(RAND(),{0,0.02,0.09,0.2,0.35,0.52,0.68,0.81,0.91,0.97},{1,2,3,4,5,6,7,8,9,10})</f>
        <v>4</v>
      </c>
      <c r="D298">
        <f t="shared" ca="1" si="24"/>
        <v>91300</v>
      </c>
      <c r="E298" t="str">
        <f ca="1">IF(B298="Oloitoktok A",IF(D298&lt;15000,LOOKUP(RAND(),{0,0.45,0.75,0.92},{"River","Rainwater","Borehole","Vendor"}),IF(D298&lt;30000,LOOKUP(RAND(),{0,0.35,0.65,0.85},{"River","Rainwater","Borehole","Vendor"}),LOOKUP(RAND(),{0,0.25,0.5,0.75},{"River","Rainwater","Borehole","Vendor"}))),IF(B298="Oloitoktok B",IF(D298&lt;15000,LOOKUP(RAND(),{0,0.5,0.78,0.94},{"River","Rainwater","Borehole","Vendor"}),IF(D298&lt;30000,LOOKUP(RAND(),{0,0.4,0.68,0.87},{"River","Rainwater","Borehole","Vendor"}),LOOKUP(RAND(),{0,0.28,0.55,0.78},{"River","Rainwater","Borehole","Vendor"}))),IF(B298="Kiserian",IF(D298&lt;15000,LOOKUP(RAND(),{0,0.35,0.65,0.9},{"River","Rainwater","Borehole","Vendor"}),IF(D298&lt;30000,LOOKUP(RAND(),{0,0.25,0.55,0.82},{"River","Rainwater","Borehole","Vendor"}),LOOKUP(RAND(),{0,0.15,0.45,0.72},{"River","Rainwater","Borehole","Vendor"}))),IF(D298&lt;15000,LOOKUP(RAND(),{0,0.4,0.7,0.92},{"River","Rainwater","Borehole","Vendor"}),IF(D298&lt;30000,LOOKUP(RAND(),{0,0.3,0.6,0.85},{"River","Rainwater","Borehole","Vendor"}),LOOKUP(RAND(),{0,0.2,0.5,0.75},{"River","Rainwater","Borehole","Vendor"}))))))</f>
        <v>Borehole</v>
      </c>
      <c r="F298">
        <f t="shared" ca="1" si="25"/>
        <v>54</v>
      </c>
      <c r="G298">
        <f t="shared" ca="1" si="26"/>
        <v>0.4</v>
      </c>
      <c r="H298">
        <f t="shared" ca="1" si="27"/>
        <v>7500</v>
      </c>
      <c r="I298">
        <f t="shared" ca="1" si="28"/>
        <v>0.85505707537062869</v>
      </c>
      <c r="J298">
        <v>0</v>
      </c>
    </row>
    <row r="299" spans="1:10" x14ac:dyDescent="0.3">
      <c r="A299" t="str">
        <f t="shared" si="29"/>
        <v>HH298</v>
      </c>
      <c r="B299" t="str">
        <f ca="1">LOOKUP(RAND(),{0,0.28,0.55,0.78},{"Oloitoktok A","Oloitoktok B","Kiserian","Namanga"})</f>
        <v>Oloitoktok B</v>
      </c>
      <c r="C299">
        <f ca="1">LOOKUP(RAND(),{0,0.02,0.09,0.2,0.35,0.52,0.68,0.81,0.91,0.97},{1,2,3,4,5,6,7,8,9,10})</f>
        <v>3</v>
      </c>
      <c r="D299">
        <f t="shared" ca="1" si="24"/>
        <v>17600</v>
      </c>
      <c r="E299" t="str">
        <f ca="1">IF(B299="Oloitoktok A",IF(D299&lt;15000,LOOKUP(RAND(),{0,0.45,0.75,0.92},{"River","Rainwater","Borehole","Vendor"}),IF(D299&lt;30000,LOOKUP(RAND(),{0,0.35,0.65,0.85},{"River","Rainwater","Borehole","Vendor"}),LOOKUP(RAND(),{0,0.25,0.5,0.75},{"River","Rainwater","Borehole","Vendor"}))),IF(B299="Oloitoktok B",IF(D299&lt;15000,LOOKUP(RAND(),{0,0.5,0.78,0.94},{"River","Rainwater","Borehole","Vendor"}),IF(D299&lt;30000,LOOKUP(RAND(),{0,0.4,0.68,0.87},{"River","Rainwater","Borehole","Vendor"}),LOOKUP(RAND(),{0,0.28,0.55,0.78},{"River","Rainwater","Borehole","Vendor"}))),IF(B299="Kiserian",IF(D299&lt;15000,LOOKUP(RAND(),{0,0.35,0.65,0.9},{"River","Rainwater","Borehole","Vendor"}),IF(D299&lt;30000,LOOKUP(RAND(),{0,0.25,0.55,0.82},{"River","Rainwater","Borehole","Vendor"}),LOOKUP(RAND(),{0,0.15,0.45,0.72},{"River","Rainwater","Borehole","Vendor"}))),IF(D299&lt;15000,LOOKUP(RAND(),{0,0.4,0.7,0.92},{"River","Rainwater","Borehole","Vendor"}),IF(D299&lt;30000,LOOKUP(RAND(),{0,0.3,0.6,0.85},{"River","Rainwater","Borehole","Vendor"}),LOOKUP(RAND(),{0,0.2,0.5,0.75},{"River","Rainwater","Borehole","Vendor"}))))))</f>
        <v>River</v>
      </c>
      <c r="F299">
        <f t="shared" ca="1" si="25"/>
        <v>108</v>
      </c>
      <c r="G299">
        <f t="shared" ca="1" si="26"/>
        <v>12.6</v>
      </c>
      <c r="H299">
        <f t="shared" ca="1" si="27"/>
        <v>6800</v>
      </c>
      <c r="I299">
        <f t="shared" ca="1" si="28"/>
        <v>6.0856033230014206E-2</v>
      </c>
      <c r="J299">
        <v>0</v>
      </c>
    </row>
    <row r="300" spans="1:10" x14ac:dyDescent="0.3">
      <c r="A300" t="str">
        <f t="shared" si="29"/>
        <v>HH299</v>
      </c>
      <c r="B300" t="str">
        <f ca="1">LOOKUP(RAND(),{0,0.28,0.55,0.78},{"Oloitoktok A","Oloitoktok B","Kiserian","Namanga"})</f>
        <v>Kiserian</v>
      </c>
      <c r="C300">
        <f ca="1">LOOKUP(RAND(),{0,0.02,0.09,0.2,0.35,0.52,0.68,0.81,0.91,0.97},{1,2,3,4,5,6,7,8,9,10})</f>
        <v>8</v>
      </c>
      <c r="D300">
        <f t="shared" ca="1" si="24"/>
        <v>34400</v>
      </c>
      <c r="E300" t="str">
        <f ca="1">IF(B300="Oloitoktok A",IF(D300&lt;15000,LOOKUP(RAND(),{0,0.45,0.75,0.92},{"River","Rainwater","Borehole","Vendor"}),IF(D300&lt;30000,LOOKUP(RAND(),{0,0.35,0.65,0.85},{"River","Rainwater","Borehole","Vendor"}),LOOKUP(RAND(),{0,0.25,0.5,0.75},{"River","Rainwater","Borehole","Vendor"}))),IF(B300="Oloitoktok B",IF(D300&lt;15000,LOOKUP(RAND(),{0,0.5,0.78,0.94},{"River","Rainwater","Borehole","Vendor"}),IF(D300&lt;30000,LOOKUP(RAND(),{0,0.4,0.68,0.87},{"River","Rainwater","Borehole","Vendor"}),LOOKUP(RAND(),{0,0.28,0.55,0.78},{"River","Rainwater","Borehole","Vendor"}))),IF(B300="Kiserian",IF(D300&lt;15000,LOOKUP(RAND(),{0,0.35,0.65,0.9},{"River","Rainwater","Borehole","Vendor"}),IF(D300&lt;30000,LOOKUP(RAND(),{0,0.25,0.55,0.82},{"River","Rainwater","Borehole","Vendor"}),LOOKUP(RAND(),{0,0.15,0.45,0.72},{"River","Rainwater","Borehole","Vendor"}))),IF(D300&lt;15000,LOOKUP(RAND(),{0,0.4,0.7,0.92},{"River","Rainwater","Borehole","Vendor"}),IF(D300&lt;30000,LOOKUP(RAND(),{0,0.3,0.6,0.85},{"River","Rainwater","Borehole","Vendor"}),LOOKUP(RAND(),{0,0.2,0.5,0.75},{"River","Rainwater","Borehole","Vendor"}))))))</f>
        <v>Vendor</v>
      </c>
      <c r="F300">
        <f t="shared" ca="1" si="25"/>
        <v>33</v>
      </c>
      <c r="G300">
        <f t="shared" ca="1" si="26"/>
        <v>3.6</v>
      </c>
      <c r="H300">
        <f t="shared" ca="1" si="27"/>
        <v>2500</v>
      </c>
      <c r="I300">
        <f t="shared" ca="1" si="28"/>
        <v>6.7467429115061428E-2</v>
      </c>
      <c r="J300">
        <v>0</v>
      </c>
    </row>
    <row r="301" spans="1:10" x14ac:dyDescent="0.3">
      <c r="A301" t="str">
        <f t="shared" si="29"/>
        <v>HH300</v>
      </c>
      <c r="B301" t="str">
        <f ca="1">LOOKUP(RAND(),{0,0.28,0.55,0.78},{"Oloitoktok A","Oloitoktok B","Kiserian","Namanga"})</f>
        <v>Oloitoktok B</v>
      </c>
      <c r="C301">
        <f ca="1">LOOKUP(RAND(),{0,0.02,0.09,0.2,0.35,0.52,0.68,0.81,0.91,0.97},{1,2,3,4,5,6,7,8,9,10})</f>
        <v>5</v>
      </c>
      <c r="D301">
        <f t="shared" ca="1" si="24"/>
        <v>47500</v>
      </c>
      <c r="E301" t="str">
        <f ca="1">IF(B301="Oloitoktok A",IF(D301&lt;15000,LOOKUP(RAND(),{0,0.45,0.75,0.92},{"River","Rainwater","Borehole","Vendor"}),IF(D301&lt;30000,LOOKUP(RAND(),{0,0.35,0.65,0.85},{"River","Rainwater","Borehole","Vendor"}),LOOKUP(RAND(),{0,0.25,0.5,0.75},{"River","Rainwater","Borehole","Vendor"}))),IF(B301="Oloitoktok B",IF(D301&lt;15000,LOOKUP(RAND(),{0,0.5,0.78,0.94},{"River","Rainwater","Borehole","Vendor"}),IF(D301&lt;30000,LOOKUP(RAND(),{0,0.4,0.68,0.87},{"River","Rainwater","Borehole","Vendor"}),LOOKUP(RAND(),{0,0.28,0.55,0.78},{"River","Rainwater","Borehole","Vendor"}))),IF(B301="Kiserian",IF(D301&lt;15000,LOOKUP(RAND(),{0,0.35,0.65,0.9},{"River","Rainwater","Borehole","Vendor"}),IF(D301&lt;30000,LOOKUP(RAND(),{0,0.25,0.55,0.82},{"River","Rainwater","Borehole","Vendor"}),LOOKUP(RAND(),{0,0.15,0.45,0.72},{"River","Rainwater","Borehole","Vendor"}))),IF(D301&lt;15000,LOOKUP(RAND(),{0,0.4,0.7,0.92},{"River","Rainwater","Borehole","Vendor"}),IF(D301&lt;30000,LOOKUP(RAND(),{0,0.3,0.6,0.85},{"River","Rainwater","Borehole","Vendor"}),LOOKUP(RAND(),{0,0.2,0.5,0.75},{"River","Rainwater","Borehole","Vendor"}))))))</f>
        <v>Rainwater</v>
      </c>
      <c r="F301">
        <f t="shared" ca="1" si="25"/>
        <v>50</v>
      </c>
      <c r="G301">
        <f t="shared" ca="1" si="26"/>
        <v>6.1</v>
      </c>
      <c r="H301">
        <f t="shared" ca="1" si="27"/>
        <v>0</v>
      </c>
      <c r="I301">
        <f t="shared" ca="1" si="28"/>
        <v>0.54113722542563347</v>
      </c>
      <c r="J301">
        <v>0</v>
      </c>
    </row>
    <row r="302" spans="1:10" x14ac:dyDescent="0.3">
      <c r="A302" t="str">
        <f t="shared" si="29"/>
        <v>HH301</v>
      </c>
      <c r="B302" t="str">
        <f ca="1">LOOKUP(RAND(),{0,0.28,0.55,0.78},{"Oloitoktok A","Oloitoktok B","Kiserian","Namanga"})</f>
        <v>Oloitoktok B</v>
      </c>
      <c r="C302">
        <f ca="1">LOOKUP(RAND(),{0,0.02,0.09,0.2,0.35,0.52,0.68,0.81,0.91,0.97},{1,2,3,4,5,6,7,8,9,10})</f>
        <v>8</v>
      </c>
      <c r="D302">
        <f t="shared" ca="1" si="24"/>
        <v>49000</v>
      </c>
      <c r="E302" t="str">
        <f ca="1">IF(B302="Oloitoktok A",IF(D302&lt;15000,LOOKUP(RAND(),{0,0.45,0.75,0.92},{"River","Rainwater","Borehole","Vendor"}),IF(D302&lt;30000,LOOKUP(RAND(),{0,0.35,0.65,0.85},{"River","Rainwater","Borehole","Vendor"}),LOOKUP(RAND(),{0,0.25,0.5,0.75},{"River","Rainwater","Borehole","Vendor"}))),IF(B302="Oloitoktok B",IF(D302&lt;15000,LOOKUP(RAND(),{0,0.5,0.78,0.94},{"River","Rainwater","Borehole","Vendor"}),IF(D302&lt;30000,LOOKUP(RAND(),{0,0.4,0.68,0.87},{"River","Rainwater","Borehole","Vendor"}),LOOKUP(RAND(),{0,0.28,0.55,0.78},{"River","Rainwater","Borehole","Vendor"}))),IF(B302="Kiserian",IF(D302&lt;15000,LOOKUP(RAND(),{0,0.35,0.65,0.9},{"River","Rainwater","Borehole","Vendor"}),IF(D302&lt;30000,LOOKUP(RAND(),{0,0.25,0.55,0.82},{"River","Rainwater","Borehole","Vendor"}),LOOKUP(RAND(),{0,0.15,0.45,0.72},{"River","Rainwater","Borehole","Vendor"}))),IF(D302&lt;15000,LOOKUP(RAND(),{0,0.4,0.7,0.92},{"River","Rainwater","Borehole","Vendor"}),IF(D302&lt;30000,LOOKUP(RAND(),{0,0.3,0.6,0.85},{"River","Rainwater","Borehole","Vendor"}),LOOKUP(RAND(),{0,0.2,0.5,0.75},{"River","Rainwater","Borehole","Vendor"}))))))</f>
        <v>Borehole</v>
      </c>
      <c r="F302">
        <f t="shared" ca="1" si="25"/>
        <v>36</v>
      </c>
      <c r="G302">
        <f t="shared" ca="1" si="26"/>
        <v>13.3</v>
      </c>
      <c r="H302">
        <f t="shared" ca="1" si="27"/>
        <v>7300</v>
      </c>
      <c r="I302">
        <f t="shared" ca="1" si="28"/>
        <v>0.19899031131082245</v>
      </c>
      <c r="J302">
        <v>0</v>
      </c>
    </row>
    <row r="303" spans="1:10" x14ac:dyDescent="0.3">
      <c r="A303" t="str">
        <f t="shared" si="29"/>
        <v>HH302</v>
      </c>
      <c r="B303" t="str">
        <f ca="1">LOOKUP(RAND(),{0,0.28,0.55,0.78},{"Oloitoktok A","Oloitoktok B","Kiserian","Namanga"})</f>
        <v>Kiserian</v>
      </c>
      <c r="C303">
        <f ca="1">LOOKUP(RAND(),{0,0.02,0.09,0.2,0.35,0.52,0.68,0.81,0.91,0.97},{1,2,3,4,5,6,7,8,9,10})</f>
        <v>6</v>
      </c>
      <c r="D303">
        <f t="shared" ca="1" si="24"/>
        <v>18600</v>
      </c>
      <c r="E303" t="str">
        <f ca="1">IF(B303="Oloitoktok A",IF(D303&lt;15000,LOOKUP(RAND(),{0,0.45,0.75,0.92},{"River","Rainwater","Borehole","Vendor"}),IF(D303&lt;30000,LOOKUP(RAND(),{0,0.35,0.65,0.85},{"River","Rainwater","Borehole","Vendor"}),LOOKUP(RAND(),{0,0.25,0.5,0.75},{"River","Rainwater","Borehole","Vendor"}))),IF(B303="Oloitoktok B",IF(D303&lt;15000,LOOKUP(RAND(),{0,0.5,0.78,0.94},{"River","Rainwater","Borehole","Vendor"}),IF(D303&lt;30000,LOOKUP(RAND(),{0,0.4,0.68,0.87},{"River","Rainwater","Borehole","Vendor"}),LOOKUP(RAND(),{0,0.28,0.55,0.78},{"River","Rainwater","Borehole","Vendor"}))),IF(B303="Kiserian",IF(D303&lt;15000,LOOKUP(RAND(),{0,0.35,0.65,0.9},{"River","Rainwater","Borehole","Vendor"}),IF(D303&lt;30000,LOOKUP(RAND(),{0,0.25,0.55,0.82},{"River","Rainwater","Borehole","Vendor"}),LOOKUP(RAND(),{0,0.15,0.45,0.72},{"River","Rainwater","Borehole","Vendor"}))),IF(D303&lt;15000,LOOKUP(RAND(),{0,0.4,0.7,0.92},{"River","Rainwater","Borehole","Vendor"}),IF(D303&lt;30000,LOOKUP(RAND(),{0,0.3,0.6,0.85},{"River","Rainwater","Borehole","Vendor"}),LOOKUP(RAND(),{0,0.2,0.5,0.75},{"River","Rainwater","Borehole","Vendor"}))))))</f>
        <v>Vendor</v>
      </c>
      <c r="F303">
        <f t="shared" ca="1" si="25"/>
        <v>49</v>
      </c>
      <c r="G303">
        <f t="shared" ca="1" si="26"/>
        <v>4.9000000000000004</v>
      </c>
      <c r="H303">
        <f t="shared" ca="1" si="27"/>
        <v>6100</v>
      </c>
      <c r="I303">
        <f t="shared" ca="1" si="28"/>
        <v>0.41203701526900804</v>
      </c>
      <c r="J303">
        <v>0</v>
      </c>
    </row>
    <row r="304" spans="1:10" x14ac:dyDescent="0.3">
      <c r="A304" t="str">
        <f t="shared" si="29"/>
        <v>HH303</v>
      </c>
      <c r="B304" t="str">
        <f ca="1">LOOKUP(RAND(),{0,0.28,0.55,0.78},{"Oloitoktok A","Oloitoktok B","Kiserian","Namanga"})</f>
        <v>Oloitoktok A</v>
      </c>
      <c r="C304">
        <f ca="1">LOOKUP(RAND(),{0,0.02,0.09,0.2,0.35,0.52,0.68,0.81,0.91,0.97},{1,2,3,4,5,6,7,8,9,10})</f>
        <v>1</v>
      </c>
      <c r="D304">
        <f t="shared" ca="1" si="24"/>
        <v>20900</v>
      </c>
      <c r="E304" t="str">
        <f ca="1">IF(B304="Oloitoktok A",IF(D304&lt;15000,LOOKUP(RAND(),{0,0.45,0.75,0.92},{"River","Rainwater","Borehole","Vendor"}),IF(D304&lt;30000,LOOKUP(RAND(),{0,0.35,0.65,0.85},{"River","Rainwater","Borehole","Vendor"}),LOOKUP(RAND(),{0,0.25,0.5,0.75},{"River","Rainwater","Borehole","Vendor"}))),IF(B304="Oloitoktok B",IF(D304&lt;15000,LOOKUP(RAND(),{0,0.5,0.78,0.94},{"River","Rainwater","Borehole","Vendor"}),IF(D304&lt;30000,LOOKUP(RAND(),{0,0.4,0.68,0.87},{"River","Rainwater","Borehole","Vendor"}),LOOKUP(RAND(),{0,0.28,0.55,0.78},{"River","Rainwater","Borehole","Vendor"}))),IF(B304="Kiserian",IF(D304&lt;15000,LOOKUP(RAND(),{0,0.35,0.65,0.9},{"River","Rainwater","Borehole","Vendor"}),IF(D304&lt;30000,LOOKUP(RAND(),{0,0.25,0.55,0.82},{"River","Rainwater","Borehole","Vendor"}),LOOKUP(RAND(),{0,0.15,0.45,0.72},{"River","Rainwater","Borehole","Vendor"}))),IF(D304&lt;15000,LOOKUP(RAND(),{0,0.4,0.7,0.92},{"River","Rainwater","Borehole","Vendor"}),IF(D304&lt;30000,LOOKUP(RAND(),{0,0.3,0.6,0.85},{"River","Rainwater","Borehole","Vendor"}),LOOKUP(RAND(),{0,0.2,0.5,0.75},{"River","Rainwater","Borehole","Vendor"}))))))</f>
        <v>Rainwater</v>
      </c>
      <c r="F304">
        <f t="shared" ca="1" si="25"/>
        <v>45</v>
      </c>
      <c r="G304">
        <f t="shared" ca="1" si="26"/>
        <v>6</v>
      </c>
      <c r="H304">
        <f t="shared" ca="1" si="27"/>
        <v>7800</v>
      </c>
      <c r="I304">
        <f t="shared" ca="1" si="28"/>
        <v>0.77823188934402687</v>
      </c>
      <c r="J304">
        <v>0</v>
      </c>
    </row>
    <row r="305" spans="1:10" x14ac:dyDescent="0.3">
      <c r="A305" t="str">
        <f t="shared" si="29"/>
        <v>HH304</v>
      </c>
      <c r="B305" t="str">
        <f ca="1">LOOKUP(RAND(),{0,0.28,0.55,0.78},{"Oloitoktok A","Oloitoktok B","Kiserian","Namanga"})</f>
        <v>Oloitoktok A</v>
      </c>
      <c r="C305">
        <f ca="1">LOOKUP(RAND(),{0,0.02,0.09,0.2,0.35,0.52,0.68,0.81,0.91,0.97},{1,2,3,4,5,6,7,8,9,10})</f>
        <v>6</v>
      </c>
      <c r="D305">
        <f t="shared" ca="1" si="24"/>
        <v>31400</v>
      </c>
      <c r="E305" t="str">
        <f ca="1">IF(B305="Oloitoktok A",IF(D305&lt;15000,LOOKUP(RAND(),{0,0.45,0.75,0.92},{"River","Rainwater","Borehole","Vendor"}),IF(D305&lt;30000,LOOKUP(RAND(),{0,0.35,0.65,0.85},{"River","Rainwater","Borehole","Vendor"}),LOOKUP(RAND(),{0,0.25,0.5,0.75},{"River","Rainwater","Borehole","Vendor"}))),IF(B305="Oloitoktok B",IF(D305&lt;15000,LOOKUP(RAND(),{0,0.5,0.78,0.94},{"River","Rainwater","Borehole","Vendor"}),IF(D305&lt;30000,LOOKUP(RAND(),{0,0.4,0.68,0.87},{"River","Rainwater","Borehole","Vendor"}),LOOKUP(RAND(),{0,0.28,0.55,0.78},{"River","Rainwater","Borehole","Vendor"}))),IF(B305="Kiserian",IF(D305&lt;15000,LOOKUP(RAND(),{0,0.35,0.65,0.9},{"River","Rainwater","Borehole","Vendor"}),IF(D305&lt;30000,LOOKUP(RAND(),{0,0.25,0.55,0.82},{"River","Rainwater","Borehole","Vendor"}),LOOKUP(RAND(),{0,0.15,0.45,0.72},{"River","Rainwater","Borehole","Vendor"}))),IF(D305&lt;15000,LOOKUP(RAND(),{0,0.4,0.7,0.92},{"River","Rainwater","Borehole","Vendor"}),IF(D305&lt;30000,LOOKUP(RAND(),{0,0.3,0.6,0.85},{"River","Rainwater","Borehole","Vendor"}),LOOKUP(RAND(),{0,0.2,0.5,0.75},{"River","Rainwater","Borehole","Vendor"}))))))</f>
        <v>River</v>
      </c>
      <c r="F305">
        <f t="shared" ca="1" si="25"/>
        <v>77</v>
      </c>
      <c r="G305">
        <f t="shared" ca="1" si="26"/>
        <v>6.3</v>
      </c>
      <c r="H305">
        <f t="shared" ca="1" si="27"/>
        <v>6100</v>
      </c>
      <c r="I305">
        <f t="shared" ca="1" si="28"/>
        <v>0.13510829763217291</v>
      </c>
      <c r="J305">
        <v>0</v>
      </c>
    </row>
    <row r="306" spans="1:10" x14ac:dyDescent="0.3">
      <c r="A306" t="str">
        <f t="shared" si="29"/>
        <v>HH305</v>
      </c>
      <c r="B306" t="str">
        <f ca="1">LOOKUP(RAND(),{0,0.28,0.55,0.78},{"Oloitoktok A","Oloitoktok B","Kiserian","Namanga"})</f>
        <v>Oloitoktok B</v>
      </c>
      <c r="C306">
        <f ca="1">LOOKUP(RAND(),{0,0.02,0.09,0.2,0.35,0.52,0.68,0.81,0.91,0.97},{1,2,3,4,5,6,7,8,9,10})</f>
        <v>5</v>
      </c>
      <c r="D306">
        <f t="shared" ca="1" si="24"/>
        <v>25200</v>
      </c>
      <c r="E306" t="str">
        <f ca="1">IF(B306="Oloitoktok A",IF(D306&lt;15000,LOOKUP(RAND(),{0,0.45,0.75,0.92},{"River","Rainwater","Borehole","Vendor"}),IF(D306&lt;30000,LOOKUP(RAND(),{0,0.35,0.65,0.85},{"River","Rainwater","Borehole","Vendor"}),LOOKUP(RAND(),{0,0.25,0.5,0.75},{"River","Rainwater","Borehole","Vendor"}))),IF(B306="Oloitoktok B",IF(D306&lt;15000,LOOKUP(RAND(),{0,0.5,0.78,0.94},{"River","Rainwater","Borehole","Vendor"}),IF(D306&lt;30000,LOOKUP(RAND(),{0,0.4,0.68,0.87},{"River","Rainwater","Borehole","Vendor"}),LOOKUP(RAND(),{0,0.28,0.55,0.78},{"River","Rainwater","Borehole","Vendor"}))),IF(B306="Kiserian",IF(D306&lt;15000,LOOKUP(RAND(),{0,0.35,0.65,0.9},{"River","Rainwater","Borehole","Vendor"}),IF(D306&lt;30000,LOOKUP(RAND(),{0,0.25,0.55,0.82},{"River","Rainwater","Borehole","Vendor"}),LOOKUP(RAND(),{0,0.15,0.45,0.72},{"River","Rainwater","Borehole","Vendor"}))),IF(D306&lt;15000,LOOKUP(RAND(),{0,0.4,0.7,0.92},{"River","Rainwater","Borehole","Vendor"}),IF(D306&lt;30000,LOOKUP(RAND(),{0,0.3,0.6,0.85},{"River","Rainwater","Borehole","Vendor"}),LOOKUP(RAND(),{0,0.2,0.5,0.75},{"River","Rainwater","Borehole","Vendor"}))))))</f>
        <v>Rainwater</v>
      </c>
      <c r="F306">
        <f t="shared" ca="1" si="25"/>
        <v>55</v>
      </c>
      <c r="G306">
        <f t="shared" ca="1" si="26"/>
        <v>5.3</v>
      </c>
      <c r="H306">
        <f t="shared" ca="1" si="27"/>
        <v>7000</v>
      </c>
      <c r="I306">
        <f t="shared" ca="1" si="28"/>
        <v>0.26951205344169304</v>
      </c>
      <c r="J306">
        <v>0</v>
      </c>
    </row>
    <row r="307" spans="1:10" x14ac:dyDescent="0.3">
      <c r="A307" t="str">
        <f t="shared" si="29"/>
        <v>HH306</v>
      </c>
      <c r="B307" t="str">
        <f ca="1">LOOKUP(RAND(),{0,0.28,0.55,0.78},{"Oloitoktok A","Oloitoktok B","Kiserian","Namanga"})</f>
        <v>Namanga</v>
      </c>
      <c r="C307">
        <f ca="1">LOOKUP(RAND(),{0,0.02,0.09,0.2,0.35,0.52,0.68,0.81,0.91,0.97},{1,2,3,4,5,6,7,8,9,10})</f>
        <v>7</v>
      </c>
      <c r="D307">
        <f t="shared" ca="1" si="24"/>
        <v>34000</v>
      </c>
      <c r="E307" t="str">
        <f ca="1">IF(B307="Oloitoktok A",IF(D307&lt;15000,LOOKUP(RAND(),{0,0.45,0.75,0.92},{"River","Rainwater","Borehole","Vendor"}),IF(D307&lt;30000,LOOKUP(RAND(),{0,0.35,0.65,0.85},{"River","Rainwater","Borehole","Vendor"}),LOOKUP(RAND(),{0,0.25,0.5,0.75},{"River","Rainwater","Borehole","Vendor"}))),IF(B307="Oloitoktok B",IF(D307&lt;15000,LOOKUP(RAND(),{0,0.5,0.78,0.94},{"River","Rainwater","Borehole","Vendor"}),IF(D307&lt;30000,LOOKUP(RAND(),{0,0.4,0.68,0.87},{"River","Rainwater","Borehole","Vendor"}),LOOKUP(RAND(),{0,0.28,0.55,0.78},{"River","Rainwater","Borehole","Vendor"}))),IF(B307="Kiserian",IF(D307&lt;15000,LOOKUP(RAND(),{0,0.35,0.65,0.9},{"River","Rainwater","Borehole","Vendor"}),IF(D307&lt;30000,LOOKUP(RAND(),{0,0.25,0.55,0.82},{"River","Rainwater","Borehole","Vendor"}),LOOKUP(RAND(),{0,0.15,0.45,0.72},{"River","Rainwater","Borehole","Vendor"}))),IF(D307&lt;15000,LOOKUP(RAND(),{0,0.4,0.7,0.92},{"River","Rainwater","Borehole","Vendor"}),IF(D307&lt;30000,LOOKUP(RAND(),{0,0.3,0.6,0.85},{"River","Rainwater","Borehole","Vendor"}),LOOKUP(RAND(),{0,0.2,0.5,0.75},{"River","Rainwater","Borehole","Vendor"}))))))</f>
        <v>Vendor</v>
      </c>
      <c r="F307">
        <f t="shared" ca="1" si="25"/>
        <v>25</v>
      </c>
      <c r="G307">
        <f t="shared" ca="1" si="26"/>
        <v>7.4</v>
      </c>
      <c r="H307">
        <f t="shared" ca="1" si="27"/>
        <v>1400</v>
      </c>
      <c r="I307">
        <f t="shared" ca="1" si="28"/>
        <v>0.1508597285075054</v>
      </c>
      <c r="J307">
        <v>0</v>
      </c>
    </row>
    <row r="308" spans="1:10" x14ac:dyDescent="0.3">
      <c r="A308" t="str">
        <f t="shared" si="29"/>
        <v>HH307</v>
      </c>
      <c r="B308" t="str">
        <f ca="1">LOOKUP(RAND(),{0,0.28,0.55,0.78},{"Oloitoktok A","Oloitoktok B","Kiserian","Namanga"})</f>
        <v>Oloitoktok B</v>
      </c>
      <c r="C308">
        <f ca="1">LOOKUP(RAND(),{0,0.02,0.09,0.2,0.35,0.52,0.68,0.81,0.91,0.97},{1,2,3,4,5,6,7,8,9,10})</f>
        <v>4</v>
      </c>
      <c r="D308">
        <f t="shared" ca="1" si="24"/>
        <v>88000</v>
      </c>
      <c r="E308" t="str">
        <f ca="1">IF(B308="Oloitoktok A",IF(D308&lt;15000,LOOKUP(RAND(),{0,0.45,0.75,0.92},{"River","Rainwater","Borehole","Vendor"}),IF(D308&lt;30000,LOOKUP(RAND(),{0,0.35,0.65,0.85},{"River","Rainwater","Borehole","Vendor"}),LOOKUP(RAND(),{0,0.25,0.5,0.75},{"River","Rainwater","Borehole","Vendor"}))),IF(B308="Oloitoktok B",IF(D308&lt;15000,LOOKUP(RAND(),{0,0.5,0.78,0.94},{"River","Rainwater","Borehole","Vendor"}),IF(D308&lt;30000,LOOKUP(RAND(),{0,0.4,0.68,0.87},{"River","Rainwater","Borehole","Vendor"}),LOOKUP(RAND(),{0,0.28,0.55,0.78},{"River","Rainwater","Borehole","Vendor"}))),IF(B308="Kiserian",IF(D308&lt;15000,LOOKUP(RAND(),{0,0.35,0.65,0.9},{"River","Rainwater","Borehole","Vendor"}),IF(D308&lt;30000,LOOKUP(RAND(),{0,0.25,0.55,0.82},{"River","Rainwater","Borehole","Vendor"}),LOOKUP(RAND(),{0,0.15,0.45,0.72},{"River","Rainwater","Borehole","Vendor"}))),IF(D308&lt;15000,LOOKUP(RAND(),{0,0.4,0.7,0.92},{"River","Rainwater","Borehole","Vendor"}),IF(D308&lt;30000,LOOKUP(RAND(),{0,0.3,0.6,0.85},{"River","Rainwater","Borehole","Vendor"}),LOOKUP(RAND(),{0,0.2,0.5,0.75},{"River","Rainwater","Borehole","Vendor"}))))))</f>
        <v>Vendor</v>
      </c>
      <c r="F308">
        <f t="shared" ca="1" si="25"/>
        <v>31</v>
      </c>
      <c r="G308">
        <f t="shared" ca="1" si="26"/>
        <v>12.7</v>
      </c>
      <c r="H308">
        <f t="shared" ca="1" si="27"/>
        <v>5000</v>
      </c>
      <c r="I308">
        <f t="shared" ca="1" si="28"/>
        <v>0.6138032885119068</v>
      </c>
      <c r="J308">
        <v>0</v>
      </c>
    </row>
    <row r="309" spans="1:10" x14ac:dyDescent="0.3">
      <c r="A309" t="str">
        <f t="shared" si="29"/>
        <v>HH308</v>
      </c>
      <c r="B309" t="str">
        <f ca="1">LOOKUP(RAND(),{0,0.28,0.55,0.78},{"Oloitoktok A","Oloitoktok B","Kiserian","Namanga"})</f>
        <v>Namanga</v>
      </c>
      <c r="C309">
        <f ca="1">LOOKUP(RAND(),{0,0.02,0.09,0.2,0.35,0.52,0.68,0.81,0.91,0.97},{1,2,3,4,5,6,7,8,9,10})</f>
        <v>6</v>
      </c>
      <c r="D309">
        <f t="shared" ca="1" si="24"/>
        <v>37500</v>
      </c>
      <c r="E309" t="str">
        <f ca="1">IF(B309="Oloitoktok A",IF(D309&lt;15000,LOOKUP(RAND(),{0,0.45,0.75,0.92},{"River","Rainwater","Borehole","Vendor"}),IF(D309&lt;30000,LOOKUP(RAND(),{0,0.35,0.65,0.85},{"River","Rainwater","Borehole","Vendor"}),LOOKUP(RAND(),{0,0.25,0.5,0.75},{"River","Rainwater","Borehole","Vendor"}))),IF(B309="Oloitoktok B",IF(D309&lt;15000,LOOKUP(RAND(),{0,0.5,0.78,0.94},{"River","Rainwater","Borehole","Vendor"}),IF(D309&lt;30000,LOOKUP(RAND(),{0,0.4,0.68,0.87},{"River","Rainwater","Borehole","Vendor"}),LOOKUP(RAND(),{0,0.28,0.55,0.78},{"River","Rainwater","Borehole","Vendor"}))),IF(B309="Kiserian",IF(D309&lt;15000,LOOKUP(RAND(),{0,0.35,0.65,0.9},{"River","Rainwater","Borehole","Vendor"}),IF(D309&lt;30000,LOOKUP(RAND(),{0,0.25,0.55,0.82},{"River","Rainwater","Borehole","Vendor"}),LOOKUP(RAND(),{0,0.15,0.45,0.72},{"River","Rainwater","Borehole","Vendor"}))),IF(D309&lt;15000,LOOKUP(RAND(),{0,0.4,0.7,0.92},{"River","Rainwater","Borehole","Vendor"}),IF(D309&lt;30000,LOOKUP(RAND(),{0,0.3,0.6,0.85},{"River","Rainwater","Borehole","Vendor"}),LOOKUP(RAND(),{0,0.2,0.5,0.75},{"River","Rainwater","Borehole","Vendor"}))))))</f>
        <v>Vendor</v>
      </c>
      <c r="F309">
        <f t="shared" ca="1" si="25"/>
        <v>35</v>
      </c>
      <c r="G309">
        <f t="shared" ca="1" si="26"/>
        <v>4.5999999999999996</v>
      </c>
      <c r="H309">
        <f t="shared" ca="1" si="27"/>
        <v>10200</v>
      </c>
      <c r="I309">
        <f t="shared" ca="1" si="28"/>
        <v>0.57021004400838216</v>
      </c>
      <c r="J309">
        <v>0</v>
      </c>
    </row>
    <row r="310" spans="1:10" x14ac:dyDescent="0.3">
      <c r="A310" t="str">
        <f t="shared" si="29"/>
        <v>HH309</v>
      </c>
      <c r="B310" t="str">
        <f ca="1">LOOKUP(RAND(),{0,0.28,0.55,0.78},{"Oloitoktok A","Oloitoktok B","Kiserian","Namanga"})</f>
        <v>Oloitoktok B</v>
      </c>
      <c r="C310">
        <f ca="1">LOOKUP(RAND(),{0,0.02,0.09,0.2,0.35,0.52,0.68,0.81,0.91,0.97},{1,2,3,4,5,6,7,8,9,10})</f>
        <v>4</v>
      </c>
      <c r="D310">
        <f t="shared" ca="1" si="24"/>
        <v>74800</v>
      </c>
      <c r="E310" t="str">
        <f ca="1">IF(B310="Oloitoktok A",IF(D310&lt;15000,LOOKUP(RAND(),{0,0.45,0.75,0.92},{"River","Rainwater","Borehole","Vendor"}),IF(D310&lt;30000,LOOKUP(RAND(),{0,0.35,0.65,0.85},{"River","Rainwater","Borehole","Vendor"}),LOOKUP(RAND(),{0,0.25,0.5,0.75},{"River","Rainwater","Borehole","Vendor"}))),IF(B310="Oloitoktok B",IF(D310&lt;15000,LOOKUP(RAND(),{0,0.5,0.78,0.94},{"River","Rainwater","Borehole","Vendor"}),IF(D310&lt;30000,LOOKUP(RAND(),{0,0.4,0.68,0.87},{"River","Rainwater","Borehole","Vendor"}),LOOKUP(RAND(),{0,0.28,0.55,0.78},{"River","Rainwater","Borehole","Vendor"}))),IF(B310="Kiserian",IF(D310&lt;15000,LOOKUP(RAND(),{0,0.35,0.65,0.9},{"River","Rainwater","Borehole","Vendor"}),IF(D310&lt;30000,LOOKUP(RAND(),{0,0.25,0.55,0.82},{"River","Rainwater","Borehole","Vendor"}),LOOKUP(RAND(),{0,0.15,0.45,0.72},{"River","Rainwater","Borehole","Vendor"}))),IF(D310&lt;15000,LOOKUP(RAND(),{0,0.4,0.7,0.92},{"River","Rainwater","Borehole","Vendor"}),IF(D310&lt;30000,LOOKUP(RAND(),{0,0.3,0.6,0.85},{"River","Rainwater","Borehole","Vendor"}),LOOKUP(RAND(),{0,0.2,0.5,0.75},{"River","Rainwater","Borehole","Vendor"}))))))</f>
        <v>Borehole</v>
      </c>
      <c r="F310">
        <f t="shared" ca="1" si="25"/>
        <v>52</v>
      </c>
      <c r="G310">
        <f t="shared" ca="1" si="26"/>
        <v>13.3</v>
      </c>
      <c r="H310">
        <f t="shared" ca="1" si="27"/>
        <v>6900</v>
      </c>
      <c r="I310">
        <f t="shared" ca="1" si="28"/>
        <v>0.20403782989729469</v>
      </c>
      <c r="J310">
        <v>0</v>
      </c>
    </row>
    <row r="311" spans="1:10" x14ac:dyDescent="0.3">
      <c r="A311" t="str">
        <f t="shared" si="29"/>
        <v>HH310</v>
      </c>
      <c r="B311" t="str">
        <f ca="1">LOOKUP(RAND(),{0,0.28,0.55,0.78},{"Oloitoktok A","Oloitoktok B","Kiserian","Namanga"})</f>
        <v>Oloitoktok B</v>
      </c>
      <c r="C311">
        <f ca="1">LOOKUP(RAND(),{0,0.02,0.09,0.2,0.35,0.52,0.68,0.81,0.91,0.97},{1,2,3,4,5,6,7,8,9,10})</f>
        <v>4</v>
      </c>
      <c r="D311">
        <f t="shared" ca="1" si="24"/>
        <v>33100</v>
      </c>
      <c r="E311" t="str">
        <f ca="1">IF(B311="Oloitoktok A",IF(D311&lt;15000,LOOKUP(RAND(),{0,0.45,0.75,0.92},{"River","Rainwater","Borehole","Vendor"}),IF(D311&lt;30000,LOOKUP(RAND(),{0,0.35,0.65,0.85},{"River","Rainwater","Borehole","Vendor"}),LOOKUP(RAND(),{0,0.25,0.5,0.75},{"River","Rainwater","Borehole","Vendor"}))),IF(B311="Oloitoktok B",IF(D311&lt;15000,LOOKUP(RAND(),{0,0.5,0.78,0.94},{"River","Rainwater","Borehole","Vendor"}),IF(D311&lt;30000,LOOKUP(RAND(),{0,0.4,0.68,0.87},{"River","Rainwater","Borehole","Vendor"}),LOOKUP(RAND(),{0,0.28,0.55,0.78},{"River","Rainwater","Borehole","Vendor"}))),IF(B311="Kiserian",IF(D311&lt;15000,LOOKUP(RAND(),{0,0.35,0.65,0.9},{"River","Rainwater","Borehole","Vendor"}),IF(D311&lt;30000,LOOKUP(RAND(),{0,0.25,0.55,0.82},{"River","Rainwater","Borehole","Vendor"}),LOOKUP(RAND(),{0,0.15,0.45,0.72},{"River","Rainwater","Borehole","Vendor"}))),IF(D311&lt;15000,LOOKUP(RAND(),{0,0.4,0.7,0.92},{"River","Rainwater","Borehole","Vendor"}),IF(D311&lt;30000,LOOKUP(RAND(),{0,0.3,0.6,0.85},{"River","Rainwater","Borehole","Vendor"}),LOOKUP(RAND(),{0,0.2,0.5,0.75},{"River","Rainwater","Borehole","Vendor"}))))))</f>
        <v>Vendor</v>
      </c>
      <c r="F311">
        <f t="shared" ca="1" si="25"/>
        <v>11</v>
      </c>
      <c r="G311">
        <f t="shared" ca="1" si="26"/>
        <v>2</v>
      </c>
      <c r="H311">
        <f t="shared" ca="1" si="27"/>
        <v>3300</v>
      </c>
      <c r="I311">
        <f t="shared" ca="1" si="28"/>
        <v>0.63030320037462562</v>
      </c>
      <c r="J311">
        <v>0</v>
      </c>
    </row>
    <row r="312" spans="1:10" x14ac:dyDescent="0.3">
      <c r="A312" t="str">
        <f t="shared" si="29"/>
        <v>HH311</v>
      </c>
      <c r="B312" t="str">
        <f ca="1">LOOKUP(RAND(),{0,0.28,0.55,0.78},{"Oloitoktok A","Oloitoktok B","Kiserian","Namanga"})</f>
        <v>Oloitoktok B</v>
      </c>
      <c r="C312">
        <f ca="1">LOOKUP(RAND(),{0,0.02,0.09,0.2,0.35,0.52,0.68,0.81,0.91,0.97},{1,2,3,4,5,6,7,8,9,10})</f>
        <v>9</v>
      </c>
      <c r="D312">
        <f t="shared" ca="1" si="24"/>
        <v>78600</v>
      </c>
      <c r="E312" t="str">
        <f ca="1">IF(B312="Oloitoktok A",IF(D312&lt;15000,LOOKUP(RAND(),{0,0.45,0.75,0.92},{"River","Rainwater","Borehole","Vendor"}),IF(D312&lt;30000,LOOKUP(RAND(),{0,0.35,0.65,0.85},{"River","Rainwater","Borehole","Vendor"}),LOOKUP(RAND(),{0,0.25,0.5,0.75},{"River","Rainwater","Borehole","Vendor"}))),IF(B312="Oloitoktok B",IF(D312&lt;15000,LOOKUP(RAND(),{0,0.5,0.78,0.94},{"River","Rainwater","Borehole","Vendor"}),IF(D312&lt;30000,LOOKUP(RAND(),{0,0.4,0.68,0.87},{"River","Rainwater","Borehole","Vendor"}),LOOKUP(RAND(),{0,0.28,0.55,0.78},{"River","Rainwater","Borehole","Vendor"}))),IF(B312="Kiserian",IF(D312&lt;15000,LOOKUP(RAND(),{0,0.35,0.65,0.9},{"River","Rainwater","Borehole","Vendor"}),IF(D312&lt;30000,LOOKUP(RAND(),{0,0.25,0.55,0.82},{"River","Rainwater","Borehole","Vendor"}),LOOKUP(RAND(),{0,0.15,0.45,0.72},{"River","Rainwater","Borehole","Vendor"}))),IF(D312&lt;15000,LOOKUP(RAND(),{0,0.4,0.7,0.92},{"River","Rainwater","Borehole","Vendor"}),IF(D312&lt;30000,LOOKUP(RAND(),{0,0.3,0.6,0.85},{"River","Rainwater","Borehole","Vendor"}),LOOKUP(RAND(),{0,0.2,0.5,0.75},{"River","Rainwater","Borehole","Vendor"}))))))</f>
        <v>Rainwater</v>
      </c>
      <c r="F312">
        <f t="shared" ca="1" si="25"/>
        <v>48</v>
      </c>
      <c r="G312">
        <f t="shared" ca="1" si="26"/>
        <v>13.3</v>
      </c>
      <c r="H312">
        <f t="shared" ca="1" si="27"/>
        <v>15300</v>
      </c>
      <c r="I312">
        <f t="shared" ca="1" si="28"/>
        <v>0.36513656056671739</v>
      </c>
      <c r="J312">
        <v>0</v>
      </c>
    </row>
    <row r="313" spans="1:10" x14ac:dyDescent="0.3">
      <c r="A313" t="str">
        <f t="shared" si="29"/>
        <v>HH312</v>
      </c>
      <c r="B313" t="str">
        <f ca="1">LOOKUP(RAND(),{0,0.28,0.55,0.78},{"Oloitoktok A","Oloitoktok B","Kiserian","Namanga"})</f>
        <v>Oloitoktok B</v>
      </c>
      <c r="C313">
        <f ca="1">LOOKUP(RAND(),{0,0.02,0.09,0.2,0.35,0.52,0.68,0.81,0.91,0.97},{1,2,3,4,5,6,7,8,9,10})</f>
        <v>6</v>
      </c>
      <c r="D313">
        <f t="shared" ca="1" si="24"/>
        <v>52800</v>
      </c>
      <c r="E313" t="str">
        <f ca="1">IF(B313="Oloitoktok A",IF(D313&lt;15000,LOOKUP(RAND(),{0,0.45,0.75,0.92},{"River","Rainwater","Borehole","Vendor"}),IF(D313&lt;30000,LOOKUP(RAND(),{0,0.35,0.65,0.85},{"River","Rainwater","Borehole","Vendor"}),LOOKUP(RAND(),{0,0.25,0.5,0.75},{"River","Rainwater","Borehole","Vendor"}))),IF(B313="Oloitoktok B",IF(D313&lt;15000,LOOKUP(RAND(),{0,0.5,0.78,0.94},{"River","Rainwater","Borehole","Vendor"}),IF(D313&lt;30000,LOOKUP(RAND(),{0,0.4,0.68,0.87},{"River","Rainwater","Borehole","Vendor"}),LOOKUP(RAND(),{0,0.28,0.55,0.78},{"River","Rainwater","Borehole","Vendor"}))),IF(B313="Kiserian",IF(D313&lt;15000,LOOKUP(RAND(),{0,0.35,0.65,0.9},{"River","Rainwater","Borehole","Vendor"}),IF(D313&lt;30000,LOOKUP(RAND(),{0,0.25,0.55,0.82},{"River","Rainwater","Borehole","Vendor"}),LOOKUP(RAND(),{0,0.15,0.45,0.72},{"River","Rainwater","Borehole","Vendor"}))),IF(D313&lt;15000,LOOKUP(RAND(),{0,0.4,0.7,0.92},{"River","Rainwater","Borehole","Vendor"}),IF(D313&lt;30000,LOOKUP(RAND(),{0,0.3,0.6,0.85},{"River","Rainwater","Borehole","Vendor"}),LOOKUP(RAND(),{0,0.2,0.5,0.75},{"River","Rainwater","Borehole","Vendor"}))))))</f>
        <v>River</v>
      </c>
      <c r="F313">
        <f t="shared" ca="1" si="25"/>
        <v>61</v>
      </c>
      <c r="G313">
        <f t="shared" ca="1" si="26"/>
        <v>12.3</v>
      </c>
      <c r="H313">
        <f t="shared" ca="1" si="27"/>
        <v>3200</v>
      </c>
      <c r="I313">
        <f t="shared" ca="1" si="28"/>
        <v>0.34869712843733025</v>
      </c>
      <c r="J313">
        <v>0</v>
      </c>
    </row>
    <row r="314" spans="1:10" x14ac:dyDescent="0.3">
      <c r="A314" t="str">
        <f t="shared" si="29"/>
        <v>HH313</v>
      </c>
      <c r="B314" t="str">
        <f ca="1">LOOKUP(RAND(),{0,0.28,0.55,0.78},{"Oloitoktok A","Oloitoktok B","Kiserian","Namanga"})</f>
        <v>Oloitoktok A</v>
      </c>
      <c r="C314">
        <f ca="1">LOOKUP(RAND(),{0,0.02,0.09,0.2,0.35,0.52,0.68,0.81,0.91,0.97},{1,2,3,4,5,6,7,8,9,10})</f>
        <v>4</v>
      </c>
      <c r="D314">
        <f t="shared" ca="1" si="24"/>
        <v>28400</v>
      </c>
      <c r="E314" t="str">
        <f ca="1">IF(B314="Oloitoktok A",IF(D314&lt;15000,LOOKUP(RAND(),{0,0.45,0.75,0.92},{"River","Rainwater","Borehole","Vendor"}),IF(D314&lt;30000,LOOKUP(RAND(),{0,0.35,0.65,0.85},{"River","Rainwater","Borehole","Vendor"}),LOOKUP(RAND(),{0,0.25,0.5,0.75},{"River","Rainwater","Borehole","Vendor"}))),IF(B314="Oloitoktok B",IF(D314&lt;15000,LOOKUP(RAND(),{0,0.5,0.78,0.94},{"River","Rainwater","Borehole","Vendor"}),IF(D314&lt;30000,LOOKUP(RAND(),{0,0.4,0.68,0.87},{"River","Rainwater","Borehole","Vendor"}),LOOKUP(RAND(),{0,0.28,0.55,0.78},{"River","Rainwater","Borehole","Vendor"}))),IF(B314="Kiserian",IF(D314&lt;15000,LOOKUP(RAND(),{0,0.35,0.65,0.9},{"River","Rainwater","Borehole","Vendor"}),IF(D314&lt;30000,LOOKUP(RAND(),{0,0.25,0.55,0.82},{"River","Rainwater","Borehole","Vendor"}),LOOKUP(RAND(),{0,0.15,0.45,0.72},{"River","Rainwater","Borehole","Vendor"}))),IF(D314&lt;15000,LOOKUP(RAND(),{0,0.4,0.7,0.92},{"River","Rainwater","Borehole","Vendor"}),IF(D314&lt;30000,LOOKUP(RAND(),{0,0.3,0.6,0.85},{"River","Rainwater","Borehole","Vendor"}),LOOKUP(RAND(),{0,0.2,0.5,0.75},{"River","Rainwater","Borehole","Vendor"}))))))</f>
        <v>Vendor</v>
      </c>
      <c r="F314">
        <f t="shared" ca="1" si="25"/>
        <v>42</v>
      </c>
      <c r="G314">
        <f t="shared" ca="1" si="26"/>
        <v>10.7</v>
      </c>
      <c r="H314">
        <f t="shared" ca="1" si="27"/>
        <v>9800</v>
      </c>
      <c r="I314">
        <f t="shared" ca="1" si="28"/>
        <v>0.14002331952718317</v>
      </c>
      <c r="J314">
        <v>0</v>
      </c>
    </row>
    <row r="315" spans="1:10" x14ac:dyDescent="0.3">
      <c r="A315" t="str">
        <f t="shared" si="29"/>
        <v>HH314</v>
      </c>
      <c r="B315" t="str">
        <f ca="1">LOOKUP(RAND(),{0,0.28,0.55,0.78},{"Oloitoktok A","Oloitoktok B","Kiserian","Namanga"})</f>
        <v>Namanga</v>
      </c>
      <c r="C315">
        <f ca="1">LOOKUP(RAND(),{0,0.02,0.09,0.2,0.35,0.52,0.68,0.81,0.91,0.97},{1,2,3,4,5,6,7,8,9,10})</f>
        <v>5</v>
      </c>
      <c r="D315">
        <f t="shared" ca="1" si="24"/>
        <v>64500</v>
      </c>
      <c r="E315" t="str">
        <f ca="1">IF(B315="Oloitoktok A",IF(D315&lt;15000,LOOKUP(RAND(),{0,0.45,0.75,0.92},{"River","Rainwater","Borehole","Vendor"}),IF(D315&lt;30000,LOOKUP(RAND(),{0,0.35,0.65,0.85},{"River","Rainwater","Borehole","Vendor"}),LOOKUP(RAND(),{0,0.25,0.5,0.75},{"River","Rainwater","Borehole","Vendor"}))),IF(B315="Oloitoktok B",IF(D315&lt;15000,LOOKUP(RAND(),{0,0.5,0.78,0.94},{"River","Rainwater","Borehole","Vendor"}),IF(D315&lt;30000,LOOKUP(RAND(),{0,0.4,0.68,0.87},{"River","Rainwater","Borehole","Vendor"}),LOOKUP(RAND(),{0,0.28,0.55,0.78},{"River","Rainwater","Borehole","Vendor"}))),IF(B315="Kiserian",IF(D315&lt;15000,LOOKUP(RAND(),{0,0.35,0.65,0.9},{"River","Rainwater","Borehole","Vendor"}),IF(D315&lt;30000,LOOKUP(RAND(),{0,0.25,0.55,0.82},{"River","Rainwater","Borehole","Vendor"}),LOOKUP(RAND(),{0,0.15,0.45,0.72},{"River","Rainwater","Borehole","Vendor"}))),IF(D315&lt;15000,LOOKUP(RAND(),{0,0.4,0.7,0.92},{"River","Rainwater","Borehole","Vendor"}),IF(D315&lt;30000,LOOKUP(RAND(),{0,0.3,0.6,0.85},{"River","Rainwater","Borehole","Vendor"}),LOOKUP(RAND(),{0,0.2,0.5,0.75},{"River","Rainwater","Borehole","Vendor"}))))))</f>
        <v>Vendor</v>
      </c>
      <c r="F315">
        <f t="shared" ca="1" si="25"/>
        <v>36</v>
      </c>
      <c r="G315">
        <f t="shared" ca="1" si="26"/>
        <v>0.8</v>
      </c>
      <c r="H315">
        <f t="shared" ca="1" si="27"/>
        <v>1200</v>
      </c>
      <c r="I315">
        <f t="shared" ca="1" si="28"/>
        <v>0.50759607567696841</v>
      </c>
      <c r="J315">
        <v>0</v>
      </c>
    </row>
    <row r="316" spans="1:10" x14ac:dyDescent="0.3">
      <c r="A316" t="str">
        <f t="shared" si="29"/>
        <v>HH315</v>
      </c>
      <c r="B316" t="str">
        <f ca="1">LOOKUP(RAND(),{0,0.28,0.55,0.78},{"Oloitoktok A","Oloitoktok B","Kiserian","Namanga"})</f>
        <v>Oloitoktok B</v>
      </c>
      <c r="C316">
        <f ca="1">LOOKUP(RAND(),{0,0.02,0.09,0.2,0.35,0.52,0.68,0.81,0.91,0.97},{1,2,3,4,5,6,7,8,9,10})</f>
        <v>6</v>
      </c>
      <c r="D316">
        <f t="shared" ca="1" si="24"/>
        <v>41700</v>
      </c>
      <c r="E316" t="str">
        <f ca="1">IF(B316="Oloitoktok A",IF(D316&lt;15000,LOOKUP(RAND(),{0,0.45,0.75,0.92},{"River","Rainwater","Borehole","Vendor"}),IF(D316&lt;30000,LOOKUP(RAND(),{0,0.35,0.65,0.85},{"River","Rainwater","Borehole","Vendor"}),LOOKUP(RAND(),{0,0.25,0.5,0.75},{"River","Rainwater","Borehole","Vendor"}))),IF(B316="Oloitoktok B",IF(D316&lt;15000,LOOKUP(RAND(),{0,0.5,0.78,0.94},{"River","Rainwater","Borehole","Vendor"}),IF(D316&lt;30000,LOOKUP(RAND(),{0,0.4,0.68,0.87},{"River","Rainwater","Borehole","Vendor"}),LOOKUP(RAND(),{0,0.28,0.55,0.78},{"River","Rainwater","Borehole","Vendor"}))),IF(B316="Kiserian",IF(D316&lt;15000,LOOKUP(RAND(),{0,0.35,0.65,0.9},{"River","Rainwater","Borehole","Vendor"}),IF(D316&lt;30000,LOOKUP(RAND(),{0,0.25,0.55,0.82},{"River","Rainwater","Borehole","Vendor"}),LOOKUP(RAND(),{0,0.15,0.45,0.72},{"River","Rainwater","Borehole","Vendor"}))),IF(D316&lt;15000,LOOKUP(RAND(),{0,0.4,0.7,0.92},{"River","Rainwater","Borehole","Vendor"}),IF(D316&lt;30000,LOOKUP(RAND(),{0,0.3,0.6,0.85},{"River","Rainwater","Borehole","Vendor"}),LOOKUP(RAND(),{0,0.2,0.5,0.75},{"River","Rainwater","Borehole","Vendor"}))))))</f>
        <v>River</v>
      </c>
      <c r="F316">
        <f t="shared" ca="1" si="25"/>
        <v>77</v>
      </c>
      <c r="G316">
        <f t="shared" ca="1" si="26"/>
        <v>8.3000000000000007</v>
      </c>
      <c r="H316">
        <f t="shared" ca="1" si="27"/>
        <v>6500</v>
      </c>
      <c r="I316">
        <f t="shared" ca="1" si="28"/>
        <v>0.73169663886193137</v>
      </c>
      <c r="J316">
        <v>0</v>
      </c>
    </row>
    <row r="317" spans="1:10" x14ac:dyDescent="0.3">
      <c r="A317" t="str">
        <f t="shared" si="29"/>
        <v>HH316</v>
      </c>
      <c r="B317" t="str">
        <f ca="1">LOOKUP(RAND(),{0,0.28,0.55,0.78},{"Oloitoktok A","Oloitoktok B","Kiserian","Namanga"})</f>
        <v>Oloitoktok A</v>
      </c>
      <c r="C317">
        <f ca="1">LOOKUP(RAND(),{0,0.02,0.09,0.2,0.35,0.52,0.68,0.81,0.91,0.97},{1,2,3,4,5,6,7,8,9,10})</f>
        <v>5</v>
      </c>
      <c r="D317">
        <f t="shared" ca="1" si="24"/>
        <v>40500</v>
      </c>
      <c r="E317" t="str">
        <f ca="1">IF(B317="Oloitoktok A",IF(D317&lt;15000,LOOKUP(RAND(),{0,0.45,0.75,0.92},{"River","Rainwater","Borehole","Vendor"}),IF(D317&lt;30000,LOOKUP(RAND(),{0,0.35,0.65,0.85},{"River","Rainwater","Borehole","Vendor"}),LOOKUP(RAND(),{0,0.25,0.5,0.75},{"River","Rainwater","Borehole","Vendor"}))),IF(B317="Oloitoktok B",IF(D317&lt;15000,LOOKUP(RAND(),{0,0.5,0.78,0.94},{"River","Rainwater","Borehole","Vendor"}),IF(D317&lt;30000,LOOKUP(RAND(),{0,0.4,0.68,0.87},{"River","Rainwater","Borehole","Vendor"}),LOOKUP(RAND(),{0,0.28,0.55,0.78},{"River","Rainwater","Borehole","Vendor"}))),IF(B317="Kiserian",IF(D317&lt;15000,LOOKUP(RAND(),{0,0.35,0.65,0.9},{"River","Rainwater","Borehole","Vendor"}),IF(D317&lt;30000,LOOKUP(RAND(),{0,0.25,0.55,0.82},{"River","Rainwater","Borehole","Vendor"}),LOOKUP(RAND(),{0,0.15,0.45,0.72},{"River","Rainwater","Borehole","Vendor"}))),IF(D317&lt;15000,LOOKUP(RAND(),{0,0.4,0.7,0.92},{"River","Rainwater","Borehole","Vendor"}),IF(D317&lt;30000,LOOKUP(RAND(),{0,0.3,0.6,0.85},{"River","Rainwater","Borehole","Vendor"}),LOOKUP(RAND(),{0,0.2,0.5,0.75},{"River","Rainwater","Borehole","Vendor"}))))))</f>
        <v>Vendor</v>
      </c>
      <c r="F317">
        <f t="shared" ca="1" si="25"/>
        <v>47</v>
      </c>
      <c r="G317">
        <f t="shared" ca="1" si="26"/>
        <v>9.6</v>
      </c>
      <c r="H317">
        <f t="shared" ca="1" si="27"/>
        <v>8500</v>
      </c>
      <c r="I317">
        <f t="shared" ca="1" si="28"/>
        <v>3.3360891614067856E-2</v>
      </c>
      <c r="J317">
        <v>0</v>
      </c>
    </row>
    <row r="318" spans="1:10" x14ac:dyDescent="0.3">
      <c r="A318" t="str">
        <f t="shared" si="29"/>
        <v>HH317</v>
      </c>
      <c r="B318" t="str">
        <f ca="1">LOOKUP(RAND(),{0,0.28,0.55,0.78},{"Oloitoktok A","Oloitoktok B","Kiserian","Namanga"})</f>
        <v>Oloitoktok A</v>
      </c>
      <c r="C318">
        <f ca="1">LOOKUP(RAND(),{0,0.02,0.09,0.2,0.35,0.52,0.68,0.81,0.91,0.97},{1,2,3,4,5,6,7,8,9,10})</f>
        <v>2</v>
      </c>
      <c r="D318">
        <f t="shared" ca="1" si="24"/>
        <v>53900</v>
      </c>
      <c r="E318" t="str">
        <f ca="1">IF(B318="Oloitoktok A",IF(D318&lt;15000,LOOKUP(RAND(),{0,0.45,0.75,0.92},{"River","Rainwater","Borehole","Vendor"}),IF(D318&lt;30000,LOOKUP(RAND(),{0,0.35,0.65,0.85},{"River","Rainwater","Borehole","Vendor"}),LOOKUP(RAND(),{0,0.25,0.5,0.75},{"River","Rainwater","Borehole","Vendor"}))),IF(B318="Oloitoktok B",IF(D318&lt;15000,LOOKUP(RAND(),{0,0.5,0.78,0.94},{"River","Rainwater","Borehole","Vendor"}),IF(D318&lt;30000,LOOKUP(RAND(),{0,0.4,0.68,0.87},{"River","Rainwater","Borehole","Vendor"}),LOOKUP(RAND(),{0,0.28,0.55,0.78},{"River","Rainwater","Borehole","Vendor"}))),IF(B318="Kiserian",IF(D318&lt;15000,LOOKUP(RAND(),{0,0.35,0.65,0.9},{"River","Rainwater","Borehole","Vendor"}),IF(D318&lt;30000,LOOKUP(RAND(),{0,0.25,0.55,0.82},{"River","Rainwater","Borehole","Vendor"}),LOOKUP(RAND(),{0,0.15,0.45,0.72},{"River","Rainwater","Borehole","Vendor"}))),IF(D318&lt;15000,LOOKUP(RAND(),{0,0.4,0.7,0.92},{"River","Rainwater","Borehole","Vendor"}),IF(D318&lt;30000,LOOKUP(RAND(),{0,0.3,0.6,0.85},{"River","Rainwater","Borehole","Vendor"}),LOOKUP(RAND(),{0,0.2,0.5,0.75},{"River","Rainwater","Borehole","Vendor"}))))))</f>
        <v>Borehole</v>
      </c>
      <c r="F318">
        <f t="shared" ca="1" si="25"/>
        <v>69</v>
      </c>
      <c r="G318">
        <f t="shared" ca="1" si="26"/>
        <v>4</v>
      </c>
      <c r="H318">
        <f t="shared" ca="1" si="27"/>
        <v>1200</v>
      </c>
      <c r="I318">
        <f t="shared" ca="1" si="28"/>
        <v>0.69828951819280449</v>
      </c>
      <c r="J318">
        <v>0</v>
      </c>
    </row>
    <row r="319" spans="1:10" x14ac:dyDescent="0.3">
      <c r="A319" t="str">
        <f t="shared" si="29"/>
        <v>HH318</v>
      </c>
      <c r="B319" t="str">
        <f ca="1">LOOKUP(RAND(),{0,0.28,0.55,0.78},{"Oloitoktok A","Oloitoktok B","Kiserian","Namanga"})</f>
        <v>Kiserian</v>
      </c>
      <c r="C319">
        <f ca="1">LOOKUP(RAND(),{0,0.02,0.09,0.2,0.35,0.52,0.68,0.81,0.91,0.97},{1,2,3,4,5,6,7,8,9,10})</f>
        <v>7</v>
      </c>
      <c r="D319">
        <f t="shared" ca="1" si="24"/>
        <v>56100</v>
      </c>
      <c r="E319" t="str">
        <f ca="1">IF(B319="Oloitoktok A",IF(D319&lt;15000,LOOKUP(RAND(),{0,0.45,0.75,0.92},{"River","Rainwater","Borehole","Vendor"}),IF(D319&lt;30000,LOOKUP(RAND(),{0,0.35,0.65,0.85},{"River","Rainwater","Borehole","Vendor"}),LOOKUP(RAND(),{0,0.25,0.5,0.75},{"River","Rainwater","Borehole","Vendor"}))),IF(B319="Oloitoktok B",IF(D319&lt;15000,LOOKUP(RAND(),{0,0.5,0.78,0.94},{"River","Rainwater","Borehole","Vendor"}),IF(D319&lt;30000,LOOKUP(RAND(),{0,0.4,0.68,0.87},{"River","Rainwater","Borehole","Vendor"}),LOOKUP(RAND(),{0,0.28,0.55,0.78},{"River","Rainwater","Borehole","Vendor"}))),IF(B319="Kiserian",IF(D319&lt;15000,LOOKUP(RAND(),{0,0.35,0.65,0.9},{"River","Rainwater","Borehole","Vendor"}),IF(D319&lt;30000,LOOKUP(RAND(),{0,0.25,0.55,0.82},{"River","Rainwater","Borehole","Vendor"}),LOOKUP(RAND(),{0,0.15,0.45,0.72},{"River","Rainwater","Borehole","Vendor"}))),IF(D319&lt;15000,LOOKUP(RAND(),{0,0.4,0.7,0.92},{"River","Rainwater","Borehole","Vendor"}),IF(D319&lt;30000,LOOKUP(RAND(),{0,0.3,0.6,0.85},{"River","Rainwater","Borehole","Vendor"}),LOOKUP(RAND(),{0,0.2,0.5,0.75},{"River","Rainwater","Borehole","Vendor"}))))))</f>
        <v>Rainwater</v>
      </c>
      <c r="F319">
        <f t="shared" ca="1" si="25"/>
        <v>56</v>
      </c>
      <c r="G319">
        <f t="shared" ca="1" si="26"/>
        <v>1.9</v>
      </c>
      <c r="H319">
        <f t="shared" ca="1" si="27"/>
        <v>6300</v>
      </c>
      <c r="I319">
        <f t="shared" ca="1" si="28"/>
        <v>0.21485360436272716</v>
      </c>
      <c r="J319">
        <v>0</v>
      </c>
    </row>
    <row r="320" spans="1:10" x14ac:dyDescent="0.3">
      <c r="A320" t="str">
        <f t="shared" si="29"/>
        <v>HH319</v>
      </c>
      <c r="B320" t="str">
        <f ca="1">LOOKUP(RAND(),{0,0.28,0.55,0.78},{"Oloitoktok A","Oloitoktok B","Kiserian","Namanga"})</f>
        <v>Oloitoktok A</v>
      </c>
      <c r="C320">
        <f ca="1">LOOKUP(RAND(),{0,0.02,0.09,0.2,0.35,0.52,0.68,0.81,0.91,0.97},{1,2,3,4,5,6,7,8,9,10})</f>
        <v>2</v>
      </c>
      <c r="D320">
        <f t="shared" ca="1" si="24"/>
        <v>20600</v>
      </c>
      <c r="E320" t="str">
        <f ca="1">IF(B320="Oloitoktok A",IF(D320&lt;15000,LOOKUP(RAND(),{0,0.45,0.75,0.92},{"River","Rainwater","Borehole","Vendor"}),IF(D320&lt;30000,LOOKUP(RAND(),{0,0.35,0.65,0.85},{"River","Rainwater","Borehole","Vendor"}),LOOKUP(RAND(),{0,0.25,0.5,0.75},{"River","Rainwater","Borehole","Vendor"}))),IF(B320="Oloitoktok B",IF(D320&lt;15000,LOOKUP(RAND(),{0,0.5,0.78,0.94},{"River","Rainwater","Borehole","Vendor"}),IF(D320&lt;30000,LOOKUP(RAND(),{0,0.4,0.68,0.87},{"River","Rainwater","Borehole","Vendor"}),LOOKUP(RAND(),{0,0.28,0.55,0.78},{"River","Rainwater","Borehole","Vendor"}))),IF(B320="Kiserian",IF(D320&lt;15000,LOOKUP(RAND(),{0,0.35,0.65,0.9},{"River","Rainwater","Borehole","Vendor"}),IF(D320&lt;30000,LOOKUP(RAND(),{0,0.25,0.55,0.82},{"River","Rainwater","Borehole","Vendor"}),LOOKUP(RAND(),{0,0.15,0.45,0.72},{"River","Rainwater","Borehole","Vendor"}))),IF(D320&lt;15000,LOOKUP(RAND(),{0,0.4,0.7,0.92},{"River","Rainwater","Borehole","Vendor"}),IF(D320&lt;30000,LOOKUP(RAND(),{0,0.3,0.6,0.85},{"River","Rainwater","Borehole","Vendor"}),LOOKUP(RAND(),{0,0.2,0.5,0.75},{"River","Rainwater","Borehole","Vendor"}))))))</f>
        <v>River</v>
      </c>
      <c r="F320">
        <f t="shared" ca="1" si="25"/>
        <v>72</v>
      </c>
      <c r="G320">
        <f t="shared" ca="1" si="26"/>
        <v>7.9</v>
      </c>
      <c r="H320">
        <f t="shared" ca="1" si="27"/>
        <v>1600</v>
      </c>
      <c r="I320">
        <f t="shared" ca="1" si="28"/>
        <v>0.73491972302470576</v>
      </c>
      <c r="J320">
        <v>0</v>
      </c>
    </row>
    <row r="321" spans="1:10" x14ac:dyDescent="0.3">
      <c r="A321" t="str">
        <f t="shared" si="29"/>
        <v>HH320</v>
      </c>
      <c r="B321" t="str">
        <f ca="1">LOOKUP(RAND(),{0,0.28,0.55,0.78},{"Oloitoktok A","Oloitoktok B","Kiserian","Namanga"})</f>
        <v>Oloitoktok A</v>
      </c>
      <c r="C321">
        <f ca="1">LOOKUP(RAND(),{0,0.02,0.09,0.2,0.35,0.52,0.68,0.81,0.91,0.97},{1,2,3,4,5,6,7,8,9,10})</f>
        <v>7</v>
      </c>
      <c r="D321">
        <f t="shared" ca="1" si="24"/>
        <v>63200</v>
      </c>
      <c r="E321" t="str">
        <f ca="1">IF(B321="Oloitoktok A",IF(D321&lt;15000,LOOKUP(RAND(),{0,0.45,0.75,0.92},{"River","Rainwater","Borehole","Vendor"}),IF(D321&lt;30000,LOOKUP(RAND(),{0,0.35,0.65,0.85},{"River","Rainwater","Borehole","Vendor"}),LOOKUP(RAND(),{0,0.25,0.5,0.75},{"River","Rainwater","Borehole","Vendor"}))),IF(B321="Oloitoktok B",IF(D321&lt;15000,LOOKUP(RAND(),{0,0.5,0.78,0.94},{"River","Rainwater","Borehole","Vendor"}),IF(D321&lt;30000,LOOKUP(RAND(),{0,0.4,0.68,0.87},{"River","Rainwater","Borehole","Vendor"}),LOOKUP(RAND(),{0,0.28,0.55,0.78},{"River","Rainwater","Borehole","Vendor"}))),IF(B321="Kiserian",IF(D321&lt;15000,LOOKUP(RAND(),{0,0.35,0.65,0.9},{"River","Rainwater","Borehole","Vendor"}),IF(D321&lt;30000,LOOKUP(RAND(),{0,0.25,0.55,0.82},{"River","Rainwater","Borehole","Vendor"}),LOOKUP(RAND(),{0,0.15,0.45,0.72},{"River","Rainwater","Borehole","Vendor"}))),IF(D321&lt;15000,LOOKUP(RAND(),{0,0.4,0.7,0.92},{"River","Rainwater","Borehole","Vendor"}),IF(D321&lt;30000,LOOKUP(RAND(),{0,0.3,0.6,0.85},{"River","Rainwater","Borehole","Vendor"}),LOOKUP(RAND(),{0,0.2,0.5,0.75},{"River","Rainwater","Borehole","Vendor"}))))))</f>
        <v>Vendor</v>
      </c>
      <c r="F321">
        <f t="shared" ca="1" si="25"/>
        <v>28</v>
      </c>
      <c r="G321">
        <f t="shared" ca="1" si="26"/>
        <v>11.4</v>
      </c>
      <c r="H321">
        <f t="shared" ca="1" si="27"/>
        <v>4500</v>
      </c>
      <c r="I321">
        <f t="shared" ca="1" si="28"/>
        <v>0.1728102930796771</v>
      </c>
      <c r="J321">
        <v>0</v>
      </c>
    </row>
    <row r="322" spans="1:10" x14ac:dyDescent="0.3">
      <c r="A322" t="str">
        <f t="shared" si="29"/>
        <v>HH321</v>
      </c>
      <c r="B322" t="str">
        <f ca="1">LOOKUP(RAND(),{0,0.28,0.55,0.78},{"Oloitoktok A","Oloitoktok B","Kiserian","Namanga"})</f>
        <v>Kiserian</v>
      </c>
      <c r="C322">
        <f ca="1">LOOKUP(RAND(),{0,0.02,0.09,0.2,0.35,0.52,0.68,0.81,0.91,0.97},{1,2,3,4,5,6,7,8,9,10})</f>
        <v>3</v>
      </c>
      <c r="D322">
        <f t="shared" ref="D322:D385" ca="1" si="30">MAX(5000,MIN(150000,ROUND(_xlfn.LOGNORM.INV(RAND(),LN(28000+1500*C322),0.55),-2)))</f>
        <v>22900</v>
      </c>
      <c r="E322" t="str">
        <f ca="1">IF(B322="Oloitoktok A",IF(D322&lt;15000,LOOKUP(RAND(),{0,0.45,0.75,0.92},{"River","Rainwater","Borehole","Vendor"}),IF(D322&lt;30000,LOOKUP(RAND(),{0,0.35,0.65,0.85},{"River","Rainwater","Borehole","Vendor"}),LOOKUP(RAND(),{0,0.25,0.5,0.75},{"River","Rainwater","Borehole","Vendor"}))),IF(B322="Oloitoktok B",IF(D322&lt;15000,LOOKUP(RAND(),{0,0.5,0.78,0.94},{"River","Rainwater","Borehole","Vendor"}),IF(D322&lt;30000,LOOKUP(RAND(),{0,0.4,0.68,0.87},{"River","Rainwater","Borehole","Vendor"}),LOOKUP(RAND(),{0,0.28,0.55,0.78},{"River","Rainwater","Borehole","Vendor"}))),IF(B322="Kiserian",IF(D322&lt;15000,LOOKUP(RAND(),{0,0.35,0.65,0.9},{"River","Rainwater","Borehole","Vendor"}),IF(D322&lt;30000,LOOKUP(RAND(),{0,0.25,0.55,0.82},{"River","Rainwater","Borehole","Vendor"}),LOOKUP(RAND(),{0,0.15,0.45,0.72},{"River","Rainwater","Borehole","Vendor"}))),IF(D322&lt;15000,LOOKUP(RAND(),{0,0.4,0.7,0.92},{"River","Rainwater","Borehole","Vendor"}),IF(D322&lt;30000,LOOKUP(RAND(),{0,0.3,0.6,0.85},{"River","Rainwater","Borehole","Vendor"}),LOOKUP(RAND(),{0,0.2,0.5,0.75},{"River","Rainwater","Borehole","Vendor"}))))))</f>
        <v>Vendor</v>
      </c>
      <c r="F322">
        <f t="shared" ref="F322:F385" ca="1" si="31">IF(E322="River",RANDBETWEEN(45,120),IF(E322="Rainwater",RANDBETWEEN(15,70),IF(E322="Borehole",RANDBETWEEN(20,75),RANDBETWEEN(10,60))))</f>
        <v>31</v>
      </c>
      <c r="G322">
        <f t="shared" ref="G322:G385" ca="1" si="32">IF(B322="Oloitoktok A",ROUND(RANDBETWEEN(5,150)/10,1),IF(B322="Oloitoktok B",ROUND(RANDBETWEEN(4,140)/10,1),IF(B322="Kiserian",ROUND(RANDBETWEEN(2,100)/10,1),ROUND(RANDBETWEEN(3,120)/10,1))))</f>
        <v>9.6999999999999993</v>
      </c>
      <c r="H322">
        <f t="shared" ref="H322:H385" ca="1" si="33">MAX(0,ROUND((1500+(C322*250)+(D322*0.025)+(F322*8)+(G322*120)+IF(E322="River",1200,IF(E322="Rainwater",700,IF(E322="Borehole",400,200)))+_xlfn.NORM.INV(RAND(),0,3500)),-2))</f>
        <v>6200</v>
      </c>
      <c r="I322">
        <f t="shared" ref="I322:I385" ca="1" si="34">RAND()</f>
        <v>0.42101201048062697</v>
      </c>
      <c r="J322">
        <v>0</v>
      </c>
    </row>
    <row r="323" spans="1:10" x14ac:dyDescent="0.3">
      <c r="A323" t="str">
        <f t="shared" ref="A323:A386" si="35">"HH"&amp;TEXT(ROW()-1,"000")</f>
        <v>HH322</v>
      </c>
      <c r="B323" t="str">
        <f ca="1">LOOKUP(RAND(),{0,0.28,0.55,0.78},{"Oloitoktok A","Oloitoktok B","Kiserian","Namanga"})</f>
        <v>Oloitoktok A</v>
      </c>
      <c r="C323">
        <f ca="1">LOOKUP(RAND(),{0,0.02,0.09,0.2,0.35,0.52,0.68,0.81,0.91,0.97},{1,2,3,4,5,6,7,8,9,10})</f>
        <v>5</v>
      </c>
      <c r="D323">
        <f t="shared" ca="1" si="30"/>
        <v>39700</v>
      </c>
      <c r="E323" t="str">
        <f ca="1">IF(B323="Oloitoktok A",IF(D323&lt;15000,LOOKUP(RAND(),{0,0.45,0.75,0.92},{"River","Rainwater","Borehole","Vendor"}),IF(D323&lt;30000,LOOKUP(RAND(),{0,0.35,0.65,0.85},{"River","Rainwater","Borehole","Vendor"}),LOOKUP(RAND(),{0,0.25,0.5,0.75},{"River","Rainwater","Borehole","Vendor"}))),IF(B323="Oloitoktok B",IF(D323&lt;15000,LOOKUP(RAND(),{0,0.5,0.78,0.94},{"River","Rainwater","Borehole","Vendor"}),IF(D323&lt;30000,LOOKUP(RAND(),{0,0.4,0.68,0.87},{"River","Rainwater","Borehole","Vendor"}),LOOKUP(RAND(),{0,0.28,0.55,0.78},{"River","Rainwater","Borehole","Vendor"}))),IF(B323="Kiserian",IF(D323&lt;15000,LOOKUP(RAND(),{0,0.35,0.65,0.9},{"River","Rainwater","Borehole","Vendor"}),IF(D323&lt;30000,LOOKUP(RAND(),{0,0.25,0.55,0.82},{"River","Rainwater","Borehole","Vendor"}),LOOKUP(RAND(),{0,0.15,0.45,0.72},{"River","Rainwater","Borehole","Vendor"}))),IF(D323&lt;15000,LOOKUP(RAND(),{0,0.4,0.7,0.92},{"River","Rainwater","Borehole","Vendor"}),IF(D323&lt;30000,LOOKUP(RAND(),{0,0.3,0.6,0.85},{"River","Rainwater","Borehole","Vendor"}),LOOKUP(RAND(),{0,0.2,0.5,0.75},{"River","Rainwater","Borehole","Vendor"}))))))</f>
        <v>Borehole</v>
      </c>
      <c r="F323">
        <f t="shared" ca="1" si="31"/>
        <v>51</v>
      </c>
      <c r="G323">
        <f t="shared" ca="1" si="32"/>
        <v>9.9</v>
      </c>
      <c r="H323">
        <f t="shared" ca="1" si="33"/>
        <v>11000</v>
      </c>
      <c r="I323">
        <f t="shared" ca="1" si="34"/>
        <v>0.26491572810079056</v>
      </c>
      <c r="J323">
        <v>0</v>
      </c>
    </row>
    <row r="324" spans="1:10" x14ac:dyDescent="0.3">
      <c r="A324" t="str">
        <f t="shared" si="35"/>
        <v>HH323</v>
      </c>
      <c r="B324" t="str">
        <f ca="1">LOOKUP(RAND(),{0,0.28,0.55,0.78},{"Oloitoktok A","Oloitoktok B","Kiserian","Namanga"})</f>
        <v>Kiserian</v>
      </c>
      <c r="C324">
        <f ca="1">LOOKUP(RAND(),{0,0.02,0.09,0.2,0.35,0.52,0.68,0.81,0.91,0.97},{1,2,3,4,5,6,7,8,9,10})</f>
        <v>2</v>
      </c>
      <c r="D324">
        <f t="shared" ca="1" si="30"/>
        <v>37400</v>
      </c>
      <c r="E324" t="str">
        <f ca="1">IF(B324="Oloitoktok A",IF(D324&lt;15000,LOOKUP(RAND(),{0,0.45,0.75,0.92},{"River","Rainwater","Borehole","Vendor"}),IF(D324&lt;30000,LOOKUP(RAND(),{0,0.35,0.65,0.85},{"River","Rainwater","Borehole","Vendor"}),LOOKUP(RAND(),{0,0.25,0.5,0.75},{"River","Rainwater","Borehole","Vendor"}))),IF(B324="Oloitoktok B",IF(D324&lt;15000,LOOKUP(RAND(),{0,0.5,0.78,0.94},{"River","Rainwater","Borehole","Vendor"}),IF(D324&lt;30000,LOOKUP(RAND(),{0,0.4,0.68,0.87},{"River","Rainwater","Borehole","Vendor"}),LOOKUP(RAND(),{0,0.28,0.55,0.78},{"River","Rainwater","Borehole","Vendor"}))),IF(B324="Kiserian",IF(D324&lt;15000,LOOKUP(RAND(),{0,0.35,0.65,0.9},{"River","Rainwater","Borehole","Vendor"}),IF(D324&lt;30000,LOOKUP(RAND(),{0,0.25,0.55,0.82},{"River","Rainwater","Borehole","Vendor"}),LOOKUP(RAND(),{0,0.15,0.45,0.72},{"River","Rainwater","Borehole","Vendor"}))),IF(D324&lt;15000,LOOKUP(RAND(),{0,0.4,0.7,0.92},{"River","Rainwater","Borehole","Vendor"}),IF(D324&lt;30000,LOOKUP(RAND(),{0,0.3,0.6,0.85},{"River","Rainwater","Borehole","Vendor"}),LOOKUP(RAND(),{0,0.2,0.5,0.75},{"River","Rainwater","Borehole","Vendor"}))))))</f>
        <v>River</v>
      </c>
      <c r="F324">
        <f t="shared" ca="1" si="31"/>
        <v>46</v>
      </c>
      <c r="G324">
        <f t="shared" ca="1" si="32"/>
        <v>8.9</v>
      </c>
      <c r="H324">
        <f t="shared" ca="1" si="33"/>
        <v>5600</v>
      </c>
      <c r="I324">
        <f t="shared" ca="1" si="34"/>
        <v>0.48957707362434588</v>
      </c>
      <c r="J324">
        <v>0</v>
      </c>
    </row>
    <row r="325" spans="1:10" x14ac:dyDescent="0.3">
      <c r="A325" t="str">
        <f t="shared" si="35"/>
        <v>HH324</v>
      </c>
      <c r="B325" t="str">
        <f ca="1">LOOKUP(RAND(),{0,0.28,0.55,0.78},{"Oloitoktok A","Oloitoktok B","Kiserian","Namanga"})</f>
        <v>Oloitoktok A</v>
      </c>
      <c r="C325">
        <f ca="1">LOOKUP(RAND(),{0,0.02,0.09,0.2,0.35,0.52,0.68,0.81,0.91,0.97},{1,2,3,4,5,6,7,8,9,10})</f>
        <v>4</v>
      </c>
      <c r="D325">
        <f t="shared" ca="1" si="30"/>
        <v>36400</v>
      </c>
      <c r="E325" t="str">
        <f ca="1">IF(B325="Oloitoktok A",IF(D325&lt;15000,LOOKUP(RAND(),{0,0.45,0.75,0.92},{"River","Rainwater","Borehole","Vendor"}),IF(D325&lt;30000,LOOKUP(RAND(),{0,0.35,0.65,0.85},{"River","Rainwater","Borehole","Vendor"}),LOOKUP(RAND(),{0,0.25,0.5,0.75},{"River","Rainwater","Borehole","Vendor"}))),IF(B325="Oloitoktok B",IF(D325&lt;15000,LOOKUP(RAND(),{0,0.5,0.78,0.94},{"River","Rainwater","Borehole","Vendor"}),IF(D325&lt;30000,LOOKUP(RAND(),{0,0.4,0.68,0.87},{"River","Rainwater","Borehole","Vendor"}),LOOKUP(RAND(),{0,0.28,0.55,0.78},{"River","Rainwater","Borehole","Vendor"}))),IF(B325="Kiserian",IF(D325&lt;15000,LOOKUP(RAND(),{0,0.35,0.65,0.9},{"River","Rainwater","Borehole","Vendor"}),IF(D325&lt;30000,LOOKUP(RAND(),{0,0.25,0.55,0.82},{"River","Rainwater","Borehole","Vendor"}),LOOKUP(RAND(),{0,0.15,0.45,0.72},{"River","Rainwater","Borehole","Vendor"}))),IF(D325&lt;15000,LOOKUP(RAND(),{0,0.4,0.7,0.92},{"River","Rainwater","Borehole","Vendor"}),IF(D325&lt;30000,LOOKUP(RAND(),{0,0.3,0.6,0.85},{"River","Rainwater","Borehole","Vendor"}),LOOKUP(RAND(),{0,0.2,0.5,0.75},{"River","Rainwater","Borehole","Vendor"}))))))</f>
        <v>Borehole</v>
      </c>
      <c r="F325">
        <f t="shared" ca="1" si="31"/>
        <v>68</v>
      </c>
      <c r="G325">
        <f t="shared" ca="1" si="32"/>
        <v>14.3</v>
      </c>
      <c r="H325">
        <f t="shared" ca="1" si="33"/>
        <v>8900</v>
      </c>
      <c r="I325">
        <f t="shared" ca="1" si="34"/>
        <v>0.61872847923414975</v>
      </c>
      <c r="J325">
        <v>0</v>
      </c>
    </row>
    <row r="326" spans="1:10" x14ac:dyDescent="0.3">
      <c r="A326" t="str">
        <f t="shared" si="35"/>
        <v>HH325</v>
      </c>
      <c r="B326" t="str">
        <f ca="1">LOOKUP(RAND(),{0,0.28,0.55,0.78},{"Oloitoktok A","Oloitoktok B","Kiserian","Namanga"})</f>
        <v>Kiserian</v>
      </c>
      <c r="C326">
        <f ca="1">LOOKUP(RAND(),{0,0.02,0.09,0.2,0.35,0.52,0.68,0.81,0.91,0.97},{1,2,3,4,5,6,7,8,9,10})</f>
        <v>6</v>
      </c>
      <c r="D326">
        <f t="shared" ca="1" si="30"/>
        <v>81900</v>
      </c>
      <c r="E326" t="str">
        <f ca="1">IF(B326="Oloitoktok A",IF(D326&lt;15000,LOOKUP(RAND(),{0,0.45,0.75,0.92},{"River","Rainwater","Borehole","Vendor"}),IF(D326&lt;30000,LOOKUP(RAND(),{0,0.35,0.65,0.85},{"River","Rainwater","Borehole","Vendor"}),LOOKUP(RAND(),{0,0.25,0.5,0.75},{"River","Rainwater","Borehole","Vendor"}))),IF(B326="Oloitoktok B",IF(D326&lt;15000,LOOKUP(RAND(),{0,0.5,0.78,0.94},{"River","Rainwater","Borehole","Vendor"}),IF(D326&lt;30000,LOOKUP(RAND(),{0,0.4,0.68,0.87},{"River","Rainwater","Borehole","Vendor"}),LOOKUP(RAND(),{0,0.28,0.55,0.78},{"River","Rainwater","Borehole","Vendor"}))),IF(B326="Kiserian",IF(D326&lt;15000,LOOKUP(RAND(),{0,0.35,0.65,0.9},{"River","Rainwater","Borehole","Vendor"}),IF(D326&lt;30000,LOOKUP(RAND(),{0,0.25,0.55,0.82},{"River","Rainwater","Borehole","Vendor"}),LOOKUP(RAND(),{0,0.15,0.45,0.72},{"River","Rainwater","Borehole","Vendor"}))),IF(D326&lt;15000,LOOKUP(RAND(),{0,0.4,0.7,0.92},{"River","Rainwater","Borehole","Vendor"}),IF(D326&lt;30000,LOOKUP(RAND(),{0,0.3,0.6,0.85},{"River","Rainwater","Borehole","Vendor"}),LOOKUP(RAND(),{0,0.2,0.5,0.75},{"River","Rainwater","Borehole","Vendor"}))))))</f>
        <v>Rainwater</v>
      </c>
      <c r="F326">
        <f t="shared" ca="1" si="31"/>
        <v>16</v>
      </c>
      <c r="G326">
        <f t="shared" ca="1" si="32"/>
        <v>2.7</v>
      </c>
      <c r="H326">
        <f t="shared" ca="1" si="33"/>
        <v>5000</v>
      </c>
      <c r="I326">
        <f t="shared" ca="1" si="34"/>
        <v>0.8507387407414897</v>
      </c>
      <c r="J326">
        <v>0</v>
      </c>
    </row>
    <row r="327" spans="1:10" x14ac:dyDescent="0.3">
      <c r="A327" t="str">
        <f t="shared" si="35"/>
        <v>HH326</v>
      </c>
      <c r="B327" t="str">
        <f ca="1">LOOKUP(RAND(),{0,0.28,0.55,0.78},{"Oloitoktok A","Oloitoktok B","Kiserian","Namanga"})</f>
        <v>Oloitoktok A</v>
      </c>
      <c r="C327">
        <f ca="1">LOOKUP(RAND(),{0,0.02,0.09,0.2,0.35,0.52,0.68,0.81,0.91,0.97},{1,2,3,4,5,6,7,8,9,10})</f>
        <v>8</v>
      </c>
      <c r="D327">
        <f t="shared" ca="1" si="30"/>
        <v>30100</v>
      </c>
      <c r="E327" t="str">
        <f ca="1">IF(B327="Oloitoktok A",IF(D327&lt;15000,LOOKUP(RAND(),{0,0.45,0.75,0.92},{"River","Rainwater","Borehole","Vendor"}),IF(D327&lt;30000,LOOKUP(RAND(),{0,0.35,0.65,0.85},{"River","Rainwater","Borehole","Vendor"}),LOOKUP(RAND(),{0,0.25,0.5,0.75},{"River","Rainwater","Borehole","Vendor"}))),IF(B327="Oloitoktok B",IF(D327&lt;15000,LOOKUP(RAND(),{0,0.5,0.78,0.94},{"River","Rainwater","Borehole","Vendor"}),IF(D327&lt;30000,LOOKUP(RAND(),{0,0.4,0.68,0.87},{"River","Rainwater","Borehole","Vendor"}),LOOKUP(RAND(),{0,0.28,0.55,0.78},{"River","Rainwater","Borehole","Vendor"}))),IF(B327="Kiserian",IF(D327&lt;15000,LOOKUP(RAND(),{0,0.35,0.65,0.9},{"River","Rainwater","Borehole","Vendor"}),IF(D327&lt;30000,LOOKUP(RAND(),{0,0.25,0.55,0.82},{"River","Rainwater","Borehole","Vendor"}),LOOKUP(RAND(),{0,0.15,0.45,0.72},{"River","Rainwater","Borehole","Vendor"}))),IF(D327&lt;15000,LOOKUP(RAND(),{0,0.4,0.7,0.92},{"River","Rainwater","Borehole","Vendor"}),IF(D327&lt;30000,LOOKUP(RAND(),{0,0.3,0.6,0.85},{"River","Rainwater","Borehole","Vendor"}),LOOKUP(RAND(),{0,0.2,0.5,0.75},{"River","Rainwater","Borehole","Vendor"}))))))</f>
        <v>River</v>
      </c>
      <c r="F327">
        <f t="shared" ca="1" si="31"/>
        <v>46</v>
      </c>
      <c r="G327">
        <f t="shared" ca="1" si="32"/>
        <v>7.3</v>
      </c>
      <c r="H327">
        <f t="shared" ca="1" si="33"/>
        <v>9000</v>
      </c>
      <c r="I327">
        <f t="shared" ca="1" si="34"/>
        <v>0.57189730142818085</v>
      </c>
      <c r="J327">
        <v>0</v>
      </c>
    </row>
    <row r="328" spans="1:10" x14ac:dyDescent="0.3">
      <c r="A328" t="str">
        <f t="shared" si="35"/>
        <v>HH327</v>
      </c>
      <c r="B328" t="str">
        <f ca="1">LOOKUP(RAND(),{0,0.28,0.55,0.78},{"Oloitoktok A","Oloitoktok B","Kiserian","Namanga"})</f>
        <v>Oloitoktok A</v>
      </c>
      <c r="C328">
        <f ca="1">LOOKUP(RAND(),{0,0.02,0.09,0.2,0.35,0.52,0.68,0.81,0.91,0.97},{1,2,3,4,5,6,7,8,9,10})</f>
        <v>3</v>
      </c>
      <c r="D328">
        <f t="shared" ca="1" si="30"/>
        <v>15200</v>
      </c>
      <c r="E328" t="str">
        <f ca="1">IF(B328="Oloitoktok A",IF(D328&lt;15000,LOOKUP(RAND(),{0,0.45,0.75,0.92},{"River","Rainwater","Borehole","Vendor"}),IF(D328&lt;30000,LOOKUP(RAND(),{0,0.35,0.65,0.85},{"River","Rainwater","Borehole","Vendor"}),LOOKUP(RAND(),{0,0.25,0.5,0.75},{"River","Rainwater","Borehole","Vendor"}))),IF(B328="Oloitoktok B",IF(D328&lt;15000,LOOKUP(RAND(),{0,0.5,0.78,0.94},{"River","Rainwater","Borehole","Vendor"}),IF(D328&lt;30000,LOOKUP(RAND(),{0,0.4,0.68,0.87},{"River","Rainwater","Borehole","Vendor"}),LOOKUP(RAND(),{0,0.28,0.55,0.78},{"River","Rainwater","Borehole","Vendor"}))),IF(B328="Kiserian",IF(D328&lt;15000,LOOKUP(RAND(),{0,0.35,0.65,0.9},{"River","Rainwater","Borehole","Vendor"}),IF(D328&lt;30000,LOOKUP(RAND(),{0,0.25,0.55,0.82},{"River","Rainwater","Borehole","Vendor"}),LOOKUP(RAND(),{0,0.15,0.45,0.72},{"River","Rainwater","Borehole","Vendor"}))),IF(D328&lt;15000,LOOKUP(RAND(),{0,0.4,0.7,0.92},{"River","Rainwater","Borehole","Vendor"}),IF(D328&lt;30000,LOOKUP(RAND(),{0,0.3,0.6,0.85},{"River","Rainwater","Borehole","Vendor"}),LOOKUP(RAND(),{0,0.2,0.5,0.75},{"River","Rainwater","Borehole","Vendor"}))))))</f>
        <v>Rainwater</v>
      </c>
      <c r="F328">
        <f t="shared" ca="1" si="31"/>
        <v>64</v>
      </c>
      <c r="G328">
        <f t="shared" ca="1" si="32"/>
        <v>12.2</v>
      </c>
      <c r="H328">
        <f t="shared" ca="1" si="33"/>
        <v>5500</v>
      </c>
      <c r="I328">
        <f t="shared" ca="1" si="34"/>
        <v>0.80089868514745133</v>
      </c>
      <c r="J328">
        <v>0</v>
      </c>
    </row>
    <row r="329" spans="1:10" x14ac:dyDescent="0.3">
      <c r="A329" t="str">
        <f t="shared" si="35"/>
        <v>HH328</v>
      </c>
      <c r="B329" t="str">
        <f ca="1">LOOKUP(RAND(),{0,0.28,0.55,0.78},{"Oloitoktok A","Oloitoktok B","Kiserian","Namanga"})</f>
        <v>Namanga</v>
      </c>
      <c r="C329">
        <f ca="1">LOOKUP(RAND(),{0,0.02,0.09,0.2,0.35,0.52,0.68,0.81,0.91,0.97},{1,2,3,4,5,6,7,8,9,10})</f>
        <v>8</v>
      </c>
      <c r="D329">
        <f t="shared" ca="1" si="30"/>
        <v>55500</v>
      </c>
      <c r="E329" t="str">
        <f ca="1">IF(B329="Oloitoktok A",IF(D329&lt;15000,LOOKUP(RAND(),{0,0.45,0.75,0.92},{"River","Rainwater","Borehole","Vendor"}),IF(D329&lt;30000,LOOKUP(RAND(),{0,0.35,0.65,0.85},{"River","Rainwater","Borehole","Vendor"}),LOOKUP(RAND(),{0,0.25,0.5,0.75},{"River","Rainwater","Borehole","Vendor"}))),IF(B329="Oloitoktok B",IF(D329&lt;15000,LOOKUP(RAND(),{0,0.5,0.78,0.94},{"River","Rainwater","Borehole","Vendor"}),IF(D329&lt;30000,LOOKUP(RAND(),{0,0.4,0.68,0.87},{"River","Rainwater","Borehole","Vendor"}),LOOKUP(RAND(),{0,0.28,0.55,0.78},{"River","Rainwater","Borehole","Vendor"}))),IF(B329="Kiserian",IF(D329&lt;15000,LOOKUP(RAND(),{0,0.35,0.65,0.9},{"River","Rainwater","Borehole","Vendor"}),IF(D329&lt;30000,LOOKUP(RAND(),{0,0.25,0.55,0.82},{"River","Rainwater","Borehole","Vendor"}),LOOKUP(RAND(),{0,0.15,0.45,0.72},{"River","Rainwater","Borehole","Vendor"}))),IF(D329&lt;15000,LOOKUP(RAND(),{0,0.4,0.7,0.92},{"River","Rainwater","Borehole","Vendor"}),IF(D329&lt;30000,LOOKUP(RAND(),{0,0.3,0.6,0.85},{"River","Rainwater","Borehole","Vendor"}),LOOKUP(RAND(),{0,0.2,0.5,0.75},{"River","Rainwater","Borehole","Vendor"}))))))</f>
        <v>Rainwater</v>
      </c>
      <c r="F329">
        <f t="shared" ca="1" si="31"/>
        <v>59</v>
      </c>
      <c r="G329">
        <f t="shared" ca="1" si="32"/>
        <v>9.6</v>
      </c>
      <c r="H329">
        <f t="shared" ca="1" si="33"/>
        <v>8500</v>
      </c>
      <c r="I329">
        <f t="shared" ca="1" si="34"/>
        <v>9.4621876363831903E-2</v>
      </c>
      <c r="J329">
        <v>0</v>
      </c>
    </row>
    <row r="330" spans="1:10" x14ac:dyDescent="0.3">
      <c r="A330" t="str">
        <f t="shared" si="35"/>
        <v>HH329</v>
      </c>
      <c r="B330" t="str">
        <f ca="1">LOOKUP(RAND(),{0,0.28,0.55,0.78},{"Oloitoktok A","Oloitoktok B","Kiserian","Namanga"})</f>
        <v>Oloitoktok A</v>
      </c>
      <c r="C330">
        <f ca="1">LOOKUP(RAND(),{0,0.02,0.09,0.2,0.35,0.52,0.68,0.81,0.91,0.97},{1,2,3,4,5,6,7,8,9,10})</f>
        <v>5</v>
      </c>
      <c r="D330">
        <f t="shared" ca="1" si="30"/>
        <v>37000</v>
      </c>
      <c r="E330" t="str">
        <f ca="1">IF(B330="Oloitoktok A",IF(D330&lt;15000,LOOKUP(RAND(),{0,0.45,0.75,0.92},{"River","Rainwater","Borehole","Vendor"}),IF(D330&lt;30000,LOOKUP(RAND(),{0,0.35,0.65,0.85},{"River","Rainwater","Borehole","Vendor"}),LOOKUP(RAND(),{0,0.25,0.5,0.75},{"River","Rainwater","Borehole","Vendor"}))),IF(B330="Oloitoktok B",IF(D330&lt;15000,LOOKUP(RAND(),{0,0.5,0.78,0.94},{"River","Rainwater","Borehole","Vendor"}),IF(D330&lt;30000,LOOKUP(RAND(),{0,0.4,0.68,0.87},{"River","Rainwater","Borehole","Vendor"}),LOOKUP(RAND(),{0,0.28,0.55,0.78},{"River","Rainwater","Borehole","Vendor"}))),IF(B330="Kiserian",IF(D330&lt;15000,LOOKUP(RAND(),{0,0.35,0.65,0.9},{"River","Rainwater","Borehole","Vendor"}),IF(D330&lt;30000,LOOKUP(RAND(),{0,0.25,0.55,0.82},{"River","Rainwater","Borehole","Vendor"}),LOOKUP(RAND(),{0,0.15,0.45,0.72},{"River","Rainwater","Borehole","Vendor"}))),IF(D330&lt;15000,LOOKUP(RAND(),{0,0.4,0.7,0.92},{"River","Rainwater","Borehole","Vendor"}),IF(D330&lt;30000,LOOKUP(RAND(),{0,0.3,0.6,0.85},{"River","Rainwater","Borehole","Vendor"}),LOOKUP(RAND(),{0,0.2,0.5,0.75},{"River","Rainwater","Borehole","Vendor"}))))))</f>
        <v>Vendor</v>
      </c>
      <c r="F330">
        <f t="shared" ca="1" si="31"/>
        <v>31</v>
      </c>
      <c r="G330">
        <f t="shared" ca="1" si="32"/>
        <v>11.3</v>
      </c>
      <c r="H330">
        <f t="shared" ca="1" si="33"/>
        <v>3200</v>
      </c>
      <c r="I330">
        <f t="shared" ca="1" si="34"/>
        <v>0.39633697467178419</v>
      </c>
      <c r="J330">
        <v>0</v>
      </c>
    </row>
    <row r="331" spans="1:10" x14ac:dyDescent="0.3">
      <c r="A331" t="str">
        <f t="shared" si="35"/>
        <v>HH330</v>
      </c>
      <c r="B331" t="str">
        <f ca="1">LOOKUP(RAND(),{0,0.28,0.55,0.78},{"Oloitoktok A","Oloitoktok B","Kiserian","Namanga"})</f>
        <v>Kiserian</v>
      </c>
      <c r="C331">
        <f ca="1">LOOKUP(RAND(),{0,0.02,0.09,0.2,0.35,0.52,0.68,0.81,0.91,0.97},{1,2,3,4,5,6,7,8,9,10})</f>
        <v>4</v>
      </c>
      <c r="D331">
        <f t="shared" ca="1" si="30"/>
        <v>35100</v>
      </c>
      <c r="E331" t="str">
        <f ca="1">IF(B331="Oloitoktok A",IF(D331&lt;15000,LOOKUP(RAND(),{0,0.45,0.75,0.92},{"River","Rainwater","Borehole","Vendor"}),IF(D331&lt;30000,LOOKUP(RAND(),{0,0.35,0.65,0.85},{"River","Rainwater","Borehole","Vendor"}),LOOKUP(RAND(),{0,0.25,0.5,0.75},{"River","Rainwater","Borehole","Vendor"}))),IF(B331="Oloitoktok B",IF(D331&lt;15000,LOOKUP(RAND(),{0,0.5,0.78,0.94},{"River","Rainwater","Borehole","Vendor"}),IF(D331&lt;30000,LOOKUP(RAND(),{0,0.4,0.68,0.87},{"River","Rainwater","Borehole","Vendor"}),LOOKUP(RAND(),{0,0.28,0.55,0.78},{"River","Rainwater","Borehole","Vendor"}))),IF(B331="Kiserian",IF(D331&lt;15000,LOOKUP(RAND(),{0,0.35,0.65,0.9},{"River","Rainwater","Borehole","Vendor"}),IF(D331&lt;30000,LOOKUP(RAND(),{0,0.25,0.55,0.82},{"River","Rainwater","Borehole","Vendor"}),LOOKUP(RAND(),{0,0.15,0.45,0.72},{"River","Rainwater","Borehole","Vendor"}))),IF(D331&lt;15000,LOOKUP(RAND(),{0,0.4,0.7,0.92},{"River","Rainwater","Borehole","Vendor"}),IF(D331&lt;30000,LOOKUP(RAND(),{0,0.3,0.6,0.85},{"River","Rainwater","Borehole","Vendor"}),LOOKUP(RAND(),{0,0.2,0.5,0.75},{"River","Rainwater","Borehole","Vendor"}))))))</f>
        <v>River</v>
      </c>
      <c r="F331">
        <f t="shared" ca="1" si="31"/>
        <v>60</v>
      </c>
      <c r="G331">
        <f t="shared" ca="1" si="32"/>
        <v>4.9000000000000004</v>
      </c>
      <c r="H331">
        <f t="shared" ca="1" si="33"/>
        <v>4000</v>
      </c>
      <c r="I331">
        <f t="shared" ca="1" si="34"/>
        <v>9.405342492821589E-2</v>
      </c>
      <c r="J331">
        <v>0</v>
      </c>
    </row>
    <row r="332" spans="1:10" x14ac:dyDescent="0.3">
      <c r="A332" t="str">
        <f t="shared" si="35"/>
        <v>HH331</v>
      </c>
      <c r="B332" t="str">
        <f ca="1">LOOKUP(RAND(),{0,0.28,0.55,0.78},{"Oloitoktok A","Oloitoktok B","Kiserian","Namanga"})</f>
        <v>Namanga</v>
      </c>
      <c r="C332">
        <f ca="1">LOOKUP(RAND(),{0,0.02,0.09,0.2,0.35,0.52,0.68,0.81,0.91,0.97},{1,2,3,4,5,6,7,8,9,10})</f>
        <v>7</v>
      </c>
      <c r="D332">
        <f t="shared" ca="1" si="30"/>
        <v>19200</v>
      </c>
      <c r="E332" t="str">
        <f ca="1">IF(B332="Oloitoktok A",IF(D332&lt;15000,LOOKUP(RAND(),{0,0.45,0.75,0.92},{"River","Rainwater","Borehole","Vendor"}),IF(D332&lt;30000,LOOKUP(RAND(),{0,0.35,0.65,0.85},{"River","Rainwater","Borehole","Vendor"}),LOOKUP(RAND(),{0,0.25,0.5,0.75},{"River","Rainwater","Borehole","Vendor"}))),IF(B332="Oloitoktok B",IF(D332&lt;15000,LOOKUP(RAND(),{0,0.5,0.78,0.94},{"River","Rainwater","Borehole","Vendor"}),IF(D332&lt;30000,LOOKUP(RAND(),{0,0.4,0.68,0.87},{"River","Rainwater","Borehole","Vendor"}),LOOKUP(RAND(),{0,0.28,0.55,0.78},{"River","Rainwater","Borehole","Vendor"}))),IF(B332="Kiserian",IF(D332&lt;15000,LOOKUP(RAND(),{0,0.35,0.65,0.9},{"River","Rainwater","Borehole","Vendor"}),IF(D332&lt;30000,LOOKUP(RAND(),{0,0.25,0.55,0.82},{"River","Rainwater","Borehole","Vendor"}),LOOKUP(RAND(),{0,0.15,0.45,0.72},{"River","Rainwater","Borehole","Vendor"}))),IF(D332&lt;15000,LOOKUP(RAND(),{0,0.4,0.7,0.92},{"River","Rainwater","Borehole","Vendor"}),IF(D332&lt;30000,LOOKUP(RAND(),{0,0.3,0.6,0.85},{"River","Rainwater","Borehole","Vendor"}),LOOKUP(RAND(),{0,0.2,0.5,0.75},{"River","Rainwater","Borehole","Vendor"}))))))</f>
        <v>River</v>
      </c>
      <c r="F332">
        <f t="shared" ca="1" si="31"/>
        <v>87</v>
      </c>
      <c r="G332">
        <f t="shared" ca="1" si="32"/>
        <v>1.4</v>
      </c>
      <c r="H332">
        <f t="shared" ca="1" si="33"/>
        <v>11500</v>
      </c>
      <c r="I332">
        <f t="shared" ca="1" si="34"/>
        <v>5.8588000921626082E-2</v>
      </c>
      <c r="J332">
        <v>0</v>
      </c>
    </row>
    <row r="333" spans="1:10" x14ac:dyDescent="0.3">
      <c r="A333" t="str">
        <f t="shared" si="35"/>
        <v>HH332</v>
      </c>
      <c r="B333" t="str">
        <f ca="1">LOOKUP(RAND(),{0,0.28,0.55,0.78},{"Oloitoktok A","Oloitoktok B","Kiserian","Namanga"})</f>
        <v>Kiserian</v>
      </c>
      <c r="C333">
        <f ca="1">LOOKUP(RAND(),{0,0.02,0.09,0.2,0.35,0.52,0.68,0.81,0.91,0.97},{1,2,3,4,5,6,7,8,9,10})</f>
        <v>3</v>
      </c>
      <c r="D333">
        <f t="shared" ca="1" si="30"/>
        <v>28200</v>
      </c>
      <c r="E333" t="str">
        <f ca="1">IF(B333="Oloitoktok A",IF(D333&lt;15000,LOOKUP(RAND(),{0,0.45,0.75,0.92},{"River","Rainwater","Borehole","Vendor"}),IF(D333&lt;30000,LOOKUP(RAND(),{0,0.35,0.65,0.85},{"River","Rainwater","Borehole","Vendor"}),LOOKUP(RAND(),{0,0.25,0.5,0.75},{"River","Rainwater","Borehole","Vendor"}))),IF(B333="Oloitoktok B",IF(D333&lt;15000,LOOKUP(RAND(),{0,0.5,0.78,0.94},{"River","Rainwater","Borehole","Vendor"}),IF(D333&lt;30000,LOOKUP(RAND(),{0,0.4,0.68,0.87},{"River","Rainwater","Borehole","Vendor"}),LOOKUP(RAND(),{0,0.28,0.55,0.78},{"River","Rainwater","Borehole","Vendor"}))),IF(B333="Kiserian",IF(D333&lt;15000,LOOKUP(RAND(),{0,0.35,0.65,0.9},{"River","Rainwater","Borehole","Vendor"}),IF(D333&lt;30000,LOOKUP(RAND(),{0,0.25,0.55,0.82},{"River","Rainwater","Borehole","Vendor"}),LOOKUP(RAND(),{0,0.15,0.45,0.72},{"River","Rainwater","Borehole","Vendor"}))),IF(D333&lt;15000,LOOKUP(RAND(),{0,0.4,0.7,0.92},{"River","Rainwater","Borehole","Vendor"}),IF(D333&lt;30000,LOOKUP(RAND(),{0,0.3,0.6,0.85},{"River","Rainwater","Borehole","Vendor"}),LOOKUP(RAND(),{0,0.2,0.5,0.75},{"River","Rainwater","Borehole","Vendor"}))))))</f>
        <v>Rainwater</v>
      </c>
      <c r="F333">
        <f t="shared" ca="1" si="31"/>
        <v>16</v>
      </c>
      <c r="G333">
        <f t="shared" ca="1" si="32"/>
        <v>1.8</v>
      </c>
      <c r="H333">
        <f t="shared" ca="1" si="33"/>
        <v>0</v>
      </c>
      <c r="I333">
        <f t="shared" ca="1" si="34"/>
        <v>0.67266122276384288</v>
      </c>
      <c r="J333">
        <v>0</v>
      </c>
    </row>
    <row r="334" spans="1:10" x14ac:dyDescent="0.3">
      <c r="A334" t="str">
        <f t="shared" si="35"/>
        <v>HH333</v>
      </c>
      <c r="B334" t="str">
        <f ca="1">LOOKUP(RAND(),{0,0.28,0.55,0.78},{"Oloitoktok A","Oloitoktok B","Kiserian","Namanga"})</f>
        <v>Namanga</v>
      </c>
      <c r="C334">
        <f ca="1">LOOKUP(RAND(),{0,0.02,0.09,0.2,0.35,0.52,0.68,0.81,0.91,0.97},{1,2,3,4,5,6,7,8,9,10})</f>
        <v>9</v>
      </c>
      <c r="D334">
        <f t="shared" ca="1" si="30"/>
        <v>20600</v>
      </c>
      <c r="E334" t="str">
        <f ca="1">IF(B334="Oloitoktok A",IF(D334&lt;15000,LOOKUP(RAND(),{0,0.45,0.75,0.92},{"River","Rainwater","Borehole","Vendor"}),IF(D334&lt;30000,LOOKUP(RAND(),{0,0.35,0.65,0.85},{"River","Rainwater","Borehole","Vendor"}),LOOKUP(RAND(),{0,0.25,0.5,0.75},{"River","Rainwater","Borehole","Vendor"}))),IF(B334="Oloitoktok B",IF(D334&lt;15000,LOOKUP(RAND(),{0,0.5,0.78,0.94},{"River","Rainwater","Borehole","Vendor"}),IF(D334&lt;30000,LOOKUP(RAND(),{0,0.4,0.68,0.87},{"River","Rainwater","Borehole","Vendor"}),LOOKUP(RAND(),{0,0.28,0.55,0.78},{"River","Rainwater","Borehole","Vendor"}))),IF(B334="Kiserian",IF(D334&lt;15000,LOOKUP(RAND(),{0,0.35,0.65,0.9},{"River","Rainwater","Borehole","Vendor"}),IF(D334&lt;30000,LOOKUP(RAND(),{0,0.25,0.55,0.82},{"River","Rainwater","Borehole","Vendor"}),LOOKUP(RAND(),{0,0.15,0.45,0.72},{"River","Rainwater","Borehole","Vendor"}))),IF(D334&lt;15000,LOOKUP(RAND(),{0,0.4,0.7,0.92},{"River","Rainwater","Borehole","Vendor"}),IF(D334&lt;30000,LOOKUP(RAND(),{0,0.3,0.6,0.85},{"River","Rainwater","Borehole","Vendor"}),LOOKUP(RAND(),{0,0.2,0.5,0.75},{"River","Rainwater","Borehole","Vendor"}))))))</f>
        <v>Rainwater</v>
      </c>
      <c r="F334">
        <f t="shared" ca="1" si="31"/>
        <v>57</v>
      </c>
      <c r="G334">
        <f t="shared" ca="1" si="32"/>
        <v>10.199999999999999</v>
      </c>
      <c r="H334">
        <f t="shared" ca="1" si="33"/>
        <v>10800</v>
      </c>
      <c r="I334">
        <f t="shared" ca="1" si="34"/>
        <v>0.1898266237189431</v>
      </c>
      <c r="J334">
        <v>0</v>
      </c>
    </row>
    <row r="335" spans="1:10" x14ac:dyDescent="0.3">
      <c r="A335" t="str">
        <f t="shared" si="35"/>
        <v>HH334</v>
      </c>
      <c r="B335" t="str">
        <f ca="1">LOOKUP(RAND(),{0,0.28,0.55,0.78},{"Oloitoktok A","Oloitoktok B","Kiserian","Namanga"})</f>
        <v>Oloitoktok A</v>
      </c>
      <c r="C335">
        <f ca="1">LOOKUP(RAND(),{0,0.02,0.09,0.2,0.35,0.52,0.68,0.81,0.91,0.97},{1,2,3,4,5,6,7,8,9,10})</f>
        <v>3</v>
      </c>
      <c r="D335">
        <f t="shared" ca="1" si="30"/>
        <v>18900</v>
      </c>
      <c r="E335" t="str">
        <f ca="1">IF(B335="Oloitoktok A",IF(D335&lt;15000,LOOKUP(RAND(),{0,0.45,0.75,0.92},{"River","Rainwater","Borehole","Vendor"}),IF(D335&lt;30000,LOOKUP(RAND(),{0,0.35,0.65,0.85},{"River","Rainwater","Borehole","Vendor"}),LOOKUP(RAND(),{0,0.25,0.5,0.75},{"River","Rainwater","Borehole","Vendor"}))),IF(B335="Oloitoktok B",IF(D335&lt;15000,LOOKUP(RAND(),{0,0.5,0.78,0.94},{"River","Rainwater","Borehole","Vendor"}),IF(D335&lt;30000,LOOKUP(RAND(),{0,0.4,0.68,0.87},{"River","Rainwater","Borehole","Vendor"}),LOOKUP(RAND(),{0,0.28,0.55,0.78},{"River","Rainwater","Borehole","Vendor"}))),IF(B335="Kiserian",IF(D335&lt;15000,LOOKUP(RAND(),{0,0.35,0.65,0.9},{"River","Rainwater","Borehole","Vendor"}),IF(D335&lt;30000,LOOKUP(RAND(),{0,0.25,0.55,0.82},{"River","Rainwater","Borehole","Vendor"}),LOOKUP(RAND(),{0,0.15,0.45,0.72},{"River","Rainwater","Borehole","Vendor"}))),IF(D335&lt;15000,LOOKUP(RAND(),{0,0.4,0.7,0.92},{"River","Rainwater","Borehole","Vendor"}),IF(D335&lt;30000,LOOKUP(RAND(),{0,0.3,0.6,0.85},{"River","Rainwater","Borehole","Vendor"}),LOOKUP(RAND(),{0,0.2,0.5,0.75},{"River","Rainwater","Borehole","Vendor"}))))))</f>
        <v>Rainwater</v>
      </c>
      <c r="F335">
        <f t="shared" ca="1" si="31"/>
        <v>18</v>
      </c>
      <c r="G335">
        <f t="shared" ca="1" si="32"/>
        <v>3.1</v>
      </c>
      <c r="H335">
        <f t="shared" ca="1" si="33"/>
        <v>8600</v>
      </c>
      <c r="I335">
        <f t="shared" ca="1" si="34"/>
        <v>0.84349060519448871</v>
      </c>
      <c r="J335">
        <v>0</v>
      </c>
    </row>
    <row r="336" spans="1:10" x14ac:dyDescent="0.3">
      <c r="A336" t="str">
        <f t="shared" si="35"/>
        <v>HH335</v>
      </c>
      <c r="B336" t="str">
        <f ca="1">LOOKUP(RAND(),{0,0.28,0.55,0.78},{"Oloitoktok A","Oloitoktok B","Kiserian","Namanga"})</f>
        <v>Oloitoktok A</v>
      </c>
      <c r="C336">
        <f ca="1">LOOKUP(RAND(),{0,0.02,0.09,0.2,0.35,0.52,0.68,0.81,0.91,0.97},{1,2,3,4,5,6,7,8,9,10})</f>
        <v>5</v>
      </c>
      <c r="D336">
        <f t="shared" ca="1" si="30"/>
        <v>21200</v>
      </c>
      <c r="E336" t="str">
        <f ca="1">IF(B336="Oloitoktok A",IF(D336&lt;15000,LOOKUP(RAND(),{0,0.45,0.75,0.92},{"River","Rainwater","Borehole","Vendor"}),IF(D336&lt;30000,LOOKUP(RAND(),{0,0.35,0.65,0.85},{"River","Rainwater","Borehole","Vendor"}),LOOKUP(RAND(),{0,0.25,0.5,0.75},{"River","Rainwater","Borehole","Vendor"}))),IF(B336="Oloitoktok B",IF(D336&lt;15000,LOOKUP(RAND(),{0,0.5,0.78,0.94},{"River","Rainwater","Borehole","Vendor"}),IF(D336&lt;30000,LOOKUP(RAND(),{0,0.4,0.68,0.87},{"River","Rainwater","Borehole","Vendor"}),LOOKUP(RAND(),{0,0.28,0.55,0.78},{"River","Rainwater","Borehole","Vendor"}))),IF(B336="Kiserian",IF(D336&lt;15000,LOOKUP(RAND(),{0,0.35,0.65,0.9},{"River","Rainwater","Borehole","Vendor"}),IF(D336&lt;30000,LOOKUP(RAND(),{0,0.25,0.55,0.82},{"River","Rainwater","Borehole","Vendor"}),LOOKUP(RAND(),{0,0.15,0.45,0.72},{"River","Rainwater","Borehole","Vendor"}))),IF(D336&lt;15000,LOOKUP(RAND(),{0,0.4,0.7,0.92},{"River","Rainwater","Borehole","Vendor"}),IF(D336&lt;30000,LOOKUP(RAND(),{0,0.3,0.6,0.85},{"River","Rainwater","Borehole","Vendor"}),LOOKUP(RAND(),{0,0.2,0.5,0.75},{"River","Rainwater","Borehole","Vendor"}))))))</f>
        <v>Rainwater</v>
      </c>
      <c r="F336">
        <f t="shared" ca="1" si="31"/>
        <v>63</v>
      </c>
      <c r="G336">
        <f t="shared" ca="1" si="32"/>
        <v>2.4</v>
      </c>
      <c r="H336">
        <f t="shared" ca="1" si="33"/>
        <v>10000</v>
      </c>
      <c r="I336">
        <f t="shared" ca="1" si="34"/>
        <v>9.6459712985367041E-2</v>
      </c>
      <c r="J336">
        <v>0</v>
      </c>
    </row>
    <row r="337" spans="1:10" x14ac:dyDescent="0.3">
      <c r="A337" t="str">
        <f t="shared" si="35"/>
        <v>HH336</v>
      </c>
      <c r="B337" t="str">
        <f ca="1">LOOKUP(RAND(),{0,0.28,0.55,0.78},{"Oloitoktok A","Oloitoktok B","Kiserian","Namanga"})</f>
        <v>Kiserian</v>
      </c>
      <c r="C337">
        <f ca="1">LOOKUP(RAND(),{0,0.02,0.09,0.2,0.35,0.52,0.68,0.81,0.91,0.97},{1,2,3,4,5,6,7,8,9,10})</f>
        <v>5</v>
      </c>
      <c r="D337">
        <f t="shared" ca="1" si="30"/>
        <v>18000</v>
      </c>
      <c r="E337" t="str">
        <f ca="1">IF(B337="Oloitoktok A",IF(D337&lt;15000,LOOKUP(RAND(),{0,0.45,0.75,0.92},{"River","Rainwater","Borehole","Vendor"}),IF(D337&lt;30000,LOOKUP(RAND(),{0,0.35,0.65,0.85},{"River","Rainwater","Borehole","Vendor"}),LOOKUP(RAND(),{0,0.25,0.5,0.75},{"River","Rainwater","Borehole","Vendor"}))),IF(B337="Oloitoktok B",IF(D337&lt;15000,LOOKUP(RAND(),{0,0.5,0.78,0.94},{"River","Rainwater","Borehole","Vendor"}),IF(D337&lt;30000,LOOKUP(RAND(),{0,0.4,0.68,0.87},{"River","Rainwater","Borehole","Vendor"}),LOOKUP(RAND(),{0,0.28,0.55,0.78},{"River","Rainwater","Borehole","Vendor"}))),IF(B337="Kiserian",IF(D337&lt;15000,LOOKUP(RAND(),{0,0.35,0.65,0.9},{"River","Rainwater","Borehole","Vendor"}),IF(D337&lt;30000,LOOKUP(RAND(),{0,0.25,0.55,0.82},{"River","Rainwater","Borehole","Vendor"}),LOOKUP(RAND(),{0,0.15,0.45,0.72},{"River","Rainwater","Borehole","Vendor"}))),IF(D337&lt;15000,LOOKUP(RAND(),{0,0.4,0.7,0.92},{"River","Rainwater","Borehole","Vendor"}),IF(D337&lt;30000,LOOKUP(RAND(),{0,0.3,0.6,0.85},{"River","Rainwater","Borehole","Vendor"}),LOOKUP(RAND(),{0,0.2,0.5,0.75},{"River","Rainwater","Borehole","Vendor"}))))))</f>
        <v>River</v>
      </c>
      <c r="F337">
        <f t="shared" ca="1" si="31"/>
        <v>47</v>
      </c>
      <c r="G337">
        <f t="shared" ca="1" si="32"/>
        <v>3.6</v>
      </c>
      <c r="H337">
        <f t="shared" ca="1" si="33"/>
        <v>7400</v>
      </c>
      <c r="I337">
        <f t="shared" ca="1" si="34"/>
        <v>0.68882308126656933</v>
      </c>
      <c r="J337">
        <v>0</v>
      </c>
    </row>
    <row r="338" spans="1:10" x14ac:dyDescent="0.3">
      <c r="A338" t="str">
        <f t="shared" si="35"/>
        <v>HH337</v>
      </c>
      <c r="B338" t="str">
        <f ca="1">LOOKUP(RAND(),{0,0.28,0.55,0.78},{"Oloitoktok A","Oloitoktok B","Kiserian","Namanga"})</f>
        <v>Kiserian</v>
      </c>
      <c r="C338">
        <f ca="1">LOOKUP(RAND(),{0,0.02,0.09,0.2,0.35,0.52,0.68,0.81,0.91,0.97},{1,2,3,4,5,6,7,8,9,10})</f>
        <v>5</v>
      </c>
      <c r="D338">
        <f t="shared" ca="1" si="30"/>
        <v>50600</v>
      </c>
      <c r="E338" t="str">
        <f ca="1">IF(B338="Oloitoktok A",IF(D338&lt;15000,LOOKUP(RAND(),{0,0.45,0.75,0.92},{"River","Rainwater","Borehole","Vendor"}),IF(D338&lt;30000,LOOKUP(RAND(),{0,0.35,0.65,0.85},{"River","Rainwater","Borehole","Vendor"}),LOOKUP(RAND(),{0,0.25,0.5,0.75},{"River","Rainwater","Borehole","Vendor"}))),IF(B338="Oloitoktok B",IF(D338&lt;15000,LOOKUP(RAND(),{0,0.5,0.78,0.94},{"River","Rainwater","Borehole","Vendor"}),IF(D338&lt;30000,LOOKUP(RAND(),{0,0.4,0.68,0.87},{"River","Rainwater","Borehole","Vendor"}),LOOKUP(RAND(),{0,0.28,0.55,0.78},{"River","Rainwater","Borehole","Vendor"}))),IF(B338="Kiserian",IF(D338&lt;15000,LOOKUP(RAND(),{0,0.35,0.65,0.9},{"River","Rainwater","Borehole","Vendor"}),IF(D338&lt;30000,LOOKUP(RAND(),{0,0.25,0.55,0.82},{"River","Rainwater","Borehole","Vendor"}),LOOKUP(RAND(),{0,0.15,0.45,0.72},{"River","Rainwater","Borehole","Vendor"}))),IF(D338&lt;15000,LOOKUP(RAND(),{0,0.4,0.7,0.92},{"River","Rainwater","Borehole","Vendor"}),IF(D338&lt;30000,LOOKUP(RAND(),{0,0.3,0.6,0.85},{"River","Rainwater","Borehole","Vendor"}),LOOKUP(RAND(),{0,0.2,0.5,0.75},{"River","Rainwater","Borehole","Vendor"}))))))</f>
        <v>River</v>
      </c>
      <c r="F338">
        <f t="shared" ca="1" si="31"/>
        <v>68</v>
      </c>
      <c r="G338">
        <f t="shared" ca="1" si="32"/>
        <v>2.1</v>
      </c>
      <c r="H338">
        <f t="shared" ca="1" si="33"/>
        <v>4700</v>
      </c>
      <c r="I338">
        <f t="shared" ca="1" si="34"/>
        <v>0.88099983001159821</v>
      </c>
      <c r="J338">
        <v>0</v>
      </c>
    </row>
    <row r="339" spans="1:10" x14ac:dyDescent="0.3">
      <c r="A339" t="str">
        <f t="shared" si="35"/>
        <v>HH338</v>
      </c>
      <c r="B339" t="str">
        <f ca="1">LOOKUP(RAND(),{0,0.28,0.55,0.78},{"Oloitoktok A","Oloitoktok B","Kiserian","Namanga"})</f>
        <v>Oloitoktok B</v>
      </c>
      <c r="C339">
        <f ca="1">LOOKUP(RAND(),{0,0.02,0.09,0.2,0.35,0.52,0.68,0.81,0.91,0.97},{1,2,3,4,5,6,7,8,9,10})</f>
        <v>3</v>
      </c>
      <c r="D339">
        <f t="shared" ca="1" si="30"/>
        <v>23000</v>
      </c>
      <c r="E339" t="str">
        <f ca="1">IF(B339="Oloitoktok A",IF(D339&lt;15000,LOOKUP(RAND(),{0,0.45,0.75,0.92},{"River","Rainwater","Borehole","Vendor"}),IF(D339&lt;30000,LOOKUP(RAND(),{0,0.35,0.65,0.85},{"River","Rainwater","Borehole","Vendor"}),LOOKUP(RAND(),{0,0.25,0.5,0.75},{"River","Rainwater","Borehole","Vendor"}))),IF(B339="Oloitoktok B",IF(D339&lt;15000,LOOKUP(RAND(),{0,0.5,0.78,0.94},{"River","Rainwater","Borehole","Vendor"}),IF(D339&lt;30000,LOOKUP(RAND(),{0,0.4,0.68,0.87},{"River","Rainwater","Borehole","Vendor"}),LOOKUP(RAND(),{0,0.28,0.55,0.78},{"River","Rainwater","Borehole","Vendor"}))),IF(B339="Kiserian",IF(D339&lt;15000,LOOKUP(RAND(),{0,0.35,0.65,0.9},{"River","Rainwater","Borehole","Vendor"}),IF(D339&lt;30000,LOOKUP(RAND(),{0,0.25,0.55,0.82},{"River","Rainwater","Borehole","Vendor"}),LOOKUP(RAND(),{0,0.15,0.45,0.72},{"River","Rainwater","Borehole","Vendor"}))),IF(D339&lt;15000,LOOKUP(RAND(),{0,0.4,0.7,0.92},{"River","Rainwater","Borehole","Vendor"}),IF(D339&lt;30000,LOOKUP(RAND(),{0,0.3,0.6,0.85},{"River","Rainwater","Borehole","Vendor"}),LOOKUP(RAND(),{0,0.2,0.5,0.75},{"River","Rainwater","Borehole","Vendor"}))))))</f>
        <v>River</v>
      </c>
      <c r="F339">
        <f t="shared" ca="1" si="31"/>
        <v>85</v>
      </c>
      <c r="G339">
        <f t="shared" ca="1" si="32"/>
        <v>4.0999999999999996</v>
      </c>
      <c r="H339">
        <f t="shared" ca="1" si="33"/>
        <v>7000</v>
      </c>
      <c r="I339">
        <f t="shared" ca="1" si="34"/>
        <v>0.63742797212389324</v>
      </c>
      <c r="J339">
        <v>0</v>
      </c>
    </row>
    <row r="340" spans="1:10" x14ac:dyDescent="0.3">
      <c r="A340" t="str">
        <f t="shared" si="35"/>
        <v>HH339</v>
      </c>
      <c r="B340" t="str">
        <f ca="1">LOOKUP(RAND(),{0,0.28,0.55,0.78},{"Oloitoktok A","Oloitoktok B","Kiserian","Namanga"})</f>
        <v>Oloitoktok B</v>
      </c>
      <c r="C340">
        <f ca="1">LOOKUP(RAND(),{0,0.02,0.09,0.2,0.35,0.52,0.68,0.81,0.91,0.97},{1,2,3,4,5,6,7,8,9,10})</f>
        <v>9</v>
      </c>
      <c r="D340">
        <f t="shared" ca="1" si="30"/>
        <v>70100</v>
      </c>
      <c r="E340" t="str">
        <f ca="1">IF(B340="Oloitoktok A",IF(D340&lt;15000,LOOKUP(RAND(),{0,0.45,0.75,0.92},{"River","Rainwater","Borehole","Vendor"}),IF(D340&lt;30000,LOOKUP(RAND(),{0,0.35,0.65,0.85},{"River","Rainwater","Borehole","Vendor"}),LOOKUP(RAND(),{0,0.25,0.5,0.75},{"River","Rainwater","Borehole","Vendor"}))),IF(B340="Oloitoktok B",IF(D340&lt;15000,LOOKUP(RAND(),{0,0.5,0.78,0.94},{"River","Rainwater","Borehole","Vendor"}),IF(D340&lt;30000,LOOKUP(RAND(),{0,0.4,0.68,0.87},{"River","Rainwater","Borehole","Vendor"}),LOOKUP(RAND(),{0,0.28,0.55,0.78},{"River","Rainwater","Borehole","Vendor"}))),IF(B340="Kiserian",IF(D340&lt;15000,LOOKUP(RAND(),{0,0.35,0.65,0.9},{"River","Rainwater","Borehole","Vendor"}),IF(D340&lt;30000,LOOKUP(RAND(),{0,0.25,0.55,0.82},{"River","Rainwater","Borehole","Vendor"}),LOOKUP(RAND(),{0,0.15,0.45,0.72},{"River","Rainwater","Borehole","Vendor"}))),IF(D340&lt;15000,LOOKUP(RAND(),{0,0.4,0.7,0.92},{"River","Rainwater","Borehole","Vendor"}),IF(D340&lt;30000,LOOKUP(RAND(),{0,0.3,0.6,0.85},{"River","Rainwater","Borehole","Vendor"}),LOOKUP(RAND(),{0,0.2,0.5,0.75},{"River","Rainwater","Borehole","Vendor"}))))))</f>
        <v>Rainwater</v>
      </c>
      <c r="F340">
        <f t="shared" ca="1" si="31"/>
        <v>47</v>
      </c>
      <c r="G340">
        <f t="shared" ca="1" si="32"/>
        <v>3.7</v>
      </c>
      <c r="H340">
        <f t="shared" ca="1" si="33"/>
        <v>8800</v>
      </c>
      <c r="I340">
        <f t="shared" ca="1" si="34"/>
        <v>0.40619876799302457</v>
      </c>
      <c r="J340">
        <v>0</v>
      </c>
    </row>
    <row r="341" spans="1:10" x14ac:dyDescent="0.3">
      <c r="A341" t="str">
        <f t="shared" si="35"/>
        <v>HH340</v>
      </c>
      <c r="B341" t="str">
        <f ca="1">LOOKUP(RAND(),{0,0.28,0.55,0.78},{"Oloitoktok A","Oloitoktok B","Kiserian","Namanga"})</f>
        <v>Oloitoktok B</v>
      </c>
      <c r="C341">
        <f ca="1">LOOKUP(RAND(),{0,0.02,0.09,0.2,0.35,0.52,0.68,0.81,0.91,0.97},{1,2,3,4,5,6,7,8,9,10})</f>
        <v>6</v>
      </c>
      <c r="D341">
        <f t="shared" ca="1" si="30"/>
        <v>23000</v>
      </c>
      <c r="E341" t="str">
        <f ca="1">IF(B341="Oloitoktok A",IF(D341&lt;15000,LOOKUP(RAND(),{0,0.45,0.75,0.92},{"River","Rainwater","Borehole","Vendor"}),IF(D341&lt;30000,LOOKUP(RAND(),{0,0.35,0.65,0.85},{"River","Rainwater","Borehole","Vendor"}),LOOKUP(RAND(),{0,0.25,0.5,0.75},{"River","Rainwater","Borehole","Vendor"}))),IF(B341="Oloitoktok B",IF(D341&lt;15000,LOOKUP(RAND(),{0,0.5,0.78,0.94},{"River","Rainwater","Borehole","Vendor"}),IF(D341&lt;30000,LOOKUP(RAND(),{0,0.4,0.68,0.87},{"River","Rainwater","Borehole","Vendor"}),LOOKUP(RAND(),{0,0.28,0.55,0.78},{"River","Rainwater","Borehole","Vendor"}))),IF(B341="Kiserian",IF(D341&lt;15000,LOOKUP(RAND(),{0,0.35,0.65,0.9},{"River","Rainwater","Borehole","Vendor"}),IF(D341&lt;30000,LOOKUP(RAND(),{0,0.25,0.55,0.82},{"River","Rainwater","Borehole","Vendor"}),LOOKUP(RAND(),{0,0.15,0.45,0.72},{"River","Rainwater","Borehole","Vendor"}))),IF(D341&lt;15000,LOOKUP(RAND(),{0,0.4,0.7,0.92},{"River","Rainwater","Borehole","Vendor"}),IF(D341&lt;30000,LOOKUP(RAND(),{0,0.3,0.6,0.85},{"River","Rainwater","Borehole","Vendor"}),LOOKUP(RAND(),{0,0.2,0.5,0.75},{"River","Rainwater","Borehole","Vendor"}))))))</f>
        <v>River</v>
      </c>
      <c r="F341">
        <f t="shared" ca="1" si="31"/>
        <v>46</v>
      </c>
      <c r="G341">
        <f t="shared" ca="1" si="32"/>
        <v>2</v>
      </c>
      <c r="H341">
        <f t="shared" ca="1" si="33"/>
        <v>6500</v>
      </c>
      <c r="I341">
        <f t="shared" ca="1" si="34"/>
        <v>0.27747538301449448</v>
      </c>
      <c r="J341">
        <v>0</v>
      </c>
    </row>
    <row r="342" spans="1:10" x14ac:dyDescent="0.3">
      <c r="A342" t="str">
        <f t="shared" si="35"/>
        <v>HH341</v>
      </c>
      <c r="B342" t="str">
        <f ca="1">LOOKUP(RAND(),{0,0.28,0.55,0.78},{"Oloitoktok A","Oloitoktok B","Kiserian","Namanga"})</f>
        <v>Oloitoktok A</v>
      </c>
      <c r="C342">
        <f ca="1">LOOKUP(RAND(),{0,0.02,0.09,0.2,0.35,0.52,0.68,0.81,0.91,0.97},{1,2,3,4,5,6,7,8,9,10})</f>
        <v>1</v>
      </c>
      <c r="D342">
        <f t="shared" ca="1" si="30"/>
        <v>12100</v>
      </c>
      <c r="E342" t="str">
        <f ca="1">IF(B342="Oloitoktok A",IF(D342&lt;15000,LOOKUP(RAND(),{0,0.45,0.75,0.92},{"River","Rainwater","Borehole","Vendor"}),IF(D342&lt;30000,LOOKUP(RAND(),{0,0.35,0.65,0.85},{"River","Rainwater","Borehole","Vendor"}),LOOKUP(RAND(),{0,0.25,0.5,0.75},{"River","Rainwater","Borehole","Vendor"}))),IF(B342="Oloitoktok B",IF(D342&lt;15000,LOOKUP(RAND(),{0,0.5,0.78,0.94},{"River","Rainwater","Borehole","Vendor"}),IF(D342&lt;30000,LOOKUP(RAND(),{0,0.4,0.68,0.87},{"River","Rainwater","Borehole","Vendor"}),LOOKUP(RAND(),{0,0.28,0.55,0.78},{"River","Rainwater","Borehole","Vendor"}))),IF(B342="Kiserian",IF(D342&lt;15000,LOOKUP(RAND(),{0,0.35,0.65,0.9},{"River","Rainwater","Borehole","Vendor"}),IF(D342&lt;30000,LOOKUP(RAND(),{0,0.25,0.55,0.82},{"River","Rainwater","Borehole","Vendor"}),LOOKUP(RAND(),{0,0.15,0.45,0.72},{"River","Rainwater","Borehole","Vendor"}))),IF(D342&lt;15000,LOOKUP(RAND(),{0,0.4,0.7,0.92},{"River","Rainwater","Borehole","Vendor"}),IF(D342&lt;30000,LOOKUP(RAND(),{0,0.3,0.6,0.85},{"River","Rainwater","Borehole","Vendor"}),LOOKUP(RAND(),{0,0.2,0.5,0.75},{"River","Rainwater","Borehole","Vendor"}))))))</f>
        <v>River</v>
      </c>
      <c r="F342">
        <f t="shared" ca="1" si="31"/>
        <v>62</v>
      </c>
      <c r="G342">
        <f t="shared" ca="1" si="32"/>
        <v>9.1999999999999993</v>
      </c>
      <c r="H342">
        <f t="shared" ca="1" si="33"/>
        <v>12600</v>
      </c>
      <c r="I342">
        <f t="shared" ca="1" si="34"/>
        <v>0.57288473867058176</v>
      </c>
      <c r="J342">
        <v>0</v>
      </c>
    </row>
    <row r="343" spans="1:10" x14ac:dyDescent="0.3">
      <c r="A343" t="str">
        <f t="shared" si="35"/>
        <v>HH342</v>
      </c>
      <c r="B343" t="str">
        <f ca="1">LOOKUP(RAND(),{0,0.28,0.55,0.78},{"Oloitoktok A","Oloitoktok B","Kiserian","Namanga"})</f>
        <v>Namanga</v>
      </c>
      <c r="C343">
        <f ca="1">LOOKUP(RAND(),{0,0.02,0.09,0.2,0.35,0.52,0.68,0.81,0.91,0.97},{1,2,3,4,5,6,7,8,9,10})</f>
        <v>4</v>
      </c>
      <c r="D343">
        <f t="shared" ca="1" si="30"/>
        <v>47500</v>
      </c>
      <c r="E343" t="str">
        <f ca="1">IF(B343="Oloitoktok A",IF(D343&lt;15000,LOOKUP(RAND(),{0,0.45,0.75,0.92},{"River","Rainwater","Borehole","Vendor"}),IF(D343&lt;30000,LOOKUP(RAND(),{0,0.35,0.65,0.85},{"River","Rainwater","Borehole","Vendor"}),LOOKUP(RAND(),{0,0.25,0.5,0.75},{"River","Rainwater","Borehole","Vendor"}))),IF(B343="Oloitoktok B",IF(D343&lt;15000,LOOKUP(RAND(),{0,0.5,0.78,0.94},{"River","Rainwater","Borehole","Vendor"}),IF(D343&lt;30000,LOOKUP(RAND(),{0,0.4,0.68,0.87},{"River","Rainwater","Borehole","Vendor"}),LOOKUP(RAND(),{0,0.28,0.55,0.78},{"River","Rainwater","Borehole","Vendor"}))),IF(B343="Kiserian",IF(D343&lt;15000,LOOKUP(RAND(),{0,0.35,0.65,0.9},{"River","Rainwater","Borehole","Vendor"}),IF(D343&lt;30000,LOOKUP(RAND(),{0,0.25,0.55,0.82},{"River","Rainwater","Borehole","Vendor"}),LOOKUP(RAND(),{0,0.15,0.45,0.72},{"River","Rainwater","Borehole","Vendor"}))),IF(D343&lt;15000,LOOKUP(RAND(),{0,0.4,0.7,0.92},{"River","Rainwater","Borehole","Vendor"}),IF(D343&lt;30000,LOOKUP(RAND(),{0,0.3,0.6,0.85},{"River","Rainwater","Borehole","Vendor"}),LOOKUP(RAND(),{0,0.2,0.5,0.75},{"River","Rainwater","Borehole","Vendor"}))))))</f>
        <v>Borehole</v>
      </c>
      <c r="F343">
        <f t="shared" ca="1" si="31"/>
        <v>74</v>
      </c>
      <c r="G343">
        <f t="shared" ca="1" si="32"/>
        <v>3.3</v>
      </c>
      <c r="H343">
        <f t="shared" ca="1" si="33"/>
        <v>8000</v>
      </c>
      <c r="I343">
        <f t="shared" ca="1" si="34"/>
        <v>0.6791122627711883</v>
      </c>
      <c r="J343">
        <v>0</v>
      </c>
    </row>
    <row r="344" spans="1:10" x14ac:dyDescent="0.3">
      <c r="A344" t="str">
        <f t="shared" si="35"/>
        <v>HH343</v>
      </c>
      <c r="B344" t="str">
        <f ca="1">LOOKUP(RAND(),{0,0.28,0.55,0.78},{"Oloitoktok A","Oloitoktok B","Kiserian","Namanga"})</f>
        <v>Oloitoktok B</v>
      </c>
      <c r="C344">
        <f ca="1">LOOKUP(RAND(),{0,0.02,0.09,0.2,0.35,0.52,0.68,0.81,0.91,0.97},{1,2,3,4,5,6,7,8,9,10})</f>
        <v>8</v>
      </c>
      <c r="D344">
        <f t="shared" ca="1" si="30"/>
        <v>63800</v>
      </c>
      <c r="E344" t="str">
        <f ca="1">IF(B344="Oloitoktok A",IF(D344&lt;15000,LOOKUP(RAND(),{0,0.45,0.75,0.92},{"River","Rainwater","Borehole","Vendor"}),IF(D344&lt;30000,LOOKUP(RAND(),{0,0.35,0.65,0.85},{"River","Rainwater","Borehole","Vendor"}),LOOKUP(RAND(),{0,0.25,0.5,0.75},{"River","Rainwater","Borehole","Vendor"}))),IF(B344="Oloitoktok B",IF(D344&lt;15000,LOOKUP(RAND(),{0,0.5,0.78,0.94},{"River","Rainwater","Borehole","Vendor"}),IF(D344&lt;30000,LOOKUP(RAND(),{0,0.4,0.68,0.87},{"River","Rainwater","Borehole","Vendor"}),LOOKUP(RAND(),{0,0.28,0.55,0.78},{"River","Rainwater","Borehole","Vendor"}))),IF(B344="Kiserian",IF(D344&lt;15000,LOOKUP(RAND(),{0,0.35,0.65,0.9},{"River","Rainwater","Borehole","Vendor"}),IF(D344&lt;30000,LOOKUP(RAND(),{0,0.25,0.55,0.82},{"River","Rainwater","Borehole","Vendor"}),LOOKUP(RAND(),{0,0.15,0.45,0.72},{"River","Rainwater","Borehole","Vendor"}))),IF(D344&lt;15000,LOOKUP(RAND(),{0,0.4,0.7,0.92},{"River","Rainwater","Borehole","Vendor"}),IF(D344&lt;30000,LOOKUP(RAND(),{0,0.3,0.6,0.85},{"River","Rainwater","Borehole","Vendor"}),LOOKUP(RAND(),{0,0.2,0.5,0.75},{"River","Rainwater","Borehole","Vendor"}))))))</f>
        <v>Vendor</v>
      </c>
      <c r="F344">
        <f t="shared" ca="1" si="31"/>
        <v>34</v>
      </c>
      <c r="G344">
        <f t="shared" ca="1" si="32"/>
        <v>0.7</v>
      </c>
      <c r="H344">
        <f t="shared" ca="1" si="33"/>
        <v>4800</v>
      </c>
      <c r="I344">
        <f t="shared" ca="1" si="34"/>
        <v>0.92385631403042323</v>
      </c>
      <c r="J344">
        <v>0</v>
      </c>
    </row>
    <row r="345" spans="1:10" x14ac:dyDescent="0.3">
      <c r="A345" t="str">
        <f t="shared" si="35"/>
        <v>HH344</v>
      </c>
      <c r="B345" t="str">
        <f ca="1">LOOKUP(RAND(),{0,0.28,0.55,0.78},{"Oloitoktok A","Oloitoktok B","Kiserian","Namanga"})</f>
        <v>Namanga</v>
      </c>
      <c r="C345">
        <f ca="1">LOOKUP(RAND(),{0,0.02,0.09,0.2,0.35,0.52,0.68,0.81,0.91,0.97},{1,2,3,4,5,6,7,8,9,10})</f>
        <v>6</v>
      </c>
      <c r="D345">
        <f t="shared" ca="1" si="30"/>
        <v>45200</v>
      </c>
      <c r="E345" t="str">
        <f ca="1">IF(B345="Oloitoktok A",IF(D345&lt;15000,LOOKUP(RAND(),{0,0.45,0.75,0.92},{"River","Rainwater","Borehole","Vendor"}),IF(D345&lt;30000,LOOKUP(RAND(),{0,0.35,0.65,0.85},{"River","Rainwater","Borehole","Vendor"}),LOOKUP(RAND(),{0,0.25,0.5,0.75},{"River","Rainwater","Borehole","Vendor"}))),IF(B345="Oloitoktok B",IF(D345&lt;15000,LOOKUP(RAND(),{0,0.5,0.78,0.94},{"River","Rainwater","Borehole","Vendor"}),IF(D345&lt;30000,LOOKUP(RAND(),{0,0.4,0.68,0.87},{"River","Rainwater","Borehole","Vendor"}),LOOKUP(RAND(),{0,0.28,0.55,0.78},{"River","Rainwater","Borehole","Vendor"}))),IF(B345="Kiserian",IF(D345&lt;15000,LOOKUP(RAND(),{0,0.35,0.65,0.9},{"River","Rainwater","Borehole","Vendor"}),IF(D345&lt;30000,LOOKUP(RAND(),{0,0.25,0.55,0.82},{"River","Rainwater","Borehole","Vendor"}),LOOKUP(RAND(),{0,0.15,0.45,0.72},{"River","Rainwater","Borehole","Vendor"}))),IF(D345&lt;15000,LOOKUP(RAND(),{0,0.4,0.7,0.92},{"River","Rainwater","Borehole","Vendor"}),IF(D345&lt;30000,LOOKUP(RAND(),{0,0.3,0.6,0.85},{"River","Rainwater","Borehole","Vendor"}),LOOKUP(RAND(),{0,0.2,0.5,0.75},{"River","Rainwater","Borehole","Vendor"}))))))</f>
        <v>River</v>
      </c>
      <c r="F345">
        <f t="shared" ca="1" si="31"/>
        <v>75</v>
      </c>
      <c r="G345">
        <f t="shared" ca="1" si="32"/>
        <v>2.2000000000000002</v>
      </c>
      <c r="H345">
        <f t="shared" ca="1" si="33"/>
        <v>5400</v>
      </c>
      <c r="I345">
        <f t="shared" ca="1" si="34"/>
        <v>0.86413902290983391</v>
      </c>
      <c r="J345">
        <v>0</v>
      </c>
    </row>
    <row r="346" spans="1:10" x14ac:dyDescent="0.3">
      <c r="A346" t="str">
        <f t="shared" si="35"/>
        <v>HH345</v>
      </c>
      <c r="B346" t="str">
        <f ca="1">LOOKUP(RAND(),{0,0.28,0.55,0.78},{"Oloitoktok A","Oloitoktok B","Kiserian","Namanga"})</f>
        <v>Kiserian</v>
      </c>
      <c r="C346">
        <f ca="1">LOOKUP(RAND(),{0,0.02,0.09,0.2,0.35,0.52,0.68,0.81,0.91,0.97},{1,2,3,4,5,6,7,8,9,10})</f>
        <v>7</v>
      </c>
      <c r="D346">
        <f t="shared" ca="1" si="30"/>
        <v>61900</v>
      </c>
      <c r="E346" t="str">
        <f ca="1">IF(B346="Oloitoktok A",IF(D346&lt;15000,LOOKUP(RAND(),{0,0.45,0.75,0.92},{"River","Rainwater","Borehole","Vendor"}),IF(D346&lt;30000,LOOKUP(RAND(),{0,0.35,0.65,0.85},{"River","Rainwater","Borehole","Vendor"}),LOOKUP(RAND(),{0,0.25,0.5,0.75},{"River","Rainwater","Borehole","Vendor"}))),IF(B346="Oloitoktok B",IF(D346&lt;15000,LOOKUP(RAND(),{0,0.5,0.78,0.94},{"River","Rainwater","Borehole","Vendor"}),IF(D346&lt;30000,LOOKUP(RAND(),{0,0.4,0.68,0.87},{"River","Rainwater","Borehole","Vendor"}),LOOKUP(RAND(),{0,0.28,0.55,0.78},{"River","Rainwater","Borehole","Vendor"}))),IF(B346="Kiserian",IF(D346&lt;15000,LOOKUP(RAND(),{0,0.35,0.65,0.9},{"River","Rainwater","Borehole","Vendor"}),IF(D346&lt;30000,LOOKUP(RAND(),{0,0.25,0.55,0.82},{"River","Rainwater","Borehole","Vendor"}),LOOKUP(RAND(),{0,0.15,0.45,0.72},{"River","Rainwater","Borehole","Vendor"}))),IF(D346&lt;15000,LOOKUP(RAND(),{0,0.4,0.7,0.92},{"River","Rainwater","Borehole","Vendor"}),IF(D346&lt;30000,LOOKUP(RAND(),{0,0.3,0.6,0.85},{"River","Rainwater","Borehole","Vendor"}),LOOKUP(RAND(),{0,0.2,0.5,0.75},{"River","Rainwater","Borehole","Vendor"}))))))</f>
        <v>River</v>
      </c>
      <c r="F346">
        <f t="shared" ca="1" si="31"/>
        <v>68</v>
      </c>
      <c r="G346">
        <f t="shared" ca="1" si="32"/>
        <v>5.5</v>
      </c>
      <c r="H346">
        <f t="shared" ca="1" si="33"/>
        <v>6900</v>
      </c>
      <c r="I346">
        <f t="shared" ca="1" si="34"/>
        <v>0.61792516312628099</v>
      </c>
      <c r="J346">
        <v>0</v>
      </c>
    </row>
    <row r="347" spans="1:10" x14ac:dyDescent="0.3">
      <c r="A347" t="str">
        <f t="shared" si="35"/>
        <v>HH346</v>
      </c>
      <c r="B347" t="str">
        <f ca="1">LOOKUP(RAND(),{0,0.28,0.55,0.78},{"Oloitoktok A","Oloitoktok B","Kiserian","Namanga"})</f>
        <v>Oloitoktok B</v>
      </c>
      <c r="C347">
        <f ca="1">LOOKUP(RAND(),{0,0.02,0.09,0.2,0.35,0.52,0.68,0.81,0.91,0.97},{1,2,3,4,5,6,7,8,9,10})</f>
        <v>4</v>
      </c>
      <c r="D347">
        <f t="shared" ca="1" si="30"/>
        <v>65900</v>
      </c>
      <c r="E347" t="str">
        <f ca="1">IF(B347="Oloitoktok A",IF(D347&lt;15000,LOOKUP(RAND(),{0,0.45,0.75,0.92},{"River","Rainwater","Borehole","Vendor"}),IF(D347&lt;30000,LOOKUP(RAND(),{0,0.35,0.65,0.85},{"River","Rainwater","Borehole","Vendor"}),LOOKUP(RAND(),{0,0.25,0.5,0.75},{"River","Rainwater","Borehole","Vendor"}))),IF(B347="Oloitoktok B",IF(D347&lt;15000,LOOKUP(RAND(),{0,0.5,0.78,0.94},{"River","Rainwater","Borehole","Vendor"}),IF(D347&lt;30000,LOOKUP(RAND(),{0,0.4,0.68,0.87},{"River","Rainwater","Borehole","Vendor"}),LOOKUP(RAND(),{0,0.28,0.55,0.78},{"River","Rainwater","Borehole","Vendor"}))),IF(B347="Kiserian",IF(D347&lt;15000,LOOKUP(RAND(),{0,0.35,0.65,0.9},{"River","Rainwater","Borehole","Vendor"}),IF(D347&lt;30000,LOOKUP(RAND(),{0,0.25,0.55,0.82},{"River","Rainwater","Borehole","Vendor"}),LOOKUP(RAND(),{0,0.15,0.45,0.72},{"River","Rainwater","Borehole","Vendor"}))),IF(D347&lt;15000,LOOKUP(RAND(),{0,0.4,0.7,0.92},{"River","Rainwater","Borehole","Vendor"}),IF(D347&lt;30000,LOOKUP(RAND(),{0,0.3,0.6,0.85},{"River","Rainwater","Borehole","Vendor"}),LOOKUP(RAND(),{0,0.2,0.5,0.75},{"River","Rainwater","Borehole","Vendor"}))))))</f>
        <v>Borehole</v>
      </c>
      <c r="F347">
        <f t="shared" ca="1" si="31"/>
        <v>32</v>
      </c>
      <c r="G347">
        <f t="shared" ca="1" si="32"/>
        <v>4.7</v>
      </c>
      <c r="H347">
        <f t="shared" ca="1" si="33"/>
        <v>5500</v>
      </c>
      <c r="I347">
        <f t="shared" ca="1" si="34"/>
        <v>0.2451397367136029</v>
      </c>
      <c r="J347">
        <v>0</v>
      </c>
    </row>
    <row r="348" spans="1:10" x14ac:dyDescent="0.3">
      <c r="A348" t="str">
        <f t="shared" si="35"/>
        <v>HH347</v>
      </c>
      <c r="B348" t="str">
        <f ca="1">LOOKUP(RAND(),{0,0.28,0.55,0.78},{"Oloitoktok A","Oloitoktok B","Kiserian","Namanga"})</f>
        <v>Namanga</v>
      </c>
      <c r="C348">
        <f ca="1">LOOKUP(RAND(),{0,0.02,0.09,0.2,0.35,0.52,0.68,0.81,0.91,0.97},{1,2,3,4,5,6,7,8,9,10})</f>
        <v>7</v>
      </c>
      <c r="D348">
        <f t="shared" ca="1" si="30"/>
        <v>27800</v>
      </c>
      <c r="E348" t="str">
        <f ca="1">IF(B348="Oloitoktok A",IF(D348&lt;15000,LOOKUP(RAND(),{0,0.45,0.75,0.92},{"River","Rainwater","Borehole","Vendor"}),IF(D348&lt;30000,LOOKUP(RAND(),{0,0.35,0.65,0.85},{"River","Rainwater","Borehole","Vendor"}),LOOKUP(RAND(),{0,0.25,0.5,0.75},{"River","Rainwater","Borehole","Vendor"}))),IF(B348="Oloitoktok B",IF(D348&lt;15000,LOOKUP(RAND(),{0,0.5,0.78,0.94},{"River","Rainwater","Borehole","Vendor"}),IF(D348&lt;30000,LOOKUP(RAND(),{0,0.4,0.68,0.87},{"River","Rainwater","Borehole","Vendor"}),LOOKUP(RAND(),{0,0.28,0.55,0.78},{"River","Rainwater","Borehole","Vendor"}))),IF(B348="Kiserian",IF(D348&lt;15000,LOOKUP(RAND(),{0,0.35,0.65,0.9},{"River","Rainwater","Borehole","Vendor"}),IF(D348&lt;30000,LOOKUP(RAND(),{0,0.25,0.55,0.82},{"River","Rainwater","Borehole","Vendor"}),LOOKUP(RAND(),{0,0.15,0.45,0.72},{"River","Rainwater","Borehole","Vendor"}))),IF(D348&lt;15000,LOOKUP(RAND(),{0,0.4,0.7,0.92},{"River","Rainwater","Borehole","Vendor"}),IF(D348&lt;30000,LOOKUP(RAND(),{0,0.3,0.6,0.85},{"River","Rainwater","Borehole","Vendor"}),LOOKUP(RAND(),{0,0.2,0.5,0.75},{"River","Rainwater","Borehole","Vendor"}))))))</f>
        <v>Borehole</v>
      </c>
      <c r="F348">
        <f t="shared" ca="1" si="31"/>
        <v>32</v>
      </c>
      <c r="G348">
        <f t="shared" ca="1" si="32"/>
        <v>4.2</v>
      </c>
      <c r="H348">
        <f t="shared" ca="1" si="33"/>
        <v>6300</v>
      </c>
      <c r="I348">
        <f t="shared" ca="1" si="34"/>
        <v>0.39766831357264121</v>
      </c>
      <c r="J348">
        <v>0</v>
      </c>
    </row>
    <row r="349" spans="1:10" x14ac:dyDescent="0.3">
      <c r="A349" t="str">
        <f t="shared" si="35"/>
        <v>HH348</v>
      </c>
      <c r="B349" t="str">
        <f ca="1">LOOKUP(RAND(),{0,0.28,0.55,0.78},{"Oloitoktok A","Oloitoktok B","Kiserian","Namanga"})</f>
        <v>Oloitoktok A</v>
      </c>
      <c r="C349">
        <f ca="1">LOOKUP(RAND(),{0,0.02,0.09,0.2,0.35,0.52,0.68,0.81,0.91,0.97},{1,2,3,4,5,6,7,8,9,10})</f>
        <v>6</v>
      </c>
      <c r="D349">
        <f t="shared" ca="1" si="30"/>
        <v>36500</v>
      </c>
      <c r="E349" t="str">
        <f ca="1">IF(B349="Oloitoktok A",IF(D349&lt;15000,LOOKUP(RAND(),{0,0.45,0.75,0.92},{"River","Rainwater","Borehole","Vendor"}),IF(D349&lt;30000,LOOKUP(RAND(),{0,0.35,0.65,0.85},{"River","Rainwater","Borehole","Vendor"}),LOOKUP(RAND(),{0,0.25,0.5,0.75},{"River","Rainwater","Borehole","Vendor"}))),IF(B349="Oloitoktok B",IF(D349&lt;15000,LOOKUP(RAND(),{0,0.5,0.78,0.94},{"River","Rainwater","Borehole","Vendor"}),IF(D349&lt;30000,LOOKUP(RAND(),{0,0.4,0.68,0.87},{"River","Rainwater","Borehole","Vendor"}),LOOKUP(RAND(),{0,0.28,0.55,0.78},{"River","Rainwater","Borehole","Vendor"}))),IF(B349="Kiserian",IF(D349&lt;15000,LOOKUP(RAND(),{0,0.35,0.65,0.9},{"River","Rainwater","Borehole","Vendor"}),IF(D349&lt;30000,LOOKUP(RAND(),{0,0.25,0.55,0.82},{"River","Rainwater","Borehole","Vendor"}),LOOKUP(RAND(),{0,0.15,0.45,0.72},{"River","Rainwater","Borehole","Vendor"}))),IF(D349&lt;15000,LOOKUP(RAND(),{0,0.4,0.7,0.92},{"River","Rainwater","Borehole","Vendor"}),IF(D349&lt;30000,LOOKUP(RAND(),{0,0.3,0.6,0.85},{"River","Rainwater","Borehole","Vendor"}),LOOKUP(RAND(),{0,0.2,0.5,0.75},{"River","Rainwater","Borehole","Vendor"}))))))</f>
        <v>River</v>
      </c>
      <c r="F349">
        <f t="shared" ca="1" si="31"/>
        <v>55</v>
      </c>
      <c r="G349">
        <f t="shared" ca="1" si="32"/>
        <v>8</v>
      </c>
      <c r="H349">
        <f t="shared" ca="1" si="33"/>
        <v>7100</v>
      </c>
      <c r="I349">
        <f t="shared" ca="1" si="34"/>
        <v>0.35167189348235173</v>
      </c>
      <c r="J349">
        <v>0</v>
      </c>
    </row>
    <row r="350" spans="1:10" x14ac:dyDescent="0.3">
      <c r="A350" t="str">
        <f t="shared" si="35"/>
        <v>HH349</v>
      </c>
      <c r="B350" t="str">
        <f ca="1">LOOKUP(RAND(),{0,0.28,0.55,0.78},{"Oloitoktok A","Oloitoktok B","Kiserian","Namanga"})</f>
        <v>Oloitoktok A</v>
      </c>
      <c r="C350">
        <f ca="1">LOOKUP(RAND(),{0,0.02,0.09,0.2,0.35,0.52,0.68,0.81,0.91,0.97},{1,2,3,4,5,6,7,8,9,10})</f>
        <v>6</v>
      </c>
      <c r="D350">
        <f t="shared" ca="1" si="30"/>
        <v>67900</v>
      </c>
      <c r="E350" t="str">
        <f ca="1">IF(B350="Oloitoktok A",IF(D350&lt;15000,LOOKUP(RAND(),{0,0.45,0.75,0.92},{"River","Rainwater","Borehole","Vendor"}),IF(D350&lt;30000,LOOKUP(RAND(),{0,0.35,0.65,0.85},{"River","Rainwater","Borehole","Vendor"}),LOOKUP(RAND(),{0,0.25,0.5,0.75},{"River","Rainwater","Borehole","Vendor"}))),IF(B350="Oloitoktok B",IF(D350&lt;15000,LOOKUP(RAND(),{0,0.5,0.78,0.94},{"River","Rainwater","Borehole","Vendor"}),IF(D350&lt;30000,LOOKUP(RAND(),{0,0.4,0.68,0.87},{"River","Rainwater","Borehole","Vendor"}),LOOKUP(RAND(),{0,0.28,0.55,0.78},{"River","Rainwater","Borehole","Vendor"}))),IF(B350="Kiserian",IF(D350&lt;15000,LOOKUP(RAND(),{0,0.35,0.65,0.9},{"River","Rainwater","Borehole","Vendor"}),IF(D350&lt;30000,LOOKUP(RAND(),{0,0.25,0.55,0.82},{"River","Rainwater","Borehole","Vendor"}),LOOKUP(RAND(),{0,0.15,0.45,0.72},{"River","Rainwater","Borehole","Vendor"}))),IF(D350&lt;15000,LOOKUP(RAND(),{0,0.4,0.7,0.92},{"River","Rainwater","Borehole","Vendor"}),IF(D350&lt;30000,LOOKUP(RAND(),{0,0.3,0.6,0.85},{"River","Rainwater","Borehole","Vendor"}),LOOKUP(RAND(),{0,0.2,0.5,0.75},{"River","Rainwater","Borehole","Vendor"}))))))</f>
        <v>Rainwater</v>
      </c>
      <c r="F350">
        <f t="shared" ca="1" si="31"/>
        <v>63</v>
      </c>
      <c r="G350">
        <f t="shared" ca="1" si="32"/>
        <v>7.4</v>
      </c>
      <c r="H350">
        <f t="shared" ca="1" si="33"/>
        <v>8400</v>
      </c>
      <c r="I350">
        <f t="shared" ca="1" si="34"/>
        <v>0.93444912092136656</v>
      </c>
      <c r="J350">
        <v>0</v>
      </c>
    </row>
    <row r="351" spans="1:10" x14ac:dyDescent="0.3">
      <c r="A351" t="str">
        <f t="shared" si="35"/>
        <v>HH350</v>
      </c>
      <c r="B351" t="str">
        <f ca="1">LOOKUP(RAND(),{0,0.28,0.55,0.78},{"Oloitoktok A","Oloitoktok B","Kiserian","Namanga"})</f>
        <v>Oloitoktok A</v>
      </c>
      <c r="C351">
        <f ca="1">LOOKUP(RAND(),{0,0.02,0.09,0.2,0.35,0.52,0.68,0.81,0.91,0.97},{1,2,3,4,5,6,7,8,9,10})</f>
        <v>7</v>
      </c>
      <c r="D351">
        <f t="shared" ca="1" si="30"/>
        <v>52600</v>
      </c>
      <c r="E351" t="str">
        <f ca="1">IF(B351="Oloitoktok A",IF(D351&lt;15000,LOOKUP(RAND(),{0,0.45,0.75,0.92},{"River","Rainwater","Borehole","Vendor"}),IF(D351&lt;30000,LOOKUP(RAND(),{0,0.35,0.65,0.85},{"River","Rainwater","Borehole","Vendor"}),LOOKUP(RAND(),{0,0.25,0.5,0.75},{"River","Rainwater","Borehole","Vendor"}))),IF(B351="Oloitoktok B",IF(D351&lt;15000,LOOKUP(RAND(),{0,0.5,0.78,0.94},{"River","Rainwater","Borehole","Vendor"}),IF(D351&lt;30000,LOOKUP(RAND(),{0,0.4,0.68,0.87},{"River","Rainwater","Borehole","Vendor"}),LOOKUP(RAND(),{0,0.28,0.55,0.78},{"River","Rainwater","Borehole","Vendor"}))),IF(B351="Kiserian",IF(D351&lt;15000,LOOKUP(RAND(),{0,0.35,0.65,0.9},{"River","Rainwater","Borehole","Vendor"}),IF(D351&lt;30000,LOOKUP(RAND(),{0,0.25,0.55,0.82},{"River","Rainwater","Borehole","Vendor"}),LOOKUP(RAND(),{0,0.15,0.45,0.72},{"River","Rainwater","Borehole","Vendor"}))),IF(D351&lt;15000,LOOKUP(RAND(),{0,0.4,0.7,0.92},{"River","Rainwater","Borehole","Vendor"}),IF(D351&lt;30000,LOOKUP(RAND(),{0,0.3,0.6,0.85},{"River","Rainwater","Borehole","Vendor"}),LOOKUP(RAND(),{0,0.2,0.5,0.75},{"River","Rainwater","Borehole","Vendor"}))))))</f>
        <v>Borehole</v>
      </c>
      <c r="F351">
        <f t="shared" ca="1" si="31"/>
        <v>45</v>
      </c>
      <c r="G351">
        <f t="shared" ca="1" si="32"/>
        <v>9.6</v>
      </c>
      <c r="H351">
        <f t="shared" ca="1" si="33"/>
        <v>7900</v>
      </c>
      <c r="I351">
        <f t="shared" ca="1" si="34"/>
        <v>0.61191718541655493</v>
      </c>
      <c r="J351">
        <v>0</v>
      </c>
    </row>
    <row r="352" spans="1:10" x14ac:dyDescent="0.3">
      <c r="A352" t="str">
        <f t="shared" si="35"/>
        <v>HH351</v>
      </c>
      <c r="B352" t="str">
        <f ca="1">LOOKUP(RAND(),{0,0.28,0.55,0.78},{"Oloitoktok A","Oloitoktok B","Kiserian","Namanga"})</f>
        <v>Oloitoktok B</v>
      </c>
      <c r="C352">
        <f ca="1">LOOKUP(RAND(),{0,0.02,0.09,0.2,0.35,0.52,0.68,0.81,0.91,0.97},{1,2,3,4,5,6,7,8,9,10})</f>
        <v>8</v>
      </c>
      <c r="D352">
        <f t="shared" ca="1" si="30"/>
        <v>51900</v>
      </c>
      <c r="E352" t="str">
        <f ca="1">IF(B352="Oloitoktok A",IF(D352&lt;15000,LOOKUP(RAND(),{0,0.45,0.75,0.92},{"River","Rainwater","Borehole","Vendor"}),IF(D352&lt;30000,LOOKUP(RAND(),{0,0.35,0.65,0.85},{"River","Rainwater","Borehole","Vendor"}),LOOKUP(RAND(),{0,0.25,0.5,0.75},{"River","Rainwater","Borehole","Vendor"}))),IF(B352="Oloitoktok B",IF(D352&lt;15000,LOOKUP(RAND(),{0,0.5,0.78,0.94},{"River","Rainwater","Borehole","Vendor"}),IF(D352&lt;30000,LOOKUP(RAND(),{0,0.4,0.68,0.87},{"River","Rainwater","Borehole","Vendor"}),LOOKUP(RAND(),{0,0.28,0.55,0.78},{"River","Rainwater","Borehole","Vendor"}))),IF(B352="Kiserian",IF(D352&lt;15000,LOOKUP(RAND(),{0,0.35,0.65,0.9},{"River","Rainwater","Borehole","Vendor"}),IF(D352&lt;30000,LOOKUP(RAND(),{0,0.25,0.55,0.82},{"River","Rainwater","Borehole","Vendor"}),LOOKUP(RAND(),{0,0.15,0.45,0.72},{"River","Rainwater","Borehole","Vendor"}))),IF(D352&lt;15000,LOOKUP(RAND(),{0,0.4,0.7,0.92},{"River","Rainwater","Borehole","Vendor"}),IF(D352&lt;30000,LOOKUP(RAND(),{0,0.3,0.6,0.85},{"River","Rainwater","Borehole","Vendor"}),LOOKUP(RAND(),{0,0.2,0.5,0.75},{"River","Rainwater","Borehole","Vendor"}))))))</f>
        <v>Rainwater</v>
      </c>
      <c r="F352">
        <f t="shared" ca="1" si="31"/>
        <v>38</v>
      </c>
      <c r="G352">
        <f t="shared" ca="1" si="32"/>
        <v>11</v>
      </c>
      <c r="H352">
        <f t="shared" ca="1" si="33"/>
        <v>2800</v>
      </c>
      <c r="I352">
        <f t="shared" ca="1" si="34"/>
        <v>0.30073122010358133</v>
      </c>
      <c r="J352">
        <v>0</v>
      </c>
    </row>
    <row r="353" spans="1:10" x14ac:dyDescent="0.3">
      <c r="A353" t="str">
        <f t="shared" si="35"/>
        <v>HH352</v>
      </c>
      <c r="B353" t="str">
        <f ca="1">LOOKUP(RAND(),{0,0.28,0.55,0.78},{"Oloitoktok A","Oloitoktok B","Kiserian","Namanga"})</f>
        <v>Namanga</v>
      </c>
      <c r="C353">
        <f ca="1">LOOKUP(RAND(),{0,0.02,0.09,0.2,0.35,0.52,0.68,0.81,0.91,0.97},{1,2,3,4,5,6,7,8,9,10})</f>
        <v>6</v>
      </c>
      <c r="D353">
        <f t="shared" ca="1" si="30"/>
        <v>44200</v>
      </c>
      <c r="E353" t="str">
        <f ca="1">IF(B353="Oloitoktok A",IF(D353&lt;15000,LOOKUP(RAND(),{0,0.45,0.75,0.92},{"River","Rainwater","Borehole","Vendor"}),IF(D353&lt;30000,LOOKUP(RAND(),{0,0.35,0.65,0.85},{"River","Rainwater","Borehole","Vendor"}),LOOKUP(RAND(),{0,0.25,0.5,0.75},{"River","Rainwater","Borehole","Vendor"}))),IF(B353="Oloitoktok B",IF(D353&lt;15000,LOOKUP(RAND(),{0,0.5,0.78,0.94},{"River","Rainwater","Borehole","Vendor"}),IF(D353&lt;30000,LOOKUP(RAND(),{0,0.4,0.68,0.87},{"River","Rainwater","Borehole","Vendor"}),LOOKUP(RAND(),{0,0.28,0.55,0.78},{"River","Rainwater","Borehole","Vendor"}))),IF(B353="Kiserian",IF(D353&lt;15000,LOOKUP(RAND(),{0,0.35,0.65,0.9},{"River","Rainwater","Borehole","Vendor"}),IF(D353&lt;30000,LOOKUP(RAND(),{0,0.25,0.55,0.82},{"River","Rainwater","Borehole","Vendor"}),LOOKUP(RAND(),{0,0.15,0.45,0.72},{"River","Rainwater","Borehole","Vendor"}))),IF(D353&lt;15000,LOOKUP(RAND(),{0,0.4,0.7,0.92},{"River","Rainwater","Borehole","Vendor"}),IF(D353&lt;30000,LOOKUP(RAND(),{0,0.3,0.6,0.85},{"River","Rainwater","Borehole","Vendor"}),LOOKUP(RAND(),{0,0.2,0.5,0.75},{"River","Rainwater","Borehole","Vendor"}))))))</f>
        <v>Rainwater</v>
      </c>
      <c r="F353">
        <f t="shared" ca="1" si="31"/>
        <v>15</v>
      </c>
      <c r="G353">
        <f t="shared" ca="1" si="32"/>
        <v>4.5999999999999996</v>
      </c>
      <c r="H353">
        <f t="shared" ca="1" si="33"/>
        <v>4100</v>
      </c>
      <c r="I353">
        <f t="shared" ca="1" si="34"/>
        <v>0.74187425357767467</v>
      </c>
      <c r="J353">
        <v>0</v>
      </c>
    </row>
    <row r="354" spans="1:10" x14ac:dyDescent="0.3">
      <c r="A354" t="str">
        <f t="shared" si="35"/>
        <v>HH353</v>
      </c>
      <c r="B354" t="str">
        <f ca="1">LOOKUP(RAND(),{0,0.28,0.55,0.78},{"Oloitoktok A","Oloitoktok B","Kiserian","Namanga"})</f>
        <v>Oloitoktok B</v>
      </c>
      <c r="C354">
        <f ca="1">LOOKUP(RAND(),{0,0.02,0.09,0.2,0.35,0.52,0.68,0.81,0.91,0.97},{1,2,3,4,5,6,7,8,9,10})</f>
        <v>4</v>
      </c>
      <c r="D354">
        <f t="shared" ca="1" si="30"/>
        <v>8700</v>
      </c>
      <c r="E354" t="str">
        <f ca="1">IF(B354="Oloitoktok A",IF(D354&lt;15000,LOOKUP(RAND(),{0,0.45,0.75,0.92},{"River","Rainwater","Borehole","Vendor"}),IF(D354&lt;30000,LOOKUP(RAND(),{0,0.35,0.65,0.85},{"River","Rainwater","Borehole","Vendor"}),LOOKUP(RAND(),{0,0.25,0.5,0.75},{"River","Rainwater","Borehole","Vendor"}))),IF(B354="Oloitoktok B",IF(D354&lt;15000,LOOKUP(RAND(),{0,0.5,0.78,0.94},{"River","Rainwater","Borehole","Vendor"}),IF(D354&lt;30000,LOOKUP(RAND(),{0,0.4,0.68,0.87},{"River","Rainwater","Borehole","Vendor"}),LOOKUP(RAND(),{0,0.28,0.55,0.78},{"River","Rainwater","Borehole","Vendor"}))),IF(B354="Kiserian",IF(D354&lt;15000,LOOKUP(RAND(),{0,0.35,0.65,0.9},{"River","Rainwater","Borehole","Vendor"}),IF(D354&lt;30000,LOOKUP(RAND(),{0,0.25,0.55,0.82},{"River","Rainwater","Borehole","Vendor"}),LOOKUP(RAND(),{0,0.15,0.45,0.72},{"River","Rainwater","Borehole","Vendor"}))),IF(D354&lt;15000,LOOKUP(RAND(),{0,0.4,0.7,0.92},{"River","Rainwater","Borehole","Vendor"}),IF(D354&lt;30000,LOOKUP(RAND(),{0,0.3,0.6,0.85},{"River","Rainwater","Borehole","Vendor"}),LOOKUP(RAND(),{0,0.2,0.5,0.75},{"River","Rainwater","Borehole","Vendor"}))))))</f>
        <v>Rainwater</v>
      </c>
      <c r="F354">
        <f t="shared" ca="1" si="31"/>
        <v>17</v>
      </c>
      <c r="G354">
        <f t="shared" ca="1" si="32"/>
        <v>11.3</v>
      </c>
      <c r="H354">
        <f t="shared" ca="1" si="33"/>
        <v>5300</v>
      </c>
      <c r="I354">
        <f t="shared" ca="1" si="34"/>
        <v>0.94807284795059843</v>
      </c>
      <c r="J354">
        <v>0</v>
      </c>
    </row>
    <row r="355" spans="1:10" x14ac:dyDescent="0.3">
      <c r="A355" t="str">
        <f t="shared" si="35"/>
        <v>HH354</v>
      </c>
      <c r="B355" t="str">
        <f ca="1">LOOKUP(RAND(),{0,0.28,0.55,0.78},{"Oloitoktok A","Oloitoktok B","Kiserian","Namanga"})</f>
        <v>Namanga</v>
      </c>
      <c r="C355">
        <f ca="1">LOOKUP(RAND(),{0,0.02,0.09,0.2,0.35,0.52,0.68,0.81,0.91,0.97},{1,2,3,4,5,6,7,8,9,10})</f>
        <v>7</v>
      </c>
      <c r="D355">
        <f t="shared" ca="1" si="30"/>
        <v>29000</v>
      </c>
      <c r="E355" t="str">
        <f ca="1">IF(B355="Oloitoktok A",IF(D355&lt;15000,LOOKUP(RAND(),{0,0.45,0.75,0.92},{"River","Rainwater","Borehole","Vendor"}),IF(D355&lt;30000,LOOKUP(RAND(),{0,0.35,0.65,0.85},{"River","Rainwater","Borehole","Vendor"}),LOOKUP(RAND(),{0,0.25,0.5,0.75},{"River","Rainwater","Borehole","Vendor"}))),IF(B355="Oloitoktok B",IF(D355&lt;15000,LOOKUP(RAND(),{0,0.5,0.78,0.94},{"River","Rainwater","Borehole","Vendor"}),IF(D355&lt;30000,LOOKUP(RAND(),{0,0.4,0.68,0.87},{"River","Rainwater","Borehole","Vendor"}),LOOKUP(RAND(),{0,0.28,0.55,0.78},{"River","Rainwater","Borehole","Vendor"}))),IF(B355="Kiserian",IF(D355&lt;15000,LOOKUP(RAND(),{0,0.35,0.65,0.9},{"River","Rainwater","Borehole","Vendor"}),IF(D355&lt;30000,LOOKUP(RAND(),{0,0.25,0.55,0.82},{"River","Rainwater","Borehole","Vendor"}),LOOKUP(RAND(),{0,0.15,0.45,0.72},{"River","Rainwater","Borehole","Vendor"}))),IF(D355&lt;15000,LOOKUP(RAND(),{0,0.4,0.7,0.92},{"River","Rainwater","Borehole","Vendor"}),IF(D355&lt;30000,LOOKUP(RAND(),{0,0.3,0.6,0.85},{"River","Rainwater","Borehole","Vendor"}),LOOKUP(RAND(),{0,0.2,0.5,0.75},{"River","Rainwater","Borehole","Vendor"}))))))</f>
        <v>River</v>
      </c>
      <c r="F355">
        <f t="shared" ca="1" si="31"/>
        <v>51</v>
      </c>
      <c r="G355">
        <f t="shared" ca="1" si="32"/>
        <v>8.1</v>
      </c>
      <c r="H355">
        <f t="shared" ca="1" si="33"/>
        <v>9400</v>
      </c>
      <c r="I355">
        <f t="shared" ca="1" si="34"/>
        <v>0.66654745480452526</v>
      </c>
      <c r="J355">
        <v>0</v>
      </c>
    </row>
    <row r="356" spans="1:10" x14ac:dyDescent="0.3">
      <c r="A356" t="str">
        <f t="shared" si="35"/>
        <v>HH355</v>
      </c>
      <c r="B356" t="str">
        <f ca="1">LOOKUP(RAND(),{0,0.28,0.55,0.78},{"Oloitoktok A","Oloitoktok B","Kiserian","Namanga"})</f>
        <v>Kiserian</v>
      </c>
      <c r="C356">
        <f ca="1">LOOKUP(RAND(),{0,0.02,0.09,0.2,0.35,0.52,0.68,0.81,0.91,0.97},{1,2,3,4,5,6,7,8,9,10})</f>
        <v>5</v>
      </c>
      <c r="D356">
        <f t="shared" ca="1" si="30"/>
        <v>53000</v>
      </c>
      <c r="E356" t="str">
        <f ca="1">IF(B356="Oloitoktok A",IF(D356&lt;15000,LOOKUP(RAND(),{0,0.45,0.75,0.92},{"River","Rainwater","Borehole","Vendor"}),IF(D356&lt;30000,LOOKUP(RAND(),{0,0.35,0.65,0.85},{"River","Rainwater","Borehole","Vendor"}),LOOKUP(RAND(),{0,0.25,0.5,0.75},{"River","Rainwater","Borehole","Vendor"}))),IF(B356="Oloitoktok B",IF(D356&lt;15000,LOOKUP(RAND(),{0,0.5,0.78,0.94},{"River","Rainwater","Borehole","Vendor"}),IF(D356&lt;30000,LOOKUP(RAND(),{0,0.4,0.68,0.87},{"River","Rainwater","Borehole","Vendor"}),LOOKUP(RAND(),{0,0.28,0.55,0.78},{"River","Rainwater","Borehole","Vendor"}))),IF(B356="Kiserian",IF(D356&lt;15000,LOOKUP(RAND(),{0,0.35,0.65,0.9},{"River","Rainwater","Borehole","Vendor"}),IF(D356&lt;30000,LOOKUP(RAND(),{0,0.25,0.55,0.82},{"River","Rainwater","Borehole","Vendor"}),LOOKUP(RAND(),{0,0.15,0.45,0.72},{"River","Rainwater","Borehole","Vendor"}))),IF(D356&lt;15000,LOOKUP(RAND(),{0,0.4,0.7,0.92},{"River","Rainwater","Borehole","Vendor"}),IF(D356&lt;30000,LOOKUP(RAND(),{0,0.3,0.6,0.85},{"River","Rainwater","Borehole","Vendor"}),LOOKUP(RAND(),{0,0.2,0.5,0.75},{"River","Rainwater","Borehole","Vendor"}))))))</f>
        <v>Rainwater</v>
      </c>
      <c r="F356">
        <f t="shared" ca="1" si="31"/>
        <v>62</v>
      </c>
      <c r="G356">
        <f t="shared" ca="1" si="32"/>
        <v>6.2</v>
      </c>
      <c r="H356">
        <f t="shared" ca="1" si="33"/>
        <v>7900</v>
      </c>
      <c r="I356">
        <f t="shared" ca="1" si="34"/>
        <v>0.97009209237616822</v>
      </c>
      <c r="J356">
        <v>0</v>
      </c>
    </row>
    <row r="357" spans="1:10" x14ac:dyDescent="0.3">
      <c r="A357" t="str">
        <f t="shared" si="35"/>
        <v>HH356</v>
      </c>
      <c r="B357" t="str">
        <f ca="1">LOOKUP(RAND(),{0,0.28,0.55,0.78},{"Oloitoktok A","Oloitoktok B","Kiserian","Namanga"})</f>
        <v>Oloitoktok B</v>
      </c>
      <c r="C357">
        <f ca="1">LOOKUP(RAND(),{0,0.02,0.09,0.2,0.35,0.52,0.68,0.81,0.91,0.97},{1,2,3,4,5,6,7,8,9,10})</f>
        <v>2</v>
      </c>
      <c r="D357">
        <f t="shared" ca="1" si="30"/>
        <v>27500</v>
      </c>
      <c r="E357" t="str">
        <f ca="1">IF(B357="Oloitoktok A",IF(D357&lt;15000,LOOKUP(RAND(),{0,0.45,0.75,0.92},{"River","Rainwater","Borehole","Vendor"}),IF(D357&lt;30000,LOOKUP(RAND(),{0,0.35,0.65,0.85},{"River","Rainwater","Borehole","Vendor"}),LOOKUP(RAND(),{0,0.25,0.5,0.75},{"River","Rainwater","Borehole","Vendor"}))),IF(B357="Oloitoktok B",IF(D357&lt;15000,LOOKUP(RAND(),{0,0.5,0.78,0.94},{"River","Rainwater","Borehole","Vendor"}),IF(D357&lt;30000,LOOKUP(RAND(),{0,0.4,0.68,0.87},{"River","Rainwater","Borehole","Vendor"}),LOOKUP(RAND(),{0,0.28,0.55,0.78},{"River","Rainwater","Borehole","Vendor"}))),IF(B357="Kiserian",IF(D357&lt;15000,LOOKUP(RAND(),{0,0.35,0.65,0.9},{"River","Rainwater","Borehole","Vendor"}),IF(D357&lt;30000,LOOKUP(RAND(),{0,0.25,0.55,0.82},{"River","Rainwater","Borehole","Vendor"}),LOOKUP(RAND(),{0,0.15,0.45,0.72},{"River","Rainwater","Borehole","Vendor"}))),IF(D357&lt;15000,LOOKUP(RAND(),{0,0.4,0.7,0.92},{"River","Rainwater","Borehole","Vendor"}),IF(D357&lt;30000,LOOKUP(RAND(),{0,0.3,0.6,0.85},{"River","Rainwater","Borehole","Vendor"}),LOOKUP(RAND(),{0,0.2,0.5,0.75},{"River","Rainwater","Borehole","Vendor"}))))))</f>
        <v>Vendor</v>
      </c>
      <c r="F357">
        <f t="shared" ca="1" si="31"/>
        <v>46</v>
      </c>
      <c r="G357">
        <f t="shared" ca="1" si="32"/>
        <v>10.7</v>
      </c>
      <c r="H357">
        <f t="shared" ca="1" si="33"/>
        <v>1700</v>
      </c>
      <c r="I357">
        <f t="shared" ca="1" si="34"/>
        <v>3.4095076784920186E-3</v>
      </c>
      <c r="J357">
        <v>0</v>
      </c>
    </row>
    <row r="358" spans="1:10" x14ac:dyDescent="0.3">
      <c r="A358" t="str">
        <f t="shared" si="35"/>
        <v>HH357</v>
      </c>
      <c r="B358" t="str">
        <f ca="1">LOOKUP(RAND(),{0,0.28,0.55,0.78},{"Oloitoktok A","Oloitoktok B","Kiserian","Namanga"})</f>
        <v>Oloitoktok B</v>
      </c>
      <c r="C358">
        <f ca="1">LOOKUP(RAND(),{0,0.02,0.09,0.2,0.35,0.52,0.68,0.81,0.91,0.97},{1,2,3,4,5,6,7,8,9,10})</f>
        <v>2</v>
      </c>
      <c r="D358">
        <f t="shared" ca="1" si="30"/>
        <v>19900</v>
      </c>
      <c r="E358" t="str">
        <f ca="1">IF(B358="Oloitoktok A",IF(D358&lt;15000,LOOKUP(RAND(),{0,0.45,0.75,0.92},{"River","Rainwater","Borehole","Vendor"}),IF(D358&lt;30000,LOOKUP(RAND(),{0,0.35,0.65,0.85},{"River","Rainwater","Borehole","Vendor"}),LOOKUP(RAND(),{0,0.25,0.5,0.75},{"River","Rainwater","Borehole","Vendor"}))),IF(B358="Oloitoktok B",IF(D358&lt;15000,LOOKUP(RAND(),{0,0.5,0.78,0.94},{"River","Rainwater","Borehole","Vendor"}),IF(D358&lt;30000,LOOKUP(RAND(),{0,0.4,0.68,0.87},{"River","Rainwater","Borehole","Vendor"}),LOOKUP(RAND(),{0,0.28,0.55,0.78},{"River","Rainwater","Borehole","Vendor"}))),IF(B358="Kiserian",IF(D358&lt;15000,LOOKUP(RAND(),{0,0.35,0.65,0.9},{"River","Rainwater","Borehole","Vendor"}),IF(D358&lt;30000,LOOKUP(RAND(),{0,0.25,0.55,0.82},{"River","Rainwater","Borehole","Vendor"}),LOOKUP(RAND(),{0,0.15,0.45,0.72},{"River","Rainwater","Borehole","Vendor"}))),IF(D358&lt;15000,LOOKUP(RAND(),{0,0.4,0.7,0.92},{"River","Rainwater","Borehole","Vendor"}),IF(D358&lt;30000,LOOKUP(RAND(),{0,0.3,0.6,0.85},{"River","Rainwater","Borehole","Vendor"}),LOOKUP(RAND(),{0,0.2,0.5,0.75},{"River","Rainwater","Borehole","Vendor"}))))))</f>
        <v>River</v>
      </c>
      <c r="F358">
        <f t="shared" ca="1" si="31"/>
        <v>61</v>
      </c>
      <c r="G358">
        <f t="shared" ca="1" si="32"/>
        <v>10.4</v>
      </c>
      <c r="H358">
        <f t="shared" ca="1" si="33"/>
        <v>12300</v>
      </c>
      <c r="I358">
        <f t="shared" ca="1" si="34"/>
        <v>0.56067688905900182</v>
      </c>
      <c r="J358">
        <v>0</v>
      </c>
    </row>
    <row r="359" spans="1:10" x14ac:dyDescent="0.3">
      <c r="A359" t="str">
        <f t="shared" si="35"/>
        <v>HH358</v>
      </c>
      <c r="B359" t="str">
        <f ca="1">LOOKUP(RAND(),{0,0.28,0.55,0.78},{"Oloitoktok A","Oloitoktok B","Kiserian","Namanga"})</f>
        <v>Oloitoktok A</v>
      </c>
      <c r="C359">
        <f ca="1">LOOKUP(RAND(),{0,0.02,0.09,0.2,0.35,0.52,0.68,0.81,0.91,0.97},{1,2,3,4,5,6,7,8,9,10})</f>
        <v>5</v>
      </c>
      <c r="D359">
        <f t="shared" ca="1" si="30"/>
        <v>23200</v>
      </c>
      <c r="E359" t="str">
        <f ca="1">IF(B359="Oloitoktok A",IF(D359&lt;15000,LOOKUP(RAND(),{0,0.45,0.75,0.92},{"River","Rainwater","Borehole","Vendor"}),IF(D359&lt;30000,LOOKUP(RAND(),{0,0.35,0.65,0.85},{"River","Rainwater","Borehole","Vendor"}),LOOKUP(RAND(),{0,0.25,0.5,0.75},{"River","Rainwater","Borehole","Vendor"}))),IF(B359="Oloitoktok B",IF(D359&lt;15000,LOOKUP(RAND(),{0,0.5,0.78,0.94},{"River","Rainwater","Borehole","Vendor"}),IF(D359&lt;30000,LOOKUP(RAND(),{0,0.4,0.68,0.87},{"River","Rainwater","Borehole","Vendor"}),LOOKUP(RAND(),{0,0.28,0.55,0.78},{"River","Rainwater","Borehole","Vendor"}))),IF(B359="Kiserian",IF(D359&lt;15000,LOOKUP(RAND(),{0,0.35,0.65,0.9},{"River","Rainwater","Borehole","Vendor"}),IF(D359&lt;30000,LOOKUP(RAND(),{0,0.25,0.55,0.82},{"River","Rainwater","Borehole","Vendor"}),LOOKUP(RAND(),{0,0.15,0.45,0.72},{"River","Rainwater","Borehole","Vendor"}))),IF(D359&lt;15000,LOOKUP(RAND(),{0,0.4,0.7,0.92},{"River","Rainwater","Borehole","Vendor"}),IF(D359&lt;30000,LOOKUP(RAND(),{0,0.3,0.6,0.85},{"River","Rainwater","Borehole","Vendor"}),LOOKUP(RAND(),{0,0.2,0.5,0.75},{"River","Rainwater","Borehole","Vendor"}))))))</f>
        <v>River</v>
      </c>
      <c r="F359">
        <f t="shared" ca="1" si="31"/>
        <v>118</v>
      </c>
      <c r="G359">
        <f t="shared" ca="1" si="32"/>
        <v>7</v>
      </c>
      <c r="H359">
        <f t="shared" ca="1" si="33"/>
        <v>8600</v>
      </c>
      <c r="I359">
        <f t="shared" ca="1" si="34"/>
        <v>0.43420037617418183</v>
      </c>
      <c r="J359">
        <v>0</v>
      </c>
    </row>
    <row r="360" spans="1:10" x14ac:dyDescent="0.3">
      <c r="A360" t="str">
        <f t="shared" si="35"/>
        <v>HH359</v>
      </c>
      <c r="B360" t="str">
        <f ca="1">LOOKUP(RAND(),{0,0.28,0.55,0.78},{"Oloitoktok A","Oloitoktok B","Kiserian","Namanga"})</f>
        <v>Oloitoktok B</v>
      </c>
      <c r="C360">
        <f ca="1">LOOKUP(RAND(),{0,0.02,0.09,0.2,0.35,0.52,0.68,0.81,0.91,0.97},{1,2,3,4,5,6,7,8,9,10})</f>
        <v>2</v>
      </c>
      <c r="D360">
        <f t="shared" ca="1" si="30"/>
        <v>55300</v>
      </c>
      <c r="E360" t="str">
        <f ca="1">IF(B360="Oloitoktok A",IF(D360&lt;15000,LOOKUP(RAND(),{0,0.45,0.75,0.92},{"River","Rainwater","Borehole","Vendor"}),IF(D360&lt;30000,LOOKUP(RAND(),{0,0.35,0.65,0.85},{"River","Rainwater","Borehole","Vendor"}),LOOKUP(RAND(),{0,0.25,0.5,0.75},{"River","Rainwater","Borehole","Vendor"}))),IF(B360="Oloitoktok B",IF(D360&lt;15000,LOOKUP(RAND(),{0,0.5,0.78,0.94},{"River","Rainwater","Borehole","Vendor"}),IF(D360&lt;30000,LOOKUP(RAND(),{0,0.4,0.68,0.87},{"River","Rainwater","Borehole","Vendor"}),LOOKUP(RAND(),{0,0.28,0.55,0.78},{"River","Rainwater","Borehole","Vendor"}))),IF(B360="Kiserian",IF(D360&lt;15000,LOOKUP(RAND(),{0,0.35,0.65,0.9},{"River","Rainwater","Borehole","Vendor"}),IF(D360&lt;30000,LOOKUP(RAND(),{0,0.25,0.55,0.82},{"River","Rainwater","Borehole","Vendor"}),LOOKUP(RAND(),{0,0.15,0.45,0.72},{"River","Rainwater","Borehole","Vendor"}))),IF(D360&lt;15000,LOOKUP(RAND(),{0,0.4,0.7,0.92},{"River","Rainwater","Borehole","Vendor"}),IF(D360&lt;30000,LOOKUP(RAND(),{0,0.3,0.6,0.85},{"River","Rainwater","Borehole","Vendor"}),LOOKUP(RAND(),{0,0.2,0.5,0.75},{"River","Rainwater","Borehole","Vendor"}))))))</f>
        <v>Borehole</v>
      </c>
      <c r="F360">
        <f t="shared" ca="1" si="31"/>
        <v>69</v>
      </c>
      <c r="G360">
        <f t="shared" ca="1" si="32"/>
        <v>10.1</v>
      </c>
      <c r="H360">
        <f t="shared" ca="1" si="33"/>
        <v>5900</v>
      </c>
      <c r="I360">
        <f t="shared" ca="1" si="34"/>
        <v>0.92967309002518228</v>
      </c>
      <c r="J360">
        <v>0</v>
      </c>
    </row>
    <row r="361" spans="1:10" x14ac:dyDescent="0.3">
      <c r="A361" t="str">
        <f t="shared" si="35"/>
        <v>HH360</v>
      </c>
      <c r="B361" t="str">
        <f ca="1">LOOKUP(RAND(),{0,0.28,0.55,0.78},{"Oloitoktok A","Oloitoktok B","Kiserian","Namanga"})</f>
        <v>Kiserian</v>
      </c>
      <c r="C361">
        <f ca="1">LOOKUP(RAND(),{0,0.02,0.09,0.2,0.35,0.52,0.68,0.81,0.91,0.97},{1,2,3,4,5,6,7,8,9,10})</f>
        <v>9</v>
      </c>
      <c r="D361">
        <f t="shared" ca="1" si="30"/>
        <v>34300</v>
      </c>
      <c r="E361" t="str">
        <f ca="1">IF(B361="Oloitoktok A",IF(D361&lt;15000,LOOKUP(RAND(),{0,0.45,0.75,0.92},{"River","Rainwater","Borehole","Vendor"}),IF(D361&lt;30000,LOOKUP(RAND(),{0,0.35,0.65,0.85},{"River","Rainwater","Borehole","Vendor"}),LOOKUP(RAND(),{0,0.25,0.5,0.75},{"River","Rainwater","Borehole","Vendor"}))),IF(B361="Oloitoktok B",IF(D361&lt;15000,LOOKUP(RAND(),{0,0.5,0.78,0.94},{"River","Rainwater","Borehole","Vendor"}),IF(D361&lt;30000,LOOKUP(RAND(),{0,0.4,0.68,0.87},{"River","Rainwater","Borehole","Vendor"}),LOOKUP(RAND(),{0,0.28,0.55,0.78},{"River","Rainwater","Borehole","Vendor"}))),IF(B361="Kiserian",IF(D361&lt;15000,LOOKUP(RAND(),{0,0.35,0.65,0.9},{"River","Rainwater","Borehole","Vendor"}),IF(D361&lt;30000,LOOKUP(RAND(),{0,0.25,0.55,0.82},{"River","Rainwater","Borehole","Vendor"}),LOOKUP(RAND(),{0,0.15,0.45,0.72},{"River","Rainwater","Borehole","Vendor"}))),IF(D361&lt;15000,LOOKUP(RAND(),{0,0.4,0.7,0.92},{"River","Rainwater","Borehole","Vendor"}),IF(D361&lt;30000,LOOKUP(RAND(),{0,0.3,0.6,0.85},{"River","Rainwater","Borehole","Vendor"}),LOOKUP(RAND(),{0,0.2,0.5,0.75},{"River","Rainwater","Borehole","Vendor"}))))))</f>
        <v>Vendor</v>
      </c>
      <c r="F361">
        <f t="shared" ca="1" si="31"/>
        <v>13</v>
      </c>
      <c r="G361">
        <f t="shared" ca="1" si="32"/>
        <v>6</v>
      </c>
      <c r="H361">
        <f t="shared" ca="1" si="33"/>
        <v>1600</v>
      </c>
      <c r="I361">
        <f t="shared" ca="1" si="34"/>
        <v>0.65261885042230938</v>
      </c>
      <c r="J361">
        <v>0</v>
      </c>
    </row>
    <row r="362" spans="1:10" x14ac:dyDescent="0.3">
      <c r="A362" t="str">
        <f t="shared" si="35"/>
        <v>HH361</v>
      </c>
      <c r="B362" t="str">
        <f ca="1">LOOKUP(RAND(),{0,0.28,0.55,0.78},{"Oloitoktok A","Oloitoktok B","Kiserian","Namanga"})</f>
        <v>Kiserian</v>
      </c>
      <c r="C362">
        <f ca="1">LOOKUP(RAND(),{0,0.02,0.09,0.2,0.35,0.52,0.68,0.81,0.91,0.97},{1,2,3,4,5,6,7,8,9,10})</f>
        <v>3</v>
      </c>
      <c r="D362">
        <f t="shared" ca="1" si="30"/>
        <v>33800</v>
      </c>
      <c r="E362" t="str">
        <f ca="1">IF(B362="Oloitoktok A",IF(D362&lt;15000,LOOKUP(RAND(),{0,0.45,0.75,0.92},{"River","Rainwater","Borehole","Vendor"}),IF(D362&lt;30000,LOOKUP(RAND(),{0,0.35,0.65,0.85},{"River","Rainwater","Borehole","Vendor"}),LOOKUP(RAND(),{0,0.25,0.5,0.75},{"River","Rainwater","Borehole","Vendor"}))),IF(B362="Oloitoktok B",IF(D362&lt;15000,LOOKUP(RAND(),{0,0.5,0.78,0.94},{"River","Rainwater","Borehole","Vendor"}),IF(D362&lt;30000,LOOKUP(RAND(),{0,0.4,0.68,0.87},{"River","Rainwater","Borehole","Vendor"}),LOOKUP(RAND(),{0,0.28,0.55,0.78},{"River","Rainwater","Borehole","Vendor"}))),IF(B362="Kiserian",IF(D362&lt;15000,LOOKUP(RAND(),{0,0.35,0.65,0.9},{"River","Rainwater","Borehole","Vendor"}),IF(D362&lt;30000,LOOKUP(RAND(),{0,0.25,0.55,0.82},{"River","Rainwater","Borehole","Vendor"}),LOOKUP(RAND(),{0,0.15,0.45,0.72},{"River","Rainwater","Borehole","Vendor"}))),IF(D362&lt;15000,LOOKUP(RAND(),{0,0.4,0.7,0.92},{"River","Rainwater","Borehole","Vendor"}),IF(D362&lt;30000,LOOKUP(RAND(),{0,0.3,0.6,0.85},{"River","Rainwater","Borehole","Vendor"}),LOOKUP(RAND(),{0,0.2,0.5,0.75},{"River","Rainwater","Borehole","Vendor"}))))))</f>
        <v>River</v>
      </c>
      <c r="F362">
        <f t="shared" ca="1" si="31"/>
        <v>120</v>
      </c>
      <c r="G362">
        <f t="shared" ca="1" si="32"/>
        <v>5.7</v>
      </c>
      <c r="H362">
        <f t="shared" ca="1" si="33"/>
        <v>8200</v>
      </c>
      <c r="I362">
        <f t="shared" ca="1" si="34"/>
        <v>0.63001145706334738</v>
      </c>
      <c r="J362">
        <v>0</v>
      </c>
    </row>
    <row r="363" spans="1:10" x14ac:dyDescent="0.3">
      <c r="A363" t="str">
        <f t="shared" si="35"/>
        <v>HH362</v>
      </c>
      <c r="B363" t="str">
        <f ca="1">LOOKUP(RAND(),{0,0.28,0.55,0.78},{"Oloitoktok A","Oloitoktok B","Kiserian","Namanga"})</f>
        <v>Oloitoktok B</v>
      </c>
      <c r="C363">
        <f ca="1">LOOKUP(RAND(),{0,0.02,0.09,0.2,0.35,0.52,0.68,0.81,0.91,0.97},{1,2,3,4,5,6,7,8,9,10})</f>
        <v>8</v>
      </c>
      <c r="D363">
        <f t="shared" ca="1" si="30"/>
        <v>26400</v>
      </c>
      <c r="E363" t="str">
        <f ca="1">IF(B363="Oloitoktok A",IF(D363&lt;15000,LOOKUP(RAND(),{0,0.45,0.75,0.92},{"River","Rainwater","Borehole","Vendor"}),IF(D363&lt;30000,LOOKUP(RAND(),{0,0.35,0.65,0.85},{"River","Rainwater","Borehole","Vendor"}),LOOKUP(RAND(),{0,0.25,0.5,0.75},{"River","Rainwater","Borehole","Vendor"}))),IF(B363="Oloitoktok B",IF(D363&lt;15000,LOOKUP(RAND(),{0,0.5,0.78,0.94},{"River","Rainwater","Borehole","Vendor"}),IF(D363&lt;30000,LOOKUP(RAND(),{0,0.4,0.68,0.87},{"River","Rainwater","Borehole","Vendor"}),LOOKUP(RAND(),{0,0.28,0.55,0.78},{"River","Rainwater","Borehole","Vendor"}))),IF(B363="Kiserian",IF(D363&lt;15000,LOOKUP(RAND(),{0,0.35,0.65,0.9},{"River","Rainwater","Borehole","Vendor"}),IF(D363&lt;30000,LOOKUP(RAND(),{0,0.25,0.55,0.82},{"River","Rainwater","Borehole","Vendor"}),LOOKUP(RAND(),{0,0.15,0.45,0.72},{"River","Rainwater","Borehole","Vendor"}))),IF(D363&lt;15000,LOOKUP(RAND(),{0,0.4,0.7,0.92},{"River","Rainwater","Borehole","Vendor"}),IF(D363&lt;30000,LOOKUP(RAND(),{0,0.3,0.6,0.85},{"River","Rainwater","Borehole","Vendor"}),LOOKUP(RAND(),{0,0.2,0.5,0.75},{"River","Rainwater","Borehole","Vendor"}))))))</f>
        <v>Rainwater</v>
      </c>
      <c r="F363">
        <f t="shared" ca="1" si="31"/>
        <v>19</v>
      </c>
      <c r="G363">
        <f t="shared" ca="1" si="32"/>
        <v>7.3</v>
      </c>
      <c r="H363">
        <f t="shared" ca="1" si="33"/>
        <v>4400</v>
      </c>
      <c r="I363">
        <f t="shared" ca="1" si="34"/>
        <v>0.48851251499582737</v>
      </c>
      <c r="J363">
        <v>0</v>
      </c>
    </row>
    <row r="364" spans="1:10" x14ac:dyDescent="0.3">
      <c r="A364" t="str">
        <f t="shared" si="35"/>
        <v>HH363</v>
      </c>
      <c r="B364" t="str">
        <f ca="1">LOOKUP(RAND(),{0,0.28,0.55,0.78},{"Oloitoktok A","Oloitoktok B","Kiserian","Namanga"})</f>
        <v>Oloitoktok B</v>
      </c>
      <c r="C364">
        <f ca="1">LOOKUP(RAND(),{0,0.02,0.09,0.2,0.35,0.52,0.68,0.81,0.91,0.97},{1,2,3,4,5,6,7,8,9,10})</f>
        <v>2</v>
      </c>
      <c r="D364">
        <f t="shared" ca="1" si="30"/>
        <v>27400</v>
      </c>
      <c r="E364" t="str">
        <f ca="1">IF(B364="Oloitoktok A",IF(D364&lt;15000,LOOKUP(RAND(),{0,0.45,0.75,0.92},{"River","Rainwater","Borehole","Vendor"}),IF(D364&lt;30000,LOOKUP(RAND(),{0,0.35,0.65,0.85},{"River","Rainwater","Borehole","Vendor"}),LOOKUP(RAND(),{0,0.25,0.5,0.75},{"River","Rainwater","Borehole","Vendor"}))),IF(B364="Oloitoktok B",IF(D364&lt;15000,LOOKUP(RAND(),{0,0.5,0.78,0.94},{"River","Rainwater","Borehole","Vendor"}),IF(D364&lt;30000,LOOKUP(RAND(),{0,0.4,0.68,0.87},{"River","Rainwater","Borehole","Vendor"}),LOOKUP(RAND(),{0,0.28,0.55,0.78},{"River","Rainwater","Borehole","Vendor"}))),IF(B364="Kiserian",IF(D364&lt;15000,LOOKUP(RAND(),{0,0.35,0.65,0.9},{"River","Rainwater","Borehole","Vendor"}),IF(D364&lt;30000,LOOKUP(RAND(),{0,0.25,0.55,0.82},{"River","Rainwater","Borehole","Vendor"}),LOOKUP(RAND(),{0,0.15,0.45,0.72},{"River","Rainwater","Borehole","Vendor"}))),IF(D364&lt;15000,LOOKUP(RAND(),{0,0.4,0.7,0.92},{"River","Rainwater","Borehole","Vendor"}),IF(D364&lt;30000,LOOKUP(RAND(),{0,0.3,0.6,0.85},{"River","Rainwater","Borehole","Vendor"}),LOOKUP(RAND(),{0,0.2,0.5,0.75},{"River","Rainwater","Borehole","Vendor"}))))))</f>
        <v>River</v>
      </c>
      <c r="F364">
        <f t="shared" ca="1" si="31"/>
        <v>97</v>
      </c>
      <c r="G364">
        <f t="shared" ca="1" si="32"/>
        <v>11</v>
      </c>
      <c r="H364">
        <f t="shared" ca="1" si="33"/>
        <v>6400</v>
      </c>
      <c r="I364">
        <f t="shared" ca="1" si="34"/>
        <v>0.89992258510460932</v>
      </c>
      <c r="J364">
        <v>0</v>
      </c>
    </row>
    <row r="365" spans="1:10" x14ac:dyDescent="0.3">
      <c r="A365" t="str">
        <f t="shared" si="35"/>
        <v>HH364</v>
      </c>
      <c r="B365" t="str">
        <f ca="1">LOOKUP(RAND(),{0,0.28,0.55,0.78},{"Oloitoktok A","Oloitoktok B","Kiserian","Namanga"})</f>
        <v>Oloitoktok A</v>
      </c>
      <c r="C365">
        <f ca="1">LOOKUP(RAND(),{0,0.02,0.09,0.2,0.35,0.52,0.68,0.81,0.91,0.97},{1,2,3,4,5,6,7,8,9,10})</f>
        <v>5</v>
      </c>
      <c r="D365">
        <f t="shared" ca="1" si="30"/>
        <v>67700</v>
      </c>
      <c r="E365" t="str">
        <f ca="1">IF(B365="Oloitoktok A",IF(D365&lt;15000,LOOKUP(RAND(),{0,0.45,0.75,0.92},{"River","Rainwater","Borehole","Vendor"}),IF(D365&lt;30000,LOOKUP(RAND(),{0,0.35,0.65,0.85},{"River","Rainwater","Borehole","Vendor"}),LOOKUP(RAND(),{0,0.25,0.5,0.75},{"River","Rainwater","Borehole","Vendor"}))),IF(B365="Oloitoktok B",IF(D365&lt;15000,LOOKUP(RAND(),{0,0.5,0.78,0.94},{"River","Rainwater","Borehole","Vendor"}),IF(D365&lt;30000,LOOKUP(RAND(),{0,0.4,0.68,0.87},{"River","Rainwater","Borehole","Vendor"}),LOOKUP(RAND(),{0,0.28,0.55,0.78},{"River","Rainwater","Borehole","Vendor"}))),IF(B365="Kiserian",IF(D365&lt;15000,LOOKUP(RAND(),{0,0.35,0.65,0.9},{"River","Rainwater","Borehole","Vendor"}),IF(D365&lt;30000,LOOKUP(RAND(),{0,0.25,0.55,0.82},{"River","Rainwater","Borehole","Vendor"}),LOOKUP(RAND(),{0,0.15,0.45,0.72},{"River","Rainwater","Borehole","Vendor"}))),IF(D365&lt;15000,LOOKUP(RAND(),{0,0.4,0.7,0.92},{"River","Rainwater","Borehole","Vendor"}),IF(D365&lt;30000,LOOKUP(RAND(),{0,0.3,0.6,0.85},{"River","Rainwater","Borehole","Vendor"}),LOOKUP(RAND(),{0,0.2,0.5,0.75},{"River","Rainwater","Borehole","Vendor"}))))))</f>
        <v>Borehole</v>
      </c>
      <c r="F365">
        <f t="shared" ca="1" si="31"/>
        <v>51</v>
      </c>
      <c r="G365">
        <f t="shared" ca="1" si="32"/>
        <v>4</v>
      </c>
      <c r="H365">
        <f t="shared" ca="1" si="33"/>
        <v>4900</v>
      </c>
      <c r="I365">
        <f t="shared" ca="1" si="34"/>
        <v>0.66670728707143168</v>
      </c>
      <c r="J365">
        <v>0</v>
      </c>
    </row>
    <row r="366" spans="1:10" x14ac:dyDescent="0.3">
      <c r="A366" t="str">
        <f t="shared" si="35"/>
        <v>HH365</v>
      </c>
      <c r="B366" t="str">
        <f ca="1">LOOKUP(RAND(),{0,0.28,0.55,0.78},{"Oloitoktok A","Oloitoktok B","Kiserian","Namanga"})</f>
        <v>Oloitoktok B</v>
      </c>
      <c r="C366">
        <f ca="1">LOOKUP(RAND(),{0,0.02,0.09,0.2,0.35,0.52,0.68,0.81,0.91,0.97},{1,2,3,4,5,6,7,8,9,10})</f>
        <v>7</v>
      </c>
      <c r="D366">
        <f t="shared" ca="1" si="30"/>
        <v>19200</v>
      </c>
      <c r="E366" t="str">
        <f ca="1">IF(B366="Oloitoktok A",IF(D366&lt;15000,LOOKUP(RAND(),{0,0.45,0.75,0.92},{"River","Rainwater","Borehole","Vendor"}),IF(D366&lt;30000,LOOKUP(RAND(),{0,0.35,0.65,0.85},{"River","Rainwater","Borehole","Vendor"}),LOOKUP(RAND(),{0,0.25,0.5,0.75},{"River","Rainwater","Borehole","Vendor"}))),IF(B366="Oloitoktok B",IF(D366&lt;15000,LOOKUP(RAND(),{0,0.5,0.78,0.94},{"River","Rainwater","Borehole","Vendor"}),IF(D366&lt;30000,LOOKUP(RAND(),{0,0.4,0.68,0.87},{"River","Rainwater","Borehole","Vendor"}),LOOKUP(RAND(),{0,0.28,0.55,0.78},{"River","Rainwater","Borehole","Vendor"}))),IF(B366="Kiserian",IF(D366&lt;15000,LOOKUP(RAND(),{0,0.35,0.65,0.9},{"River","Rainwater","Borehole","Vendor"}),IF(D366&lt;30000,LOOKUP(RAND(),{0,0.25,0.55,0.82},{"River","Rainwater","Borehole","Vendor"}),LOOKUP(RAND(),{0,0.15,0.45,0.72},{"River","Rainwater","Borehole","Vendor"}))),IF(D366&lt;15000,LOOKUP(RAND(),{0,0.4,0.7,0.92},{"River","Rainwater","Borehole","Vendor"}),IF(D366&lt;30000,LOOKUP(RAND(),{0,0.3,0.6,0.85},{"River","Rainwater","Borehole","Vendor"}),LOOKUP(RAND(),{0,0.2,0.5,0.75},{"River","Rainwater","Borehole","Vendor"}))))))</f>
        <v>River</v>
      </c>
      <c r="F366">
        <f t="shared" ca="1" si="31"/>
        <v>53</v>
      </c>
      <c r="G366">
        <f t="shared" ca="1" si="32"/>
        <v>7</v>
      </c>
      <c r="H366">
        <f t="shared" ca="1" si="33"/>
        <v>3500</v>
      </c>
      <c r="I366">
        <f t="shared" ca="1" si="34"/>
        <v>0.2189242165627201</v>
      </c>
      <c r="J366">
        <v>0</v>
      </c>
    </row>
    <row r="367" spans="1:10" x14ac:dyDescent="0.3">
      <c r="A367" t="str">
        <f t="shared" si="35"/>
        <v>HH366</v>
      </c>
      <c r="B367" t="str">
        <f ca="1">LOOKUP(RAND(),{0,0.28,0.55,0.78},{"Oloitoktok A","Oloitoktok B","Kiserian","Namanga"})</f>
        <v>Namanga</v>
      </c>
      <c r="C367">
        <f ca="1">LOOKUP(RAND(),{0,0.02,0.09,0.2,0.35,0.52,0.68,0.81,0.91,0.97},{1,2,3,4,5,6,7,8,9,10})</f>
        <v>6</v>
      </c>
      <c r="D367">
        <f t="shared" ca="1" si="30"/>
        <v>24600</v>
      </c>
      <c r="E367" t="str">
        <f ca="1">IF(B367="Oloitoktok A",IF(D367&lt;15000,LOOKUP(RAND(),{0,0.45,0.75,0.92},{"River","Rainwater","Borehole","Vendor"}),IF(D367&lt;30000,LOOKUP(RAND(),{0,0.35,0.65,0.85},{"River","Rainwater","Borehole","Vendor"}),LOOKUP(RAND(),{0,0.25,0.5,0.75},{"River","Rainwater","Borehole","Vendor"}))),IF(B367="Oloitoktok B",IF(D367&lt;15000,LOOKUP(RAND(),{0,0.5,0.78,0.94},{"River","Rainwater","Borehole","Vendor"}),IF(D367&lt;30000,LOOKUP(RAND(),{0,0.4,0.68,0.87},{"River","Rainwater","Borehole","Vendor"}),LOOKUP(RAND(),{0,0.28,0.55,0.78},{"River","Rainwater","Borehole","Vendor"}))),IF(B367="Kiserian",IF(D367&lt;15000,LOOKUP(RAND(),{0,0.35,0.65,0.9},{"River","Rainwater","Borehole","Vendor"}),IF(D367&lt;30000,LOOKUP(RAND(),{0,0.25,0.55,0.82},{"River","Rainwater","Borehole","Vendor"}),LOOKUP(RAND(),{0,0.15,0.45,0.72},{"River","Rainwater","Borehole","Vendor"}))),IF(D367&lt;15000,LOOKUP(RAND(),{0,0.4,0.7,0.92},{"River","Rainwater","Borehole","Vendor"}),IF(D367&lt;30000,LOOKUP(RAND(),{0,0.3,0.6,0.85},{"River","Rainwater","Borehole","Vendor"}),LOOKUP(RAND(),{0,0.2,0.5,0.75},{"River","Rainwater","Borehole","Vendor"}))))))</f>
        <v>River</v>
      </c>
      <c r="F367">
        <f t="shared" ca="1" si="31"/>
        <v>103</v>
      </c>
      <c r="G367">
        <f t="shared" ca="1" si="32"/>
        <v>9.9</v>
      </c>
      <c r="H367">
        <f t="shared" ca="1" si="33"/>
        <v>7200</v>
      </c>
      <c r="I367">
        <f t="shared" ca="1" si="34"/>
        <v>0.2628283535046585</v>
      </c>
      <c r="J367">
        <v>0</v>
      </c>
    </row>
    <row r="368" spans="1:10" x14ac:dyDescent="0.3">
      <c r="A368" t="str">
        <f t="shared" si="35"/>
        <v>HH367</v>
      </c>
      <c r="B368" t="str">
        <f ca="1">LOOKUP(RAND(),{0,0.28,0.55,0.78},{"Oloitoktok A","Oloitoktok B","Kiserian","Namanga"})</f>
        <v>Oloitoktok B</v>
      </c>
      <c r="C368">
        <f ca="1">LOOKUP(RAND(),{0,0.02,0.09,0.2,0.35,0.52,0.68,0.81,0.91,0.97},{1,2,3,4,5,6,7,8,9,10})</f>
        <v>9</v>
      </c>
      <c r="D368">
        <f t="shared" ca="1" si="30"/>
        <v>51200</v>
      </c>
      <c r="E368" t="str">
        <f ca="1">IF(B368="Oloitoktok A",IF(D368&lt;15000,LOOKUP(RAND(),{0,0.45,0.75,0.92},{"River","Rainwater","Borehole","Vendor"}),IF(D368&lt;30000,LOOKUP(RAND(),{0,0.35,0.65,0.85},{"River","Rainwater","Borehole","Vendor"}),LOOKUP(RAND(),{0,0.25,0.5,0.75},{"River","Rainwater","Borehole","Vendor"}))),IF(B368="Oloitoktok B",IF(D368&lt;15000,LOOKUP(RAND(),{0,0.5,0.78,0.94},{"River","Rainwater","Borehole","Vendor"}),IF(D368&lt;30000,LOOKUP(RAND(),{0,0.4,0.68,0.87},{"River","Rainwater","Borehole","Vendor"}),LOOKUP(RAND(),{0,0.28,0.55,0.78},{"River","Rainwater","Borehole","Vendor"}))),IF(B368="Kiserian",IF(D368&lt;15000,LOOKUP(RAND(),{0,0.35,0.65,0.9},{"River","Rainwater","Borehole","Vendor"}),IF(D368&lt;30000,LOOKUP(RAND(),{0,0.25,0.55,0.82},{"River","Rainwater","Borehole","Vendor"}),LOOKUP(RAND(),{0,0.15,0.45,0.72},{"River","Rainwater","Borehole","Vendor"}))),IF(D368&lt;15000,LOOKUP(RAND(),{0,0.4,0.7,0.92},{"River","Rainwater","Borehole","Vendor"}),IF(D368&lt;30000,LOOKUP(RAND(),{0,0.3,0.6,0.85},{"River","Rainwater","Borehole","Vendor"}),LOOKUP(RAND(),{0,0.2,0.5,0.75},{"River","Rainwater","Borehole","Vendor"}))))))</f>
        <v>Vendor</v>
      </c>
      <c r="F368">
        <f t="shared" ca="1" si="31"/>
        <v>10</v>
      </c>
      <c r="G368">
        <f t="shared" ca="1" si="32"/>
        <v>6</v>
      </c>
      <c r="H368">
        <f t="shared" ca="1" si="33"/>
        <v>10800</v>
      </c>
      <c r="I368">
        <f t="shared" ca="1" si="34"/>
        <v>0.40148966777690864</v>
      </c>
      <c r="J368">
        <v>0</v>
      </c>
    </row>
    <row r="369" spans="1:10" x14ac:dyDescent="0.3">
      <c r="A369" t="str">
        <f t="shared" si="35"/>
        <v>HH368</v>
      </c>
      <c r="B369" t="str">
        <f ca="1">LOOKUP(RAND(),{0,0.28,0.55,0.78},{"Oloitoktok A","Oloitoktok B","Kiserian","Namanga"})</f>
        <v>Oloitoktok B</v>
      </c>
      <c r="C369">
        <f ca="1">LOOKUP(RAND(),{0,0.02,0.09,0.2,0.35,0.52,0.68,0.81,0.91,0.97},{1,2,3,4,5,6,7,8,9,10})</f>
        <v>7</v>
      </c>
      <c r="D369">
        <f t="shared" ca="1" si="30"/>
        <v>46600</v>
      </c>
      <c r="E369" t="str">
        <f ca="1">IF(B369="Oloitoktok A",IF(D369&lt;15000,LOOKUP(RAND(),{0,0.45,0.75,0.92},{"River","Rainwater","Borehole","Vendor"}),IF(D369&lt;30000,LOOKUP(RAND(),{0,0.35,0.65,0.85},{"River","Rainwater","Borehole","Vendor"}),LOOKUP(RAND(),{0,0.25,0.5,0.75},{"River","Rainwater","Borehole","Vendor"}))),IF(B369="Oloitoktok B",IF(D369&lt;15000,LOOKUP(RAND(),{0,0.5,0.78,0.94},{"River","Rainwater","Borehole","Vendor"}),IF(D369&lt;30000,LOOKUP(RAND(),{0,0.4,0.68,0.87},{"River","Rainwater","Borehole","Vendor"}),LOOKUP(RAND(),{0,0.28,0.55,0.78},{"River","Rainwater","Borehole","Vendor"}))),IF(B369="Kiserian",IF(D369&lt;15000,LOOKUP(RAND(),{0,0.35,0.65,0.9},{"River","Rainwater","Borehole","Vendor"}),IF(D369&lt;30000,LOOKUP(RAND(),{0,0.25,0.55,0.82},{"River","Rainwater","Borehole","Vendor"}),LOOKUP(RAND(),{0,0.15,0.45,0.72},{"River","Rainwater","Borehole","Vendor"}))),IF(D369&lt;15000,LOOKUP(RAND(),{0,0.4,0.7,0.92},{"River","Rainwater","Borehole","Vendor"}),IF(D369&lt;30000,LOOKUP(RAND(),{0,0.3,0.6,0.85},{"River","Rainwater","Borehole","Vendor"}),LOOKUP(RAND(),{0,0.2,0.5,0.75},{"River","Rainwater","Borehole","Vendor"}))))))</f>
        <v>Rainwater</v>
      </c>
      <c r="F369">
        <f t="shared" ca="1" si="31"/>
        <v>39</v>
      </c>
      <c r="G369">
        <f t="shared" ca="1" si="32"/>
        <v>5.4</v>
      </c>
      <c r="H369">
        <f t="shared" ca="1" si="33"/>
        <v>6600</v>
      </c>
      <c r="I369">
        <f t="shared" ca="1" si="34"/>
        <v>0.59068010816204153</v>
      </c>
      <c r="J369">
        <v>0</v>
      </c>
    </row>
    <row r="370" spans="1:10" x14ac:dyDescent="0.3">
      <c r="A370" t="str">
        <f t="shared" si="35"/>
        <v>HH369</v>
      </c>
      <c r="B370" t="str">
        <f ca="1">LOOKUP(RAND(),{0,0.28,0.55,0.78},{"Oloitoktok A","Oloitoktok B","Kiserian","Namanga"})</f>
        <v>Oloitoktok A</v>
      </c>
      <c r="C370">
        <f ca="1">LOOKUP(RAND(),{0,0.02,0.09,0.2,0.35,0.52,0.68,0.81,0.91,0.97},{1,2,3,4,5,6,7,8,9,10})</f>
        <v>7</v>
      </c>
      <c r="D370">
        <f t="shared" ca="1" si="30"/>
        <v>31500</v>
      </c>
      <c r="E370" t="str">
        <f ca="1">IF(B370="Oloitoktok A",IF(D370&lt;15000,LOOKUP(RAND(),{0,0.45,0.75,0.92},{"River","Rainwater","Borehole","Vendor"}),IF(D370&lt;30000,LOOKUP(RAND(),{0,0.35,0.65,0.85},{"River","Rainwater","Borehole","Vendor"}),LOOKUP(RAND(),{0,0.25,0.5,0.75},{"River","Rainwater","Borehole","Vendor"}))),IF(B370="Oloitoktok B",IF(D370&lt;15000,LOOKUP(RAND(),{0,0.5,0.78,0.94},{"River","Rainwater","Borehole","Vendor"}),IF(D370&lt;30000,LOOKUP(RAND(),{0,0.4,0.68,0.87},{"River","Rainwater","Borehole","Vendor"}),LOOKUP(RAND(),{0,0.28,0.55,0.78},{"River","Rainwater","Borehole","Vendor"}))),IF(B370="Kiserian",IF(D370&lt;15000,LOOKUP(RAND(),{0,0.35,0.65,0.9},{"River","Rainwater","Borehole","Vendor"}),IF(D370&lt;30000,LOOKUP(RAND(),{0,0.25,0.55,0.82},{"River","Rainwater","Borehole","Vendor"}),LOOKUP(RAND(),{0,0.15,0.45,0.72},{"River","Rainwater","Borehole","Vendor"}))),IF(D370&lt;15000,LOOKUP(RAND(),{0,0.4,0.7,0.92},{"River","Rainwater","Borehole","Vendor"}),IF(D370&lt;30000,LOOKUP(RAND(),{0,0.3,0.6,0.85},{"River","Rainwater","Borehole","Vendor"}),LOOKUP(RAND(),{0,0.2,0.5,0.75},{"River","Rainwater","Borehole","Vendor"}))))))</f>
        <v>River</v>
      </c>
      <c r="F370">
        <f t="shared" ca="1" si="31"/>
        <v>94</v>
      </c>
      <c r="G370">
        <f t="shared" ca="1" si="32"/>
        <v>11</v>
      </c>
      <c r="H370">
        <f t="shared" ca="1" si="33"/>
        <v>9400</v>
      </c>
      <c r="I370">
        <f t="shared" ca="1" si="34"/>
        <v>0.36242386102780588</v>
      </c>
      <c r="J370">
        <v>0</v>
      </c>
    </row>
    <row r="371" spans="1:10" x14ac:dyDescent="0.3">
      <c r="A371" t="str">
        <f t="shared" si="35"/>
        <v>HH370</v>
      </c>
      <c r="B371" t="str">
        <f ca="1">LOOKUP(RAND(),{0,0.28,0.55,0.78},{"Oloitoktok A","Oloitoktok B","Kiserian","Namanga"})</f>
        <v>Kiserian</v>
      </c>
      <c r="C371">
        <f ca="1">LOOKUP(RAND(),{0,0.02,0.09,0.2,0.35,0.52,0.68,0.81,0.91,0.97},{1,2,3,4,5,6,7,8,9,10})</f>
        <v>7</v>
      </c>
      <c r="D371">
        <f t="shared" ca="1" si="30"/>
        <v>30800</v>
      </c>
      <c r="E371" t="str">
        <f ca="1">IF(B371="Oloitoktok A",IF(D371&lt;15000,LOOKUP(RAND(),{0,0.45,0.75,0.92},{"River","Rainwater","Borehole","Vendor"}),IF(D371&lt;30000,LOOKUP(RAND(),{0,0.35,0.65,0.85},{"River","Rainwater","Borehole","Vendor"}),LOOKUP(RAND(),{0,0.25,0.5,0.75},{"River","Rainwater","Borehole","Vendor"}))),IF(B371="Oloitoktok B",IF(D371&lt;15000,LOOKUP(RAND(),{0,0.5,0.78,0.94},{"River","Rainwater","Borehole","Vendor"}),IF(D371&lt;30000,LOOKUP(RAND(),{0,0.4,0.68,0.87},{"River","Rainwater","Borehole","Vendor"}),LOOKUP(RAND(),{0,0.28,0.55,0.78},{"River","Rainwater","Borehole","Vendor"}))),IF(B371="Kiserian",IF(D371&lt;15000,LOOKUP(RAND(),{0,0.35,0.65,0.9},{"River","Rainwater","Borehole","Vendor"}),IF(D371&lt;30000,LOOKUP(RAND(),{0,0.25,0.55,0.82},{"River","Rainwater","Borehole","Vendor"}),LOOKUP(RAND(),{0,0.15,0.45,0.72},{"River","Rainwater","Borehole","Vendor"}))),IF(D371&lt;15000,LOOKUP(RAND(),{0,0.4,0.7,0.92},{"River","Rainwater","Borehole","Vendor"}),IF(D371&lt;30000,LOOKUP(RAND(),{0,0.3,0.6,0.85},{"River","Rainwater","Borehole","Vendor"}),LOOKUP(RAND(),{0,0.2,0.5,0.75},{"River","Rainwater","Borehole","Vendor"}))))))</f>
        <v>Borehole</v>
      </c>
      <c r="F371">
        <f t="shared" ca="1" si="31"/>
        <v>63</v>
      </c>
      <c r="G371">
        <f t="shared" ca="1" si="32"/>
        <v>8.5</v>
      </c>
      <c r="H371">
        <f t="shared" ca="1" si="33"/>
        <v>7100</v>
      </c>
      <c r="I371">
        <f t="shared" ca="1" si="34"/>
        <v>0.67408469974104246</v>
      </c>
      <c r="J371">
        <v>0</v>
      </c>
    </row>
    <row r="372" spans="1:10" x14ac:dyDescent="0.3">
      <c r="A372" t="str">
        <f t="shared" si="35"/>
        <v>HH371</v>
      </c>
      <c r="B372" t="str">
        <f ca="1">LOOKUP(RAND(),{0,0.28,0.55,0.78},{"Oloitoktok A","Oloitoktok B","Kiserian","Namanga"})</f>
        <v>Namanga</v>
      </c>
      <c r="C372">
        <f ca="1">LOOKUP(RAND(),{0,0.02,0.09,0.2,0.35,0.52,0.68,0.81,0.91,0.97},{1,2,3,4,5,6,7,8,9,10})</f>
        <v>5</v>
      </c>
      <c r="D372">
        <f t="shared" ca="1" si="30"/>
        <v>55400</v>
      </c>
      <c r="E372" t="str">
        <f ca="1">IF(B372="Oloitoktok A",IF(D372&lt;15000,LOOKUP(RAND(),{0,0.45,0.75,0.92},{"River","Rainwater","Borehole","Vendor"}),IF(D372&lt;30000,LOOKUP(RAND(),{0,0.35,0.65,0.85},{"River","Rainwater","Borehole","Vendor"}),LOOKUP(RAND(),{0,0.25,0.5,0.75},{"River","Rainwater","Borehole","Vendor"}))),IF(B372="Oloitoktok B",IF(D372&lt;15000,LOOKUP(RAND(),{0,0.5,0.78,0.94},{"River","Rainwater","Borehole","Vendor"}),IF(D372&lt;30000,LOOKUP(RAND(),{0,0.4,0.68,0.87},{"River","Rainwater","Borehole","Vendor"}),LOOKUP(RAND(),{0,0.28,0.55,0.78},{"River","Rainwater","Borehole","Vendor"}))),IF(B372="Kiserian",IF(D372&lt;15000,LOOKUP(RAND(),{0,0.35,0.65,0.9},{"River","Rainwater","Borehole","Vendor"}),IF(D372&lt;30000,LOOKUP(RAND(),{0,0.25,0.55,0.82},{"River","Rainwater","Borehole","Vendor"}),LOOKUP(RAND(),{0,0.15,0.45,0.72},{"River","Rainwater","Borehole","Vendor"}))),IF(D372&lt;15000,LOOKUP(RAND(),{0,0.4,0.7,0.92},{"River","Rainwater","Borehole","Vendor"}),IF(D372&lt;30000,LOOKUP(RAND(),{0,0.3,0.6,0.85},{"River","Rainwater","Borehole","Vendor"}),LOOKUP(RAND(),{0,0.2,0.5,0.75},{"River","Rainwater","Borehole","Vendor"}))))))</f>
        <v>Vendor</v>
      </c>
      <c r="F372">
        <f t="shared" ca="1" si="31"/>
        <v>54</v>
      </c>
      <c r="G372">
        <f t="shared" ca="1" si="32"/>
        <v>5.6</v>
      </c>
      <c r="H372">
        <f t="shared" ca="1" si="33"/>
        <v>4900</v>
      </c>
      <c r="I372">
        <f t="shared" ca="1" si="34"/>
        <v>0.62721642570392455</v>
      </c>
      <c r="J372">
        <v>0</v>
      </c>
    </row>
    <row r="373" spans="1:10" x14ac:dyDescent="0.3">
      <c r="A373" t="str">
        <f t="shared" si="35"/>
        <v>HH372</v>
      </c>
      <c r="B373" t="str">
        <f ca="1">LOOKUP(RAND(),{0,0.28,0.55,0.78},{"Oloitoktok A","Oloitoktok B","Kiserian","Namanga"})</f>
        <v>Namanga</v>
      </c>
      <c r="C373">
        <f ca="1">LOOKUP(RAND(),{0,0.02,0.09,0.2,0.35,0.52,0.68,0.81,0.91,0.97},{1,2,3,4,5,6,7,8,9,10})</f>
        <v>2</v>
      </c>
      <c r="D373">
        <f t="shared" ca="1" si="30"/>
        <v>46900</v>
      </c>
      <c r="E373" t="str">
        <f ca="1">IF(B373="Oloitoktok A",IF(D373&lt;15000,LOOKUP(RAND(),{0,0.45,0.75,0.92},{"River","Rainwater","Borehole","Vendor"}),IF(D373&lt;30000,LOOKUP(RAND(),{0,0.35,0.65,0.85},{"River","Rainwater","Borehole","Vendor"}),LOOKUP(RAND(),{0,0.25,0.5,0.75},{"River","Rainwater","Borehole","Vendor"}))),IF(B373="Oloitoktok B",IF(D373&lt;15000,LOOKUP(RAND(),{0,0.5,0.78,0.94},{"River","Rainwater","Borehole","Vendor"}),IF(D373&lt;30000,LOOKUP(RAND(),{0,0.4,0.68,0.87},{"River","Rainwater","Borehole","Vendor"}),LOOKUP(RAND(),{0,0.28,0.55,0.78},{"River","Rainwater","Borehole","Vendor"}))),IF(B373="Kiserian",IF(D373&lt;15000,LOOKUP(RAND(),{0,0.35,0.65,0.9},{"River","Rainwater","Borehole","Vendor"}),IF(D373&lt;30000,LOOKUP(RAND(),{0,0.25,0.55,0.82},{"River","Rainwater","Borehole","Vendor"}),LOOKUP(RAND(),{0,0.15,0.45,0.72},{"River","Rainwater","Borehole","Vendor"}))),IF(D373&lt;15000,LOOKUP(RAND(),{0,0.4,0.7,0.92},{"River","Rainwater","Borehole","Vendor"}),IF(D373&lt;30000,LOOKUP(RAND(),{0,0.3,0.6,0.85},{"River","Rainwater","Borehole","Vendor"}),LOOKUP(RAND(),{0,0.2,0.5,0.75},{"River","Rainwater","Borehole","Vendor"}))))))</f>
        <v>Borehole</v>
      </c>
      <c r="F373">
        <f t="shared" ca="1" si="31"/>
        <v>64</v>
      </c>
      <c r="G373">
        <f t="shared" ca="1" si="32"/>
        <v>11</v>
      </c>
      <c r="H373">
        <f t="shared" ca="1" si="33"/>
        <v>1300</v>
      </c>
      <c r="I373">
        <f t="shared" ca="1" si="34"/>
        <v>0.36726293437578106</v>
      </c>
      <c r="J373">
        <v>0</v>
      </c>
    </row>
    <row r="374" spans="1:10" x14ac:dyDescent="0.3">
      <c r="A374" t="str">
        <f t="shared" si="35"/>
        <v>HH373</v>
      </c>
      <c r="B374" t="str">
        <f ca="1">LOOKUP(RAND(),{0,0.28,0.55,0.78},{"Oloitoktok A","Oloitoktok B","Kiserian","Namanga"})</f>
        <v>Kiserian</v>
      </c>
      <c r="C374">
        <f ca="1">LOOKUP(RAND(),{0,0.02,0.09,0.2,0.35,0.52,0.68,0.81,0.91,0.97},{1,2,3,4,5,6,7,8,9,10})</f>
        <v>5</v>
      </c>
      <c r="D374">
        <f t="shared" ca="1" si="30"/>
        <v>21400</v>
      </c>
      <c r="E374" t="str">
        <f ca="1">IF(B374="Oloitoktok A",IF(D374&lt;15000,LOOKUP(RAND(),{0,0.45,0.75,0.92},{"River","Rainwater","Borehole","Vendor"}),IF(D374&lt;30000,LOOKUP(RAND(),{0,0.35,0.65,0.85},{"River","Rainwater","Borehole","Vendor"}),LOOKUP(RAND(),{0,0.25,0.5,0.75},{"River","Rainwater","Borehole","Vendor"}))),IF(B374="Oloitoktok B",IF(D374&lt;15000,LOOKUP(RAND(),{0,0.5,0.78,0.94},{"River","Rainwater","Borehole","Vendor"}),IF(D374&lt;30000,LOOKUP(RAND(),{0,0.4,0.68,0.87},{"River","Rainwater","Borehole","Vendor"}),LOOKUP(RAND(),{0,0.28,0.55,0.78},{"River","Rainwater","Borehole","Vendor"}))),IF(B374="Kiserian",IF(D374&lt;15000,LOOKUP(RAND(),{0,0.35,0.65,0.9},{"River","Rainwater","Borehole","Vendor"}),IF(D374&lt;30000,LOOKUP(RAND(),{0,0.25,0.55,0.82},{"River","Rainwater","Borehole","Vendor"}),LOOKUP(RAND(),{0,0.15,0.45,0.72},{"River","Rainwater","Borehole","Vendor"}))),IF(D374&lt;15000,LOOKUP(RAND(),{0,0.4,0.7,0.92},{"River","Rainwater","Borehole","Vendor"}),IF(D374&lt;30000,LOOKUP(RAND(),{0,0.3,0.6,0.85},{"River","Rainwater","Borehole","Vendor"}),LOOKUP(RAND(),{0,0.2,0.5,0.75},{"River","Rainwater","Borehole","Vendor"}))))))</f>
        <v>Borehole</v>
      </c>
      <c r="F374">
        <f t="shared" ca="1" si="31"/>
        <v>69</v>
      </c>
      <c r="G374">
        <f t="shared" ca="1" si="32"/>
        <v>8.1</v>
      </c>
      <c r="H374">
        <f t="shared" ca="1" si="33"/>
        <v>4800</v>
      </c>
      <c r="I374">
        <f t="shared" ca="1" si="34"/>
        <v>0.56899227212427383</v>
      </c>
      <c r="J374">
        <v>0</v>
      </c>
    </row>
    <row r="375" spans="1:10" x14ac:dyDescent="0.3">
      <c r="A375" t="str">
        <f t="shared" si="35"/>
        <v>HH374</v>
      </c>
      <c r="B375" t="str">
        <f ca="1">LOOKUP(RAND(),{0,0.28,0.55,0.78},{"Oloitoktok A","Oloitoktok B","Kiserian","Namanga"})</f>
        <v>Oloitoktok B</v>
      </c>
      <c r="C375">
        <f ca="1">LOOKUP(RAND(),{0,0.02,0.09,0.2,0.35,0.52,0.68,0.81,0.91,0.97},{1,2,3,4,5,6,7,8,9,10})</f>
        <v>8</v>
      </c>
      <c r="D375">
        <f t="shared" ca="1" si="30"/>
        <v>35400</v>
      </c>
      <c r="E375" t="str">
        <f ca="1">IF(B375="Oloitoktok A",IF(D375&lt;15000,LOOKUP(RAND(),{0,0.45,0.75,0.92},{"River","Rainwater","Borehole","Vendor"}),IF(D375&lt;30000,LOOKUP(RAND(),{0,0.35,0.65,0.85},{"River","Rainwater","Borehole","Vendor"}),LOOKUP(RAND(),{0,0.25,0.5,0.75},{"River","Rainwater","Borehole","Vendor"}))),IF(B375="Oloitoktok B",IF(D375&lt;15000,LOOKUP(RAND(),{0,0.5,0.78,0.94},{"River","Rainwater","Borehole","Vendor"}),IF(D375&lt;30000,LOOKUP(RAND(),{0,0.4,0.68,0.87},{"River","Rainwater","Borehole","Vendor"}),LOOKUP(RAND(),{0,0.28,0.55,0.78},{"River","Rainwater","Borehole","Vendor"}))),IF(B375="Kiserian",IF(D375&lt;15000,LOOKUP(RAND(),{0,0.35,0.65,0.9},{"River","Rainwater","Borehole","Vendor"}),IF(D375&lt;30000,LOOKUP(RAND(),{0,0.25,0.55,0.82},{"River","Rainwater","Borehole","Vendor"}),LOOKUP(RAND(),{0,0.15,0.45,0.72},{"River","Rainwater","Borehole","Vendor"}))),IF(D375&lt;15000,LOOKUP(RAND(),{0,0.4,0.7,0.92},{"River","Rainwater","Borehole","Vendor"}),IF(D375&lt;30000,LOOKUP(RAND(),{0,0.3,0.6,0.85},{"River","Rainwater","Borehole","Vendor"}),LOOKUP(RAND(),{0,0.2,0.5,0.75},{"River","Rainwater","Borehole","Vendor"}))))))</f>
        <v>Borehole</v>
      </c>
      <c r="F375">
        <f t="shared" ca="1" si="31"/>
        <v>74</v>
      </c>
      <c r="G375">
        <f t="shared" ca="1" si="32"/>
        <v>6.6</v>
      </c>
      <c r="H375">
        <f t="shared" ca="1" si="33"/>
        <v>6800</v>
      </c>
      <c r="I375">
        <f t="shared" ca="1" si="34"/>
        <v>0.73432943611644297</v>
      </c>
      <c r="J375">
        <v>0</v>
      </c>
    </row>
    <row r="376" spans="1:10" x14ac:dyDescent="0.3">
      <c r="A376" t="str">
        <f t="shared" si="35"/>
        <v>HH375</v>
      </c>
      <c r="B376" t="str">
        <f ca="1">LOOKUP(RAND(),{0,0.28,0.55,0.78},{"Oloitoktok A","Oloitoktok B","Kiserian","Namanga"})</f>
        <v>Oloitoktok A</v>
      </c>
      <c r="C376">
        <f ca="1">LOOKUP(RAND(),{0,0.02,0.09,0.2,0.35,0.52,0.68,0.81,0.91,0.97},{1,2,3,4,5,6,7,8,9,10})</f>
        <v>4</v>
      </c>
      <c r="D376">
        <f t="shared" ca="1" si="30"/>
        <v>32100</v>
      </c>
      <c r="E376" t="str">
        <f ca="1">IF(B376="Oloitoktok A",IF(D376&lt;15000,LOOKUP(RAND(),{0,0.45,0.75,0.92},{"River","Rainwater","Borehole","Vendor"}),IF(D376&lt;30000,LOOKUP(RAND(),{0,0.35,0.65,0.85},{"River","Rainwater","Borehole","Vendor"}),LOOKUP(RAND(),{0,0.25,0.5,0.75},{"River","Rainwater","Borehole","Vendor"}))),IF(B376="Oloitoktok B",IF(D376&lt;15000,LOOKUP(RAND(),{0,0.5,0.78,0.94},{"River","Rainwater","Borehole","Vendor"}),IF(D376&lt;30000,LOOKUP(RAND(),{0,0.4,0.68,0.87},{"River","Rainwater","Borehole","Vendor"}),LOOKUP(RAND(),{0,0.28,0.55,0.78},{"River","Rainwater","Borehole","Vendor"}))),IF(B376="Kiserian",IF(D376&lt;15000,LOOKUP(RAND(),{0,0.35,0.65,0.9},{"River","Rainwater","Borehole","Vendor"}),IF(D376&lt;30000,LOOKUP(RAND(),{0,0.25,0.55,0.82},{"River","Rainwater","Borehole","Vendor"}),LOOKUP(RAND(),{0,0.15,0.45,0.72},{"River","Rainwater","Borehole","Vendor"}))),IF(D376&lt;15000,LOOKUP(RAND(),{0,0.4,0.7,0.92},{"River","Rainwater","Borehole","Vendor"}),IF(D376&lt;30000,LOOKUP(RAND(),{0,0.3,0.6,0.85},{"River","Rainwater","Borehole","Vendor"}),LOOKUP(RAND(),{0,0.2,0.5,0.75},{"River","Rainwater","Borehole","Vendor"}))))))</f>
        <v>Rainwater</v>
      </c>
      <c r="F376">
        <f t="shared" ca="1" si="31"/>
        <v>46</v>
      </c>
      <c r="G376">
        <f t="shared" ca="1" si="32"/>
        <v>2.1</v>
      </c>
      <c r="H376">
        <f t="shared" ca="1" si="33"/>
        <v>9900</v>
      </c>
      <c r="I376">
        <f t="shared" ca="1" si="34"/>
        <v>8.6561804273961207E-2</v>
      </c>
      <c r="J376">
        <v>0</v>
      </c>
    </row>
    <row r="377" spans="1:10" x14ac:dyDescent="0.3">
      <c r="A377" t="str">
        <f t="shared" si="35"/>
        <v>HH376</v>
      </c>
      <c r="B377" t="str">
        <f ca="1">LOOKUP(RAND(),{0,0.28,0.55,0.78},{"Oloitoktok A","Oloitoktok B","Kiserian","Namanga"})</f>
        <v>Namanga</v>
      </c>
      <c r="C377">
        <f ca="1">LOOKUP(RAND(),{0,0.02,0.09,0.2,0.35,0.52,0.68,0.81,0.91,0.97},{1,2,3,4,5,6,7,8,9,10})</f>
        <v>6</v>
      </c>
      <c r="D377">
        <f t="shared" ca="1" si="30"/>
        <v>52700</v>
      </c>
      <c r="E377" t="str">
        <f ca="1">IF(B377="Oloitoktok A",IF(D377&lt;15000,LOOKUP(RAND(),{0,0.45,0.75,0.92},{"River","Rainwater","Borehole","Vendor"}),IF(D377&lt;30000,LOOKUP(RAND(),{0,0.35,0.65,0.85},{"River","Rainwater","Borehole","Vendor"}),LOOKUP(RAND(),{0,0.25,0.5,0.75},{"River","Rainwater","Borehole","Vendor"}))),IF(B377="Oloitoktok B",IF(D377&lt;15000,LOOKUP(RAND(),{0,0.5,0.78,0.94},{"River","Rainwater","Borehole","Vendor"}),IF(D377&lt;30000,LOOKUP(RAND(),{0,0.4,0.68,0.87},{"River","Rainwater","Borehole","Vendor"}),LOOKUP(RAND(),{0,0.28,0.55,0.78},{"River","Rainwater","Borehole","Vendor"}))),IF(B377="Kiserian",IF(D377&lt;15000,LOOKUP(RAND(),{0,0.35,0.65,0.9},{"River","Rainwater","Borehole","Vendor"}),IF(D377&lt;30000,LOOKUP(RAND(),{0,0.25,0.55,0.82},{"River","Rainwater","Borehole","Vendor"}),LOOKUP(RAND(),{0,0.15,0.45,0.72},{"River","Rainwater","Borehole","Vendor"}))),IF(D377&lt;15000,LOOKUP(RAND(),{0,0.4,0.7,0.92},{"River","Rainwater","Borehole","Vendor"}),IF(D377&lt;30000,LOOKUP(RAND(),{0,0.3,0.6,0.85},{"River","Rainwater","Borehole","Vendor"}),LOOKUP(RAND(),{0,0.2,0.5,0.75},{"River","Rainwater","Borehole","Vendor"}))))))</f>
        <v>River</v>
      </c>
      <c r="F377">
        <f t="shared" ca="1" si="31"/>
        <v>101</v>
      </c>
      <c r="G377">
        <f t="shared" ca="1" si="32"/>
        <v>10.7</v>
      </c>
      <c r="H377">
        <f t="shared" ca="1" si="33"/>
        <v>10800</v>
      </c>
      <c r="I377">
        <f t="shared" ca="1" si="34"/>
        <v>5.8980827147807613E-2</v>
      </c>
      <c r="J377">
        <v>0</v>
      </c>
    </row>
    <row r="378" spans="1:10" x14ac:dyDescent="0.3">
      <c r="A378" t="str">
        <f t="shared" si="35"/>
        <v>HH377</v>
      </c>
      <c r="B378" t="str">
        <f ca="1">LOOKUP(RAND(),{0,0.28,0.55,0.78},{"Oloitoktok A","Oloitoktok B","Kiserian","Namanga"})</f>
        <v>Oloitoktok A</v>
      </c>
      <c r="C378">
        <f ca="1">LOOKUP(RAND(),{0,0.02,0.09,0.2,0.35,0.52,0.68,0.81,0.91,0.97},{1,2,3,4,5,6,7,8,9,10})</f>
        <v>7</v>
      </c>
      <c r="D378">
        <f t="shared" ca="1" si="30"/>
        <v>64800</v>
      </c>
      <c r="E378" t="str">
        <f ca="1">IF(B378="Oloitoktok A",IF(D378&lt;15000,LOOKUP(RAND(),{0,0.45,0.75,0.92},{"River","Rainwater","Borehole","Vendor"}),IF(D378&lt;30000,LOOKUP(RAND(),{0,0.35,0.65,0.85},{"River","Rainwater","Borehole","Vendor"}),LOOKUP(RAND(),{0,0.25,0.5,0.75},{"River","Rainwater","Borehole","Vendor"}))),IF(B378="Oloitoktok B",IF(D378&lt;15000,LOOKUP(RAND(),{0,0.5,0.78,0.94},{"River","Rainwater","Borehole","Vendor"}),IF(D378&lt;30000,LOOKUP(RAND(),{0,0.4,0.68,0.87},{"River","Rainwater","Borehole","Vendor"}),LOOKUP(RAND(),{0,0.28,0.55,0.78},{"River","Rainwater","Borehole","Vendor"}))),IF(B378="Kiserian",IF(D378&lt;15000,LOOKUP(RAND(),{0,0.35,0.65,0.9},{"River","Rainwater","Borehole","Vendor"}),IF(D378&lt;30000,LOOKUP(RAND(),{0,0.25,0.55,0.82},{"River","Rainwater","Borehole","Vendor"}),LOOKUP(RAND(),{0,0.15,0.45,0.72},{"River","Rainwater","Borehole","Vendor"}))),IF(D378&lt;15000,LOOKUP(RAND(),{0,0.4,0.7,0.92},{"River","Rainwater","Borehole","Vendor"}),IF(D378&lt;30000,LOOKUP(RAND(),{0,0.3,0.6,0.85},{"River","Rainwater","Borehole","Vendor"}),LOOKUP(RAND(),{0,0.2,0.5,0.75},{"River","Rainwater","Borehole","Vendor"}))))))</f>
        <v>Borehole</v>
      </c>
      <c r="F378">
        <f t="shared" ca="1" si="31"/>
        <v>29</v>
      </c>
      <c r="G378">
        <f t="shared" ca="1" si="32"/>
        <v>14.3</v>
      </c>
      <c r="H378">
        <f t="shared" ca="1" si="33"/>
        <v>3400</v>
      </c>
      <c r="I378">
        <f t="shared" ca="1" si="34"/>
        <v>0.36199013239807443</v>
      </c>
      <c r="J378">
        <v>0</v>
      </c>
    </row>
    <row r="379" spans="1:10" x14ac:dyDescent="0.3">
      <c r="A379" t="str">
        <f t="shared" si="35"/>
        <v>HH378</v>
      </c>
      <c r="B379" t="str">
        <f ca="1">LOOKUP(RAND(),{0,0.28,0.55,0.78},{"Oloitoktok A","Oloitoktok B","Kiserian","Namanga"})</f>
        <v>Oloitoktok A</v>
      </c>
      <c r="C379">
        <f ca="1">LOOKUP(RAND(),{0,0.02,0.09,0.2,0.35,0.52,0.68,0.81,0.91,0.97},{1,2,3,4,5,6,7,8,9,10})</f>
        <v>4</v>
      </c>
      <c r="D379">
        <f t="shared" ca="1" si="30"/>
        <v>49400</v>
      </c>
      <c r="E379" t="str">
        <f ca="1">IF(B379="Oloitoktok A",IF(D379&lt;15000,LOOKUP(RAND(),{0,0.45,0.75,0.92},{"River","Rainwater","Borehole","Vendor"}),IF(D379&lt;30000,LOOKUP(RAND(),{0,0.35,0.65,0.85},{"River","Rainwater","Borehole","Vendor"}),LOOKUP(RAND(),{0,0.25,0.5,0.75},{"River","Rainwater","Borehole","Vendor"}))),IF(B379="Oloitoktok B",IF(D379&lt;15000,LOOKUP(RAND(),{0,0.5,0.78,0.94},{"River","Rainwater","Borehole","Vendor"}),IF(D379&lt;30000,LOOKUP(RAND(),{0,0.4,0.68,0.87},{"River","Rainwater","Borehole","Vendor"}),LOOKUP(RAND(),{0,0.28,0.55,0.78},{"River","Rainwater","Borehole","Vendor"}))),IF(B379="Kiserian",IF(D379&lt;15000,LOOKUP(RAND(),{0,0.35,0.65,0.9},{"River","Rainwater","Borehole","Vendor"}),IF(D379&lt;30000,LOOKUP(RAND(),{0,0.25,0.55,0.82},{"River","Rainwater","Borehole","Vendor"}),LOOKUP(RAND(),{0,0.15,0.45,0.72},{"River","Rainwater","Borehole","Vendor"}))),IF(D379&lt;15000,LOOKUP(RAND(),{0,0.4,0.7,0.92},{"River","Rainwater","Borehole","Vendor"}),IF(D379&lt;30000,LOOKUP(RAND(),{0,0.3,0.6,0.85},{"River","Rainwater","Borehole","Vendor"}),LOOKUP(RAND(),{0,0.2,0.5,0.75},{"River","Rainwater","Borehole","Vendor"}))))))</f>
        <v>River</v>
      </c>
      <c r="F379">
        <f t="shared" ca="1" si="31"/>
        <v>55</v>
      </c>
      <c r="G379">
        <f t="shared" ca="1" si="32"/>
        <v>5.6</v>
      </c>
      <c r="H379">
        <f t="shared" ca="1" si="33"/>
        <v>5600</v>
      </c>
      <c r="I379">
        <f t="shared" ca="1" si="34"/>
        <v>0.73889266783509222</v>
      </c>
      <c r="J379">
        <v>0</v>
      </c>
    </row>
    <row r="380" spans="1:10" x14ac:dyDescent="0.3">
      <c r="A380" t="str">
        <f t="shared" si="35"/>
        <v>HH379</v>
      </c>
      <c r="B380" t="str">
        <f ca="1">LOOKUP(RAND(),{0,0.28,0.55,0.78},{"Oloitoktok A","Oloitoktok B","Kiserian","Namanga"})</f>
        <v>Namanga</v>
      </c>
      <c r="C380">
        <f ca="1">LOOKUP(RAND(),{0,0.02,0.09,0.2,0.35,0.52,0.68,0.81,0.91,0.97},{1,2,3,4,5,6,7,8,9,10})</f>
        <v>3</v>
      </c>
      <c r="D380">
        <f t="shared" ca="1" si="30"/>
        <v>19400</v>
      </c>
      <c r="E380" t="str">
        <f ca="1">IF(B380="Oloitoktok A",IF(D380&lt;15000,LOOKUP(RAND(),{0,0.45,0.75,0.92},{"River","Rainwater","Borehole","Vendor"}),IF(D380&lt;30000,LOOKUP(RAND(),{0,0.35,0.65,0.85},{"River","Rainwater","Borehole","Vendor"}),LOOKUP(RAND(),{0,0.25,0.5,0.75},{"River","Rainwater","Borehole","Vendor"}))),IF(B380="Oloitoktok B",IF(D380&lt;15000,LOOKUP(RAND(),{0,0.5,0.78,0.94},{"River","Rainwater","Borehole","Vendor"}),IF(D380&lt;30000,LOOKUP(RAND(),{0,0.4,0.68,0.87},{"River","Rainwater","Borehole","Vendor"}),LOOKUP(RAND(),{0,0.28,0.55,0.78},{"River","Rainwater","Borehole","Vendor"}))),IF(B380="Kiserian",IF(D380&lt;15000,LOOKUP(RAND(),{0,0.35,0.65,0.9},{"River","Rainwater","Borehole","Vendor"}),IF(D380&lt;30000,LOOKUP(RAND(),{0,0.25,0.55,0.82},{"River","Rainwater","Borehole","Vendor"}),LOOKUP(RAND(),{0,0.15,0.45,0.72},{"River","Rainwater","Borehole","Vendor"}))),IF(D380&lt;15000,LOOKUP(RAND(),{0,0.4,0.7,0.92},{"River","Rainwater","Borehole","Vendor"}),IF(D380&lt;30000,LOOKUP(RAND(),{0,0.3,0.6,0.85},{"River","Rainwater","Borehole","Vendor"}),LOOKUP(RAND(),{0,0.2,0.5,0.75},{"River","Rainwater","Borehole","Vendor"}))))))</f>
        <v>Borehole</v>
      </c>
      <c r="F380">
        <f t="shared" ca="1" si="31"/>
        <v>59</v>
      </c>
      <c r="G380">
        <f t="shared" ca="1" si="32"/>
        <v>6.8</v>
      </c>
      <c r="H380">
        <f t="shared" ca="1" si="33"/>
        <v>4200</v>
      </c>
      <c r="I380">
        <f t="shared" ca="1" si="34"/>
        <v>0.59338102308524165</v>
      </c>
      <c r="J380">
        <v>0</v>
      </c>
    </row>
    <row r="381" spans="1:10" x14ac:dyDescent="0.3">
      <c r="A381" t="str">
        <f t="shared" si="35"/>
        <v>HH380</v>
      </c>
      <c r="B381" t="str">
        <f ca="1">LOOKUP(RAND(),{0,0.28,0.55,0.78},{"Oloitoktok A","Oloitoktok B","Kiserian","Namanga"})</f>
        <v>Oloitoktok A</v>
      </c>
      <c r="C381">
        <f ca="1">LOOKUP(RAND(),{0,0.02,0.09,0.2,0.35,0.52,0.68,0.81,0.91,0.97},{1,2,3,4,5,6,7,8,9,10})</f>
        <v>4</v>
      </c>
      <c r="D381">
        <f t="shared" ca="1" si="30"/>
        <v>51500</v>
      </c>
      <c r="E381" t="str">
        <f ca="1">IF(B381="Oloitoktok A",IF(D381&lt;15000,LOOKUP(RAND(),{0,0.45,0.75,0.92},{"River","Rainwater","Borehole","Vendor"}),IF(D381&lt;30000,LOOKUP(RAND(),{0,0.35,0.65,0.85},{"River","Rainwater","Borehole","Vendor"}),LOOKUP(RAND(),{0,0.25,0.5,0.75},{"River","Rainwater","Borehole","Vendor"}))),IF(B381="Oloitoktok B",IF(D381&lt;15000,LOOKUP(RAND(),{0,0.5,0.78,0.94},{"River","Rainwater","Borehole","Vendor"}),IF(D381&lt;30000,LOOKUP(RAND(),{0,0.4,0.68,0.87},{"River","Rainwater","Borehole","Vendor"}),LOOKUP(RAND(),{0,0.28,0.55,0.78},{"River","Rainwater","Borehole","Vendor"}))),IF(B381="Kiserian",IF(D381&lt;15000,LOOKUP(RAND(),{0,0.35,0.65,0.9},{"River","Rainwater","Borehole","Vendor"}),IF(D381&lt;30000,LOOKUP(RAND(),{0,0.25,0.55,0.82},{"River","Rainwater","Borehole","Vendor"}),LOOKUP(RAND(),{0,0.15,0.45,0.72},{"River","Rainwater","Borehole","Vendor"}))),IF(D381&lt;15000,LOOKUP(RAND(),{0,0.4,0.7,0.92},{"River","Rainwater","Borehole","Vendor"}),IF(D381&lt;30000,LOOKUP(RAND(),{0,0.3,0.6,0.85},{"River","Rainwater","Borehole","Vendor"}),LOOKUP(RAND(),{0,0.2,0.5,0.75},{"River","Rainwater","Borehole","Vendor"}))))))</f>
        <v>Borehole</v>
      </c>
      <c r="F381">
        <f t="shared" ca="1" si="31"/>
        <v>38</v>
      </c>
      <c r="G381">
        <f t="shared" ca="1" si="32"/>
        <v>3.2</v>
      </c>
      <c r="H381">
        <f t="shared" ca="1" si="33"/>
        <v>3300</v>
      </c>
      <c r="I381">
        <f t="shared" ca="1" si="34"/>
        <v>0.59476562053251447</v>
      </c>
      <c r="J381">
        <v>0</v>
      </c>
    </row>
    <row r="382" spans="1:10" x14ac:dyDescent="0.3">
      <c r="A382" t="str">
        <f t="shared" si="35"/>
        <v>HH381</v>
      </c>
      <c r="B382" t="str">
        <f ca="1">LOOKUP(RAND(),{0,0.28,0.55,0.78},{"Oloitoktok A","Oloitoktok B","Kiserian","Namanga"})</f>
        <v>Oloitoktok A</v>
      </c>
      <c r="C382">
        <f ca="1">LOOKUP(RAND(),{0,0.02,0.09,0.2,0.35,0.52,0.68,0.81,0.91,0.97},{1,2,3,4,5,6,7,8,9,10})</f>
        <v>2</v>
      </c>
      <c r="D382">
        <f t="shared" ca="1" si="30"/>
        <v>25800</v>
      </c>
      <c r="E382" t="str">
        <f ca="1">IF(B382="Oloitoktok A",IF(D382&lt;15000,LOOKUP(RAND(),{0,0.45,0.75,0.92},{"River","Rainwater","Borehole","Vendor"}),IF(D382&lt;30000,LOOKUP(RAND(),{0,0.35,0.65,0.85},{"River","Rainwater","Borehole","Vendor"}),LOOKUP(RAND(),{0,0.25,0.5,0.75},{"River","Rainwater","Borehole","Vendor"}))),IF(B382="Oloitoktok B",IF(D382&lt;15000,LOOKUP(RAND(),{0,0.5,0.78,0.94},{"River","Rainwater","Borehole","Vendor"}),IF(D382&lt;30000,LOOKUP(RAND(),{0,0.4,0.68,0.87},{"River","Rainwater","Borehole","Vendor"}),LOOKUP(RAND(),{0,0.28,0.55,0.78},{"River","Rainwater","Borehole","Vendor"}))),IF(B382="Kiserian",IF(D382&lt;15000,LOOKUP(RAND(),{0,0.35,0.65,0.9},{"River","Rainwater","Borehole","Vendor"}),IF(D382&lt;30000,LOOKUP(RAND(),{0,0.25,0.55,0.82},{"River","Rainwater","Borehole","Vendor"}),LOOKUP(RAND(),{0,0.15,0.45,0.72},{"River","Rainwater","Borehole","Vendor"}))),IF(D382&lt;15000,LOOKUP(RAND(),{0,0.4,0.7,0.92},{"River","Rainwater","Borehole","Vendor"}),IF(D382&lt;30000,LOOKUP(RAND(),{0,0.3,0.6,0.85},{"River","Rainwater","Borehole","Vendor"}),LOOKUP(RAND(),{0,0.2,0.5,0.75},{"River","Rainwater","Borehole","Vendor"}))))))</f>
        <v>Vendor</v>
      </c>
      <c r="F382">
        <f t="shared" ca="1" si="31"/>
        <v>32</v>
      </c>
      <c r="G382">
        <f t="shared" ca="1" si="32"/>
        <v>1</v>
      </c>
      <c r="H382">
        <f t="shared" ca="1" si="33"/>
        <v>5900</v>
      </c>
      <c r="I382">
        <f t="shared" ca="1" si="34"/>
        <v>0.32889819537854392</v>
      </c>
      <c r="J382">
        <v>0</v>
      </c>
    </row>
    <row r="383" spans="1:10" x14ac:dyDescent="0.3">
      <c r="A383" t="str">
        <f t="shared" si="35"/>
        <v>HH382</v>
      </c>
      <c r="B383" t="str">
        <f ca="1">LOOKUP(RAND(),{0,0.28,0.55,0.78},{"Oloitoktok A","Oloitoktok B","Kiserian","Namanga"})</f>
        <v>Kiserian</v>
      </c>
      <c r="C383">
        <f ca="1">LOOKUP(RAND(),{0,0.02,0.09,0.2,0.35,0.52,0.68,0.81,0.91,0.97},{1,2,3,4,5,6,7,8,9,10})</f>
        <v>10</v>
      </c>
      <c r="D383">
        <f t="shared" ca="1" si="30"/>
        <v>101000</v>
      </c>
      <c r="E383" t="str">
        <f ca="1">IF(B383="Oloitoktok A",IF(D383&lt;15000,LOOKUP(RAND(),{0,0.45,0.75,0.92},{"River","Rainwater","Borehole","Vendor"}),IF(D383&lt;30000,LOOKUP(RAND(),{0,0.35,0.65,0.85},{"River","Rainwater","Borehole","Vendor"}),LOOKUP(RAND(),{0,0.25,0.5,0.75},{"River","Rainwater","Borehole","Vendor"}))),IF(B383="Oloitoktok B",IF(D383&lt;15000,LOOKUP(RAND(),{0,0.5,0.78,0.94},{"River","Rainwater","Borehole","Vendor"}),IF(D383&lt;30000,LOOKUP(RAND(),{0,0.4,0.68,0.87},{"River","Rainwater","Borehole","Vendor"}),LOOKUP(RAND(),{0,0.28,0.55,0.78},{"River","Rainwater","Borehole","Vendor"}))),IF(B383="Kiserian",IF(D383&lt;15000,LOOKUP(RAND(),{0,0.35,0.65,0.9},{"River","Rainwater","Borehole","Vendor"}),IF(D383&lt;30000,LOOKUP(RAND(),{0,0.25,0.55,0.82},{"River","Rainwater","Borehole","Vendor"}),LOOKUP(RAND(),{0,0.15,0.45,0.72},{"River","Rainwater","Borehole","Vendor"}))),IF(D383&lt;15000,LOOKUP(RAND(),{0,0.4,0.7,0.92},{"River","Rainwater","Borehole","Vendor"}),IF(D383&lt;30000,LOOKUP(RAND(),{0,0.3,0.6,0.85},{"River","Rainwater","Borehole","Vendor"}),LOOKUP(RAND(),{0,0.2,0.5,0.75},{"River","Rainwater","Borehole","Vendor"}))))))</f>
        <v>Vendor</v>
      </c>
      <c r="F383">
        <f t="shared" ca="1" si="31"/>
        <v>23</v>
      </c>
      <c r="G383">
        <f t="shared" ca="1" si="32"/>
        <v>8.4</v>
      </c>
      <c r="H383">
        <f t="shared" ca="1" si="33"/>
        <v>8800</v>
      </c>
      <c r="I383">
        <f t="shared" ca="1" si="34"/>
        <v>0.33383003143987267</v>
      </c>
      <c r="J383">
        <v>0</v>
      </c>
    </row>
    <row r="384" spans="1:10" x14ac:dyDescent="0.3">
      <c r="A384" t="str">
        <f t="shared" si="35"/>
        <v>HH383</v>
      </c>
      <c r="B384" t="str">
        <f ca="1">LOOKUP(RAND(),{0,0.28,0.55,0.78},{"Oloitoktok A","Oloitoktok B","Kiserian","Namanga"})</f>
        <v>Oloitoktok A</v>
      </c>
      <c r="C384">
        <f ca="1">LOOKUP(RAND(),{0,0.02,0.09,0.2,0.35,0.52,0.68,0.81,0.91,0.97},{1,2,3,4,5,6,7,8,9,10})</f>
        <v>5</v>
      </c>
      <c r="D384">
        <f t="shared" ca="1" si="30"/>
        <v>33400</v>
      </c>
      <c r="E384" t="str">
        <f ca="1">IF(B384="Oloitoktok A",IF(D384&lt;15000,LOOKUP(RAND(),{0,0.45,0.75,0.92},{"River","Rainwater","Borehole","Vendor"}),IF(D384&lt;30000,LOOKUP(RAND(),{0,0.35,0.65,0.85},{"River","Rainwater","Borehole","Vendor"}),LOOKUP(RAND(),{0,0.25,0.5,0.75},{"River","Rainwater","Borehole","Vendor"}))),IF(B384="Oloitoktok B",IF(D384&lt;15000,LOOKUP(RAND(),{0,0.5,0.78,0.94},{"River","Rainwater","Borehole","Vendor"}),IF(D384&lt;30000,LOOKUP(RAND(),{0,0.4,0.68,0.87},{"River","Rainwater","Borehole","Vendor"}),LOOKUP(RAND(),{0,0.28,0.55,0.78},{"River","Rainwater","Borehole","Vendor"}))),IF(B384="Kiserian",IF(D384&lt;15000,LOOKUP(RAND(),{0,0.35,0.65,0.9},{"River","Rainwater","Borehole","Vendor"}),IF(D384&lt;30000,LOOKUP(RAND(),{0,0.25,0.55,0.82},{"River","Rainwater","Borehole","Vendor"}),LOOKUP(RAND(),{0,0.15,0.45,0.72},{"River","Rainwater","Borehole","Vendor"}))),IF(D384&lt;15000,LOOKUP(RAND(),{0,0.4,0.7,0.92},{"River","Rainwater","Borehole","Vendor"}),IF(D384&lt;30000,LOOKUP(RAND(),{0,0.3,0.6,0.85},{"River","Rainwater","Borehole","Vendor"}),LOOKUP(RAND(),{0,0.2,0.5,0.75},{"River","Rainwater","Borehole","Vendor"}))))))</f>
        <v>Vendor</v>
      </c>
      <c r="F384">
        <f t="shared" ca="1" si="31"/>
        <v>48</v>
      </c>
      <c r="G384">
        <f t="shared" ca="1" si="32"/>
        <v>2.2999999999999998</v>
      </c>
      <c r="H384">
        <f t="shared" ca="1" si="33"/>
        <v>5100</v>
      </c>
      <c r="I384">
        <f t="shared" ca="1" si="34"/>
        <v>0.67373026647392442</v>
      </c>
      <c r="J384">
        <v>0</v>
      </c>
    </row>
    <row r="385" spans="1:10" x14ac:dyDescent="0.3">
      <c r="A385" t="str">
        <f t="shared" si="35"/>
        <v>HH384</v>
      </c>
      <c r="B385" t="str">
        <f ca="1">LOOKUP(RAND(),{0,0.28,0.55,0.78},{"Oloitoktok A","Oloitoktok B","Kiserian","Namanga"})</f>
        <v>Namanga</v>
      </c>
      <c r="C385">
        <f ca="1">LOOKUP(RAND(),{0,0.02,0.09,0.2,0.35,0.52,0.68,0.81,0.91,0.97},{1,2,3,4,5,6,7,8,9,10})</f>
        <v>5</v>
      </c>
      <c r="D385">
        <f t="shared" ca="1" si="30"/>
        <v>64600</v>
      </c>
      <c r="E385" t="str">
        <f ca="1">IF(B385="Oloitoktok A",IF(D385&lt;15000,LOOKUP(RAND(),{0,0.45,0.75,0.92},{"River","Rainwater","Borehole","Vendor"}),IF(D385&lt;30000,LOOKUP(RAND(),{0,0.35,0.65,0.85},{"River","Rainwater","Borehole","Vendor"}),LOOKUP(RAND(),{0,0.25,0.5,0.75},{"River","Rainwater","Borehole","Vendor"}))),IF(B385="Oloitoktok B",IF(D385&lt;15000,LOOKUP(RAND(),{0,0.5,0.78,0.94},{"River","Rainwater","Borehole","Vendor"}),IF(D385&lt;30000,LOOKUP(RAND(),{0,0.4,0.68,0.87},{"River","Rainwater","Borehole","Vendor"}),LOOKUP(RAND(),{0,0.28,0.55,0.78},{"River","Rainwater","Borehole","Vendor"}))),IF(B385="Kiserian",IF(D385&lt;15000,LOOKUP(RAND(),{0,0.35,0.65,0.9},{"River","Rainwater","Borehole","Vendor"}),IF(D385&lt;30000,LOOKUP(RAND(),{0,0.25,0.55,0.82},{"River","Rainwater","Borehole","Vendor"}),LOOKUP(RAND(),{0,0.15,0.45,0.72},{"River","Rainwater","Borehole","Vendor"}))),IF(D385&lt;15000,LOOKUP(RAND(),{0,0.4,0.7,0.92},{"River","Rainwater","Borehole","Vendor"}),IF(D385&lt;30000,LOOKUP(RAND(),{0,0.3,0.6,0.85},{"River","Rainwater","Borehole","Vendor"}),LOOKUP(RAND(),{0,0.2,0.5,0.75},{"River","Rainwater","Borehole","Vendor"}))))))</f>
        <v>Vendor</v>
      </c>
      <c r="F385">
        <f t="shared" ca="1" si="31"/>
        <v>47</v>
      </c>
      <c r="G385">
        <f t="shared" ca="1" si="32"/>
        <v>9.6</v>
      </c>
      <c r="H385">
        <f t="shared" ca="1" si="33"/>
        <v>7200</v>
      </c>
      <c r="I385">
        <f t="shared" ca="1" si="34"/>
        <v>0.36823791373333603</v>
      </c>
      <c r="J385">
        <v>0</v>
      </c>
    </row>
    <row r="386" spans="1:10" x14ac:dyDescent="0.3">
      <c r="A386" t="str">
        <f t="shared" si="35"/>
        <v>HH385</v>
      </c>
      <c r="B386" t="str">
        <f ca="1">LOOKUP(RAND(),{0,0.28,0.55,0.78},{"Oloitoktok A","Oloitoktok B","Kiserian","Namanga"})</f>
        <v>Kiserian</v>
      </c>
      <c r="C386">
        <f ca="1">LOOKUP(RAND(),{0,0.02,0.09,0.2,0.35,0.52,0.68,0.81,0.91,0.97},{1,2,3,4,5,6,7,8,9,10})</f>
        <v>6</v>
      </c>
      <c r="D386">
        <f t="shared" ref="D386:D449" ca="1" si="36">MAX(5000,MIN(150000,ROUND(_xlfn.LOGNORM.INV(RAND(),LN(28000+1500*C386),0.55),-2)))</f>
        <v>124100</v>
      </c>
      <c r="E386" t="str">
        <f ca="1">IF(B386="Oloitoktok A",IF(D386&lt;15000,LOOKUP(RAND(),{0,0.45,0.75,0.92},{"River","Rainwater","Borehole","Vendor"}),IF(D386&lt;30000,LOOKUP(RAND(),{0,0.35,0.65,0.85},{"River","Rainwater","Borehole","Vendor"}),LOOKUP(RAND(),{0,0.25,0.5,0.75},{"River","Rainwater","Borehole","Vendor"}))),IF(B386="Oloitoktok B",IF(D386&lt;15000,LOOKUP(RAND(),{0,0.5,0.78,0.94},{"River","Rainwater","Borehole","Vendor"}),IF(D386&lt;30000,LOOKUP(RAND(),{0,0.4,0.68,0.87},{"River","Rainwater","Borehole","Vendor"}),LOOKUP(RAND(),{0,0.28,0.55,0.78},{"River","Rainwater","Borehole","Vendor"}))),IF(B386="Kiserian",IF(D386&lt;15000,LOOKUP(RAND(),{0,0.35,0.65,0.9},{"River","Rainwater","Borehole","Vendor"}),IF(D386&lt;30000,LOOKUP(RAND(),{0,0.25,0.55,0.82},{"River","Rainwater","Borehole","Vendor"}),LOOKUP(RAND(),{0,0.15,0.45,0.72},{"River","Rainwater","Borehole","Vendor"}))),IF(D386&lt;15000,LOOKUP(RAND(),{0,0.4,0.7,0.92},{"River","Rainwater","Borehole","Vendor"}),IF(D386&lt;30000,LOOKUP(RAND(),{0,0.3,0.6,0.85},{"River","Rainwater","Borehole","Vendor"}),LOOKUP(RAND(),{0,0.2,0.5,0.75},{"River","Rainwater","Borehole","Vendor"}))))))</f>
        <v>Rainwater</v>
      </c>
      <c r="F386">
        <f t="shared" ref="F386:F449" ca="1" si="37">IF(E386="River",RANDBETWEEN(45,120),IF(E386="Rainwater",RANDBETWEEN(15,70),IF(E386="Borehole",RANDBETWEEN(20,75),RANDBETWEEN(10,60))))</f>
        <v>34</v>
      </c>
      <c r="G386">
        <f t="shared" ref="G386:G449" ca="1" si="38">IF(B386="Oloitoktok A",ROUND(RANDBETWEEN(5,150)/10,1),IF(B386="Oloitoktok B",ROUND(RANDBETWEEN(4,140)/10,1),IF(B386="Kiserian",ROUND(RANDBETWEEN(2,100)/10,1),ROUND(RANDBETWEEN(3,120)/10,1))))</f>
        <v>7.3</v>
      </c>
      <c r="H386">
        <f t="shared" ref="H386:H449" ca="1" si="39">MAX(0,ROUND((1500+(C386*250)+(D386*0.025)+(F386*8)+(G386*120)+IF(E386="River",1200,IF(E386="Rainwater",700,IF(E386="Borehole",400,200)))+_xlfn.NORM.INV(RAND(),0,3500)),-2))</f>
        <v>9400</v>
      </c>
      <c r="I386">
        <f t="shared" ref="I386:I449" ca="1" si="40">RAND()</f>
        <v>0.77622506563097393</v>
      </c>
      <c r="J386">
        <v>0</v>
      </c>
    </row>
    <row r="387" spans="1:10" x14ac:dyDescent="0.3">
      <c r="A387" t="str">
        <f t="shared" ref="A387:A450" si="41">"HH"&amp;TEXT(ROW()-1,"000")</f>
        <v>HH386</v>
      </c>
      <c r="B387" t="str">
        <f ca="1">LOOKUP(RAND(),{0,0.28,0.55,0.78},{"Oloitoktok A","Oloitoktok B","Kiserian","Namanga"})</f>
        <v>Oloitoktok A</v>
      </c>
      <c r="C387">
        <f ca="1">LOOKUP(RAND(),{0,0.02,0.09,0.2,0.35,0.52,0.68,0.81,0.91,0.97},{1,2,3,4,5,6,7,8,9,10})</f>
        <v>5</v>
      </c>
      <c r="D387">
        <f t="shared" ca="1" si="36"/>
        <v>8600</v>
      </c>
      <c r="E387" t="str">
        <f ca="1">IF(B387="Oloitoktok A",IF(D387&lt;15000,LOOKUP(RAND(),{0,0.45,0.75,0.92},{"River","Rainwater","Borehole","Vendor"}),IF(D387&lt;30000,LOOKUP(RAND(),{0,0.35,0.65,0.85},{"River","Rainwater","Borehole","Vendor"}),LOOKUP(RAND(),{0,0.25,0.5,0.75},{"River","Rainwater","Borehole","Vendor"}))),IF(B387="Oloitoktok B",IF(D387&lt;15000,LOOKUP(RAND(),{0,0.5,0.78,0.94},{"River","Rainwater","Borehole","Vendor"}),IF(D387&lt;30000,LOOKUP(RAND(),{0,0.4,0.68,0.87},{"River","Rainwater","Borehole","Vendor"}),LOOKUP(RAND(),{0,0.28,0.55,0.78},{"River","Rainwater","Borehole","Vendor"}))),IF(B387="Kiserian",IF(D387&lt;15000,LOOKUP(RAND(),{0,0.35,0.65,0.9},{"River","Rainwater","Borehole","Vendor"}),IF(D387&lt;30000,LOOKUP(RAND(),{0,0.25,0.55,0.82},{"River","Rainwater","Borehole","Vendor"}),LOOKUP(RAND(),{0,0.15,0.45,0.72},{"River","Rainwater","Borehole","Vendor"}))),IF(D387&lt;15000,LOOKUP(RAND(),{0,0.4,0.7,0.92},{"River","Rainwater","Borehole","Vendor"}),IF(D387&lt;30000,LOOKUP(RAND(),{0,0.3,0.6,0.85},{"River","Rainwater","Borehole","Vendor"}),LOOKUP(RAND(),{0,0.2,0.5,0.75},{"River","Rainwater","Borehole","Vendor"}))))))</f>
        <v>River</v>
      </c>
      <c r="F387">
        <f t="shared" ca="1" si="37"/>
        <v>83</v>
      </c>
      <c r="G387">
        <f t="shared" ca="1" si="38"/>
        <v>7.5</v>
      </c>
      <c r="H387">
        <f t="shared" ca="1" si="39"/>
        <v>5600</v>
      </c>
      <c r="I387">
        <f t="shared" ca="1" si="40"/>
        <v>0.29132897393087609</v>
      </c>
      <c r="J387">
        <v>0</v>
      </c>
    </row>
    <row r="388" spans="1:10" x14ac:dyDescent="0.3">
      <c r="A388" t="str">
        <f t="shared" si="41"/>
        <v>HH387</v>
      </c>
      <c r="B388" t="str">
        <f ca="1">LOOKUP(RAND(),{0,0.28,0.55,0.78},{"Oloitoktok A","Oloitoktok B","Kiserian","Namanga"})</f>
        <v>Namanga</v>
      </c>
      <c r="C388">
        <f ca="1">LOOKUP(RAND(),{0,0.02,0.09,0.2,0.35,0.52,0.68,0.81,0.91,0.97},{1,2,3,4,5,6,7,8,9,10})</f>
        <v>8</v>
      </c>
      <c r="D388">
        <f t="shared" ca="1" si="36"/>
        <v>22600</v>
      </c>
      <c r="E388" t="str">
        <f ca="1">IF(B388="Oloitoktok A",IF(D388&lt;15000,LOOKUP(RAND(),{0,0.45,0.75,0.92},{"River","Rainwater","Borehole","Vendor"}),IF(D388&lt;30000,LOOKUP(RAND(),{0,0.35,0.65,0.85},{"River","Rainwater","Borehole","Vendor"}),LOOKUP(RAND(),{0,0.25,0.5,0.75},{"River","Rainwater","Borehole","Vendor"}))),IF(B388="Oloitoktok B",IF(D388&lt;15000,LOOKUP(RAND(),{0,0.5,0.78,0.94},{"River","Rainwater","Borehole","Vendor"}),IF(D388&lt;30000,LOOKUP(RAND(),{0,0.4,0.68,0.87},{"River","Rainwater","Borehole","Vendor"}),LOOKUP(RAND(),{0,0.28,0.55,0.78},{"River","Rainwater","Borehole","Vendor"}))),IF(B388="Kiserian",IF(D388&lt;15000,LOOKUP(RAND(),{0,0.35,0.65,0.9},{"River","Rainwater","Borehole","Vendor"}),IF(D388&lt;30000,LOOKUP(RAND(),{0,0.25,0.55,0.82},{"River","Rainwater","Borehole","Vendor"}),LOOKUP(RAND(),{0,0.15,0.45,0.72},{"River","Rainwater","Borehole","Vendor"}))),IF(D388&lt;15000,LOOKUP(RAND(),{0,0.4,0.7,0.92},{"River","Rainwater","Borehole","Vendor"}),IF(D388&lt;30000,LOOKUP(RAND(),{0,0.3,0.6,0.85},{"River","Rainwater","Borehole","Vendor"}),LOOKUP(RAND(),{0,0.2,0.5,0.75},{"River","Rainwater","Borehole","Vendor"}))))))</f>
        <v>River</v>
      </c>
      <c r="F388">
        <f t="shared" ca="1" si="37"/>
        <v>94</v>
      </c>
      <c r="G388">
        <f t="shared" ca="1" si="38"/>
        <v>0.7</v>
      </c>
      <c r="H388">
        <f t="shared" ca="1" si="39"/>
        <v>7900</v>
      </c>
      <c r="I388">
        <f t="shared" ca="1" si="40"/>
        <v>0.7578074946604626</v>
      </c>
      <c r="J388">
        <v>0</v>
      </c>
    </row>
    <row r="389" spans="1:10" x14ac:dyDescent="0.3">
      <c r="A389" t="str">
        <f t="shared" si="41"/>
        <v>HH388</v>
      </c>
      <c r="B389" t="str">
        <f ca="1">LOOKUP(RAND(),{0,0.28,0.55,0.78},{"Oloitoktok A","Oloitoktok B","Kiserian","Namanga"})</f>
        <v>Oloitoktok B</v>
      </c>
      <c r="C389">
        <f ca="1">LOOKUP(RAND(),{0,0.02,0.09,0.2,0.35,0.52,0.68,0.81,0.91,0.97},{1,2,3,4,5,6,7,8,9,10})</f>
        <v>7</v>
      </c>
      <c r="D389">
        <f t="shared" ca="1" si="36"/>
        <v>55400</v>
      </c>
      <c r="E389" t="str">
        <f ca="1">IF(B389="Oloitoktok A",IF(D389&lt;15000,LOOKUP(RAND(),{0,0.45,0.75,0.92},{"River","Rainwater","Borehole","Vendor"}),IF(D389&lt;30000,LOOKUP(RAND(),{0,0.35,0.65,0.85},{"River","Rainwater","Borehole","Vendor"}),LOOKUP(RAND(),{0,0.25,0.5,0.75},{"River","Rainwater","Borehole","Vendor"}))),IF(B389="Oloitoktok B",IF(D389&lt;15000,LOOKUP(RAND(),{0,0.5,0.78,0.94},{"River","Rainwater","Borehole","Vendor"}),IF(D389&lt;30000,LOOKUP(RAND(),{0,0.4,0.68,0.87},{"River","Rainwater","Borehole","Vendor"}),LOOKUP(RAND(),{0,0.28,0.55,0.78},{"River","Rainwater","Borehole","Vendor"}))),IF(B389="Kiserian",IF(D389&lt;15000,LOOKUP(RAND(),{0,0.35,0.65,0.9},{"River","Rainwater","Borehole","Vendor"}),IF(D389&lt;30000,LOOKUP(RAND(),{0,0.25,0.55,0.82},{"River","Rainwater","Borehole","Vendor"}),LOOKUP(RAND(),{0,0.15,0.45,0.72},{"River","Rainwater","Borehole","Vendor"}))),IF(D389&lt;15000,LOOKUP(RAND(),{0,0.4,0.7,0.92},{"River","Rainwater","Borehole","Vendor"}),IF(D389&lt;30000,LOOKUP(RAND(),{0,0.3,0.6,0.85},{"River","Rainwater","Borehole","Vendor"}),LOOKUP(RAND(),{0,0.2,0.5,0.75},{"River","Rainwater","Borehole","Vendor"}))))))</f>
        <v>Borehole</v>
      </c>
      <c r="F389">
        <f t="shared" ca="1" si="37"/>
        <v>66</v>
      </c>
      <c r="G389">
        <f t="shared" ca="1" si="38"/>
        <v>9.4</v>
      </c>
      <c r="H389">
        <f t="shared" ca="1" si="39"/>
        <v>2600</v>
      </c>
      <c r="I389">
        <f t="shared" ca="1" si="40"/>
        <v>0.2106957689175637</v>
      </c>
      <c r="J389">
        <v>0</v>
      </c>
    </row>
    <row r="390" spans="1:10" x14ac:dyDescent="0.3">
      <c r="A390" t="str">
        <f t="shared" si="41"/>
        <v>HH389</v>
      </c>
      <c r="B390" t="str">
        <f ca="1">LOOKUP(RAND(),{0,0.28,0.55,0.78},{"Oloitoktok A","Oloitoktok B","Kiserian","Namanga"})</f>
        <v>Oloitoktok A</v>
      </c>
      <c r="C390">
        <f ca="1">LOOKUP(RAND(),{0,0.02,0.09,0.2,0.35,0.52,0.68,0.81,0.91,0.97},{1,2,3,4,5,6,7,8,9,10})</f>
        <v>8</v>
      </c>
      <c r="D390">
        <f t="shared" ca="1" si="36"/>
        <v>72600</v>
      </c>
      <c r="E390" t="str">
        <f ca="1">IF(B390="Oloitoktok A",IF(D390&lt;15000,LOOKUP(RAND(),{0,0.45,0.75,0.92},{"River","Rainwater","Borehole","Vendor"}),IF(D390&lt;30000,LOOKUP(RAND(),{0,0.35,0.65,0.85},{"River","Rainwater","Borehole","Vendor"}),LOOKUP(RAND(),{0,0.25,0.5,0.75},{"River","Rainwater","Borehole","Vendor"}))),IF(B390="Oloitoktok B",IF(D390&lt;15000,LOOKUP(RAND(),{0,0.5,0.78,0.94},{"River","Rainwater","Borehole","Vendor"}),IF(D390&lt;30000,LOOKUP(RAND(),{0,0.4,0.68,0.87},{"River","Rainwater","Borehole","Vendor"}),LOOKUP(RAND(),{0,0.28,0.55,0.78},{"River","Rainwater","Borehole","Vendor"}))),IF(B390="Kiserian",IF(D390&lt;15000,LOOKUP(RAND(),{0,0.35,0.65,0.9},{"River","Rainwater","Borehole","Vendor"}),IF(D390&lt;30000,LOOKUP(RAND(),{0,0.25,0.55,0.82},{"River","Rainwater","Borehole","Vendor"}),LOOKUP(RAND(),{0,0.15,0.45,0.72},{"River","Rainwater","Borehole","Vendor"}))),IF(D390&lt;15000,LOOKUP(RAND(),{0,0.4,0.7,0.92},{"River","Rainwater","Borehole","Vendor"}),IF(D390&lt;30000,LOOKUP(RAND(),{0,0.3,0.6,0.85},{"River","Rainwater","Borehole","Vendor"}),LOOKUP(RAND(),{0,0.2,0.5,0.75},{"River","Rainwater","Borehole","Vendor"}))))))</f>
        <v>Borehole</v>
      </c>
      <c r="F390">
        <f t="shared" ca="1" si="37"/>
        <v>73</v>
      </c>
      <c r="G390">
        <f t="shared" ca="1" si="38"/>
        <v>1.7</v>
      </c>
      <c r="H390">
        <f t="shared" ca="1" si="39"/>
        <v>8000</v>
      </c>
      <c r="I390">
        <f t="shared" ca="1" si="40"/>
        <v>0.28923052198517063</v>
      </c>
      <c r="J390">
        <v>0</v>
      </c>
    </row>
    <row r="391" spans="1:10" x14ac:dyDescent="0.3">
      <c r="A391" t="str">
        <f t="shared" si="41"/>
        <v>HH390</v>
      </c>
      <c r="B391" t="str">
        <f ca="1">LOOKUP(RAND(),{0,0.28,0.55,0.78},{"Oloitoktok A","Oloitoktok B","Kiserian","Namanga"})</f>
        <v>Namanga</v>
      </c>
      <c r="C391">
        <f ca="1">LOOKUP(RAND(),{0,0.02,0.09,0.2,0.35,0.52,0.68,0.81,0.91,0.97},{1,2,3,4,5,6,7,8,9,10})</f>
        <v>7</v>
      </c>
      <c r="D391">
        <f t="shared" ca="1" si="36"/>
        <v>44100</v>
      </c>
      <c r="E391" t="str">
        <f ca="1">IF(B391="Oloitoktok A",IF(D391&lt;15000,LOOKUP(RAND(),{0,0.45,0.75,0.92},{"River","Rainwater","Borehole","Vendor"}),IF(D391&lt;30000,LOOKUP(RAND(),{0,0.35,0.65,0.85},{"River","Rainwater","Borehole","Vendor"}),LOOKUP(RAND(),{0,0.25,0.5,0.75},{"River","Rainwater","Borehole","Vendor"}))),IF(B391="Oloitoktok B",IF(D391&lt;15000,LOOKUP(RAND(),{0,0.5,0.78,0.94},{"River","Rainwater","Borehole","Vendor"}),IF(D391&lt;30000,LOOKUP(RAND(),{0,0.4,0.68,0.87},{"River","Rainwater","Borehole","Vendor"}),LOOKUP(RAND(),{0,0.28,0.55,0.78},{"River","Rainwater","Borehole","Vendor"}))),IF(B391="Kiserian",IF(D391&lt;15000,LOOKUP(RAND(),{0,0.35,0.65,0.9},{"River","Rainwater","Borehole","Vendor"}),IF(D391&lt;30000,LOOKUP(RAND(),{0,0.25,0.55,0.82},{"River","Rainwater","Borehole","Vendor"}),LOOKUP(RAND(),{0,0.15,0.45,0.72},{"River","Rainwater","Borehole","Vendor"}))),IF(D391&lt;15000,LOOKUP(RAND(),{0,0.4,0.7,0.92},{"River","Rainwater","Borehole","Vendor"}),IF(D391&lt;30000,LOOKUP(RAND(),{0,0.3,0.6,0.85},{"River","Rainwater","Borehole","Vendor"}),LOOKUP(RAND(),{0,0.2,0.5,0.75},{"River","Rainwater","Borehole","Vendor"}))))))</f>
        <v>Borehole</v>
      </c>
      <c r="F391">
        <f t="shared" ca="1" si="37"/>
        <v>73</v>
      </c>
      <c r="G391">
        <f t="shared" ca="1" si="38"/>
        <v>4.9000000000000004</v>
      </c>
      <c r="H391">
        <f t="shared" ca="1" si="39"/>
        <v>6600</v>
      </c>
      <c r="I391">
        <f t="shared" ca="1" si="40"/>
        <v>0.15717136093708295</v>
      </c>
      <c r="J391">
        <v>0</v>
      </c>
    </row>
    <row r="392" spans="1:10" x14ac:dyDescent="0.3">
      <c r="A392" t="str">
        <f t="shared" si="41"/>
        <v>HH391</v>
      </c>
      <c r="B392" t="str">
        <f ca="1">LOOKUP(RAND(),{0,0.28,0.55,0.78},{"Oloitoktok A","Oloitoktok B","Kiserian","Namanga"})</f>
        <v>Namanga</v>
      </c>
      <c r="C392">
        <f ca="1">LOOKUP(RAND(),{0,0.02,0.09,0.2,0.35,0.52,0.68,0.81,0.91,0.97},{1,2,3,4,5,6,7,8,9,10})</f>
        <v>5</v>
      </c>
      <c r="D392">
        <f t="shared" ca="1" si="36"/>
        <v>67200</v>
      </c>
      <c r="E392" t="str">
        <f ca="1">IF(B392="Oloitoktok A",IF(D392&lt;15000,LOOKUP(RAND(),{0,0.45,0.75,0.92},{"River","Rainwater","Borehole","Vendor"}),IF(D392&lt;30000,LOOKUP(RAND(),{0,0.35,0.65,0.85},{"River","Rainwater","Borehole","Vendor"}),LOOKUP(RAND(),{0,0.25,0.5,0.75},{"River","Rainwater","Borehole","Vendor"}))),IF(B392="Oloitoktok B",IF(D392&lt;15000,LOOKUP(RAND(),{0,0.5,0.78,0.94},{"River","Rainwater","Borehole","Vendor"}),IF(D392&lt;30000,LOOKUP(RAND(),{0,0.4,0.68,0.87},{"River","Rainwater","Borehole","Vendor"}),LOOKUP(RAND(),{0,0.28,0.55,0.78},{"River","Rainwater","Borehole","Vendor"}))),IF(B392="Kiserian",IF(D392&lt;15000,LOOKUP(RAND(),{0,0.35,0.65,0.9},{"River","Rainwater","Borehole","Vendor"}),IF(D392&lt;30000,LOOKUP(RAND(),{0,0.25,0.55,0.82},{"River","Rainwater","Borehole","Vendor"}),LOOKUP(RAND(),{0,0.15,0.45,0.72},{"River","Rainwater","Borehole","Vendor"}))),IF(D392&lt;15000,LOOKUP(RAND(),{0,0.4,0.7,0.92},{"River","Rainwater","Borehole","Vendor"}),IF(D392&lt;30000,LOOKUP(RAND(),{0,0.3,0.6,0.85},{"River","Rainwater","Borehole","Vendor"}),LOOKUP(RAND(),{0,0.2,0.5,0.75},{"River","Rainwater","Borehole","Vendor"}))))))</f>
        <v>Vendor</v>
      </c>
      <c r="F392">
        <f t="shared" ca="1" si="37"/>
        <v>52</v>
      </c>
      <c r="G392">
        <f t="shared" ca="1" si="38"/>
        <v>10</v>
      </c>
      <c r="H392">
        <f t="shared" ca="1" si="39"/>
        <v>11700</v>
      </c>
      <c r="I392">
        <f t="shared" ca="1" si="40"/>
        <v>0.80991509335722067</v>
      </c>
      <c r="J392">
        <v>0</v>
      </c>
    </row>
    <row r="393" spans="1:10" x14ac:dyDescent="0.3">
      <c r="A393" t="str">
        <f t="shared" si="41"/>
        <v>HH392</v>
      </c>
      <c r="B393" t="str">
        <f ca="1">LOOKUP(RAND(),{0,0.28,0.55,0.78},{"Oloitoktok A","Oloitoktok B","Kiserian","Namanga"})</f>
        <v>Namanga</v>
      </c>
      <c r="C393">
        <f ca="1">LOOKUP(RAND(),{0,0.02,0.09,0.2,0.35,0.52,0.68,0.81,0.91,0.97},{1,2,3,4,5,6,7,8,9,10})</f>
        <v>4</v>
      </c>
      <c r="D393">
        <f t="shared" ca="1" si="36"/>
        <v>18400</v>
      </c>
      <c r="E393" t="str">
        <f ca="1">IF(B393="Oloitoktok A",IF(D393&lt;15000,LOOKUP(RAND(),{0,0.45,0.75,0.92},{"River","Rainwater","Borehole","Vendor"}),IF(D393&lt;30000,LOOKUP(RAND(),{0,0.35,0.65,0.85},{"River","Rainwater","Borehole","Vendor"}),LOOKUP(RAND(),{0,0.25,0.5,0.75},{"River","Rainwater","Borehole","Vendor"}))),IF(B393="Oloitoktok B",IF(D393&lt;15000,LOOKUP(RAND(),{0,0.5,0.78,0.94},{"River","Rainwater","Borehole","Vendor"}),IF(D393&lt;30000,LOOKUP(RAND(),{0,0.4,0.68,0.87},{"River","Rainwater","Borehole","Vendor"}),LOOKUP(RAND(),{0,0.28,0.55,0.78},{"River","Rainwater","Borehole","Vendor"}))),IF(B393="Kiserian",IF(D393&lt;15000,LOOKUP(RAND(),{0,0.35,0.65,0.9},{"River","Rainwater","Borehole","Vendor"}),IF(D393&lt;30000,LOOKUP(RAND(),{0,0.25,0.55,0.82},{"River","Rainwater","Borehole","Vendor"}),LOOKUP(RAND(),{0,0.15,0.45,0.72},{"River","Rainwater","Borehole","Vendor"}))),IF(D393&lt;15000,LOOKUP(RAND(),{0,0.4,0.7,0.92},{"River","Rainwater","Borehole","Vendor"}),IF(D393&lt;30000,LOOKUP(RAND(),{0,0.3,0.6,0.85},{"River","Rainwater","Borehole","Vendor"}),LOOKUP(RAND(),{0,0.2,0.5,0.75},{"River","Rainwater","Borehole","Vendor"}))))))</f>
        <v>River</v>
      </c>
      <c r="F393">
        <f t="shared" ca="1" si="37"/>
        <v>114</v>
      </c>
      <c r="G393">
        <f t="shared" ca="1" si="38"/>
        <v>8.1999999999999993</v>
      </c>
      <c r="H393">
        <f t="shared" ca="1" si="39"/>
        <v>5300</v>
      </c>
      <c r="I393">
        <f t="shared" ca="1" si="40"/>
        <v>0.82680586288506386</v>
      </c>
      <c r="J393">
        <v>0</v>
      </c>
    </row>
    <row r="394" spans="1:10" x14ac:dyDescent="0.3">
      <c r="A394" t="str">
        <f t="shared" si="41"/>
        <v>HH393</v>
      </c>
      <c r="B394" t="str">
        <f ca="1">LOOKUP(RAND(),{0,0.28,0.55,0.78},{"Oloitoktok A","Oloitoktok B","Kiserian","Namanga"})</f>
        <v>Oloitoktok A</v>
      </c>
      <c r="C394">
        <f ca="1">LOOKUP(RAND(),{0,0.02,0.09,0.2,0.35,0.52,0.68,0.81,0.91,0.97},{1,2,3,4,5,6,7,8,9,10})</f>
        <v>9</v>
      </c>
      <c r="D394">
        <f t="shared" ca="1" si="36"/>
        <v>61900</v>
      </c>
      <c r="E394" t="str">
        <f ca="1">IF(B394="Oloitoktok A",IF(D394&lt;15000,LOOKUP(RAND(),{0,0.45,0.75,0.92},{"River","Rainwater","Borehole","Vendor"}),IF(D394&lt;30000,LOOKUP(RAND(),{0,0.35,0.65,0.85},{"River","Rainwater","Borehole","Vendor"}),LOOKUP(RAND(),{0,0.25,0.5,0.75},{"River","Rainwater","Borehole","Vendor"}))),IF(B394="Oloitoktok B",IF(D394&lt;15000,LOOKUP(RAND(),{0,0.5,0.78,0.94},{"River","Rainwater","Borehole","Vendor"}),IF(D394&lt;30000,LOOKUP(RAND(),{0,0.4,0.68,0.87},{"River","Rainwater","Borehole","Vendor"}),LOOKUP(RAND(),{0,0.28,0.55,0.78},{"River","Rainwater","Borehole","Vendor"}))),IF(B394="Kiserian",IF(D394&lt;15000,LOOKUP(RAND(),{0,0.35,0.65,0.9},{"River","Rainwater","Borehole","Vendor"}),IF(D394&lt;30000,LOOKUP(RAND(),{0,0.25,0.55,0.82},{"River","Rainwater","Borehole","Vendor"}),LOOKUP(RAND(),{0,0.15,0.45,0.72},{"River","Rainwater","Borehole","Vendor"}))),IF(D394&lt;15000,LOOKUP(RAND(),{0,0.4,0.7,0.92},{"River","Rainwater","Borehole","Vendor"}),IF(D394&lt;30000,LOOKUP(RAND(),{0,0.3,0.6,0.85},{"River","Rainwater","Borehole","Vendor"}),LOOKUP(RAND(),{0,0.2,0.5,0.75},{"River","Rainwater","Borehole","Vendor"}))))))</f>
        <v>River</v>
      </c>
      <c r="F394">
        <f t="shared" ca="1" si="37"/>
        <v>106</v>
      </c>
      <c r="G394">
        <f t="shared" ca="1" si="38"/>
        <v>7.7</v>
      </c>
      <c r="H394">
        <f t="shared" ca="1" si="39"/>
        <v>13400</v>
      </c>
      <c r="I394">
        <f t="shared" ca="1" si="40"/>
        <v>0.19529546180297996</v>
      </c>
      <c r="J394">
        <v>0</v>
      </c>
    </row>
    <row r="395" spans="1:10" x14ac:dyDescent="0.3">
      <c r="A395" t="str">
        <f t="shared" si="41"/>
        <v>HH394</v>
      </c>
      <c r="B395" t="str">
        <f ca="1">LOOKUP(RAND(),{0,0.28,0.55,0.78},{"Oloitoktok A","Oloitoktok B","Kiserian","Namanga"})</f>
        <v>Oloitoktok A</v>
      </c>
      <c r="C395">
        <f ca="1">LOOKUP(RAND(),{0,0.02,0.09,0.2,0.35,0.52,0.68,0.81,0.91,0.97},{1,2,3,4,5,6,7,8,9,10})</f>
        <v>5</v>
      </c>
      <c r="D395">
        <f t="shared" ca="1" si="36"/>
        <v>24800</v>
      </c>
      <c r="E395" t="str">
        <f ca="1">IF(B395="Oloitoktok A",IF(D395&lt;15000,LOOKUP(RAND(),{0,0.45,0.75,0.92},{"River","Rainwater","Borehole","Vendor"}),IF(D395&lt;30000,LOOKUP(RAND(),{0,0.35,0.65,0.85},{"River","Rainwater","Borehole","Vendor"}),LOOKUP(RAND(),{0,0.25,0.5,0.75},{"River","Rainwater","Borehole","Vendor"}))),IF(B395="Oloitoktok B",IF(D395&lt;15000,LOOKUP(RAND(),{0,0.5,0.78,0.94},{"River","Rainwater","Borehole","Vendor"}),IF(D395&lt;30000,LOOKUP(RAND(),{0,0.4,0.68,0.87},{"River","Rainwater","Borehole","Vendor"}),LOOKUP(RAND(),{0,0.28,0.55,0.78},{"River","Rainwater","Borehole","Vendor"}))),IF(B395="Kiserian",IF(D395&lt;15000,LOOKUP(RAND(),{0,0.35,0.65,0.9},{"River","Rainwater","Borehole","Vendor"}),IF(D395&lt;30000,LOOKUP(RAND(),{0,0.25,0.55,0.82},{"River","Rainwater","Borehole","Vendor"}),LOOKUP(RAND(),{0,0.15,0.45,0.72},{"River","Rainwater","Borehole","Vendor"}))),IF(D395&lt;15000,LOOKUP(RAND(),{0,0.4,0.7,0.92},{"River","Rainwater","Borehole","Vendor"}),IF(D395&lt;30000,LOOKUP(RAND(),{0,0.3,0.6,0.85},{"River","Rainwater","Borehole","Vendor"}),LOOKUP(RAND(),{0,0.2,0.5,0.75},{"River","Rainwater","Borehole","Vendor"}))))))</f>
        <v>River</v>
      </c>
      <c r="F395">
        <f t="shared" ca="1" si="37"/>
        <v>80</v>
      </c>
      <c r="G395">
        <f t="shared" ca="1" si="38"/>
        <v>14.5</v>
      </c>
      <c r="H395">
        <f t="shared" ca="1" si="39"/>
        <v>12000</v>
      </c>
      <c r="I395">
        <f t="shared" ca="1" si="40"/>
        <v>0.71514888560868395</v>
      </c>
      <c r="J395">
        <v>0</v>
      </c>
    </row>
    <row r="396" spans="1:10" x14ac:dyDescent="0.3">
      <c r="A396" t="str">
        <f t="shared" si="41"/>
        <v>HH395</v>
      </c>
      <c r="B396" t="str">
        <f ca="1">LOOKUP(RAND(),{0,0.28,0.55,0.78},{"Oloitoktok A","Oloitoktok B","Kiserian","Namanga"})</f>
        <v>Oloitoktok B</v>
      </c>
      <c r="C396">
        <f ca="1">LOOKUP(RAND(),{0,0.02,0.09,0.2,0.35,0.52,0.68,0.81,0.91,0.97},{1,2,3,4,5,6,7,8,9,10})</f>
        <v>6</v>
      </c>
      <c r="D396">
        <f t="shared" ca="1" si="36"/>
        <v>62000</v>
      </c>
      <c r="E396" t="str">
        <f ca="1">IF(B396="Oloitoktok A",IF(D396&lt;15000,LOOKUP(RAND(),{0,0.45,0.75,0.92},{"River","Rainwater","Borehole","Vendor"}),IF(D396&lt;30000,LOOKUP(RAND(),{0,0.35,0.65,0.85},{"River","Rainwater","Borehole","Vendor"}),LOOKUP(RAND(),{0,0.25,0.5,0.75},{"River","Rainwater","Borehole","Vendor"}))),IF(B396="Oloitoktok B",IF(D396&lt;15000,LOOKUP(RAND(),{0,0.5,0.78,0.94},{"River","Rainwater","Borehole","Vendor"}),IF(D396&lt;30000,LOOKUP(RAND(),{0,0.4,0.68,0.87},{"River","Rainwater","Borehole","Vendor"}),LOOKUP(RAND(),{0,0.28,0.55,0.78},{"River","Rainwater","Borehole","Vendor"}))),IF(B396="Kiserian",IF(D396&lt;15000,LOOKUP(RAND(),{0,0.35,0.65,0.9},{"River","Rainwater","Borehole","Vendor"}),IF(D396&lt;30000,LOOKUP(RAND(),{0,0.25,0.55,0.82},{"River","Rainwater","Borehole","Vendor"}),LOOKUP(RAND(),{0,0.15,0.45,0.72},{"River","Rainwater","Borehole","Vendor"}))),IF(D396&lt;15000,LOOKUP(RAND(),{0,0.4,0.7,0.92},{"River","Rainwater","Borehole","Vendor"}),IF(D396&lt;30000,LOOKUP(RAND(),{0,0.3,0.6,0.85},{"River","Rainwater","Borehole","Vendor"}),LOOKUP(RAND(),{0,0.2,0.5,0.75},{"River","Rainwater","Borehole","Vendor"}))))))</f>
        <v>Rainwater</v>
      </c>
      <c r="F396">
        <f t="shared" ca="1" si="37"/>
        <v>69</v>
      </c>
      <c r="G396">
        <f t="shared" ca="1" si="38"/>
        <v>5</v>
      </c>
      <c r="H396">
        <f t="shared" ca="1" si="39"/>
        <v>3100</v>
      </c>
      <c r="I396">
        <f t="shared" ca="1" si="40"/>
        <v>0.50771331552354748</v>
      </c>
      <c r="J396">
        <v>0</v>
      </c>
    </row>
    <row r="397" spans="1:10" x14ac:dyDescent="0.3">
      <c r="A397" t="str">
        <f t="shared" si="41"/>
        <v>HH396</v>
      </c>
      <c r="B397" t="str">
        <f ca="1">LOOKUP(RAND(),{0,0.28,0.55,0.78},{"Oloitoktok A","Oloitoktok B","Kiserian","Namanga"})</f>
        <v>Namanga</v>
      </c>
      <c r="C397">
        <f ca="1">LOOKUP(RAND(),{0,0.02,0.09,0.2,0.35,0.52,0.68,0.81,0.91,0.97},{1,2,3,4,5,6,7,8,9,10})</f>
        <v>8</v>
      </c>
      <c r="D397">
        <f t="shared" ca="1" si="36"/>
        <v>31000</v>
      </c>
      <c r="E397" t="str">
        <f ca="1">IF(B397="Oloitoktok A",IF(D397&lt;15000,LOOKUP(RAND(),{0,0.45,0.75,0.92},{"River","Rainwater","Borehole","Vendor"}),IF(D397&lt;30000,LOOKUP(RAND(),{0,0.35,0.65,0.85},{"River","Rainwater","Borehole","Vendor"}),LOOKUP(RAND(),{0,0.25,0.5,0.75},{"River","Rainwater","Borehole","Vendor"}))),IF(B397="Oloitoktok B",IF(D397&lt;15000,LOOKUP(RAND(),{0,0.5,0.78,0.94},{"River","Rainwater","Borehole","Vendor"}),IF(D397&lt;30000,LOOKUP(RAND(),{0,0.4,0.68,0.87},{"River","Rainwater","Borehole","Vendor"}),LOOKUP(RAND(),{0,0.28,0.55,0.78},{"River","Rainwater","Borehole","Vendor"}))),IF(B397="Kiserian",IF(D397&lt;15000,LOOKUP(RAND(),{0,0.35,0.65,0.9},{"River","Rainwater","Borehole","Vendor"}),IF(D397&lt;30000,LOOKUP(RAND(),{0,0.25,0.55,0.82},{"River","Rainwater","Borehole","Vendor"}),LOOKUP(RAND(),{0,0.15,0.45,0.72},{"River","Rainwater","Borehole","Vendor"}))),IF(D397&lt;15000,LOOKUP(RAND(),{0,0.4,0.7,0.92},{"River","Rainwater","Borehole","Vendor"}),IF(D397&lt;30000,LOOKUP(RAND(),{0,0.3,0.6,0.85},{"River","Rainwater","Borehole","Vendor"}),LOOKUP(RAND(),{0,0.2,0.5,0.75},{"River","Rainwater","Borehole","Vendor"}))))))</f>
        <v>Vendor</v>
      </c>
      <c r="F397">
        <f t="shared" ca="1" si="37"/>
        <v>12</v>
      </c>
      <c r="G397">
        <f t="shared" ca="1" si="38"/>
        <v>4.8</v>
      </c>
      <c r="H397">
        <f t="shared" ca="1" si="39"/>
        <v>8000</v>
      </c>
      <c r="I397">
        <f t="shared" ca="1" si="40"/>
        <v>0.42430420017727588</v>
      </c>
      <c r="J397">
        <v>0</v>
      </c>
    </row>
    <row r="398" spans="1:10" x14ac:dyDescent="0.3">
      <c r="A398" t="str">
        <f t="shared" si="41"/>
        <v>HH397</v>
      </c>
      <c r="B398" t="str">
        <f ca="1">LOOKUP(RAND(),{0,0.28,0.55,0.78},{"Oloitoktok A","Oloitoktok B","Kiserian","Namanga"})</f>
        <v>Oloitoktok A</v>
      </c>
      <c r="C398">
        <f ca="1">LOOKUP(RAND(),{0,0.02,0.09,0.2,0.35,0.52,0.68,0.81,0.91,0.97},{1,2,3,4,5,6,7,8,9,10})</f>
        <v>7</v>
      </c>
      <c r="D398">
        <f t="shared" ca="1" si="36"/>
        <v>30000</v>
      </c>
      <c r="E398" t="str">
        <f ca="1">IF(B398="Oloitoktok A",IF(D398&lt;15000,LOOKUP(RAND(),{0,0.45,0.75,0.92},{"River","Rainwater","Borehole","Vendor"}),IF(D398&lt;30000,LOOKUP(RAND(),{0,0.35,0.65,0.85},{"River","Rainwater","Borehole","Vendor"}),LOOKUP(RAND(),{0,0.25,0.5,0.75},{"River","Rainwater","Borehole","Vendor"}))),IF(B398="Oloitoktok B",IF(D398&lt;15000,LOOKUP(RAND(),{0,0.5,0.78,0.94},{"River","Rainwater","Borehole","Vendor"}),IF(D398&lt;30000,LOOKUP(RAND(),{0,0.4,0.68,0.87},{"River","Rainwater","Borehole","Vendor"}),LOOKUP(RAND(),{0,0.28,0.55,0.78},{"River","Rainwater","Borehole","Vendor"}))),IF(B398="Kiserian",IF(D398&lt;15000,LOOKUP(RAND(),{0,0.35,0.65,0.9},{"River","Rainwater","Borehole","Vendor"}),IF(D398&lt;30000,LOOKUP(RAND(),{0,0.25,0.55,0.82},{"River","Rainwater","Borehole","Vendor"}),LOOKUP(RAND(),{0,0.15,0.45,0.72},{"River","Rainwater","Borehole","Vendor"}))),IF(D398&lt;15000,LOOKUP(RAND(),{0,0.4,0.7,0.92},{"River","Rainwater","Borehole","Vendor"}),IF(D398&lt;30000,LOOKUP(RAND(),{0,0.3,0.6,0.85},{"River","Rainwater","Borehole","Vendor"}),LOOKUP(RAND(),{0,0.2,0.5,0.75},{"River","Rainwater","Borehole","Vendor"}))))))</f>
        <v>Borehole</v>
      </c>
      <c r="F398">
        <f t="shared" ca="1" si="37"/>
        <v>57</v>
      </c>
      <c r="G398">
        <f t="shared" ca="1" si="38"/>
        <v>12.6</v>
      </c>
      <c r="H398">
        <f t="shared" ca="1" si="39"/>
        <v>2900</v>
      </c>
      <c r="I398">
        <f t="shared" ca="1" si="40"/>
        <v>0.74317841961957065</v>
      </c>
      <c r="J398">
        <v>0</v>
      </c>
    </row>
    <row r="399" spans="1:10" x14ac:dyDescent="0.3">
      <c r="A399" t="str">
        <f t="shared" si="41"/>
        <v>HH398</v>
      </c>
      <c r="B399" t="str">
        <f ca="1">LOOKUP(RAND(),{0,0.28,0.55,0.78},{"Oloitoktok A","Oloitoktok B","Kiserian","Namanga"})</f>
        <v>Oloitoktok A</v>
      </c>
      <c r="C399">
        <f ca="1">LOOKUP(RAND(),{0,0.02,0.09,0.2,0.35,0.52,0.68,0.81,0.91,0.97},{1,2,3,4,5,6,7,8,9,10})</f>
        <v>4</v>
      </c>
      <c r="D399">
        <f t="shared" ca="1" si="36"/>
        <v>21300</v>
      </c>
      <c r="E399" t="str">
        <f ca="1">IF(B399="Oloitoktok A",IF(D399&lt;15000,LOOKUP(RAND(),{0,0.45,0.75,0.92},{"River","Rainwater","Borehole","Vendor"}),IF(D399&lt;30000,LOOKUP(RAND(),{0,0.35,0.65,0.85},{"River","Rainwater","Borehole","Vendor"}),LOOKUP(RAND(),{0,0.25,0.5,0.75},{"River","Rainwater","Borehole","Vendor"}))),IF(B399="Oloitoktok B",IF(D399&lt;15000,LOOKUP(RAND(),{0,0.5,0.78,0.94},{"River","Rainwater","Borehole","Vendor"}),IF(D399&lt;30000,LOOKUP(RAND(),{0,0.4,0.68,0.87},{"River","Rainwater","Borehole","Vendor"}),LOOKUP(RAND(),{0,0.28,0.55,0.78},{"River","Rainwater","Borehole","Vendor"}))),IF(B399="Kiserian",IF(D399&lt;15000,LOOKUP(RAND(),{0,0.35,0.65,0.9},{"River","Rainwater","Borehole","Vendor"}),IF(D399&lt;30000,LOOKUP(RAND(),{0,0.25,0.55,0.82},{"River","Rainwater","Borehole","Vendor"}),LOOKUP(RAND(),{0,0.15,0.45,0.72},{"River","Rainwater","Borehole","Vendor"}))),IF(D399&lt;15000,LOOKUP(RAND(),{0,0.4,0.7,0.92},{"River","Rainwater","Borehole","Vendor"}),IF(D399&lt;30000,LOOKUP(RAND(),{0,0.3,0.6,0.85},{"River","Rainwater","Borehole","Vendor"}),LOOKUP(RAND(),{0,0.2,0.5,0.75},{"River","Rainwater","Borehole","Vendor"}))))))</f>
        <v>River</v>
      </c>
      <c r="F399">
        <f t="shared" ca="1" si="37"/>
        <v>95</v>
      </c>
      <c r="G399">
        <f t="shared" ca="1" si="38"/>
        <v>13.4</v>
      </c>
      <c r="H399">
        <f t="shared" ca="1" si="39"/>
        <v>7600</v>
      </c>
      <c r="I399">
        <f t="shared" ca="1" si="40"/>
        <v>0.32236336652197695</v>
      </c>
      <c r="J399">
        <v>0</v>
      </c>
    </row>
    <row r="400" spans="1:10" x14ac:dyDescent="0.3">
      <c r="A400" t="str">
        <f t="shared" si="41"/>
        <v>HH399</v>
      </c>
      <c r="B400" t="str">
        <f ca="1">LOOKUP(RAND(),{0,0.28,0.55,0.78},{"Oloitoktok A","Oloitoktok B","Kiserian","Namanga"})</f>
        <v>Namanga</v>
      </c>
      <c r="C400">
        <f ca="1">LOOKUP(RAND(),{0,0.02,0.09,0.2,0.35,0.52,0.68,0.81,0.91,0.97},{1,2,3,4,5,6,7,8,9,10})</f>
        <v>4</v>
      </c>
      <c r="D400">
        <f t="shared" ca="1" si="36"/>
        <v>19300</v>
      </c>
      <c r="E400" t="str">
        <f ca="1">IF(B400="Oloitoktok A",IF(D400&lt;15000,LOOKUP(RAND(),{0,0.45,0.75,0.92},{"River","Rainwater","Borehole","Vendor"}),IF(D400&lt;30000,LOOKUP(RAND(),{0,0.35,0.65,0.85},{"River","Rainwater","Borehole","Vendor"}),LOOKUP(RAND(),{0,0.25,0.5,0.75},{"River","Rainwater","Borehole","Vendor"}))),IF(B400="Oloitoktok B",IF(D400&lt;15000,LOOKUP(RAND(),{0,0.5,0.78,0.94},{"River","Rainwater","Borehole","Vendor"}),IF(D400&lt;30000,LOOKUP(RAND(),{0,0.4,0.68,0.87},{"River","Rainwater","Borehole","Vendor"}),LOOKUP(RAND(),{0,0.28,0.55,0.78},{"River","Rainwater","Borehole","Vendor"}))),IF(B400="Kiserian",IF(D400&lt;15000,LOOKUP(RAND(),{0,0.35,0.65,0.9},{"River","Rainwater","Borehole","Vendor"}),IF(D400&lt;30000,LOOKUP(RAND(),{0,0.25,0.55,0.82},{"River","Rainwater","Borehole","Vendor"}),LOOKUP(RAND(),{0,0.15,0.45,0.72},{"River","Rainwater","Borehole","Vendor"}))),IF(D400&lt;15000,LOOKUP(RAND(),{0,0.4,0.7,0.92},{"River","Rainwater","Borehole","Vendor"}),IF(D400&lt;30000,LOOKUP(RAND(),{0,0.3,0.6,0.85},{"River","Rainwater","Borehole","Vendor"}),LOOKUP(RAND(),{0,0.2,0.5,0.75},{"River","Rainwater","Borehole","Vendor"}))))))</f>
        <v>Rainwater</v>
      </c>
      <c r="F400">
        <f t="shared" ca="1" si="37"/>
        <v>47</v>
      </c>
      <c r="G400">
        <f t="shared" ca="1" si="38"/>
        <v>4</v>
      </c>
      <c r="H400">
        <f t="shared" ca="1" si="39"/>
        <v>13100</v>
      </c>
      <c r="I400">
        <f t="shared" ca="1" si="40"/>
        <v>0.5411195448542736</v>
      </c>
      <c r="J400">
        <v>0</v>
      </c>
    </row>
    <row r="401" spans="1:10" x14ac:dyDescent="0.3">
      <c r="A401" t="str">
        <f t="shared" si="41"/>
        <v>HH400</v>
      </c>
      <c r="B401" t="str">
        <f ca="1">LOOKUP(RAND(),{0,0.28,0.55,0.78},{"Oloitoktok A","Oloitoktok B","Kiserian","Namanga"})</f>
        <v>Kiserian</v>
      </c>
      <c r="C401">
        <f ca="1">LOOKUP(RAND(),{0,0.02,0.09,0.2,0.35,0.52,0.68,0.81,0.91,0.97},{1,2,3,4,5,6,7,8,9,10})</f>
        <v>6</v>
      </c>
      <c r="D401">
        <f t="shared" ca="1" si="36"/>
        <v>36000</v>
      </c>
      <c r="E401" t="str">
        <f ca="1">IF(B401="Oloitoktok A",IF(D401&lt;15000,LOOKUP(RAND(),{0,0.45,0.75,0.92},{"River","Rainwater","Borehole","Vendor"}),IF(D401&lt;30000,LOOKUP(RAND(),{0,0.35,0.65,0.85},{"River","Rainwater","Borehole","Vendor"}),LOOKUP(RAND(),{0,0.25,0.5,0.75},{"River","Rainwater","Borehole","Vendor"}))),IF(B401="Oloitoktok B",IF(D401&lt;15000,LOOKUP(RAND(),{0,0.5,0.78,0.94},{"River","Rainwater","Borehole","Vendor"}),IF(D401&lt;30000,LOOKUP(RAND(),{0,0.4,0.68,0.87},{"River","Rainwater","Borehole","Vendor"}),LOOKUP(RAND(),{0,0.28,0.55,0.78},{"River","Rainwater","Borehole","Vendor"}))),IF(B401="Kiserian",IF(D401&lt;15000,LOOKUP(RAND(),{0,0.35,0.65,0.9},{"River","Rainwater","Borehole","Vendor"}),IF(D401&lt;30000,LOOKUP(RAND(),{0,0.25,0.55,0.82},{"River","Rainwater","Borehole","Vendor"}),LOOKUP(RAND(),{0,0.15,0.45,0.72},{"River","Rainwater","Borehole","Vendor"}))),IF(D401&lt;15000,LOOKUP(RAND(),{0,0.4,0.7,0.92},{"River","Rainwater","Borehole","Vendor"}),IF(D401&lt;30000,LOOKUP(RAND(),{0,0.3,0.6,0.85},{"River","Rainwater","Borehole","Vendor"}),LOOKUP(RAND(),{0,0.2,0.5,0.75},{"River","Rainwater","Borehole","Vendor"}))))))</f>
        <v>Vendor</v>
      </c>
      <c r="F401">
        <f t="shared" ca="1" si="37"/>
        <v>24</v>
      </c>
      <c r="G401">
        <f t="shared" ca="1" si="38"/>
        <v>6.6</v>
      </c>
      <c r="H401">
        <f t="shared" ca="1" si="39"/>
        <v>4600</v>
      </c>
      <c r="I401">
        <f t="shared" ca="1" si="40"/>
        <v>0.66417300590312045</v>
      </c>
      <c r="J401">
        <v>0</v>
      </c>
    </row>
    <row r="402" spans="1:10" x14ac:dyDescent="0.3">
      <c r="A402" t="str">
        <f t="shared" si="41"/>
        <v>HH401</v>
      </c>
      <c r="B402" t="str">
        <f ca="1">LOOKUP(RAND(),{0,0.28,0.55,0.78},{"Oloitoktok A","Oloitoktok B","Kiserian","Namanga"})</f>
        <v>Oloitoktok B</v>
      </c>
      <c r="C402">
        <f ca="1">LOOKUP(RAND(),{0,0.02,0.09,0.2,0.35,0.52,0.68,0.81,0.91,0.97},{1,2,3,4,5,6,7,8,9,10})</f>
        <v>4</v>
      </c>
      <c r="D402">
        <f t="shared" ca="1" si="36"/>
        <v>20400</v>
      </c>
      <c r="E402" t="str">
        <f ca="1">IF(B402="Oloitoktok A",IF(D402&lt;15000,LOOKUP(RAND(),{0,0.45,0.75,0.92},{"River","Rainwater","Borehole","Vendor"}),IF(D402&lt;30000,LOOKUP(RAND(),{0,0.35,0.65,0.85},{"River","Rainwater","Borehole","Vendor"}),LOOKUP(RAND(),{0,0.25,0.5,0.75},{"River","Rainwater","Borehole","Vendor"}))),IF(B402="Oloitoktok B",IF(D402&lt;15000,LOOKUP(RAND(),{0,0.5,0.78,0.94},{"River","Rainwater","Borehole","Vendor"}),IF(D402&lt;30000,LOOKUP(RAND(),{0,0.4,0.68,0.87},{"River","Rainwater","Borehole","Vendor"}),LOOKUP(RAND(),{0,0.28,0.55,0.78},{"River","Rainwater","Borehole","Vendor"}))),IF(B402="Kiserian",IF(D402&lt;15000,LOOKUP(RAND(),{0,0.35,0.65,0.9},{"River","Rainwater","Borehole","Vendor"}),IF(D402&lt;30000,LOOKUP(RAND(),{0,0.25,0.55,0.82},{"River","Rainwater","Borehole","Vendor"}),LOOKUP(RAND(),{0,0.15,0.45,0.72},{"River","Rainwater","Borehole","Vendor"}))),IF(D402&lt;15000,LOOKUP(RAND(),{0,0.4,0.7,0.92},{"River","Rainwater","Borehole","Vendor"}),IF(D402&lt;30000,LOOKUP(RAND(),{0,0.3,0.6,0.85},{"River","Rainwater","Borehole","Vendor"}),LOOKUP(RAND(),{0,0.2,0.5,0.75},{"River","Rainwater","Borehole","Vendor"}))))))</f>
        <v>River</v>
      </c>
      <c r="F402">
        <f t="shared" ca="1" si="37"/>
        <v>62</v>
      </c>
      <c r="G402">
        <f t="shared" ca="1" si="38"/>
        <v>6.5</v>
      </c>
      <c r="H402">
        <f t="shared" ca="1" si="39"/>
        <v>4200</v>
      </c>
      <c r="I402">
        <f t="shared" ca="1" si="40"/>
        <v>0.47630145371914656</v>
      </c>
      <c r="J402">
        <v>0</v>
      </c>
    </row>
    <row r="403" spans="1:10" x14ac:dyDescent="0.3">
      <c r="A403" t="str">
        <f t="shared" si="41"/>
        <v>HH402</v>
      </c>
      <c r="B403" t="str">
        <f ca="1">LOOKUP(RAND(),{0,0.28,0.55,0.78},{"Oloitoktok A","Oloitoktok B","Kiserian","Namanga"})</f>
        <v>Oloitoktok A</v>
      </c>
      <c r="C403">
        <f ca="1">LOOKUP(RAND(),{0,0.02,0.09,0.2,0.35,0.52,0.68,0.81,0.91,0.97},{1,2,3,4,5,6,7,8,9,10})</f>
        <v>3</v>
      </c>
      <c r="D403">
        <f t="shared" ca="1" si="36"/>
        <v>21300</v>
      </c>
      <c r="E403" t="str">
        <f ca="1">IF(B403="Oloitoktok A",IF(D403&lt;15000,LOOKUP(RAND(),{0,0.45,0.75,0.92},{"River","Rainwater","Borehole","Vendor"}),IF(D403&lt;30000,LOOKUP(RAND(),{0,0.35,0.65,0.85},{"River","Rainwater","Borehole","Vendor"}),LOOKUP(RAND(),{0,0.25,0.5,0.75},{"River","Rainwater","Borehole","Vendor"}))),IF(B403="Oloitoktok B",IF(D403&lt;15000,LOOKUP(RAND(),{0,0.5,0.78,0.94},{"River","Rainwater","Borehole","Vendor"}),IF(D403&lt;30000,LOOKUP(RAND(),{0,0.4,0.68,0.87},{"River","Rainwater","Borehole","Vendor"}),LOOKUP(RAND(),{0,0.28,0.55,0.78},{"River","Rainwater","Borehole","Vendor"}))),IF(B403="Kiserian",IF(D403&lt;15000,LOOKUP(RAND(),{0,0.35,0.65,0.9},{"River","Rainwater","Borehole","Vendor"}),IF(D403&lt;30000,LOOKUP(RAND(),{0,0.25,0.55,0.82},{"River","Rainwater","Borehole","Vendor"}),LOOKUP(RAND(),{0,0.15,0.45,0.72},{"River","Rainwater","Borehole","Vendor"}))),IF(D403&lt;15000,LOOKUP(RAND(),{0,0.4,0.7,0.92},{"River","Rainwater","Borehole","Vendor"}),IF(D403&lt;30000,LOOKUP(RAND(),{0,0.3,0.6,0.85},{"River","Rainwater","Borehole","Vendor"}),LOOKUP(RAND(),{0,0.2,0.5,0.75},{"River","Rainwater","Borehole","Vendor"}))))))</f>
        <v>River</v>
      </c>
      <c r="F403">
        <f t="shared" ca="1" si="37"/>
        <v>89</v>
      </c>
      <c r="G403">
        <f t="shared" ca="1" si="38"/>
        <v>6.6</v>
      </c>
      <c r="H403">
        <f t="shared" ca="1" si="39"/>
        <v>9700</v>
      </c>
      <c r="I403">
        <f t="shared" ca="1" si="40"/>
        <v>3.4426335693449328E-4</v>
      </c>
      <c r="J403">
        <v>0</v>
      </c>
    </row>
    <row r="404" spans="1:10" x14ac:dyDescent="0.3">
      <c r="A404" t="str">
        <f t="shared" si="41"/>
        <v>HH403</v>
      </c>
      <c r="B404" t="str">
        <f ca="1">LOOKUP(RAND(),{0,0.28,0.55,0.78},{"Oloitoktok A","Oloitoktok B","Kiserian","Namanga"})</f>
        <v>Kiserian</v>
      </c>
      <c r="C404">
        <f ca="1">LOOKUP(RAND(),{0,0.02,0.09,0.2,0.35,0.52,0.68,0.81,0.91,0.97},{1,2,3,4,5,6,7,8,9,10})</f>
        <v>4</v>
      </c>
      <c r="D404">
        <f t="shared" ca="1" si="36"/>
        <v>12700</v>
      </c>
      <c r="E404" t="str">
        <f ca="1">IF(B404="Oloitoktok A",IF(D404&lt;15000,LOOKUP(RAND(),{0,0.45,0.75,0.92},{"River","Rainwater","Borehole","Vendor"}),IF(D404&lt;30000,LOOKUP(RAND(),{0,0.35,0.65,0.85},{"River","Rainwater","Borehole","Vendor"}),LOOKUP(RAND(),{0,0.25,0.5,0.75},{"River","Rainwater","Borehole","Vendor"}))),IF(B404="Oloitoktok B",IF(D404&lt;15000,LOOKUP(RAND(),{0,0.5,0.78,0.94},{"River","Rainwater","Borehole","Vendor"}),IF(D404&lt;30000,LOOKUP(RAND(),{0,0.4,0.68,0.87},{"River","Rainwater","Borehole","Vendor"}),LOOKUP(RAND(),{0,0.28,0.55,0.78},{"River","Rainwater","Borehole","Vendor"}))),IF(B404="Kiserian",IF(D404&lt;15000,LOOKUP(RAND(),{0,0.35,0.65,0.9},{"River","Rainwater","Borehole","Vendor"}),IF(D404&lt;30000,LOOKUP(RAND(),{0,0.25,0.55,0.82},{"River","Rainwater","Borehole","Vendor"}),LOOKUP(RAND(),{0,0.15,0.45,0.72},{"River","Rainwater","Borehole","Vendor"}))),IF(D404&lt;15000,LOOKUP(RAND(),{0,0.4,0.7,0.92},{"River","Rainwater","Borehole","Vendor"}),IF(D404&lt;30000,LOOKUP(RAND(),{0,0.3,0.6,0.85},{"River","Rainwater","Borehole","Vendor"}),LOOKUP(RAND(),{0,0.2,0.5,0.75},{"River","Rainwater","Borehole","Vendor"}))))))</f>
        <v>Borehole</v>
      </c>
      <c r="F404">
        <f t="shared" ca="1" si="37"/>
        <v>34</v>
      </c>
      <c r="G404">
        <f t="shared" ca="1" si="38"/>
        <v>3.1</v>
      </c>
      <c r="H404">
        <f t="shared" ca="1" si="39"/>
        <v>4000</v>
      </c>
      <c r="I404">
        <f t="shared" ca="1" si="40"/>
        <v>0.57623933458911147</v>
      </c>
      <c r="J404">
        <v>0</v>
      </c>
    </row>
    <row r="405" spans="1:10" x14ac:dyDescent="0.3">
      <c r="A405" t="str">
        <f t="shared" si="41"/>
        <v>HH404</v>
      </c>
      <c r="B405" t="str">
        <f ca="1">LOOKUP(RAND(),{0,0.28,0.55,0.78},{"Oloitoktok A","Oloitoktok B","Kiserian","Namanga"})</f>
        <v>Namanga</v>
      </c>
      <c r="C405">
        <f ca="1">LOOKUP(RAND(),{0,0.02,0.09,0.2,0.35,0.52,0.68,0.81,0.91,0.97},{1,2,3,4,5,6,7,8,9,10})</f>
        <v>3</v>
      </c>
      <c r="D405">
        <f t="shared" ca="1" si="36"/>
        <v>29200</v>
      </c>
      <c r="E405" t="str">
        <f ca="1">IF(B405="Oloitoktok A",IF(D405&lt;15000,LOOKUP(RAND(),{0,0.45,0.75,0.92},{"River","Rainwater","Borehole","Vendor"}),IF(D405&lt;30000,LOOKUP(RAND(),{0,0.35,0.65,0.85},{"River","Rainwater","Borehole","Vendor"}),LOOKUP(RAND(),{0,0.25,0.5,0.75},{"River","Rainwater","Borehole","Vendor"}))),IF(B405="Oloitoktok B",IF(D405&lt;15000,LOOKUP(RAND(),{0,0.5,0.78,0.94},{"River","Rainwater","Borehole","Vendor"}),IF(D405&lt;30000,LOOKUP(RAND(),{0,0.4,0.68,0.87},{"River","Rainwater","Borehole","Vendor"}),LOOKUP(RAND(),{0,0.28,0.55,0.78},{"River","Rainwater","Borehole","Vendor"}))),IF(B405="Kiserian",IF(D405&lt;15000,LOOKUP(RAND(),{0,0.35,0.65,0.9},{"River","Rainwater","Borehole","Vendor"}),IF(D405&lt;30000,LOOKUP(RAND(),{0,0.25,0.55,0.82},{"River","Rainwater","Borehole","Vendor"}),LOOKUP(RAND(),{0,0.15,0.45,0.72},{"River","Rainwater","Borehole","Vendor"}))),IF(D405&lt;15000,LOOKUP(RAND(),{0,0.4,0.7,0.92},{"River","Rainwater","Borehole","Vendor"}),IF(D405&lt;30000,LOOKUP(RAND(),{0,0.3,0.6,0.85},{"River","Rainwater","Borehole","Vendor"}),LOOKUP(RAND(),{0,0.2,0.5,0.75},{"River","Rainwater","Borehole","Vendor"}))))))</f>
        <v>River</v>
      </c>
      <c r="F405">
        <f t="shared" ca="1" si="37"/>
        <v>45</v>
      </c>
      <c r="G405">
        <f t="shared" ca="1" si="38"/>
        <v>11</v>
      </c>
      <c r="H405">
        <f t="shared" ca="1" si="39"/>
        <v>4400</v>
      </c>
      <c r="I405">
        <f t="shared" ca="1" si="40"/>
        <v>0.93618985662594145</v>
      </c>
      <c r="J405">
        <v>0</v>
      </c>
    </row>
    <row r="406" spans="1:10" x14ac:dyDescent="0.3">
      <c r="A406" t="str">
        <f t="shared" si="41"/>
        <v>HH405</v>
      </c>
      <c r="B406" t="str">
        <f ca="1">LOOKUP(RAND(),{0,0.28,0.55,0.78},{"Oloitoktok A","Oloitoktok B","Kiserian","Namanga"})</f>
        <v>Oloitoktok A</v>
      </c>
      <c r="C406">
        <f ca="1">LOOKUP(RAND(),{0,0.02,0.09,0.2,0.35,0.52,0.68,0.81,0.91,0.97},{1,2,3,4,5,6,7,8,9,10})</f>
        <v>3</v>
      </c>
      <c r="D406">
        <f t="shared" ca="1" si="36"/>
        <v>48700</v>
      </c>
      <c r="E406" t="str">
        <f ca="1">IF(B406="Oloitoktok A",IF(D406&lt;15000,LOOKUP(RAND(),{0,0.45,0.75,0.92},{"River","Rainwater","Borehole","Vendor"}),IF(D406&lt;30000,LOOKUP(RAND(),{0,0.35,0.65,0.85},{"River","Rainwater","Borehole","Vendor"}),LOOKUP(RAND(),{0,0.25,0.5,0.75},{"River","Rainwater","Borehole","Vendor"}))),IF(B406="Oloitoktok B",IF(D406&lt;15000,LOOKUP(RAND(),{0,0.5,0.78,0.94},{"River","Rainwater","Borehole","Vendor"}),IF(D406&lt;30000,LOOKUP(RAND(),{0,0.4,0.68,0.87},{"River","Rainwater","Borehole","Vendor"}),LOOKUP(RAND(),{0,0.28,0.55,0.78},{"River","Rainwater","Borehole","Vendor"}))),IF(B406="Kiserian",IF(D406&lt;15000,LOOKUP(RAND(),{0,0.35,0.65,0.9},{"River","Rainwater","Borehole","Vendor"}),IF(D406&lt;30000,LOOKUP(RAND(),{0,0.25,0.55,0.82},{"River","Rainwater","Borehole","Vendor"}),LOOKUP(RAND(),{0,0.15,0.45,0.72},{"River","Rainwater","Borehole","Vendor"}))),IF(D406&lt;15000,LOOKUP(RAND(),{0,0.4,0.7,0.92},{"River","Rainwater","Borehole","Vendor"}),IF(D406&lt;30000,LOOKUP(RAND(),{0,0.3,0.6,0.85},{"River","Rainwater","Borehole","Vendor"}),LOOKUP(RAND(),{0,0.2,0.5,0.75},{"River","Rainwater","Borehole","Vendor"}))))))</f>
        <v>River</v>
      </c>
      <c r="F406">
        <f t="shared" ca="1" si="37"/>
        <v>59</v>
      </c>
      <c r="G406">
        <f t="shared" ca="1" si="38"/>
        <v>3.4</v>
      </c>
      <c r="H406">
        <f t="shared" ca="1" si="39"/>
        <v>4800</v>
      </c>
      <c r="I406">
        <f t="shared" ca="1" si="40"/>
        <v>0.75835303100585805</v>
      </c>
      <c r="J406">
        <v>0</v>
      </c>
    </row>
    <row r="407" spans="1:10" x14ac:dyDescent="0.3">
      <c r="A407" t="str">
        <f t="shared" si="41"/>
        <v>HH406</v>
      </c>
      <c r="B407" t="str">
        <f ca="1">LOOKUP(RAND(),{0,0.28,0.55,0.78},{"Oloitoktok A","Oloitoktok B","Kiserian","Namanga"})</f>
        <v>Kiserian</v>
      </c>
      <c r="C407">
        <f ca="1">LOOKUP(RAND(),{0,0.02,0.09,0.2,0.35,0.52,0.68,0.81,0.91,0.97},{1,2,3,4,5,6,7,8,9,10})</f>
        <v>4</v>
      </c>
      <c r="D407">
        <f t="shared" ca="1" si="36"/>
        <v>30200</v>
      </c>
      <c r="E407" t="str">
        <f ca="1">IF(B407="Oloitoktok A",IF(D407&lt;15000,LOOKUP(RAND(),{0,0.45,0.75,0.92},{"River","Rainwater","Borehole","Vendor"}),IF(D407&lt;30000,LOOKUP(RAND(),{0,0.35,0.65,0.85},{"River","Rainwater","Borehole","Vendor"}),LOOKUP(RAND(),{0,0.25,0.5,0.75},{"River","Rainwater","Borehole","Vendor"}))),IF(B407="Oloitoktok B",IF(D407&lt;15000,LOOKUP(RAND(),{0,0.5,0.78,0.94},{"River","Rainwater","Borehole","Vendor"}),IF(D407&lt;30000,LOOKUP(RAND(),{0,0.4,0.68,0.87},{"River","Rainwater","Borehole","Vendor"}),LOOKUP(RAND(),{0,0.28,0.55,0.78},{"River","Rainwater","Borehole","Vendor"}))),IF(B407="Kiserian",IF(D407&lt;15000,LOOKUP(RAND(),{0,0.35,0.65,0.9},{"River","Rainwater","Borehole","Vendor"}),IF(D407&lt;30000,LOOKUP(RAND(),{0,0.25,0.55,0.82},{"River","Rainwater","Borehole","Vendor"}),LOOKUP(RAND(),{0,0.15,0.45,0.72},{"River","Rainwater","Borehole","Vendor"}))),IF(D407&lt;15000,LOOKUP(RAND(),{0,0.4,0.7,0.92},{"River","Rainwater","Borehole","Vendor"}),IF(D407&lt;30000,LOOKUP(RAND(),{0,0.3,0.6,0.85},{"River","Rainwater","Borehole","Vendor"}),LOOKUP(RAND(),{0,0.2,0.5,0.75},{"River","Rainwater","Borehole","Vendor"}))))))</f>
        <v>Borehole</v>
      </c>
      <c r="F407">
        <f t="shared" ca="1" si="37"/>
        <v>34</v>
      </c>
      <c r="G407">
        <f t="shared" ca="1" si="38"/>
        <v>3.1</v>
      </c>
      <c r="H407">
        <f t="shared" ca="1" si="39"/>
        <v>10400</v>
      </c>
      <c r="I407">
        <f t="shared" ca="1" si="40"/>
        <v>0.24656948995850192</v>
      </c>
      <c r="J407">
        <v>0</v>
      </c>
    </row>
    <row r="408" spans="1:10" x14ac:dyDescent="0.3">
      <c r="A408" t="str">
        <f t="shared" si="41"/>
        <v>HH407</v>
      </c>
      <c r="B408" t="str">
        <f ca="1">LOOKUP(RAND(),{0,0.28,0.55,0.78},{"Oloitoktok A","Oloitoktok B","Kiserian","Namanga"})</f>
        <v>Namanga</v>
      </c>
      <c r="C408">
        <f ca="1">LOOKUP(RAND(),{0,0.02,0.09,0.2,0.35,0.52,0.68,0.81,0.91,0.97},{1,2,3,4,5,6,7,8,9,10})</f>
        <v>7</v>
      </c>
      <c r="D408">
        <f t="shared" ca="1" si="36"/>
        <v>52000</v>
      </c>
      <c r="E408" t="str">
        <f ca="1">IF(B408="Oloitoktok A",IF(D408&lt;15000,LOOKUP(RAND(),{0,0.45,0.75,0.92},{"River","Rainwater","Borehole","Vendor"}),IF(D408&lt;30000,LOOKUP(RAND(),{0,0.35,0.65,0.85},{"River","Rainwater","Borehole","Vendor"}),LOOKUP(RAND(),{0,0.25,0.5,0.75},{"River","Rainwater","Borehole","Vendor"}))),IF(B408="Oloitoktok B",IF(D408&lt;15000,LOOKUP(RAND(),{0,0.5,0.78,0.94},{"River","Rainwater","Borehole","Vendor"}),IF(D408&lt;30000,LOOKUP(RAND(),{0,0.4,0.68,0.87},{"River","Rainwater","Borehole","Vendor"}),LOOKUP(RAND(),{0,0.28,0.55,0.78},{"River","Rainwater","Borehole","Vendor"}))),IF(B408="Kiserian",IF(D408&lt;15000,LOOKUP(RAND(),{0,0.35,0.65,0.9},{"River","Rainwater","Borehole","Vendor"}),IF(D408&lt;30000,LOOKUP(RAND(),{0,0.25,0.55,0.82},{"River","Rainwater","Borehole","Vendor"}),LOOKUP(RAND(),{0,0.15,0.45,0.72},{"River","Rainwater","Borehole","Vendor"}))),IF(D408&lt;15000,LOOKUP(RAND(),{0,0.4,0.7,0.92},{"River","Rainwater","Borehole","Vendor"}),IF(D408&lt;30000,LOOKUP(RAND(),{0,0.3,0.6,0.85},{"River","Rainwater","Borehole","Vendor"}),LOOKUP(RAND(),{0,0.2,0.5,0.75},{"River","Rainwater","Borehole","Vendor"}))))))</f>
        <v>River</v>
      </c>
      <c r="F408">
        <f t="shared" ca="1" si="37"/>
        <v>84</v>
      </c>
      <c r="G408">
        <f t="shared" ca="1" si="38"/>
        <v>11.8</v>
      </c>
      <c r="H408">
        <f t="shared" ca="1" si="39"/>
        <v>15700</v>
      </c>
      <c r="I408">
        <f t="shared" ca="1" si="40"/>
        <v>0.53645440611731043</v>
      </c>
      <c r="J408">
        <v>0</v>
      </c>
    </row>
    <row r="409" spans="1:10" x14ac:dyDescent="0.3">
      <c r="A409" t="str">
        <f t="shared" si="41"/>
        <v>HH408</v>
      </c>
      <c r="B409" t="str">
        <f ca="1">LOOKUP(RAND(),{0,0.28,0.55,0.78},{"Oloitoktok A","Oloitoktok B","Kiserian","Namanga"})</f>
        <v>Kiserian</v>
      </c>
      <c r="C409">
        <f ca="1">LOOKUP(RAND(),{0,0.02,0.09,0.2,0.35,0.52,0.68,0.81,0.91,0.97},{1,2,3,4,5,6,7,8,9,10})</f>
        <v>3</v>
      </c>
      <c r="D409">
        <f t="shared" ca="1" si="36"/>
        <v>17500</v>
      </c>
      <c r="E409" t="str">
        <f ca="1">IF(B409="Oloitoktok A",IF(D409&lt;15000,LOOKUP(RAND(),{0,0.45,0.75,0.92},{"River","Rainwater","Borehole","Vendor"}),IF(D409&lt;30000,LOOKUP(RAND(),{0,0.35,0.65,0.85},{"River","Rainwater","Borehole","Vendor"}),LOOKUP(RAND(),{0,0.25,0.5,0.75},{"River","Rainwater","Borehole","Vendor"}))),IF(B409="Oloitoktok B",IF(D409&lt;15000,LOOKUP(RAND(),{0,0.5,0.78,0.94},{"River","Rainwater","Borehole","Vendor"}),IF(D409&lt;30000,LOOKUP(RAND(),{0,0.4,0.68,0.87},{"River","Rainwater","Borehole","Vendor"}),LOOKUP(RAND(),{0,0.28,0.55,0.78},{"River","Rainwater","Borehole","Vendor"}))),IF(B409="Kiserian",IF(D409&lt;15000,LOOKUP(RAND(),{0,0.35,0.65,0.9},{"River","Rainwater","Borehole","Vendor"}),IF(D409&lt;30000,LOOKUP(RAND(),{0,0.25,0.55,0.82},{"River","Rainwater","Borehole","Vendor"}),LOOKUP(RAND(),{0,0.15,0.45,0.72},{"River","Rainwater","Borehole","Vendor"}))),IF(D409&lt;15000,LOOKUP(RAND(),{0,0.4,0.7,0.92},{"River","Rainwater","Borehole","Vendor"}),IF(D409&lt;30000,LOOKUP(RAND(),{0,0.3,0.6,0.85},{"River","Rainwater","Borehole","Vendor"}),LOOKUP(RAND(),{0,0.2,0.5,0.75},{"River","Rainwater","Borehole","Vendor"}))))))</f>
        <v>River</v>
      </c>
      <c r="F409">
        <f t="shared" ca="1" si="37"/>
        <v>53</v>
      </c>
      <c r="G409">
        <f t="shared" ca="1" si="38"/>
        <v>1.6</v>
      </c>
      <c r="H409">
        <f t="shared" ca="1" si="39"/>
        <v>1400</v>
      </c>
      <c r="I409">
        <f t="shared" ca="1" si="40"/>
        <v>0.89527159341462681</v>
      </c>
      <c r="J409">
        <v>0</v>
      </c>
    </row>
    <row r="410" spans="1:10" x14ac:dyDescent="0.3">
      <c r="A410" t="str">
        <f t="shared" si="41"/>
        <v>HH409</v>
      </c>
      <c r="B410" t="str">
        <f ca="1">LOOKUP(RAND(),{0,0.28,0.55,0.78},{"Oloitoktok A","Oloitoktok B","Kiserian","Namanga"})</f>
        <v>Oloitoktok A</v>
      </c>
      <c r="C410">
        <f ca="1">LOOKUP(RAND(),{0,0.02,0.09,0.2,0.35,0.52,0.68,0.81,0.91,0.97},{1,2,3,4,5,6,7,8,9,10})</f>
        <v>1</v>
      </c>
      <c r="D410">
        <f t="shared" ca="1" si="36"/>
        <v>37100</v>
      </c>
      <c r="E410" t="str">
        <f ca="1">IF(B410="Oloitoktok A",IF(D410&lt;15000,LOOKUP(RAND(),{0,0.45,0.75,0.92},{"River","Rainwater","Borehole","Vendor"}),IF(D410&lt;30000,LOOKUP(RAND(),{0,0.35,0.65,0.85},{"River","Rainwater","Borehole","Vendor"}),LOOKUP(RAND(),{0,0.25,0.5,0.75},{"River","Rainwater","Borehole","Vendor"}))),IF(B410="Oloitoktok B",IF(D410&lt;15000,LOOKUP(RAND(),{0,0.5,0.78,0.94},{"River","Rainwater","Borehole","Vendor"}),IF(D410&lt;30000,LOOKUP(RAND(),{0,0.4,0.68,0.87},{"River","Rainwater","Borehole","Vendor"}),LOOKUP(RAND(),{0,0.28,0.55,0.78},{"River","Rainwater","Borehole","Vendor"}))),IF(B410="Kiserian",IF(D410&lt;15000,LOOKUP(RAND(),{0,0.35,0.65,0.9},{"River","Rainwater","Borehole","Vendor"}),IF(D410&lt;30000,LOOKUP(RAND(),{0,0.25,0.55,0.82},{"River","Rainwater","Borehole","Vendor"}),LOOKUP(RAND(),{0,0.15,0.45,0.72},{"River","Rainwater","Borehole","Vendor"}))),IF(D410&lt;15000,LOOKUP(RAND(),{0,0.4,0.7,0.92},{"River","Rainwater","Borehole","Vendor"}),IF(D410&lt;30000,LOOKUP(RAND(),{0,0.3,0.6,0.85},{"River","Rainwater","Borehole","Vendor"}),LOOKUP(RAND(),{0,0.2,0.5,0.75},{"River","Rainwater","Borehole","Vendor"}))))))</f>
        <v>River</v>
      </c>
      <c r="F410">
        <f t="shared" ca="1" si="37"/>
        <v>58</v>
      </c>
      <c r="G410">
        <f t="shared" ca="1" si="38"/>
        <v>2.5</v>
      </c>
      <c r="H410">
        <f t="shared" ca="1" si="39"/>
        <v>5400</v>
      </c>
      <c r="I410">
        <f t="shared" ca="1" si="40"/>
        <v>0.28098880260811276</v>
      </c>
      <c r="J410">
        <v>0</v>
      </c>
    </row>
    <row r="411" spans="1:10" x14ac:dyDescent="0.3">
      <c r="A411" t="str">
        <f t="shared" si="41"/>
        <v>HH410</v>
      </c>
      <c r="B411" t="str">
        <f ca="1">LOOKUP(RAND(),{0,0.28,0.55,0.78},{"Oloitoktok A","Oloitoktok B","Kiserian","Namanga"})</f>
        <v>Kiserian</v>
      </c>
      <c r="C411">
        <f ca="1">LOOKUP(RAND(),{0,0.02,0.09,0.2,0.35,0.52,0.68,0.81,0.91,0.97},{1,2,3,4,5,6,7,8,9,10})</f>
        <v>6</v>
      </c>
      <c r="D411">
        <f t="shared" ca="1" si="36"/>
        <v>44200</v>
      </c>
      <c r="E411" t="str">
        <f ca="1">IF(B411="Oloitoktok A",IF(D411&lt;15000,LOOKUP(RAND(),{0,0.45,0.75,0.92},{"River","Rainwater","Borehole","Vendor"}),IF(D411&lt;30000,LOOKUP(RAND(),{0,0.35,0.65,0.85},{"River","Rainwater","Borehole","Vendor"}),LOOKUP(RAND(),{0,0.25,0.5,0.75},{"River","Rainwater","Borehole","Vendor"}))),IF(B411="Oloitoktok B",IF(D411&lt;15000,LOOKUP(RAND(),{0,0.5,0.78,0.94},{"River","Rainwater","Borehole","Vendor"}),IF(D411&lt;30000,LOOKUP(RAND(),{0,0.4,0.68,0.87},{"River","Rainwater","Borehole","Vendor"}),LOOKUP(RAND(),{0,0.28,0.55,0.78},{"River","Rainwater","Borehole","Vendor"}))),IF(B411="Kiserian",IF(D411&lt;15000,LOOKUP(RAND(),{0,0.35,0.65,0.9},{"River","Rainwater","Borehole","Vendor"}),IF(D411&lt;30000,LOOKUP(RAND(),{0,0.25,0.55,0.82},{"River","Rainwater","Borehole","Vendor"}),LOOKUP(RAND(),{0,0.15,0.45,0.72},{"River","Rainwater","Borehole","Vendor"}))),IF(D411&lt;15000,LOOKUP(RAND(),{0,0.4,0.7,0.92},{"River","Rainwater","Borehole","Vendor"}),IF(D411&lt;30000,LOOKUP(RAND(),{0,0.3,0.6,0.85},{"River","Rainwater","Borehole","Vendor"}),LOOKUP(RAND(),{0,0.2,0.5,0.75},{"River","Rainwater","Borehole","Vendor"}))))))</f>
        <v>Rainwater</v>
      </c>
      <c r="F411">
        <f t="shared" ca="1" si="37"/>
        <v>27</v>
      </c>
      <c r="G411">
        <f t="shared" ca="1" si="38"/>
        <v>1.4</v>
      </c>
      <c r="H411">
        <f t="shared" ca="1" si="39"/>
        <v>4300</v>
      </c>
      <c r="I411">
        <f t="shared" ca="1" si="40"/>
        <v>0.34220924923919038</v>
      </c>
      <c r="J411">
        <v>0</v>
      </c>
    </row>
    <row r="412" spans="1:10" x14ac:dyDescent="0.3">
      <c r="A412" t="str">
        <f t="shared" si="41"/>
        <v>HH411</v>
      </c>
      <c r="B412" t="str">
        <f ca="1">LOOKUP(RAND(),{0,0.28,0.55,0.78},{"Oloitoktok A","Oloitoktok B","Kiserian","Namanga"})</f>
        <v>Oloitoktok A</v>
      </c>
      <c r="C412">
        <f ca="1">LOOKUP(RAND(),{0,0.02,0.09,0.2,0.35,0.52,0.68,0.81,0.91,0.97},{1,2,3,4,5,6,7,8,9,10})</f>
        <v>8</v>
      </c>
      <c r="D412">
        <f t="shared" ca="1" si="36"/>
        <v>48600</v>
      </c>
      <c r="E412" t="str">
        <f ca="1">IF(B412="Oloitoktok A",IF(D412&lt;15000,LOOKUP(RAND(),{0,0.45,0.75,0.92},{"River","Rainwater","Borehole","Vendor"}),IF(D412&lt;30000,LOOKUP(RAND(),{0,0.35,0.65,0.85},{"River","Rainwater","Borehole","Vendor"}),LOOKUP(RAND(),{0,0.25,0.5,0.75},{"River","Rainwater","Borehole","Vendor"}))),IF(B412="Oloitoktok B",IF(D412&lt;15000,LOOKUP(RAND(),{0,0.5,0.78,0.94},{"River","Rainwater","Borehole","Vendor"}),IF(D412&lt;30000,LOOKUP(RAND(),{0,0.4,0.68,0.87},{"River","Rainwater","Borehole","Vendor"}),LOOKUP(RAND(),{0,0.28,0.55,0.78},{"River","Rainwater","Borehole","Vendor"}))),IF(B412="Kiserian",IF(D412&lt;15000,LOOKUP(RAND(),{0,0.35,0.65,0.9},{"River","Rainwater","Borehole","Vendor"}),IF(D412&lt;30000,LOOKUP(RAND(),{0,0.25,0.55,0.82},{"River","Rainwater","Borehole","Vendor"}),LOOKUP(RAND(),{0,0.15,0.45,0.72},{"River","Rainwater","Borehole","Vendor"}))),IF(D412&lt;15000,LOOKUP(RAND(),{0,0.4,0.7,0.92},{"River","Rainwater","Borehole","Vendor"}),IF(D412&lt;30000,LOOKUP(RAND(),{0,0.3,0.6,0.85},{"River","Rainwater","Borehole","Vendor"}),LOOKUP(RAND(),{0,0.2,0.5,0.75},{"River","Rainwater","Borehole","Vendor"}))))))</f>
        <v>River</v>
      </c>
      <c r="F412">
        <f t="shared" ca="1" si="37"/>
        <v>61</v>
      </c>
      <c r="G412">
        <f t="shared" ca="1" si="38"/>
        <v>7.8</v>
      </c>
      <c r="H412">
        <f t="shared" ca="1" si="39"/>
        <v>4200</v>
      </c>
      <c r="I412">
        <f t="shared" ca="1" si="40"/>
        <v>0.6781306185816014</v>
      </c>
      <c r="J412">
        <v>0</v>
      </c>
    </row>
    <row r="413" spans="1:10" x14ac:dyDescent="0.3">
      <c r="A413" t="str">
        <f t="shared" si="41"/>
        <v>HH412</v>
      </c>
      <c r="B413" t="str">
        <f ca="1">LOOKUP(RAND(),{0,0.28,0.55,0.78},{"Oloitoktok A","Oloitoktok B","Kiserian","Namanga"})</f>
        <v>Kiserian</v>
      </c>
      <c r="C413">
        <f ca="1">LOOKUP(RAND(),{0,0.02,0.09,0.2,0.35,0.52,0.68,0.81,0.91,0.97},{1,2,3,4,5,6,7,8,9,10})</f>
        <v>6</v>
      </c>
      <c r="D413">
        <f t="shared" ca="1" si="36"/>
        <v>28700</v>
      </c>
      <c r="E413" t="str">
        <f ca="1">IF(B413="Oloitoktok A",IF(D413&lt;15000,LOOKUP(RAND(),{0,0.45,0.75,0.92},{"River","Rainwater","Borehole","Vendor"}),IF(D413&lt;30000,LOOKUP(RAND(),{0,0.35,0.65,0.85},{"River","Rainwater","Borehole","Vendor"}),LOOKUP(RAND(),{0,0.25,0.5,0.75},{"River","Rainwater","Borehole","Vendor"}))),IF(B413="Oloitoktok B",IF(D413&lt;15000,LOOKUP(RAND(),{0,0.5,0.78,0.94},{"River","Rainwater","Borehole","Vendor"}),IF(D413&lt;30000,LOOKUP(RAND(),{0,0.4,0.68,0.87},{"River","Rainwater","Borehole","Vendor"}),LOOKUP(RAND(),{0,0.28,0.55,0.78},{"River","Rainwater","Borehole","Vendor"}))),IF(B413="Kiserian",IF(D413&lt;15000,LOOKUP(RAND(),{0,0.35,0.65,0.9},{"River","Rainwater","Borehole","Vendor"}),IF(D413&lt;30000,LOOKUP(RAND(),{0,0.25,0.55,0.82},{"River","Rainwater","Borehole","Vendor"}),LOOKUP(RAND(),{0,0.15,0.45,0.72},{"River","Rainwater","Borehole","Vendor"}))),IF(D413&lt;15000,LOOKUP(RAND(),{0,0.4,0.7,0.92},{"River","Rainwater","Borehole","Vendor"}),IF(D413&lt;30000,LOOKUP(RAND(),{0,0.3,0.6,0.85},{"River","Rainwater","Borehole","Vendor"}),LOOKUP(RAND(),{0,0.2,0.5,0.75},{"River","Rainwater","Borehole","Vendor"}))))))</f>
        <v>Rainwater</v>
      </c>
      <c r="F413">
        <f t="shared" ca="1" si="37"/>
        <v>40</v>
      </c>
      <c r="G413">
        <f t="shared" ca="1" si="38"/>
        <v>6.2</v>
      </c>
      <c r="H413">
        <f t="shared" ca="1" si="39"/>
        <v>8300</v>
      </c>
      <c r="I413">
        <f t="shared" ca="1" si="40"/>
        <v>0.98635793487654733</v>
      </c>
      <c r="J413">
        <v>0</v>
      </c>
    </row>
    <row r="414" spans="1:10" x14ac:dyDescent="0.3">
      <c r="A414" t="str">
        <f t="shared" si="41"/>
        <v>HH413</v>
      </c>
      <c r="B414" t="str">
        <f ca="1">LOOKUP(RAND(),{0,0.28,0.55,0.78},{"Oloitoktok A","Oloitoktok B","Kiserian","Namanga"})</f>
        <v>Namanga</v>
      </c>
      <c r="C414">
        <f ca="1">LOOKUP(RAND(),{0,0.02,0.09,0.2,0.35,0.52,0.68,0.81,0.91,0.97},{1,2,3,4,5,6,7,8,9,10})</f>
        <v>2</v>
      </c>
      <c r="D414">
        <f t="shared" ca="1" si="36"/>
        <v>13700</v>
      </c>
      <c r="E414" t="str">
        <f ca="1">IF(B414="Oloitoktok A",IF(D414&lt;15000,LOOKUP(RAND(),{0,0.45,0.75,0.92},{"River","Rainwater","Borehole","Vendor"}),IF(D414&lt;30000,LOOKUP(RAND(),{0,0.35,0.65,0.85},{"River","Rainwater","Borehole","Vendor"}),LOOKUP(RAND(),{0,0.25,0.5,0.75},{"River","Rainwater","Borehole","Vendor"}))),IF(B414="Oloitoktok B",IF(D414&lt;15000,LOOKUP(RAND(),{0,0.5,0.78,0.94},{"River","Rainwater","Borehole","Vendor"}),IF(D414&lt;30000,LOOKUP(RAND(),{0,0.4,0.68,0.87},{"River","Rainwater","Borehole","Vendor"}),LOOKUP(RAND(),{0,0.28,0.55,0.78},{"River","Rainwater","Borehole","Vendor"}))),IF(B414="Kiserian",IF(D414&lt;15000,LOOKUP(RAND(),{0,0.35,0.65,0.9},{"River","Rainwater","Borehole","Vendor"}),IF(D414&lt;30000,LOOKUP(RAND(),{0,0.25,0.55,0.82},{"River","Rainwater","Borehole","Vendor"}),LOOKUP(RAND(),{0,0.15,0.45,0.72},{"River","Rainwater","Borehole","Vendor"}))),IF(D414&lt;15000,LOOKUP(RAND(),{0,0.4,0.7,0.92},{"River","Rainwater","Borehole","Vendor"}),IF(D414&lt;30000,LOOKUP(RAND(),{0,0.3,0.6,0.85},{"River","Rainwater","Borehole","Vendor"}),LOOKUP(RAND(),{0,0.2,0.5,0.75},{"River","Rainwater","Borehole","Vendor"}))))))</f>
        <v>River</v>
      </c>
      <c r="F414">
        <f t="shared" ca="1" si="37"/>
        <v>61</v>
      </c>
      <c r="G414">
        <f t="shared" ca="1" si="38"/>
        <v>11.9</v>
      </c>
      <c r="H414">
        <f t="shared" ca="1" si="39"/>
        <v>11100</v>
      </c>
      <c r="I414">
        <f t="shared" ca="1" si="40"/>
        <v>0.64716127535646339</v>
      </c>
      <c r="J414">
        <v>0</v>
      </c>
    </row>
    <row r="415" spans="1:10" x14ac:dyDescent="0.3">
      <c r="A415" t="str">
        <f t="shared" si="41"/>
        <v>HH414</v>
      </c>
      <c r="B415" t="str">
        <f ca="1">LOOKUP(RAND(),{0,0.28,0.55,0.78},{"Oloitoktok A","Oloitoktok B","Kiserian","Namanga"})</f>
        <v>Oloitoktok B</v>
      </c>
      <c r="C415">
        <f ca="1">LOOKUP(RAND(),{0,0.02,0.09,0.2,0.35,0.52,0.68,0.81,0.91,0.97},{1,2,3,4,5,6,7,8,9,10})</f>
        <v>4</v>
      </c>
      <c r="D415">
        <f t="shared" ca="1" si="36"/>
        <v>21300</v>
      </c>
      <c r="E415" t="str">
        <f ca="1">IF(B415="Oloitoktok A",IF(D415&lt;15000,LOOKUP(RAND(),{0,0.45,0.75,0.92},{"River","Rainwater","Borehole","Vendor"}),IF(D415&lt;30000,LOOKUP(RAND(),{0,0.35,0.65,0.85},{"River","Rainwater","Borehole","Vendor"}),LOOKUP(RAND(),{0,0.25,0.5,0.75},{"River","Rainwater","Borehole","Vendor"}))),IF(B415="Oloitoktok B",IF(D415&lt;15000,LOOKUP(RAND(),{0,0.5,0.78,0.94},{"River","Rainwater","Borehole","Vendor"}),IF(D415&lt;30000,LOOKUP(RAND(),{0,0.4,0.68,0.87},{"River","Rainwater","Borehole","Vendor"}),LOOKUP(RAND(),{0,0.28,0.55,0.78},{"River","Rainwater","Borehole","Vendor"}))),IF(B415="Kiserian",IF(D415&lt;15000,LOOKUP(RAND(),{0,0.35,0.65,0.9},{"River","Rainwater","Borehole","Vendor"}),IF(D415&lt;30000,LOOKUP(RAND(),{0,0.25,0.55,0.82},{"River","Rainwater","Borehole","Vendor"}),LOOKUP(RAND(),{0,0.15,0.45,0.72},{"River","Rainwater","Borehole","Vendor"}))),IF(D415&lt;15000,LOOKUP(RAND(),{0,0.4,0.7,0.92},{"River","Rainwater","Borehole","Vendor"}),IF(D415&lt;30000,LOOKUP(RAND(),{0,0.3,0.6,0.85},{"River","Rainwater","Borehole","Vendor"}),LOOKUP(RAND(),{0,0.2,0.5,0.75},{"River","Rainwater","Borehole","Vendor"}))))))</f>
        <v>Vendor</v>
      </c>
      <c r="F415">
        <f t="shared" ca="1" si="37"/>
        <v>22</v>
      </c>
      <c r="G415">
        <f t="shared" ca="1" si="38"/>
        <v>10.6</v>
      </c>
      <c r="H415">
        <f t="shared" ca="1" si="39"/>
        <v>7200</v>
      </c>
      <c r="I415">
        <f t="shared" ca="1" si="40"/>
        <v>0.89872911751586815</v>
      </c>
      <c r="J415">
        <v>0</v>
      </c>
    </row>
    <row r="416" spans="1:10" x14ac:dyDescent="0.3">
      <c r="A416" t="str">
        <f t="shared" si="41"/>
        <v>HH415</v>
      </c>
      <c r="B416" t="str">
        <f ca="1">LOOKUP(RAND(),{0,0.28,0.55,0.78},{"Oloitoktok A","Oloitoktok B","Kiserian","Namanga"})</f>
        <v>Oloitoktok A</v>
      </c>
      <c r="C416">
        <f ca="1">LOOKUP(RAND(),{0,0.02,0.09,0.2,0.35,0.52,0.68,0.81,0.91,0.97},{1,2,3,4,5,6,7,8,9,10})</f>
        <v>6</v>
      </c>
      <c r="D416">
        <f t="shared" ca="1" si="36"/>
        <v>55700</v>
      </c>
      <c r="E416" t="str">
        <f ca="1">IF(B416="Oloitoktok A",IF(D416&lt;15000,LOOKUP(RAND(),{0,0.45,0.75,0.92},{"River","Rainwater","Borehole","Vendor"}),IF(D416&lt;30000,LOOKUP(RAND(),{0,0.35,0.65,0.85},{"River","Rainwater","Borehole","Vendor"}),LOOKUP(RAND(),{0,0.25,0.5,0.75},{"River","Rainwater","Borehole","Vendor"}))),IF(B416="Oloitoktok B",IF(D416&lt;15000,LOOKUP(RAND(),{0,0.5,0.78,0.94},{"River","Rainwater","Borehole","Vendor"}),IF(D416&lt;30000,LOOKUP(RAND(),{0,0.4,0.68,0.87},{"River","Rainwater","Borehole","Vendor"}),LOOKUP(RAND(),{0,0.28,0.55,0.78},{"River","Rainwater","Borehole","Vendor"}))),IF(B416="Kiserian",IF(D416&lt;15000,LOOKUP(RAND(),{0,0.35,0.65,0.9},{"River","Rainwater","Borehole","Vendor"}),IF(D416&lt;30000,LOOKUP(RAND(),{0,0.25,0.55,0.82},{"River","Rainwater","Borehole","Vendor"}),LOOKUP(RAND(),{0,0.15,0.45,0.72},{"River","Rainwater","Borehole","Vendor"}))),IF(D416&lt;15000,LOOKUP(RAND(),{0,0.4,0.7,0.92},{"River","Rainwater","Borehole","Vendor"}),IF(D416&lt;30000,LOOKUP(RAND(),{0,0.3,0.6,0.85},{"River","Rainwater","Borehole","Vendor"}),LOOKUP(RAND(),{0,0.2,0.5,0.75},{"River","Rainwater","Borehole","Vendor"}))))))</f>
        <v>Vendor</v>
      </c>
      <c r="F416">
        <f t="shared" ca="1" si="37"/>
        <v>21</v>
      </c>
      <c r="G416">
        <f t="shared" ca="1" si="38"/>
        <v>1.3</v>
      </c>
      <c r="H416">
        <f t="shared" ca="1" si="39"/>
        <v>4400</v>
      </c>
      <c r="I416">
        <f t="shared" ca="1" si="40"/>
        <v>0.11853610016674287</v>
      </c>
      <c r="J416">
        <v>0</v>
      </c>
    </row>
    <row r="417" spans="1:10" x14ac:dyDescent="0.3">
      <c r="A417" t="str">
        <f t="shared" si="41"/>
        <v>HH416</v>
      </c>
      <c r="B417" t="str">
        <f ca="1">LOOKUP(RAND(),{0,0.28,0.55,0.78},{"Oloitoktok A","Oloitoktok B","Kiserian","Namanga"})</f>
        <v>Kiserian</v>
      </c>
      <c r="C417">
        <f ca="1">LOOKUP(RAND(),{0,0.02,0.09,0.2,0.35,0.52,0.68,0.81,0.91,0.97},{1,2,3,4,5,6,7,8,9,10})</f>
        <v>9</v>
      </c>
      <c r="D417">
        <f t="shared" ca="1" si="36"/>
        <v>39500</v>
      </c>
      <c r="E417" t="str">
        <f ca="1">IF(B417="Oloitoktok A",IF(D417&lt;15000,LOOKUP(RAND(),{0,0.45,0.75,0.92},{"River","Rainwater","Borehole","Vendor"}),IF(D417&lt;30000,LOOKUP(RAND(),{0,0.35,0.65,0.85},{"River","Rainwater","Borehole","Vendor"}),LOOKUP(RAND(),{0,0.25,0.5,0.75},{"River","Rainwater","Borehole","Vendor"}))),IF(B417="Oloitoktok B",IF(D417&lt;15000,LOOKUP(RAND(),{0,0.5,0.78,0.94},{"River","Rainwater","Borehole","Vendor"}),IF(D417&lt;30000,LOOKUP(RAND(),{0,0.4,0.68,0.87},{"River","Rainwater","Borehole","Vendor"}),LOOKUP(RAND(),{0,0.28,0.55,0.78},{"River","Rainwater","Borehole","Vendor"}))),IF(B417="Kiserian",IF(D417&lt;15000,LOOKUP(RAND(),{0,0.35,0.65,0.9},{"River","Rainwater","Borehole","Vendor"}),IF(D417&lt;30000,LOOKUP(RAND(),{0,0.25,0.55,0.82},{"River","Rainwater","Borehole","Vendor"}),LOOKUP(RAND(),{0,0.15,0.45,0.72},{"River","Rainwater","Borehole","Vendor"}))),IF(D417&lt;15000,LOOKUP(RAND(),{0,0.4,0.7,0.92},{"River","Rainwater","Borehole","Vendor"}),IF(D417&lt;30000,LOOKUP(RAND(),{0,0.3,0.6,0.85},{"River","Rainwater","Borehole","Vendor"}),LOOKUP(RAND(),{0,0.2,0.5,0.75},{"River","Rainwater","Borehole","Vendor"}))))))</f>
        <v>Rainwater</v>
      </c>
      <c r="F417">
        <f t="shared" ca="1" si="37"/>
        <v>40</v>
      </c>
      <c r="G417">
        <f t="shared" ca="1" si="38"/>
        <v>5.2</v>
      </c>
      <c r="H417">
        <f t="shared" ca="1" si="39"/>
        <v>11400</v>
      </c>
      <c r="I417">
        <f t="shared" ca="1" si="40"/>
        <v>0.498208750904933</v>
      </c>
      <c r="J417">
        <v>0</v>
      </c>
    </row>
    <row r="418" spans="1:10" x14ac:dyDescent="0.3">
      <c r="A418" t="str">
        <f t="shared" si="41"/>
        <v>HH417</v>
      </c>
      <c r="B418" t="str">
        <f ca="1">LOOKUP(RAND(),{0,0.28,0.55,0.78},{"Oloitoktok A","Oloitoktok B","Kiserian","Namanga"})</f>
        <v>Oloitoktok A</v>
      </c>
      <c r="C418">
        <f ca="1">LOOKUP(RAND(),{0,0.02,0.09,0.2,0.35,0.52,0.68,0.81,0.91,0.97},{1,2,3,4,5,6,7,8,9,10})</f>
        <v>6</v>
      </c>
      <c r="D418">
        <f t="shared" ca="1" si="36"/>
        <v>20500</v>
      </c>
      <c r="E418" t="str">
        <f ca="1">IF(B418="Oloitoktok A",IF(D418&lt;15000,LOOKUP(RAND(),{0,0.45,0.75,0.92},{"River","Rainwater","Borehole","Vendor"}),IF(D418&lt;30000,LOOKUP(RAND(),{0,0.35,0.65,0.85},{"River","Rainwater","Borehole","Vendor"}),LOOKUP(RAND(),{0,0.25,0.5,0.75},{"River","Rainwater","Borehole","Vendor"}))),IF(B418="Oloitoktok B",IF(D418&lt;15000,LOOKUP(RAND(),{0,0.5,0.78,0.94},{"River","Rainwater","Borehole","Vendor"}),IF(D418&lt;30000,LOOKUP(RAND(),{0,0.4,0.68,0.87},{"River","Rainwater","Borehole","Vendor"}),LOOKUP(RAND(),{0,0.28,0.55,0.78},{"River","Rainwater","Borehole","Vendor"}))),IF(B418="Kiserian",IF(D418&lt;15000,LOOKUP(RAND(),{0,0.35,0.65,0.9},{"River","Rainwater","Borehole","Vendor"}),IF(D418&lt;30000,LOOKUP(RAND(),{0,0.25,0.55,0.82},{"River","Rainwater","Borehole","Vendor"}),LOOKUP(RAND(),{0,0.15,0.45,0.72},{"River","Rainwater","Borehole","Vendor"}))),IF(D418&lt;15000,LOOKUP(RAND(),{0,0.4,0.7,0.92},{"River","Rainwater","Borehole","Vendor"}),IF(D418&lt;30000,LOOKUP(RAND(),{0,0.3,0.6,0.85},{"River","Rainwater","Borehole","Vendor"}),LOOKUP(RAND(),{0,0.2,0.5,0.75},{"River","Rainwater","Borehole","Vendor"}))))))</f>
        <v>Rainwater</v>
      </c>
      <c r="F418">
        <f t="shared" ca="1" si="37"/>
        <v>29</v>
      </c>
      <c r="G418">
        <f t="shared" ca="1" si="38"/>
        <v>5.6</v>
      </c>
      <c r="H418">
        <f t="shared" ca="1" si="39"/>
        <v>2400</v>
      </c>
      <c r="I418">
        <f t="shared" ca="1" si="40"/>
        <v>0.28356481139965628</v>
      </c>
      <c r="J418">
        <v>0</v>
      </c>
    </row>
    <row r="419" spans="1:10" x14ac:dyDescent="0.3">
      <c r="A419" t="str">
        <f t="shared" si="41"/>
        <v>HH418</v>
      </c>
      <c r="B419" t="str">
        <f ca="1">LOOKUP(RAND(),{0,0.28,0.55,0.78},{"Oloitoktok A","Oloitoktok B","Kiserian","Namanga"})</f>
        <v>Kiserian</v>
      </c>
      <c r="C419">
        <f ca="1">LOOKUP(RAND(),{0,0.02,0.09,0.2,0.35,0.52,0.68,0.81,0.91,0.97},{1,2,3,4,5,6,7,8,9,10})</f>
        <v>9</v>
      </c>
      <c r="D419">
        <f t="shared" ca="1" si="36"/>
        <v>42300</v>
      </c>
      <c r="E419" t="str">
        <f ca="1">IF(B419="Oloitoktok A",IF(D419&lt;15000,LOOKUP(RAND(),{0,0.45,0.75,0.92},{"River","Rainwater","Borehole","Vendor"}),IF(D419&lt;30000,LOOKUP(RAND(),{0,0.35,0.65,0.85},{"River","Rainwater","Borehole","Vendor"}),LOOKUP(RAND(),{0,0.25,0.5,0.75},{"River","Rainwater","Borehole","Vendor"}))),IF(B419="Oloitoktok B",IF(D419&lt;15000,LOOKUP(RAND(),{0,0.5,0.78,0.94},{"River","Rainwater","Borehole","Vendor"}),IF(D419&lt;30000,LOOKUP(RAND(),{0,0.4,0.68,0.87},{"River","Rainwater","Borehole","Vendor"}),LOOKUP(RAND(),{0,0.28,0.55,0.78},{"River","Rainwater","Borehole","Vendor"}))),IF(B419="Kiserian",IF(D419&lt;15000,LOOKUP(RAND(),{0,0.35,0.65,0.9},{"River","Rainwater","Borehole","Vendor"}),IF(D419&lt;30000,LOOKUP(RAND(),{0,0.25,0.55,0.82},{"River","Rainwater","Borehole","Vendor"}),LOOKUP(RAND(),{0,0.15,0.45,0.72},{"River","Rainwater","Borehole","Vendor"}))),IF(D419&lt;15000,LOOKUP(RAND(),{0,0.4,0.7,0.92},{"River","Rainwater","Borehole","Vendor"}),IF(D419&lt;30000,LOOKUP(RAND(),{0,0.3,0.6,0.85},{"River","Rainwater","Borehole","Vendor"}),LOOKUP(RAND(),{0,0.2,0.5,0.75},{"River","Rainwater","Borehole","Vendor"}))))))</f>
        <v>River</v>
      </c>
      <c r="F419">
        <f t="shared" ca="1" si="37"/>
        <v>75</v>
      </c>
      <c r="G419">
        <f t="shared" ca="1" si="38"/>
        <v>6.4</v>
      </c>
      <c r="H419">
        <f t="shared" ca="1" si="39"/>
        <v>4900</v>
      </c>
      <c r="I419">
        <f t="shared" ca="1" si="40"/>
        <v>0.6720740170020042</v>
      </c>
      <c r="J419">
        <v>0</v>
      </c>
    </row>
    <row r="420" spans="1:10" x14ac:dyDescent="0.3">
      <c r="A420" t="str">
        <f t="shared" si="41"/>
        <v>HH419</v>
      </c>
      <c r="B420" t="str">
        <f ca="1">LOOKUP(RAND(),{0,0.28,0.55,0.78},{"Oloitoktok A","Oloitoktok B","Kiserian","Namanga"})</f>
        <v>Oloitoktok A</v>
      </c>
      <c r="C420">
        <f ca="1">LOOKUP(RAND(),{0,0.02,0.09,0.2,0.35,0.52,0.68,0.81,0.91,0.97},{1,2,3,4,5,6,7,8,9,10})</f>
        <v>6</v>
      </c>
      <c r="D420">
        <f t="shared" ca="1" si="36"/>
        <v>134600</v>
      </c>
      <c r="E420" t="str">
        <f ca="1">IF(B420="Oloitoktok A",IF(D420&lt;15000,LOOKUP(RAND(),{0,0.45,0.75,0.92},{"River","Rainwater","Borehole","Vendor"}),IF(D420&lt;30000,LOOKUP(RAND(),{0,0.35,0.65,0.85},{"River","Rainwater","Borehole","Vendor"}),LOOKUP(RAND(),{0,0.25,0.5,0.75},{"River","Rainwater","Borehole","Vendor"}))),IF(B420="Oloitoktok B",IF(D420&lt;15000,LOOKUP(RAND(),{0,0.5,0.78,0.94},{"River","Rainwater","Borehole","Vendor"}),IF(D420&lt;30000,LOOKUP(RAND(),{0,0.4,0.68,0.87},{"River","Rainwater","Borehole","Vendor"}),LOOKUP(RAND(),{0,0.28,0.55,0.78},{"River","Rainwater","Borehole","Vendor"}))),IF(B420="Kiserian",IF(D420&lt;15000,LOOKUP(RAND(),{0,0.35,0.65,0.9},{"River","Rainwater","Borehole","Vendor"}),IF(D420&lt;30000,LOOKUP(RAND(),{0,0.25,0.55,0.82},{"River","Rainwater","Borehole","Vendor"}),LOOKUP(RAND(),{0,0.15,0.45,0.72},{"River","Rainwater","Borehole","Vendor"}))),IF(D420&lt;15000,LOOKUP(RAND(),{0,0.4,0.7,0.92},{"River","Rainwater","Borehole","Vendor"}),IF(D420&lt;30000,LOOKUP(RAND(),{0,0.3,0.6,0.85},{"River","Rainwater","Borehole","Vendor"}),LOOKUP(RAND(),{0,0.2,0.5,0.75},{"River","Rainwater","Borehole","Vendor"}))))))</f>
        <v>Rainwater</v>
      </c>
      <c r="F420">
        <f t="shared" ca="1" si="37"/>
        <v>61</v>
      </c>
      <c r="G420">
        <f t="shared" ca="1" si="38"/>
        <v>12.8</v>
      </c>
      <c r="H420">
        <f t="shared" ca="1" si="39"/>
        <v>10200</v>
      </c>
      <c r="I420">
        <f t="shared" ca="1" si="40"/>
        <v>4.1753392175504445E-2</v>
      </c>
      <c r="J420">
        <v>0</v>
      </c>
    </row>
    <row r="421" spans="1:10" x14ac:dyDescent="0.3">
      <c r="A421" t="str">
        <f t="shared" si="41"/>
        <v>HH420</v>
      </c>
      <c r="B421" t="str">
        <f ca="1">LOOKUP(RAND(),{0,0.28,0.55,0.78},{"Oloitoktok A","Oloitoktok B","Kiserian","Namanga"})</f>
        <v>Kiserian</v>
      </c>
      <c r="C421">
        <f ca="1">LOOKUP(RAND(),{0,0.02,0.09,0.2,0.35,0.52,0.68,0.81,0.91,0.97},{1,2,3,4,5,6,7,8,9,10})</f>
        <v>9</v>
      </c>
      <c r="D421">
        <f t="shared" ca="1" si="36"/>
        <v>73400</v>
      </c>
      <c r="E421" t="str">
        <f ca="1">IF(B421="Oloitoktok A",IF(D421&lt;15000,LOOKUP(RAND(),{0,0.45,0.75,0.92},{"River","Rainwater","Borehole","Vendor"}),IF(D421&lt;30000,LOOKUP(RAND(),{0,0.35,0.65,0.85},{"River","Rainwater","Borehole","Vendor"}),LOOKUP(RAND(),{0,0.25,0.5,0.75},{"River","Rainwater","Borehole","Vendor"}))),IF(B421="Oloitoktok B",IF(D421&lt;15000,LOOKUP(RAND(),{0,0.5,0.78,0.94},{"River","Rainwater","Borehole","Vendor"}),IF(D421&lt;30000,LOOKUP(RAND(),{0,0.4,0.68,0.87},{"River","Rainwater","Borehole","Vendor"}),LOOKUP(RAND(),{0,0.28,0.55,0.78},{"River","Rainwater","Borehole","Vendor"}))),IF(B421="Kiserian",IF(D421&lt;15000,LOOKUP(RAND(),{0,0.35,0.65,0.9},{"River","Rainwater","Borehole","Vendor"}),IF(D421&lt;30000,LOOKUP(RAND(),{0,0.25,0.55,0.82},{"River","Rainwater","Borehole","Vendor"}),LOOKUP(RAND(),{0,0.15,0.45,0.72},{"River","Rainwater","Borehole","Vendor"}))),IF(D421&lt;15000,LOOKUP(RAND(),{0,0.4,0.7,0.92},{"River","Rainwater","Borehole","Vendor"}),IF(D421&lt;30000,LOOKUP(RAND(),{0,0.3,0.6,0.85},{"River","Rainwater","Borehole","Vendor"}),LOOKUP(RAND(),{0,0.2,0.5,0.75},{"River","Rainwater","Borehole","Vendor"}))))))</f>
        <v>River</v>
      </c>
      <c r="F421">
        <f t="shared" ca="1" si="37"/>
        <v>84</v>
      </c>
      <c r="G421">
        <f t="shared" ca="1" si="38"/>
        <v>1.8</v>
      </c>
      <c r="H421">
        <f t="shared" ca="1" si="39"/>
        <v>9300</v>
      </c>
      <c r="I421">
        <f t="shared" ca="1" si="40"/>
        <v>0.22391455889218947</v>
      </c>
      <c r="J421">
        <v>0</v>
      </c>
    </row>
    <row r="422" spans="1:10" x14ac:dyDescent="0.3">
      <c r="A422" t="str">
        <f t="shared" si="41"/>
        <v>HH421</v>
      </c>
      <c r="B422" t="str">
        <f ca="1">LOOKUP(RAND(),{0,0.28,0.55,0.78},{"Oloitoktok A","Oloitoktok B","Kiserian","Namanga"})</f>
        <v>Namanga</v>
      </c>
      <c r="C422">
        <f ca="1">LOOKUP(RAND(),{0,0.02,0.09,0.2,0.35,0.52,0.68,0.81,0.91,0.97},{1,2,3,4,5,6,7,8,9,10})</f>
        <v>1</v>
      </c>
      <c r="D422">
        <f t="shared" ca="1" si="36"/>
        <v>39900</v>
      </c>
      <c r="E422" t="str">
        <f ca="1">IF(B422="Oloitoktok A",IF(D422&lt;15000,LOOKUP(RAND(),{0,0.45,0.75,0.92},{"River","Rainwater","Borehole","Vendor"}),IF(D422&lt;30000,LOOKUP(RAND(),{0,0.35,0.65,0.85},{"River","Rainwater","Borehole","Vendor"}),LOOKUP(RAND(),{0,0.25,0.5,0.75},{"River","Rainwater","Borehole","Vendor"}))),IF(B422="Oloitoktok B",IF(D422&lt;15000,LOOKUP(RAND(),{0,0.5,0.78,0.94},{"River","Rainwater","Borehole","Vendor"}),IF(D422&lt;30000,LOOKUP(RAND(),{0,0.4,0.68,0.87},{"River","Rainwater","Borehole","Vendor"}),LOOKUP(RAND(),{0,0.28,0.55,0.78},{"River","Rainwater","Borehole","Vendor"}))),IF(B422="Kiserian",IF(D422&lt;15000,LOOKUP(RAND(),{0,0.35,0.65,0.9},{"River","Rainwater","Borehole","Vendor"}),IF(D422&lt;30000,LOOKUP(RAND(),{0,0.25,0.55,0.82},{"River","Rainwater","Borehole","Vendor"}),LOOKUP(RAND(),{0,0.15,0.45,0.72},{"River","Rainwater","Borehole","Vendor"}))),IF(D422&lt;15000,LOOKUP(RAND(),{0,0.4,0.7,0.92},{"River","Rainwater","Borehole","Vendor"}),IF(D422&lt;30000,LOOKUP(RAND(),{0,0.3,0.6,0.85},{"River","Rainwater","Borehole","Vendor"}),LOOKUP(RAND(),{0,0.2,0.5,0.75},{"River","Rainwater","Borehole","Vendor"}))))))</f>
        <v>Rainwater</v>
      </c>
      <c r="F422">
        <f t="shared" ca="1" si="37"/>
        <v>40</v>
      </c>
      <c r="G422">
        <f t="shared" ca="1" si="38"/>
        <v>1.4</v>
      </c>
      <c r="H422">
        <f t="shared" ca="1" si="39"/>
        <v>0</v>
      </c>
      <c r="I422">
        <f t="shared" ca="1" si="40"/>
        <v>9.004870016581934E-2</v>
      </c>
      <c r="J422">
        <v>0</v>
      </c>
    </row>
    <row r="423" spans="1:10" x14ac:dyDescent="0.3">
      <c r="A423" t="str">
        <f t="shared" si="41"/>
        <v>HH422</v>
      </c>
      <c r="B423" t="str">
        <f ca="1">LOOKUP(RAND(),{0,0.28,0.55,0.78},{"Oloitoktok A","Oloitoktok B","Kiserian","Namanga"})</f>
        <v>Oloitoktok B</v>
      </c>
      <c r="C423">
        <f ca="1">LOOKUP(RAND(),{0,0.02,0.09,0.2,0.35,0.52,0.68,0.81,0.91,0.97},{1,2,3,4,5,6,7,8,9,10})</f>
        <v>10</v>
      </c>
      <c r="D423">
        <f t="shared" ca="1" si="36"/>
        <v>42400</v>
      </c>
      <c r="E423" t="str">
        <f ca="1">IF(B423="Oloitoktok A",IF(D423&lt;15000,LOOKUP(RAND(),{0,0.45,0.75,0.92},{"River","Rainwater","Borehole","Vendor"}),IF(D423&lt;30000,LOOKUP(RAND(),{0,0.35,0.65,0.85},{"River","Rainwater","Borehole","Vendor"}),LOOKUP(RAND(),{0,0.25,0.5,0.75},{"River","Rainwater","Borehole","Vendor"}))),IF(B423="Oloitoktok B",IF(D423&lt;15000,LOOKUP(RAND(),{0,0.5,0.78,0.94},{"River","Rainwater","Borehole","Vendor"}),IF(D423&lt;30000,LOOKUP(RAND(),{0,0.4,0.68,0.87},{"River","Rainwater","Borehole","Vendor"}),LOOKUP(RAND(),{0,0.28,0.55,0.78},{"River","Rainwater","Borehole","Vendor"}))),IF(B423="Kiserian",IF(D423&lt;15000,LOOKUP(RAND(),{0,0.35,0.65,0.9},{"River","Rainwater","Borehole","Vendor"}),IF(D423&lt;30000,LOOKUP(RAND(),{0,0.25,0.55,0.82},{"River","Rainwater","Borehole","Vendor"}),LOOKUP(RAND(),{0,0.15,0.45,0.72},{"River","Rainwater","Borehole","Vendor"}))),IF(D423&lt;15000,LOOKUP(RAND(),{0,0.4,0.7,0.92},{"River","Rainwater","Borehole","Vendor"}),IF(D423&lt;30000,LOOKUP(RAND(),{0,0.3,0.6,0.85},{"River","Rainwater","Borehole","Vendor"}),LOOKUP(RAND(),{0,0.2,0.5,0.75},{"River","Rainwater","Borehole","Vendor"}))))))</f>
        <v>River</v>
      </c>
      <c r="F423">
        <f t="shared" ca="1" si="37"/>
        <v>116</v>
      </c>
      <c r="G423">
        <f t="shared" ca="1" si="38"/>
        <v>10.199999999999999</v>
      </c>
      <c r="H423">
        <f t="shared" ca="1" si="39"/>
        <v>7600</v>
      </c>
      <c r="I423">
        <f t="shared" ca="1" si="40"/>
        <v>0.50529826785948007</v>
      </c>
      <c r="J423">
        <v>0</v>
      </c>
    </row>
    <row r="424" spans="1:10" x14ac:dyDescent="0.3">
      <c r="A424" t="str">
        <f t="shared" si="41"/>
        <v>HH423</v>
      </c>
      <c r="B424" t="str">
        <f ca="1">LOOKUP(RAND(),{0,0.28,0.55,0.78},{"Oloitoktok A","Oloitoktok B","Kiserian","Namanga"})</f>
        <v>Oloitoktok B</v>
      </c>
      <c r="C424">
        <f ca="1">LOOKUP(RAND(),{0,0.02,0.09,0.2,0.35,0.52,0.68,0.81,0.91,0.97},{1,2,3,4,5,6,7,8,9,10})</f>
        <v>4</v>
      </c>
      <c r="D424">
        <f t="shared" ca="1" si="36"/>
        <v>64300</v>
      </c>
      <c r="E424" t="str">
        <f ca="1">IF(B424="Oloitoktok A",IF(D424&lt;15000,LOOKUP(RAND(),{0,0.45,0.75,0.92},{"River","Rainwater","Borehole","Vendor"}),IF(D424&lt;30000,LOOKUP(RAND(),{0,0.35,0.65,0.85},{"River","Rainwater","Borehole","Vendor"}),LOOKUP(RAND(),{0,0.25,0.5,0.75},{"River","Rainwater","Borehole","Vendor"}))),IF(B424="Oloitoktok B",IF(D424&lt;15000,LOOKUP(RAND(),{0,0.5,0.78,0.94},{"River","Rainwater","Borehole","Vendor"}),IF(D424&lt;30000,LOOKUP(RAND(),{0,0.4,0.68,0.87},{"River","Rainwater","Borehole","Vendor"}),LOOKUP(RAND(),{0,0.28,0.55,0.78},{"River","Rainwater","Borehole","Vendor"}))),IF(B424="Kiserian",IF(D424&lt;15000,LOOKUP(RAND(),{0,0.35,0.65,0.9},{"River","Rainwater","Borehole","Vendor"}),IF(D424&lt;30000,LOOKUP(RAND(),{0,0.25,0.55,0.82},{"River","Rainwater","Borehole","Vendor"}),LOOKUP(RAND(),{0,0.15,0.45,0.72},{"River","Rainwater","Borehole","Vendor"}))),IF(D424&lt;15000,LOOKUP(RAND(),{0,0.4,0.7,0.92},{"River","Rainwater","Borehole","Vendor"}),IF(D424&lt;30000,LOOKUP(RAND(),{0,0.3,0.6,0.85},{"River","Rainwater","Borehole","Vendor"}),LOOKUP(RAND(),{0,0.2,0.5,0.75},{"River","Rainwater","Borehole","Vendor"}))))))</f>
        <v>Borehole</v>
      </c>
      <c r="F424">
        <f t="shared" ca="1" si="37"/>
        <v>38</v>
      </c>
      <c r="G424">
        <f t="shared" ca="1" si="38"/>
        <v>10.9</v>
      </c>
      <c r="H424">
        <f t="shared" ca="1" si="39"/>
        <v>0</v>
      </c>
      <c r="I424">
        <f t="shared" ca="1" si="40"/>
        <v>0.14815714318355078</v>
      </c>
      <c r="J424">
        <v>0</v>
      </c>
    </row>
    <row r="425" spans="1:10" x14ac:dyDescent="0.3">
      <c r="A425" t="str">
        <f t="shared" si="41"/>
        <v>HH424</v>
      </c>
      <c r="B425" t="str">
        <f ca="1">LOOKUP(RAND(),{0,0.28,0.55,0.78},{"Oloitoktok A","Oloitoktok B","Kiserian","Namanga"})</f>
        <v>Kiserian</v>
      </c>
      <c r="C425">
        <f ca="1">LOOKUP(RAND(),{0,0.02,0.09,0.2,0.35,0.52,0.68,0.81,0.91,0.97},{1,2,3,4,5,6,7,8,9,10})</f>
        <v>5</v>
      </c>
      <c r="D425">
        <f t="shared" ca="1" si="36"/>
        <v>93900</v>
      </c>
      <c r="E425" t="str">
        <f ca="1">IF(B425="Oloitoktok A",IF(D425&lt;15000,LOOKUP(RAND(),{0,0.45,0.75,0.92},{"River","Rainwater","Borehole","Vendor"}),IF(D425&lt;30000,LOOKUP(RAND(),{0,0.35,0.65,0.85},{"River","Rainwater","Borehole","Vendor"}),LOOKUP(RAND(),{0,0.25,0.5,0.75},{"River","Rainwater","Borehole","Vendor"}))),IF(B425="Oloitoktok B",IF(D425&lt;15000,LOOKUP(RAND(),{0,0.5,0.78,0.94},{"River","Rainwater","Borehole","Vendor"}),IF(D425&lt;30000,LOOKUP(RAND(),{0,0.4,0.68,0.87},{"River","Rainwater","Borehole","Vendor"}),LOOKUP(RAND(),{0,0.28,0.55,0.78},{"River","Rainwater","Borehole","Vendor"}))),IF(B425="Kiserian",IF(D425&lt;15000,LOOKUP(RAND(),{0,0.35,0.65,0.9},{"River","Rainwater","Borehole","Vendor"}),IF(D425&lt;30000,LOOKUP(RAND(),{0,0.25,0.55,0.82},{"River","Rainwater","Borehole","Vendor"}),LOOKUP(RAND(),{0,0.15,0.45,0.72},{"River","Rainwater","Borehole","Vendor"}))),IF(D425&lt;15000,LOOKUP(RAND(),{0,0.4,0.7,0.92},{"River","Rainwater","Borehole","Vendor"}),IF(D425&lt;30000,LOOKUP(RAND(),{0,0.3,0.6,0.85},{"River","Rainwater","Borehole","Vendor"}),LOOKUP(RAND(),{0,0.2,0.5,0.75},{"River","Rainwater","Borehole","Vendor"}))))))</f>
        <v>Rainwater</v>
      </c>
      <c r="F425">
        <f t="shared" ca="1" si="37"/>
        <v>50</v>
      </c>
      <c r="G425">
        <f t="shared" ca="1" si="38"/>
        <v>4.7</v>
      </c>
      <c r="H425">
        <f t="shared" ca="1" si="39"/>
        <v>8900</v>
      </c>
      <c r="I425">
        <f t="shared" ca="1" si="40"/>
        <v>0.31176740688480353</v>
      </c>
      <c r="J425">
        <v>0</v>
      </c>
    </row>
    <row r="426" spans="1:10" x14ac:dyDescent="0.3">
      <c r="A426" t="str">
        <f t="shared" si="41"/>
        <v>HH425</v>
      </c>
      <c r="B426" t="str">
        <f ca="1">LOOKUP(RAND(),{0,0.28,0.55,0.78},{"Oloitoktok A","Oloitoktok B","Kiserian","Namanga"})</f>
        <v>Namanga</v>
      </c>
      <c r="C426">
        <f ca="1">LOOKUP(RAND(),{0,0.02,0.09,0.2,0.35,0.52,0.68,0.81,0.91,0.97},{1,2,3,4,5,6,7,8,9,10})</f>
        <v>4</v>
      </c>
      <c r="D426">
        <f t="shared" ca="1" si="36"/>
        <v>57000</v>
      </c>
      <c r="E426" t="str">
        <f ca="1">IF(B426="Oloitoktok A",IF(D426&lt;15000,LOOKUP(RAND(),{0,0.45,0.75,0.92},{"River","Rainwater","Borehole","Vendor"}),IF(D426&lt;30000,LOOKUP(RAND(),{0,0.35,0.65,0.85},{"River","Rainwater","Borehole","Vendor"}),LOOKUP(RAND(),{0,0.25,0.5,0.75},{"River","Rainwater","Borehole","Vendor"}))),IF(B426="Oloitoktok B",IF(D426&lt;15000,LOOKUP(RAND(),{0,0.5,0.78,0.94},{"River","Rainwater","Borehole","Vendor"}),IF(D426&lt;30000,LOOKUP(RAND(),{0,0.4,0.68,0.87},{"River","Rainwater","Borehole","Vendor"}),LOOKUP(RAND(),{0,0.28,0.55,0.78},{"River","Rainwater","Borehole","Vendor"}))),IF(B426="Kiserian",IF(D426&lt;15000,LOOKUP(RAND(),{0,0.35,0.65,0.9},{"River","Rainwater","Borehole","Vendor"}),IF(D426&lt;30000,LOOKUP(RAND(),{0,0.25,0.55,0.82},{"River","Rainwater","Borehole","Vendor"}),LOOKUP(RAND(),{0,0.15,0.45,0.72},{"River","Rainwater","Borehole","Vendor"}))),IF(D426&lt;15000,LOOKUP(RAND(),{0,0.4,0.7,0.92},{"River","Rainwater","Borehole","Vendor"}),IF(D426&lt;30000,LOOKUP(RAND(),{0,0.3,0.6,0.85},{"River","Rainwater","Borehole","Vendor"}),LOOKUP(RAND(),{0,0.2,0.5,0.75},{"River","Rainwater","Borehole","Vendor"}))))))</f>
        <v>Rainwater</v>
      </c>
      <c r="F426">
        <f t="shared" ca="1" si="37"/>
        <v>62</v>
      </c>
      <c r="G426">
        <f t="shared" ca="1" si="38"/>
        <v>4.5999999999999996</v>
      </c>
      <c r="H426">
        <f t="shared" ca="1" si="39"/>
        <v>0</v>
      </c>
      <c r="I426">
        <f t="shared" ca="1" si="40"/>
        <v>0.79646152429432093</v>
      </c>
      <c r="J426">
        <v>0</v>
      </c>
    </row>
    <row r="427" spans="1:10" x14ac:dyDescent="0.3">
      <c r="A427" t="str">
        <f t="shared" si="41"/>
        <v>HH426</v>
      </c>
      <c r="B427" t="str">
        <f ca="1">LOOKUP(RAND(),{0,0.28,0.55,0.78},{"Oloitoktok A","Oloitoktok B","Kiserian","Namanga"})</f>
        <v>Oloitoktok B</v>
      </c>
      <c r="C427">
        <f ca="1">LOOKUP(RAND(),{0,0.02,0.09,0.2,0.35,0.52,0.68,0.81,0.91,0.97},{1,2,3,4,5,6,7,8,9,10})</f>
        <v>4</v>
      </c>
      <c r="D427">
        <f t="shared" ca="1" si="36"/>
        <v>14900</v>
      </c>
      <c r="E427" t="str">
        <f ca="1">IF(B427="Oloitoktok A",IF(D427&lt;15000,LOOKUP(RAND(),{0,0.45,0.75,0.92},{"River","Rainwater","Borehole","Vendor"}),IF(D427&lt;30000,LOOKUP(RAND(),{0,0.35,0.65,0.85},{"River","Rainwater","Borehole","Vendor"}),LOOKUP(RAND(),{0,0.25,0.5,0.75},{"River","Rainwater","Borehole","Vendor"}))),IF(B427="Oloitoktok B",IF(D427&lt;15000,LOOKUP(RAND(),{0,0.5,0.78,0.94},{"River","Rainwater","Borehole","Vendor"}),IF(D427&lt;30000,LOOKUP(RAND(),{0,0.4,0.68,0.87},{"River","Rainwater","Borehole","Vendor"}),LOOKUP(RAND(),{0,0.28,0.55,0.78},{"River","Rainwater","Borehole","Vendor"}))),IF(B427="Kiserian",IF(D427&lt;15000,LOOKUP(RAND(),{0,0.35,0.65,0.9},{"River","Rainwater","Borehole","Vendor"}),IF(D427&lt;30000,LOOKUP(RAND(),{0,0.25,0.55,0.82},{"River","Rainwater","Borehole","Vendor"}),LOOKUP(RAND(),{0,0.15,0.45,0.72},{"River","Rainwater","Borehole","Vendor"}))),IF(D427&lt;15000,LOOKUP(RAND(),{0,0.4,0.7,0.92},{"River","Rainwater","Borehole","Vendor"}),IF(D427&lt;30000,LOOKUP(RAND(),{0,0.3,0.6,0.85},{"River","Rainwater","Borehole","Vendor"}),LOOKUP(RAND(),{0,0.2,0.5,0.75},{"River","Rainwater","Borehole","Vendor"}))))))</f>
        <v>River</v>
      </c>
      <c r="F427">
        <f t="shared" ca="1" si="37"/>
        <v>84</v>
      </c>
      <c r="G427">
        <f t="shared" ca="1" si="38"/>
        <v>6.2</v>
      </c>
      <c r="H427">
        <f t="shared" ca="1" si="39"/>
        <v>2600</v>
      </c>
      <c r="I427">
        <f t="shared" ca="1" si="40"/>
        <v>0.11216738269680437</v>
      </c>
      <c r="J427">
        <v>0</v>
      </c>
    </row>
    <row r="428" spans="1:10" x14ac:dyDescent="0.3">
      <c r="A428" t="str">
        <f t="shared" si="41"/>
        <v>HH427</v>
      </c>
      <c r="B428" t="str">
        <f ca="1">LOOKUP(RAND(),{0,0.28,0.55,0.78},{"Oloitoktok A","Oloitoktok B","Kiserian","Namanga"})</f>
        <v>Namanga</v>
      </c>
      <c r="C428">
        <f ca="1">LOOKUP(RAND(),{0,0.02,0.09,0.2,0.35,0.52,0.68,0.81,0.91,0.97},{1,2,3,4,5,6,7,8,9,10})</f>
        <v>4</v>
      </c>
      <c r="D428">
        <f t="shared" ca="1" si="36"/>
        <v>59300</v>
      </c>
      <c r="E428" t="str">
        <f ca="1">IF(B428="Oloitoktok A",IF(D428&lt;15000,LOOKUP(RAND(),{0,0.45,0.75,0.92},{"River","Rainwater","Borehole","Vendor"}),IF(D428&lt;30000,LOOKUP(RAND(),{0,0.35,0.65,0.85},{"River","Rainwater","Borehole","Vendor"}),LOOKUP(RAND(),{0,0.25,0.5,0.75},{"River","Rainwater","Borehole","Vendor"}))),IF(B428="Oloitoktok B",IF(D428&lt;15000,LOOKUP(RAND(),{0,0.5,0.78,0.94},{"River","Rainwater","Borehole","Vendor"}),IF(D428&lt;30000,LOOKUP(RAND(),{0,0.4,0.68,0.87},{"River","Rainwater","Borehole","Vendor"}),LOOKUP(RAND(),{0,0.28,0.55,0.78},{"River","Rainwater","Borehole","Vendor"}))),IF(B428="Kiserian",IF(D428&lt;15000,LOOKUP(RAND(),{0,0.35,0.65,0.9},{"River","Rainwater","Borehole","Vendor"}),IF(D428&lt;30000,LOOKUP(RAND(),{0,0.25,0.55,0.82},{"River","Rainwater","Borehole","Vendor"}),LOOKUP(RAND(),{0,0.15,0.45,0.72},{"River","Rainwater","Borehole","Vendor"}))),IF(D428&lt;15000,LOOKUP(RAND(),{0,0.4,0.7,0.92},{"River","Rainwater","Borehole","Vendor"}),IF(D428&lt;30000,LOOKUP(RAND(),{0,0.3,0.6,0.85},{"River","Rainwater","Borehole","Vendor"}),LOOKUP(RAND(),{0,0.2,0.5,0.75},{"River","Rainwater","Borehole","Vendor"}))))))</f>
        <v>Borehole</v>
      </c>
      <c r="F428">
        <f t="shared" ca="1" si="37"/>
        <v>22</v>
      </c>
      <c r="G428">
        <f t="shared" ca="1" si="38"/>
        <v>5</v>
      </c>
      <c r="H428">
        <f t="shared" ca="1" si="39"/>
        <v>5400</v>
      </c>
      <c r="I428">
        <f t="shared" ca="1" si="40"/>
        <v>0.49443245906912547</v>
      </c>
      <c r="J428">
        <v>0</v>
      </c>
    </row>
    <row r="429" spans="1:10" x14ac:dyDescent="0.3">
      <c r="A429" t="str">
        <f t="shared" si="41"/>
        <v>HH428</v>
      </c>
      <c r="B429" t="str">
        <f ca="1">LOOKUP(RAND(),{0,0.28,0.55,0.78},{"Oloitoktok A","Oloitoktok B","Kiserian","Namanga"})</f>
        <v>Kiserian</v>
      </c>
      <c r="C429">
        <f ca="1">LOOKUP(RAND(),{0,0.02,0.09,0.2,0.35,0.52,0.68,0.81,0.91,0.97},{1,2,3,4,5,6,7,8,9,10})</f>
        <v>3</v>
      </c>
      <c r="D429">
        <f t="shared" ca="1" si="36"/>
        <v>32600</v>
      </c>
      <c r="E429" t="str">
        <f ca="1">IF(B429="Oloitoktok A",IF(D429&lt;15000,LOOKUP(RAND(),{0,0.45,0.75,0.92},{"River","Rainwater","Borehole","Vendor"}),IF(D429&lt;30000,LOOKUP(RAND(),{0,0.35,0.65,0.85},{"River","Rainwater","Borehole","Vendor"}),LOOKUP(RAND(),{0,0.25,0.5,0.75},{"River","Rainwater","Borehole","Vendor"}))),IF(B429="Oloitoktok B",IF(D429&lt;15000,LOOKUP(RAND(),{0,0.5,0.78,0.94},{"River","Rainwater","Borehole","Vendor"}),IF(D429&lt;30000,LOOKUP(RAND(),{0,0.4,0.68,0.87},{"River","Rainwater","Borehole","Vendor"}),LOOKUP(RAND(),{0,0.28,0.55,0.78},{"River","Rainwater","Borehole","Vendor"}))),IF(B429="Kiserian",IF(D429&lt;15000,LOOKUP(RAND(),{0,0.35,0.65,0.9},{"River","Rainwater","Borehole","Vendor"}),IF(D429&lt;30000,LOOKUP(RAND(),{0,0.25,0.55,0.82},{"River","Rainwater","Borehole","Vendor"}),LOOKUP(RAND(),{0,0.15,0.45,0.72},{"River","Rainwater","Borehole","Vendor"}))),IF(D429&lt;15000,LOOKUP(RAND(),{0,0.4,0.7,0.92},{"River","Rainwater","Borehole","Vendor"}),IF(D429&lt;30000,LOOKUP(RAND(),{0,0.3,0.6,0.85},{"River","Rainwater","Borehole","Vendor"}),LOOKUP(RAND(),{0,0.2,0.5,0.75},{"River","Rainwater","Borehole","Vendor"}))))))</f>
        <v>Borehole</v>
      </c>
      <c r="F429">
        <f t="shared" ca="1" si="37"/>
        <v>64</v>
      </c>
      <c r="G429">
        <f t="shared" ca="1" si="38"/>
        <v>1.3</v>
      </c>
      <c r="H429">
        <f t="shared" ca="1" si="39"/>
        <v>2000</v>
      </c>
      <c r="I429">
        <f t="shared" ca="1" si="40"/>
        <v>0.20934314974733625</v>
      </c>
      <c r="J429">
        <v>0</v>
      </c>
    </row>
    <row r="430" spans="1:10" x14ac:dyDescent="0.3">
      <c r="A430" t="str">
        <f t="shared" si="41"/>
        <v>HH429</v>
      </c>
      <c r="B430" t="str">
        <f ca="1">LOOKUP(RAND(),{0,0.28,0.55,0.78},{"Oloitoktok A","Oloitoktok B","Kiserian","Namanga"})</f>
        <v>Namanga</v>
      </c>
      <c r="C430">
        <f ca="1">LOOKUP(RAND(),{0,0.02,0.09,0.2,0.35,0.52,0.68,0.81,0.91,0.97},{1,2,3,4,5,6,7,8,9,10})</f>
        <v>7</v>
      </c>
      <c r="D430">
        <f t="shared" ca="1" si="36"/>
        <v>32700</v>
      </c>
      <c r="E430" t="str">
        <f ca="1">IF(B430="Oloitoktok A",IF(D430&lt;15000,LOOKUP(RAND(),{0,0.45,0.75,0.92},{"River","Rainwater","Borehole","Vendor"}),IF(D430&lt;30000,LOOKUP(RAND(),{0,0.35,0.65,0.85},{"River","Rainwater","Borehole","Vendor"}),LOOKUP(RAND(),{0,0.25,0.5,0.75},{"River","Rainwater","Borehole","Vendor"}))),IF(B430="Oloitoktok B",IF(D430&lt;15000,LOOKUP(RAND(),{0,0.5,0.78,0.94},{"River","Rainwater","Borehole","Vendor"}),IF(D430&lt;30000,LOOKUP(RAND(),{0,0.4,0.68,0.87},{"River","Rainwater","Borehole","Vendor"}),LOOKUP(RAND(),{0,0.28,0.55,0.78},{"River","Rainwater","Borehole","Vendor"}))),IF(B430="Kiserian",IF(D430&lt;15000,LOOKUP(RAND(),{0,0.35,0.65,0.9},{"River","Rainwater","Borehole","Vendor"}),IF(D430&lt;30000,LOOKUP(RAND(),{0,0.25,0.55,0.82},{"River","Rainwater","Borehole","Vendor"}),LOOKUP(RAND(),{0,0.15,0.45,0.72},{"River","Rainwater","Borehole","Vendor"}))),IF(D430&lt;15000,LOOKUP(RAND(),{0,0.4,0.7,0.92},{"River","Rainwater","Borehole","Vendor"}),IF(D430&lt;30000,LOOKUP(RAND(),{0,0.3,0.6,0.85},{"River","Rainwater","Borehole","Vendor"}),LOOKUP(RAND(),{0,0.2,0.5,0.75},{"River","Rainwater","Borehole","Vendor"}))))))</f>
        <v>Rainwater</v>
      </c>
      <c r="F430">
        <f t="shared" ca="1" si="37"/>
        <v>35</v>
      </c>
      <c r="G430">
        <f t="shared" ca="1" si="38"/>
        <v>6.4</v>
      </c>
      <c r="H430">
        <f t="shared" ca="1" si="39"/>
        <v>3300</v>
      </c>
      <c r="I430">
        <f t="shared" ca="1" si="40"/>
        <v>0.45570263323399773</v>
      </c>
      <c r="J430">
        <v>0</v>
      </c>
    </row>
    <row r="431" spans="1:10" x14ac:dyDescent="0.3">
      <c r="A431" t="str">
        <f t="shared" si="41"/>
        <v>HH430</v>
      </c>
      <c r="B431" t="str">
        <f ca="1">LOOKUP(RAND(),{0,0.28,0.55,0.78},{"Oloitoktok A","Oloitoktok B","Kiserian","Namanga"})</f>
        <v>Oloitoktok A</v>
      </c>
      <c r="C431">
        <f ca="1">LOOKUP(RAND(),{0,0.02,0.09,0.2,0.35,0.52,0.68,0.81,0.91,0.97},{1,2,3,4,5,6,7,8,9,10})</f>
        <v>6</v>
      </c>
      <c r="D431">
        <f t="shared" ca="1" si="36"/>
        <v>28400</v>
      </c>
      <c r="E431" t="str">
        <f ca="1">IF(B431="Oloitoktok A",IF(D431&lt;15000,LOOKUP(RAND(),{0,0.45,0.75,0.92},{"River","Rainwater","Borehole","Vendor"}),IF(D431&lt;30000,LOOKUP(RAND(),{0,0.35,0.65,0.85},{"River","Rainwater","Borehole","Vendor"}),LOOKUP(RAND(),{0,0.25,0.5,0.75},{"River","Rainwater","Borehole","Vendor"}))),IF(B431="Oloitoktok B",IF(D431&lt;15000,LOOKUP(RAND(),{0,0.5,0.78,0.94},{"River","Rainwater","Borehole","Vendor"}),IF(D431&lt;30000,LOOKUP(RAND(),{0,0.4,0.68,0.87},{"River","Rainwater","Borehole","Vendor"}),LOOKUP(RAND(),{0,0.28,0.55,0.78},{"River","Rainwater","Borehole","Vendor"}))),IF(B431="Kiserian",IF(D431&lt;15000,LOOKUP(RAND(),{0,0.35,0.65,0.9},{"River","Rainwater","Borehole","Vendor"}),IF(D431&lt;30000,LOOKUP(RAND(),{0,0.25,0.55,0.82},{"River","Rainwater","Borehole","Vendor"}),LOOKUP(RAND(),{0,0.15,0.45,0.72},{"River","Rainwater","Borehole","Vendor"}))),IF(D431&lt;15000,LOOKUP(RAND(),{0,0.4,0.7,0.92},{"River","Rainwater","Borehole","Vendor"}),IF(D431&lt;30000,LOOKUP(RAND(),{0,0.3,0.6,0.85},{"River","Rainwater","Borehole","Vendor"}),LOOKUP(RAND(),{0,0.2,0.5,0.75},{"River","Rainwater","Borehole","Vendor"}))))))</f>
        <v>Vendor</v>
      </c>
      <c r="F431">
        <f t="shared" ca="1" si="37"/>
        <v>31</v>
      </c>
      <c r="G431">
        <f t="shared" ca="1" si="38"/>
        <v>1.9</v>
      </c>
      <c r="H431">
        <f t="shared" ca="1" si="39"/>
        <v>7300</v>
      </c>
      <c r="I431">
        <f t="shared" ca="1" si="40"/>
        <v>0.5486774305633032</v>
      </c>
      <c r="J431">
        <v>0</v>
      </c>
    </row>
    <row r="432" spans="1:10" x14ac:dyDescent="0.3">
      <c r="A432" t="str">
        <f t="shared" si="41"/>
        <v>HH431</v>
      </c>
      <c r="B432" t="str">
        <f ca="1">LOOKUP(RAND(),{0,0.28,0.55,0.78},{"Oloitoktok A","Oloitoktok B","Kiserian","Namanga"})</f>
        <v>Kiserian</v>
      </c>
      <c r="C432">
        <f ca="1">LOOKUP(RAND(),{0,0.02,0.09,0.2,0.35,0.52,0.68,0.81,0.91,0.97},{1,2,3,4,5,6,7,8,9,10})</f>
        <v>7</v>
      </c>
      <c r="D432">
        <f t="shared" ca="1" si="36"/>
        <v>48800</v>
      </c>
      <c r="E432" t="str">
        <f ca="1">IF(B432="Oloitoktok A",IF(D432&lt;15000,LOOKUP(RAND(),{0,0.45,0.75,0.92},{"River","Rainwater","Borehole","Vendor"}),IF(D432&lt;30000,LOOKUP(RAND(),{0,0.35,0.65,0.85},{"River","Rainwater","Borehole","Vendor"}),LOOKUP(RAND(),{0,0.25,0.5,0.75},{"River","Rainwater","Borehole","Vendor"}))),IF(B432="Oloitoktok B",IF(D432&lt;15000,LOOKUP(RAND(),{0,0.5,0.78,0.94},{"River","Rainwater","Borehole","Vendor"}),IF(D432&lt;30000,LOOKUP(RAND(),{0,0.4,0.68,0.87},{"River","Rainwater","Borehole","Vendor"}),LOOKUP(RAND(),{0,0.28,0.55,0.78},{"River","Rainwater","Borehole","Vendor"}))),IF(B432="Kiserian",IF(D432&lt;15000,LOOKUP(RAND(),{0,0.35,0.65,0.9},{"River","Rainwater","Borehole","Vendor"}),IF(D432&lt;30000,LOOKUP(RAND(),{0,0.25,0.55,0.82},{"River","Rainwater","Borehole","Vendor"}),LOOKUP(RAND(),{0,0.15,0.45,0.72},{"River","Rainwater","Borehole","Vendor"}))),IF(D432&lt;15000,LOOKUP(RAND(),{0,0.4,0.7,0.92},{"River","Rainwater","Borehole","Vendor"}),IF(D432&lt;30000,LOOKUP(RAND(),{0,0.3,0.6,0.85},{"River","Rainwater","Borehole","Vendor"}),LOOKUP(RAND(),{0,0.2,0.5,0.75},{"River","Rainwater","Borehole","Vendor"}))))))</f>
        <v>Borehole</v>
      </c>
      <c r="F432">
        <f t="shared" ca="1" si="37"/>
        <v>64</v>
      </c>
      <c r="G432">
        <f t="shared" ca="1" si="38"/>
        <v>5.6</v>
      </c>
      <c r="H432">
        <f t="shared" ca="1" si="39"/>
        <v>1700</v>
      </c>
      <c r="I432">
        <f t="shared" ca="1" si="40"/>
        <v>0.69812742417912799</v>
      </c>
      <c r="J432">
        <v>0</v>
      </c>
    </row>
    <row r="433" spans="1:10" x14ac:dyDescent="0.3">
      <c r="A433" t="str">
        <f t="shared" si="41"/>
        <v>HH432</v>
      </c>
      <c r="B433" t="str">
        <f ca="1">LOOKUP(RAND(),{0,0.28,0.55,0.78},{"Oloitoktok A","Oloitoktok B","Kiserian","Namanga"})</f>
        <v>Kiserian</v>
      </c>
      <c r="C433">
        <f ca="1">LOOKUP(RAND(),{0,0.02,0.09,0.2,0.35,0.52,0.68,0.81,0.91,0.97},{1,2,3,4,5,6,7,8,9,10})</f>
        <v>9</v>
      </c>
      <c r="D433">
        <f t="shared" ca="1" si="36"/>
        <v>19100</v>
      </c>
      <c r="E433" t="str">
        <f ca="1">IF(B433="Oloitoktok A",IF(D433&lt;15000,LOOKUP(RAND(),{0,0.45,0.75,0.92},{"River","Rainwater","Borehole","Vendor"}),IF(D433&lt;30000,LOOKUP(RAND(),{0,0.35,0.65,0.85},{"River","Rainwater","Borehole","Vendor"}),LOOKUP(RAND(),{0,0.25,0.5,0.75},{"River","Rainwater","Borehole","Vendor"}))),IF(B433="Oloitoktok B",IF(D433&lt;15000,LOOKUP(RAND(),{0,0.5,0.78,0.94},{"River","Rainwater","Borehole","Vendor"}),IF(D433&lt;30000,LOOKUP(RAND(),{0,0.4,0.68,0.87},{"River","Rainwater","Borehole","Vendor"}),LOOKUP(RAND(),{0,0.28,0.55,0.78},{"River","Rainwater","Borehole","Vendor"}))),IF(B433="Kiserian",IF(D433&lt;15000,LOOKUP(RAND(),{0,0.35,0.65,0.9},{"River","Rainwater","Borehole","Vendor"}),IF(D433&lt;30000,LOOKUP(RAND(),{0,0.25,0.55,0.82},{"River","Rainwater","Borehole","Vendor"}),LOOKUP(RAND(),{0,0.15,0.45,0.72},{"River","Rainwater","Borehole","Vendor"}))),IF(D433&lt;15000,LOOKUP(RAND(),{0,0.4,0.7,0.92},{"River","Rainwater","Borehole","Vendor"}),IF(D433&lt;30000,LOOKUP(RAND(),{0,0.3,0.6,0.85},{"River","Rainwater","Borehole","Vendor"}),LOOKUP(RAND(),{0,0.2,0.5,0.75},{"River","Rainwater","Borehole","Vendor"}))))))</f>
        <v>Borehole</v>
      </c>
      <c r="F433">
        <f t="shared" ca="1" si="37"/>
        <v>33</v>
      </c>
      <c r="G433">
        <f t="shared" ca="1" si="38"/>
        <v>0.6</v>
      </c>
      <c r="H433">
        <f t="shared" ca="1" si="39"/>
        <v>12700</v>
      </c>
      <c r="I433">
        <f t="shared" ca="1" si="40"/>
        <v>0.79142133480364252</v>
      </c>
      <c r="J433">
        <v>0</v>
      </c>
    </row>
    <row r="434" spans="1:10" x14ac:dyDescent="0.3">
      <c r="A434" t="str">
        <f t="shared" si="41"/>
        <v>HH433</v>
      </c>
      <c r="B434" t="str">
        <f ca="1">LOOKUP(RAND(),{0,0.28,0.55,0.78},{"Oloitoktok A","Oloitoktok B","Kiserian","Namanga"})</f>
        <v>Oloitoktok B</v>
      </c>
      <c r="C434">
        <f ca="1">LOOKUP(RAND(),{0,0.02,0.09,0.2,0.35,0.52,0.68,0.81,0.91,0.97},{1,2,3,4,5,6,7,8,9,10})</f>
        <v>6</v>
      </c>
      <c r="D434">
        <f t="shared" ca="1" si="36"/>
        <v>27100</v>
      </c>
      <c r="E434" t="str">
        <f ca="1">IF(B434="Oloitoktok A",IF(D434&lt;15000,LOOKUP(RAND(),{0,0.45,0.75,0.92},{"River","Rainwater","Borehole","Vendor"}),IF(D434&lt;30000,LOOKUP(RAND(),{0,0.35,0.65,0.85},{"River","Rainwater","Borehole","Vendor"}),LOOKUP(RAND(),{0,0.25,0.5,0.75},{"River","Rainwater","Borehole","Vendor"}))),IF(B434="Oloitoktok B",IF(D434&lt;15000,LOOKUP(RAND(),{0,0.5,0.78,0.94},{"River","Rainwater","Borehole","Vendor"}),IF(D434&lt;30000,LOOKUP(RAND(),{0,0.4,0.68,0.87},{"River","Rainwater","Borehole","Vendor"}),LOOKUP(RAND(),{0,0.28,0.55,0.78},{"River","Rainwater","Borehole","Vendor"}))),IF(B434="Kiserian",IF(D434&lt;15000,LOOKUP(RAND(),{0,0.35,0.65,0.9},{"River","Rainwater","Borehole","Vendor"}),IF(D434&lt;30000,LOOKUP(RAND(),{0,0.25,0.55,0.82},{"River","Rainwater","Borehole","Vendor"}),LOOKUP(RAND(),{0,0.15,0.45,0.72},{"River","Rainwater","Borehole","Vendor"}))),IF(D434&lt;15000,LOOKUP(RAND(),{0,0.4,0.7,0.92},{"River","Rainwater","Borehole","Vendor"}),IF(D434&lt;30000,LOOKUP(RAND(),{0,0.3,0.6,0.85},{"River","Rainwater","Borehole","Vendor"}),LOOKUP(RAND(),{0,0.2,0.5,0.75},{"River","Rainwater","Borehole","Vendor"}))))))</f>
        <v>Borehole</v>
      </c>
      <c r="F434">
        <f t="shared" ca="1" si="37"/>
        <v>66</v>
      </c>
      <c r="G434">
        <f t="shared" ca="1" si="38"/>
        <v>4.5999999999999996</v>
      </c>
      <c r="H434">
        <f t="shared" ca="1" si="39"/>
        <v>4500</v>
      </c>
      <c r="I434">
        <f t="shared" ca="1" si="40"/>
        <v>4.3053780718295132E-2</v>
      </c>
      <c r="J434">
        <v>0</v>
      </c>
    </row>
    <row r="435" spans="1:10" x14ac:dyDescent="0.3">
      <c r="A435" t="str">
        <f t="shared" si="41"/>
        <v>HH434</v>
      </c>
      <c r="B435" t="str">
        <f ca="1">LOOKUP(RAND(),{0,0.28,0.55,0.78},{"Oloitoktok A","Oloitoktok B","Kiserian","Namanga"})</f>
        <v>Oloitoktok A</v>
      </c>
      <c r="C435">
        <f ca="1">LOOKUP(RAND(),{0,0.02,0.09,0.2,0.35,0.52,0.68,0.81,0.91,0.97},{1,2,3,4,5,6,7,8,9,10})</f>
        <v>6</v>
      </c>
      <c r="D435">
        <f t="shared" ca="1" si="36"/>
        <v>28900</v>
      </c>
      <c r="E435" t="str">
        <f ca="1">IF(B435="Oloitoktok A",IF(D435&lt;15000,LOOKUP(RAND(),{0,0.45,0.75,0.92},{"River","Rainwater","Borehole","Vendor"}),IF(D435&lt;30000,LOOKUP(RAND(),{0,0.35,0.65,0.85},{"River","Rainwater","Borehole","Vendor"}),LOOKUP(RAND(),{0,0.25,0.5,0.75},{"River","Rainwater","Borehole","Vendor"}))),IF(B435="Oloitoktok B",IF(D435&lt;15000,LOOKUP(RAND(),{0,0.5,0.78,0.94},{"River","Rainwater","Borehole","Vendor"}),IF(D435&lt;30000,LOOKUP(RAND(),{0,0.4,0.68,0.87},{"River","Rainwater","Borehole","Vendor"}),LOOKUP(RAND(),{0,0.28,0.55,0.78},{"River","Rainwater","Borehole","Vendor"}))),IF(B435="Kiserian",IF(D435&lt;15000,LOOKUP(RAND(),{0,0.35,0.65,0.9},{"River","Rainwater","Borehole","Vendor"}),IF(D435&lt;30000,LOOKUP(RAND(),{0,0.25,0.55,0.82},{"River","Rainwater","Borehole","Vendor"}),LOOKUP(RAND(),{0,0.15,0.45,0.72},{"River","Rainwater","Borehole","Vendor"}))),IF(D435&lt;15000,LOOKUP(RAND(),{0,0.4,0.7,0.92},{"River","Rainwater","Borehole","Vendor"}),IF(D435&lt;30000,LOOKUP(RAND(),{0,0.3,0.6,0.85},{"River","Rainwater","Borehole","Vendor"}),LOOKUP(RAND(),{0,0.2,0.5,0.75},{"River","Rainwater","Borehole","Vendor"}))))))</f>
        <v>River</v>
      </c>
      <c r="F435">
        <f t="shared" ca="1" si="37"/>
        <v>80</v>
      </c>
      <c r="G435">
        <f t="shared" ca="1" si="38"/>
        <v>13.6</v>
      </c>
      <c r="H435">
        <f t="shared" ca="1" si="39"/>
        <v>9500</v>
      </c>
      <c r="I435">
        <f t="shared" ca="1" si="40"/>
        <v>0.99431213813897457</v>
      </c>
      <c r="J435">
        <v>0</v>
      </c>
    </row>
    <row r="436" spans="1:10" x14ac:dyDescent="0.3">
      <c r="A436" t="str">
        <f t="shared" si="41"/>
        <v>HH435</v>
      </c>
      <c r="B436" t="str">
        <f ca="1">LOOKUP(RAND(),{0,0.28,0.55,0.78},{"Oloitoktok A","Oloitoktok B","Kiserian","Namanga"})</f>
        <v>Oloitoktok A</v>
      </c>
      <c r="C436">
        <f ca="1">LOOKUP(RAND(),{0,0.02,0.09,0.2,0.35,0.52,0.68,0.81,0.91,0.97},{1,2,3,4,5,6,7,8,9,10})</f>
        <v>1</v>
      </c>
      <c r="D436">
        <f t="shared" ca="1" si="36"/>
        <v>29900</v>
      </c>
      <c r="E436" t="str">
        <f ca="1">IF(B436="Oloitoktok A",IF(D436&lt;15000,LOOKUP(RAND(),{0,0.45,0.75,0.92},{"River","Rainwater","Borehole","Vendor"}),IF(D436&lt;30000,LOOKUP(RAND(),{0,0.35,0.65,0.85},{"River","Rainwater","Borehole","Vendor"}),LOOKUP(RAND(),{0,0.25,0.5,0.75},{"River","Rainwater","Borehole","Vendor"}))),IF(B436="Oloitoktok B",IF(D436&lt;15000,LOOKUP(RAND(),{0,0.5,0.78,0.94},{"River","Rainwater","Borehole","Vendor"}),IF(D436&lt;30000,LOOKUP(RAND(),{0,0.4,0.68,0.87},{"River","Rainwater","Borehole","Vendor"}),LOOKUP(RAND(),{0,0.28,0.55,0.78},{"River","Rainwater","Borehole","Vendor"}))),IF(B436="Kiserian",IF(D436&lt;15000,LOOKUP(RAND(),{0,0.35,0.65,0.9},{"River","Rainwater","Borehole","Vendor"}),IF(D436&lt;30000,LOOKUP(RAND(),{0,0.25,0.55,0.82},{"River","Rainwater","Borehole","Vendor"}),LOOKUP(RAND(),{0,0.15,0.45,0.72},{"River","Rainwater","Borehole","Vendor"}))),IF(D436&lt;15000,LOOKUP(RAND(),{0,0.4,0.7,0.92},{"River","Rainwater","Borehole","Vendor"}),IF(D436&lt;30000,LOOKUP(RAND(),{0,0.3,0.6,0.85},{"River","Rainwater","Borehole","Vendor"}),LOOKUP(RAND(),{0,0.2,0.5,0.75},{"River","Rainwater","Borehole","Vendor"}))))))</f>
        <v>Vendor</v>
      </c>
      <c r="F436">
        <f t="shared" ca="1" si="37"/>
        <v>57</v>
      </c>
      <c r="G436">
        <f t="shared" ca="1" si="38"/>
        <v>3.1</v>
      </c>
      <c r="H436">
        <f t="shared" ca="1" si="39"/>
        <v>12100</v>
      </c>
      <c r="I436">
        <f t="shared" ca="1" si="40"/>
        <v>0.12554996498097959</v>
      </c>
      <c r="J436">
        <v>0</v>
      </c>
    </row>
    <row r="437" spans="1:10" x14ac:dyDescent="0.3">
      <c r="A437" t="str">
        <f t="shared" si="41"/>
        <v>HH436</v>
      </c>
      <c r="B437" t="str">
        <f ca="1">LOOKUP(RAND(),{0,0.28,0.55,0.78},{"Oloitoktok A","Oloitoktok B","Kiserian","Namanga"})</f>
        <v>Oloitoktok B</v>
      </c>
      <c r="C437">
        <f ca="1">LOOKUP(RAND(),{0,0.02,0.09,0.2,0.35,0.52,0.68,0.81,0.91,0.97},{1,2,3,4,5,6,7,8,9,10})</f>
        <v>6</v>
      </c>
      <c r="D437">
        <f t="shared" ca="1" si="36"/>
        <v>83900</v>
      </c>
      <c r="E437" t="str">
        <f ca="1">IF(B437="Oloitoktok A",IF(D437&lt;15000,LOOKUP(RAND(),{0,0.45,0.75,0.92},{"River","Rainwater","Borehole","Vendor"}),IF(D437&lt;30000,LOOKUP(RAND(),{0,0.35,0.65,0.85},{"River","Rainwater","Borehole","Vendor"}),LOOKUP(RAND(),{0,0.25,0.5,0.75},{"River","Rainwater","Borehole","Vendor"}))),IF(B437="Oloitoktok B",IF(D437&lt;15000,LOOKUP(RAND(),{0,0.5,0.78,0.94},{"River","Rainwater","Borehole","Vendor"}),IF(D437&lt;30000,LOOKUP(RAND(),{0,0.4,0.68,0.87},{"River","Rainwater","Borehole","Vendor"}),LOOKUP(RAND(),{0,0.28,0.55,0.78},{"River","Rainwater","Borehole","Vendor"}))),IF(B437="Kiserian",IF(D437&lt;15000,LOOKUP(RAND(),{0,0.35,0.65,0.9},{"River","Rainwater","Borehole","Vendor"}),IF(D437&lt;30000,LOOKUP(RAND(),{0,0.25,0.55,0.82},{"River","Rainwater","Borehole","Vendor"}),LOOKUP(RAND(),{0,0.15,0.45,0.72},{"River","Rainwater","Borehole","Vendor"}))),IF(D437&lt;15000,LOOKUP(RAND(),{0,0.4,0.7,0.92},{"River","Rainwater","Borehole","Vendor"}),IF(D437&lt;30000,LOOKUP(RAND(),{0,0.3,0.6,0.85},{"River","Rainwater","Borehole","Vendor"}),LOOKUP(RAND(),{0,0.2,0.5,0.75},{"River","Rainwater","Borehole","Vendor"}))))))</f>
        <v>Borehole</v>
      </c>
      <c r="F437">
        <f t="shared" ca="1" si="37"/>
        <v>64</v>
      </c>
      <c r="G437">
        <f t="shared" ca="1" si="38"/>
        <v>6.1</v>
      </c>
      <c r="H437">
        <f t="shared" ca="1" si="39"/>
        <v>3300</v>
      </c>
      <c r="I437">
        <f t="shared" ca="1" si="40"/>
        <v>0.40814339153169799</v>
      </c>
      <c r="J437">
        <v>0</v>
      </c>
    </row>
    <row r="438" spans="1:10" x14ac:dyDescent="0.3">
      <c r="A438" t="str">
        <f t="shared" si="41"/>
        <v>HH437</v>
      </c>
      <c r="B438" t="str">
        <f ca="1">LOOKUP(RAND(),{0,0.28,0.55,0.78},{"Oloitoktok A","Oloitoktok B","Kiserian","Namanga"})</f>
        <v>Namanga</v>
      </c>
      <c r="C438">
        <f ca="1">LOOKUP(RAND(),{0,0.02,0.09,0.2,0.35,0.52,0.68,0.81,0.91,0.97},{1,2,3,4,5,6,7,8,9,10})</f>
        <v>4</v>
      </c>
      <c r="D438">
        <f t="shared" ca="1" si="36"/>
        <v>42300</v>
      </c>
      <c r="E438" t="str">
        <f ca="1">IF(B438="Oloitoktok A",IF(D438&lt;15000,LOOKUP(RAND(),{0,0.45,0.75,0.92},{"River","Rainwater","Borehole","Vendor"}),IF(D438&lt;30000,LOOKUP(RAND(),{0,0.35,0.65,0.85},{"River","Rainwater","Borehole","Vendor"}),LOOKUP(RAND(),{0,0.25,0.5,0.75},{"River","Rainwater","Borehole","Vendor"}))),IF(B438="Oloitoktok B",IF(D438&lt;15000,LOOKUP(RAND(),{0,0.5,0.78,0.94},{"River","Rainwater","Borehole","Vendor"}),IF(D438&lt;30000,LOOKUP(RAND(),{0,0.4,0.68,0.87},{"River","Rainwater","Borehole","Vendor"}),LOOKUP(RAND(),{0,0.28,0.55,0.78},{"River","Rainwater","Borehole","Vendor"}))),IF(B438="Kiserian",IF(D438&lt;15000,LOOKUP(RAND(),{0,0.35,0.65,0.9},{"River","Rainwater","Borehole","Vendor"}),IF(D438&lt;30000,LOOKUP(RAND(),{0,0.25,0.55,0.82},{"River","Rainwater","Borehole","Vendor"}),LOOKUP(RAND(),{0,0.15,0.45,0.72},{"River","Rainwater","Borehole","Vendor"}))),IF(D438&lt;15000,LOOKUP(RAND(),{0,0.4,0.7,0.92},{"River","Rainwater","Borehole","Vendor"}),IF(D438&lt;30000,LOOKUP(RAND(),{0,0.3,0.6,0.85},{"River","Rainwater","Borehole","Vendor"}),LOOKUP(RAND(),{0,0.2,0.5,0.75},{"River","Rainwater","Borehole","Vendor"}))))))</f>
        <v>River</v>
      </c>
      <c r="F438">
        <f t="shared" ca="1" si="37"/>
        <v>117</v>
      </c>
      <c r="G438">
        <f t="shared" ca="1" si="38"/>
        <v>4</v>
      </c>
      <c r="H438">
        <f t="shared" ca="1" si="39"/>
        <v>7500</v>
      </c>
      <c r="I438">
        <f t="shared" ca="1" si="40"/>
        <v>0.29330335144680086</v>
      </c>
      <c r="J438">
        <v>0</v>
      </c>
    </row>
    <row r="439" spans="1:10" x14ac:dyDescent="0.3">
      <c r="A439" t="str">
        <f t="shared" si="41"/>
        <v>HH438</v>
      </c>
      <c r="B439" t="str">
        <f ca="1">LOOKUP(RAND(),{0,0.28,0.55,0.78},{"Oloitoktok A","Oloitoktok B","Kiserian","Namanga"})</f>
        <v>Oloitoktok B</v>
      </c>
      <c r="C439">
        <f ca="1">LOOKUP(RAND(),{0,0.02,0.09,0.2,0.35,0.52,0.68,0.81,0.91,0.97},{1,2,3,4,5,6,7,8,9,10})</f>
        <v>8</v>
      </c>
      <c r="D439">
        <f t="shared" ca="1" si="36"/>
        <v>43700</v>
      </c>
      <c r="E439" t="str">
        <f ca="1">IF(B439="Oloitoktok A",IF(D439&lt;15000,LOOKUP(RAND(),{0,0.45,0.75,0.92},{"River","Rainwater","Borehole","Vendor"}),IF(D439&lt;30000,LOOKUP(RAND(),{0,0.35,0.65,0.85},{"River","Rainwater","Borehole","Vendor"}),LOOKUP(RAND(),{0,0.25,0.5,0.75},{"River","Rainwater","Borehole","Vendor"}))),IF(B439="Oloitoktok B",IF(D439&lt;15000,LOOKUP(RAND(),{0,0.5,0.78,0.94},{"River","Rainwater","Borehole","Vendor"}),IF(D439&lt;30000,LOOKUP(RAND(),{0,0.4,0.68,0.87},{"River","Rainwater","Borehole","Vendor"}),LOOKUP(RAND(),{0,0.28,0.55,0.78},{"River","Rainwater","Borehole","Vendor"}))),IF(B439="Kiserian",IF(D439&lt;15000,LOOKUP(RAND(),{0,0.35,0.65,0.9},{"River","Rainwater","Borehole","Vendor"}),IF(D439&lt;30000,LOOKUP(RAND(),{0,0.25,0.55,0.82},{"River","Rainwater","Borehole","Vendor"}),LOOKUP(RAND(),{0,0.15,0.45,0.72},{"River","Rainwater","Borehole","Vendor"}))),IF(D439&lt;15000,LOOKUP(RAND(),{0,0.4,0.7,0.92},{"River","Rainwater","Borehole","Vendor"}),IF(D439&lt;30000,LOOKUP(RAND(),{0,0.3,0.6,0.85},{"River","Rainwater","Borehole","Vendor"}),LOOKUP(RAND(),{0,0.2,0.5,0.75},{"River","Rainwater","Borehole","Vendor"}))))))</f>
        <v>Rainwater</v>
      </c>
      <c r="F439">
        <f t="shared" ca="1" si="37"/>
        <v>46</v>
      </c>
      <c r="G439">
        <f t="shared" ca="1" si="38"/>
        <v>1.4</v>
      </c>
      <c r="H439">
        <f t="shared" ca="1" si="39"/>
        <v>11500</v>
      </c>
      <c r="I439">
        <f t="shared" ca="1" si="40"/>
        <v>0.25454507560244877</v>
      </c>
      <c r="J439">
        <v>0</v>
      </c>
    </row>
    <row r="440" spans="1:10" x14ac:dyDescent="0.3">
      <c r="A440" t="str">
        <f t="shared" si="41"/>
        <v>HH439</v>
      </c>
      <c r="B440" t="str">
        <f ca="1">LOOKUP(RAND(),{0,0.28,0.55,0.78},{"Oloitoktok A","Oloitoktok B","Kiserian","Namanga"})</f>
        <v>Kiserian</v>
      </c>
      <c r="C440">
        <f ca="1">LOOKUP(RAND(),{0,0.02,0.09,0.2,0.35,0.52,0.68,0.81,0.91,0.97},{1,2,3,4,5,6,7,8,9,10})</f>
        <v>3</v>
      </c>
      <c r="D440">
        <f t="shared" ca="1" si="36"/>
        <v>39200</v>
      </c>
      <c r="E440" t="str">
        <f ca="1">IF(B440="Oloitoktok A",IF(D440&lt;15000,LOOKUP(RAND(),{0,0.45,0.75,0.92},{"River","Rainwater","Borehole","Vendor"}),IF(D440&lt;30000,LOOKUP(RAND(),{0,0.35,0.65,0.85},{"River","Rainwater","Borehole","Vendor"}),LOOKUP(RAND(),{0,0.25,0.5,0.75},{"River","Rainwater","Borehole","Vendor"}))),IF(B440="Oloitoktok B",IF(D440&lt;15000,LOOKUP(RAND(),{0,0.5,0.78,0.94},{"River","Rainwater","Borehole","Vendor"}),IF(D440&lt;30000,LOOKUP(RAND(),{0,0.4,0.68,0.87},{"River","Rainwater","Borehole","Vendor"}),LOOKUP(RAND(),{0,0.28,0.55,0.78},{"River","Rainwater","Borehole","Vendor"}))),IF(B440="Kiserian",IF(D440&lt;15000,LOOKUP(RAND(),{0,0.35,0.65,0.9},{"River","Rainwater","Borehole","Vendor"}),IF(D440&lt;30000,LOOKUP(RAND(),{0,0.25,0.55,0.82},{"River","Rainwater","Borehole","Vendor"}),LOOKUP(RAND(),{0,0.15,0.45,0.72},{"River","Rainwater","Borehole","Vendor"}))),IF(D440&lt;15000,LOOKUP(RAND(),{0,0.4,0.7,0.92},{"River","Rainwater","Borehole","Vendor"}),IF(D440&lt;30000,LOOKUP(RAND(),{0,0.3,0.6,0.85},{"River","Rainwater","Borehole","Vendor"}),LOOKUP(RAND(),{0,0.2,0.5,0.75},{"River","Rainwater","Borehole","Vendor"}))))))</f>
        <v>Rainwater</v>
      </c>
      <c r="F440">
        <f t="shared" ca="1" si="37"/>
        <v>15</v>
      </c>
      <c r="G440">
        <f t="shared" ca="1" si="38"/>
        <v>0.9</v>
      </c>
      <c r="H440">
        <f t="shared" ca="1" si="39"/>
        <v>7500</v>
      </c>
      <c r="I440">
        <f t="shared" ca="1" si="40"/>
        <v>0.72309732383563496</v>
      </c>
      <c r="J440">
        <v>0</v>
      </c>
    </row>
    <row r="441" spans="1:10" x14ac:dyDescent="0.3">
      <c r="A441" t="str">
        <f t="shared" si="41"/>
        <v>HH440</v>
      </c>
      <c r="B441" t="str">
        <f ca="1">LOOKUP(RAND(),{0,0.28,0.55,0.78},{"Oloitoktok A","Oloitoktok B","Kiserian","Namanga"})</f>
        <v>Oloitoktok B</v>
      </c>
      <c r="C441">
        <f ca="1">LOOKUP(RAND(),{0,0.02,0.09,0.2,0.35,0.52,0.68,0.81,0.91,0.97},{1,2,3,4,5,6,7,8,9,10})</f>
        <v>5</v>
      </c>
      <c r="D441">
        <f t="shared" ca="1" si="36"/>
        <v>37400</v>
      </c>
      <c r="E441" t="str">
        <f ca="1">IF(B441="Oloitoktok A",IF(D441&lt;15000,LOOKUP(RAND(),{0,0.45,0.75,0.92},{"River","Rainwater","Borehole","Vendor"}),IF(D441&lt;30000,LOOKUP(RAND(),{0,0.35,0.65,0.85},{"River","Rainwater","Borehole","Vendor"}),LOOKUP(RAND(),{0,0.25,0.5,0.75},{"River","Rainwater","Borehole","Vendor"}))),IF(B441="Oloitoktok B",IF(D441&lt;15000,LOOKUP(RAND(),{0,0.5,0.78,0.94},{"River","Rainwater","Borehole","Vendor"}),IF(D441&lt;30000,LOOKUP(RAND(),{0,0.4,0.68,0.87},{"River","Rainwater","Borehole","Vendor"}),LOOKUP(RAND(),{0,0.28,0.55,0.78},{"River","Rainwater","Borehole","Vendor"}))),IF(B441="Kiserian",IF(D441&lt;15000,LOOKUP(RAND(),{0,0.35,0.65,0.9},{"River","Rainwater","Borehole","Vendor"}),IF(D441&lt;30000,LOOKUP(RAND(),{0,0.25,0.55,0.82},{"River","Rainwater","Borehole","Vendor"}),LOOKUP(RAND(),{0,0.15,0.45,0.72},{"River","Rainwater","Borehole","Vendor"}))),IF(D441&lt;15000,LOOKUP(RAND(),{0,0.4,0.7,0.92},{"River","Rainwater","Borehole","Vendor"}),IF(D441&lt;30000,LOOKUP(RAND(),{0,0.3,0.6,0.85},{"River","Rainwater","Borehole","Vendor"}),LOOKUP(RAND(),{0,0.2,0.5,0.75},{"River","Rainwater","Borehole","Vendor"}))))))</f>
        <v>River</v>
      </c>
      <c r="F441">
        <f t="shared" ca="1" si="37"/>
        <v>120</v>
      </c>
      <c r="G441">
        <f t="shared" ca="1" si="38"/>
        <v>2.4</v>
      </c>
      <c r="H441">
        <f t="shared" ca="1" si="39"/>
        <v>9800</v>
      </c>
      <c r="I441">
        <f t="shared" ca="1" si="40"/>
        <v>0.84857468148646542</v>
      </c>
      <c r="J441">
        <v>0</v>
      </c>
    </row>
    <row r="442" spans="1:10" x14ac:dyDescent="0.3">
      <c r="A442" t="str">
        <f t="shared" si="41"/>
        <v>HH441</v>
      </c>
      <c r="B442" t="str">
        <f ca="1">LOOKUP(RAND(),{0,0.28,0.55,0.78},{"Oloitoktok A","Oloitoktok B","Kiserian","Namanga"})</f>
        <v>Oloitoktok A</v>
      </c>
      <c r="C442">
        <f ca="1">LOOKUP(RAND(),{0,0.02,0.09,0.2,0.35,0.52,0.68,0.81,0.91,0.97},{1,2,3,4,5,6,7,8,9,10})</f>
        <v>7</v>
      </c>
      <c r="D442">
        <f t="shared" ca="1" si="36"/>
        <v>57600</v>
      </c>
      <c r="E442" t="str">
        <f ca="1">IF(B442="Oloitoktok A",IF(D442&lt;15000,LOOKUP(RAND(),{0,0.45,0.75,0.92},{"River","Rainwater","Borehole","Vendor"}),IF(D442&lt;30000,LOOKUP(RAND(),{0,0.35,0.65,0.85},{"River","Rainwater","Borehole","Vendor"}),LOOKUP(RAND(),{0,0.25,0.5,0.75},{"River","Rainwater","Borehole","Vendor"}))),IF(B442="Oloitoktok B",IF(D442&lt;15000,LOOKUP(RAND(),{0,0.5,0.78,0.94},{"River","Rainwater","Borehole","Vendor"}),IF(D442&lt;30000,LOOKUP(RAND(),{0,0.4,0.68,0.87},{"River","Rainwater","Borehole","Vendor"}),LOOKUP(RAND(),{0,0.28,0.55,0.78},{"River","Rainwater","Borehole","Vendor"}))),IF(B442="Kiserian",IF(D442&lt;15000,LOOKUP(RAND(),{0,0.35,0.65,0.9},{"River","Rainwater","Borehole","Vendor"}),IF(D442&lt;30000,LOOKUP(RAND(),{0,0.25,0.55,0.82},{"River","Rainwater","Borehole","Vendor"}),LOOKUP(RAND(),{0,0.15,0.45,0.72},{"River","Rainwater","Borehole","Vendor"}))),IF(D442&lt;15000,LOOKUP(RAND(),{0,0.4,0.7,0.92},{"River","Rainwater","Borehole","Vendor"}),IF(D442&lt;30000,LOOKUP(RAND(),{0,0.3,0.6,0.85},{"River","Rainwater","Borehole","Vendor"}),LOOKUP(RAND(),{0,0.2,0.5,0.75},{"River","Rainwater","Borehole","Vendor"}))))))</f>
        <v>Vendor</v>
      </c>
      <c r="F442">
        <f t="shared" ca="1" si="37"/>
        <v>17</v>
      </c>
      <c r="G442">
        <f t="shared" ca="1" si="38"/>
        <v>10.5</v>
      </c>
      <c r="H442">
        <f t="shared" ca="1" si="39"/>
        <v>11100</v>
      </c>
      <c r="I442">
        <f t="shared" ca="1" si="40"/>
        <v>0.6323750522822088</v>
      </c>
      <c r="J442">
        <v>0</v>
      </c>
    </row>
    <row r="443" spans="1:10" x14ac:dyDescent="0.3">
      <c r="A443" t="str">
        <f t="shared" si="41"/>
        <v>HH442</v>
      </c>
      <c r="B443" t="str">
        <f ca="1">LOOKUP(RAND(),{0,0.28,0.55,0.78},{"Oloitoktok A","Oloitoktok B","Kiserian","Namanga"})</f>
        <v>Namanga</v>
      </c>
      <c r="C443">
        <f ca="1">LOOKUP(RAND(),{0,0.02,0.09,0.2,0.35,0.52,0.68,0.81,0.91,0.97},{1,2,3,4,5,6,7,8,9,10})</f>
        <v>8</v>
      </c>
      <c r="D443">
        <f t="shared" ca="1" si="36"/>
        <v>28600</v>
      </c>
      <c r="E443" t="str">
        <f ca="1">IF(B443="Oloitoktok A",IF(D443&lt;15000,LOOKUP(RAND(),{0,0.45,0.75,0.92},{"River","Rainwater","Borehole","Vendor"}),IF(D443&lt;30000,LOOKUP(RAND(),{0,0.35,0.65,0.85},{"River","Rainwater","Borehole","Vendor"}),LOOKUP(RAND(),{0,0.25,0.5,0.75},{"River","Rainwater","Borehole","Vendor"}))),IF(B443="Oloitoktok B",IF(D443&lt;15000,LOOKUP(RAND(),{0,0.5,0.78,0.94},{"River","Rainwater","Borehole","Vendor"}),IF(D443&lt;30000,LOOKUP(RAND(),{0,0.4,0.68,0.87},{"River","Rainwater","Borehole","Vendor"}),LOOKUP(RAND(),{0,0.28,0.55,0.78},{"River","Rainwater","Borehole","Vendor"}))),IF(B443="Kiserian",IF(D443&lt;15000,LOOKUP(RAND(),{0,0.35,0.65,0.9},{"River","Rainwater","Borehole","Vendor"}),IF(D443&lt;30000,LOOKUP(RAND(),{0,0.25,0.55,0.82},{"River","Rainwater","Borehole","Vendor"}),LOOKUP(RAND(),{0,0.15,0.45,0.72},{"River","Rainwater","Borehole","Vendor"}))),IF(D443&lt;15000,LOOKUP(RAND(),{0,0.4,0.7,0.92},{"River","Rainwater","Borehole","Vendor"}),IF(D443&lt;30000,LOOKUP(RAND(),{0,0.3,0.6,0.85},{"River","Rainwater","Borehole","Vendor"}),LOOKUP(RAND(),{0,0.2,0.5,0.75},{"River","Rainwater","Borehole","Vendor"}))))))</f>
        <v>Vendor</v>
      </c>
      <c r="F443">
        <f t="shared" ca="1" si="37"/>
        <v>33</v>
      </c>
      <c r="G443">
        <f t="shared" ca="1" si="38"/>
        <v>6.7</v>
      </c>
      <c r="H443">
        <f t="shared" ca="1" si="39"/>
        <v>500</v>
      </c>
      <c r="I443">
        <f t="shared" ca="1" si="40"/>
        <v>0.88926281961077425</v>
      </c>
      <c r="J443">
        <v>0</v>
      </c>
    </row>
    <row r="444" spans="1:10" x14ac:dyDescent="0.3">
      <c r="A444" t="str">
        <f t="shared" si="41"/>
        <v>HH443</v>
      </c>
      <c r="B444" t="str">
        <f ca="1">LOOKUP(RAND(),{0,0.28,0.55,0.78},{"Oloitoktok A","Oloitoktok B","Kiserian","Namanga"})</f>
        <v>Kiserian</v>
      </c>
      <c r="C444">
        <f ca="1">LOOKUP(RAND(),{0,0.02,0.09,0.2,0.35,0.52,0.68,0.81,0.91,0.97},{1,2,3,4,5,6,7,8,9,10})</f>
        <v>5</v>
      </c>
      <c r="D444">
        <f t="shared" ca="1" si="36"/>
        <v>19300</v>
      </c>
      <c r="E444" t="str">
        <f ca="1">IF(B444="Oloitoktok A",IF(D444&lt;15000,LOOKUP(RAND(),{0,0.45,0.75,0.92},{"River","Rainwater","Borehole","Vendor"}),IF(D444&lt;30000,LOOKUP(RAND(),{0,0.35,0.65,0.85},{"River","Rainwater","Borehole","Vendor"}),LOOKUP(RAND(),{0,0.25,0.5,0.75},{"River","Rainwater","Borehole","Vendor"}))),IF(B444="Oloitoktok B",IF(D444&lt;15000,LOOKUP(RAND(),{0,0.5,0.78,0.94},{"River","Rainwater","Borehole","Vendor"}),IF(D444&lt;30000,LOOKUP(RAND(),{0,0.4,0.68,0.87},{"River","Rainwater","Borehole","Vendor"}),LOOKUP(RAND(),{0,0.28,0.55,0.78},{"River","Rainwater","Borehole","Vendor"}))),IF(B444="Kiserian",IF(D444&lt;15000,LOOKUP(RAND(),{0,0.35,0.65,0.9},{"River","Rainwater","Borehole","Vendor"}),IF(D444&lt;30000,LOOKUP(RAND(),{0,0.25,0.55,0.82},{"River","Rainwater","Borehole","Vendor"}),LOOKUP(RAND(),{0,0.15,0.45,0.72},{"River","Rainwater","Borehole","Vendor"}))),IF(D444&lt;15000,LOOKUP(RAND(),{0,0.4,0.7,0.92},{"River","Rainwater","Borehole","Vendor"}),IF(D444&lt;30000,LOOKUP(RAND(),{0,0.3,0.6,0.85},{"River","Rainwater","Borehole","Vendor"}),LOOKUP(RAND(),{0,0.2,0.5,0.75},{"River","Rainwater","Borehole","Vendor"}))))))</f>
        <v>Vendor</v>
      </c>
      <c r="F444">
        <f t="shared" ca="1" si="37"/>
        <v>16</v>
      </c>
      <c r="G444">
        <f t="shared" ca="1" si="38"/>
        <v>1.5</v>
      </c>
      <c r="H444">
        <f t="shared" ca="1" si="39"/>
        <v>0</v>
      </c>
      <c r="I444">
        <f t="shared" ca="1" si="40"/>
        <v>0.25612625745363993</v>
      </c>
      <c r="J444">
        <v>0</v>
      </c>
    </row>
    <row r="445" spans="1:10" x14ac:dyDescent="0.3">
      <c r="A445" t="str">
        <f t="shared" si="41"/>
        <v>HH444</v>
      </c>
      <c r="B445" t="str">
        <f ca="1">LOOKUP(RAND(),{0,0.28,0.55,0.78},{"Oloitoktok A","Oloitoktok B","Kiserian","Namanga"})</f>
        <v>Kiserian</v>
      </c>
      <c r="C445">
        <f ca="1">LOOKUP(RAND(),{0,0.02,0.09,0.2,0.35,0.52,0.68,0.81,0.91,0.97},{1,2,3,4,5,6,7,8,9,10})</f>
        <v>6</v>
      </c>
      <c r="D445">
        <f t="shared" ca="1" si="36"/>
        <v>37800</v>
      </c>
      <c r="E445" t="str">
        <f ca="1">IF(B445="Oloitoktok A",IF(D445&lt;15000,LOOKUP(RAND(),{0,0.45,0.75,0.92},{"River","Rainwater","Borehole","Vendor"}),IF(D445&lt;30000,LOOKUP(RAND(),{0,0.35,0.65,0.85},{"River","Rainwater","Borehole","Vendor"}),LOOKUP(RAND(),{0,0.25,0.5,0.75},{"River","Rainwater","Borehole","Vendor"}))),IF(B445="Oloitoktok B",IF(D445&lt;15000,LOOKUP(RAND(),{0,0.5,0.78,0.94},{"River","Rainwater","Borehole","Vendor"}),IF(D445&lt;30000,LOOKUP(RAND(),{0,0.4,0.68,0.87},{"River","Rainwater","Borehole","Vendor"}),LOOKUP(RAND(),{0,0.28,0.55,0.78},{"River","Rainwater","Borehole","Vendor"}))),IF(B445="Kiserian",IF(D445&lt;15000,LOOKUP(RAND(),{0,0.35,0.65,0.9},{"River","Rainwater","Borehole","Vendor"}),IF(D445&lt;30000,LOOKUP(RAND(),{0,0.25,0.55,0.82},{"River","Rainwater","Borehole","Vendor"}),LOOKUP(RAND(),{0,0.15,0.45,0.72},{"River","Rainwater","Borehole","Vendor"}))),IF(D445&lt;15000,LOOKUP(RAND(),{0,0.4,0.7,0.92},{"River","Rainwater","Borehole","Vendor"}),IF(D445&lt;30000,LOOKUP(RAND(),{0,0.3,0.6,0.85},{"River","Rainwater","Borehole","Vendor"}),LOOKUP(RAND(),{0,0.2,0.5,0.75},{"River","Rainwater","Borehole","Vendor"}))))))</f>
        <v>River</v>
      </c>
      <c r="F445">
        <f t="shared" ca="1" si="37"/>
        <v>65</v>
      </c>
      <c r="G445">
        <f t="shared" ca="1" si="38"/>
        <v>2.9</v>
      </c>
      <c r="H445">
        <f t="shared" ca="1" si="39"/>
        <v>9900</v>
      </c>
      <c r="I445">
        <f t="shared" ca="1" si="40"/>
        <v>0.45668381972008631</v>
      </c>
      <c r="J445">
        <v>0</v>
      </c>
    </row>
    <row r="446" spans="1:10" x14ac:dyDescent="0.3">
      <c r="A446" t="str">
        <f t="shared" si="41"/>
        <v>HH445</v>
      </c>
      <c r="B446" t="str">
        <f ca="1">LOOKUP(RAND(),{0,0.28,0.55,0.78},{"Oloitoktok A","Oloitoktok B","Kiserian","Namanga"})</f>
        <v>Oloitoktok A</v>
      </c>
      <c r="C446">
        <f ca="1">LOOKUP(RAND(),{0,0.02,0.09,0.2,0.35,0.52,0.68,0.81,0.91,0.97},{1,2,3,4,5,6,7,8,9,10})</f>
        <v>6</v>
      </c>
      <c r="D446">
        <f t="shared" ca="1" si="36"/>
        <v>66500</v>
      </c>
      <c r="E446" t="str">
        <f ca="1">IF(B446="Oloitoktok A",IF(D446&lt;15000,LOOKUP(RAND(),{0,0.45,0.75,0.92},{"River","Rainwater","Borehole","Vendor"}),IF(D446&lt;30000,LOOKUP(RAND(),{0,0.35,0.65,0.85},{"River","Rainwater","Borehole","Vendor"}),LOOKUP(RAND(),{0,0.25,0.5,0.75},{"River","Rainwater","Borehole","Vendor"}))),IF(B446="Oloitoktok B",IF(D446&lt;15000,LOOKUP(RAND(),{0,0.5,0.78,0.94},{"River","Rainwater","Borehole","Vendor"}),IF(D446&lt;30000,LOOKUP(RAND(),{0,0.4,0.68,0.87},{"River","Rainwater","Borehole","Vendor"}),LOOKUP(RAND(),{0,0.28,0.55,0.78},{"River","Rainwater","Borehole","Vendor"}))),IF(B446="Kiserian",IF(D446&lt;15000,LOOKUP(RAND(),{0,0.35,0.65,0.9},{"River","Rainwater","Borehole","Vendor"}),IF(D446&lt;30000,LOOKUP(RAND(),{0,0.25,0.55,0.82},{"River","Rainwater","Borehole","Vendor"}),LOOKUP(RAND(),{0,0.15,0.45,0.72},{"River","Rainwater","Borehole","Vendor"}))),IF(D446&lt;15000,LOOKUP(RAND(),{0,0.4,0.7,0.92},{"River","Rainwater","Borehole","Vendor"}),IF(D446&lt;30000,LOOKUP(RAND(),{0,0.3,0.6,0.85},{"River","Rainwater","Borehole","Vendor"}),LOOKUP(RAND(),{0,0.2,0.5,0.75},{"River","Rainwater","Borehole","Vendor"}))))))</f>
        <v>Vendor</v>
      </c>
      <c r="F446">
        <f t="shared" ca="1" si="37"/>
        <v>24</v>
      </c>
      <c r="G446">
        <f t="shared" ca="1" si="38"/>
        <v>2.4</v>
      </c>
      <c r="H446">
        <f t="shared" ca="1" si="39"/>
        <v>2100</v>
      </c>
      <c r="I446">
        <f t="shared" ca="1" si="40"/>
        <v>0.73400354650226118</v>
      </c>
      <c r="J446">
        <v>0</v>
      </c>
    </row>
    <row r="447" spans="1:10" x14ac:dyDescent="0.3">
      <c r="A447" t="str">
        <f t="shared" si="41"/>
        <v>HH446</v>
      </c>
      <c r="B447" t="str">
        <f ca="1">LOOKUP(RAND(),{0,0.28,0.55,0.78},{"Oloitoktok A","Oloitoktok B","Kiserian","Namanga"})</f>
        <v>Oloitoktok A</v>
      </c>
      <c r="C447">
        <f ca="1">LOOKUP(RAND(),{0,0.02,0.09,0.2,0.35,0.52,0.68,0.81,0.91,0.97},{1,2,3,4,5,6,7,8,9,10})</f>
        <v>6</v>
      </c>
      <c r="D447">
        <f t="shared" ca="1" si="36"/>
        <v>24000</v>
      </c>
      <c r="E447" t="str">
        <f ca="1">IF(B447="Oloitoktok A",IF(D447&lt;15000,LOOKUP(RAND(),{0,0.45,0.75,0.92},{"River","Rainwater","Borehole","Vendor"}),IF(D447&lt;30000,LOOKUP(RAND(),{0,0.35,0.65,0.85},{"River","Rainwater","Borehole","Vendor"}),LOOKUP(RAND(),{0,0.25,0.5,0.75},{"River","Rainwater","Borehole","Vendor"}))),IF(B447="Oloitoktok B",IF(D447&lt;15000,LOOKUP(RAND(),{0,0.5,0.78,0.94},{"River","Rainwater","Borehole","Vendor"}),IF(D447&lt;30000,LOOKUP(RAND(),{0,0.4,0.68,0.87},{"River","Rainwater","Borehole","Vendor"}),LOOKUP(RAND(),{0,0.28,0.55,0.78},{"River","Rainwater","Borehole","Vendor"}))),IF(B447="Kiserian",IF(D447&lt;15000,LOOKUP(RAND(),{0,0.35,0.65,0.9},{"River","Rainwater","Borehole","Vendor"}),IF(D447&lt;30000,LOOKUP(RAND(),{0,0.25,0.55,0.82},{"River","Rainwater","Borehole","Vendor"}),LOOKUP(RAND(),{0,0.15,0.45,0.72},{"River","Rainwater","Borehole","Vendor"}))),IF(D447&lt;15000,LOOKUP(RAND(),{0,0.4,0.7,0.92},{"River","Rainwater","Borehole","Vendor"}),IF(D447&lt;30000,LOOKUP(RAND(),{0,0.3,0.6,0.85},{"River","Rainwater","Borehole","Vendor"}),LOOKUP(RAND(),{0,0.2,0.5,0.75},{"River","Rainwater","Borehole","Vendor"}))))))</f>
        <v>Borehole</v>
      </c>
      <c r="F447">
        <f t="shared" ca="1" si="37"/>
        <v>73</v>
      </c>
      <c r="G447">
        <f t="shared" ca="1" si="38"/>
        <v>7.8</v>
      </c>
      <c r="H447">
        <f t="shared" ca="1" si="39"/>
        <v>4000</v>
      </c>
      <c r="I447">
        <f t="shared" ca="1" si="40"/>
        <v>0.47233002277069513</v>
      </c>
      <c r="J447">
        <v>0</v>
      </c>
    </row>
    <row r="448" spans="1:10" x14ac:dyDescent="0.3">
      <c r="A448" t="str">
        <f t="shared" si="41"/>
        <v>HH447</v>
      </c>
      <c r="B448" t="str">
        <f ca="1">LOOKUP(RAND(),{0,0.28,0.55,0.78},{"Oloitoktok A","Oloitoktok B","Kiserian","Namanga"})</f>
        <v>Oloitoktok B</v>
      </c>
      <c r="C448">
        <f ca="1">LOOKUP(RAND(),{0,0.02,0.09,0.2,0.35,0.52,0.68,0.81,0.91,0.97},{1,2,3,4,5,6,7,8,9,10})</f>
        <v>6</v>
      </c>
      <c r="D448">
        <f t="shared" ca="1" si="36"/>
        <v>74200</v>
      </c>
      <c r="E448" t="str">
        <f ca="1">IF(B448="Oloitoktok A",IF(D448&lt;15000,LOOKUP(RAND(),{0,0.45,0.75,0.92},{"River","Rainwater","Borehole","Vendor"}),IF(D448&lt;30000,LOOKUP(RAND(),{0,0.35,0.65,0.85},{"River","Rainwater","Borehole","Vendor"}),LOOKUP(RAND(),{0,0.25,0.5,0.75},{"River","Rainwater","Borehole","Vendor"}))),IF(B448="Oloitoktok B",IF(D448&lt;15000,LOOKUP(RAND(),{0,0.5,0.78,0.94},{"River","Rainwater","Borehole","Vendor"}),IF(D448&lt;30000,LOOKUP(RAND(),{0,0.4,0.68,0.87},{"River","Rainwater","Borehole","Vendor"}),LOOKUP(RAND(),{0,0.28,0.55,0.78},{"River","Rainwater","Borehole","Vendor"}))),IF(B448="Kiserian",IF(D448&lt;15000,LOOKUP(RAND(),{0,0.35,0.65,0.9},{"River","Rainwater","Borehole","Vendor"}),IF(D448&lt;30000,LOOKUP(RAND(),{0,0.25,0.55,0.82},{"River","Rainwater","Borehole","Vendor"}),LOOKUP(RAND(),{0,0.15,0.45,0.72},{"River","Rainwater","Borehole","Vendor"}))),IF(D448&lt;15000,LOOKUP(RAND(),{0,0.4,0.7,0.92},{"River","Rainwater","Borehole","Vendor"}),IF(D448&lt;30000,LOOKUP(RAND(),{0,0.3,0.6,0.85},{"River","Rainwater","Borehole","Vendor"}),LOOKUP(RAND(),{0,0.2,0.5,0.75},{"River","Rainwater","Borehole","Vendor"}))))))</f>
        <v>River</v>
      </c>
      <c r="F448">
        <f t="shared" ca="1" si="37"/>
        <v>58</v>
      </c>
      <c r="G448">
        <f t="shared" ca="1" si="38"/>
        <v>7.3</v>
      </c>
      <c r="H448">
        <f t="shared" ca="1" si="39"/>
        <v>6200</v>
      </c>
      <c r="I448">
        <f t="shared" ca="1" si="40"/>
        <v>7.0880624081880339E-2</v>
      </c>
      <c r="J448">
        <v>0</v>
      </c>
    </row>
    <row r="449" spans="1:10" x14ac:dyDescent="0.3">
      <c r="A449" t="str">
        <f t="shared" si="41"/>
        <v>HH448</v>
      </c>
      <c r="B449" t="str">
        <f ca="1">LOOKUP(RAND(),{0,0.28,0.55,0.78},{"Oloitoktok A","Oloitoktok B","Kiserian","Namanga"})</f>
        <v>Kiserian</v>
      </c>
      <c r="C449">
        <f ca="1">LOOKUP(RAND(),{0,0.02,0.09,0.2,0.35,0.52,0.68,0.81,0.91,0.97},{1,2,3,4,5,6,7,8,9,10})</f>
        <v>7</v>
      </c>
      <c r="D449">
        <f t="shared" ca="1" si="36"/>
        <v>38300</v>
      </c>
      <c r="E449" t="str">
        <f ca="1">IF(B449="Oloitoktok A",IF(D449&lt;15000,LOOKUP(RAND(),{0,0.45,0.75,0.92},{"River","Rainwater","Borehole","Vendor"}),IF(D449&lt;30000,LOOKUP(RAND(),{0,0.35,0.65,0.85},{"River","Rainwater","Borehole","Vendor"}),LOOKUP(RAND(),{0,0.25,0.5,0.75},{"River","Rainwater","Borehole","Vendor"}))),IF(B449="Oloitoktok B",IF(D449&lt;15000,LOOKUP(RAND(),{0,0.5,0.78,0.94},{"River","Rainwater","Borehole","Vendor"}),IF(D449&lt;30000,LOOKUP(RAND(),{0,0.4,0.68,0.87},{"River","Rainwater","Borehole","Vendor"}),LOOKUP(RAND(),{0,0.28,0.55,0.78},{"River","Rainwater","Borehole","Vendor"}))),IF(B449="Kiserian",IF(D449&lt;15000,LOOKUP(RAND(),{0,0.35,0.65,0.9},{"River","Rainwater","Borehole","Vendor"}),IF(D449&lt;30000,LOOKUP(RAND(),{0,0.25,0.55,0.82},{"River","Rainwater","Borehole","Vendor"}),LOOKUP(RAND(),{0,0.15,0.45,0.72},{"River","Rainwater","Borehole","Vendor"}))),IF(D449&lt;15000,LOOKUP(RAND(),{0,0.4,0.7,0.92},{"River","Rainwater","Borehole","Vendor"}),IF(D449&lt;30000,LOOKUP(RAND(),{0,0.3,0.6,0.85},{"River","Rainwater","Borehole","Vendor"}),LOOKUP(RAND(),{0,0.2,0.5,0.75},{"River","Rainwater","Borehole","Vendor"}))))))</f>
        <v>River</v>
      </c>
      <c r="F449">
        <f t="shared" ca="1" si="37"/>
        <v>89</v>
      </c>
      <c r="G449">
        <f t="shared" ca="1" si="38"/>
        <v>9.6999999999999993</v>
      </c>
      <c r="H449">
        <f t="shared" ca="1" si="39"/>
        <v>7200</v>
      </c>
      <c r="I449">
        <f t="shared" ca="1" si="40"/>
        <v>0.57963229953246265</v>
      </c>
      <c r="J449">
        <v>0</v>
      </c>
    </row>
    <row r="450" spans="1:10" x14ac:dyDescent="0.3">
      <c r="A450" t="str">
        <f t="shared" si="41"/>
        <v>HH449</v>
      </c>
      <c r="B450" t="str">
        <f ca="1">LOOKUP(RAND(),{0,0.28,0.55,0.78},{"Oloitoktok A","Oloitoktok B","Kiserian","Namanga"})</f>
        <v>Namanga</v>
      </c>
      <c r="C450">
        <f ca="1">LOOKUP(RAND(),{0,0.02,0.09,0.2,0.35,0.52,0.68,0.81,0.91,0.97},{1,2,3,4,5,6,7,8,9,10})</f>
        <v>6</v>
      </c>
      <c r="D450">
        <f t="shared" ref="D450:D513" ca="1" si="42">MAX(5000,MIN(150000,ROUND(_xlfn.LOGNORM.INV(RAND(),LN(28000+1500*C450),0.55),-2)))</f>
        <v>41600</v>
      </c>
      <c r="E450" t="str">
        <f ca="1">IF(B450="Oloitoktok A",IF(D450&lt;15000,LOOKUP(RAND(),{0,0.45,0.75,0.92},{"River","Rainwater","Borehole","Vendor"}),IF(D450&lt;30000,LOOKUP(RAND(),{0,0.35,0.65,0.85},{"River","Rainwater","Borehole","Vendor"}),LOOKUP(RAND(),{0,0.25,0.5,0.75},{"River","Rainwater","Borehole","Vendor"}))),IF(B450="Oloitoktok B",IF(D450&lt;15000,LOOKUP(RAND(),{0,0.5,0.78,0.94},{"River","Rainwater","Borehole","Vendor"}),IF(D450&lt;30000,LOOKUP(RAND(),{0,0.4,0.68,0.87},{"River","Rainwater","Borehole","Vendor"}),LOOKUP(RAND(),{0,0.28,0.55,0.78},{"River","Rainwater","Borehole","Vendor"}))),IF(B450="Kiserian",IF(D450&lt;15000,LOOKUP(RAND(),{0,0.35,0.65,0.9},{"River","Rainwater","Borehole","Vendor"}),IF(D450&lt;30000,LOOKUP(RAND(),{0,0.25,0.55,0.82},{"River","Rainwater","Borehole","Vendor"}),LOOKUP(RAND(),{0,0.15,0.45,0.72},{"River","Rainwater","Borehole","Vendor"}))),IF(D450&lt;15000,LOOKUP(RAND(),{0,0.4,0.7,0.92},{"River","Rainwater","Borehole","Vendor"}),IF(D450&lt;30000,LOOKUP(RAND(),{0,0.3,0.6,0.85},{"River","Rainwater","Borehole","Vendor"}),LOOKUP(RAND(),{0,0.2,0.5,0.75},{"River","Rainwater","Borehole","Vendor"}))))))</f>
        <v>Vendor</v>
      </c>
      <c r="F450">
        <f t="shared" ref="F450:F513" ca="1" si="43">IF(E450="River",RANDBETWEEN(45,120),IF(E450="Rainwater",RANDBETWEEN(15,70),IF(E450="Borehole",RANDBETWEEN(20,75),RANDBETWEEN(10,60))))</f>
        <v>58</v>
      </c>
      <c r="G450">
        <f t="shared" ref="G450:G513" ca="1" si="44">IF(B450="Oloitoktok A",ROUND(RANDBETWEEN(5,150)/10,1),IF(B450="Oloitoktok B",ROUND(RANDBETWEEN(4,140)/10,1),IF(B450="Kiserian",ROUND(RANDBETWEEN(2,100)/10,1),ROUND(RANDBETWEEN(3,120)/10,1))))</f>
        <v>7.2</v>
      </c>
      <c r="H450">
        <f t="shared" ref="H450:H513" ca="1" si="45">MAX(0,ROUND((1500+(C450*250)+(D450*0.025)+(F450*8)+(G450*120)+IF(E450="River",1200,IF(E450="Rainwater",700,IF(E450="Borehole",400,200)))+_xlfn.NORM.INV(RAND(),0,3500)),-2))</f>
        <v>600</v>
      </c>
      <c r="I450">
        <f t="shared" ref="I450:I513" ca="1" si="46">RAND()</f>
        <v>0.55491293505509676</v>
      </c>
      <c r="J450">
        <v>0</v>
      </c>
    </row>
    <row r="451" spans="1:10" x14ac:dyDescent="0.3">
      <c r="A451" t="str">
        <f t="shared" ref="A451:A514" si="47">"HH"&amp;TEXT(ROW()-1,"000")</f>
        <v>HH450</v>
      </c>
      <c r="B451" t="str">
        <f ca="1">LOOKUP(RAND(),{0,0.28,0.55,0.78},{"Oloitoktok A","Oloitoktok B","Kiserian","Namanga"})</f>
        <v>Oloitoktok A</v>
      </c>
      <c r="C451">
        <f ca="1">LOOKUP(RAND(),{0,0.02,0.09,0.2,0.35,0.52,0.68,0.81,0.91,0.97},{1,2,3,4,5,6,7,8,9,10})</f>
        <v>5</v>
      </c>
      <c r="D451">
        <f t="shared" ca="1" si="42"/>
        <v>69200</v>
      </c>
      <c r="E451" t="str">
        <f ca="1">IF(B451="Oloitoktok A",IF(D451&lt;15000,LOOKUP(RAND(),{0,0.45,0.75,0.92},{"River","Rainwater","Borehole","Vendor"}),IF(D451&lt;30000,LOOKUP(RAND(),{0,0.35,0.65,0.85},{"River","Rainwater","Borehole","Vendor"}),LOOKUP(RAND(),{0,0.25,0.5,0.75},{"River","Rainwater","Borehole","Vendor"}))),IF(B451="Oloitoktok B",IF(D451&lt;15000,LOOKUP(RAND(),{0,0.5,0.78,0.94},{"River","Rainwater","Borehole","Vendor"}),IF(D451&lt;30000,LOOKUP(RAND(),{0,0.4,0.68,0.87},{"River","Rainwater","Borehole","Vendor"}),LOOKUP(RAND(),{0,0.28,0.55,0.78},{"River","Rainwater","Borehole","Vendor"}))),IF(B451="Kiserian",IF(D451&lt;15000,LOOKUP(RAND(),{0,0.35,0.65,0.9},{"River","Rainwater","Borehole","Vendor"}),IF(D451&lt;30000,LOOKUP(RAND(),{0,0.25,0.55,0.82},{"River","Rainwater","Borehole","Vendor"}),LOOKUP(RAND(),{0,0.15,0.45,0.72},{"River","Rainwater","Borehole","Vendor"}))),IF(D451&lt;15000,LOOKUP(RAND(),{0,0.4,0.7,0.92},{"River","Rainwater","Borehole","Vendor"}),IF(D451&lt;30000,LOOKUP(RAND(),{0,0.3,0.6,0.85},{"River","Rainwater","Borehole","Vendor"}),LOOKUP(RAND(),{0,0.2,0.5,0.75},{"River","Rainwater","Borehole","Vendor"}))))))</f>
        <v>Vendor</v>
      </c>
      <c r="F451">
        <f t="shared" ca="1" si="43"/>
        <v>30</v>
      </c>
      <c r="G451">
        <f t="shared" ca="1" si="44"/>
        <v>9</v>
      </c>
      <c r="H451">
        <f t="shared" ca="1" si="45"/>
        <v>8400</v>
      </c>
      <c r="I451">
        <f t="shared" ca="1" si="46"/>
        <v>0.1272838250481565</v>
      </c>
      <c r="J451">
        <v>0</v>
      </c>
    </row>
    <row r="452" spans="1:10" x14ac:dyDescent="0.3">
      <c r="A452" t="str">
        <f t="shared" si="47"/>
        <v>HH451</v>
      </c>
      <c r="B452" t="str">
        <f ca="1">LOOKUP(RAND(),{0,0.28,0.55,0.78},{"Oloitoktok A","Oloitoktok B","Kiserian","Namanga"})</f>
        <v>Kiserian</v>
      </c>
      <c r="C452">
        <f ca="1">LOOKUP(RAND(),{0,0.02,0.09,0.2,0.35,0.52,0.68,0.81,0.91,0.97},{1,2,3,4,5,6,7,8,9,10})</f>
        <v>4</v>
      </c>
      <c r="D452">
        <f t="shared" ca="1" si="42"/>
        <v>42000</v>
      </c>
      <c r="E452" t="str">
        <f ca="1">IF(B452="Oloitoktok A",IF(D452&lt;15000,LOOKUP(RAND(),{0,0.45,0.75,0.92},{"River","Rainwater","Borehole","Vendor"}),IF(D452&lt;30000,LOOKUP(RAND(),{0,0.35,0.65,0.85},{"River","Rainwater","Borehole","Vendor"}),LOOKUP(RAND(),{0,0.25,0.5,0.75},{"River","Rainwater","Borehole","Vendor"}))),IF(B452="Oloitoktok B",IF(D452&lt;15000,LOOKUP(RAND(),{0,0.5,0.78,0.94},{"River","Rainwater","Borehole","Vendor"}),IF(D452&lt;30000,LOOKUP(RAND(),{0,0.4,0.68,0.87},{"River","Rainwater","Borehole","Vendor"}),LOOKUP(RAND(),{0,0.28,0.55,0.78},{"River","Rainwater","Borehole","Vendor"}))),IF(B452="Kiserian",IF(D452&lt;15000,LOOKUP(RAND(),{0,0.35,0.65,0.9},{"River","Rainwater","Borehole","Vendor"}),IF(D452&lt;30000,LOOKUP(RAND(),{0,0.25,0.55,0.82},{"River","Rainwater","Borehole","Vendor"}),LOOKUP(RAND(),{0,0.15,0.45,0.72},{"River","Rainwater","Borehole","Vendor"}))),IF(D452&lt;15000,LOOKUP(RAND(),{0,0.4,0.7,0.92},{"River","Rainwater","Borehole","Vendor"}),IF(D452&lt;30000,LOOKUP(RAND(),{0,0.3,0.6,0.85},{"River","Rainwater","Borehole","Vendor"}),LOOKUP(RAND(),{0,0.2,0.5,0.75},{"River","Rainwater","Borehole","Vendor"}))))))</f>
        <v>Rainwater</v>
      </c>
      <c r="F452">
        <f t="shared" ca="1" si="43"/>
        <v>27</v>
      </c>
      <c r="G452">
        <f t="shared" ca="1" si="44"/>
        <v>4.2</v>
      </c>
      <c r="H452">
        <f t="shared" ca="1" si="45"/>
        <v>2600</v>
      </c>
      <c r="I452">
        <f t="shared" ca="1" si="46"/>
        <v>0.82045544559769246</v>
      </c>
      <c r="J452">
        <v>0</v>
      </c>
    </row>
    <row r="453" spans="1:10" x14ac:dyDescent="0.3">
      <c r="A453" t="str">
        <f t="shared" si="47"/>
        <v>HH452</v>
      </c>
      <c r="B453" t="str">
        <f ca="1">LOOKUP(RAND(),{0,0.28,0.55,0.78},{"Oloitoktok A","Oloitoktok B","Kiserian","Namanga"})</f>
        <v>Oloitoktok A</v>
      </c>
      <c r="C453">
        <f ca="1">LOOKUP(RAND(),{0,0.02,0.09,0.2,0.35,0.52,0.68,0.81,0.91,0.97},{1,2,3,4,5,6,7,8,9,10})</f>
        <v>8</v>
      </c>
      <c r="D453">
        <f t="shared" ca="1" si="42"/>
        <v>12500</v>
      </c>
      <c r="E453" t="str">
        <f ca="1">IF(B453="Oloitoktok A",IF(D453&lt;15000,LOOKUP(RAND(),{0,0.45,0.75,0.92},{"River","Rainwater","Borehole","Vendor"}),IF(D453&lt;30000,LOOKUP(RAND(),{0,0.35,0.65,0.85},{"River","Rainwater","Borehole","Vendor"}),LOOKUP(RAND(),{0,0.25,0.5,0.75},{"River","Rainwater","Borehole","Vendor"}))),IF(B453="Oloitoktok B",IF(D453&lt;15000,LOOKUP(RAND(),{0,0.5,0.78,0.94},{"River","Rainwater","Borehole","Vendor"}),IF(D453&lt;30000,LOOKUP(RAND(),{0,0.4,0.68,0.87},{"River","Rainwater","Borehole","Vendor"}),LOOKUP(RAND(),{0,0.28,0.55,0.78},{"River","Rainwater","Borehole","Vendor"}))),IF(B453="Kiserian",IF(D453&lt;15000,LOOKUP(RAND(),{0,0.35,0.65,0.9},{"River","Rainwater","Borehole","Vendor"}),IF(D453&lt;30000,LOOKUP(RAND(),{0,0.25,0.55,0.82},{"River","Rainwater","Borehole","Vendor"}),LOOKUP(RAND(),{0,0.15,0.45,0.72},{"River","Rainwater","Borehole","Vendor"}))),IF(D453&lt;15000,LOOKUP(RAND(),{0,0.4,0.7,0.92},{"River","Rainwater","Borehole","Vendor"}),IF(D453&lt;30000,LOOKUP(RAND(),{0,0.3,0.6,0.85},{"River","Rainwater","Borehole","Vendor"}),LOOKUP(RAND(),{0,0.2,0.5,0.75},{"River","Rainwater","Borehole","Vendor"}))))))</f>
        <v>River</v>
      </c>
      <c r="F453">
        <f t="shared" ca="1" si="43"/>
        <v>78</v>
      </c>
      <c r="G453">
        <f t="shared" ca="1" si="44"/>
        <v>9</v>
      </c>
      <c r="H453">
        <f t="shared" ca="1" si="45"/>
        <v>11300</v>
      </c>
      <c r="I453">
        <f t="shared" ca="1" si="46"/>
        <v>0.19396109650260485</v>
      </c>
      <c r="J453">
        <v>0</v>
      </c>
    </row>
    <row r="454" spans="1:10" x14ac:dyDescent="0.3">
      <c r="A454" t="str">
        <f t="shared" si="47"/>
        <v>HH453</v>
      </c>
      <c r="B454" t="str">
        <f ca="1">LOOKUP(RAND(),{0,0.28,0.55,0.78},{"Oloitoktok A","Oloitoktok B","Kiserian","Namanga"})</f>
        <v>Oloitoktok B</v>
      </c>
      <c r="C454">
        <f ca="1">LOOKUP(RAND(),{0,0.02,0.09,0.2,0.35,0.52,0.68,0.81,0.91,0.97},{1,2,3,4,5,6,7,8,9,10})</f>
        <v>5</v>
      </c>
      <c r="D454">
        <f t="shared" ca="1" si="42"/>
        <v>65600</v>
      </c>
      <c r="E454" t="str">
        <f ca="1">IF(B454="Oloitoktok A",IF(D454&lt;15000,LOOKUP(RAND(),{0,0.45,0.75,0.92},{"River","Rainwater","Borehole","Vendor"}),IF(D454&lt;30000,LOOKUP(RAND(),{0,0.35,0.65,0.85},{"River","Rainwater","Borehole","Vendor"}),LOOKUP(RAND(),{0,0.25,0.5,0.75},{"River","Rainwater","Borehole","Vendor"}))),IF(B454="Oloitoktok B",IF(D454&lt;15000,LOOKUP(RAND(),{0,0.5,0.78,0.94},{"River","Rainwater","Borehole","Vendor"}),IF(D454&lt;30000,LOOKUP(RAND(),{0,0.4,0.68,0.87},{"River","Rainwater","Borehole","Vendor"}),LOOKUP(RAND(),{0,0.28,0.55,0.78},{"River","Rainwater","Borehole","Vendor"}))),IF(B454="Kiserian",IF(D454&lt;15000,LOOKUP(RAND(),{0,0.35,0.65,0.9},{"River","Rainwater","Borehole","Vendor"}),IF(D454&lt;30000,LOOKUP(RAND(),{0,0.25,0.55,0.82},{"River","Rainwater","Borehole","Vendor"}),LOOKUP(RAND(),{0,0.15,0.45,0.72},{"River","Rainwater","Borehole","Vendor"}))),IF(D454&lt;15000,LOOKUP(RAND(),{0,0.4,0.7,0.92},{"River","Rainwater","Borehole","Vendor"}),IF(D454&lt;30000,LOOKUP(RAND(),{0,0.3,0.6,0.85},{"River","Rainwater","Borehole","Vendor"}),LOOKUP(RAND(),{0,0.2,0.5,0.75},{"River","Rainwater","Borehole","Vendor"}))))))</f>
        <v>Vendor</v>
      </c>
      <c r="F454">
        <f t="shared" ca="1" si="43"/>
        <v>28</v>
      </c>
      <c r="G454">
        <f t="shared" ca="1" si="44"/>
        <v>8.6</v>
      </c>
      <c r="H454">
        <f t="shared" ca="1" si="45"/>
        <v>5300</v>
      </c>
      <c r="I454">
        <f t="shared" ca="1" si="46"/>
        <v>0.66030285026569124</v>
      </c>
      <c r="J454">
        <v>0</v>
      </c>
    </row>
    <row r="455" spans="1:10" x14ac:dyDescent="0.3">
      <c r="A455" t="str">
        <f t="shared" si="47"/>
        <v>HH454</v>
      </c>
      <c r="B455" t="str">
        <f ca="1">LOOKUP(RAND(),{0,0.28,0.55,0.78},{"Oloitoktok A","Oloitoktok B","Kiserian","Namanga"})</f>
        <v>Namanga</v>
      </c>
      <c r="C455">
        <f ca="1">LOOKUP(RAND(),{0,0.02,0.09,0.2,0.35,0.52,0.68,0.81,0.91,0.97},{1,2,3,4,5,6,7,8,9,10})</f>
        <v>6</v>
      </c>
      <c r="D455">
        <f t="shared" ca="1" si="42"/>
        <v>32900</v>
      </c>
      <c r="E455" t="str">
        <f ca="1">IF(B455="Oloitoktok A",IF(D455&lt;15000,LOOKUP(RAND(),{0,0.45,0.75,0.92},{"River","Rainwater","Borehole","Vendor"}),IF(D455&lt;30000,LOOKUP(RAND(),{0,0.35,0.65,0.85},{"River","Rainwater","Borehole","Vendor"}),LOOKUP(RAND(),{0,0.25,0.5,0.75},{"River","Rainwater","Borehole","Vendor"}))),IF(B455="Oloitoktok B",IF(D455&lt;15000,LOOKUP(RAND(),{0,0.5,0.78,0.94},{"River","Rainwater","Borehole","Vendor"}),IF(D455&lt;30000,LOOKUP(RAND(),{0,0.4,0.68,0.87},{"River","Rainwater","Borehole","Vendor"}),LOOKUP(RAND(),{0,0.28,0.55,0.78},{"River","Rainwater","Borehole","Vendor"}))),IF(B455="Kiserian",IF(D455&lt;15000,LOOKUP(RAND(),{0,0.35,0.65,0.9},{"River","Rainwater","Borehole","Vendor"}),IF(D455&lt;30000,LOOKUP(RAND(),{0,0.25,0.55,0.82},{"River","Rainwater","Borehole","Vendor"}),LOOKUP(RAND(),{0,0.15,0.45,0.72},{"River","Rainwater","Borehole","Vendor"}))),IF(D455&lt;15000,LOOKUP(RAND(),{0,0.4,0.7,0.92},{"River","Rainwater","Borehole","Vendor"}),IF(D455&lt;30000,LOOKUP(RAND(),{0,0.3,0.6,0.85},{"River","Rainwater","Borehole","Vendor"}),LOOKUP(RAND(),{0,0.2,0.5,0.75},{"River","Rainwater","Borehole","Vendor"}))))))</f>
        <v>Rainwater</v>
      </c>
      <c r="F455">
        <f t="shared" ca="1" si="43"/>
        <v>41</v>
      </c>
      <c r="G455">
        <f t="shared" ca="1" si="44"/>
        <v>8.5</v>
      </c>
      <c r="H455">
        <f t="shared" ca="1" si="45"/>
        <v>1600</v>
      </c>
      <c r="I455">
        <f t="shared" ca="1" si="46"/>
        <v>0.12537983848788248</v>
      </c>
      <c r="J455">
        <v>0</v>
      </c>
    </row>
    <row r="456" spans="1:10" x14ac:dyDescent="0.3">
      <c r="A456" t="str">
        <f t="shared" si="47"/>
        <v>HH455</v>
      </c>
      <c r="B456" t="str">
        <f ca="1">LOOKUP(RAND(),{0,0.28,0.55,0.78},{"Oloitoktok A","Oloitoktok B","Kiserian","Namanga"})</f>
        <v>Kiserian</v>
      </c>
      <c r="C456">
        <f ca="1">LOOKUP(RAND(),{0,0.02,0.09,0.2,0.35,0.52,0.68,0.81,0.91,0.97},{1,2,3,4,5,6,7,8,9,10})</f>
        <v>7</v>
      </c>
      <c r="D456">
        <f t="shared" ca="1" si="42"/>
        <v>43800</v>
      </c>
      <c r="E456" t="str">
        <f ca="1">IF(B456="Oloitoktok A",IF(D456&lt;15000,LOOKUP(RAND(),{0,0.45,0.75,0.92},{"River","Rainwater","Borehole","Vendor"}),IF(D456&lt;30000,LOOKUP(RAND(),{0,0.35,0.65,0.85},{"River","Rainwater","Borehole","Vendor"}),LOOKUP(RAND(),{0,0.25,0.5,0.75},{"River","Rainwater","Borehole","Vendor"}))),IF(B456="Oloitoktok B",IF(D456&lt;15000,LOOKUP(RAND(),{0,0.5,0.78,0.94},{"River","Rainwater","Borehole","Vendor"}),IF(D456&lt;30000,LOOKUP(RAND(),{0,0.4,0.68,0.87},{"River","Rainwater","Borehole","Vendor"}),LOOKUP(RAND(),{0,0.28,0.55,0.78},{"River","Rainwater","Borehole","Vendor"}))),IF(B456="Kiserian",IF(D456&lt;15000,LOOKUP(RAND(),{0,0.35,0.65,0.9},{"River","Rainwater","Borehole","Vendor"}),IF(D456&lt;30000,LOOKUP(RAND(),{0,0.25,0.55,0.82},{"River","Rainwater","Borehole","Vendor"}),LOOKUP(RAND(),{0,0.15,0.45,0.72},{"River","Rainwater","Borehole","Vendor"}))),IF(D456&lt;15000,LOOKUP(RAND(),{0,0.4,0.7,0.92},{"River","Rainwater","Borehole","Vendor"}),IF(D456&lt;30000,LOOKUP(RAND(),{0,0.3,0.6,0.85},{"River","Rainwater","Borehole","Vendor"}),LOOKUP(RAND(),{0,0.2,0.5,0.75},{"River","Rainwater","Borehole","Vendor"}))))))</f>
        <v>River</v>
      </c>
      <c r="F456">
        <f t="shared" ca="1" si="43"/>
        <v>82</v>
      </c>
      <c r="G456">
        <f t="shared" ca="1" si="44"/>
        <v>5.2</v>
      </c>
      <c r="H456">
        <f t="shared" ca="1" si="45"/>
        <v>1800</v>
      </c>
      <c r="I456">
        <f t="shared" ca="1" si="46"/>
        <v>9.9996064690452968E-3</v>
      </c>
      <c r="J456">
        <v>0</v>
      </c>
    </row>
    <row r="457" spans="1:10" x14ac:dyDescent="0.3">
      <c r="A457" t="str">
        <f t="shared" si="47"/>
        <v>HH456</v>
      </c>
      <c r="B457" t="str">
        <f ca="1">LOOKUP(RAND(),{0,0.28,0.55,0.78},{"Oloitoktok A","Oloitoktok B","Kiserian","Namanga"})</f>
        <v>Namanga</v>
      </c>
      <c r="C457">
        <f ca="1">LOOKUP(RAND(),{0,0.02,0.09,0.2,0.35,0.52,0.68,0.81,0.91,0.97},{1,2,3,4,5,6,7,8,9,10})</f>
        <v>6</v>
      </c>
      <c r="D457">
        <f t="shared" ca="1" si="42"/>
        <v>37500</v>
      </c>
      <c r="E457" t="str">
        <f ca="1">IF(B457="Oloitoktok A",IF(D457&lt;15000,LOOKUP(RAND(),{0,0.45,0.75,0.92},{"River","Rainwater","Borehole","Vendor"}),IF(D457&lt;30000,LOOKUP(RAND(),{0,0.35,0.65,0.85},{"River","Rainwater","Borehole","Vendor"}),LOOKUP(RAND(),{0,0.25,0.5,0.75},{"River","Rainwater","Borehole","Vendor"}))),IF(B457="Oloitoktok B",IF(D457&lt;15000,LOOKUP(RAND(),{0,0.5,0.78,0.94},{"River","Rainwater","Borehole","Vendor"}),IF(D457&lt;30000,LOOKUP(RAND(),{0,0.4,0.68,0.87},{"River","Rainwater","Borehole","Vendor"}),LOOKUP(RAND(),{0,0.28,0.55,0.78},{"River","Rainwater","Borehole","Vendor"}))),IF(B457="Kiserian",IF(D457&lt;15000,LOOKUP(RAND(),{0,0.35,0.65,0.9},{"River","Rainwater","Borehole","Vendor"}),IF(D457&lt;30000,LOOKUP(RAND(),{0,0.25,0.55,0.82},{"River","Rainwater","Borehole","Vendor"}),LOOKUP(RAND(),{0,0.15,0.45,0.72},{"River","Rainwater","Borehole","Vendor"}))),IF(D457&lt;15000,LOOKUP(RAND(),{0,0.4,0.7,0.92},{"River","Rainwater","Borehole","Vendor"}),IF(D457&lt;30000,LOOKUP(RAND(),{0,0.3,0.6,0.85},{"River","Rainwater","Borehole","Vendor"}),LOOKUP(RAND(),{0,0.2,0.5,0.75},{"River","Rainwater","Borehole","Vendor"}))))))</f>
        <v>Rainwater</v>
      </c>
      <c r="F457">
        <f t="shared" ca="1" si="43"/>
        <v>59</v>
      </c>
      <c r="G457">
        <f t="shared" ca="1" si="44"/>
        <v>5.0999999999999996</v>
      </c>
      <c r="H457">
        <f t="shared" ca="1" si="45"/>
        <v>5500</v>
      </c>
      <c r="I457">
        <f t="shared" ca="1" si="46"/>
        <v>0.15347514228193893</v>
      </c>
      <c r="J457">
        <v>0</v>
      </c>
    </row>
    <row r="458" spans="1:10" x14ac:dyDescent="0.3">
      <c r="A458" t="str">
        <f t="shared" si="47"/>
        <v>HH457</v>
      </c>
      <c r="B458" t="str">
        <f ca="1">LOOKUP(RAND(),{0,0.28,0.55,0.78},{"Oloitoktok A","Oloitoktok B","Kiserian","Namanga"})</f>
        <v>Oloitoktok B</v>
      </c>
      <c r="C458">
        <f ca="1">LOOKUP(RAND(),{0,0.02,0.09,0.2,0.35,0.52,0.68,0.81,0.91,0.97},{1,2,3,4,5,6,7,8,9,10})</f>
        <v>10</v>
      </c>
      <c r="D458">
        <f t="shared" ca="1" si="42"/>
        <v>64400</v>
      </c>
      <c r="E458" t="str">
        <f ca="1">IF(B458="Oloitoktok A",IF(D458&lt;15000,LOOKUP(RAND(),{0,0.45,0.75,0.92},{"River","Rainwater","Borehole","Vendor"}),IF(D458&lt;30000,LOOKUP(RAND(),{0,0.35,0.65,0.85},{"River","Rainwater","Borehole","Vendor"}),LOOKUP(RAND(),{0,0.25,0.5,0.75},{"River","Rainwater","Borehole","Vendor"}))),IF(B458="Oloitoktok B",IF(D458&lt;15000,LOOKUP(RAND(),{0,0.5,0.78,0.94},{"River","Rainwater","Borehole","Vendor"}),IF(D458&lt;30000,LOOKUP(RAND(),{0,0.4,0.68,0.87},{"River","Rainwater","Borehole","Vendor"}),LOOKUP(RAND(),{0,0.28,0.55,0.78},{"River","Rainwater","Borehole","Vendor"}))),IF(B458="Kiserian",IF(D458&lt;15000,LOOKUP(RAND(),{0,0.35,0.65,0.9},{"River","Rainwater","Borehole","Vendor"}),IF(D458&lt;30000,LOOKUP(RAND(),{0,0.25,0.55,0.82},{"River","Rainwater","Borehole","Vendor"}),LOOKUP(RAND(),{0,0.15,0.45,0.72},{"River","Rainwater","Borehole","Vendor"}))),IF(D458&lt;15000,LOOKUP(RAND(),{0,0.4,0.7,0.92},{"River","Rainwater","Borehole","Vendor"}),IF(D458&lt;30000,LOOKUP(RAND(),{0,0.3,0.6,0.85},{"River","Rainwater","Borehole","Vendor"}),LOOKUP(RAND(),{0,0.2,0.5,0.75},{"River","Rainwater","Borehole","Vendor"}))))))</f>
        <v>River</v>
      </c>
      <c r="F458">
        <f t="shared" ca="1" si="43"/>
        <v>73</v>
      </c>
      <c r="G458">
        <f t="shared" ca="1" si="44"/>
        <v>6.7</v>
      </c>
      <c r="H458">
        <f t="shared" ca="1" si="45"/>
        <v>6200</v>
      </c>
      <c r="I458">
        <f t="shared" ca="1" si="46"/>
        <v>0.85807577462583839</v>
      </c>
      <c r="J458">
        <v>0</v>
      </c>
    </row>
    <row r="459" spans="1:10" x14ac:dyDescent="0.3">
      <c r="A459" t="str">
        <f t="shared" si="47"/>
        <v>HH458</v>
      </c>
      <c r="B459" t="str">
        <f ca="1">LOOKUP(RAND(),{0,0.28,0.55,0.78},{"Oloitoktok A","Oloitoktok B","Kiserian","Namanga"})</f>
        <v>Kiserian</v>
      </c>
      <c r="C459">
        <f ca="1">LOOKUP(RAND(),{0,0.02,0.09,0.2,0.35,0.52,0.68,0.81,0.91,0.97},{1,2,3,4,5,6,7,8,9,10})</f>
        <v>6</v>
      </c>
      <c r="D459">
        <f t="shared" ca="1" si="42"/>
        <v>93600</v>
      </c>
      <c r="E459" t="str">
        <f ca="1">IF(B459="Oloitoktok A",IF(D459&lt;15000,LOOKUP(RAND(),{0,0.45,0.75,0.92},{"River","Rainwater","Borehole","Vendor"}),IF(D459&lt;30000,LOOKUP(RAND(),{0,0.35,0.65,0.85},{"River","Rainwater","Borehole","Vendor"}),LOOKUP(RAND(),{0,0.25,0.5,0.75},{"River","Rainwater","Borehole","Vendor"}))),IF(B459="Oloitoktok B",IF(D459&lt;15000,LOOKUP(RAND(),{0,0.5,0.78,0.94},{"River","Rainwater","Borehole","Vendor"}),IF(D459&lt;30000,LOOKUP(RAND(),{0,0.4,0.68,0.87},{"River","Rainwater","Borehole","Vendor"}),LOOKUP(RAND(),{0,0.28,0.55,0.78},{"River","Rainwater","Borehole","Vendor"}))),IF(B459="Kiserian",IF(D459&lt;15000,LOOKUP(RAND(),{0,0.35,0.65,0.9},{"River","Rainwater","Borehole","Vendor"}),IF(D459&lt;30000,LOOKUP(RAND(),{0,0.25,0.55,0.82},{"River","Rainwater","Borehole","Vendor"}),LOOKUP(RAND(),{0,0.15,0.45,0.72},{"River","Rainwater","Borehole","Vendor"}))),IF(D459&lt;15000,LOOKUP(RAND(),{0,0.4,0.7,0.92},{"River","Rainwater","Borehole","Vendor"}),IF(D459&lt;30000,LOOKUP(RAND(),{0,0.3,0.6,0.85},{"River","Rainwater","Borehole","Vendor"}),LOOKUP(RAND(),{0,0.2,0.5,0.75},{"River","Rainwater","Borehole","Vendor"}))))))</f>
        <v>River</v>
      </c>
      <c r="F459">
        <f t="shared" ca="1" si="43"/>
        <v>61</v>
      </c>
      <c r="G459">
        <f t="shared" ca="1" si="44"/>
        <v>3</v>
      </c>
      <c r="H459">
        <f t="shared" ca="1" si="45"/>
        <v>6900</v>
      </c>
      <c r="I459">
        <f t="shared" ca="1" si="46"/>
        <v>4.2920144631486412E-3</v>
      </c>
      <c r="J459">
        <v>0</v>
      </c>
    </row>
    <row r="460" spans="1:10" x14ac:dyDescent="0.3">
      <c r="A460" t="str">
        <f t="shared" si="47"/>
        <v>HH459</v>
      </c>
      <c r="B460" t="str">
        <f ca="1">LOOKUP(RAND(),{0,0.28,0.55,0.78},{"Oloitoktok A","Oloitoktok B","Kiserian","Namanga"})</f>
        <v>Kiserian</v>
      </c>
      <c r="C460">
        <f ca="1">LOOKUP(RAND(),{0,0.02,0.09,0.2,0.35,0.52,0.68,0.81,0.91,0.97},{1,2,3,4,5,6,7,8,9,10})</f>
        <v>7</v>
      </c>
      <c r="D460">
        <f t="shared" ca="1" si="42"/>
        <v>27000</v>
      </c>
      <c r="E460" t="str">
        <f ca="1">IF(B460="Oloitoktok A",IF(D460&lt;15000,LOOKUP(RAND(),{0,0.45,0.75,0.92},{"River","Rainwater","Borehole","Vendor"}),IF(D460&lt;30000,LOOKUP(RAND(),{0,0.35,0.65,0.85},{"River","Rainwater","Borehole","Vendor"}),LOOKUP(RAND(),{0,0.25,0.5,0.75},{"River","Rainwater","Borehole","Vendor"}))),IF(B460="Oloitoktok B",IF(D460&lt;15000,LOOKUP(RAND(),{0,0.5,0.78,0.94},{"River","Rainwater","Borehole","Vendor"}),IF(D460&lt;30000,LOOKUP(RAND(),{0,0.4,0.68,0.87},{"River","Rainwater","Borehole","Vendor"}),LOOKUP(RAND(),{0,0.28,0.55,0.78},{"River","Rainwater","Borehole","Vendor"}))),IF(B460="Kiserian",IF(D460&lt;15000,LOOKUP(RAND(),{0,0.35,0.65,0.9},{"River","Rainwater","Borehole","Vendor"}),IF(D460&lt;30000,LOOKUP(RAND(),{0,0.25,0.55,0.82},{"River","Rainwater","Borehole","Vendor"}),LOOKUP(RAND(),{0,0.15,0.45,0.72},{"River","Rainwater","Borehole","Vendor"}))),IF(D460&lt;15000,LOOKUP(RAND(),{0,0.4,0.7,0.92},{"River","Rainwater","Borehole","Vendor"}),IF(D460&lt;30000,LOOKUP(RAND(),{0,0.3,0.6,0.85},{"River","Rainwater","Borehole","Vendor"}),LOOKUP(RAND(),{0,0.2,0.5,0.75},{"River","Rainwater","Borehole","Vendor"}))))))</f>
        <v>Rainwater</v>
      </c>
      <c r="F460">
        <f t="shared" ca="1" si="43"/>
        <v>63</v>
      </c>
      <c r="G460">
        <f t="shared" ca="1" si="44"/>
        <v>4.4000000000000004</v>
      </c>
      <c r="H460">
        <f t="shared" ca="1" si="45"/>
        <v>2600</v>
      </c>
      <c r="I460">
        <f t="shared" ca="1" si="46"/>
        <v>0.7146502098137314</v>
      </c>
      <c r="J460">
        <v>0</v>
      </c>
    </row>
    <row r="461" spans="1:10" x14ac:dyDescent="0.3">
      <c r="A461" t="str">
        <f t="shared" si="47"/>
        <v>HH460</v>
      </c>
      <c r="B461" t="str">
        <f ca="1">LOOKUP(RAND(),{0,0.28,0.55,0.78},{"Oloitoktok A","Oloitoktok B","Kiserian","Namanga"})</f>
        <v>Namanga</v>
      </c>
      <c r="C461">
        <f ca="1">LOOKUP(RAND(),{0,0.02,0.09,0.2,0.35,0.52,0.68,0.81,0.91,0.97},{1,2,3,4,5,6,7,8,9,10})</f>
        <v>7</v>
      </c>
      <c r="D461">
        <f t="shared" ca="1" si="42"/>
        <v>63300</v>
      </c>
      <c r="E461" t="str">
        <f ca="1">IF(B461="Oloitoktok A",IF(D461&lt;15000,LOOKUP(RAND(),{0,0.45,0.75,0.92},{"River","Rainwater","Borehole","Vendor"}),IF(D461&lt;30000,LOOKUP(RAND(),{0,0.35,0.65,0.85},{"River","Rainwater","Borehole","Vendor"}),LOOKUP(RAND(),{0,0.25,0.5,0.75},{"River","Rainwater","Borehole","Vendor"}))),IF(B461="Oloitoktok B",IF(D461&lt;15000,LOOKUP(RAND(),{0,0.5,0.78,0.94},{"River","Rainwater","Borehole","Vendor"}),IF(D461&lt;30000,LOOKUP(RAND(),{0,0.4,0.68,0.87},{"River","Rainwater","Borehole","Vendor"}),LOOKUP(RAND(),{0,0.28,0.55,0.78},{"River","Rainwater","Borehole","Vendor"}))),IF(B461="Kiserian",IF(D461&lt;15000,LOOKUP(RAND(),{0,0.35,0.65,0.9},{"River","Rainwater","Borehole","Vendor"}),IF(D461&lt;30000,LOOKUP(RAND(),{0,0.25,0.55,0.82},{"River","Rainwater","Borehole","Vendor"}),LOOKUP(RAND(),{0,0.15,0.45,0.72},{"River","Rainwater","Borehole","Vendor"}))),IF(D461&lt;15000,LOOKUP(RAND(),{0,0.4,0.7,0.92},{"River","Rainwater","Borehole","Vendor"}),IF(D461&lt;30000,LOOKUP(RAND(),{0,0.3,0.6,0.85},{"River","Rainwater","Borehole","Vendor"}),LOOKUP(RAND(),{0,0.2,0.5,0.75},{"River","Rainwater","Borehole","Vendor"}))))))</f>
        <v>Rainwater</v>
      </c>
      <c r="F461">
        <f t="shared" ca="1" si="43"/>
        <v>19</v>
      </c>
      <c r="G461">
        <f t="shared" ca="1" si="44"/>
        <v>0.5</v>
      </c>
      <c r="H461">
        <f t="shared" ca="1" si="45"/>
        <v>5100</v>
      </c>
      <c r="I461">
        <f t="shared" ca="1" si="46"/>
        <v>0.47693711340355049</v>
      </c>
      <c r="J461">
        <v>0</v>
      </c>
    </row>
    <row r="462" spans="1:10" x14ac:dyDescent="0.3">
      <c r="A462" t="str">
        <f t="shared" si="47"/>
        <v>HH461</v>
      </c>
      <c r="B462" t="str">
        <f ca="1">LOOKUP(RAND(),{0,0.28,0.55,0.78},{"Oloitoktok A","Oloitoktok B","Kiserian","Namanga"})</f>
        <v>Namanga</v>
      </c>
      <c r="C462">
        <f ca="1">LOOKUP(RAND(),{0,0.02,0.09,0.2,0.35,0.52,0.68,0.81,0.91,0.97},{1,2,3,4,5,6,7,8,9,10})</f>
        <v>4</v>
      </c>
      <c r="D462">
        <f t="shared" ca="1" si="42"/>
        <v>15400</v>
      </c>
      <c r="E462" t="str">
        <f ca="1">IF(B462="Oloitoktok A",IF(D462&lt;15000,LOOKUP(RAND(),{0,0.45,0.75,0.92},{"River","Rainwater","Borehole","Vendor"}),IF(D462&lt;30000,LOOKUP(RAND(),{0,0.35,0.65,0.85},{"River","Rainwater","Borehole","Vendor"}),LOOKUP(RAND(),{0,0.25,0.5,0.75},{"River","Rainwater","Borehole","Vendor"}))),IF(B462="Oloitoktok B",IF(D462&lt;15000,LOOKUP(RAND(),{0,0.5,0.78,0.94},{"River","Rainwater","Borehole","Vendor"}),IF(D462&lt;30000,LOOKUP(RAND(),{0,0.4,0.68,0.87},{"River","Rainwater","Borehole","Vendor"}),LOOKUP(RAND(),{0,0.28,0.55,0.78},{"River","Rainwater","Borehole","Vendor"}))),IF(B462="Kiserian",IF(D462&lt;15000,LOOKUP(RAND(),{0,0.35,0.65,0.9},{"River","Rainwater","Borehole","Vendor"}),IF(D462&lt;30000,LOOKUP(RAND(),{0,0.25,0.55,0.82},{"River","Rainwater","Borehole","Vendor"}),LOOKUP(RAND(),{0,0.15,0.45,0.72},{"River","Rainwater","Borehole","Vendor"}))),IF(D462&lt;15000,LOOKUP(RAND(),{0,0.4,0.7,0.92},{"River","Rainwater","Borehole","Vendor"}),IF(D462&lt;30000,LOOKUP(RAND(),{0,0.3,0.6,0.85},{"River","Rainwater","Borehole","Vendor"}),LOOKUP(RAND(),{0,0.2,0.5,0.75},{"River","Rainwater","Borehole","Vendor"}))))))</f>
        <v>Rainwater</v>
      </c>
      <c r="F462">
        <f t="shared" ca="1" si="43"/>
        <v>56</v>
      </c>
      <c r="G462">
        <f t="shared" ca="1" si="44"/>
        <v>10.1</v>
      </c>
      <c r="H462">
        <f t="shared" ca="1" si="45"/>
        <v>1200</v>
      </c>
      <c r="I462">
        <f t="shared" ca="1" si="46"/>
        <v>0.55786965062551153</v>
      </c>
      <c r="J462">
        <v>0</v>
      </c>
    </row>
    <row r="463" spans="1:10" x14ac:dyDescent="0.3">
      <c r="A463" t="str">
        <f t="shared" si="47"/>
        <v>HH462</v>
      </c>
      <c r="B463" t="str">
        <f ca="1">LOOKUP(RAND(),{0,0.28,0.55,0.78},{"Oloitoktok A","Oloitoktok B","Kiserian","Namanga"})</f>
        <v>Kiserian</v>
      </c>
      <c r="C463">
        <f ca="1">LOOKUP(RAND(),{0,0.02,0.09,0.2,0.35,0.52,0.68,0.81,0.91,0.97},{1,2,3,4,5,6,7,8,9,10})</f>
        <v>8</v>
      </c>
      <c r="D463">
        <f t="shared" ca="1" si="42"/>
        <v>68000</v>
      </c>
      <c r="E463" t="str">
        <f ca="1">IF(B463="Oloitoktok A",IF(D463&lt;15000,LOOKUP(RAND(),{0,0.45,0.75,0.92},{"River","Rainwater","Borehole","Vendor"}),IF(D463&lt;30000,LOOKUP(RAND(),{0,0.35,0.65,0.85},{"River","Rainwater","Borehole","Vendor"}),LOOKUP(RAND(),{0,0.25,0.5,0.75},{"River","Rainwater","Borehole","Vendor"}))),IF(B463="Oloitoktok B",IF(D463&lt;15000,LOOKUP(RAND(),{0,0.5,0.78,0.94},{"River","Rainwater","Borehole","Vendor"}),IF(D463&lt;30000,LOOKUP(RAND(),{0,0.4,0.68,0.87},{"River","Rainwater","Borehole","Vendor"}),LOOKUP(RAND(),{0,0.28,0.55,0.78},{"River","Rainwater","Borehole","Vendor"}))),IF(B463="Kiserian",IF(D463&lt;15000,LOOKUP(RAND(),{0,0.35,0.65,0.9},{"River","Rainwater","Borehole","Vendor"}),IF(D463&lt;30000,LOOKUP(RAND(),{0,0.25,0.55,0.82},{"River","Rainwater","Borehole","Vendor"}),LOOKUP(RAND(),{0,0.15,0.45,0.72},{"River","Rainwater","Borehole","Vendor"}))),IF(D463&lt;15000,LOOKUP(RAND(),{0,0.4,0.7,0.92},{"River","Rainwater","Borehole","Vendor"}),IF(D463&lt;30000,LOOKUP(RAND(),{0,0.3,0.6,0.85},{"River","Rainwater","Borehole","Vendor"}),LOOKUP(RAND(),{0,0.2,0.5,0.75},{"River","Rainwater","Borehole","Vendor"}))))))</f>
        <v>Rainwater</v>
      </c>
      <c r="F463">
        <f t="shared" ca="1" si="43"/>
        <v>17</v>
      </c>
      <c r="G463">
        <f t="shared" ca="1" si="44"/>
        <v>5.5</v>
      </c>
      <c r="H463">
        <f t="shared" ca="1" si="45"/>
        <v>16100</v>
      </c>
      <c r="I463">
        <f t="shared" ca="1" si="46"/>
        <v>0.53843457955038543</v>
      </c>
      <c r="J463">
        <v>0</v>
      </c>
    </row>
    <row r="464" spans="1:10" x14ac:dyDescent="0.3">
      <c r="A464" t="str">
        <f t="shared" si="47"/>
        <v>HH463</v>
      </c>
      <c r="B464" t="str">
        <f ca="1">LOOKUP(RAND(),{0,0.28,0.55,0.78},{"Oloitoktok A","Oloitoktok B","Kiserian","Namanga"})</f>
        <v>Namanga</v>
      </c>
      <c r="C464">
        <f ca="1">LOOKUP(RAND(),{0,0.02,0.09,0.2,0.35,0.52,0.68,0.81,0.91,0.97},{1,2,3,4,5,6,7,8,9,10})</f>
        <v>9</v>
      </c>
      <c r="D464">
        <f t="shared" ca="1" si="42"/>
        <v>45800</v>
      </c>
      <c r="E464" t="str">
        <f ca="1">IF(B464="Oloitoktok A",IF(D464&lt;15000,LOOKUP(RAND(),{0,0.45,0.75,0.92},{"River","Rainwater","Borehole","Vendor"}),IF(D464&lt;30000,LOOKUP(RAND(),{0,0.35,0.65,0.85},{"River","Rainwater","Borehole","Vendor"}),LOOKUP(RAND(),{0,0.25,0.5,0.75},{"River","Rainwater","Borehole","Vendor"}))),IF(B464="Oloitoktok B",IF(D464&lt;15000,LOOKUP(RAND(),{0,0.5,0.78,0.94},{"River","Rainwater","Borehole","Vendor"}),IF(D464&lt;30000,LOOKUP(RAND(),{0,0.4,0.68,0.87},{"River","Rainwater","Borehole","Vendor"}),LOOKUP(RAND(),{0,0.28,0.55,0.78},{"River","Rainwater","Borehole","Vendor"}))),IF(B464="Kiserian",IF(D464&lt;15000,LOOKUP(RAND(),{0,0.35,0.65,0.9},{"River","Rainwater","Borehole","Vendor"}),IF(D464&lt;30000,LOOKUP(RAND(),{0,0.25,0.55,0.82},{"River","Rainwater","Borehole","Vendor"}),LOOKUP(RAND(),{0,0.15,0.45,0.72},{"River","Rainwater","Borehole","Vendor"}))),IF(D464&lt;15000,LOOKUP(RAND(),{0,0.4,0.7,0.92},{"River","Rainwater","Borehole","Vendor"}),IF(D464&lt;30000,LOOKUP(RAND(),{0,0.3,0.6,0.85},{"River","Rainwater","Borehole","Vendor"}),LOOKUP(RAND(),{0,0.2,0.5,0.75},{"River","Rainwater","Borehole","Vendor"}))))))</f>
        <v>River</v>
      </c>
      <c r="F464">
        <f t="shared" ca="1" si="43"/>
        <v>86</v>
      </c>
      <c r="G464">
        <f t="shared" ca="1" si="44"/>
        <v>3</v>
      </c>
      <c r="H464">
        <f t="shared" ca="1" si="45"/>
        <v>5400</v>
      </c>
      <c r="I464">
        <f t="shared" ca="1" si="46"/>
        <v>0.36210769327511372</v>
      </c>
      <c r="J464">
        <v>0</v>
      </c>
    </row>
    <row r="465" spans="1:10" x14ac:dyDescent="0.3">
      <c r="A465" t="str">
        <f t="shared" si="47"/>
        <v>HH464</v>
      </c>
      <c r="B465" t="str">
        <f ca="1">LOOKUP(RAND(),{0,0.28,0.55,0.78},{"Oloitoktok A","Oloitoktok B","Kiserian","Namanga"})</f>
        <v>Oloitoktok B</v>
      </c>
      <c r="C465">
        <f ca="1">LOOKUP(RAND(),{0,0.02,0.09,0.2,0.35,0.52,0.68,0.81,0.91,0.97},{1,2,3,4,5,6,7,8,9,10})</f>
        <v>4</v>
      </c>
      <c r="D465">
        <f t="shared" ca="1" si="42"/>
        <v>17700</v>
      </c>
      <c r="E465" t="str">
        <f ca="1">IF(B465="Oloitoktok A",IF(D465&lt;15000,LOOKUP(RAND(),{0,0.45,0.75,0.92},{"River","Rainwater","Borehole","Vendor"}),IF(D465&lt;30000,LOOKUP(RAND(),{0,0.35,0.65,0.85},{"River","Rainwater","Borehole","Vendor"}),LOOKUP(RAND(),{0,0.25,0.5,0.75},{"River","Rainwater","Borehole","Vendor"}))),IF(B465="Oloitoktok B",IF(D465&lt;15000,LOOKUP(RAND(),{0,0.5,0.78,0.94},{"River","Rainwater","Borehole","Vendor"}),IF(D465&lt;30000,LOOKUP(RAND(),{0,0.4,0.68,0.87},{"River","Rainwater","Borehole","Vendor"}),LOOKUP(RAND(),{0,0.28,0.55,0.78},{"River","Rainwater","Borehole","Vendor"}))),IF(B465="Kiserian",IF(D465&lt;15000,LOOKUP(RAND(),{0,0.35,0.65,0.9},{"River","Rainwater","Borehole","Vendor"}),IF(D465&lt;30000,LOOKUP(RAND(),{0,0.25,0.55,0.82},{"River","Rainwater","Borehole","Vendor"}),LOOKUP(RAND(),{0,0.15,0.45,0.72},{"River","Rainwater","Borehole","Vendor"}))),IF(D465&lt;15000,LOOKUP(RAND(),{0,0.4,0.7,0.92},{"River","Rainwater","Borehole","Vendor"}),IF(D465&lt;30000,LOOKUP(RAND(),{0,0.3,0.6,0.85},{"River","Rainwater","Borehole","Vendor"}),LOOKUP(RAND(),{0,0.2,0.5,0.75},{"River","Rainwater","Borehole","Vendor"}))))))</f>
        <v>Borehole</v>
      </c>
      <c r="F465">
        <f t="shared" ca="1" si="43"/>
        <v>56</v>
      </c>
      <c r="G465">
        <f t="shared" ca="1" si="44"/>
        <v>6.2</v>
      </c>
      <c r="H465">
        <f t="shared" ca="1" si="45"/>
        <v>1900</v>
      </c>
      <c r="I465">
        <f t="shared" ca="1" si="46"/>
        <v>0.22473287678640819</v>
      </c>
      <c r="J465">
        <v>0</v>
      </c>
    </row>
    <row r="466" spans="1:10" x14ac:dyDescent="0.3">
      <c r="A466" t="str">
        <f t="shared" si="47"/>
        <v>HH465</v>
      </c>
      <c r="B466" t="str">
        <f ca="1">LOOKUP(RAND(),{0,0.28,0.55,0.78},{"Oloitoktok A","Oloitoktok B","Kiserian","Namanga"})</f>
        <v>Namanga</v>
      </c>
      <c r="C466">
        <f ca="1">LOOKUP(RAND(),{0,0.02,0.09,0.2,0.35,0.52,0.68,0.81,0.91,0.97},{1,2,3,4,5,6,7,8,9,10})</f>
        <v>7</v>
      </c>
      <c r="D466">
        <f t="shared" ca="1" si="42"/>
        <v>49500</v>
      </c>
      <c r="E466" t="str">
        <f ca="1">IF(B466="Oloitoktok A",IF(D466&lt;15000,LOOKUP(RAND(),{0,0.45,0.75,0.92},{"River","Rainwater","Borehole","Vendor"}),IF(D466&lt;30000,LOOKUP(RAND(),{0,0.35,0.65,0.85},{"River","Rainwater","Borehole","Vendor"}),LOOKUP(RAND(),{0,0.25,0.5,0.75},{"River","Rainwater","Borehole","Vendor"}))),IF(B466="Oloitoktok B",IF(D466&lt;15000,LOOKUP(RAND(),{0,0.5,0.78,0.94},{"River","Rainwater","Borehole","Vendor"}),IF(D466&lt;30000,LOOKUP(RAND(),{0,0.4,0.68,0.87},{"River","Rainwater","Borehole","Vendor"}),LOOKUP(RAND(),{0,0.28,0.55,0.78},{"River","Rainwater","Borehole","Vendor"}))),IF(B466="Kiserian",IF(D466&lt;15000,LOOKUP(RAND(),{0,0.35,0.65,0.9},{"River","Rainwater","Borehole","Vendor"}),IF(D466&lt;30000,LOOKUP(RAND(),{0,0.25,0.55,0.82},{"River","Rainwater","Borehole","Vendor"}),LOOKUP(RAND(),{0,0.15,0.45,0.72},{"River","Rainwater","Borehole","Vendor"}))),IF(D466&lt;15000,LOOKUP(RAND(),{0,0.4,0.7,0.92},{"River","Rainwater","Borehole","Vendor"}),IF(D466&lt;30000,LOOKUP(RAND(),{0,0.3,0.6,0.85},{"River","Rainwater","Borehole","Vendor"}),LOOKUP(RAND(),{0,0.2,0.5,0.75},{"River","Rainwater","Borehole","Vendor"}))))))</f>
        <v>Rainwater</v>
      </c>
      <c r="F466">
        <f t="shared" ca="1" si="43"/>
        <v>49</v>
      </c>
      <c r="G466">
        <f t="shared" ca="1" si="44"/>
        <v>8.9</v>
      </c>
      <c r="H466">
        <f t="shared" ca="1" si="45"/>
        <v>9200</v>
      </c>
      <c r="I466">
        <f t="shared" ca="1" si="46"/>
        <v>0.77567346312604846</v>
      </c>
      <c r="J466">
        <v>0</v>
      </c>
    </row>
    <row r="467" spans="1:10" x14ac:dyDescent="0.3">
      <c r="A467" t="str">
        <f t="shared" si="47"/>
        <v>HH466</v>
      </c>
      <c r="B467" t="str">
        <f ca="1">LOOKUP(RAND(),{0,0.28,0.55,0.78},{"Oloitoktok A","Oloitoktok B","Kiserian","Namanga"})</f>
        <v>Oloitoktok B</v>
      </c>
      <c r="C467">
        <f ca="1">LOOKUP(RAND(),{0,0.02,0.09,0.2,0.35,0.52,0.68,0.81,0.91,0.97},{1,2,3,4,5,6,7,8,9,10})</f>
        <v>5</v>
      </c>
      <c r="D467">
        <f t="shared" ca="1" si="42"/>
        <v>58000</v>
      </c>
      <c r="E467" t="str">
        <f ca="1">IF(B467="Oloitoktok A",IF(D467&lt;15000,LOOKUP(RAND(),{0,0.45,0.75,0.92},{"River","Rainwater","Borehole","Vendor"}),IF(D467&lt;30000,LOOKUP(RAND(),{0,0.35,0.65,0.85},{"River","Rainwater","Borehole","Vendor"}),LOOKUP(RAND(),{0,0.25,0.5,0.75},{"River","Rainwater","Borehole","Vendor"}))),IF(B467="Oloitoktok B",IF(D467&lt;15000,LOOKUP(RAND(),{0,0.5,0.78,0.94},{"River","Rainwater","Borehole","Vendor"}),IF(D467&lt;30000,LOOKUP(RAND(),{0,0.4,0.68,0.87},{"River","Rainwater","Borehole","Vendor"}),LOOKUP(RAND(),{0,0.28,0.55,0.78},{"River","Rainwater","Borehole","Vendor"}))),IF(B467="Kiserian",IF(D467&lt;15000,LOOKUP(RAND(),{0,0.35,0.65,0.9},{"River","Rainwater","Borehole","Vendor"}),IF(D467&lt;30000,LOOKUP(RAND(),{0,0.25,0.55,0.82},{"River","Rainwater","Borehole","Vendor"}),LOOKUP(RAND(),{0,0.15,0.45,0.72},{"River","Rainwater","Borehole","Vendor"}))),IF(D467&lt;15000,LOOKUP(RAND(),{0,0.4,0.7,0.92},{"River","Rainwater","Borehole","Vendor"}),IF(D467&lt;30000,LOOKUP(RAND(),{0,0.3,0.6,0.85},{"River","Rainwater","Borehole","Vendor"}),LOOKUP(RAND(),{0,0.2,0.5,0.75},{"River","Rainwater","Borehole","Vendor"}))))))</f>
        <v>Vendor</v>
      </c>
      <c r="F467">
        <f t="shared" ca="1" si="43"/>
        <v>53</v>
      </c>
      <c r="G467">
        <f t="shared" ca="1" si="44"/>
        <v>0.7</v>
      </c>
      <c r="H467">
        <f t="shared" ca="1" si="45"/>
        <v>600</v>
      </c>
      <c r="I467">
        <f t="shared" ca="1" si="46"/>
        <v>0.75618914239947443</v>
      </c>
      <c r="J467">
        <v>0</v>
      </c>
    </row>
    <row r="468" spans="1:10" x14ac:dyDescent="0.3">
      <c r="A468" t="str">
        <f t="shared" si="47"/>
        <v>HH467</v>
      </c>
      <c r="B468" t="str">
        <f ca="1">LOOKUP(RAND(),{0,0.28,0.55,0.78},{"Oloitoktok A","Oloitoktok B","Kiserian","Namanga"})</f>
        <v>Namanga</v>
      </c>
      <c r="C468">
        <f ca="1">LOOKUP(RAND(),{0,0.02,0.09,0.2,0.35,0.52,0.68,0.81,0.91,0.97},{1,2,3,4,5,6,7,8,9,10})</f>
        <v>9</v>
      </c>
      <c r="D468">
        <f t="shared" ca="1" si="42"/>
        <v>36000</v>
      </c>
      <c r="E468" t="str">
        <f ca="1">IF(B468="Oloitoktok A",IF(D468&lt;15000,LOOKUP(RAND(),{0,0.45,0.75,0.92},{"River","Rainwater","Borehole","Vendor"}),IF(D468&lt;30000,LOOKUP(RAND(),{0,0.35,0.65,0.85},{"River","Rainwater","Borehole","Vendor"}),LOOKUP(RAND(),{0,0.25,0.5,0.75},{"River","Rainwater","Borehole","Vendor"}))),IF(B468="Oloitoktok B",IF(D468&lt;15000,LOOKUP(RAND(),{0,0.5,0.78,0.94},{"River","Rainwater","Borehole","Vendor"}),IF(D468&lt;30000,LOOKUP(RAND(),{0,0.4,0.68,0.87},{"River","Rainwater","Borehole","Vendor"}),LOOKUP(RAND(),{0,0.28,0.55,0.78},{"River","Rainwater","Borehole","Vendor"}))),IF(B468="Kiserian",IF(D468&lt;15000,LOOKUP(RAND(),{0,0.35,0.65,0.9},{"River","Rainwater","Borehole","Vendor"}),IF(D468&lt;30000,LOOKUP(RAND(),{0,0.25,0.55,0.82},{"River","Rainwater","Borehole","Vendor"}),LOOKUP(RAND(),{0,0.15,0.45,0.72},{"River","Rainwater","Borehole","Vendor"}))),IF(D468&lt;15000,LOOKUP(RAND(),{0,0.4,0.7,0.92},{"River","Rainwater","Borehole","Vendor"}),IF(D468&lt;30000,LOOKUP(RAND(),{0,0.3,0.6,0.85},{"River","Rainwater","Borehole","Vendor"}),LOOKUP(RAND(),{0,0.2,0.5,0.75},{"River","Rainwater","Borehole","Vendor"}))))))</f>
        <v>Vendor</v>
      </c>
      <c r="F468">
        <f t="shared" ca="1" si="43"/>
        <v>40</v>
      </c>
      <c r="G468">
        <f t="shared" ca="1" si="44"/>
        <v>4.8</v>
      </c>
      <c r="H468">
        <f t="shared" ca="1" si="45"/>
        <v>2600</v>
      </c>
      <c r="I468">
        <f t="shared" ca="1" si="46"/>
        <v>0.81894606227932198</v>
      </c>
      <c r="J468">
        <v>0</v>
      </c>
    </row>
    <row r="469" spans="1:10" x14ac:dyDescent="0.3">
      <c r="A469" t="str">
        <f t="shared" si="47"/>
        <v>HH468</v>
      </c>
      <c r="B469" t="str">
        <f ca="1">LOOKUP(RAND(),{0,0.28,0.55,0.78},{"Oloitoktok A","Oloitoktok B","Kiserian","Namanga"})</f>
        <v>Oloitoktok B</v>
      </c>
      <c r="C469">
        <f ca="1">LOOKUP(RAND(),{0,0.02,0.09,0.2,0.35,0.52,0.68,0.81,0.91,0.97},{1,2,3,4,5,6,7,8,9,10})</f>
        <v>8</v>
      </c>
      <c r="D469">
        <f t="shared" ca="1" si="42"/>
        <v>36300</v>
      </c>
      <c r="E469" t="str">
        <f ca="1">IF(B469="Oloitoktok A",IF(D469&lt;15000,LOOKUP(RAND(),{0,0.45,0.75,0.92},{"River","Rainwater","Borehole","Vendor"}),IF(D469&lt;30000,LOOKUP(RAND(),{0,0.35,0.65,0.85},{"River","Rainwater","Borehole","Vendor"}),LOOKUP(RAND(),{0,0.25,0.5,0.75},{"River","Rainwater","Borehole","Vendor"}))),IF(B469="Oloitoktok B",IF(D469&lt;15000,LOOKUP(RAND(),{0,0.5,0.78,0.94},{"River","Rainwater","Borehole","Vendor"}),IF(D469&lt;30000,LOOKUP(RAND(),{0,0.4,0.68,0.87},{"River","Rainwater","Borehole","Vendor"}),LOOKUP(RAND(),{0,0.28,0.55,0.78},{"River","Rainwater","Borehole","Vendor"}))),IF(B469="Kiserian",IF(D469&lt;15000,LOOKUP(RAND(),{0,0.35,0.65,0.9},{"River","Rainwater","Borehole","Vendor"}),IF(D469&lt;30000,LOOKUP(RAND(),{0,0.25,0.55,0.82},{"River","Rainwater","Borehole","Vendor"}),LOOKUP(RAND(),{0,0.15,0.45,0.72},{"River","Rainwater","Borehole","Vendor"}))),IF(D469&lt;15000,LOOKUP(RAND(),{0,0.4,0.7,0.92},{"River","Rainwater","Borehole","Vendor"}),IF(D469&lt;30000,LOOKUP(RAND(),{0,0.3,0.6,0.85},{"River","Rainwater","Borehole","Vendor"}),LOOKUP(RAND(),{0,0.2,0.5,0.75},{"River","Rainwater","Borehole","Vendor"}))))))</f>
        <v>Rainwater</v>
      </c>
      <c r="F469">
        <f t="shared" ca="1" si="43"/>
        <v>46</v>
      </c>
      <c r="G469">
        <f t="shared" ca="1" si="44"/>
        <v>1</v>
      </c>
      <c r="H469">
        <f t="shared" ca="1" si="45"/>
        <v>12900</v>
      </c>
      <c r="I469">
        <f t="shared" ca="1" si="46"/>
        <v>0.97753903410387422</v>
      </c>
      <c r="J469">
        <v>0</v>
      </c>
    </row>
    <row r="470" spans="1:10" x14ac:dyDescent="0.3">
      <c r="A470" t="str">
        <f t="shared" si="47"/>
        <v>HH469</v>
      </c>
      <c r="B470" t="str">
        <f ca="1">LOOKUP(RAND(),{0,0.28,0.55,0.78},{"Oloitoktok A","Oloitoktok B","Kiserian","Namanga"})</f>
        <v>Oloitoktok B</v>
      </c>
      <c r="C470">
        <f ca="1">LOOKUP(RAND(),{0,0.02,0.09,0.2,0.35,0.52,0.68,0.81,0.91,0.97},{1,2,3,4,5,6,7,8,9,10})</f>
        <v>7</v>
      </c>
      <c r="D470">
        <f t="shared" ca="1" si="42"/>
        <v>51900</v>
      </c>
      <c r="E470" t="str">
        <f ca="1">IF(B470="Oloitoktok A",IF(D470&lt;15000,LOOKUP(RAND(),{0,0.45,0.75,0.92},{"River","Rainwater","Borehole","Vendor"}),IF(D470&lt;30000,LOOKUP(RAND(),{0,0.35,0.65,0.85},{"River","Rainwater","Borehole","Vendor"}),LOOKUP(RAND(),{0,0.25,0.5,0.75},{"River","Rainwater","Borehole","Vendor"}))),IF(B470="Oloitoktok B",IF(D470&lt;15000,LOOKUP(RAND(),{0,0.5,0.78,0.94},{"River","Rainwater","Borehole","Vendor"}),IF(D470&lt;30000,LOOKUP(RAND(),{0,0.4,0.68,0.87},{"River","Rainwater","Borehole","Vendor"}),LOOKUP(RAND(),{0,0.28,0.55,0.78},{"River","Rainwater","Borehole","Vendor"}))),IF(B470="Kiserian",IF(D470&lt;15000,LOOKUP(RAND(),{0,0.35,0.65,0.9},{"River","Rainwater","Borehole","Vendor"}),IF(D470&lt;30000,LOOKUP(RAND(),{0,0.25,0.55,0.82},{"River","Rainwater","Borehole","Vendor"}),LOOKUP(RAND(),{0,0.15,0.45,0.72},{"River","Rainwater","Borehole","Vendor"}))),IF(D470&lt;15000,LOOKUP(RAND(),{0,0.4,0.7,0.92},{"River","Rainwater","Borehole","Vendor"}),IF(D470&lt;30000,LOOKUP(RAND(),{0,0.3,0.6,0.85},{"River","Rainwater","Borehole","Vendor"}),LOOKUP(RAND(),{0,0.2,0.5,0.75},{"River","Rainwater","Borehole","Vendor"}))))))</f>
        <v>Borehole</v>
      </c>
      <c r="F470">
        <f t="shared" ca="1" si="43"/>
        <v>36</v>
      </c>
      <c r="G470">
        <f t="shared" ca="1" si="44"/>
        <v>9.3000000000000007</v>
      </c>
      <c r="H470">
        <f t="shared" ca="1" si="45"/>
        <v>3600</v>
      </c>
      <c r="I470">
        <f t="shared" ca="1" si="46"/>
        <v>0.74884075614511125</v>
      </c>
      <c r="J470">
        <v>0</v>
      </c>
    </row>
    <row r="471" spans="1:10" x14ac:dyDescent="0.3">
      <c r="A471" t="str">
        <f t="shared" si="47"/>
        <v>HH470</v>
      </c>
      <c r="B471" t="str">
        <f ca="1">LOOKUP(RAND(),{0,0.28,0.55,0.78},{"Oloitoktok A","Oloitoktok B","Kiserian","Namanga"})</f>
        <v>Oloitoktok B</v>
      </c>
      <c r="C471">
        <f ca="1">LOOKUP(RAND(),{0,0.02,0.09,0.2,0.35,0.52,0.68,0.81,0.91,0.97},{1,2,3,4,5,6,7,8,9,10})</f>
        <v>3</v>
      </c>
      <c r="D471">
        <f t="shared" ca="1" si="42"/>
        <v>32700</v>
      </c>
      <c r="E471" t="str">
        <f ca="1">IF(B471="Oloitoktok A",IF(D471&lt;15000,LOOKUP(RAND(),{0,0.45,0.75,0.92},{"River","Rainwater","Borehole","Vendor"}),IF(D471&lt;30000,LOOKUP(RAND(),{0,0.35,0.65,0.85},{"River","Rainwater","Borehole","Vendor"}),LOOKUP(RAND(),{0,0.25,0.5,0.75},{"River","Rainwater","Borehole","Vendor"}))),IF(B471="Oloitoktok B",IF(D471&lt;15000,LOOKUP(RAND(),{0,0.5,0.78,0.94},{"River","Rainwater","Borehole","Vendor"}),IF(D471&lt;30000,LOOKUP(RAND(),{0,0.4,0.68,0.87},{"River","Rainwater","Borehole","Vendor"}),LOOKUP(RAND(),{0,0.28,0.55,0.78},{"River","Rainwater","Borehole","Vendor"}))),IF(B471="Kiserian",IF(D471&lt;15000,LOOKUP(RAND(),{0,0.35,0.65,0.9},{"River","Rainwater","Borehole","Vendor"}),IF(D471&lt;30000,LOOKUP(RAND(),{0,0.25,0.55,0.82},{"River","Rainwater","Borehole","Vendor"}),LOOKUP(RAND(),{0,0.15,0.45,0.72},{"River","Rainwater","Borehole","Vendor"}))),IF(D471&lt;15000,LOOKUP(RAND(),{0,0.4,0.7,0.92},{"River","Rainwater","Borehole","Vendor"}),IF(D471&lt;30000,LOOKUP(RAND(),{0,0.3,0.6,0.85},{"River","Rainwater","Borehole","Vendor"}),LOOKUP(RAND(),{0,0.2,0.5,0.75},{"River","Rainwater","Borehole","Vendor"}))))))</f>
        <v>Vendor</v>
      </c>
      <c r="F471">
        <f t="shared" ca="1" si="43"/>
        <v>16</v>
      </c>
      <c r="G471">
        <f t="shared" ca="1" si="44"/>
        <v>8.4</v>
      </c>
      <c r="H471">
        <f t="shared" ca="1" si="45"/>
        <v>6700</v>
      </c>
      <c r="I471">
        <f t="shared" ca="1" si="46"/>
        <v>0.20412612382711348</v>
      </c>
      <c r="J471">
        <v>0</v>
      </c>
    </row>
    <row r="472" spans="1:10" x14ac:dyDescent="0.3">
      <c r="A472" t="str">
        <f t="shared" si="47"/>
        <v>HH471</v>
      </c>
      <c r="B472" t="str">
        <f ca="1">LOOKUP(RAND(),{0,0.28,0.55,0.78},{"Oloitoktok A","Oloitoktok B","Kiserian","Namanga"})</f>
        <v>Oloitoktok A</v>
      </c>
      <c r="C472">
        <f ca="1">LOOKUP(RAND(),{0,0.02,0.09,0.2,0.35,0.52,0.68,0.81,0.91,0.97},{1,2,3,4,5,6,7,8,9,10})</f>
        <v>5</v>
      </c>
      <c r="D472">
        <f t="shared" ca="1" si="42"/>
        <v>22100</v>
      </c>
      <c r="E472" t="str">
        <f ca="1">IF(B472="Oloitoktok A",IF(D472&lt;15000,LOOKUP(RAND(),{0,0.45,0.75,0.92},{"River","Rainwater","Borehole","Vendor"}),IF(D472&lt;30000,LOOKUP(RAND(),{0,0.35,0.65,0.85},{"River","Rainwater","Borehole","Vendor"}),LOOKUP(RAND(),{0,0.25,0.5,0.75},{"River","Rainwater","Borehole","Vendor"}))),IF(B472="Oloitoktok B",IF(D472&lt;15000,LOOKUP(RAND(),{0,0.5,0.78,0.94},{"River","Rainwater","Borehole","Vendor"}),IF(D472&lt;30000,LOOKUP(RAND(),{0,0.4,0.68,0.87},{"River","Rainwater","Borehole","Vendor"}),LOOKUP(RAND(),{0,0.28,0.55,0.78},{"River","Rainwater","Borehole","Vendor"}))),IF(B472="Kiserian",IF(D472&lt;15000,LOOKUP(RAND(),{0,0.35,0.65,0.9},{"River","Rainwater","Borehole","Vendor"}),IF(D472&lt;30000,LOOKUP(RAND(),{0,0.25,0.55,0.82},{"River","Rainwater","Borehole","Vendor"}),LOOKUP(RAND(),{0,0.15,0.45,0.72},{"River","Rainwater","Borehole","Vendor"}))),IF(D472&lt;15000,LOOKUP(RAND(),{0,0.4,0.7,0.92},{"River","Rainwater","Borehole","Vendor"}),IF(D472&lt;30000,LOOKUP(RAND(),{0,0.3,0.6,0.85},{"River","Rainwater","Borehole","Vendor"}),LOOKUP(RAND(),{0,0.2,0.5,0.75},{"River","Rainwater","Borehole","Vendor"}))))))</f>
        <v>River</v>
      </c>
      <c r="F472">
        <f t="shared" ca="1" si="43"/>
        <v>46</v>
      </c>
      <c r="G472">
        <f t="shared" ca="1" si="44"/>
        <v>13.6</v>
      </c>
      <c r="H472">
        <f t="shared" ca="1" si="45"/>
        <v>6000</v>
      </c>
      <c r="I472">
        <f t="shared" ca="1" si="46"/>
        <v>0.93424341830217605</v>
      </c>
      <c r="J472">
        <v>0</v>
      </c>
    </row>
    <row r="473" spans="1:10" x14ac:dyDescent="0.3">
      <c r="A473" t="str">
        <f t="shared" si="47"/>
        <v>HH472</v>
      </c>
      <c r="B473" t="str">
        <f ca="1">LOOKUP(RAND(),{0,0.28,0.55,0.78},{"Oloitoktok A","Oloitoktok B","Kiserian","Namanga"})</f>
        <v>Oloitoktok A</v>
      </c>
      <c r="C473">
        <f ca="1">LOOKUP(RAND(),{0,0.02,0.09,0.2,0.35,0.52,0.68,0.81,0.91,0.97},{1,2,3,4,5,6,7,8,9,10})</f>
        <v>5</v>
      </c>
      <c r="D473">
        <f t="shared" ca="1" si="42"/>
        <v>93500</v>
      </c>
      <c r="E473" t="str">
        <f ca="1">IF(B473="Oloitoktok A",IF(D473&lt;15000,LOOKUP(RAND(),{0,0.45,0.75,0.92},{"River","Rainwater","Borehole","Vendor"}),IF(D473&lt;30000,LOOKUP(RAND(),{0,0.35,0.65,0.85},{"River","Rainwater","Borehole","Vendor"}),LOOKUP(RAND(),{0,0.25,0.5,0.75},{"River","Rainwater","Borehole","Vendor"}))),IF(B473="Oloitoktok B",IF(D473&lt;15000,LOOKUP(RAND(),{0,0.5,0.78,0.94},{"River","Rainwater","Borehole","Vendor"}),IF(D473&lt;30000,LOOKUP(RAND(),{0,0.4,0.68,0.87},{"River","Rainwater","Borehole","Vendor"}),LOOKUP(RAND(),{0,0.28,0.55,0.78},{"River","Rainwater","Borehole","Vendor"}))),IF(B473="Kiserian",IF(D473&lt;15000,LOOKUP(RAND(),{0,0.35,0.65,0.9},{"River","Rainwater","Borehole","Vendor"}),IF(D473&lt;30000,LOOKUP(RAND(),{0,0.25,0.55,0.82},{"River","Rainwater","Borehole","Vendor"}),LOOKUP(RAND(),{0,0.15,0.45,0.72},{"River","Rainwater","Borehole","Vendor"}))),IF(D473&lt;15000,LOOKUP(RAND(),{0,0.4,0.7,0.92},{"River","Rainwater","Borehole","Vendor"}),IF(D473&lt;30000,LOOKUP(RAND(),{0,0.3,0.6,0.85},{"River","Rainwater","Borehole","Vendor"}),LOOKUP(RAND(),{0,0.2,0.5,0.75},{"River","Rainwater","Borehole","Vendor"}))))))</f>
        <v>River</v>
      </c>
      <c r="F473">
        <f t="shared" ca="1" si="43"/>
        <v>106</v>
      </c>
      <c r="G473">
        <f t="shared" ca="1" si="44"/>
        <v>9</v>
      </c>
      <c r="H473">
        <f t="shared" ca="1" si="45"/>
        <v>5500</v>
      </c>
      <c r="I473">
        <f t="shared" ca="1" si="46"/>
        <v>0.71331574977630041</v>
      </c>
      <c r="J473">
        <v>0</v>
      </c>
    </row>
    <row r="474" spans="1:10" x14ac:dyDescent="0.3">
      <c r="A474" t="str">
        <f t="shared" si="47"/>
        <v>HH473</v>
      </c>
      <c r="B474" t="str">
        <f ca="1">LOOKUP(RAND(),{0,0.28,0.55,0.78},{"Oloitoktok A","Oloitoktok B","Kiserian","Namanga"})</f>
        <v>Namanga</v>
      </c>
      <c r="C474">
        <f ca="1">LOOKUP(RAND(),{0,0.02,0.09,0.2,0.35,0.52,0.68,0.81,0.91,0.97},{1,2,3,4,5,6,7,8,9,10})</f>
        <v>2</v>
      </c>
      <c r="D474">
        <f t="shared" ca="1" si="42"/>
        <v>48700</v>
      </c>
      <c r="E474" t="str">
        <f ca="1">IF(B474="Oloitoktok A",IF(D474&lt;15000,LOOKUP(RAND(),{0,0.45,0.75,0.92},{"River","Rainwater","Borehole","Vendor"}),IF(D474&lt;30000,LOOKUP(RAND(),{0,0.35,0.65,0.85},{"River","Rainwater","Borehole","Vendor"}),LOOKUP(RAND(),{0,0.25,0.5,0.75},{"River","Rainwater","Borehole","Vendor"}))),IF(B474="Oloitoktok B",IF(D474&lt;15000,LOOKUP(RAND(),{0,0.5,0.78,0.94},{"River","Rainwater","Borehole","Vendor"}),IF(D474&lt;30000,LOOKUP(RAND(),{0,0.4,0.68,0.87},{"River","Rainwater","Borehole","Vendor"}),LOOKUP(RAND(),{0,0.28,0.55,0.78},{"River","Rainwater","Borehole","Vendor"}))),IF(B474="Kiserian",IF(D474&lt;15000,LOOKUP(RAND(),{0,0.35,0.65,0.9},{"River","Rainwater","Borehole","Vendor"}),IF(D474&lt;30000,LOOKUP(RAND(),{0,0.25,0.55,0.82},{"River","Rainwater","Borehole","Vendor"}),LOOKUP(RAND(),{0,0.15,0.45,0.72},{"River","Rainwater","Borehole","Vendor"}))),IF(D474&lt;15000,LOOKUP(RAND(),{0,0.4,0.7,0.92},{"River","Rainwater","Borehole","Vendor"}),IF(D474&lt;30000,LOOKUP(RAND(),{0,0.3,0.6,0.85},{"River","Rainwater","Borehole","Vendor"}),LOOKUP(RAND(),{0,0.2,0.5,0.75},{"River","Rainwater","Borehole","Vendor"}))))))</f>
        <v>Rainwater</v>
      </c>
      <c r="F474">
        <f t="shared" ca="1" si="43"/>
        <v>60</v>
      </c>
      <c r="G474">
        <f t="shared" ca="1" si="44"/>
        <v>10.6</v>
      </c>
      <c r="H474">
        <f t="shared" ca="1" si="45"/>
        <v>4700</v>
      </c>
      <c r="I474">
        <f t="shared" ca="1" si="46"/>
        <v>0.58447964429082599</v>
      </c>
      <c r="J474">
        <v>0</v>
      </c>
    </row>
    <row r="475" spans="1:10" x14ac:dyDescent="0.3">
      <c r="A475" t="str">
        <f t="shared" si="47"/>
        <v>HH474</v>
      </c>
      <c r="B475" t="str">
        <f ca="1">LOOKUP(RAND(),{0,0.28,0.55,0.78},{"Oloitoktok A","Oloitoktok B","Kiserian","Namanga"})</f>
        <v>Namanga</v>
      </c>
      <c r="C475">
        <f ca="1">LOOKUP(RAND(),{0,0.02,0.09,0.2,0.35,0.52,0.68,0.81,0.91,0.97},{1,2,3,4,5,6,7,8,9,10})</f>
        <v>4</v>
      </c>
      <c r="D475">
        <f t="shared" ca="1" si="42"/>
        <v>20700</v>
      </c>
      <c r="E475" t="str">
        <f ca="1">IF(B475="Oloitoktok A",IF(D475&lt;15000,LOOKUP(RAND(),{0,0.45,0.75,0.92},{"River","Rainwater","Borehole","Vendor"}),IF(D475&lt;30000,LOOKUP(RAND(),{0,0.35,0.65,0.85},{"River","Rainwater","Borehole","Vendor"}),LOOKUP(RAND(),{0,0.25,0.5,0.75},{"River","Rainwater","Borehole","Vendor"}))),IF(B475="Oloitoktok B",IF(D475&lt;15000,LOOKUP(RAND(),{0,0.5,0.78,0.94},{"River","Rainwater","Borehole","Vendor"}),IF(D475&lt;30000,LOOKUP(RAND(),{0,0.4,0.68,0.87},{"River","Rainwater","Borehole","Vendor"}),LOOKUP(RAND(),{0,0.28,0.55,0.78},{"River","Rainwater","Borehole","Vendor"}))),IF(B475="Kiserian",IF(D475&lt;15000,LOOKUP(RAND(),{0,0.35,0.65,0.9},{"River","Rainwater","Borehole","Vendor"}),IF(D475&lt;30000,LOOKUP(RAND(),{0,0.25,0.55,0.82},{"River","Rainwater","Borehole","Vendor"}),LOOKUP(RAND(),{0,0.15,0.45,0.72},{"River","Rainwater","Borehole","Vendor"}))),IF(D475&lt;15000,LOOKUP(RAND(),{0,0.4,0.7,0.92},{"River","Rainwater","Borehole","Vendor"}),IF(D475&lt;30000,LOOKUP(RAND(),{0,0.3,0.6,0.85},{"River","Rainwater","Borehole","Vendor"}),LOOKUP(RAND(),{0,0.2,0.5,0.75},{"River","Rainwater","Borehole","Vendor"}))))))</f>
        <v>Rainwater</v>
      </c>
      <c r="F475">
        <f t="shared" ca="1" si="43"/>
        <v>49</v>
      </c>
      <c r="G475">
        <f t="shared" ca="1" si="44"/>
        <v>0.9</v>
      </c>
      <c r="H475">
        <f t="shared" ca="1" si="45"/>
        <v>10000</v>
      </c>
      <c r="I475">
        <f t="shared" ca="1" si="46"/>
        <v>0.6200822401819448</v>
      </c>
      <c r="J475">
        <v>0</v>
      </c>
    </row>
    <row r="476" spans="1:10" x14ac:dyDescent="0.3">
      <c r="A476" t="str">
        <f t="shared" si="47"/>
        <v>HH475</v>
      </c>
      <c r="B476" t="str">
        <f ca="1">LOOKUP(RAND(),{0,0.28,0.55,0.78},{"Oloitoktok A","Oloitoktok B","Kiserian","Namanga"})</f>
        <v>Namanga</v>
      </c>
      <c r="C476">
        <f ca="1">LOOKUP(RAND(),{0,0.02,0.09,0.2,0.35,0.52,0.68,0.81,0.91,0.97},{1,2,3,4,5,6,7,8,9,10})</f>
        <v>4</v>
      </c>
      <c r="D476">
        <f t="shared" ca="1" si="42"/>
        <v>55400</v>
      </c>
      <c r="E476" t="str">
        <f ca="1">IF(B476="Oloitoktok A",IF(D476&lt;15000,LOOKUP(RAND(),{0,0.45,0.75,0.92},{"River","Rainwater","Borehole","Vendor"}),IF(D476&lt;30000,LOOKUP(RAND(),{0,0.35,0.65,0.85},{"River","Rainwater","Borehole","Vendor"}),LOOKUP(RAND(),{0,0.25,0.5,0.75},{"River","Rainwater","Borehole","Vendor"}))),IF(B476="Oloitoktok B",IF(D476&lt;15000,LOOKUP(RAND(),{0,0.5,0.78,0.94},{"River","Rainwater","Borehole","Vendor"}),IF(D476&lt;30000,LOOKUP(RAND(),{0,0.4,0.68,0.87},{"River","Rainwater","Borehole","Vendor"}),LOOKUP(RAND(),{0,0.28,0.55,0.78},{"River","Rainwater","Borehole","Vendor"}))),IF(B476="Kiserian",IF(D476&lt;15000,LOOKUP(RAND(),{0,0.35,0.65,0.9},{"River","Rainwater","Borehole","Vendor"}),IF(D476&lt;30000,LOOKUP(RAND(),{0,0.25,0.55,0.82},{"River","Rainwater","Borehole","Vendor"}),LOOKUP(RAND(),{0,0.15,0.45,0.72},{"River","Rainwater","Borehole","Vendor"}))),IF(D476&lt;15000,LOOKUP(RAND(),{0,0.4,0.7,0.92},{"River","Rainwater","Borehole","Vendor"}),IF(D476&lt;30000,LOOKUP(RAND(),{0,0.3,0.6,0.85},{"River","Rainwater","Borehole","Vendor"}),LOOKUP(RAND(),{0,0.2,0.5,0.75},{"River","Rainwater","Borehole","Vendor"}))))))</f>
        <v>River</v>
      </c>
      <c r="F476">
        <f t="shared" ca="1" si="43"/>
        <v>98</v>
      </c>
      <c r="G476">
        <f t="shared" ca="1" si="44"/>
        <v>0.4</v>
      </c>
      <c r="H476">
        <f t="shared" ca="1" si="45"/>
        <v>6500</v>
      </c>
      <c r="I476">
        <f t="shared" ca="1" si="46"/>
        <v>0.91455944792007438</v>
      </c>
      <c r="J476">
        <v>0</v>
      </c>
    </row>
    <row r="477" spans="1:10" x14ac:dyDescent="0.3">
      <c r="A477" t="str">
        <f t="shared" si="47"/>
        <v>HH476</v>
      </c>
      <c r="B477" t="str">
        <f ca="1">LOOKUP(RAND(),{0,0.28,0.55,0.78},{"Oloitoktok A","Oloitoktok B","Kiserian","Namanga"})</f>
        <v>Namanga</v>
      </c>
      <c r="C477">
        <f ca="1">LOOKUP(RAND(),{0,0.02,0.09,0.2,0.35,0.52,0.68,0.81,0.91,0.97},{1,2,3,4,5,6,7,8,9,10})</f>
        <v>2</v>
      </c>
      <c r="D477">
        <f t="shared" ca="1" si="42"/>
        <v>22300</v>
      </c>
      <c r="E477" t="str">
        <f ca="1">IF(B477="Oloitoktok A",IF(D477&lt;15000,LOOKUP(RAND(),{0,0.45,0.75,0.92},{"River","Rainwater","Borehole","Vendor"}),IF(D477&lt;30000,LOOKUP(RAND(),{0,0.35,0.65,0.85},{"River","Rainwater","Borehole","Vendor"}),LOOKUP(RAND(),{0,0.25,0.5,0.75},{"River","Rainwater","Borehole","Vendor"}))),IF(B477="Oloitoktok B",IF(D477&lt;15000,LOOKUP(RAND(),{0,0.5,0.78,0.94},{"River","Rainwater","Borehole","Vendor"}),IF(D477&lt;30000,LOOKUP(RAND(),{0,0.4,0.68,0.87},{"River","Rainwater","Borehole","Vendor"}),LOOKUP(RAND(),{0,0.28,0.55,0.78},{"River","Rainwater","Borehole","Vendor"}))),IF(B477="Kiserian",IF(D477&lt;15000,LOOKUP(RAND(),{0,0.35,0.65,0.9},{"River","Rainwater","Borehole","Vendor"}),IF(D477&lt;30000,LOOKUP(RAND(),{0,0.25,0.55,0.82},{"River","Rainwater","Borehole","Vendor"}),LOOKUP(RAND(),{0,0.15,0.45,0.72},{"River","Rainwater","Borehole","Vendor"}))),IF(D477&lt;15000,LOOKUP(RAND(),{0,0.4,0.7,0.92},{"River","Rainwater","Borehole","Vendor"}),IF(D477&lt;30000,LOOKUP(RAND(),{0,0.3,0.6,0.85},{"River","Rainwater","Borehole","Vendor"}),LOOKUP(RAND(),{0,0.2,0.5,0.75},{"River","Rainwater","Borehole","Vendor"}))))))</f>
        <v>Rainwater</v>
      </c>
      <c r="F477">
        <f t="shared" ca="1" si="43"/>
        <v>56</v>
      </c>
      <c r="G477">
        <f t="shared" ca="1" si="44"/>
        <v>6.9</v>
      </c>
      <c r="H477">
        <f t="shared" ca="1" si="45"/>
        <v>2700</v>
      </c>
      <c r="I477">
        <f t="shared" ca="1" si="46"/>
        <v>0.8940646210537655</v>
      </c>
      <c r="J477">
        <v>0</v>
      </c>
    </row>
    <row r="478" spans="1:10" x14ac:dyDescent="0.3">
      <c r="A478" t="str">
        <f t="shared" si="47"/>
        <v>HH477</v>
      </c>
      <c r="B478" t="str">
        <f ca="1">LOOKUP(RAND(),{0,0.28,0.55,0.78},{"Oloitoktok A","Oloitoktok B","Kiserian","Namanga"})</f>
        <v>Oloitoktok A</v>
      </c>
      <c r="C478">
        <f ca="1">LOOKUP(RAND(),{0,0.02,0.09,0.2,0.35,0.52,0.68,0.81,0.91,0.97},{1,2,3,4,5,6,7,8,9,10})</f>
        <v>7</v>
      </c>
      <c r="D478">
        <f t="shared" ca="1" si="42"/>
        <v>41900</v>
      </c>
      <c r="E478" t="str">
        <f ca="1">IF(B478="Oloitoktok A",IF(D478&lt;15000,LOOKUP(RAND(),{0,0.45,0.75,0.92},{"River","Rainwater","Borehole","Vendor"}),IF(D478&lt;30000,LOOKUP(RAND(),{0,0.35,0.65,0.85},{"River","Rainwater","Borehole","Vendor"}),LOOKUP(RAND(),{0,0.25,0.5,0.75},{"River","Rainwater","Borehole","Vendor"}))),IF(B478="Oloitoktok B",IF(D478&lt;15000,LOOKUP(RAND(),{0,0.5,0.78,0.94},{"River","Rainwater","Borehole","Vendor"}),IF(D478&lt;30000,LOOKUP(RAND(),{0,0.4,0.68,0.87},{"River","Rainwater","Borehole","Vendor"}),LOOKUP(RAND(),{0,0.28,0.55,0.78},{"River","Rainwater","Borehole","Vendor"}))),IF(B478="Kiserian",IF(D478&lt;15000,LOOKUP(RAND(),{0,0.35,0.65,0.9},{"River","Rainwater","Borehole","Vendor"}),IF(D478&lt;30000,LOOKUP(RAND(),{0,0.25,0.55,0.82},{"River","Rainwater","Borehole","Vendor"}),LOOKUP(RAND(),{0,0.15,0.45,0.72},{"River","Rainwater","Borehole","Vendor"}))),IF(D478&lt;15000,LOOKUP(RAND(),{0,0.4,0.7,0.92},{"River","Rainwater","Borehole","Vendor"}),IF(D478&lt;30000,LOOKUP(RAND(),{0,0.3,0.6,0.85},{"River","Rainwater","Borehole","Vendor"}),LOOKUP(RAND(),{0,0.2,0.5,0.75},{"River","Rainwater","Borehole","Vendor"}))))))</f>
        <v>Borehole</v>
      </c>
      <c r="F478">
        <f t="shared" ca="1" si="43"/>
        <v>21</v>
      </c>
      <c r="G478">
        <f t="shared" ca="1" si="44"/>
        <v>3.7</v>
      </c>
      <c r="H478">
        <f t="shared" ca="1" si="45"/>
        <v>5400</v>
      </c>
      <c r="I478">
        <f t="shared" ca="1" si="46"/>
        <v>0.36229306206798928</v>
      </c>
      <c r="J478">
        <v>0</v>
      </c>
    </row>
    <row r="479" spans="1:10" x14ac:dyDescent="0.3">
      <c r="A479" t="str">
        <f t="shared" si="47"/>
        <v>HH478</v>
      </c>
      <c r="B479" t="str">
        <f ca="1">LOOKUP(RAND(),{0,0.28,0.55,0.78},{"Oloitoktok A","Oloitoktok B","Kiserian","Namanga"})</f>
        <v>Namanga</v>
      </c>
      <c r="C479">
        <f ca="1">LOOKUP(RAND(),{0,0.02,0.09,0.2,0.35,0.52,0.68,0.81,0.91,0.97},{1,2,3,4,5,6,7,8,9,10})</f>
        <v>5</v>
      </c>
      <c r="D479">
        <f t="shared" ca="1" si="42"/>
        <v>30700</v>
      </c>
      <c r="E479" t="str">
        <f ca="1">IF(B479="Oloitoktok A",IF(D479&lt;15000,LOOKUP(RAND(),{0,0.45,0.75,0.92},{"River","Rainwater","Borehole","Vendor"}),IF(D479&lt;30000,LOOKUP(RAND(),{0,0.35,0.65,0.85},{"River","Rainwater","Borehole","Vendor"}),LOOKUP(RAND(),{0,0.25,0.5,0.75},{"River","Rainwater","Borehole","Vendor"}))),IF(B479="Oloitoktok B",IF(D479&lt;15000,LOOKUP(RAND(),{0,0.5,0.78,0.94},{"River","Rainwater","Borehole","Vendor"}),IF(D479&lt;30000,LOOKUP(RAND(),{0,0.4,0.68,0.87},{"River","Rainwater","Borehole","Vendor"}),LOOKUP(RAND(),{0,0.28,0.55,0.78},{"River","Rainwater","Borehole","Vendor"}))),IF(B479="Kiserian",IF(D479&lt;15000,LOOKUP(RAND(),{0,0.35,0.65,0.9},{"River","Rainwater","Borehole","Vendor"}),IF(D479&lt;30000,LOOKUP(RAND(),{0,0.25,0.55,0.82},{"River","Rainwater","Borehole","Vendor"}),LOOKUP(RAND(),{0,0.15,0.45,0.72},{"River","Rainwater","Borehole","Vendor"}))),IF(D479&lt;15000,LOOKUP(RAND(),{0,0.4,0.7,0.92},{"River","Rainwater","Borehole","Vendor"}),IF(D479&lt;30000,LOOKUP(RAND(),{0,0.3,0.6,0.85},{"River","Rainwater","Borehole","Vendor"}),LOOKUP(RAND(),{0,0.2,0.5,0.75},{"River","Rainwater","Borehole","Vendor"}))))))</f>
        <v>Borehole</v>
      </c>
      <c r="F479">
        <f t="shared" ca="1" si="43"/>
        <v>43</v>
      </c>
      <c r="G479">
        <f t="shared" ca="1" si="44"/>
        <v>10.5</v>
      </c>
      <c r="H479">
        <f t="shared" ca="1" si="45"/>
        <v>11700</v>
      </c>
      <c r="I479">
        <f t="shared" ca="1" si="46"/>
        <v>0.73221669866068761</v>
      </c>
      <c r="J479">
        <v>0</v>
      </c>
    </row>
    <row r="480" spans="1:10" x14ac:dyDescent="0.3">
      <c r="A480" t="str">
        <f t="shared" si="47"/>
        <v>HH479</v>
      </c>
      <c r="B480" t="str">
        <f ca="1">LOOKUP(RAND(),{0,0.28,0.55,0.78},{"Oloitoktok A","Oloitoktok B","Kiserian","Namanga"})</f>
        <v>Oloitoktok B</v>
      </c>
      <c r="C480">
        <f ca="1">LOOKUP(RAND(),{0,0.02,0.09,0.2,0.35,0.52,0.68,0.81,0.91,0.97},{1,2,3,4,5,6,7,8,9,10})</f>
        <v>6</v>
      </c>
      <c r="D480">
        <f t="shared" ca="1" si="42"/>
        <v>44900</v>
      </c>
      <c r="E480" t="str">
        <f ca="1">IF(B480="Oloitoktok A",IF(D480&lt;15000,LOOKUP(RAND(),{0,0.45,0.75,0.92},{"River","Rainwater","Borehole","Vendor"}),IF(D480&lt;30000,LOOKUP(RAND(),{0,0.35,0.65,0.85},{"River","Rainwater","Borehole","Vendor"}),LOOKUP(RAND(),{0,0.25,0.5,0.75},{"River","Rainwater","Borehole","Vendor"}))),IF(B480="Oloitoktok B",IF(D480&lt;15000,LOOKUP(RAND(),{0,0.5,0.78,0.94},{"River","Rainwater","Borehole","Vendor"}),IF(D480&lt;30000,LOOKUP(RAND(),{0,0.4,0.68,0.87},{"River","Rainwater","Borehole","Vendor"}),LOOKUP(RAND(),{0,0.28,0.55,0.78},{"River","Rainwater","Borehole","Vendor"}))),IF(B480="Kiserian",IF(D480&lt;15000,LOOKUP(RAND(),{0,0.35,0.65,0.9},{"River","Rainwater","Borehole","Vendor"}),IF(D480&lt;30000,LOOKUP(RAND(),{0,0.25,0.55,0.82},{"River","Rainwater","Borehole","Vendor"}),LOOKUP(RAND(),{0,0.15,0.45,0.72},{"River","Rainwater","Borehole","Vendor"}))),IF(D480&lt;15000,LOOKUP(RAND(),{0,0.4,0.7,0.92},{"River","Rainwater","Borehole","Vendor"}),IF(D480&lt;30000,LOOKUP(RAND(),{0,0.3,0.6,0.85},{"River","Rainwater","Borehole","Vendor"}),LOOKUP(RAND(),{0,0.2,0.5,0.75},{"River","Rainwater","Borehole","Vendor"}))))))</f>
        <v>River</v>
      </c>
      <c r="F480">
        <f t="shared" ca="1" si="43"/>
        <v>77</v>
      </c>
      <c r="G480">
        <f t="shared" ca="1" si="44"/>
        <v>1.9</v>
      </c>
      <c r="H480">
        <f t="shared" ca="1" si="45"/>
        <v>2300</v>
      </c>
      <c r="I480">
        <f t="shared" ca="1" si="46"/>
        <v>0.98170652875237174</v>
      </c>
      <c r="J480">
        <v>0</v>
      </c>
    </row>
    <row r="481" spans="1:10" x14ac:dyDescent="0.3">
      <c r="A481" t="str">
        <f t="shared" si="47"/>
        <v>HH480</v>
      </c>
      <c r="B481" t="str">
        <f ca="1">LOOKUP(RAND(),{0,0.28,0.55,0.78},{"Oloitoktok A","Oloitoktok B","Kiserian","Namanga"})</f>
        <v>Oloitoktok A</v>
      </c>
      <c r="C481">
        <f ca="1">LOOKUP(RAND(),{0,0.02,0.09,0.2,0.35,0.52,0.68,0.81,0.91,0.97},{1,2,3,4,5,6,7,8,9,10})</f>
        <v>6</v>
      </c>
      <c r="D481">
        <f t="shared" ca="1" si="42"/>
        <v>53900</v>
      </c>
      <c r="E481" t="str">
        <f ca="1">IF(B481="Oloitoktok A",IF(D481&lt;15000,LOOKUP(RAND(),{0,0.45,0.75,0.92},{"River","Rainwater","Borehole","Vendor"}),IF(D481&lt;30000,LOOKUP(RAND(),{0,0.35,0.65,0.85},{"River","Rainwater","Borehole","Vendor"}),LOOKUP(RAND(),{0,0.25,0.5,0.75},{"River","Rainwater","Borehole","Vendor"}))),IF(B481="Oloitoktok B",IF(D481&lt;15000,LOOKUP(RAND(),{0,0.5,0.78,0.94},{"River","Rainwater","Borehole","Vendor"}),IF(D481&lt;30000,LOOKUP(RAND(),{0,0.4,0.68,0.87},{"River","Rainwater","Borehole","Vendor"}),LOOKUP(RAND(),{0,0.28,0.55,0.78},{"River","Rainwater","Borehole","Vendor"}))),IF(B481="Kiserian",IF(D481&lt;15000,LOOKUP(RAND(),{0,0.35,0.65,0.9},{"River","Rainwater","Borehole","Vendor"}),IF(D481&lt;30000,LOOKUP(RAND(),{0,0.25,0.55,0.82},{"River","Rainwater","Borehole","Vendor"}),LOOKUP(RAND(),{0,0.15,0.45,0.72},{"River","Rainwater","Borehole","Vendor"}))),IF(D481&lt;15000,LOOKUP(RAND(),{0,0.4,0.7,0.92},{"River","Rainwater","Borehole","Vendor"}),IF(D481&lt;30000,LOOKUP(RAND(),{0,0.3,0.6,0.85},{"River","Rainwater","Borehole","Vendor"}),LOOKUP(RAND(),{0,0.2,0.5,0.75},{"River","Rainwater","Borehole","Vendor"}))))))</f>
        <v>Vendor</v>
      </c>
      <c r="F481">
        <f t="shared" ca="1" si="43"/>
        <v>11</v>
      </c>
      <c r="G481">
        <f t="shared" ca="1" si="44"/>
        <v>13.5</v>
      </c>
      <c r="H481">
        <f t="shared" ca="1" si="45"/>
        <v>11600</v>
      </c>
      <c r="I481">
        <f t="shared" ca="1" si="46"/>
        <v>9.6566100535756427E-2</v>
      </c>
      <c r="J481">
        <v>0</v>
      </c>
    </row>
    <row r="482" spans="1:10" x14ac:dyDescent="0.3">
      <c r="A482" t="str">
        <f t="shared" si="47"/>
        <v>HH481</v>
      </c>
      <c r="B482" t="str">
        <f ca="1">LOOKUP(RAND(),{0,0.28,0.55,0.78},{"Oloitoktok A","Oloitoktok B","Kiserian","Namanga"})</f>
        <v>Oloitoktok A</v>
      </c>
      <c r="C482">
        <f ca="1">LOOKUP(RAND(),{0,0.02,0.09,0.2,0.35,0.52,0.68,0.81,0.91,0.97},{1,2,3,4,5,6,7,8,9,10})</f>
        <v>2</v>
      </c>
      <c r="D482">
        <f t="shared" ca="1" si="42"/>
        <v>8900</v>
      </c>
      <c r="E482" t="str">
        <f ca="1">IF(B482="Oloitoktok A",IF(D482&lt;15000,LOOKUP(RAND(),{0,0.45,0.75,0.92},{"River","Rainwater","Borehole","Vendor"}),IF(D482&lt;30000,LOOKUP(RAND(),{0,0.35,0.65,0.85},{"River","Rainwater","Borehole","Vendor"}),LOOKUP(RAND(),{0,0.25,0.5,0.75},{"River","Rainwater","Borehole","Vendor"}))),IF(B482="Oloitoktok B",IF(D482&lt;15000,LOOKUP(RAND(),{0,0.5,0.78,0.94},{"River","Rainwater","Borehole","Vendor"}),IF(D482&lt;30000,LOOKUP(RAND(),{0,0.4,0.68,0.87},{"River","Rainwater","Borehole","Vendor"}),LOOKUP(RAND(),{0,0.28,0.55,0.78},{"River","Rainwater","Borehole","Vendor"}))),IF(B482="Kiserian",IF(D482&lt;15000,LOOKUP(RAND(),{0,0.35,0.65,0.9},{"River","Rainwater","Borehole","Vendor"}),IF(D482&lt;30000,LOOKUP(RAND(),{0,0.25,0.55,0.82},{"River","Rainwater","Borehole","Vendor"}),LOOKUP(RAND(),{0,0.15,0.45,0.72},{"River","Rainwater","Borehole","Vendor"}))),IF(D482&lt;15000,LOOKUP(RAND(),{0,0.4,0.7,0.92},{"River","Rainwater","Borehole","Vendor"}),IF(D482&lt;30000,LOOKUP(RAND(),{0,0.3,0.6,0.85},{"River","Rainwater","Borehole","Vendor"}),LOOKUP(RAND(),{0,0.2,0.5,0.75},{"River","Rainwater","Borehole","Vendor"}))))))</f>
        <v>Rainwater</v>
      </c>
      <c r="F482">
        <f t="shared" ca="1" si="43"/>
        <v>36</v>
      </c>
      <c r="G482">
        <f t="shared" ca="1" si="44"/>
        <v>11.4</v>
      </c>
      <c r="H482">
        <f t="shared" ca="1" si="45"/>
        <v>2300</v>
      </c>
      <c r="I482">
        <f t="shared" ca="1" si="46"/>
        <v>0.98635851237789351</v>
      </c>
      <c r="J482">
        <v>0</v>
      </c>
    </row>
    <row r="483" spans="1:10" x14ac:dyDescent="0.3">
      <c r="A483" t="str">
        <f t="shared" si="47"/>
        <v>HH482</v>
      </c>
      <c r="B483" t="str">
        <f ca="1">LOOKUP(RAND(),{0,0.28,0.55,0.78},{"Oloitoktok A","Oloitoktok B","Kiserian","Namanga"})</f>
        <v>Kiserian</v>
      </c>
      <c r="C483">
        <f ca="1">LOOKUP(RAND(),{0,0.02,0.09,0.2,0.35,0.52,0.68,0.81,0.91,0.97},{1,2,3,4,5,6,7,8,9,10})</f>
        <v>5</v>
      </c>
      <c r="D483">
        <f t="shared" ca="1" si="42"/>
        <v>35900</v>
      </c>
      <c r="E483" t="str">
        <f ca="1">IF(B483="Oloitoktok A",IF(D483&lt;15000,LOOKUP(RAND(),{0,0.45,0.75,0.92},{"River","Rainwater","Borehole","Vendor"}),IF(D483&lt;30000,LOOKUP(RAND(),{0,0.35,0.65,0.85},{"River","Rainwater","Borehole","Vendor"}),LOOKUP(RAND(),{0,0.25,0.5,0.75},{"River","Rainwater","Borehole","Vendor"}))),IF(B483="Oloitoktok B",IF(D483&lt;15000,LOOKUP(RAND(),{0,0.5,0.78,0.94},{"River","Rainwater","Borehole","Vendor"}),IF(D483&lt;30000,LOOKUP(RAND(),{0,0.4,0.68,0.87},{"River","Rainwater","Borehole","Vendor"}),LOOKUP(RAND(),{0,0.28,0.55,0.78},{"River","Rainwater","Borehole","Vendor"}))),IF(B483="Kiserian",IF(D483&lt;15000,LOOKUP(RAND(),{0,0.35,0.65,0.9},{"River","Rainwater","Borehole","Vendor"}),IF(D483&lt;30000,LOOKUP(RAND(),{0,0.25,0.55,0.82},{"River","Rainwater","Borehole","Vendor"}),LOOKUP(RAND(),{0,0.15,0.45,0.72},{"River","Rainwater","Borehole","Vendor"}))),IF(D483&lt;15000,LOOKUP(RAND(),{0,0.4,0.7,0.92},{"River","Rainwater","Borehole","Vendor"}),IF(D483&lt;30000,LOOKUP(RAND(),{0,0.3,0.6,0.85},{"River","Rainwater","Borehole","Vendor"}),LOOKUP(RAND(),{0,0.2,0.5,0.75},{"River","Rainwater","Borehole","Vendor"}))))))</f>
        <v>Rainwater</v>
      </c>
      <c r="F483">
        <f t="shared" ca="1" si="43"/>
        <v>70</v>
      </c>
      <c r="G483">
        <f t="shared" ca="1" si="44"/>
        <v>8.4</v>
      </c>
      <c r="H483">
        <f t="shared" ca="1" si="45"/>
        <v>0</v>
      </c>
      <c r="I483">
        <f t="shared" ca="1" si="46"/>
        <v>0.43673237700164225</v>
      </c>
      <c r="J483">
        <v>0</v>
      </c>
    </row>
    <row r="484" spans="1:10" x14ac:dyDescent="0.3">
      <c r="A484" t="str">
        <f t="shared" si="47"/>
        <v>HH483</v>
      </c>
      <c r="B484" t="str">
        <f ca="1">LOOKUP(RAND(),{0,0.28,0.55,0.78},{"Oloitoktok A","Oloitoktok B","Kiserian","Namanga"})</f>
        <v>Kiserian</v>
      </c>
      <c r="C484">
        <f ca="1">LOOKUP(RAND(),{0,0.02,0.09,0.2,0.35,0.52,0.68,0.81,0.91,0.97},{1,2,3,4,5,6,7,8,9,10})</f>
        <v>9</v>
      </c>
      <c r="D484">
        <f t="shared" ca="1" si="42"/>
        <v>52000</v>
      </c>
      <c r="E484" t="str">
        <f ca="1">IF(B484="Oloitoktok A",IF(D484&lt;15000,LOOKUP(RAND(),{0,0.45,0.75,0.92},{"River","Rainwater","Borehole","Vendor"}),IF(D484&lt;30000,LOOKUP(RAND(),{0,0.35,0.65,0.85},{"River","Rainwater","Borehole","Vendor"}),LOOKUP(RAND(),{0,0.25,0.5,0.75},{"River","Rainwater","Borehole","Vendor"}))),IF(B484="Oloitoktok B",IF(D484&lt;15000,LOOKUP(RAND(),{0,0.5,0.78,0.94},{"River","Rainwater","Borehole","Vendor"}),IF(D484&lt;30000,LOOKUP(RAND(),{0,0.4,0.68,0.87},{"River","Rainwater","Borehole","Vendor"}),LOOKUP(RAND(),{0,0.28,0.55,0.78},{"River","Rainwater","Borehole","Vendor"}))),IF(B484="Kiserian",IF(D484&lt;15000,LOOKUP(RAND(),{0,0.35,0.65,0.9},{"River","Rainwater","Borehole","Vendor"}),IF(D484&lt;30000,LOOKUP(RAND(),{0,0.25,0.55,0.82},{"River","Rainwater","Borehole","Vendor"}),LOOKUP(RAND(),{0,0.15,0.45,0.72},{"River","Rainwater","Borehole","Vendor"}))),IF(D484&lt;15000,LOOKUP(RAND(),{0,0.4,0.7,0.92},{"River","Rainwater","Borehole","Vendor"}),IF(D484&lt;30000,LOOKUP(RAND(),{0,0.3,0.6,0.85},{"River","Rainwater","Borehole","Vendor"}),LOOKUP(RAND(),{0,0.2,0.5,0.75},{"River","Rainwater","Borehole","Vendor"}))))))</f>
        <v>Vendor</v>
      </c>
      <c r="F484">
        <f t="shared" ca="1" si="43"/>
        <v>23</v>
      </c>
      <c r="G484">
        <f t="shared" ca="1" si="44"/>
        <v>0.5</v>
      </c>
      <c r="H484">
        <f t="shared" ca="1" si="45"/>
        <v>0</v>
      </c>
      <c r="I484">
        <f t="shared" ca="1" si="46"/>
        <v>0.47931345834971006</v>
      </c>
      <c r="J484">
        <v>0</v>
      </c>
    </row>
    <row r="485" spans="1:10" x14ac:dyDescent="0.3">
      <c r="A485" t="str">
        <f t="shared" si="47"/>
        <v>HH484</v>
      </c>
      <c r="B485" t="str">
        <f ca="1">LOOKUP(RAND(),{0,0.28,0.55,0.78},{"Oloitoktok A","Oloitoktok B","Kiserian","Namanga"})</f>
        <v>Oloitoktok B</v>
      </c>
      <c r="C485">
        <f ca="1">LOOKUP(RAND(),{0,0.02,0.09,0.2,0.35,0.52,0.68,0.81,0.91,0.97},{1,2,3,4,5,6,7,8,9,10})</f>
        <v>9</v>
      </c>
      <c r="D485">
        <f t="shared" ca="1" si="42"/>
        <v>38600</v>
      </c>
      <c r="E485" t="str">
        <f ca="1">IF(B485="Oloitoktok A",IF(D485&lt;15000,LOOKUP(RAND(),{0,0.45,0.75,0.92},{"River","Rainwater","Borehole","Vendor"}),IF(D485&lt;30000,LOOKUP(RAND(),{0,0.35,0.65,0.85},{"River","Rainwater","Borehole","Vendor"}),LOOKUP(RAND(),{0,0.25,0.5,0.75},{"River","Rainwater","Borehole","Vendor"}))),IF(B485="Oloitoktok B",IF(D485&lt;15000,LOOKUP(RAND(),{0,0.5,0.78,0.94},{"River","Rainwater","Borehole","Vendor"}),IF(D485&lt;30000,LOOKUP(RAND(),{0,0.4,0.68,0.87},{"River","Rainwater","Borehole","Vendor"}),LOOKUP(RAND(),{0,0.28,0.55,0.78},{"River","Rainwater","Borehole","Vendor"}))),IF(B485="Kiserian",IF(D485&lt;15000,LOOKUP(RAND(),{0,0.35,0.65,0.9},{"River","Rainwater","Borehole","Vendor"}),IF(D485&lt;30000,LOOKUP(RAND(),{0,0.25,0.55,0.82},{"River","Rainwater","Borehole","Vendor"}),LOOKUP(RAND(),{0,0.15,0.45,0.72},{"River","Rainwater","Borehole","Vendor"}))),IF(D485&lt;15000,LOOKUP(RAND(),{0,0.4,0.7,0.92},{"River","Rainwater","Borehole","Vendor"}),IF(D485&lt;30000,LOOKUP(RAND(),{0,0.3,0.6,0.85},{"River","Rainwater","Borehole","Vendor"}),LOOKUP(RAND(),{0,0.2,0.5,0.75},{"River","Rainwater","Borehole","Vendor"}))))))</f>
        <v>River</v>
      </c>
      <c r="F485">
        <f t="shared" ca="1" si="43"/>
        <v>95</v>
      </c>
      <c r="G485">
        <f t="shared" ca="1" si="44"/>
        <v>12.2</v>
      </c>
      <c r="H485">
        <f t="shared" ca="1" si="45"/>
        <v>4300</v>
      </c>
      <c r="I485">
        <f t="shared" ca="1" si="46"/>
        <v>0.66542381663483441</v>
      </c>
      <c r="J485">
        <v>0</v>
      </c>
    </row>
    <row r="486" spans="1:10" x14ac:dyDescent="0.3">
      <c r="A486" t="str">
        <f t="shared" si="47"/>
        <v>HH485</v>
      </c>
      <c r="B486" t="str">
        <f ca="1">LOOKUP(RAND(),{0,0.28,0.55,0.78},{"Oloitoktok A","Oloitoktok B","Kiserian","Namanga"})</f>
        <v>Oloitoktok B</v>
      </c>
      <c r="C486">
        <f ca="1">LOOKUP(RAND(),{0,0.02,0.09,0.2,0.35,0.52,0.68,0.81,0.91,0.97},{1,2,3,4,5,6,7,8,9,10})</f>
        <v>5</v>
      </c>
      <c r="D486">
        <f t="shared" ca="1" si="42"/>
        <v>19700</v>
      </c>
      <c r="E486" t="str">
        <f ca="1">IF(B486="Oloitoktok A",IF(D486&lt;15000,LOOKUP(RAND(),{0,0.45,0.75,0.92},{"River","Rainwater","Borehole","Vendor"}),IF(D486&lt;30000,LOOKUP(RAND(),{0,0.35,0.65,0.85},{"River","Rainwater","Borehole","Vendor"}),LOOKUP(RAND(),{0,0.25,0.5,0.75},{"River","Rainwater","Borehole","Vendor"}))),IF(B486="Oloitoktok B",IF(D486&lt;15000,LOOKUP(RAND(),{0,0.5,0.78,0.94},{"River","Rainwater","Borehole","Vendor"}),IF(D486&lt;30000,LOOKUP(RAND(),{0,0.4,0.68,0.87},{"River","Rainwater","Borehole","Vendor"}),LOOKUP(RAND(),{0,0.28,0.55,0.78},{"River","Rainwater","Borehole","Vendor"}))),IF(B486="Kiserian",IF(D486&lt;15000,LOOKUP(RAND(),{0,0.35,0.65,0.9},{"River","Rainwater","Borehole","Vendor"}),IF(D486&lt;30000,LOOKUP(RAND(),{0,0.25,0.55,0.82},{"River","Rainwater","Borehole","Vendor"}),LOOKUP(RAND(),{0,0.15,0.45,0.72},{"River","Rainwater","Borehole","Vendor"}))),IF(D486&lt;15000,LOOKUP(RAND(),{0,0.4,0.7,0.92},{"River","Rainwater","Borehole","Vendor"}),IF(D486&lt;30000,LOOKUP(RAND(),{0,0.3,0.6,0.85},{"River","Rainwater","Borehole","Vendor"}),LOOKUP(RAND(),{0,0.2,0.5,0.75},{"River","Rainwater","Borehole","Vendor"}))))))</f>
        <v>River</v>
      </c>
      <c r="F486">
        <f t="shared" ca="1" si="43"/>
        <v>114</v>
      </c>
      <c r="G486">
        <f t="shared" ca="1" si="44"/>
        <v>4.2</v>
      </c>
      <c r="H486">
        <f t="shared" ca="1" si="45"/>
        <v>3300</v>
      </c>
      <c r="I486">
        <f t="shared" ca="1" si="46"/>
        <v>6.0648246727059929E-2</v>
      </c>
      <c r="J486">
        <v>0</v>
      </c>
    </row>
    <row r="487" spans="1:10" x14ac:dyDescent="0.3">
      <c r="A487" t="str">
        <f t="shared" si="47"/>
        <v>HH486</v>
      </c>
      <c r="B487" t="str">
        <f ca="1">LOOKUP(RAND(),{0,0.28,0.55,0.78},{"Oloitoktok A","Oloitoktok B","Kiserian","Namanga"})</f>
        <v>Kiserian</v>
      </c>
      <c r="C487">
        <f ca="1">LOOKUP(RAND(),{0,0.02,0.09,0.2,0.35,0.52,0.68,0.81,0.91,0.97},{1,2,3,4,5,6,7,8,9,10})</f>
        <v>6</v>
      </c>
      <c r="D487">
        <f t="shared" ca="1" si="42"/>
        <v>31400</v>
      </c>
      <c r="E487" t="str">
        <f ca="1">IF(B487="Oloitoktok A",IF(D487&lt;15000,LOOKUP(RAND(),{0,0.45,0.75,0.92},{"River","Rainwater","Borehole","Vendor"}),IF(D487&lt;30000,LOOKUP(RAND(),{0,0.35,0.65,0.85},{"River","Rainwater","Borehole","Vendor"}),LOOKUP(RAND(),{0,0.25,0.5,0.75},{"River","Rainwater","Borehole","Vendor"}))),IF(B487="Oloitoktok B",IF(D487&lt;15000,LOOKUP(RAND(),{0,0.5,0.78,0.94},{"River","Rainwater","Borehole","Vendor"}),IF(D487&lt;30000,LOOKUP(RAND(),{0,0.4,0.68,0.87},{"River","Rainwater","Borehole","Vendor"}),LOOKUP(RAND(),{0,0.28,0.55,0.78},{"River","Rainwater","Borehole","Vendor"}))),IF(B487="Kiserian",IF(D487&lt;15000,LOOKUP(RAND(),{0,0.35,0.65,0.9},{"River","Rainwater","Borehole","Vendor"}),IF(D487&lt;30000,LOOKUP(RAND(),{0,0.25,0.55,0.82},{"River","Rainwater","Borehole","Vendor"}),LOOKUP(RAND(),{0,0.15,0.45,0.72},{"River","Rainwater","Borehole","Vendor"}))),IF(D487&lt;15000,LOOKUP(RAND(),{0,0.4,0.7,0.92},{"River","Rainwater","Borehole","Vendor"}),IF(D487&lt;30000,LOOKUP(RAND(),{0,0.3,0.6,0.85},{"River","Rainwater","Borehole","Vendor"}),LOOKUP(RAND(),{0,0.2,0.5,0.75},{"River","Rainwater","Borehole","Vendor"}))))))</f>
        <v>Borehole</v>
      </c>
      <c r="F487">
        <f t="shared" ca="1" si="43"/>
        <v>27</v>
      </c>
      <c r="G487">
        <f t="shared" ca="1" si="44"/>
        <v>2.5</v>
      </c>
      <c r="H487">
        <f t="shared" ca="1" si="45"/>
        <v>900</v>
      </c>
      <c r="I487">
        <f t="shared" ca="1" si="46"/>
        <v>0.1070328578298303</v>
      </c>
      <c r="J487">
        <v>0</v>
      </c>
    </row>
    <row r="488" spans="1:10" x14ac:dyDescent="0.3">
      <c r="A488" t="str">
        <f t="shared" si="47"/>
        <v>HH487</v>
      </c>
      <c r="B488" t="str">
        <f ca="1">LOOKUP(RAND(),{0,0.28,0.55,0.78},{"Oloitoktok A","Oloitoktok B","Kiserian","Namanga"})</f>
        <v>Oloitoktok A</v>
      </c>
      <c r="C488">
        <f ca="1">LOOKUP(RAND(),{0,0.02,0.09,0.2,0.35,0.52,0.68,0.81,0.91,0.97},{1,2,3,4,5,6,7,8,9,10})</f>
        <v>7</v>
      </c>
      <c r="D488">
        <f t="shared" ca="1" si="42"/>
        <v>26100</v>
      </c>
      <c r="E488" t="str">
        <f ca="1">IF(B488="Oloitoktok A",IF(D488&lt;15000,LOOKUP(RAND(),{0,0.45,0.75,0.92},{"River","Rainwater","Borehole","Vendor"}),IF(D488&lt;30000,LOOKUP(RAND(),{0,0.35,0.65,0.85},{"River","Rainwater","Borehole","Vendor"}),LOOKUP(RAND(),{0,0.25,0.5,0.75},{"River","Rainwater","Borehole","Vendor"}))),IF(B488="Oloitoktok B",IF(D488&lt;15000,LOOKUP(RAND(),{0,0.5,0.78,0.94},{"River","Rainwater","Borehole","Vendor"}),IF(D488&lt;30000,LOOKUP(RAND(),{0,0.4,0.68,0.87},{"River","Rainwater","Borehole","Vendor"}),LOOKUP(RAND(),{0,0.28,0.55,0.78},{"River","Rainwater","Borehole","Vendor"}))),IF(B488="Kiserian",IF(D488&lt;15000,LOOKUP(RAND(),{0,0.35,0.65,0.9},{"River","Rainwater","Borehole","Vendor"}),IF(D488&lt;30000,LOOKUP(RAND(),{0,0.25,0.55,0.82},{"River","Rainwater","Borehole","Vendor"}),LOOKUP(RAND(),{0,0.15,0.45,0.72},{"River","Rainwater","Borehole","Vendor"}))),IF(D488&lt;15000,LOOKUP(RAND(),{0,0.4,0.7,0.92},{"River","Rainwater","Borehole","Vendor"}),IF(D488&lt;30000,LOOKUP(RAND(),{0,0.3,0.6,0.85},{"River","Rainwater","Borehole","Vendor"}),LOOKUP(RAND(),{0,0.2,0.5,0.75},{"River","Rainwater","Borehole","Vendor"}))))))</f>
        <v>Rainwater</v>
      </c>
      <c r="F488">
        <f t="shared" ca="1" si="43"/>
        <v>42</v>
      </c>
      <c r="G488">
        <f t="shared" ca="1" si="44"/>
        <v>11.3</v>
      </c>
      <c r="H488">
        <f t="shared" ca="1" si="45"/>
        <v>6300</v>
      </c>
      <c r="I488">
        <f t="shared" ca="1" si="46"/>
        <v>0.53032201974420634</v>
      </c>
      <c r="J488">
        <v>0</v>
      </c>
    </row>
    <row r="489" spans="1:10" x14ac:dyDescent="0.3">
      <c r="A489" t="str">
        <f t="shared" si="47"/>
        <v>HH488</v>
      </c>
      <c r="B489" t="str">
        <f ca="1">LOOKUP(RAND(),{0,0.28,0.55,0.78},{"Oloitoktok A","Oloitoktok B","Kiserian","Namanga"})</f>
        <v>Oloitoktok A</v>
      </c>
      <c r="C489">
        <f ca="1">LOOKUP(RAND(),{0,0.02,0.09,0.2,0.35,0.52,0.68,0.81,0.91,0.97},{1,2,3,4,5,6,7,8,9,10})</f>
        <v>7</v>
      </c>
      <c r="D489">
        <f t="shared" ca="1" si="42"/>
        <v>46900</v>
      </c>
      <c r="E489" t="str">
        <f ca="1">IF(B489="Oloitoktok A",IF(D489&lt;15000,LOOKUP(RAND(),{0,0.45,0.75,0.92},{"River","Rainwater","Borehole","Vendor"}),IF(D489&lt;30000,LOOKUP(RAND(),{0,0.35,0.65,0.85},{"River","Rainwater","Borehole","Vendor"}),LOOKUP(RAND(),{0,0.25,0.5,0.75},{"River","Rainwater","Borehole","Vendor"}))),IF(B489="Oloitoktok B",IF(D489&lt;15000,LOOKUP(RAND(),{0,0.5,0.78,0.94},{"River","Rainwater","Borehole","Vendor"}),IF(D489&lt;30000,LOOKUP(RAND(),{0,0.4,0.68,0.87},{"River","Rainwater","Borehole","Vendor"}),LOOKUP(RAND(),{0,0.28,0.55,0.78},{"River","Rainwater","Borehole","Vendor"}))),IF(B489="Kiserian",IF(D489&lt;15000,LOOKUP(RAND(),{0,0.35,0.65,0.9},{"River","Rainwater","Borehole","Vendor"}),IF(D489&lt;30000,LOOKUP(RAND(),{0,0.25,0.55,0.82},{"River","Rainwater","Borehole","Vendor"}),LOOKUP(RAND(),{0,0.15,0.45,0.72},{"River","Rainwater","Borehole","Vendor"}))),IF(D489&lt;15000,LOOKUP(RAND(),{0,0.4,0.7,0.92},{"River","Rainwater","Borehole","Vendor"}),IF(D489&lt;30000,LOOKUP(RAND(),{0,0.3,0.6,0.85},{"River","Rainwater","Borehole","Vendor"}),LOOKUP(RAND(),{0,0.2,0.5,0.75},{"River","Rainwater","Borehole","Vendor"}))))))</f>
        <v>River</v>
      </c>
      <c r="F489">
        <f t="shared" ca="1" si="43"/>
        <v>74</v>
      </c>
      <c r="G489">
        <f t="shared" ca="1" si="44"/>
        <v>6.7</v>
      </c>
      <c r="H489">
        <f t="shared" ca="1" si="45"/>
        <v>1800</v>
      </c>
      <c r="I489">
        <f t="shared" ca="1" si="46"/>
        <v>0.57615663640297776</v>
      </c>
      <c r="J489">
        <v>0</v>
      </c>
    </row>
    <row r="490" spans="1:10" x14ac:dyDescent="0.3">
      <c r="A490" t="str">
        <f t="shared" si="47"/>
        <v>HH489</v>
      </c>
      <c r="B490" t="str">
        <f ca="1">LOOKUP(RAND(),{0,0.28,0.55,0.78},{"Oloitoktok A","Oloitoktok B","Kiserian","Namanga"})</f>
        <v>Oloitoktok A</v>
      </c>
      <c r="C490">
        <f ca="1">LOOKUP(RAND(),{0,0.02,0.09,0.2,0.35,0.52,0.68,0.81,0.91,0.97},{1,2,3,4,5,6,7,8,9,10})</f>
        <v>5</v>
      </c>
      <c r="D490">
        <f t="shared" ca="1" si="42"/>
        <v>29900</v>
      </c>
      <c r="E490" t="str">
        <f ca="1">IF(B490="Oloitoktok A",IF(D490&lt;15000,LOOKUP(RAND(),{0,0.45,0.75,0.92},{"River","Rainwater","Borehole","Vendor"}),IF(D490&lt;30000,LOOKUP(RAND(),{0,0.35,0.65,0.85},{"River","Rainwater","Borehole","Vendor"}),LOOKUP(RAND(),{0,0.25,0.5,0.75},{"River","Rainwater","Borehole","Vendor"}))),IF(B490="Oloitoktok B",IF(D490&lt;15000,LOOKUP(RAND(),{0,0.5,0.78,0.94},{"River","Rainwater","Borehole","Vendor"}),IF(D490&lt;30000,LOOKUP(RAND(),{0,0.4,0.68,0.87},{"River","Rainwater","Borehole","Vendor"}),LOOKUP(RAND(),{0,0.28,0.55,0.78},{"River","Rainwater","Borehole","Vendor"}))),IF(B490="Kiserian",IF(D490&lt;15000,LOOKUP(RAND(),{0,0.35,0.65,0.9},{"River","Rainwater","Borehole","Vendor"}),IF(D490&lt;30000,LOOKUP(RAND(),{0,0.25,0.55,0.82},{"River","Rainwater","Borehole","Vendor"}),LOOKUP(RAND(),{0,0.15,0.45,0.72},{"River","Rainwater","Borehole","Vendor"}))),IF(D490&lt;15000,LOOKUP(RAND(),{0,0.4,0.7,0.92},{"River","Rainwater","Borehole","Vendor"}),IF(D490&lt;30000,LOOKUP(RAND(),{0,0.3,0.6,0.85},{"River","Rainwater","Borehole","Vendor"}),LOOKUP(RAND(),{0,0.2,0.5,0.75},{"River","Rainwater","Borehole","Vendor"}))))))</f>
        <v>River</v>
      </c>
      <c r="F490">
        <f t="shared" ca="1" si="43"/>
        <v>52</v>
      </c>
      <c r="G490">
        <f t="shared" ca="1" si="44"/>
        <v>2</v>
      </c>
      <c r="H490">
        <f t="shared" ca="1" si="45"/>
        <v>0</v>
      </c>
      <c r="I490">
        <f t="shared" ca="1" si="46"/>
        <v>0.92905265613079335</v>
      </c>
      <c r="J490">
        <v>0</v>
      </c>
    </row>
    <row r="491" spans="1:10" x14ac:dyDescent="0.3">
      <c r="A491" t="str">
        <f t="shared" si="47"/>
        <v>HH490</v>
      </c>
      <c r="B491" t="str">
        <f ca="1">LOOKUP(RAND(),{0,0.28,0.55,0.78},{"Oloitoktok A","Oloitoktok B","Kiserian","Namanga"})</f>
        <v>Oloitoktok A</v>
      </c>
      <c r="C491">
        <f ca="1">LOOKUP(RAND(),{0,0.02,0.09,0.2,0.35,0.52,0.68,0.81,0.91,0.97},{1,2,3,4,5,6,7,8,9,10})</f>
        <v>5</v>
      </c>
      <c r="D491">
        <f t="shared" ca="1" si="42"/>
        <v>36500</v>
      </c>
      <c r="E491" t="str">
        <f ca="1">IF(B491="Oloitoktok A",IF(D491&lt;15000,LOOKUP(RAND(),{0,0.45,0.75,0.92},{"River","Rainwater","Borehole","Vendor"}),IF(D491&lt;30000,LOOKUP(RAND(),{0,0.35,0.65,0.85},{"River","Rainwater","Borehole","Vendor"}),LOOKUP(RAND(),{0,0.25,0.5,0.75},{"River","Rainwater","Borehole","Vendor"}))),IF(B491="Oloitoktok B",IF(D491&lt;15000,LOOKUP(RAND(),{0,0.5,0.78,0.94},{"River","Rainwater","Borehole","Vendor"}),IF(D491&lt;30000,LOOKUP(RAND(),{0,0.4,0.68,0.87},{"River","Rainwater","Borehole","Vendor"}),LOOKUP(RAND(),{0,0.28,0.55,0.78},{"River","Rainwater","Borehole","Vendor"}))),IF(B491="Kiserian",IF(D491&lt;15000,LOOKUP(RAND(),{0,0.35,0.65,0.9},{"River","Rainwater","Borehole","Vendor"}),IF(D491&lt;30000,LOOKUP(RAND(),{0,0.25,0.55,0.82},{"River","Rainwater","Borehole","Vendor"}),LOOKUP(RAND(),{0,0.15,0.45,0.72},{"River","Rainwater","Borehole","Vendor"}))),IF(D491&lt;15000,LOOKUP(RAND(),{0,0.4,0.7,0.92},{"River","Rainwater","Borehole","Vendor"}),IF(D491&lt;30000,LOOKUP(RAND(),{0,0.3,0.6,0.85},{"River","Rainwater","Borehole","Vendor"}),LOOKUP(RAND(),{0,0.2,0.5,0.75},{"River","Rainwater","Borehole","Vendor"}))))))</f>
        <v>Vendor</v>
      </c>
      <c r="F491">
        <f t="shared" ca="1" si="43"/>
        <v>40</v>
      </c>
      <c r="G491">
        <f t="shared" ca="1" si="44"/>
        <v>4.8</v>
      </c>
      <c r="H491">
        <f t="shared" ca="1" si="45"/>
        <v>9500</v>
      </c>
      <c r="I491">
        <f t="shared" ca="1" si="46"/>
        <v>0.36777914932342071</v>
      </c>
      <c r="J491">
        <v>0</v>
      </c>
    </row>
    <row r="492" spans="1:10" x14ac:dyDescent="0.3">
      <c r="A492" t="str">
        <f t="shared" si="47"/>
        <v>HH491</v>
      </c>
      <c r="B492" t="str">
        <f ca="1">LOOKUP(RAND(),{0,0.28,0.55,0.78},{"Oloitoktok A","Oloitoktok B","Kiserian","Namanga"})</f>
        <v>Oloitoktok A</v>
      </c>
      <c r="C492">
        <f ca="1">LOOKUP(RAND(),{0,0.02,0.09,0.2,0.35,0.52,0.68,0.81,0.91,0.97},{1,2,3,4,5,6,7,8,9,10})</f>
        <v>6</v>
      </c>
      <c r="D492">
        <f t="shared" ca="1" si="42"/>
        <v>36000</v>
      </c>
      <c r="E492" t="str">
        <f ca="1">IF(B492="Oloitoktok A",IF(D492&lt;15000,LOOKUP(RAND(),{0,0.45,0.75,0.92},{"River","Rainwater","Borehole","Vendor"}),IF(D492&lt;30000,LOOKUP(RAND(),{0,0.35,0.65,0.85},{"River","Rainwater","Borehole","Vendor"}),LOOKUP(RAND(),{0,0.25,0.5,0.75},{"River","Rainwater","Borehole","Vendor"}))),IF(B492="Oloitoktok B",IF(D492&lt;15000,LOOKUP(RAND(),{0,0.5,0.78,0.94},{"River","Rainwater","Borehole","Vendor"}),IF(D492&lt;30000,LOOKUP(RAND(),{0,0.4,0.68,0.87},{"River","Rainwater","Borehole","Vendor"}),LOOKUP(RAND(),{0,0.28,0.55,0.78},{"River","Rainwater","Borehole","Vendor"}))),IF(B492="Kiserian",IF(D492&lt;15000,LOOKUP(RAND(),{0,0.35,0.65,0.9},{"River","Rainwater","Borehole","Vendor"}),IF(D492&lt;30000,LOOKUP(RAND(),{0,0.25,0.55,0.82},{"River","Rainwater","Borehole","Vendor"}),LOOKUP(RAND(),{0,0.15,0.45,0.72},{"River","Rainwater","Borehole","Vendor"}))),IF(D492&lt;15000,LOOKUP(RAND(),{0,0.4,0.7,0.92},{"River","Rainwater","Borehole","Vendor"}),IF(D492&lt;30000,LOOKUP(RAND(),{0,0.3,0.6,0.85},{"River","Rainwater","Borehole","Vendor"}),LOOKUP(RAND(),{0,0.2,0.5,0.75},{"River","Rainwater","Borehole","Vendor"}))))))</f>
        <v>Rainwater</v>
      </c>
      <c r="F492">
        <f t="shared" ca="1" si="43"/>
        <v>40</v>
      </c>
      <c r="G492">
        <f t="shared" ca="1" si="44"/>
        <v>12.6</v>
      </c>
      <c r="H492">
        <f t="shared" ca="1" si="45"/>
        <v>3800</v>
      </c>
      <c r="I492">
        <f t="shared" ca="1" si="46"/>
        <v>0.88550458847099045</v>
      </c>
      <c r="J492">
        <v>0</v>
      </c>
    </row>
    <row r="493" spans="1:10" x14ac:dyDescent="0.3">
      <c r="A493" t="str">
        <f t="shared" si="47"/>
        <v>HH492</v>
      </c>
      <c r="B493" t="str">
        <f ca="1">LOOKUP(RAND(),{0,0.28,0.55,0.78},{"Oloitoktok A","Oloitoktok B","Kiserian","Namanga"})</f>
        <v>Oloitoktok B</v>
      </c>
      <c r="C493">
        <f ca="1">LOOKUP(RAND(),{0,0.02,0.09,0.2,0.35,0.52,0.68,0.81,0.91,0.97},{1,2,3,4,5,6,7,8,9,10})</f>
        <v>6</v>
      </c>
      <c r="D493">
        <f t="shared" ca="1" si="42"/>
        <v>47700</v>
      </c>
      <c r="E493" t="str">
        <f ca="1">IF(B493="Oloitoktok A",IF(D493&lt;15000,LOOKUP(RAND(),{0,0.45,0.75,0.92},{"River","Rainwater","Borehole","Vendor"}),IF(D493&lt;30000,LOOKUP(RAND(),{0,0.35,0.65,0.85},{"River","Rainwater","Borehole","Vendor"}),LOOKUP(RAND(),{0,0.25,0.5,0.75},{"River","Rainwater","Borehole","Vendor"}))),IF(B493="Oloitoktok B",IF(D493&lt;15000,LOOKUP(RAND(),{0,0.5,0.78,0.94},{"River","Rainwater","Borehole","Vendor"}),IF(D493&lt;30000,LOOKUP(RAND(),{0,0.4,0.68,0.87},{"River","Rainwater","Borehole","Vendor"}),LOOKUP(RAND(),{0,0.28,0.55,0.78},{"River","Rainwater","Borehole","Vendor"}))),IF(B493="Kiserian",IF(D493&lt;15000,LOOKUP(RAND(),{0,0.35,0.65,0.9},{"River","Rainwater","Borehole","Vendor"}),IF(D493&lt;30000,LOOKUP(RAND(),{0,0.25,0.55,0.82},{"River","Rainwater","Borehole","Vendor"}),LOOKUP(RAND(),{0,0.15,0.45,0.72},{"River","Rainwater","Borehole","Vendor"}))),IF(D493&lt;15000,LOOKUP(RAND(),{0,0.4,0.7,0.92},{"River","Rainwater","Borehole","Vendor"}),IF(D493&lt;30000,LOOKUP(RAND(),{0,0.3,0.6,0.85},{"River","Rainwater","Borehole","Vendor"}),LOOKUP(RAND(),{0,0.2,0.5,0.75},{"River","Rainwater","Borehole","Vendor"}))))))</f>
        <v>Borehole</v>
      </c>
      <c r="F493">
        <f t="shared" ca="1" si="43"/>
        <v>43</v>
      </c>
      <c r="G493">
        <f t="shared" ca="1" si="44"/>
        <v>4</v>
      </c>
      <c r="H493">
        <f t="shared" ca="1" si="45"/>
        <v>9100</v>
      </c>
      <c r="I493">
        <f t="shared" ca="1" si="46"/>
        <v>7.1509683098338828E-2</v>
      </c>
      <c r="J493">
        <v>0</v>
      </c>
    </row>
    <row r="494" spans="1:10" x14ac:dyDescent="0.3">
      <c r="A494" t="str">
        <f t="shared" si="47"/>
        <v>HH493</v>
      </c>
      <c r="B494" t="str">
        <f ca="1">LOOKUP(RAND(),{0,0.28,0.55,0.78},{"Oloitoktok A","Oloitoktok B","Kiserian","Namanga"})</f>
        <v>Oloitoktok B</v>
      </c>
      <c r="C494">
        <f ca="1">LOOKUP(RAND(),{0,0.02,0.09,0.2,0.35,0.52,0.68,0.81,0.91,0.97},{1,2,3,4,5,6,7,8,9,10})</f>
        <v>2</v>
      </c>
      <c r="D494">
        <f t="shared" ca="1" si="42"/>
        <v>44700</v>
      </c>
      <c r="E494" t="str">
        <f ca="1">IF(B494="Oloitoktok A",IF(D494&lt;15000,LOOKUP(RAND(),{0,0.45,0.75,0.92},{"River","Rainwater","Borehole","Vendor"}),IF(D494&lt;30000,LOOKUP(RAND(),{0,0.35,0.65,0.85},{"River","Rainwater","Borehole","Vendor"}),LOOKUP(RAND(),{0,0.25,0.5,0.75},{"River","Rainwater","Borehole","Vendor"}))),IF(B494="Oloitoktok B",IF(D494&lt;15000,LOOKUP(RAND(),{0,0.5,0.78,0.94},{"River","Rainwater","Borehole","Vendor"}),IF(D494&lt;30000,LOOKUP(RAND(),{0,0.4,0.68,0.87},{"River","Rainwater","Borehole","Vendor"}),LOOKUP(RAND(),{0,0.28,0.55,0.78},{"River","Rainwater","Borehole","Vendor"}))),IF(B494="Kiserian",IF(D494&lt;15000,LOOKUP(RAND(),{0,0.35,0.65,0.9},{"River","Rainwater","Borehole","Vendor"}),IF(D494&lt;30000,LOOKUP(RAND(),{0,0.25,0.55,0.82},{"River","Rainwater","Borehole","Vendor"}),LOOKUP(RAND(),{0,0.15,0.45,0.72},{"River","Rainwater","Borehole","Vendor"}))),IF(D494&lt;15000,LOOKUP(RAND(),{0,0.4,0.7,0.92},{"River","Rainwater","Borehole","Vendor"}),IF(D494&lt;30000,LOOKUP(RAND(),{0,0.3,0.6,0.85},{"River","Rainwater","Borehole","Vendor"}),LOOKUP(RAND(),{0,0.2,0.5,0.75},{"River","Rainwater","Borehole","Vendor"}))))))</f>
        <v>Borehole</v>
      </c>
      <c r="F494">
        <f t="shared" ca="1" si="43"/>
        <v>75</v>
      </c>
      <c r="G494">
        <f t="shared" ca="1" si="44"/>
        <v>4.5</v>
      </c>
      <c r="H494">
        <f t="shared" ca="1" si="45"/>
        <v>1100</v>
      </c>
      <c r="I494">
        <f t="shared" ca="1" si="46"/>
        <v>0.67919371892844682</v>
      </c>
      <c r="J494">
        <v>0</v>
      </c>
    </row>
    <row r="495" spans="1:10" x14ac:dyDescent="0.3">
      <c r="A495" t="str">
        <f t="shared" si="47"/>
        <v>HH494</v>
      </c>
      <c r="B495" t="str">
        <f ca="1">LOOKUP(RAND(),{0,0.28,0.55,0.78},{"Oloitoktok A","Oloitoktok B","Kiserian","Namanga"})</f>
        <v>Oloitoktok B</v>
      </c>
      <c r="C495">
        <f ca="1">LOOKUP(RAND(),{0,0.02,0.09,0.2,0.35,0.52,0.68,0.81,0.91,0.97},{1,2,3,4,5,6,7,8,9,10})</f>
        <v>3</v>
      </c>
      <c r="D495">
        <f t="shared" ca="1" si="42"/>
        <v>28500</v>
      </c>
      <c r="E495" t="str">
        <f ca="1">IF(B495="Oloitoktok A",IF(D495&lt;15000,LOOKUP(RAND(),{0,0.45,0.75,0.92},{"River","Rainwater","Borehole","Vendor"}),IF(D495&lt;30000,LOOKUP(RAND(),{0,0.35,0.65,0.85},{"River","Rainwater","Borehole","Vendor"}),LOOKUP(RAND(),{0,0.25,0.5,0.75},{"River","Rainwater","Borehole","Vendor"}))),IF(B495="Oloitoktok B",IF(D495&lt;15000,LOOKUP(RAND(),{0,0.5,0.78,0.94},{"River","Rainwater","Borehole","Vendor"}),IF(D495&lt;30000,LOOKUP(RAND(),{0,0.4,0.68,0.87},{"River","Rainwater","Borehole","Vendor"}),LOOKUP(RAND(),{0,0.28,0.55,0.78},{"River","Rainwater","Borehole","Vendor"}))),IF(B495="Kiserian",IF(D495&lt;15000,LOOKUP(RAND(),{0,0.35,0.65,0.9},{"River","Rainwater","Borehole","Vendor"}),IF(D495&lt;30000,LOOKUP(RAND(),{0,0.25,0.55,0.82},{"River","Rainwater","Borehole","Vendor"}),LOOKUP(RAND(),{0,0.15,0.45,0.72},{"River","Rainwater","Borehole","Vendor"}))),IF(D495&lt;15000,LOOKUP(RAND(),{0,0.4,0.7,0.92},{"River","Rainwater","Borehole","Vendor"}),IF(D495&lt;30000,LOOKUP(RAND(),{0,0.3,0.6,0.85},{"River","Rainwater","Borehole","Vendor"}),LOOKUP(RAND(),{0,0.2,0.5,0.75},{"River","Rainwater","Borehole","Vendor"}))))))</f>
        <v>Borehole</v>
      </c>
      <c r="F495">
        <f t="shared" ca="1" si="43"/>
        <v>37</v>
      </c>
      <c r="G495">
        <f t="shared" ca="1" si="44"/>
        <v>6.1</v>
      </c>
      <c r="H495">
        <f t="shared" ca="1" si="45"/>
        <v>11000</v>
      </c>
      <c r="I495">
        <f t="shared" ca="1" si="46"/>
        <v>0.30962385565680917</v>
      </c>
      <c r="J495">
        <v>0</v>
      </c>
    </row>
    <row r="496" spans="1:10" x14ac:dyDescent="0.3">
      <c r="A496" t="str">
        <f t="shared" si="47"/>
        <v>HH495</v>
      </c>
      <c r="B496" t="str">
        <f ca="1">LOOKUP(RAND(),{0,0.28,0.55,0.78},{"Oloitoktok A","Oloitoktok B","Kiserian","Namanga"})</f>
        <v>Kiserian</v>
      </c>
      <c r="C496">
        <f ca="1">LOOKUP(RAND(),{0,0.02,0.09,0.2,0.35,0.52,0.68,0.81,0.91,0.97},{1,2,3,4,5,6,7,8,9,10})</f>
        <v>7</v>
      </c>
      <c r="D496">
        <f t="shared" ca="1" si="42"/>
        <v>30000</v>
      </c>
      <c r="E496" t="str">
        <f ca="1">IF(B496="Oloitoktok A",IF(D496&lt;15000,LOOKUP(RAND(),{0,0.45,0.75,0.92},{"River","Rainwater","Borehole","Vendor"}),IF(D496&lt;30000,LOOKUP(RAND(),{0,0.35,0.65,0.85},{"River","Rainwater","Borehole","Vendor"}),LOOKUP(RAND(),{0,0.25,0.5,0.75},{"River","Rainwater","Borehole","Vendor"}))),IF(B496="Oloitoktok B",IF(D496&lt;15000,LOOKUP(RAND(),{0,0.5,0.78,0.94},{"River","Rainwater","Borehole","Vendor"}),IF(D496&lt;30000,LOOKUP(RAND(),{0,0.4,0.68,0.87},{"River","Rainwater","Borehole","Vendor"}),LOOKUP(RAND(),{0,0.28,0.55,0.78},{"River","Rainwater","Borehole","Vendor"}))),IF(B496="Kiserian",IF(D496&lt;15000,LOOKUP(RAND(),{0,0.35,0.65,0.9},{"River","Rainwater","Borehole","Vendor"}),IF(D496&lt;30000,LOOKUP(RAND(),{0,0.25,0.55,0.82},{"River","Rainwater","Borehole","Vendor"}),LOOKUP(RAND(),{0,0.15,0.45,0.72},{"River","Rainwater","Borehole","Vendor"}))),IF(D496&lt;15000,LOOKUP(RAND(),{0,0.4,0.7,0.92},{"River","Rainwater","Borehole","Vendor"}),IF(D496&lt;30000,LOOKUP(RAND(),{0,0.3,0.6,0.85},{"River","Rainwater","Borehole","Vendor"}),LOOKUP(RAND(),{0,0.2,0.5,0.75},{"River","Rainwater","Borehole","Vendor"}))))))</f>
        <v>Vendor</v>
      </c>
      <c r="F496">
        <f t="shared" ca="1" si="43"/>
        <v>34</v>
      </c>
      <c r="G496">
        <f t="shared" ca="1" si="44"/>
        <v>8.6</v>
      </c>
      <c r="H496">
        <f t="shared" ca="1" si="45"/>
        <v>11100</v>
      </c>
      <c r="I496">
        <f t="shared" ca="1" si="46"/>
        <v>0.84058495586094673</v>
      </c>
      <c r="J496">
        <v>0</v>
      </c>
    </row>
    <row r="497" spans="1:10" x14ac:dyDescent="0.3">
      <c r="A497" t="str">
        <f t="shared" si="47"/>
        <v>HH496</v>
      </c>
      <c r="B497" t="str">
        <f ca="1">LOOKUP(RAND(),{0,0.28,0.55,0.78},{"Oloitoktok A","Oloitoktok B","Kiserian","Namanga"})</f>
        <v>Oloitoktok A</v>
      </c>
      <c r="C497">
        <f ca="1">LOOKUP(RAND(),{0,0.02,0.09,0.2,0.35,0.52,0.68,0.81,0.91,0.97},{1,2,3,4,5,6,7,8,9,10})</f>
        <v>8</v>
      </c>
      <c r="D497">
        <f t="shared" ca="1" si="42"/>
        <v>45100</v>
      </c>
      <c r="E497" t="str">
        <f ca="1">IF(B497="Oloitoktok A",IF(D497&lt;15000,LOOKUP(RAND(),{0,0.45,0.75,0.92},{"River","Rainwater","Borehole","Vendor"}),IF(D497&lt;30000,LOOKUP(RAND(),{0,0.35,0.65,0.85},{"River","Rainwater","Borehole","Vendor"}),LOOKUP(RAND(),{0,0.25,0.5,0.75},{"River","Rainwater","Borehole","Vendor"}))),IF(B497="Oloitoktok B",IF(D497&lt;15000,LOOKUP(RAND(),{0,0.5,0.78,0.94},{"River","Rainwater","Borehole","Vendor"}),IF(D497&lt;30000,LOOKUP(RAND(),{0,0.4,0.68,0.87},{"River","Rainwater","Borehole","Vendor"}),LOOKUP(RAND(),{0,0.28,0.55,0.78},{"River","Rainwater","Borehole","Vendor"}))),IF(B497="Kiserian",IF(D497&lt;15000,LOOKUP(RAND(),{0,0.35,0.65,0.9},{"River","Rainwater","Borehole","Vendor"}),IF(D497&lt;30000,LOOKUP(RAND(),{0,0.25,0.55,0.82},{"River","Rainwater","Borehole","Vendor"}),LOOKUP(RAND(),{0,0.15,0.45,0.72},{"River","Rainwater","Borehole","Vendor"}))),IF(D497&lt;15000,LOOKUP(RAND(),{0,0.4,0.7,0.92},{"River","Rainwater","Borehole","Vendor"}),IF(D497&lt;30000,LOOKUP(RAND(),{0,0.3,0.6,0.85},{"River","Rainwater","Borehole","Vendor"}),LOOKUP(RAND(),{0,0.2,0.5,0.75},{"River","Rainwater","Borehole","Vendor"}))))))</f>
        <v>River</v>
      </c>
      <c r="F497">
        <f t="shared" ca="1" si="43"/>
        <v>69</v>
      </c>
      <c r="G497">
        <f t="shared" ca="1" si="44"/>
        <v>10.8</v>
      </c>
      <c r="H497">
        <f t="shared" ca="1" si="45"/>
        <v>12000</v>
      </c>
      <c r="I497">
        <f t="shared" ca="1" si="46"/>
        <v>0.31195561432330177</v>
      </c>
      <c r="J497">
        <v>0</v>
      </c>
    </row>
    <row r="498" spans="1:10" x14ac:dyDescent="0.3">
      <c r="A498" t="str">
        <f t="shared" si="47"/>
        <v>HH497</v>
      </c>
      <c r="B498" t="str">
        <f ca="1">LOOKUP(RAND(),{0,0.28,0.55,0.78},{"Oloitoktok A","Oloitoktok B","Kiserian","Namanga"})</f>
        <v>Oloitoktok A</v>
      </c>
      <c r="C498">
        <f ca="1">LOOKUP(RAND(),{0,0.02,0.09,0.2,0.35,0.52,0.68,0.81,0.91,0.97},{1,2,3,4,5,6,7,8,9,10})</f>
        <v>8</v>
      </c>
      <c r="D498">
        <f t="shared" ca="1" si="42"/>
        <v>55500</v>
      </c>
      <c r="E498" t="str">
        <f ca="1">IF(B498="Oloitoktok A",IF(D498&lt;15000,LOOKUP(RAND(),{0,0.45,0.75,0.92},{"River","Rainwater","Borehole","Vendor"}),IF(D498&lt;30000,LOOKUP(RAND(),{0,0.35,0.65,0.85},{"River","Rainwater","Borehole","Vendor"}),LOOKUP(RAND(),{0,0.25,0.5,0.75},{"River","Rainwater","Borehole","Vendor"}))),IF(B498="Oloitoktok B",IF(D498&lt;15000,LOOKUP(RAND(),{0,0.5,0.78,0.94},{"River","Rainwater","Borehole","Vendor"}),IF(D498&lt;30000,LOOKUP(RAND(),{0,0.4,0.68,0.87},{"River","Rainwater","Borehole","Vendor"}),LOOKUP(RAND(),{0,0.28,0.55,0.78},{"River","Rainwater","Borehole","Vendor"}))),IF(B498="Kiserian",IF(D498&lt;15000,LOOKUP(RAND(),{0,0.35,0.65,0.9},{"River","Rainwater","Borehole","Vendor"}),IF(D498&lt;30000,LOOKUP(RAND(),{0,0.25,0.55,0.82},{"River","Rainwater","Borehole","Vendor"}),LOOKUP(RAND(),{0,0.15,0.45,0.72},{"River","Rainwater","Borehole","Vendor"}))),IF(D498&lt;15000,LOOKUP(RAND(),{0,0.4,0.7,0.92},{"River","Rainwater","Borehole","Vendor"}),IF(D498&lt;30000,LOOKUP(RAND(),{0,0.3,0.6,0.85},{"River","Rainwater","Borehole","Vendor"}),LOOKUP(RAND(),{0,0.2,0.5,0.75},{"River","Rainwater","Borehole","Vendor"}))))))</f>
        <v>River</v>
      </c>
      <c r="F498">
        <f t="shared" ca="1" si="43"/>
        <v>69</v>
      </c>
      <c r="G498">
        <f t="shared" ca="1" si="44"/>
        <v>6.3</v>
      </c>
      <c r="H498">
        <f t="shared" ca="1" si="45"/>
        <v>8700</v>
      </c>
      <c r="I498">
        <f t="shared" ca="1" si="46"/>
        <v>0.45027543630505773</v>
      </c>
      <c r="J498">
        <v>0</v>
      </c>
    </row>
    <row r="499" spans="1:10" x14ac:dyDescent="0.3">
      <c r="A499" t="str">
        <f t="shared" si="47"/>
        <v>HH498</v>
      </c>
      <c r="B499" t="str">
        <f ca="1">LOOKUP(RAND(),{0,0.28,0.55,0.78},{"Oloitoktok A","Oloitoktok B","Kiserian","Namanga"})</f>
        <v>Oloitoktok A</v>
      </c>
      <c r="C499">
        <f ca="1">LOOKUP(RAND(),{0,0.02,0.09,0.2,0.35,0.52,0.68,0.81,0.91,0.97},{1,2,3,4,5,6,7,8,9,10})</f>
        <v>8</v>
      </c>
      <c r="D499">
        <f t="shared" ca="1" si="42"/>
        <v>38700</v>
      </c>
      <c r="E499" t="str">
        <f ca="1">IF(B499="Oloitoktok A",IF(D499&lt;15000,LOOKUP(RAND(),{0,0.45,0.75,0.92},{"River","Rainwater","Borehole","Vendor"}),IF(D499&lt;30000,LOOKUP(RAND(),{0,0.35,0.65,0.85},{"River","Rainwater","Borehole","Vendor"}),LOOKUP(RAND(),{0,0.25,0.5,0.75},{"River","Rainwater","Borehole","Vendor"}))),IF(B499="Oloitoktok B",IF(D499&lt;15000,LOOKUP(RAND(),{0,0.5,0.78,0.94},{"River","Rainwater","Borehole","Vendor"}),IF(D499&lt;30000,LOOKUP(RAND(),{0,0.4,0.68,0.87},{"River","Rainwater","Borehole","Vendor"}),LOOKUP(RAND(),{0,0.28,0.55,0.78},{"River","Rainwater","Borehole","Vendor"}))),IF(B499="Kiserian",IF(D499&lt;15000,LOOKUP(RAND(),{0,0.35,0.65,0.9},{"River","Rainwater","Borehole","Vendor"}),IF(D499&lt;30000,LOOKUP(RAND(),{0,0.25,0.55,0.82},{"River","Rainwater","Borehole","Vendor"}),LOOKUP(RAND(),{0,0.15,0.45,0.72},{"River","Rainwater","Borehole","Vendor"}))),IF(D499&lt;15000,LOOKUP(RAND(),{0,0.4,0.7,0.92},{"River","Rainwater","Borehole","Vendor"}),IF(D499&lt;30000,LOOKUP(RAND(),{0,0.3,0.6,0.85},{"River","Rainwater","Borehole","Vendor"}),LOOKUP(RAND(),{0,0.2,0.5,0.75},{"River","Rainwater","Borehole","Vendor"}))))))</f>
        <v>Borehole</v>
      </c>
      <c r="F499">
        <f t="shared" ca="1" si="43"/>
        <v>38</v>
      </c>
      <c r="G499">
        <f t="shared" ca="1" si="44"/>
        <v>12</v>
      </c>
      <c r="H499">
        <f t="shared" ca="1" si="45"/>
        <v>9200</v>
      </c>
      <c r="I499">
        <f t="shared" ca="1" si="46"/>
        <v>0.4886431045148526</v>
      </c>
      <c r="J499">
        <v>0</v>
      </c>
    </row>
    <row r="500" spans="1:10" x14ac:dyDescent="0.3">
      <c r="A500" t="str">
        <f t="shared" si="47"/>
        <v>HH499</v>
      </c>
      <c r="B500" t="str">
        <f ca="1">LOOKUP(RAND(),{0,0.28,0.55,0.78},{"Oloitoktok A","Oloitoktok B","Kiserian","Namanga"})</f>
        <v>Kiserian</v>
      </c>
      <c r="C500">
        <f ca="1">LOOKUP(RAND(),{0,0.02,0.09,0.2,0.35,0.52,0.68,0.81,0.91,0.97},{1,2,3,4,5,6,7,8,9,10})</f>
        <v>4</v>
      </c>
      <c r="D500">
        <f t="shared" ca="1" si="42"/>
        <v>21600</v>
      </c>
      <c r="E500" t="str">
        <f ca="1">IF(B500="Oloitoktok A",IF(D500&lt;15000,LOOKUP(RAND(),{0,0.45,0.75,0.92},{"River","Rainwater","Borehole","Vendor"}),IF(D500&lt;30000,LOOKUP(RAND(),{0,0.35,0.65,0.85},{"River","Rainwater","Borehole","Vendor"}),LOOKUP(RAND(),{0,0.25,0.5,0.75},{"River","Rainwater","Borehole","Vendor"}))),IF(B500="Oloitoktok B",IF(D500&lt;15000,LOOKUP(RAND(),{0,0.5,0.78,0.94},{"River","Rainwater","Borehole","Vendor"}),IF(D500&lt;30000,LOOKUP(RAND(),{0,0.4,0.68,0.87},{"River","Rainwater","Borehole","Vendor"}),LOOKUP(RAND(),{0,0.28,0.55,0.78},{"River","Rainwater","Borehole","Vendor"}))),IF(B500="Kiserian",IF(D500&lt;15000,LOOKUP(RAND(),{0,0.35,0.65,0.9},{"River","Rainwater","Borehole","Vendor"}),IF(D500&lt;30000,LOOKUP(RAND(),{0,0.25,0.55,0.82},{"River","Rainwater","Borehole","Vendor"}),LOOKUP(RAND(),{0,0.15,0.45,0.72},{"River","Rainwater","Borehole","Vendor"}))),IF(D500&lt;15000,LOOKUP(RAND(),{0,0.4,0.7,0.92},{"River","Rainwater","Borehole","Vendor"}),IF(D500&lt;30000,LOOKUP(RAND(),{0,0.3,0.6,0.85},{"River","Rainwater","Borehole","Vendor"}),LOOKUP(RAND(),{0,0.2,0.5,0.75},{"River","Rainwater","Borehole","Vendor"}))))))</f>
        <v>Rainwater</v>
      </c>
      <c r="F500">
        <f t="shared" ca="1" si="43"/>
        <v>39</v>
      </c>
      <c r="G500">
        <f t="shared" ca="1" si="44"/>
        <v>6.9</v>
      </c>
      <c r="H500">
        <f t="shared" ca="1" si="45"/>
        <v>2300</v>
      </c>
      <c r="I500">
        <f t="shared" ca="1" si="46"/>
        <v>0.34484311659928335</v>
      </c>
      <c r="J500">
        <v>0</v>
      </c>
    </row>
    <row r="501" spans="1:10" x14ac:dyDescent="0.3">
      <c r="A501" t="str">
        <f t="shared" si="47"/>
        <v>HH500</v>
      </c>
      <c r="B501" t="str">
        <f ca="1">LOOKUP(RAND(),{0,0.28,0.55,0.78},{"Oloitoktok A","Oloitoktok B","Kiserian","Namanga"})</f>
        <v>Oloitoktok A</v>
      </c>
      <c r="C501">
        <f ca="1">LOOKUP(RAND(),{0,0.02,0.09,0.2,0.35,0.52,0.68,0.81,0.91,0.97},{1,2,3,4,5,6,7,8,9,10})</f>
        <v>1</v>
      </c>
      <c r="D501">
        <f t="shared" ca="1" si="42"/>
        <v>23300</v>
      </c>
      <c r="E501" t="str">
        <f ca="1">IF(B501="Oloitoktok A",IF(D501&lt;15000,LOOKUP(RAND(),{0,0.45,0.75,0.92},{"River","Rainwater","Borehole","Vendor"}),IF(D501&lt;30000,LOOKUP(RAND(),{0,0.35,0.65,0.85},{"River","Rainwater","Borehole","Vendor"}),LOOKUP(RAND(),{0,0.25,0.5,0.75},{"River","Rainwater","Borehole","Vendor"}))),IF(B501="Oloitoktok B",IF(D501&lt;15000,LOOKUP(RAND(),{0,0.5,0.78,0.94},{"River","Rainwater","Borehole","Vendor"}),IF(D501&lt;30000,LOOKUP(RAND(),{0,0.4,0.68,0.87},{"River","Rainwater","Borehole","Vendor"}),LOOKUP(RAND(),{0,0.28,0.55,0.78},{"River","Rainwater","Borehole","Vendor"}))),IF(B501="Kiserian",IF(D501&lt;15000,LOOKUP(RAND(),{0,0.35,0.65,0.9},{"River","Rainwater","Borehole","Vendor"}),IF(D501&lt;30000,LOOKUP(RAND(),{0,0.25,0.55,0.82},{"River","Rainwater","Borehole","Vendor"}),LOOKUP(RAND(),{0,0.15,0.45,0.72},{"River","Rainwater","Borehole","Vendor"}))),IF(D501&lt;15000,LOOKUP(RAND(),{0,0.4,0.7,0.92},{"River","Rainwater","Borehole","Vendor"}),IF(D501&lt;30000,LOOKUP(RAND(),{0,0.3,0.6,0.85},{"River","Rainwater","Borehole","Vendor"}),LOOKUP(RAND(),{0,0.2,0.5,0.75},{"River","Rainwater","Borehole","Vendor"}))))))</f>
        <v>Vendor</v>
      </c>
      <c r="F501">
        <f t="shared" ca="1" si="43"/>
        <v>17</v>
      </c>
      <c r="G501">
        <f t="shared" ca="1" si="44"/>
        <v>4</v>
      </c>
      <c r="H501">
        <f t="shared" ca="1" si="45"/>
        <v>2500</v>
      </c>
      <c r="I501">
        <f t="shared" ca="1" si="46"/>
        <v>8.0082488983375777E-2</v>
      </c>
      <c r="J501">
        <v>0</v>
      </c>
    </row>
    <row r="502" spans="1:10" x14ac:dyDescent="0.3">
      <c r="A502" t="str">
        <f t="shared" si="47"/>
        <v>HH501</v>
      </c>
      <c r="B502" t="str">
        <f ca="1">LOOKUP(RAND(),{0,0.28,0.55,0.78},{"Oloitoktok A","Oloitoktok B","Kiserian","Namanga"})</f>
        <v>Namanga</v>
      </c>
      <c r="C502">
        <f ca="1">LOOKUP(RAND(),{0,0.02,0.09,0.2,0.35,0.52,0.68,0.81,0.91,0.97},{1,2,3,4,5,6,7,8,9,10})</f>
        <v>4</v>
      </c>
      <c r="D502">
        <f t="shared" ca="1" si="42"/>
        <v>72800</v>
      </c>
      <c r="E502" t="str">
        <f ca="1">IF(B502="Oloitoktok A",IF(D502&lt;15000,LOOKUP(RAND(),{0,0.45,0.75,0.92},{"River","Rainwater","Borehole","Vendor"}),IF(D502&lt;30000,LOOKUP(RAND(),{0,0.35,0.65,0.85},{"River","Rainwater","Borehole","Vendor"}),LOOKUP(RAND(),{0,0.25,0.5,0.75},{"River","Rainwater","Borehole","Vendor"}))),IF(B502="Oloitoktok B",IF(D502&lt;15000,LOOKUP(RAND(),{0,0.5,0.78,0.94},{"River","Rainwater","Borehole","Vendor"}),IF(D502&lt;30000,LOOKUP(RAND(),{0,0.4,0.68,0.87},{"River","Rainwater","Borehole","Vendor"}),LOOKUP(RAND(),{0,0.28,0.55,0.78},{"River","Rainwater","Borehole","Vendor"}))),IF(B502="Kiserian",IF(D502&lt;15000,LOOKUP(RAND(),{0,0.35,0.65,0.9},{"River","Rainwater","Borehole","Vendor"}),IF(D502&lt;30000,LOOKUP(RAND(),{0,0.25,0.55,0.82},{"River","Rainwater","Borehole","Vendor"}),LOOKUP(RAND(),{0,0.15,0.45,0.72},{"River","Rainwater","Borehole","Vendor"}))),IF(D502&lt;15000,LOOKUP(RAND(),{0,0.4,0.7,0.92},{"River","Rainwater","Borehole","Vendor"}),IF(D502&lt;30000,LOOKUP(RAND(),{0,0.3,0.6,0.85},{"River","Rainwater","Borehole","Vendor"}),LOOKUP(RAND(),{0,0.2,0.5,0.75},{"River","Rainwater","Borehole","Vendor"}))))))</f>
        <v>Rainwater</v>
      </c>
      <c r="F502">
        <f t="shared" ca="1" si="43"/>
        <v>30</v>
      </c>
      <c r="G502">
        <f t="shared" ca="1" si="44"/>
        <v>7.6</v>
      </c>
      <c r="H502">
        <f t="shared" ca="1" si="45"/>
        <v>6200</v>
      </c>
      <c r="I502">
        <f t="shared" ca="1" si="46"/>
        <v>6.8834505870136953E-2</v>
      </c>
      <c r="J502">
        <v>0</v>
      </c>
    </row>
    <row r="503" spans="1:10" x14ac:dyDescent="0.3">
      <c r="A503" t="str">
        <f t="shared" si="47"/>
        <v>HH502</v>
      </c>
      <c r="B503" t="str">
        <f ca="1">LOOKUP(RAND(),{0,0.28,0.55,0.78},{"Oloitoktok A","Oloitoktok B","Kiserian","Namanga"})</f>
        <v>Kiserian</v>
      </c>
      <c r="C503">
        <f ca="1">LOOKUP(RAND(),{0,0.02,0.09,0.2,0.35,0.52,0.68,0.81,0.91,0.97},{1,2,3,4,5,6,7,8,9,10})</f>
        <v>6</v>
      </c>
      <c r="D503">
        <f t="shared" ca="1" si="42"/>
        <v>42100</v>
      </c>
      <c r="E503" t="str">
        <f ca="1">IF(B503="Oloitoktok A",IF(D503&lt;15000,LOOKUP(RAND(),{0,0.45,0.75,0.92},{"River","Rainwater","Borehole","Vendor"}),IF(D503&lt;30000,LOOKUP(RAND(),{0,0.35,0.65,0.85},{"River","Rainwater","Borehole","Vendor"}),LOOKUP(RAND(),{0,0.25,0.5,0.75},{"River","Rainwater","Borehole","Vendor"}))),IF(B503="Oloitoktok B",IF(D503&lt;15000,LOOKUP(RAND(),{0,0.5,0.78,0.94},{"River","Rainwater","Borehole","Vendor"}),IF(D503&lt;30000,LOOKUP(RAND(),{0,0.4,0.68,0.87},{"River","Rainwater","Borehole","Vendor"}),LOOKUP(RAND(),{0,0.28,0.55,0.78},{"River","Rainwater","Borehole","Vendor"}))),IF(B503="Kiserian",IF(D503&lt;15000,LOOKUP(RAND(),{0,0.35,0.65,0.9},{"River","Rainwater","Borehole","Vendor"}),IF(D503&lt;30000,LOOKUP(RAND(),{0,0.25,0.55,0.82},{"River","Rainwater","Borehole","Vendor"}),LOOKUP(RAND(),{0,0.15,0.45,0.72},{"River","Rainwater","Borehole","Vendor"}))),IF(D503&lt;15000,LOOKUP(RAND(),{0,0.4,0.7,0.92},{"River","Rainwater","Borehole","Vendor"}),IF(D503&lt;30000,LOOKUP(RAND(),{0,0.3,0.6,0.85},{"River","Rainwater","Borehole","Vendor"}),LOOKUP(RAND(),{0,0.2,0.5,0.75},{"River","Rainwater","Borehole","Vendor"}))))))</f>
        <v>Rainwater</v>
      </c>
      <c r="F503">
        <f t="shared" ca="1" si="43"/>
        <v>53</v>
      </c>
      <c r="G503">
        <f t="shared" ca="1" si="44"/>
        <v>8.6</v>
      </c>
      <c r="H503">
        <f t="shared" ca="1" si="45"/>
        <v>9200</v>
      </c>
      <c r="I503">
        <f t="shared" ca="1" si="46"/>
        <v>0.75045781173593695</v>
      </c>
      <c r="J503">
        <v>0</v>
      </c>
    </row>
    <row r="504" spans="1:10" x14ac:dyDescent="0.3">
      <c r="A504" t="str">
        <f t="shared" si="47"/>
        <v>HH503</v>
      </c>
      <c r="B504" t="str">
        <f ca="1">LOOKUP(RAND(),{0,0.28,0.55,0.78},{"Oloitoktok A","Oloitoktok B","Kiserian","Namanga"})</f>
        <v>Oloitoktok B</v>
      </c>
      <c r="C504">
        <f ca="1">LOOKUP(RAND(),{0,0.02,0.09,0.2,0.35,0.52,0.68,0.81,0.91,0.97},{1,2,3,4,5,6,7,8,9,10})</f>
        <v>8</v>
      </c>
      <c r="D504">
        <f t="shared" ca="1" si="42"/>
        <v>37400</v>
      </c>
      <c r="E504" t="str">
        <f ca="1">IF(B504="Oloitoktok A",IF(D504&lt;15000,LOOKUP(RAND(),{0,0.45,0.75,0.92},{"River","Rainwater","Borehole","Vendor"}),IF(D504&lt;30000,LOOKUP(RAND(),{0,0.35,0.65,0.85},{"River","Rainwater","Borehole","Vendor"}),LOOKUP(RAND(),{0,0.25,0.5,0.75},{"River","Rainwater","Borehole","Vendor"}))),IF(B504="Oloitoktok B",IF(D504&lt;15000,LOOKUP(RAND(),{0,0.5,0.78,0.94},{"River","Rainwater","Borehole","Vendor"}),IF(D504&lt;30000,LOOKUP(RAND(),{0,0.4,0.68,0.87},{"River","Rainwater","Borehole","Vendor"}),LOOKUP(RAND(),{0,0.28,0.55,0.78},{"River","Rainwater","Borehole","Vendor"}))),IF(B504="Kiserian",IF(D504&lt;15000,LOOKUP(RAND(),{0,0.35,0.65,0.9},{"River","Rainwater","Borehole","Vendor"}),IF(D504&lt;30000,LOOKUP(RAND(),{0,0.25,0.55,0.82},{"River","Rainwater","Borehole","Vendor"}),LOOKUP(RAND(),{0,0.15,0.45,0.72},{"River","Rainwater","Borehole","Vendor"}))),IF(D504&lt;15000,LOOKUP(RAND(),{0,0.4,0.7,0.92},{"River","Rainwater","Borehole","Vendor"}),IF(D504&lt;30000,LOOKUP(RAND(),{0,0.3,0.6,0.85},{"River","Rainwater","Borehole","Vendor"}),LOOKUP(RAND(),{0,0.2,0.5,0.75},{"River","Rainwater","Borehole","Vendor"}))))))</f>
        <v>Borehole</v>
      </c>
      <c r="F504">
        <f t="shared" ca="1" si="43"/>
        <v>39</v>
      </c>
      <c r="G504">
        <f t="shared" ca="1" si="44"/>
        <v>8.6</v>
      </c>
      <c r="H504">
        <f t="shared" ca="1" si="45"/>
        <v>7500</v>
      </c>
      <c r="I504">
        <f t="shared" ca="1" si="46"/>
        <v>0.15788688506391124</v>
      </c>
      <c r="J504">
        <v>0</v>
      </c>
    </row>
    <row r="505" spans="1:10" x14ac:dyDescent="0.3">
      <c r="A505" t="str">
        <f t="shared" si="47"/>
        <v>HH504</v>
      </c>
      <c r="B505" t="str">
        <f ca="1">LOOKUP(RAND(),{0,0.28,0.55,0.78},{"Oloitoktok A","Oloitoktok B","Kiserian","Namanga"})</f>
        <v>Oloitoktok B</v>
      </c>
      <c r="C505">
        <f ca="1">LOOKUP(RAND(),{0,0.02,0.09,0.2,0.35,0.52,0.68,0.81,0.91,0.97},{1,2,3,4,5,6,7,8,9,10})</f>
        <v>8</v>
      </c>
      <c r="D505">
        <f t="shared" ca="1" si="42"/>
        <v>16000</v>
      </c>
      <c r="E505" t="str">
        <f ca="1">IF(B505="Oloitoktok A",IF(D505&lt;15000,LOOKUP(RAND(),{0,0.45,0.75,0.92},{"River","Rainwater","Borehole","Vendor"}),IF(D505&lt;30000,LOOKUP(RAND(),{0,0.35,0.65,0.85},{"River","Rainwater","Borehole","Vendor"}),LOOKUP(RAND(),{0,0.25,0.5,0.75},{"River","Rainwater","Borehole","Vendor"}))),IF(B505="Oloitoktok B",IF(D505&lt;15000,LOOKUP(RAND(),{0,0.5,0.78,0.94},{"River","Rainwater","Borehole","Vendor"}),IF(D505&lt;30000,LOOKUP(RAND(),{0,0.4,0.68,0.87},{"River","Rainwater","Borehole","Vendor"}),LOOKUP(RAND(),{0,0.28,0.55,0.78},{"River","Rainwater","Borehole","Vendor"}))),IF(B505="Kiserian",IF(D505&lt;15000,LOOKUP(RAND(),{0,0.35,0.65,0.9},{"River","Rainwater","Borehole","Vendor"}),IF(D505&lt;30000,LOOKUP(RAND(),{0,0.25,0.55,0.82},{"River","Rainwater","Borehole","Vendor"}),LOOKUP(RAND(),{0,0.15,0.45,0.72},{"River","Rainwater","Borehole","Vendor"}))),IF(D505&lt;15000,LOOKUP(RAND(),{0,0.4,0.7,0.92},{"River","Rainwater","Borehole","Vendor"}),IF(D505&lt;30000,LOOKUP(RAND(),{0,0.3,0.6,0.85},{"River","Rainwater","Borehole","Vendor"}),LOOKUP(RAND(),{0,0.2,0.5,0.75},{"River","Rainwater","Borehole","Vendor"}))))))</f>
        <v>Rainwater</v>
      </c>
      <c r="F505">
        <f t="shared" ca="1" si="43"/>
        <v>50</v>
      </c>
      <c r="G505">
        <f t="shared" ca="1" si="44"/>
        <v>3.5</v>
      </c>
      <c r="H505">
        <f t="shared" ca="1" si="45"/>
        <v>7000</v>
      </c>
      <c r="I505">
        <f t="shared" ca="1" si="46"/>
        <v>0.42563939864779732</v>
      </c>
      <c r="J505">
        <v>0</v>
      </c>
    </row>
    <row r="506" spans="1:10" x14ac:dyDescent="0.3">
      <c r="A506" t="str">
        <f t="shared" si="47"/>
        <v>HH505</v>
      </c>
      <c r="B506" t="str">
        <f ca="1">LOOKUP(RAND(),{0,0.28,0.55,0.78},{"Oloitoktok A","Oloitoktok B","Kiserian","Namanga"})</f>
        <v>Namanga</v>
      </c>
      <c r="C506">
        <f ca="1">LOOKUP(RAND(),{0,0.02,0.09,0.2,0.35,0.52,0.68,0.81,0.91,0.97},{1,2,3,4,5,6,7,8,9,10})</f>
        <v>4</v>
      </c>
      <c r="D506">
        <f t="shared" ca="1" si="42"/>
        <v>28400</v>
      </c>
      <c r="E506" t="str">
        <f ca="1">IF(B506="Oloitoktok A",IF(D506&lt;15000,LOOKUP(RAND(),{0,0.45,0.75,0.92},{"River","Rainwater","Borehole","Vendor"}),IF(D506&lt;30000,LOOKUP(RAND(),{0,0.35,0.65,0.85},{"River","Rainwater","Borehole","Vendor"}),LOOKUP(RAND(),{0,0.25,0.5,0.75},{"River","Rainwater","Borehole","Vendor"}))),IF(B506="Oloitoktok B",IF(D506&lt;15000,LOOKUP(RAND(),{0,0.5,0.78,0.94},{"River","Rainwater","Borehole","Vendor"}),IF(D506&lt;30000,LOOKUP(RAND(),{0,0.4,0.68,0.87},{"River","Rainwater","Borehole","Vendor"}),LOOKUP(RAND(),{0,0.28,0.55,0.78},{"River","Rainwater","Borehole","Vendor"}))),IF(B506="Kiserian",IF(D506&lt;15000,LOOKUP(RAND(),{0,0.35,0.65,0.9},{"River","Rainwater","Borehole","Vendor"}),IF(D506&lt;30000,LOOKUP(RAND(),{0,0.25,0.55,0.82},{"River","Rainwater","Borehole","Vendor"}),LOOKUP(RAND(),{0,0.15,0.45,0.72},{"River","Rainwater","Borehole","Vendor"}))),IF(D506&lt;15000,LOOKUP(RAND(),{0,0.4,0.7,0.92},{"River","Rainwater","Borehole","Vendor"}),IF(D506&lt;30000,LOOKUP(RAND(),{0,0.3,0.6,0.85},{"River","Rainwater","Borehole","Vendor"}),LOOKUP(RAND(),{0,0.2,0.5,0.75},{"River","Rainwater","Borehole","Vendor"}))))))</f>
        <v>Rainwater</v>
      </c>
      <c r="F506">
        <f t="shared" ca="1" si="43"/>
        <v>31</v>
      </c>
      <c r="G506">
        <f t="shared" ca="1" si="44"/>
        <v>4.7</v>
      </c>
      <c r="H506">
        <f t="shared" ca="1" si="45"/>
        <v>7200</v>
      </c>
      <c r="I506">
        <f t="shared" ca="1" si="46"/>
        <v>0.68893781755213035</v>
      </c>
      <c r="J506">
        <v>0</v>
      </c>
    </row>
    <row r="507" spans="1:10" x14ac:dyDescent="0.3">
      <c r="A507" t="str">
        <f t="shared" si="47"/>
        <v>HH506</v>
      </c>
      <c r="B507" t="str">
        <f ca="1">LOOKUP(RAND(),{0,0.28,0.55,0.78},{"Oloitoktok A","Oloitoktok B","Kiserian","Namanga"})</f>
        <v>Kiserian</v>
      </c>
      <c r="C507">
        <f ca="1">LOOKUP(RAND(),{0,0.02,0.09,0.2,0.35,0.52,0.68,0.81,0.91,0.97},{1,2,3,4,5,6,7,8,9,10})</f>
        <v>7</v>
      </c>
      <c r="D507">
        <f t="shared" ca="1" si="42"/>
        <v>53000</v>
      </c>
      <c r="E507" t="str">
        <f ca="1">IF(B507="Oloitoktok A",IF(D507&lt;15000,LOOKUP(RAND(),{0,0.45,0.75,0.92},{"River","Rainwater","Borehole","Vendor"}),IF(D507&lt;30000,LOOKUP(RAND(),{0,0.35,0.65,0.85},{"River","Rainwater","Borehole","Vendor"}),LOOKUP(RAND(),{0,0.25,0.5,0.75},{"River","Rainwater","Borehole","Vendor"}))),IF(B507="Oloitoktok B",IF(D507&lt;15000,LOOKUP(RAND(),{0,0.5,0.78,0.94},{"River","Rainwater","Borehole","Vendor"}),IF(D507&lt;30000,LOOKUP(RAND(),{0,0.4,0.68,0.87},{"River","Rainwater","Borehole","Vendor"}),LOOKUP(RAND(),{0,0.28,0.55,0.78},{"River","Rainwater","Borehole","Vendor"}))),IF(B507="Kiserian",IF(D507&lt;15000,LOOKUP(RAND(),{0,0.35,0.65,0.9},{"River","Rainwater","Borehole","Vendor"}),IF(D507&lt;30000,LOOKUP(RAND(),{0,0.25,0.55,0.82},{"River","Rainwater","Borehole","Vendor"}),LOOKUP(RAND(),{0,0.15,0.45,0.72},{"River","Rainwater","Borehole","Vendor"}))),IF(D507&lt;15000,LOOKUP(RAND(),{0,0.4,0.7,0.92},{"River","Rainwater","Borehole","Vendor"}),IF(D507&lt;30000,LOOKUP(RAND(),{0,0.3,0.6,0.85},{"River","Rainwater","Borehole","Vendor"}),LOOKUP(RAND(),{0,0.2,0.5,0.75},{"River","Rainwater","Borehole","Vendor"}))))))</f>
        <v>Rainwater</v>
      </c>
      <c r="F507">
        <f t="shared" ca="1" si="43"/>
        <v>43</v>
      </c>
      <c r="G507">
        <f t="shared" ca="1" si="44"/>
        <v>7</v>
      </c>
      <c r="H507">
        <f t="shared" ca="1" si="45"/>
        <v>5500</v>
      </c>
      <c r="I507">
        <f t="shared" ca="1" si="46"/>
        <v>0.33862114152558054</v>
      </c>
      <c r="J507">
        <v>0</v>
      </c>
    </row>
    <row r="508" spans="1:10" x14ac:dyDescent="0.3">
      <c r="A508" t="str">
        <f t="shared" si="47"/>
        <v>HH507</v>
      </c>
      <c r="B508" t="str">
        <f ca="1">LOOKUP(RAND(),{0,0.28,0.55,0.78},{"Oloitoktok A","Oloitoktok B","Kiserian","Namanga"})</f>
        <v>Kiserian</v>
      </c>
      <c r="C508">
        <f ca="1">LOOKUP(RAND(),{0,0.02,0.09,0.2,0.35,0.52,0.68,0.81,0.91,0.97},{1,2,3,4,5,6,7,8,9,10})</f>
        <v>8</v>
      </c>
      <c r="D508">
        <f t="shared" ca="1" si="42"/>
        <v>43100</v>
      </c>
      <c r="E508" t="str">
        <f ca="1">IF(B508="Oloitoktok A",IF(D508&lt;15000,LOOKUP(RAND(),{0,0.45,0.75,0.92},{"River","Rainwater","Borehole","Vendor"}),IF(D508&lt;30000,LOOKUP(RAND(),{0,0.35,0.65,0.85},{"River","Rainwater","Borehole","Vendor"}),LOOKUP(RAND(),{0,0.25,0.5,0.75},{"River","Rainwater","Borehole","Vendor"}))),IF(B508="Oloitoktok B",IF(D508&lt;15000,LOOKUP(RAND(),{0,0.5,0.78,0.94},{"River","Rainwater","Borehole","Vendor"}),IF(D508&lt;30000,LOOKUP(RAND(),{0,0.4,0.68,0.87},{"River","Rainwater","Borehole","Vendor"}),LOOKUP(RAND(),{0,0.28,0.55,0.78},{"River","Rainwater","Borehole","Vendor"}))),IF(B508="Kiserian",IF(D508&lt;15000,LOOKUP(RAND(),{0,0.35,0.65,0.9},{"River","Rainwater","Borehole","Vendor"}),IF(D508&lt;30000,LOOKUP(RAND(),{0,0.25,0.55,0.82},{"River","Rainwater","Borehole","Vendor"}),LOOKUP(RAND(),{0,0.15,0.45,0.72},{"River","Rainwater","Borehole","Vendor"}))),IF(D508&lt;15000,LOOKUP(RAND(),{0,0.4,0.7,0.92},{"River","Rainwater","Borehole","Vendor"}),IF(D508&lt;30000,LOOKUP(RAND(),{0,0.3,0.6,0.85},{"River","Rainwater","Borehole","Vendor"}),LOOKUP(RAND(),{0,0.2,0.5,0.75},{"River","Rainwater","Borehole","Vendor"}))))))</f>
        <v>Borehole</v>
      </c>
      <c r="F508">
        <f t="shared" ca="1" si="43"/>
        <v>70</v>
      </c>
      <c r="G508">
        <f t="shared" ca="1" si="44"/>
        <v>0.6</v>
      </c>
      <c r="H508">
        <f t="shared" ca="1" si="45"/>
        <v>0</v>
      </c>
      <c r="I508">
        <f t="shared" ca="1" si="46"/>
        <v>0.36196686385524313</v>
      </c>
      <c r="J508">
        <v>0</v>
      </c>
    </row>
    <row r="509" spans="1:10" x14ac:dyDescent="0.3">
      <c r="A509" t="str">
        <f t="shared" si="47"/>
        <v>HH508</v>
      </c>
      <c r="B509" t="str">
        <f ca="1">LOOKUP(RAND(),{0,0.28,0.55,0.78},{"Oloitoktok A","Oloitoktok B","Kiserian","Namanga"})</f>
        <v>Kiserian</v>
      </c>
      <c r="C509">
        <f ca="1">LOOKUP(RAND(),{0,0.02,0.09,0.2,0.35,0.52,0.68,0.81,0.91,0.97},{1,2,3,4,5,6,7,8,9,10})</f>
        <v>3</v>
      </c>
      <c r="D509">
        <f t="shared" ca="1" si="42"/>
        <v>56000</v>
      </c>
      <c r="E509" t="str">
        <f ca="1">IF(B509="Oloitoktok A",IF(D509&lt;15000,LOOKUP(RAND(),{0,0.45,0.75,0.92},{"River","Rainwater","Borehole","Vendor"}),IF(D509&lt;30000,LOOKUP(RAND(),{0,0.35,0.65,0.85},{"River","Rainwater","Borehole","Vendor"}),LOOKUP(RAND(),{0,0.25,0.5,0.75},{"River","Rainwater","Borehole","Vendor"}))),IF(B509="Oloitoktok B",IF(D509&lt;15000,LOOKUP(RAND(),{0,0.5,0.78,0.94},{"River","Rainwater","Borehole","Vendor"}),IF(D509&lt;30000,LOOKUP(RAND(),{0,0.4,0.68,0.87},{"River","Rainwater","Borehole","Vendor"}),LOOKUP(RAND(),{0,0.28,0.55,0.78},{"River","Rainwater","Borehole","Vendor"}))),IF(B509="Kiserian",IF(D509&lt;15000,LOOKUP(RAND(),{0,0.35,0.65,0.9},{"River","Rainwater","Borehole","Vendor"}),IF(D509&lt;30000,LOOKUP(RAND(),{0,0.25,0.55,0.82},{"River","Rainwater","Borehole","Vendor"}),LOOKUP(RAND(),{0,0.15,0.45,0.72},{"River","Rainwater","Borehole","Vendor"}))),IF(D509&lt;15000,LOOKUP(RAND(),{0,0.4,0.7,0.92},{"River","Rainwater","Borehole","Vendor"}),IF(D509&lt;30000,LOOKUP(RAND(),{0,0.3,0.6,0.85},{"River","Rainwater","Borehole","Vendor"}),LOOKUP(RAND(),{0,0.2,0.5,0.75},{"River","Rainwater","Borehole","Vendor"}))))))</f>
        <v>Borehole</v>
      </c>
      <c r="F509">
        <f t="shared" ca="1" si="43"/>
        <v>21</v>
      </c>
      <c r="G509">
        <f t="shared" ca="1" si="44"/>
        <v>5.0999999999999996</v>
      </c>
      <c r="H509">
        <f t="shared" ca="1" si="45"/>
        <v>2500</v>
      </c>
      <c r="I509">
        <f t="shared" ca="1" si="46"/>
        <v>0.57781444989123909</v>
      </c>
      <c r="J509">
        <v>0</v>
      </c>
    </row>
    <row r="510" spans="1:10" x14ac:dyDescent="0.3">
      <c r="A510" t="str">
        <f t="shared" si="47"/>
        <v>HH509</v>
      </c>
      <c r="B510" t="str">
        <f ca="1">LOOKUP(RAND(),{0,0.28,0.55,0.78},{"Oloitoktok A","Oloitoktok B","Kiserian","Namanga"})</f>
        <v>Namanga</v>
      </c>
      <c r="C510">
        <f ca="1">LOOKUP(RAND(),{0,0.02,0.09,0.2,0.35,0.52,0.68,0.81,0.91,0.97},{1,2,3,4,5,6,7,8,9,10})</f>
        <v>6</v>
      </c>
      <c r="D510">
        <f t="shared" ca="1" si="42"/>
        <v>15200</v>
      </c>
      <c r="E510" t="str">
        <f ca="1">IF(B510="Oloitoktok A",IF(D510&lt;15000,LOOKUP(RAND(),{0,0.45,0.75,0.92},{"River","Rainwater","Borehole","Vendor"}),IF(D510&lt;30000,LOOKUP(RAND(),{0,0.35,0.65,0.85},{"River","Rainwater","Borehole","Vendor"}),LOOKUP(RAND(),{0,0.25,0.5,0.75},{"River","Rainwater","Borehole","Vendor"}))),IF(B510="Oloitoktok B",IF(D510&lt;15000,LOOKUP(RAND(),{0,0.5,0.78,0.94},{"River","Rainwater","Borehole","Vendor"}),IF(D510&lt;30000,LOOKUP(RAND(),{0,0.4,0.68,0.87},{"River","Rainwater","Borehole","Vendor"}),LOOKUP(RAND(),{0,0.28,0.55,0.78},{"River","Rainwater","Borehole","Vendor"}))),IF(B510="Kiserian",IF(D510&lt;15000,LOOKUP(RAND(),{0,0.35,0.65,0.9},{"River","Rainwater","Borehole","Vendor"}),IF(D510&lt;30000,LOOKUP(RAND(),{0,0.25,0.55,0.82},{"River","Rainwater","Borehole","Vendor"}),LOOKUP(RAND(),{0,0.15,0.45,0.72},{"River","Rainwater","Borehole","Vendor"}))),IF(D510&lt;15000,LOOKUP(RAND(),{0,0.4,0.7,0.92},{"River","Rainwater","Borehole","Vendor"}),IF(D510&lt;30000,LOOKUP(RAND(),{0,0.3,0.6,0.85},{"River","Rainwater","Borehole","Vendor"}),LOOKUP(RAND(),{0,0.2,0.5,0.75},{"River","Rainwater","Borehole","Vendor"}))))))</f>
        <v>Borehole</v>
      </c>
      <c r="F510">
        <f t="shared" ca="1" si="43"/>
        <v>70</v>
      </c>
      <c r="G510">
        <f t="shared" ca="1" si="44"/>
        <v>4.9000000000000004</v>
      </c>
      <c r="H510">
        <f t="shared" ca="1" si="45"/>
        <v>6000</v>
      </c>
      <c r="I510">
        <f t="shared" ca="1" si="46"/>
        <v>0.41585985532583569</v>
      </c>
      <c r="J510">
        <v>0</v>
      </c>
    </row>
    <row r="511" spans="1:10" x14ac:dyDescent="0.3">
      <c r="A511" t="str">
        <f t="shared" si="47"/>
        <v>HH510</v>
      </c>
      <c r="B511" t="str">
        <f ca="1">LOOKUP(RAND(),{0,0.28,0.55,0.78},{"Oloitoktok A","Oloitoktok B","Kiserian","Namanga"})</f>
        <v>Oloitoktok A</v>
      </c>
      <c r="C511">
        <f ca="1">LOOKUP(RAND(),{0,0.02,0.09,0.2,0.35,0.52,0.68,0.81,0.91,0.97},{1,2,3,4,5,6,7,8,9,10})</f>
        <v>8</v>
      </c>
      <c r="D511">
        <f t="shared" ca="1" si="42"/>
        <v>31300</v>
      </c>
      <c r="E511" t="str">
        <f ca="1">IF(B511="Oloitoktok A",IF(D511&lt;15000,LOOKUP(RAND(),{0,0.45,0.75,0.92},{"River","Rainwater","Borehole","Vendor"}),IF(D511&lt;30000,LOOKUP(RAND(),{0,0.35,0.65,0.85},{"River","Rainwater","Borehole","Vendor"}),LOOKUP(RAND(),{0,0.25,0.5,0.75},{"River","Rainwater","Borehole","Vendor"}))),IF(B511="Oloitoktok B",IF(D511&lt;15000,LOOKUP(RAND(),{0,0.5,0.78,0.94},{"River","Rainwater","Borehole","Vendor"}),IF(D511&lt;30000,LOOKUP(RAND(),{0,0.4,0.68,0.87},{"River","Rainwater","Borehole","Vendor"}),LOOKUP(RAND(),{0,0.28,0.55,0.78},{"River","Rainwater","Borehole","Vendor"}))),IF(B511="Kiserian",IF(D511&lt;15000,LOOKUP(RAND(),{0,0.35,0.65,0.9},{"River","Rainwater","Borehole","Vendor"}),IF(D511&lt;30000,LOOKUP(RAND(),{0,0.25,0.55,0.82},{"River","Rainwater","Borehole","Vendor"}),LOOKUP(RAND(),{0,0.15,0.45,0.72},{"River","Rainwater","Borehole","Vendor"}))),IF(D511&lt;15000,LOOKUP(RAND(),{0,0.4,0.7,0.92},{"River","Rainwater","Borehole","Vendor"}),IF(D511&lt;30000,LOOKUP(RAND(),{0,0.3,0.6,0.85},{"River","Rainwater","Borehole","Vendor"}),LOOKUP(RAND(),{0,0.2,0.5,0.75},{"River","Rainwater","Borehole","Vendor"}))))))</f>
        <v>Rainwater</v>
      </c>
      <c r="F511">
        <f t="shared" ca="1" si="43"/>
        <v>18</v>
      </c>
      <c r="G511">
        <f t="shared" ca="1" si="44"/>
        <v>14.3</v>
      </c>
      <c r="H511">
        <f t="shared" ca="1" si="45"/>
        <v>9100</v>
      </c>
      <c r="I511">
        <f t="shared" ca="1" si="46"/>
        <v>2.6565086479209965E-3</v>
      </c>
      <c r="J511">
        <v>0</v>
      </c>
    </row>
    <row r="512" spans="1:10" x14ac:dyDescent="0.3">
      <c r="A512" t="str">
        <f t="shared" si="47"/>
        <v>HH511</v>
      </c>
      <c r="B512" t="str">
        <f ca="1">LOOKUP(RAND(),{0,0.28,0.55,0.78},{"Oloitoktok A","Oloitoktok B","Kiserian","Namanga"})</f>
        <v>Oloitoktok B</v>
      </c>
      <c r="C512">
        <f ca="1">LOOKUP(RAND(),{0,0.02,0.09,0.2,0.35,0.52,0.68,0.81,0.91,0.97},{1,2,3,4,5,6,7,8,9,10})</f>
        <v>3</v>
      </c>
      <c r="D512">
        <f t="shared" ca="1" si="42"/>
        <v>37000</v>
      </c>
      <c r="E512" t="str">
        <f ca="1">IF(B512="Oloitoktok A",IF(D512&lt;15000,LOOKUP(RAND(),{0,0.45,0.75,0.92},{"River","Rainwater","Borehole","Vendor"}),IF(D512&lt;30000,LOOKUP(RAND(),{0,0.35,0.65,0.85},{"River","Rainwater","Borehole","Vendor"}),LOOKUP(RAND(),{0,0.25,0.5,0.75},{"River","Rainwater","Borehole","Vendor"}))),IF(B512="Oloitoktok B",IF(D512&lt;15000,LOOKUP(RAND(),{0,0.5,0.78,0.94},{"River","Rainwater","Borehole","Vendor"}),IF(D512&lt;30000,LOOKUP(RAND(),{0,0.4,0.68,0.87},{"River","Rainwater","Borehole","Vendor"}),LOOKUP(RAND(),{0,0.28,0.55,0.78},{"River","Rainwater","Borehole","Vendor"}))),IF(B512="Kiserian",IF(D512&lt;15000,LOOKUP(RAND(),{0,0.35,0.65,0.9},{"River","Rainwater","Borehole","Vendor"}),IF(D512&lt;30000,LOOKUP(RAND(),{0,0.25,0.55,0.82},{"River","Rainwater","Borehole","Vendor"}),LOOKUP(RAND(),{0,0.15,0.45,0.72},{"River","Rainwater","Borehole","Vendor"}))),IF(D512&lt;15000,LOOKUP(RAND(),{0,0.4,0.7,0.92},{"River","Rainwater","Borehole","Vendor"}),IF(D512&lt;30000,LOOKUP(RAND(),{0,0.3,0.6,0.85},{"River","Rainwater","Borehole","Vendor"}),LOOKUP(RAND(),{0,0.2,0.5,0.75},{"River","Rainwater","Borehole","Vendor"}))))))</f>
        <v>River</v>
      </c>
      <c r="F512">
        <f t="shared" ca="1" si="43"/>
        <v>62</v>
      </c>
      <c r="G512">
        <f t="shared" ca="1" si="44"/>
        <v>6.6</v>
      </c>
      <c r="H512">
        <f t="shared" ca="1" si="45"/>
        <v>0</v>
      </c>
      <c r="I512">
        <f t="shared" ca="1" si="46"/>
        <v>0.86115573338394902</v>
      </c>
      <c r="J512">
        <v>0</v>
      </c>
    </row>
    <row r="513" spans="1:10" x14ac:dyDescent="0.3">
      <c r="A513" t="str">
        <f t="shared" si="47"/>
        <v>HH512</v>
      </c>
      <c r="B513" t="str">
        <f ca="1">LOOKUP(RAND(),{0,0.28,0.55,0.78},{"Oloitoktok A","Oloitoktok B","Kiserian","Namanga"})</f>
        <v>Kiserian</v>
      </c>
      <c r="C513">
        <f ca="1">LOOKUP(RAND(),{0,0.02,0.09,0.2,0.35,0.52,0.68,0.81,0.91,0.97},{1,2,3,4,5,6,7,8,9,10})</f>
        <v>9</v>
      </c>
      <c r="D513">
        <f t="shared" ca="1" si="42"/>
        <v>69900</v>
      </c>
      <c r="E513" t="str">
        <f ca="1">IF(B513="Oloitoktok A",IF(D513&lt;15000,LOOKUP(RAND(),{0,0.45,0.75,0.92},{"River","Rainwater","Borehole","Vendor"}),IF(D513&lt;30000,LOOKUP(RAND(),{0,0.35,0.65,0.85},{"River","Rainwater","Borehole","Vendor"}),LOOKUP(RAND(),{0,0.25,0.5,0.75},{"River","Rainwater","Borehole","Vendor"}))),IF(B513="Oloitoktok B",IF(D513&lt;15000,LOOKUP(RAND(),{0,0.5,0.78,0.94},{"River","Rainwater","Borehole","Vendor"}),IF(D513&lt;30000,LOOKUP(RAND(),{0,0.4,0.68,0.87},{"River","Rainwater","Borehole","Vendor"}),LOOKUP(RAND(),{0,0.28,0.55,0.78},{"River","Rainwater","Borehole","Vendor"}))),IF(B513="Kiserian",IF(D513&lt;15000,LOOKUP(RAND(),{0,0.35,0.65,0.9},{"River","Rainwater","Borehole","Vendor"}),IF(D513&lt;30000,LOOKUP(RAND(),{0,0.25,0.55,0.82},{"River","Rainwater","Borehole","Vendor"}),LOOKUP(RAND(),{0,0.15,0.45,0.72},{"River","Rainwater","Borehole","Vendor"}))),IF(D513&lt;15000,LOOKUP(RAND(),{0,0.4,0.7,0.92},{"River","Rainwater","Borehole","Vendor"}),IF(D513&lt;30000,LOOKUP(RAND(),{0,0.3,0.6,0.85},{"River","Rainwater","Borehole","Vendor"}),LOOKUP(RAND(),{0,0.2,0.5,0.75},{"River","Rainwater","Borehole","Vendor"}))))))</f>
        <v>Borehole</v>
      </c>
      <c r="F513">
        <f t="shared" ca="1" si="43"/>
        <v>63</v>
      </c>
      <c r="G513">
        <f t="shared" ca="1" si="44"/>
        <v>1.8</v>
      </c>
      <c r="H513">
        <f t="shared" ca="1" si="45"/>
        <v>5600</v>
      </c>
      <c r="I513">
        <f t="shared" ca="1" si="46"/>
        <v>0.6872802974728901</v>
      </c>
      <c r="J513">
        <v>0</v>
      </c>
    </row>
    <row r="514" spans="1:10" x14ac:dyDescent="0.3">
      <c r="A514" t="str">
        <f t="shared" si="47"/>
        <v>HH513</v>
      </c>
      <c r="B514" t="str">
        <f ca="1">LOOKUP(RAND(),{0,0.28,0.55,0.78},{"Oloitoktok A","Oloitoktok B","Kiserian","Namanga"})</f>
        <v>Oloitoktok B</v>
      </c>
      <c r="C514">
        <f ca="1">LOOKUP(RAND(),{0,0.02,0.09,0.2,0.35,0.52,0.68,0.81,0.91,0.97},{1,2,3,4,5,6,7,8,9,10})</f>
        <v>4</v>
      </c>
      <c r="D514">
        <f t="shared" ref="D514:D577" ca="1" si="48">MAX(5000,MIN(150000,ROUND(_xlfn.LOGNORM.INV(RAND(),LN(28000+1500*C514),0.55),-2)))</f>
        <v>35700</v>
      </c>
      <c r="E514" t="str">
        <f ca="1">IF(B514="Oloitoktok A",IF(D514&lt;15000,LOOKUP(RAND(),{0,0.45,0.75,0.92},{"River","Rainwater","Borehole","Vendor"}),IF(D514&lt;30000,LOOKUP(RAND(),{0,0.35,0.65,0.85},{"River","Rainwater","Borehole","Vendor"}),LOOKUP(RAND(),{0,0.25,0.5,0.75},{"River","Rainwater","Borehole","Vendor"}))),IF(B514="Oloitoktok B",IF(D514&lt;15000,LOOKUP(RAND(),{0,0.5,0.78,0.94},{"River","Rainwater","Borehole","Vendor"}),IF(D514&lt;30000,LOOKUP(RAND(),{0,0.4,0.68,0.87},{"River","Rainwater","Borehole","Vendor"}),LOOKUP(RAND(),{0,0.28,0.55,0.78},{"River","Rainwater","Borehole","Vendor"}))),IF(B514="Kiserian",IF(D514&lt;15000,LOOKUP(RAND(),{0,0.35,0.65,0.9},{"River","Rainwater","Borehole","Vendor"}),IF(D514&lt;30000,LOOKUP(RAND(),{0,0.25,0.55,0.82},{"River","Rainwater","Borehole","Vendor"}),LOOKUP(RAND(),{0,0.15,0.45,0.72},{"River","Rainwater","Borehole","Vendor"}))),IF(D514&lt;15000,LOOKUP(RAND(),{0,0.4,0.7,0.92},{"River","Rainwater","Borehole","Vendor"}),IF(D514&lt;30000,LOOKUP(RAND(),{0,0.3,0.6,0.85},{"River","Rainwater","Borehole","Vendor"}),LOOKUP(RAND(),{0,0.2,0.5,0.75},{"River","Rainwater","Borehole","Vendor"}))))))</f>
        <v>Borehole</v>
      </c>
      <c r="F514">
        <f t="shared" ref="F514:F577" ca="1" si="49">IF(E514="River",RANDBETWEEN(45,120),IF(E514="Rainwater",RANDBETWEEN(15,70),IF(E514="Borehole",RANDBETWEEN(20,75),RANDBETWEEN(10,60))))</f>
        <v>62</v>
      </c>
      <c r="G514">
        <f t="shared" ref="G514:G577" ca="1" si="50">IF(B514="Oloitoktok A",ROUND(RANDBETWEEN(5,150)/10,1),IF(B514="Oloitoktok B",ROUND(RANDBETWEEN(4,140)/10,1),IF(B514="Kiserian",ROUND(RANDBETWEEN(2,100)/10,1),ROUND(RANDBETWEEN(3,120)/10,1))))</f>
        <v>13.8</v>
      </c>
      <c r="H514">
        <f t="shared" ref="H514:H577" ca="1" si="51">MAX(0,ROUND((1500+(C514*250)+(D514*0.025)+(F514*8)+(G514*120)+IF(E514="River",1200,IF(E514="Rainwater",700,IF(E514="Borehole",400,200)))+_xlfn.NORM.INV(RAND(),0,3500)),-2))</f>
        <v>7800</v>
      </c>
      <c r="I514">
        <f t="shared" ref="I514:I577" ca="1" si="52">RAND()</f>
        <v>0.4165641785613251</v>
      </c>
      <c r="J514">
        <v>0</v>
      </c>
    </row>
    <row r="515" spans="1:10" x14ac:dyDescent="0.3">
      <c r="A515" t="str">
        <f t="shared" ref="A515:A578" si="53">"HH"&amp;TEXT(ROW()-1,"000")</f>
        <v>HH514</v>
      </c>
      <c r="B515" t="str">
        <f ca="1">LOOKUP(RAND(),{0,0.28,0.55,0.78},{"Oloitoktok A","Oloitoktok B","Kiserian","Namanga"})</f>
        <v>Oloitoktok B</v>
      </c>
      <c r="C515">
        <f ca="1">LOOKUP(RAND(),{0,0.02,0.09,0.2,0.35,0.52,0.68,0.81,0.91,0.97},{1,2,3,4,5,6,7,8,9,10})</f>
        <v>7</v>
      </c>
      <c r="D515">
        <f t="shared" ca="1" si="48"/>
        <v>17900</v>
      </c>
      <c r="E515" t="str">
        <f ca="1">IF(B515="Oloitoktok A",IF(D515&lt;15000,LOOKUP(RAND(),{0,0.45,0.75,0.92},{"River","Rainwater","Borehole","Vendor"}),IF(D515&lt;30000,LOOKUP(RAND(),{0,0.35,0.65,0.85},{"River","Rainwater","Borehole","Vendor"}),LOOKUP(RAND(),{0,0.25,0.5,0.75},{"River","Rainwater","Borehole","Vendor"}))),IF(B515="Oloitoktok B",IF(D515&lt;15000,LOOKUP(RAND(),{0,0.5,0.78,0.94},{"River","Rainwater","Borehole","Vendor"}),IF(D515&lt;30000,LOOKUP(RAND(),{0,0.4,0.68,0.87},{"River","Rainwater","Borehole","Vendor"}),LOOKUP(RAND(),{0,0.28,0.55,0.78},{"River","Rainwater","Borehole","Vendor"}))),IF(B515="Kiserian",IF(D515&lt;15000,LOOKUP(RAND(),{0,0.35,0.65,0.9},{"River","Rainwater","Borehole","Vendor"}),IF(D515&lt;30000,LOOKUP(RAND(),{0,0.25,0.55,0.82},{"River","Rainwater","Borehole","Vendor"}),LOOKUP(RAND(),{0,0.15,0.45,0.72},{"River","Rainwater","Borehole","Vendor"}))),IF(D515&lt;15000,LOOKUP(RAND(),{0,0.4,0.7,0.92},{"River","Rainwater","Borehole","Vendor"}),IF(D515&lt;30000,LOOKUP(RAND(),{0,0.3,0.6,0.85},{"River","Rainwater","Borehole","Vendor"}),LOOKUP(RAND(),{0,0.2,0.5,0.75},{"River","Rainwater","Borehole","Vendor"}))))))</f>
        <v>Vendor</v>
      </c>
      <c r="F515">
        <f t="shared" ca="1" si="49"/>
        <v>39</v>
      </c>
      <c r="G515">
        <f t="shared" ca="1" si="50"/>
        <v>1.6</v>
      </c>
      <c r="H515">
        <f t="shared" ca="1" si="51"/>
        <v>11100</v>
      </c>
      <c r="I515">
        <f t="shared" ca="1" si="52"/>
        <v>0.29229213437629054</v>
      </c>
      <c r="J515">
        <v>0</v>
      </c>
    </row>
    <row r="516" spans="1:10" x14ac:dyDescent="0.3">
      <c r="A516" t="str">
        <f t="shared" si="53"/>
        <v>HH515</v>
      </c>
      <c r="B516" t="str">
        <f ca="1">LOOKUP(RAND(),{0,0.28,0.55,0.78},{"Oloitoktok A","Oloitoktok B","Kiserian","Namanga"})</f>
        <v>Oloitoktok A</v>
      </c>
      <c r="C516">
        <f ca="1">LOOKUP(RAND(),{0,0.02,0.09,0.2,0.35,0.52,0.68,0.81,0.91,0.97},{1,2,3,4,5,6,7,8,9,10})</f>
        <v>9</v>
      </c>
      <c r="D516">
        <f t="shared" ca="1" si="48"/>
        <v>59200</v>
      </c>
      <c r="E516" t="str">
        <f ca="1">IF(B516="Oloitoktok A",IF(D516&lt;15000,LOOKUP(RAND(),{0,0.45,0.75,0.92},{"River","Rainwater","Borehole","Vendor"}),IF(D516&lt;30000,LOOKUP(RAND(),{0,0.35,0.65,0.85},{"River","Rainwater","Borehole","Vendor"}),LOOKUP(RAND(),{0,0.25,0.5,0.75},{"River","Rainwater","Borehole","Vendor"}))),IF(B516="Oloitoktok B",IF(D516&lt;15000,LOOKUP(RAND(),{0,0.5,0.78,0.94},{"River","Rainwater","Borehole","Vendor"}),IF(D516&lt;30000,LOOKUP(RAND(),{0,0.4,0.68,0.87},{"River","Rainwater","Borehole","Vendor"}),LOOKUP(RAND(),{0,0.28,0.55,0.78},{"River","Rainwater","Borehole","Vendor"}))),IF(B516="Kiserian",IF(D516&lt;15000,LOOKUP(RAND(),{0,0.35,0.65,0.9},{"River","Rainwater","Borehole","Vendor"}),IF(D516&lt;30000,LOOKUP(RAND(),{0,0.25,0.55,0.82},{"River","Rainwater","Borehole","Vendor"}),LOOKUP(RAND(),{0,0.15,0.45,0.72},{"River","Rainwater","Borehole","Vendor"}))),IF(D516&lt;15000,LOOKUP(RAND(),{0,0.4,0.7,0.92},{"River","Rainwater","Borehole","Vendor"}),IF(D516&lt;30000,LOOKUP(RAND(),{0,0.3,0.6,0.85},{"River","Rainwater","Borehole","Vendor"}),LOOKUP(RAND(),{0,0.2,0.5,0.75},{"River","Rainwater","Borehole","Vendor"}))))))</f>
        <v>Vendor</v>
      </c>
      <c r="F516">
        <f t="shared" ca="1" si="49"/>
        <v>32</v>
      </c>
      <c r="G516">
        <f t="shared" ca="1" si="50"/>
        <v>2.2999999999999998</v>
      </c>
      <c r="H516">
        <f t="shared" ca="1" si="51"/>
        <v>7100</v>
      </c>
      <c r="I516">
        <f t="shared" ca="1" si="52"/>
        <v>0.955614297835365</v>
      </c>
      <c r="J516">
        <v>0</v>
      </c>
    </row>
    <row r="517" spans="1:10" x14ac:dyDescent="0.3">
      <c r="A517" t="str">
        <f t="shared" si="53"/>
        <v>HH516</v>
      </c>
      <c r="B517" t="str">
        <f ca="1">LOOKUP(RAND(),{0,0.28,0.55,0.78},{"Oloitoktok A","Oloitoktok B","Kiserian","Namanga"})</f>
        <v>Oloitoktok B</v>
      </c>
      <c r="C517">
        <f ca="1">LOOKUP(RAND(),{0,0.02,0.09,0.2,0.35,0.52,0.68,0.81,0.91,0.97},{1,2,3,4,5,6,7,8,9,10})</f>
        <v>5</v>
      </c>
      <c r="D517">
        <f t="shared" ca="1" si="48"/>
        <v>29900</v>
      </c>
      <c r="E517" t="str">
        <f ca="1">IF(B517="Oloitoktok A",IF(D517&lt;15000,LOOKUP(RAND(),{0,0.45,0.75,0.92},{"River","Rainwater","Borehole","Vendor"}),IF(D517&lt;30000,LOOKUP(RAND(),{0,0.35,0.65,0.85},{"River","Rainwater","Borehole","Vendor"}),LOOKUP(RAND(),{0,0.25,0.5,0.75},{"River","Rainwater","Borehole","Vendor"}))),IF(B517="Oloitoktok B",IF(D517&lt;15000,LOOKUP(RAND(),{0,0.5,0.78,0.94},{"River","Rainwater","Borehole","Vendor"}),IF(D517&lt;30000,LOOKUP(RAND(),{0,0.4,0.68,0.87},{"River","Rainwater","Borehole","Vendor"}),LOOKUP(RAND(),{0,0.28,0.55,0.78},{"River","Rainwater","Borehole","Vendor"}))),IF(B517="Kiserian",IF(D517&lt;15000,LOOKUP(RAND(),{0,0.35,0.65,0.9},{"River","Rainwater","Borehole","Vendor"}),IF(D517&lt;30000,LOOKUP(RAND(),{0,0.25,0.55,0.82},{"River","Rainwater","Borehole","Vendor"}),LOOKUP(RAND(),{0,0.15,0.45,0.72},{"River","Rainwater","Borehole","Vendor"}))),IF(D517&lt;15000,LOOKUP(RAND(),{0,0.4,0.7,0.92},{"River","Rainwater","Borehole","Vendor"}),IF(D517&lt;30000,LOOKUP(RAND(),{0,0.3,0.6,0.85},{"River","Rainwater","Borehole","Vendor"}),LOOKUP(RAND(),{0,0.2,0.5,0.75},{"River","Rainwater","Borehole","Vendor"}))))))</f>
        <v>Vendor</v>
      </c>
      <c r="F517">
        <f t="shared" ca="1" si="49"/>
        <v>28</v>
      </c>
      <c r="G517">
        <f t="shared" ca="1" si="50"/>
        <v>5.0999999999999996</v>
      </c>
      <c r="H517">
        <f t="shared" ca="1" si="51"/>
        <v>2700</v>
      </c>
      <c r="I517">
        <f t="shared" ca="1" si="52"/>
        <v>0.82497454128895431</v>
      </c>
      <c r="J517">
        <v>0</v>
      </c>
    </row>
    <row r="518" spans="1:10" x14ac:dyDescent="0.3">
      <c r="A518" t="str">
        <f t="shared" si="53"/>
        <v>HH517</v>
      </c>
      <c r="B518" t="str">
        <f ca="1">LOOKUP(RAND(),{0,0.28,0.55,0.78},{"Oloitoktok A","Oloitoktok B","Kiserian","Namanga"})</f>
        <v>Namanga</v>
      </c>
      <c r="C518">
        <f ca="1">LOOKUP(RAND(),{0,0.02,0.09,0.2,0.35,0.52,0.68,0.81,0.91,0.97},{1,2,3,4,5,6,7,8,9,10})</f>
        <v>4</v>
      </c>
      <c r="D518">
        <f t="shared" ca="1" si="48"/>
        <v>35600</v>
      </c>
      <c r="E518" t="str">
        <f ca="1">IF(B518="Oloitoktok A",IF(D518&lt;15000,LOOKUP(RAND(),{0,0.45,0.75,0.92},{"River","Rainwater","Borehole","Vendor"}),IF(D518&lt;30000,LOOKUP(RAND(),{0,0.35,0.65,0.85},{"River","Rainwater","Borehole","Vendor"}),LOOKUP(RAND(),{0,0.25,0.5,0.75},{"River","Rainwater","Borehole","Vendor"}))),IF(B518="Oloitoktok B",IF(D518&lt;15000,LOOKUP(RAND(),{0,0.5,0.78,0.94},{"River","Rainwater","Borehole","Vendor"}),IF(D518&lt;30000,LOOKUP(RAND(),{0,0.4,0.68,0.87},{"River","Rainwater","Borehole","Vendor"}),LOOKUP(RAND(),{0,0.28,0.55,0.78},{"River","Rainwater","Borehole","Vendor"}))),IF(B518="Kiserian",IF(D518&lt;15000,LOOKUP(RAND(),{0,0.35,0.65,0.9},{"River","Rainwater","Borehole","Vendor"}),IF(D518&lt;30000,LOOKUP(RAND(),{0,0.25,0.55,0.82},{"River","Rainwater","Borehole","Vendor"}),LOOKUP(RAND(),{0,0.15,0.45,0.72},{"River","Rainwater","Borehole","Vendor"}))),IF(D518&lt;15000,LOOKUP(RAND(),{0,0.4,0.7,0.92},{"River","Rainwater","Borehole","Vendor"}),IF(D518&lt;30000,LOOKUP(RAND(),{0,0.3,0.6,0.85},{"River","Rainwater","Borehole","Vendor"}),LOOKUP(RAND(),{0,0.2,0.5,0.75},{"River","Rainwater","Borehole","Vendor"}))))))</f>
        <v>Rainwater</v>
      </c>
      <c r="F518">
        <f t="shared" ca="1" si="49"/>
        <v>39</v>
      </c>
      <c r="G518">
        <f t="shared" ca="1" si="50"/>
        <v>8</v>
      </c>
      <c r="H518">
        <f t="shared" ca="1" si="51"/>
        <v>5400</v>
      </c>
      <c r="I518">
        <f t="shared" ca="1" si="52"/>
        <v>0.94249026564051552</v>
      </c>
      <c r="J518">
        <v>1</v>
      </c>
    </row>
    <row r="519" spans="1:10" x14ac:dyDescent="0.3">
      <c r="A519" t="str">
        <f t="shared" si="53"/>
        <v>HH518</v>
      </c>
      <c r="B519" t="str">
        <f ca="1">LOOKUP(RAND(),{0,0.28,0.55,0.78},{"Oloitoktok A","Oloitoktok B","Kiserian","Namanga"})</f>
        <v>Namanga</v>
      </c>
      <c r="C519">
        <f ca="1">LOOKUP(RAND(),{0,0.02,0.09,0.2,0.35,0.52,0.68,0.81,0.91,0.97},{1,2,3,4,5,6,7,8,9,10})</f>
        <v>4</v>
      </c>
      <c r="D519">
        <f t="shared" ca="1" si="48"/>
        <v>25900</v>
      </c>
      <c r="E519" t="str">
        <f ca="1">IF(B519="Oloitoktok A",IF(D519&lt;15000,LOOKUP(RAND(),{0,0.45,0.75,0.92},{"River","Rainwater","Borehole","Vendor"}),IF(D519&lt;30000,LOOKUP(RAND(),{0,0.35,0.65,0.85},{"River","Rainwater","Borehole","Vendor"}),LOOKUP(RAND(),{0,0.25,0.5,0.75},{"River","Rainwater","Borehole","Vendor"}))),IF(B519="Oloitoktok B",IF(D519&lt;15000,LOOKUP(RAND(),{0,0.5,0.78,0.94},{"River","Rainwater","Borehole","Vendor"}),IF(D519&lt;30000,LOOKUP(RAND(),{0,0.4,0.68,0.87},{"River","Rainwater","Borehole","Vendor"}),LOOKUP(RAND(),{0,0.28,0.55,0.78},{"River","Rainwater","Borehole","Vendor"}))),IF(B519="Kiserian",IF(D519&lt;15000,LOOKUP(RAND(),{0,0.35,0.65,0.9},{"River","Rainwater","Borehole","Vendor"}),IF(D519&lt;30000,LOOKUP(RAND(),{0,0.25,0.55,0.82},{"River","Rainwater","Borehole","Vendor"}),LOOKUP(RAND(),{0,0.15,0.45,0.72},{"River","Rainwater","Borehole","Vendor"}))),IF(D519&lt;15000,LOOKUP(RAND(),{0,0.4,0.7,0.92},{"River","Rainwater","Borehole","Vendor"}),IF(D519&lt;30000,LOOKUP(RAND(),{0,0.3,0.6,0.85},{"River","Rainwater","Borehole","Vendor"}),LOOKUP(RAND(),{0,0.2,0.5,0.75},{"River","Rainwater","Borehole","Vendor"}))))))</f>
        <v>Vendor</v>
      </c>
      <c r="F519">
        <f t="shared" ca="1" si="49"/>
        <v>15</v>
      </c>
      <c r="G519">
        <f t="shared" ca="1" si="50"/>
        <v>5.3</v>
      </c>
      <c r="H519">
        <f t="shared" ca="1" si="51"/>
        <v>8900</v>
      </c>
      <c r="I519">
        <f t="shared" ca="1" si="52"/>
        <v>0.92705389180757347</v>
      </c>
      <c r="J519">
        <v>1</v>
      </c>
    </row>
    <row r="520" spans="1:10" x14ac:dyDescent="0.3">
      <c r="A520" t="str">
        <f t="shared" si="53"/>
        <v>HH519</v>
      </c>
      <c r="B520" t="str">
        <f ca="1">LOOKUP(RAND(),{0,0.28,0.55,0.78},{"Oloitoktok A","Oloitoktok B","Kiserian","Namanga"})</f>
        <v>Oloitoktok B</v>
      </c>
      <c r="C520">
        <f ca="1">LOOKUP(RAND(),{0,0.02,0.09,0.2,0.35,0.52,0.68,0.81,0.91,0.97},{1,2,3,4,5,6,7,8,9,10})</f>
        <v>4</v>
      </c>
      <c r="D520">
        <f t="shared" ca="1" si="48"/>
        <v>32900</v>
      </c>
      <c r="E520" t="str">
        <f ca="1">IF(B520="Oloitoktok A",IF(D520&lt;15000,LOOKUP(RAND(),{0,0.45,0.75,0.92},{"River","Rainwater","Borehole","Vendor"}),IF(D520&lt;30000,LOOKUP(RAND(),{0,0.35,0.65,0.85},{"River","Rainwater","Borehole","Vendor"}),LOOKUP(RAND(),{0,0.25,0.5,0.75},{"River","Rainwater","Borehole","Vendor"}))),IF(B520="Oloitoktok B",IF(D520&lt;15000,LOOKUP(RAND(),{0,0.5,0.78,0.94},{"River","Rainwater","Borehole","Vendor"}),IF(D520&lt;30000,LOOKUP(RAND(),{0,0.4,0.68,0.87},{"River","Rainwater","Borehole","Vendor"}),LOOKUP(RAND(),{0,0.28,0.55,0.78},{"River","Rainwater","Borehole","Vendor"}))),IF(B520="Kiserian",IF(D520&lt;15000,LOOKUP(RAND(),{0,0.35,0.65,0.9},{"River","Rainwater","Borehole","Vendor"}),IF(D520&lt;30000,LOOKUP(RAND(),{0,0.25,0.55,0.82},{"River","Rainwater","Borehole","Vendor"}),LOOKUP(RAND(),{0,0.15,0.45,0.72},{"River","Rainwater","Borehole","Vendor"}))),IF(D520&lt;15000,LOOKUP(RAND(),{0,0.4,0.7,0.92},{"River","Rainwater","Borehole","Vendor"}),IF(D520&lt;30000,LOOKUP(RAND(),{0,0.3,0.6,0.85},{"River","Rainwater","Borehole","Vendor"}),LOOKUP(RAND(),{0,0.2,0.5,0.75},{"River","Rainwater","Borehole","Vendor"}))))))</f>
        <v>Borehole</v>
      </c>
      <c r="F520">
        <f t="shared" ca="1" si="49"/>
        <v>45</v>
      </c>
      <c r="G520">
        <f t="shared" ca="1" si="50"/>
        <v>6.4</v>
      </c>
      <c r="H520">
        <f t="shared" ca="1" si="51"/>
        <v>8700</v>
      </c>
      <c r="I520">
        <f t="shared" ca="1" si="52"/>
        <v>0.13725756182633209</v>
      </c>
      <c r="J520">
        <v>1</v>
      </c>
    </row>
    <row r="521" spans="1:10" x14ac:dyDescent="0.3">
      <c r="A521" t="str">
        <f t="shared" si="53"/>
        <v>HH520</v>
      </c>
      <c r="B521" t="str">
        <f ca="1">LOOKUP(RAND(),{0,0.28,0.55,0.78},{"Oloitoktok A","Oloitoktok B","Kiserian","Namanga"})</f>
        <v>Namanga</v>
      </c>
      <c r="C521">
        <f ca="1">LOOKUP(RAND(),{0,0.02,0.09,0.2,0.35,0.52,0.68,0.81,0.91,0.97},{1,2,3,4,5,6,7,8,9,10})</f>
        <v>7</v>
      </c>
      <c r="D521">
        <f t="shared" ca="1" si="48"/>
        <v>103500</v>
      </c>
      <c r="E521" t="str">
        <f ca="1">IF(B521="Oloitoktok A",IF(D521&lt;15000,LOOKUP(RAND(),{0,0.45,0.75,0.92},{"River","Rainwater","Borehole","Vendor"}),IF(D521&lt;30000,LOOKUP(RAND(),{0,0.35,0.65,0.85},{"River","Rainwater","Borehole","Vendor"}),LOOKUP(RAND(),{0,0.25,0.5,0.75},{"River","Rainwater","Borehole","Vendor"}))),IF(B521="Oloitoktok B",IF(D521&lt;15000,LOOKUP(RAND(),{0,0.5,0.78,0.94},{"River","Rainwater","Borehole","Vendor"}),IF(D521&lt;30000,LOOKUP(RAND(),{0,0.4,0.68,0.87},{"River","Rainwater","Borehole","Vendor"}),LOOKUP(RAND(),{0,0.28,0.55,0.78},{"River","Rainwater","Borehole","Vendor"}))),IF(B521="Kiserian",IF(D521&lt;15000,LOOKUP(RAND(),{0,0.35,0.65,0.9},{"River","Rainwater","Borehole","Vendor"}),IF(D521&lt;30000,LOOKUP(RAND(),{0,0.25,0.55,0.82},{"River","Rainwater","Borehole","Vendor"}),LOOKUP(RAND(),{0,0.15,0.45,0.72},{"River","Rainwater","Borehole","Vendor"}))),IF(D521&lt;15000,LOOKUP(RAND(),{0,0.4,0.7,0.92},{"River","Rainwater","Borehole","Vendor"}),IF(D521&lt;30000,LOOKUP(RAND(),{0,0.3,0.6,0.85},{"River","Rainwater","Borehole","Vendor"}),LOOKUP(RAND(),{0,0.2,0.5,0.75},{"River","Rainwater","Borehole","Vendor"}))))))</f>
        <v>Vendor</v>
      </c>
      <c r="F521">
        <f t="shared" ca="1" si="49"/>
        <v>38</v>
      </c>
      <c r="G521">
        <f t="shared" ca="1" si="50"/>
        <v>7.9</v>
      </c>
      <c r="H521">
        <f t="shared" ca="1" si="51"/>
        <v>9300</v>
      </c>
      <c r="I521">
        <f t="shared" ca="1" si="52"/>
        <v>0.3402406289897939</v>
      </c>
      <c r="J521">
        <v>1</v>
      </c>
    </row>
    <row r="522" spans="1:10" x14ac:dyDescent="0.3">
      <c r="A522" t="str">
        <f t="shared" si="53"/>
        <v>HH521</v>
      </c>
      <c r="B522" t="str">
        <f ca="1">LOOKUP(RAND(),{0,0.28,0.55,0.78},{"Oloitoktok A","Oloitoktok B","Kiserian","Namanga"})</f>
        <v>Oloitoktok B</v>
      </c>
      <c r="C522">
        <f ca="1">LOOKUP(RAND(),{0,0.02,0.09,0.2,0.35,0.52,0.68,0.81,0.91,0.97},{1,2,3,4,5,6,7,8,9,10})</f>
        <v>6</v>
      </c>
      <c r="D522">
        <f t="shared" ca="1" si="48"/>
        <v>30400</v>
      </c>
      <c r="E522" t="str">
        <f ca="1">IF(B522="Oloitoktok A",IF(D522&lt;15000,LOOKUP(RAND(),{0,0.45,0.75,0.92},{"River","Rainwater","Borehole","Vendor"}),IF(D522&lt;30000,LOOKUP(RAND(),{0,0.35,0.65,0.85},{"River","Rainwater","Borehole","Vendor"}),LOOKUP(RAND(),{0,0.25,0.5,0.75},{"River","Rainwater","Borehole","Vendor"}))),IF(B522="Oloitoktok B",IF(D522&lt;15000,LOOKUP(RAND(),{0,0.5,0.78,0.94},{"River","Rainwater","Borehole","Vendor"}),IF(D522&lt;30000,LOOKUP(RAND(),{0,0.4,0.68,0.87},{"River","Rainwater","Borehole","Vendor"}),LOOKUP(RAND(),{0,0.28,0.55,0.78},{"River","Rainwater","Borehole","Vendor"}))),IF(B522="Kiserian",IF(D522&lt;15000,LOOKUP(RAND(),{0,0.35,0.65,0.9},{"River","Rainwater","Borehole","Vendor"}),IF(D522&lt;30000,LOOKUP(RAND(),{0,0.25,0.55,0.82},{"River","Rainwater","Borehole","Vendor"}),LOOKUP(RAND(),{0,0.15,0.45,0.72},{"River","Rainwater","Borehole","Vendor"}))),IF(D522&lt;15000,LOOKUP(RAND(),{0,0.4,0.7,0.92},{"River","Rainwater","Borehole","Vendor"}),IF(D522&lt;30000,LOOKUP(RAND(),{0,0.3,0.6,0.85},{"River","Rainwater","Borehole","Vendor"}),LOOKUP(RAND(),{0,0.2,0.5,0.75},{"River","Rainwater","Borehole","Vendor"}))))))</f>
        <v>Rainwater</v>
      </c>
      <c r="F522">
        <f t="shared" ca="1" si="49"/>
        <v>29</v>
      </c>
      <c r="G522">
        <f t="shared" ca="1" si="50"/>
        <v>1.8</v>
      </c>
      <c r="H522">
        <f t="shared" ca="1" si="51"/>
        <v>3000</v>
      </c>
      <c r="I522">
        <f t="shared" ca="1" si="52"/>
        <v>0.85211395644841348</v>
      </c>
      <c r="J522">
        <v>1</v>
      </c>
    </row>
    <row r="523" spans="1:10" x14ac:dyDescent="0.3">
      <c r="A523" t="str">
        <f t="shared" si="53"/>
        <v>HH522</v>
      </c>
      <c r="B523" t="str">
        <f ca="1">LOOKUP(RAND(),{0,0.28,0.55,0.78},{"Oloitoktok A","Oloitoktok B","Kiserian","Namanga"})</f>
        <v>Oloitoktok A</v>
      </c>
      <c r="C523">
        <f ca="1">LOOKUP(RAND(),{0,0.02,0.09,0.2,0.35,0.52,0.68,0.81,0.91,0.97},{1,2,3,4,5,6,7,8,9,10})</f>
        <v>8</v>
      </c>
      <c r="D523">
        <f t="shared" ca="1" si="48"/>
        <v>53700</v>
      </c>
      <c r="E523" t="str">
        <f ca="1">IF(B523="Oloitoktok A",IF(D523&lt;15000,LOOKUP(RAND(),{0,0.45,0.75,0.92},{"River","Rainwater","Borehole","Vendor"}),IF(D523&lt;30000,LOOKUP(RAND(),{0,0.35,0.65,0.85},{"River","Rainwater","Borehole","Vendor"}),LOOKUP(RAND(),{0,0.25,0.5,0.75},{"River","Rainwater","Borehole","Vendor"}))),IF(B523="Oloitoktok B",IF(D523&lt;15000,LOOKUP(RAND(),{0,0.5,0.78,0.94},{"River","Rainwater","Borehole","Vendor"}),IF(D523&lt;30000,LOOKUP(RAND(),{0,0.4,0.68,0.87},{"River","Rainwater","Borehole","Vendor"}),LOOKUP(RAND(),{0,0.28,0.55,0.78},{"River","Rainwater","Borehole","Vendor"}))),IF(B523="Kiserian",IF(D523&lt;15000,LOOKUP(RAND(),{0,0.35,0.65,0.9},{"River","Rainwater","Borehole","Vendor"}),IF(D523&lt;30000,LOOKUP(RAND(),{0,0.25,0.55,0.82},{"River","Rainwater","Borehole","Vendor"}),LOOKUP(RAND(),{0,0.15,0.45,0.72},{"River","Rainwater","Borehole","Vendor"}))),IF(D523&lt;15000,LOOKUP(RAND(),{0,0.4,0.7,0.92},{"River","Rainwater","Borehole","Vendor"}),IF(D523&lt;30000,LOOKUP(RAND(),{0,0.3,0.6,0.85},{"River","Rainwater","Borehole","Vendor"}),LOOKUP(RAND(),{0,0.2,0.5,0.75},{"River","Rainwater","Borehole","Vendor"}))))))</f>
        <v>River</v>
      </c>
      <c r="F523">
        <f t="shared" ca="1" si="49"/>
        <v>118</v>
      </c>
      <c r="G523">
        <f t="shared" ca="1" si="50"/>
        <v>10.1</v>
      </c>
      <c r="H523">
        <f t="shared" ca="1" si="51"/>
        <v>3500</v>
      </c>
      <c r="I523">
        <f t="shared" ca="1" si="52"/>
        <v>0.69321545251190742</v>
      </c>
      <c r="J523">
        <v>1</v>
      </c>
    </row>
    <row r="524" spans="1:10" x14ac:dyDescent="0.3">
      <c r="A524" t="str">
        <f t="shared" si="53"/>
        <v>HH523</v>
      </c>
      <c r="B524" t="str">
        <f ca="1">LOOKUP(RAND(),{0,0.28,0.55,0.78},{"Oloitoktok A","Oloitoktok B","Kiserian","Namanga"})</f>
        <v>Oloitoktok A</v>
      </c>
      <c r="C524">
        <f ca="1">LOOKUP(RAND(),{0,0.02,0.09,0.2,0.35,0.52,0.68,0.81,0.91,0.97},{1,2,3,4,5,6,7,8,9,10})</f>
        <v>3</v>
      </c>
      <c r="D524">
        <f t="shared" ca="1" si="48"/>
        <v>25900</v>
      </c>
      <c r="E524" t="str">
        <f ca="1">IF(B524="Oloitoktok A",IF(D524&lt;15000,LOOKUP(RAND(),{0,0.45,0.75,0.92},{"River","Rainwater","Borehole","Vendor"}),IF(D524&lt;30000,LOOKUP(RAND(),{0,0.35,0.65,0.85},{"River","Rainwater","Borehole","Vendor"}),LOOKUP(RAND(),{0,0.25,0.5,0.75},{"River","Rainwater","Borehole","Vendor"}))),IF(B524="Oloitoktok B",IF(D524&lt;15000,LOOKUP(RAND(),{0,0.5,0.78,0.94},{"River","Rainwater","Borehole","Vendor"}),IF(D524&lt;30000,LOOKUP(RAND(),{0,0.4,0.68,0.87},{"River","Rainwater","Borehole","Vendor"}),LOOKUP(RAND(),{0,0.28,0.55,0.78},{"River","Rainwater","Borehole","Vendor"}))),IF(B524="Kiserian",IF(D524&lt;15000,LOOKUP(RAND(),{0,0.35,0.65,0.9},{"River","Rainwater","Borehole","Vendor"}),IF(D524&lt;30000,LOOKUP(RAND(),{0,0.25,0.55,0.82},{"River","Rainwater","Borehole","Vendor"}),LOOKUP(RAND(),{0,0.15,0.45,0.72},{"River","Rainwater","Borehole","Vendor"}))),IF(D524&lt;15000,LOOKUP(RAND(),{0,0.4,0.7,0.92},{"River","Rainwater","Borehole","Vendor"}),IF(D524&lt;30000,LOOKUP(RAND(),{0,0.3,0.6,0.85},{"River","Rainwater","Borehole","Vendor"}),LOOKUP(RAND(),{0,0.2,0.5,0.75},{"River","Rainwater","Borehole","Vendor"}))))))</f>
        <v>Borehole</v>
      </c>
      <c r="F524">
        <f t="shared" ca="1" si="49"/>
        <v>46</v>
      </c>
      <c r="G524">
        <f t="shared" ca="1" si="50"/>
        <v>5.4</v>
      </c>
      <c r="H524">
        <f t="shared" ca="1" si="51"/>
        <v>10400</v>
      </c>
      <c r="I524">
        <f t="shared" ca="1" si="52"/>
        <v>0.40368534169862802</v>
      </c>
      <c r="J524">
        <v>1</v>
      </c>
    </row>
    <row r="525" spans="1:10" x14ac:dyDescent="0.3">
      <c r="A525" t="str">
        <f t="shared" si="53"/>
        <v>HH524</v>
      </c>
      <c r="B525" t="str">
        <f ca="1">LOOKUP(RAND(),{0,0.28,0.55,0.78},{"Oloitoktok A","Oloitoktok B","Kiserian","Namanga"})</f>
        <v>Oloitoktok A</v>
      </c>
      <c r="C525">
        <f ca="1">LOOKUP(RAND(),{0,0.02,0.09,0.2,0.35,0.52,0.68,0.81,0.91,0.97},{1,2,3,4,5,6,7,8,9,10})</f>
        <v>4</v>
      </c>
      <c r="D525">
        <f t="shared" ca="1" si="48"/>
        <v>54000</v>
      </c>
      <c r="E525" t="str">
        <f ca="1">IF(B525="Oloitoktok A",IF(D525&lt;15000,LOOKUP(RAND(),{0,0.45,0.75,0.92},{"River","Rainwater","Borehole","Vendor"}),IF(D525&lt;30000,LOOKUP(RAND(),{0,0.35,0.65,0.85},{"River","Rainwater","Borehole","Vendor"}),LOOKUP(RAND(),{0,0.25,0.5,0.75},{"River","Rainwater","Borehole","Vendor"}))),IF(B525="Oloitoktok B",IF(D525&lt;15000,LOOKUP(RAND(),{0,0.5,0.78,0.94},{"River","Rainwater","Borehole","Vendor"}),IF(D525&lt;30000,LOOKUP(RAND(),{0,0.4,0.68,0.87},{"River","Rainwater","Borehole","Vendor"}),LOOKUP(RAND(),{0,0.28,0.55,0.78},{"River","Rainwater","Borehole","Vendor"}))),IF(B525="Kiserian",IF(D525&lt;15000,LOOKUP(RAND(),{0,0.35,0.65,0.9},{"River","Rainwater","Borehole","Vendor"}),IF(D525&lt;30000,LOOKUP(RAND(),{0,0.25,0.55,0.82},{"River","Rainwater","Borehole","Vendor"}),LOOKUP(RAND(),{0,0.15,0.45,0.72},{"River","Rainwater","Borehole","Vendor"}))),IF(D525&lt;15000,LOOKUP(RAND(),{0,0.4,0.7,0.92},{"River","Rainwater","Borehole","Vendor"}),IF(D525&lt;30000,LOOKUP(RAND(),{0,0.3,0.6,0.85},{"River","Rainwater","Borehole","Vendor"}),LOOKUP(RAND(),{0,0.2,0.5,0.75},{"River","Rainwater","Borehole","Vendor"}))))))</f>
        <v>Borehole</v>
      </c>
      <c r="F525">
        <f t="shared" ca="1" si="49"/>
        <v>33</v>
      </c>
      <c r="G525">
        <f t="shared" ca="1" si="50"/>
        <v>3.6</v>
      </c>
      <c r="H525">
        <f t="shared" ca="1" si="51"/>
        <v>2500</v>
      </c>
      <c r="I525">
        <f t="shared" ca="1" si="52"/>
        <v>0.74675856375326888</v>
      </c>
      <c r="J525">
        <v>1</v>
      </c>
    </row>
    <row r="526" spans="1:10" x14ac:dyDescent="0.3">
      <c r="A526" t="str">
        <f t="shared" si="53"/>
        <v>HH525</v>
      </c>
      <c r="B526" t="str">
        <f ca="1">LOOKUP(RAND(),{0,0.28,0.55,0.78},{"Oloitoktok A","Oloitoktok B","Kiserian","Namanga"})</f>
        <v>Namanga</v>
      </c>
      <c r="C526">
        <f ca="1">LOOKUP(RAND(),{0,0.02,0.09,0.2,0.35,0.52,0.68,0.81,0.91,0.97},{1,2,3,4,5,6,7,8,9,10})</f>
        <v>8</v>
      </c>
      <c r="D526">
        <f t="shared" ca="1" si="48"/>
        <v>21000</v>
      </c>
      <c r="E526" t="str">
        <f ca="1">IF(B526="Oloitoktok A",IF(D526&lt;15000,LOOKUP(RAND(),{0,0.45,0.75,0.92},{"River","Rainwater","Borehole","Vendor"}),IF(D526&lt;30000,LOOKUP(RAND(),{0,0.35,0.65,0.85},{"River","Rainwater","Borehole","Vendor"}),LOOKUP(RAND(),{0,0.25,0.5,0.75},{"River","Rainwater","Borehole","Vendor"}))),IF(B526="Oloitoktok B",IF(D526&lt;15000,LOOKUP(RAND(),{0,0.5,0.78,0.94},{"River","Rainwater","Borehole","Vendor"}),IF(D526&lt;30000,LOOKUP(RAND(),{0,0.4,0.68,0.87},{"River","Rainwater","Borehole","Vendor"}),LOOKUP(RAND(),{0,0.28,0.55,0.78},{"River","Rainwater","Borehole","Vendor"}))),IF(B526="Kiserian",IF(D526&lt;15000,LOOKUP(RAND(),{0,0.35,0.65,0.9},{"River","Rainwater","Borehole","Vendor"}),IF(D526&lt;30000,LOOKUP(RAND(),{0,0.25,0.55,0.82},{"River","Rainwater","Borehole","Vendor"}),LOOKUP(RAND(),{0,0.15,0.45,0.72},{"River","Rainwater","Borehole","Vendor"}))),IF(D526&lt;15000,LOOKUP(RAND(),{0,0.4,0.7,0.92},{"River","Rainwater","Borehole","Vendor"}),IF(D526&lt;30000,LOOKUP(RAND(),{0,0.3,0.6,0.85},{"River","Rainwater","Borehole","Vendor"}),LOOKUP(RAND(),{0,0.2,0.5,0.75},{"River","Rainwater","Borehole","Vendor"}))))))</f>
        <v>Vendor</v>
      </c>
      <c r="F526">
        <f t="shared" ca="1" si="49"/>
        <v>18</v>
      </c>
      <c r="G526">
        <f t="shared" ca="1" si="50"/>
        <v>4.5999999999999996</v>
      </c>
      <c r="H526">
        <f t="shared" ca="1" si="51"/>
        <v>5500</v>
      </c>
      <c r="I526">
        <f t="shared" ca="1" si="52"/>
        <v>0.81035902780457347</v>
      </c>
      <c r="J526">
        <v>1</v>
      </c>
    </row>
    <row r="527" spans="1:10" x14ac:dyDescent="0.3">
      <c r="A527" t="str">
        <f t="shared" si="53"/>
        <v>HH526</v>
      </c>
      <c r="B527" t="str">
        <f ca="1">LOOKUP(RAND(),{0,0.28,0.55,0.78},{"Oloitoktok A","Oloitoktok B","Kiserian","Namanga"})</f>
        <v>Oloitoktok A</v>
      </c>
      <c r="C527">
        <f ca="1">LOOKUP(RAND(),{0,0.02,0.09,0.2,0.35,0.52,0.68,0.81,0.91,0.97},{1,2,3,4,5,6,7,8,9,10})</f>
        <v>8</v>
      </c>
      <c r="D527">
        <f t="shared" ca="1" si="48"/>
        <v>94400</v>
      </c>
      <c r="E527" t="str">
        <f ca="1">IF(B527="Oloitoktok A",IF(D527&lt;15000,LOOKUP(RAND(),{0,0.45,0.75,0.92},{"River","Rainwater","Borehole","Vendor"}),IF(D527&lt;30000,LOOKUP(RAND(),{0,0.35,0.65,0.85},{"River","Rainwater","Borehole","Vendor"}),LOOKUP(RAND(),{0,0.25,0.5,0.75},{"River","Rainwater","Borehole","Vendor"}))),IF(B527="Oloitoktok B",IF(D527&lt;15000,LOOKUP(RAND(),{0,0.5,0.78,0.94},{"River","Rainwater","Borehole","Vendor"}),IF(D527&lt;30000,LOOKUP(RAND(),{0,0.4,0.68,0.87},{"River","Rainwater","Borehole","Vendor"}),LOOKUP(RAND(),{0,0.28,0.55,0.78},{"River","Rainwater","Borehole","Vendor"}))),IF(B527="Kiserian",IF(D527&lt;15000,LOOKUP(RAND(),{0,0.35,0.65,0.9},{"River","Rainwater","Borehole","Vendor"}),IF(D527&lt;30000,LOOKUP(RAND(),{0,0.25,0.55,0.82},{"River","Rainwater","Borehole","Vendor"}),LOOKUP(RAND(),{0,0.15,0.45,0.72},{"River","Rainwater","Borehole","Vendor"}))),IF(D527&lt;15000,LOOKUP(RAND(),{0,0.4,0.7,0.92},{"River","Rainwater","Borehole","Vendor"}),IF(D527&lt;30000,LOOKUP(RAND(),{0,0.3,0.6,0.85},{"River","Rainwater","Borehole","Vendor"}),LOOKUP(RAND(),{0,0.2,0.5,0.75},{"River","Rainwater","Borehole","Vendor"}))))))</f>
        <v>Borehole</v>
      </c>
      <c r="F527">
        <f t="shared" ca="1" si="49"/>
        <v>65</v>
      </c>
      <c r="G527">
        <f t="shared" ca="1" si="50"/>
        <v>6.7</v>
      </c>
      <c r="H527">
        <f t="shared" ca="1" si="51"/>
        <v>10400</v>
      </c>
      <c r="I527">
        <f t="shared" ca="1" si="52"/>
        <v>0.41881231978403011</v>
      </c>
      <c r="J527">
        <v>1</v>
      </c>
    </row>
    <row r="528" spans="1:10" x14ac:dyDescent="0.3">
      <c r="A528" t="str">
        <f t="shared" si="53"/>
        <v>HH527</v>
      </c>
      <c r="B528" t="str">
        <f ca="1">LOOKUP(RAND(),{0,0.28,0.55,0.78},{"Oloitoktok A","Oloitoktok B","Kiserian","Namanga"})</f>
        <v>Oloitoktok B</v>
      </c>
      <c r="C528">
        <f ca="1">LOOKUP(RAND(),{0,0.02,0.09,0.2,0.35,0.52,0.68,0.81,0.91,0.97},{1,2,3,4,5,6,7,8,9,10})</f>
        <v>2</v>
      </c>
      <c r="D528">
        <f t="shared" ca="1" si="48"/>
        <v>58900</v>
      </c>
      <c r="E528" t="str">
        <f ca="1">IF(B528="Oloitoktok A",IF(D528&lt;15000,LOOKUP(RAND(),{0,0.45,0.75,0.92},{"River","Rainwater","Borehole","Vendor"}),IF(D528&lt;30000,LOOKUP(RAND(),{0,0.35,0.65,0.85},{"River","Rainwater","Borehole","Vendor"}),LOOKUP(RAND(),{0,0.25,0.5,0.75},{"River","Rainwater","Borehole","Vendor"}))),IF(B528="Oloitoktok B",IF(D528&lt;15000,LOOKUP(RAND(),{0,0.5,0.78,0.94},{"River","Rainwater","Borehole","Vendor"}),IF(D528&lt;30000,LOOKUP(RAND(),{0,0.4,0.68,0.87},{"River","Rainwater","Borehole","Vendor"}),LOOKUP(RAND(),{0,0.28,0.55,0.78},{"River","Rainwater","Borehole","Vendor"}))),IF(B528="Kiserian",IF(D528&lt;15000,LOOKUP(RAND(),{0,0.35,0.65,0.9},{"River","Rainwater","Borehole","Vendor"}),IF(D528&lt;30000,LOOKUP(RAND(),{0,0.25,0.55,0.82},{"River","Rainwater","Borehole","Vendor"}),LOOKUP(RAND(),{0,0.15,0.45,0.72},{"River","Rainwater","Borehole","Vendor"}))),IF(D528&lt;15000,LOOKUP(RAND(),{0,0.4,0.7,0.92},{"River","Rainwater","Borehole","Vendor"}),IF(D528&lt;30000,LOOKUP(RAND(),{0,0.3,0.6,0.85},{"River","Rainwater","Borehole","Vendor"}),LOOKUP(RAND(),{0,0.2,0.5,0.75},{"River","Rainwater","Borehole","Vendor"}))))))</f>
        <v>Vendor</v>
      </c>
      <c r="F528">
        <f t="shared" ca="1" si="49"/>
        <v>48</v>
      </c>
      <c r="G528">
        <f t="shared" ca="1" si="50"/>
        <v>4.3</v>
      </c>
      <c r="H528">
        <f t="shared" ca="1" si="51"/>
        <v>2000</v>
      </c>
      <c r="I528">
        <f t="shared" ca="1" si="52"/>
        <v>0.7994828210394811</v>
      </c>
      <c r="J528">
        <v>1</v>
      </c>
    </row>
    <row r="529" spans="1:10" x14ac:dyDescent="0.3">
      <c r="A529" t="str">
        <f t="shared" si="53"/>
        <v>HH528</v>
      </c>
      <c r="B529" t="str">
        <f ca="1">LOOKUP(RAND(),{0,0.28,0.55,0.78},{"Oloitoktok A","Oloitoktok B","Kiserian","Namanga"})</f>
        <v>Oloitoktok B</v>
      </c>
      <c r="C529">
        <f ca="1">LOOKUP(RAND(),{0,0.02,0.09,0.2,0.35,0.52,0.68,0.81,0.91,0.97},{1,2,3,4,5,6,7,8,9,10})</f>
        <v>5</v>
      </c>
      <c r="D529">
        <f t="shared" ca="1" si="48"/>
        <v>27400</v>
      </c>
      <c r="E529" t="str">
        <f ca="1">IF(B529="Oloitoktok A",IF(D529&lt;15000,LOOKUP(RAND(),{0,0.45,0.75,0.92},{"River","Rainwater","Borehole","Vendor"}),IF(D529&lt;30000,LOOKUP(RAND(),{0,0.35,0.65,0.85},{"River","Rainwater","Borehole","Vendor"}),LOOKUP(RAND(),{0,0.25,0.5,0.75},{"River","Rainwater","Borehole","Vendor"}))),IF(B529="Oloitoktok B",IF(D529&lt;15000,LOOKUP(RAND(),{0,0.5,0.78,0.94},{"River","Rainwater","Borehole","Vendor"}),IF(D529&lt;30000,LOOKUP(RAND(),{0,0.4,0.68,0.87},{"River","Rainwater","Borehole","Vendor"}),LOOKUP(RAND(),{0,0.28,0.55,0.78},{"River","Rainwater","Borehole","Vendor"}))),IF(B529="Kiserian",IF(D529&lt;15000,LOOKUP(RAND(),{0,0.35,0.65,0.9},{"River","Rainwater","Borehole","Vendor"}),IF(D529&lt;30000,LOOKUP(RAND(),{0,0.25,0.55,0.82},{"River","Rainwater","Borehole","Vendor"}),LOOKUP(RAND(),{0,0.15,0.45,0.72},{"River","Rainwater","Borehole","Vendor"}))),IF(D529&lt;15000,LOOKUP(RAND(),{0,0.4,0.7,0.92},{"River","Rainwater","Borehole","Vendor"}),IF(D529&lt;30000,LOOKUP(RAND(),{0,0.3,0.6,0.85},{"River","Rainwater","Borehole","Vendor"}),LOOKUP(RAND(),{0,0.2,0.5,0.75},{"River","Rainwater","Borehole","Vendor"}))))))</f>
        <v>River</v>
      </c>
      <c r="F529">
        <f t="shared" ca="1" si="49"/>
        <v>98</v>
      </c>
      <c r="G529">
        <f t="shared" ca="1" si="50"/>
        <v>7.4</v>
      </c>
      <c r="H529">
        <f t="shared" ca="1" si="51"/>
        <v>6000</v>
      </c>
      <c r="I529">
        <f t="shared" ca="1" si="52"/>
        <v>0.38647521009186181</v>
      </c>
      <c r="J529">
        <v>1</v>
      </c>
    </row>
    <row r="530" spans="1:10" x14ac:dyDescent="0.3">
      <c r="A530" t="str">
        <f t="shared" si="53"/>
        <v>HH529</v>
      </c>
      <c r="B530" t="str">
        <f ca="1">LOOKUP(RAND(),{0,0.28,0.55,0.78},{"Oloitoktok A","Oloitoktok B","Kiserian","Namanga"})</f>
        <v>Oloitoktok A</v>
      </c>
      <c r="C530">
        <f ca="1">LOOKUP(RAND(),{0,0.02,0.09,0.2,0.35,0.52,0.68,0.81,0.91,0.97},{1,2,3,4,5,6,7,8,9,10})</f>
        <v>5</v>
      </c>
      <c r="D530">
        <f t="shared" ca="1" si="48"/>
        <v>43500</v>
      </c>
      <c r="E530" t="str">
        <f ca="1">IF(B530="Oloitoktok A",IF(D530&lt;15000,LOOKUP(RAND(),{0,0.45,0.75,0.92},{"River","Rainwater","Borehole","Vendor"}),IF(D530&lt;30000,LOOKUP(RAND(),{0,0.35,0.65,0.85},{"River","Rainwater","Borehole","Vendor"}),LOOKUP(RAND(),{0,0.25,0.5,0.75},{"River","Rainwater","Borehole","Vendor"}))),IF(B530="Oloitoktok B",IF(D530&lt;15000,LOOKUP(RAND(),{0,0.5,0.78,0.94},{"River","Rainwater","Borehole","Vendor"}),IF(D530&lt;30000,LOOKUP(RAND(),{0,0.4,0.68,0.87},{"River","Rainwater","Borehole","Vendor"}),LOOKUP(RAND(),{0,0.28,0.55,0.78},{"River","Rainwater","Borehole","Vendor"}))),IF(B530="Kiserian",IF(D530&lt;15000,LOOKUP(RAND(),{0,0.35,0.65,0.9},{"River","Rainwater","Borehole","Vendor"}),IF(D530&lt;30000,LOOKUP(RAND(),{0,0.25,0.55,0.82},{"River","Rainwater","Borehole","Vendor"}),LOOKUP(RAND(),{0,0.15,0.45,0.72},{"River","Rainwater","Borehole","Vendor"}))),IF(D530&lt;15000,LOOKUP(RAND(),{0,0.4,0.7,0.92},{"River","Rainwater","Borehole","Vendor"}),IF(D530&lt;30000,LOOKUP(RAND(),{0,0.3,0.6,0.85},{"River","Rainwater","Borehole","Vendor"}),LOOKUP(RAND(),{0,0.2,0.5,0.75},{"River","Rainwater","Borehole","Vendor"}))))))</f>
        <v>Vendor</v>
      </c>
      <c r="F530">
        <f t="shared" ca="1" si="49"/>
        <v>10</v>
      </c>
      <c r="G530">
        <f t="shared" ca="1" si="50"/>
        <v>1.5</v>
      </c>
      <c r="H530">
        <f t="shared" ca="1" si="51"/>
        <v>7800</v>
      </c>
      <c r="I530">
        <f t="shared" ca="1" si="52"/>
        <v>0.84986306574954673</v>
      </c>
      <c r="J530">
        <v>1</v>
      </c>
    </row>
    <row r="531" spans="1:10" x14ac:dyDescent="0.3">
      <c r="A531" t="str">
        <f t="shared" si="53"/>
        <v>HH530</v>
      </c>
      <c r="B531" t="str">
        <f ca="1">LOOKUP(RAND(),{0,0.28,0.55,0.78},{"Oloitoktok A","Oloitoktok B","Kiserian","Namanga"})</f>
        <v>Namanga</v>
      </c>
      <c r="C531">
        <f ca="1">LOOKUP(RAND(),{0,0.02,0.09,0.2,0.35,0.52,0.68,0.81,0.91,0.97},{1,2,3,4,5,6,7,8,9,10})</f>
        <v>5</v>
      </c>
      <c r="D531">
        <f t="shared" ca="1" si="48"/>
        <v>22800</v>
      </c>
      <c r="E531" t="str">
        <f ca="1">IF(B531="Oloitoktok A",IF(D531&lt;15000,LOOKUP(RAND(),{0,0.45,0.75,0.92},{"River","Rainwater","Borehole","Vendor"}),IF(D531&lt;30000,LOOKUP(RAND(),{0,0.35,0.65,0.85},{"River","Rainwater","Borehole","Vendor"}),LOOKUP(RAND(),{0,0.25,0.5,0.75},{"River","Rainwater","Borehole","Vendor"}))),IF(B531="Oloitoktok B",IF(D531&lt;15000,LOOKUP(RAND(),{0,0.5,0.78,0.94},{"River","Rainwater","Borehole","Vendor"}),IF(D531&lt;30000,LOOKUP(RAND(),{0,0.4,0.68,0.87},{"River","Rainwater","Borehole","Vendor"}),LOOKUP(RAND(),{0,0.28,0.55,0.78},{"River","Rainwater","Borehole","Vendor"}))),IF(B531="Kiserian",IF(D531&lt;15000,LOOKUP(RAND(),{0,0.35,0.65,0.9},{"River","Rainwater","Borehole","Vendor"}),IF(D531&lt;30000,LOOKUP(RAND(),{0,0.25,0.55,0.82},{"River","Rainwater","Borehole","Vendor"}),LOOKUP(RAND(),{0,0.15,0.45,0.72},{"River","Rainwater","Borehole","Vendor"}))),IF(D531&lt;15000,LOOKUP(RAND(),{0,0.4,0.7,0.92},{"River","Rainwater","Borehole","Vendor"}),IF(D531&lt;30000,LOOKUP(RAND(),{0,0.3,0.6,0.85},{"River","Rainwater","Borehole","Vendor"}),LOOKUP(RAND(),{0,0.2,0.5,0.75},{"River","Rainwater","Borehole","Vendor"}))))))</f>
        <v>Rainwater</v>
      </c>
      <c r="F531">
        <f t="shared" ca="1" si="49"/>
        <v>19</v>
      </c>
      <c r="G531">
        <f t="shared" ca="1" si="50"/>
        <v>8.6999999999999993</v>
      </c>
      <c r="H531">
        <f t="shared" ca="1" si="51"/>
        <v>400</v>
      </c>
      <c r="I531">
        <f t="shared" ca="1" si="52"/>
        <v>0.27192587620626418</v>
      </c>
      <c r="J531">
        <v>1</v>
      </c>
    </row>
    <row r="532" spans="1:10" x14ac:dyDescent="0.3">
      <c r="A532" t="str">
        <f t="shared" si="53"/>
        <v>HH531</v>
      </c>
      <c r="B532" t="str">
        <f ca="1">LOOKUP(RAND(),{0,0.28,0.55,0.78},{"Oloitoktok A","Oloitoktok B","Kiserian","Namanga"})</f>
        <v>Oloitoktok B</v>
      </c>
      <c r="C532">
        <f ca="1">LOOKUP(RAND(),{0,0.02,0.09,0.2,0.35,0.52,0.68,0.81,0.91,0.97},{1,2,3,4,5,6,7,8,9,10})</f>
        <v>8</v>
      </c>
      <c r="D532">
        <f t="shared" ca="1" si="48"/>
        <v>82800</v>
      </c>
      <c r="E532" t="str">
        <f ca="1">IF(B532="Oloitoktok A",IF(D532&lt;15000,LOOKUP(RAND(),{0,0.45,0.75,0.92},{"River","Rainwater","Borehole","Vendor"}),IF(D532&lt;30000,LOOKUP(RAND(),{0,0.35,0.65,0.85},{"River","Rainwater","Borehole","Vendor"}),LOOKUP(RAND(),{0,0.25,0.5,0.75},{"River","Rainwater","Borehole","Vendor"}))),IF(B532="Oloitoktok B",IF(D532&lt;15000,LOOKUP(RAND(),{0,0.5,0.78,0.94},{"River","Rainwater","Borehole","Vendor"}),IF(D532&lt;30000,LOOKUP(RAND(),{0,0.4,0.68,0.87},{"River","Rainwater","Borehole","Vendor"}),LOOKUP(RAND(),{0,0.28,0.55,0.78},{"River","Rainwater","Borehole","Vendor"}))),IF(B532="Kiserian",IF(D532&lt;15000,LOOKUP(RAND(),{0,0.35,0.65,0.9},{"River","Rainwater","Borehole","Vendor"}),IF(D532&lt;30000,LOOKUP(RAND(),{0,0.25,0.55,0.82},{"River","Rainwater","Borehole","Vendor"}),LOOKUP(RAND(),{0,0.15,0.45,0.72},{"River","Rainwater","Borehole","Vendor"}))),IF(D532&lt;15000,LOOKUP(RAND(),{0,0.4,0.7,0.92},{"River","Rainwater","Borehole","Vendor"}),IF(D532&lt;30000,LOOKUP(RAND(),{0,0.3,0.6,0.85},{"River","Rainwater","Borehole","Vendor"}),LOOKUP(RAND(),{0,0.2,0.5,0.75},{"River","Rainwater","Borehole","Vendor"}))))))</f>
        <v>Rainwater</v>
      </c>
      <c r="F532">
        <f t="shared" ca="1" si="49"/>
        <v>66</v>
      </c>
      <c r="G532">
        <f t="shared" ca="1" si="50"/>
        <v>4.4000000000000004</v>
      </c>
      <c r="H532">
        <f t="shared" ca="1" si="51"/>
        <v>11900</v>
      </c>
      <c r="I532">
        <f t="shared" ca="1" si="52"/>
        <v>0.91841024611649325</v>
      </c>
      <c r="J532">
        <v>1</v>
      </c>
    </row>
    <row r="533" spans="1:10" x14ac:dyDescent="0.3">
      <c r="A533" t="str">
        <f t="shared" si="53"/>
        <v>HH532</v>
      </c>
      <c r="B533" t="str">
        <f ca="1">LOOKUP(RAND(),{0,0.28,0.55,0.78},{"Oloitoktok A","Oloitoktok B","Kiserian","Namanga"})</f>
        <v>Kiserian</v>
      </c>
      <c r="C533">
        <f ca="1">LOOKUP(RAND(),{0,0.02,0.09,0.2,0.35,0.52,0.68,0.81,0.91,0.97},{1,2,3,4,5,6,7,8,9,10})</f>
        <v>7</v>
      </c>
      <c r="D533">
        <f t="shared" ca="1" si="48"/>
        <v>27700</v>
      </c>
      <c r="E533" t="str">
        <f ca="1">IF(B533="Oloitoktok A",IF(D533&lt;15000,LOOKUP(RAND(),{0,0.45,0.75,0.92},{"River","Rainwater","Borehole","Vendor"}),IF(D533&lt;30000,LOOKUP(RAND(),{0,0.35,0.65,0.85},{"River","Rainwater","Borehole","Vendor"}),LOOKUP(RAND(),{0,0.25,0.5,0.75},{"River","Rainwater","Borehole","Vendor"}))),IF(B533="Oloitoktok B",IF(D533&lt;15000,LOOKUP(RAND(),{0,0.5,0.78,0.94},{"River","Rainwater","Borehole","Vendor"}),IF(D533&lt;30000,LOOKUP(RAND(),{0,0.4,0.68,0.87},{"River","Rainwater","Borehole","Vendor"}),LOOKUP(RAND(),{0,0.28,0.55,0.78},{"River","Rainwater","Borehole","Vendor"}))),IF(B533="Kiserian",IF(D533&lt;15000,LOOKUP(RAND(),{0,0.35,0.65,0.9},{"River","Rainwater","Borehole","Vendor"}),IF(D533&lt;30000,LOOKUP(RAND(),{0,0.25,0.55,0.82},{"River","Rainwater","Borehole","Vendor"}),LOOKUP(RAND(),{0,0.15,0.45,0.72},{"River","Rainwater","Borehole","Vendor"}))),IF(D533&lt;15000,LOOKUP(RAND(),{0,0.4,0.7,0.92},{"River","Rainwater","Borehole","Vendor"}),IF(D533&lt;30000,LOOKUP(RAND(),{0,0.3,0.6,0.85},{"River","Rainwater","Borehole","Vendor"}),LOOKUP(RAND(),{0,0.2,0.5,0.75},{"River","Rainwater","Borehole","Vendor"}))))))</f>
        <v>River</v>
      </c>
      <c r="F533">
        <f t="shared" ca="1" si="49"/>
        <v>58</v>
      </c>
      <c r="G533">
        <f t="shared" ca="1" si="50"/>
        <v>3.1</v>
      </c>
      <c r="H533">
        <f t="shared" ca="1" si="51"/>
        <v>3500</v>
      </c>
      <c r="I533">
        <f t="shared" ca="1" si="52"/>
        <v>0.67985336454413692</v>
      </c>
      <c r="J533">
        <v>1</v>
      </c>
    </row>
    <row r="534" spans="1:10" x14ac:dyDescent="0.3">
      <c r="A534" t="str">
        <f t="shared" si="53"/>
        <v>HH533</v>
      </c>
      <c r="B534" t="str">
        <f ca="1">LOOKUP(RAND(),{0,0.28,0.55,0.78},{"Oloitoktok A","Oloitoktok B","Kiserian","Namanga"})</f>
        <v>Oloitoktok B</v>
      </c>
      <c r="C534">
        <f ca="1">LOOKUP(RAND(),{0,0.02,0.09,0.2,0.35,0.52,0.68,0.81,0.91,0.97},{1,2,3,4,5,6,7,8,9,10})</f>
        <v>5</v>
      </c>
      <c r="D534">
        <f t="shared" ca="1" si="48"/>
        <v>35700</v>
      </c>
      <c r="E534" t="str">
        <f ca="1">IF(B534="Oloitoktok A",IF(D534&lt;15000,LOOKUP(RAND(),{0,0.45,0.75,0.92},{"River","Rainwater","Borehole","Vendor"}),IF(D534&lt;30000,LOOKUP(RAND(),{0,0.35,0.65,0.85},{"River","Rainwater","Borehole","Vendor"}),LOOKUP(RAND(),{0,0.25,0.5,0.75},{"River","Rainwater","Borehole","Vendor"}))),IF(B534="Oloitoktok B",IF(D534&lt;15000,LOOKUP(RAND(),{0,0.5,0.78,0.94},{"River","Rainwater","Borehole","Vendor"}),IF(D534&lt;30000,LOOKUP(RAND(),{0,0.4,0.68,0.87},{"River","Rainwater","Borehole","Vendor"}),LOOKUP(RAND(),{0,0.28,0.55,0.78},{"River","Rainwater","Borehole","Vendor"}))),IF(B534="Kiserian",IF(D534&lt;15000,LOOKUP(RAND(),{0,0.35,0.65,0.9},{"River","Rainwater","Borehole","Vendor"}),IF(D534&lt;30000,LOOKUP(RAND(),{0,0.25,0.55,0.82},{"River","Rainwater","Borehole","Vendor"}),LOOKUP(RAND(),{0,0.15,0.45,0.72},{"River","Rainwater","Borehole","Vendor"}))),IF(D534&lt;15000,LOOKUP(RAND(),{0,0.4,0.7,0.92},{"River","Rainwater","Borehole","Vendor"}),IF(D534&lt;30000,LOOKUP(RAND(),{0,0.3,0.6,0.85},{"River","Rainwater","Borehole","Vendor"}),LOOKUP(RAND(),{0,0.2,0.5,0.75},{"River","Rainwater","Borehole","Vendor"}))))))</f>
        <v>Rainwater</v>
      </c>
      <c r="F534">
        <f t="shared" ca="1" si="49"/>
        <v>43</v>
      </c>
      <c r="G534">
        <f t="shared" ca="1" si="50"/>
        <v>3.6</v>
      </c>
      <c r="H534">
        <f t="shared" ca="1" si="51"/>
        <v>8100</v>
      </c>
      <c r="I534">
        <f t="shared" ca="1" si="52"/>
        <v>0.97639123364876845</v>
      </c>
      <c r="J534">
        <v>1</v>
      </c>
    </row>
    <row r="535" spans="1:10" x14ac:dyDescent="0.3">
      <c r="A535" t="str">
        <f t="shared" si="53"/>
        <v>HH534</v>
      </c>
      <c r="B535" t="str">
        <f ca="1">LOOKUP(RAND(),{0,0.28,0.55,0.78},{"Oloitoktok A","Oloitoktok B","Kiserian","Namanga"})</f>
        <v>Oloitoktok B</v>
      </c>
      <c r="C535">
        <f ca="1">LOOKUP(RAND(),{0,0.02,0.09,0.2,0.35,0.52,0.68,0.81,0.91,0.97},{1,2,3,4,5,6,7,8,9,10})</f>
        <v>6</v>
      </c>
      <c r="D535">
        <f t="shared" ca="1" si="48"/>
        <v>66100</v>
      </c>
      <c r="E535" t="str">
        <f ca="1">IF(B535="Oloitoktok A",IF(D535&lt;15000,LOOKUP(RAND(),{0,0.45,0.75,0.92},{"River","Rainwater","Borehole","Vendor"}),IF(D535&lt;30000,LOOKUP(RAND(),{0,0.35,0.65,0.85},{"River","Rainwater","Borehole","Vendor"}),LOOKUP(RAND(),{0,0.25,0.5,0.75},{"River","Rainwater","Borehole","Vendor"}))),IF(B535="Oloitoktok B",IF(D535&lt;15000,LOOKUP(RAND(),{0,0.5,0.78,0.94},{"River","Rainwater","Borehole","Vendor"}),IF(D535&lt;30000,LOOKUP(RAND(),{0,0.4,0.68,0.87},{"River","Rainwater","Borehole","Vendor"}),LOOKUP(RAND(),{0,0.28,0.55,0.78},{"River","Rainwater","Borehole","Vendor"}))),IF(B535="Kiserian",IF(D535&lt;15000,LOOKUP(RAND(),{0,0.35,0.65,0.9},{"River","Rainwater","Borehole","Vendor"}),IF(D535&lt;30000,LOOKUP(RAND(),{0,0.25,0.55,0.82},{"River","Rainwater","Borehole","Vendor"}),LOOKUP(RAND(),{0,0.15,0.45,0.72},{"River","Rainwater","Borehole","Vendor"}))),IF(D535&lt;15000,LOOKUP(RAND(),{0,0.4,0.7,0.92},{"River","Rainwater","Borehole","Vendor"}),IF(D535&lt;30000,LOOKUP(RAND(),{0,0.3,0.6,0.85},{"River","Rainwater","Borehole","Vendor"}),LOOKUP(RAND(),{0,0.2,0.5,0.75},{"River","Rainwater","Borehole","Vendor"}))))))</f>
        <v>River</v>
      </c>
      <c r="F535">
        <f t="shared" ca="1" si="49"/>
        <v>57</v>
      </c>
      <c r="G535">
        <f t="shared" ca="1" si="50"/>
        <v>5.4</v>
      </c>
      <c r="H535">
        <f t="shared" ca="1" si="51"/>
        <v>12400</v>
      </c>
      <c r="I535">
        <f t="shared" ca="1" si="52"/>
        <v>0.46876345239278561</v>
      </c>
      <c r="J535">
        <v>1</v>
      </c>
    </row>
    <row r="536" spans="1:10" x14ac:dyDescent="0.3">
      <c r="A536" t="str">
        <f t="shared" si="53"/>
        <v>HH535</v>
      </c>
      <c r="B536" t="str">
        <f ca="1">LOOKUP(RAND(),{0,0.28,0.55,0.78},{"Oloitoktok A","Oloitoktok B","Kiserian","Namanga"})</f>
        <v>Oloitoktok A</v>
      </c>
      <c r="C536">
        <f ca="1">LOOKUP(RAND(),{0,0.02,0.09,0.2,0.35,0.52,0.68,0.81,0.91,0.97},{1,2,3,4,5,6,7,8,9,10})</f>
        <v>4</v>
      </c>
      <c r="D536">
        <f t="shared" ca="1" si="48"/>
        <v>37000</v>
      </c>
      <c r="E536" t="str">
        <f ca="1">IF(B536="Oloitoktok A",IF(D536&lt;15000,LOOKUP(RAND(),{0,0.45,0.75,0.92},{"River","Rainwater","Borehole","Vendor"}),IF(D536&lt;30000,LOOKUP(RAND(),{0,0.35,0.65,0.85},{"River","Rainwater","Borehole","Vendor"}),LOOKUP(RAND(),{0,0.25,0.5,0.75},{"River","Rainwater","Borehole","Vendor"}))),IF(B536="Oloitoktok B",IF(D536&lt;15000,LOOKUP(RAND(),{0,0.5,0.78,0.94},{"River","Rainwater","Borehole","Vendor"}),IF(D536&lt;30000,LOOKUP(RAND(),{0,0.4,0.68,0.87},{"River","Rainwater","Borehole","Vendor"}),LOOKUP(RAND(),{0,0.28,0.55,0.78},{"River","Rainwater","Borehole","Vendor"}))),IF(B536="Kiserian",IF(D536&lt;15000,LOOKUP(RAND(),{0,0.35,0.65,0.9},{"River","Rainwater","Borehole","Vendor"}),IF(D536&lt;30000,LOOKUP(RAND(),{0,0.25,0.55,0.82},{"River","Rainwater","Borehole","Vendor"}),LOOKUP(RAND(),{0,0.15,0.45,0.72},{"River","Rainwater","Borehole","Vendor"}))),IF(D536&lt;15000,LOOKUP(RAND(),{0,0.4,0.7,0.92},{"River","Rainwater","Borehole","Vendor"}),IF(D536&lt;30000,LOOKUP(RAND(),{0,0.3,0.6,0.85},{"River","Rainwater","Borehole","Vendor"}),LOOKUP(RAND(),{0,0.2,0.5,0.75},{"River","Rainwater","Borehole","Vendor"}))))))</f>
        <v>River</v>
      </c>
      <c r="F536">
        <f t="shared" ca="1" si="49"/>
        <v>93</v>
      </c>
      <c r="G536">
        <f t="shared" ca="1" si="50"/>
        <v>13.7</v>
      </c>
      <c r="H536">
        <f t="shared" ca="1" si="51"/>
        <v>10100</v>
      </c>
      <c r="I536">
        <f t="shared" ca="1" si="52"/>
        <v>0.72669376340861702</v>
      </c>
      <c r="J536">
        <v>1</v>
      </c>
    </row>
    <row r="537" spans="1:10" x14ac:dyDescent="0.3">
      <c r="A537" t="str">
        <f t="shared" si="53"/>
        <v>HH536</v>
      </c>
      <c r="B537" t="str">
        <f ca="1">LOOKUP(RAND(),{0,0.28,0.55,0.78},{"Oloitoktok A","Oloitoktok B","Kiserian","Namanga"})</f>
        <v>Namanga</v>
      </c>
      <c r="C537">
        <f ca="1">LOOKUP(RAND(),{0,0.02,0.09,0.2,0.35,0.52,0.68,0.81,0.91,0.97},{1,2,3,4,5,6,7,8,9,10})</f>
        <v>7</v>
      </c>
      <c r="D537">
        <f t="shared" ca="1" si="48"/>
        <v>62000</v>
      </c>
      <c r="E537" t="str">
        <f ca="1">IF(B537="Oloitoktok A",IF(D537&lt;15000,LOOKUP(RAND(),{0,0.45,0.75,0.92},{"River","Rainwater","Borehole","Vendor"}),IF(D537&lt;30000,LOOKUP(RAND(),{0,0.35,0.65,0.85},{"River","Rainwater","Borehole","Vendor"}),LOOKUP(RAND(),{0,0.25,0.5,0.75},{"River","Rainwater","Borehole","Vendor"}))),IF(B537="Oloitoktok B",IF(D537&lt;15000,LOOKUP(RAND(),{0,0.5,0.78,0.94},{"River","Rainwater","Borehole","Vendor"}),IF(D537&lt;30000,LOOKUP(RAND(),{0,0.4,0.68,0.87},{"River","Rainwater","Borehole","Vendor"}),LOOKUP(RAND(),{0,0.28,0.55,0.78},{"River","Rainwater","Borehole","Vendor"}))),IF(B537="Kiserian",IF(D537&lt;15000,LOOKUP(RAND(),{0,0.35,0.65,0.9},{"River","Rainwater","Borehole","Vendor"}),IF(D537&lt;30000,LOOKUP(RAND(),{0,0.25,0.55,0.82},{"River","Rainwater","Borehole","Vendor"}),LOOKUP(RAND(),{0,0.15,0.45,0.72},{"River","Rainwater","Borehole","Vendor"}))),IF(D537&lt;15000,LOOKUP(RAND(),{0,0.4,0.7,0.92},{"River","Rainwater","Borehole","Vendor"}),IF(D537&lt;30000,LOOKUP(RAND(),{0,0.3,0.6,0.85},{"River","Rainwater","Borehole","Vendor"}),LOOKUP(RAND(),{0,0.2,0.5,0.75},{"River","Rainwater","Borehole","Vendor"}))))))</f>
        <v>Borehole</v>
      </c>
      <c r="F537">
        <f t="shared" ca="1" si="49"/>
        <v>20</v>
      </c>
      <c r="G537">
        <f t="shared" ca="1" si="50"/>
        <v>0.6</v>
      </c>
      <c r="H537">
        <f t="shared" ca="1" si="51"/>
        <v>7800</v>
      </c>
      <c r="I537">
        <f t="shared" ca="1" si="52"/>
        <v>0.31842047407334573</v>
      </c>
      <c r="J537">
        <v>1</v>
      </c>
    </row>
    <row r="538" spans="1:10" x14ac:dyDescent="0.3">
      <c r="A538" t="str">
        <f t="shared" si="53"/>
        <v>HH537</v>
      </c>
      <c r="B538" t="str">
        <f ca="1">LOOKUP(RAND(),{0,0.28,0.55,0.78},{"Oloitoktok A","Oloitoktok B","Kiserian","Namanga"})</f>
        <v>Namanga</v>
      </c>
      <c r="C538">
        <f ca="1">LOOKUP(RAND(),{0,0.02,0.09,0.2,0.35,0.52,0.68,0.81,0.91,0.97},{1,2,3,4,5,6,7,8,9,10})</f>
        <v>3</v>
      </c>
      <c r="D538">
        <f t="shared" ca="1" si="48"/>
        <v>27600</v>
      </c>
      <c r="E538" t="str">
        <f ca="1">IF(B538="Oloitoktok A",IF(D538&lt;15000,LOOKUP(RAND(),{0,0.45,0.75,0.92},{"River","Rainwater","Borehole","Vendor"}),IF(D538&lt;30000,LOOKUP(RAND(),{0,0.35,0.65,0.85},{"River","Rainwater","Borehole","Vendor"}),LOOKUP(RAND(),{0,0.25,0.5,0.75},{"River","Rainwater","Borehole","Vendor"}))),IF(B538="Oloitoktok B",IF(D538&lt;15000,LOOKUP(RAND(),{0,0.5,0.78,0.94},{"River","Rainwater","Borehole","Vendor"}),IF(D538&lt;30000,LOOKUP(RAND(),{0,0.4,0.68,0.87},{"River","Rainwater","Borehole","Vendor"}),LOOKUP(RAND(),{0,0.28,0.55,0.78},{"River","Rainwater","Borehole","Vendor"}))),IF(B538="Kiserian",IF(D538&lt;15000,LOOKUP(RAND(),{0,0.35,0.65,0.9},{"River","Rainwater","Borehole","Vendor"}),IF(D538&lt;30000,LOOKUP(RAND(),{0,0.25,0.55,0.82},{"River","Rainwater","Borehole","Vendor"}),LOOKUP(RAND(),{0,0.15,0.45,0.72},{"River","Rainwater","Borehole","Vendor"}))),IF(D538&lt;15000,LOOKUP(RAND(),{0,0.4,0.7,0.92},{"River","Rainwater","Borehole","Vendor"}),IF(D538&lt;30000,LOOKUP(RAND(),{0,0.3,0.6,0.85},{"River","Rainwater","Borehole","Vendor"}),LOOKUP(RAND(),{0,0.2,0.5,0.75},{"River","Rainwater","Borehole","Vendor"}))))))</f>
        <v>Vendor</v>
      </c>
      <c r="F538">
        <f t="shared" ca="1" si="49"/>
        <v>53</v>
      </c>
      <c r="G538">
        <f t="shared" ca="1" si="50"/>
        <v>5.6</v>
      </c>
      <c r="H538">
        <f t="shared" ca="1" si="51"/>
        <v>200</v>
      </c>
      <c r="I538">
        <f t="shared" ca="1" si="52"/>
        <v>0.26749176632053417</v>
      </c>
      <c r="J538">
        <v>1</v>
      </c>
    </row>
    <row r="539" spans="1:10" x14ac:dyDescent="0.3">
      <c r="A539" t="str">
        <f t="shared" si="53"/>
        <v>HH538</v>
      </c>
      <c r="B539" t="str">
        <f ca="1">LOOKUP(RAND(),{0,0.28,0.55,0.78},{"Oloitoktok A","Oloitoktok B","Kiserian","Namanga"})</f>
        <v>Oloitoktok A</v>
      </c>
      <c r="C539">
        <f ca="1">LOOKUP(RAND(),{0,0.02,0.09,0.2,0.35,0.52,0.68,0.81,0.91,0.97},{1,2,3,4,5,6,7,8,9,10})</f>
        <v>6</v>
      </c>
      <c r="D539">
        <f t="shared" ca="1" si="48"/>
        <v>127800</v>
      </c>
      <c r="E539" t="str">
        <f ca="1">IF(B539="Oloitoktok A",IF(D539&lt;15000,LOOKUP(RAND(),{0,0.45,0.75,0.92},{"River","Rainwater","Borehole","Vendor"}),IF(D539&lt;30000,LOOKUP(RAND(),{0,0.35,0.65,0.85},{"River","Rainwater","Borehole","Vendor"}),LOOKUP(RAND(),{0,0.25,0.5,0.75},{"River","Rainwater","Borehole","Vendor"}))),IF(B539="Oloitoktok B",IF(D539&lt;15000,LOOKUP(RAND(),{0,0.5,0.78,0.94},{"River","Rainwater","Borehole","Vendor"}),IF(D539&lt;30000,LOOKUP(RAND(),{0,0.4,0.68,0.87},{"River","Rainwater","Borehole","Vendor"}),LOOKUP(RAND(),{0,0.28,0.55,0.78},{"River","Rainwater","Borehole","Vendor"}))),IF(B539="Kiserian",IF(D539&lt;15000,LOOKUP(RAND(),{0,0.35,0.65,0.9},{"River","Rainwater","Borehole","Vendor"}),IF(D539&lt;30000,LOOKUP(RAND(),{0,0.25,0.55,0.82},{"River","Rainwater","Borehole","Vendor"}),LOOKUP(RAND(),{0,0.15,0.45,0.72},{"River","Rainwater","Borehole","Vendor"}))),IF(D539&lt;15000,LOOKUP(RAND(),{0,0.4,0.7,0.92},{"River","Rainwater","Borehole","Vendor"}),IF(D539&lt;30000,LOOKUP(RAND(),{0,0.3,0.6,0.85},{"River","Rainwater","Borehole","Vendor"}),LOOKUP(RAND(),{0,0.2,0.5,0.75},{"River","Rainwater","Borehole","Vendor"}))))))</f>
        <v>Rainwater</v>
      </c>
      <c r="F539">
        <f t="shared" ca="1" si="49"/>
        <v>67</v>
      </c>
      <c r="G539">
        <f t="shared" ca="1" si="50"/>
        <v>9.9</v>
      </c>
      <c r="H539">
        <f t="shared" ca="1" si="51"/>
        <v>4600</v>
      </c>
      <c r="I539">
        <f t="shared" ca="1" si="52"/>
        <v>0.44703999822067919</v>
      </c>
      <c r="J539">
        <v>1</v>
      </c>
    </row>
    <row r="540" spans="1:10" x14ac:dyDescent="0.3">
      <c r="A540" t="str">
        <f t="shared" si="53"/>
        <v>HH539</v>
      </c>
      <c r="B540" t="str">
        <f ca="1">LOOKUP(RAND(),{0,0.28,0.55,0.78},{"Oloitoktok A","Oloitoktok B","Kiserian","Namanga"})</f>
        <v>Oloitoktok B</v>
      </c>
      <c r="C540">
        <f ca="1">LOOKUP(RAND(),{0,0.02,0.09,0.2,0.35,0.52,0.68,0.81,0.91,0.97},{1,2,3,4,5,6,7,8,9,10})</f>
        <v>6</v>
      </c>
      <c r="D540">
        <f t="shared" ca="1" si="48"/>
        <v>61000</v>
      </c>
      <c r="E540" t="str">
        <f ca="1">IF(B540="Oloitoktok A",IF(D540&lt;15000,LOOKUP(RAND(),{0,0.45,0.75,0.92},{"River","Rainwater","Borehole","Vendor"}),IF(D540&lt;30000,LOOKUP(RAND(),{0,0.35,0.65,0.85},{"River","Rainwater","Borehole","Vendor"}),LOOKUP(RAND(),{0,0.25,0.5,0.75},{"River","Rainwater","Borehole","Vendor"}))),IF(B540="Oloitoktok B",IF(D540&lt;15000,LOOKUP(RAND(),{0,0.5,0.78,0.94},{"River","Rainwater","Borehole","Vendor"}),IF(D540&lt;30000,LOOKUP(RAND(),{0,0.4,0.68,0.87},{"River","Rainwater","Borehole","Vendor"}),LOOKUP(RAND(),{0,0.28,0.55,0.78},{"River","Rainwater","Borehole","Vendor"}))),IF(B540="Kiserian",IF(D540&lt;15000,LOOKUP(RAND(),{0,0.35,0.65,0.9},{"River","Rainwater","Borehole","Vendor"}),IF(D540&lt;30000,LOOKUP(RAND(),{0,0.25,0.55,0.82},{"River","Rainwater","Borehole","Vendor"}),LOOKUP(RAND(),{0,0.15,0.45,0.72},{"River","Rainwater","Borehole","Vendor"}))),IF(D540&lt;15000,LOOKUP(RAND(),{0,0.4,0.7,0.92},{"River","Rainwater","Borehole","Vendor"}),IF(D540&lt;30000,LOOKUP(RAND(),{0,0.3,0.6,0.85},{"River","Rainwater","Borehole","Vendor"}),LOOKUP(RAND(),{0,0.2,0.5,0.75},{"River","Rainwater","Borehole","Vendor"}))))))</f>
        <v>Vendor</v>
      </c>
      <c r="F540">
        <f t="shared" ca="1" si="49"/>
        <v>10</v>
      </c>
      <c r="G540">
        <f t="shared" ca="1" si="50"/>
        <v>7.9</v>
      </c>
      <c r="H540">
        <f t="shared" ca="1" si="51"/>
        <v>8500</v>
      </c>
      <c r="I540">
        <f t="shared" ca="1" si="52"/>
        <v>0.37504837829456916</v>
      </c>
      <c r="J540">
        <v>1</v>
      </c>
    </row>
    <row r="541" spans="1:10" x14ac:dyDescent="0.3">
      <c r="A541" t="str">
        <f t="shared" si="53"/>
        <v>HH540</v>
      </c>
      <c r="B541" t="str">
        <f ca="1">LOOKUP(RAND(),{0,0.28,0.55,0.78},{"Oloitoktok A","Oloitoktok B","Kiserian","Namanga"})</f>
        <v>Oloitoktok B</v>
      </c>
      <c r="C541">
        <f ca="1">LOOKUP(RAND(),{0,0.02,0.09,0.2,0.35,0.52,0.68,0.81,0.91,0.97},{1,2,3,4,5,6,7,8,9,10})</f>
        <v>7</v>
      </c>
      <c r="D541">
        <f t="shared" ca="1" si="48"/>
        <v>34700</v>
      </c>
      <c r="E541" t="str">
        <f ca="1">IF(B541="Oloitoktok A",IF(D541&lt;15000,LOOKUP(RAND(),{0,0.45,0.75,0.92},{"River","Rainwater","Borehole","Vendor"}),IF(D541&lt;30000,LOOKUP(RAND(),{0,0.35,0.65,0.85},{"River","Rainwater","Borehole","Vendor"}),LOOKUP(RAND(),{0,0.25,0.5,0.75},{"River","Rainwater","Borehole","Vendor"}))),IF(B541="Oloitoktok B",IF(D541&lt;15000,LOOKUP(RAND(),{0,0.5,0.78,0.94},{"River","Rainwater","Borehole","Vendor"}),IF(D541&lt;30000,LOOKUP(RAND(),{0,0.4,0.68,0.87},{"River","Rainwater","Borehole","Vendor"}),LOOKUP(RAND(),{0,0.28,0.55,0.78},{"River","Rainwater","Borehole","Vendor"}))),IF(B541="Kiserian",IF(D541&lt;15000,LOOKUP(RAND(),{0,0.35,0.65,0.9},{"River","Rainwater","Borehole","Vendor"}),IF(D541&lt;30000,LOOKUP(RAND(),{0,0.25,0.55,0.82},{"River","Rainwater","Borehole","Vendor"}),LOOKUP(RAND(),{0,0.15,0.45,0.72},{"River","Rainwater","Borehole","Vendor"}))),IF(D541&lt;15000,LOOKUP(RAND(),{0,0.4,0.7,0.92},{"River","Rainwater","Borehole","Vendor"}),IF(D541&lt;30000,LOOKUP(RAND(),{0,0.3,0.6,0.85},{"River","Rainwater","Borehole","Vendor"}),LOOKUP(RAND(),{0,0.2,0.5,0.75},{"River","Rainwater","Borehole","Vendor"}))))))</f>
        <v>River</v>
      </c>
      <c r="F541">
        <f t="shared" ca="1" si="49"/>
        <v>48</v>
      </c>
      <c r="G541">
        <f t="shared" ca="1" si="50"/>
        <v>9.1999999999999993</v>
      </c>
      <c r="H541">
        <f t="shared" ca="1" si="51"/>
        <v>2300</v>
      </c>
      <c r="I541">
        <f t="shared" ca="1" si="52"/>
        <v>0.66619439424153504</v>
      </c>
      <c r="J541">
        <v>1</v>
      </c>
    </row>
    <row r="542" spans="1:10" x14ac:dyDescent="0.3">
      <c r="A542" t="str">
        <f t="shared" si="53"/>
        <v>HH541</v>
      </c>
      <c r="B542" t="str">
        <f ca="1">LOOKUP(RAND(),{0,0.28,0.55,0.78},{"Oloitoktok A","Oloitoktok B","Kiserian","Namanga"})</f>
        <v>Kiserian</v>
      </c>
      <c r="C542">
        <f ca="1">LOOKUP(RAND(),{0,0.02,0.09,0.2,0.35,0.52,0.68,0.81,0.91,0.97},{1,2,3,4,5,6,7,8,9,10})</f>
        <v>9</v>
      </c>
      <c r="D542">
        <f t="shared" ca="1" si="48"/>
        <v>101500</v>
      </c>
      <c r="E542" t="str">
        <f ca="1">IF(B542="Oloitoktok A",IF(D542&lt;15000,LOOKUP(RAND(),{0,0.45,0.75,0.92},{"River","Rainwater","Borehole","Vendor"}),IF(D542&lt;30000,LOOKUP(RAND(),{0,0.35,0.65,0.85},{"River","Rainwater","Borehole","Vendor"}),LOOKUP(RAND(),{0,0.25,0.5,0.75},{"River","Rainwater","Borehole","Vendor"}))),IF(B542="Oloitoktok B",IF(D542&lt;15000,LOOKUP(RAND(),{0,0.5,0.78,0.94},{"River","Rainwater","Borehole","Vendor"}),IF(D542&lt;30000,LOOKUP(RAND(),{0,0.4,0.68,0.87},{"River","Rainwater","Borehole","Vendor"}),LOOKUP(RAND(),{0,0.28,0.55,0.78},{"River","Rainwater","Borehole","Vendor"}))),IF(B542="Kiserian",IF(D542&lt;15000,LOOKUP(RAND(),{0,0.35,0.65,0.9},{"River","Rainwater","Borehole","Vendor"}),IF(D542&lt;30000,LOOKUP(RAND(),{0,0.25,0.55,0.82},{"River","Rainwater","Borehole","Vendor"}),LOOKUP(RAND(),{0,0.15,0.45,0.72},{"River","Rainwater","Borehole","Vendor"}))),IF(D542&lt;15000,LOOKUP(RAND(),{0,0.4,0.7,0.92},{"River","Rainwater","Borehole","Vendor"}),IF(D542&lt;30000,LOOKUP(RAND(),{0,0.3,0.6,0.85},{"River","Rainwater","Borehole","Vendor"}),LOOKUP(RAND(),{0,0.2,0.5,0.75},{"River","Rainwater","Borehole","Vendor"}))))))</f>
        <v>Borehole</v>
      </c>
      <c r="F542">
        <f t="shared" ca="1" si="49"/>
        <v>42</v>
      </c>
      <c r="G542">
        <f t="shared" ca="1" si="50"/>
        <v>3.6</v>
      </c>
      <c r="H542">
        <f t="shared" ca="1" si="51"/>
        <v>8600</v>
      </c>
      <c r="I542">
        <f t="shared" ca="1" si="52"/>
        <v>0.33608973999524205</v>
      </c>
      <c r="J542">
        <v>1</v>
      </c>
    </row>
    <row r="543" spans="1:10" x14ac:dyDescent="0.3">
      <c r="A543" t="str">
        <f t="shared" si="53"/>
        <v>HH542</v>
      </c>
      <c r="B543" t="str">
        <f ca="1">LOOKUP(RAND(),{0,0.28,0.55,0.78},{"Oloitoktok A","Oloitoktok B","Kiserian","Namanga"})</f>
        <v>Oloitoktok B</v>
      </c>
      <c r="C543">
        <f ca="1">LOOKUP(RAND(),{0,0.02,0.09,0.2,0.35,0.52,0.68,0.81,0.91,0.97},{1,2,3,4,5,6,7,8,9,10})</f>
        <v>7</v>
      </c>
      <c r="D543">
        <f t="shared" ca="1" si="48"/>
        <v>30000</v>
      </c>
      <c r="E543" t="str">
        <f ca="1">IF(B543="Oloitoktok A",IF(D543&lt;15000,LOOKUP(RAND(),{0,0.45,0.75,0.92},{"River","Rainwater","Borehole","Vendor"}),IF(D543&lt;30000,LOOKUP(RAND(),{0,0.35,0.65,0.85},{"River","Rainwater","Borehole","Vendor"}),LOOKUP(RAND(),{0,0.25,0.5,0.75},{"River","Rainwater","Borehole","Vendor"}))),IF(B543="Oloitoktok B",IF(D543&lt;15000,LOOKUP(RAND(),{0,0.5,0.78,0.94},{"River","Rainwater","Borehole","Vendor"}),IF(D543&lt;30000,LOOKUP(RAND(),{0,0.4,0.68,0.87},{"River","Rainwater","Borehole","Vendor"}),LOOKUP(RAND(),{0,0.28,0.55,0.78},{"River","Rainwater","Borehole","Vendor"}))),IF(B543="Kiserian",IF(D543&lt;15000,LOOKUP(RAND(),{0,0.35,0.65,0.9},{"River","Rainwater","Borehole","Vendor"}),IF(D543&lt;30000,LOOKUP(RAND(),{0,0.25,0.55,0.82},{"River","Rainwater","Borehole","Vendor"}),LOOKUP(RAND(),{0,0.15,0.45,0.72},{"River","Rainwater","Borehole","Vendor"}))),IF(D543&lt;15000,LOOKUP(RAND(),{0,0.4,0.7,0.92},{"River","Rainwater","Borehole","Vendor"}),IF(D543&lt;30000,LOOKUP(RAND(),{0,0.3,0.6,0.85},{"River","Rainwater","Borehole","Vendor"}),LOOKUP(RAND(),{0,0.2,0.5,0.75},{"River","Rainwater","Borehole","Vendor"}))))))</f>
        <v>Rainwater</v>
      </c>
      <c r="F543">
        <f t="shared" ca="1" si="49"/>
        <v>41</v>
      </c>
      <c r="G543">
        <f t="shared" ca="1" si="50"/>
        <v>8.5</v>
      </c>
      <c r="H543">
        <f t="shared" ca="1" si="51"/>
        <v>5800</v>
      </c>
      <c r="I543">
        <f t="shared" ca="1" si="52"/>
        <v>0.76109360593424602</v>
      </c>
      <c r="J543">
        <v>1</v>
      </c>
    </row>
    <row r="544" spans="1:10" x14ac:dyDescent="0.3">
      <c r="A544" t="str">
        <f t="shared" si="53"/>
        <v>HH543</v>
      </c>
      <c r="B544" t="str">
        <f ca="1">LOOKUP(RAND(),{0,0.28,0.55,0.78},{"Oloitoktok A","Oloitoktok B","Kiserian","Namanga"})</f>
        <v>Oloitoktok A</v>
      </c>
      <c r="C544">
        <f ca="1">LOOKUP(RAND(),{0,0.02,0.09,0.2,0.35,0.52,0.68,0.81,0.91,0.97},{1,2,3,4,5,6,7,8,9,10})</f>
        <v>7</v>
      </c>
      <c r="D544">
        <f t="shared" ca="1" si="48"/>
        <v>23500</v>
      </c>
      <c r="E544" t="str">
        <f ca="1">IF(B544="Oloitoktok A",IF(D544&lt;15000,LOOKUP(RAND(),{0,0.45,0.75,0.92},{"River","Rainwater","Borehole","Vendor"}),IF(D544&lt;30000,LOOKUP(RAND(),{0,0.35,0.65,0.85},{"River","Rainwater","Borehole","Vendor"}),LOOKUP(RAND(),{0,0.25,0.5,0.75},{"River","Rainwater","Borehole","Vendor"}))),IF(B544="Oloitoktok B",IF(D544&lt;15000,LOOKUP(RAND(),{0,0.5,0.78,0.94},{"River","Rainwater","Borehole","Vendor"}),IF(D544&lt;30000,LOOKUP(RAND(),{0,0.4,0.68,0.87},{"River","Rainwater","Borehole","Vendor"}),LOOKUP(RAND(),{0,0.28,0.55,0.78},{"River","Rainwater","Borehole","Vendor"}))),IF(B544="Kiserian",IF(D544&lt;15000,LOOKUP(RAND(),{0,0.35,0.65,0.9},{"River","Rainwater","Borehole","Vendor"}),IF(D544&lt;30000,LOOKUP(RAND(),{0,0.25,0.55,0.82},{"River","Rainwater","Borehole","Vendor"}),LOOKUP(RAND(),{0,0.15,0.45,0.72},{"River","Rainwater","Borehole","Vendor"}))),IF(D544&lt;15000,LOOKUP(RAND(),{0,0.4,0.7,0.92},{"River","Rainwater","Borehole","Vendor"}),IF(D544&lt;30000,LOOKUP(RAND(),{0,0.3,0.6,0.85},{"River","Rainwater","Borehole","Vendor"}),LOOKUP(RAND(),{0,0.2,0.5,0.75},{"River","Rainwater","Borehole","Vendor"}))))))</f>
        <v>Rainwater</v>
      </c>
      <c r="F544">
        <f t="shared" ca="1" si="49"/>
        <v>34</v>
      </c>
      <c r="G544">
        <f t="shared" ca="1" si="50"/>
        <v>7.6</v>
      </c>
      <c r="H544">
        <f t="shared" ca="1" si="51"/>
        <v>8900</v>
      </c>
      <c r="I544">
        <f t="shared" ca="1" si="52"/>
        <v>0.43850086728225834</v>
      </c>
      <c r="J544">
        <v>1</v>
      </c>
    </row>
    <row r="545" spans="1:10" x14ac:dyDescent="0.3">
      <c r="A545" t="str">
        <f t="shared" si="53"/>
        <v>HH544</v>
      </c>
      <c r="B545" t="str">
        <f ca="1">LOOKUP(RAND(),{0,0.28,0.55,0.78},{"Oloitoktok A","Oloitoktok B","Kiserian","Namanga"})</f>
        <v>Kiserian</v>
      </c>
      <c r="C545">
        <f ca="1">LOOKUP(RAND(),{0,0.02,0.09,0.2,0.35,0.52,0.68,0.81,0.91,0.97},{1,2,3,4,5,6,7,8,9,10})</f>
        <v>9</v>
      </c>
      <c r="D545">
        <f t="shared" ca="1" si="48"/>
        <v>62900</v>
      </c>
      <c r="E545" t="str">
        <f ca="1">IF(B545="Oloitoktok A",IF(D545&lt;15000,LOOKUP(RAND(),{0,0.45,0.75,0.92},{"River","Rainwater","Borehole","Vendor"}),IF(D545&lt;30000,LOOKUP(RAND(),{0,0.35,0.65,0.85},{"River","Rainwater","Borehole","Vendor"}),LOOKUP(RAND(),{0,0.25,0.5,0.75},{"River","Rainwater","Borehole","Vendor"}))),IF(B545="Oloitoktok B",IF(D545&lt;15000,LOOKUP(RAND(),{0,0.5,0.78,0.94},{"River","Rainwater","Borehole","Vendor"}),IF(D545&lt;30000,LOOKUP(RAND(),{0,0.4,0.68,0.87},{"River","Rainwater","Borehole","Vendor"}),LOOKUP(RAND(),{0,0.28,0.55,0.78},{"River","Rainwater","Borehole","Vendor"}))),IF(B545="Kiserian",IF(D545&lt;15000,LOOKUP(RAND(),{0,0.35,0.65,0.9},{"River","Rainwater","Borehole","Vendor"}),IF(D545&lt;30000,LOOKUP(RAND(),{0,0.25,0.55,0.82},{"River","Rainwater","Borehole","Vendor"}),LOOKUP(RAND(),{0,0.15,0.45,0.72},{"River","Rainwater","Borehole","Vendor"}))),IF(D545&lt;15000,LOOKUP(RAND(),{0,0.4,0.7,0.92},{"River","Rainwater","Borehole","Vendor"}),IF(D545&lt;30000,LOOKUP(RAND(),{0,0.3,0.6,0.85},{"River","Rainwater","Borehole","Vendor"}),LOOKUP(RAND(),{0,0.2,0.5,0.75},{"River","Rainwater","Borehole","Vendor"}))))))</f>
        <v>Rainwater</v>
      </c>
      <c r="F545">
        <f t="shared" ca="1" si="49"/>
        <v>52</v>
      </c>
      <c r="G545">
        <f t="shared" ca="1" si="50"/>
        <v>0.7</v>
      </c>
      <c r="H545">
        <f t="shared" ca="1" si="51"/>
        <v>6900</v>
      </c>
      <c r="I545">
        <f t="shared" ca="1" si="52"/>
        <v>0.12862838299211565</v>
      </c>
      <c r="J545">
        <v>1</v>
      </c>
    </row>
    <row r="546" spans="1:10" x14ac:dyDescent="0.3">
      <c r="A546" t="str">
        <f t="shared" si="53"/>
        <v>HH545</v>
      </c>
      <c r="B546" t="str">
        <f ca="1">LOOKUP(RAND(),{0,0.28,0.55,0.78},{"Oloitoktok A","Oloitoktok B","Kiserian","Namanga"})</f>
        <v>Namanga</v>
      </c>
      <c r="C546">
        <f ca="1">LOOKUP(RAND(),{0,0.02,0.09,0.2,0.35,0.52,0.68,0.81,0.91,0.97},{1,2,3,4,5,6,7,8,9,10})</f>
        <v>9</v>
      </c>
      <c r="D546">
        <f t="shared" ca="1" si="48"/>
        <v>23400</v>
      </c>
      <c r="E546" t="str">
        <f ca="1">IF(B546="Oloitoktok A",IF(D546&lt;15000,LOOKUP(RAND(),{0,0.45,0.75,0.92},{"River","Rainwater","Borehole","Vendor"}),IF(D546&lt;30000,LOOKUP(RAND(),{0,0.35,0.65,0.85},{"River","Rainwater","Borehole","Vendor"}),LOOKUP(RAND(),{0,0.25,0.5,0.75},{"River","Rainwater","Borehole","Vendor"}))),IF(B546="Oloitoktok B",IF(D546&lt;15000,LOOKUP(RAND(),{0,0.5,0.78,0.94},{"River","Rainwater","Borehole","Vendor"}),IF(D546&lt;30000,LOOKUP(RAND(),{0,0.4,0.68,0.87},{"River","Rainwater","Borehole","Vendor"}),LOOKUP(RAND(),{0,0.28,0.55,0.78},{"River","Rainwater","Borehole","Vendor"}))),IF(B546="Kiserian",IF(D546&lt;15000,LOOKUP(RAND(),{0,0.35,0.65,0.9},{"River","Rainwater","Borehole","Vendor"}),IF(D546&lt;30000,LOOKUP(RAND(),{0,0.25,0.55,0.82},{"River","Rainwater","Borehole","Vendor"}),LOOKUP(RAND(),{0,0.15,0.45,0.72},{"River","Rainwater","Borehole","Vendor"}))),IF(D546&lt;15000,LOOKUP(RAND(),{0,0.4,0.7,0.92},{"River","Rainwater","Borehole","Vendor"}),IF(D546&lt;30000,LOOKUP(RAND(),{0,0.3,0.6,0.85},{"River","Rainwater","Borehole","Vendor"}),LOOKUP(RAND(),{0,0.2,0.5,0.75},{"River","Rainwater","Borehole","Vendor"}))))))</f>
        <v>River</v>
      </c>
      <c r="F546">
        <f t="shared" ca="1" si="49"/>
        <v>67</v>
      </c>
      <c r="G546">
        <f t="shared" ca="1" si="50"/>
        <v>9.3000000000000007</v>
      </c>
      <c r="H546">
        <f t="shared" ca="1" si="51"/>
        <v>3900</v>
      </c>
      <c r="I546">
        <f t="shared" ca="1" si="52"/>
        <v>0.73176967295233686</v>
      </c>
      <c r="J546">
        <v>1</v>
      </c>
    </row>
    <row r="547" spans="1:10" x14ac:dyDescent="0.3">
      <c r="A547" t="str">
        <f t="shared" si="53"/>
        <v>HH546</v>
      </c>
      <c r="B547" t="str">
        <f ca="1">LOOKUP(RAND(),{0,0.28,0.55,0.78},{"Oloitoktok A","Oloitoktok B","Kiserian","Namanga"})</f>
        <v>Oloitoktok A</v>
      </c>
      <c r="C547">
        <f ca="1">LOOKUP(RAND(),{0,0.02,0.09,0.2,0.35,0.52,0.68,0.81,0.91,0.97},{1,2,3,4,5,6,7,8,9,10})</f>
        <v>6</v>
      </c>
      <c r="D547">
        <f t="shared" ca="1" si="48"/>
        <v>53100</v>
      </c>
      <c r="E547" t="str">
        <f ca="1">IF(B547="Oloitoktok A",IF(D547&lt;15000,LOOKUP(RAND(),{0,0.45,0.75,0.92},{"River","Rainwater","Borehole","Vendor"}),IF(D547&lt;30000,LOOKUP(RAND(),{0,0.35,0.65,0.85},{"River","Rainwater","Borehole","Vendor"}),LOOKUP(RAND(),{0,0.25,0.5,0.75},{"River","Rainwater","Borehole","Vendor"}))),IF(B547="Oloitoktok B",IF(D547&lt;15000,LOOKUP(RAND(),{0,0.5,0.78,0.94},{"River","Rainwater","Borehole","Vendor"}),IF(D547&lt;30000,LOOKUP(RAND(),{0,0.4,0.68,0.87},{"River","Rainwater","Borehole","Vendor"}),LOOKUP(RAND(),{0,0.28,0.55,0.78},{"River","Rainwater","Borehole","Vendor"}))),IF(B547="Kiserian",IF(D547&lt;15000,LOOKUP(RAND(),{0,0.35,0.65,0.9},{"River","Rainwater","Borehole","Vendor"}),IF(D547&lt;30000,LOOKUP(RAND(),{0,0.25,0.55,0.82},{"River","Rainwater","Borehole","Vendor"}),LOOKUP(RAND(),{0,0.15,0.45,0.72},{"River","Rainwater","Borehole","Vendor"}))),IF(D547&lt;15000,LOOKUP(RAND(),{0,0.4,0.7,0.92},{"River","Rainwater","Borehole","Vendor"}),IF(D547&lt;30000,LOOKUP(RAND(),{0,0.3,0.6,0.85},{"River","Rainwater","Borehole","Vendor"}),LOOKUP(RAND(),{0,0.2,0.5,0.75},{"River","Rainwater","Borehole","Vendor"}))))))</f>
        <v>Borehole</v>
      </c>
      <c r="F547">
        <f t="shared" ca="1" si="49"/>
        <v>35</v>
      </c>
      <c r="G547">
        <f t="shared" ca="1" si="50"/>
        <v>6.1</v>
      </c>
      <c r="H547">
        <f t="shared" ca="1" si="51"/>
        <v>10200</v>
      </c>
      <c r="I547">
        <f t="shared" ca="1" si="52"/>
        <v>0.46718057981104011</v>
      </c>
      <c r="J547">
        <v>1</v>
      </c>
    </row>
    <row r="548" spans="1:10" x14ac:dyDescent="0.3">
      <c r="A548" t="str">
        <f t="shared" si="53"/>
        <v>HH547</v>
      </c>
      <c r="B548" t="str">
        <f ca="1">LOOKUP(RAND(),{0,0.28,0.55,0.78},{"Oloitoktok A","Oloitoktok B","Kiserian","Namanga"})</f>
        <v>Oloitoktok B</v>
      </c>
      <c r="C548">
        <f ca="1">LOOKUP(RAND(),{0,0.02,0.09,0.2,0.35,0.52,0.68,0.81,0.91,0.97},{1,2,3,4,5,6,7,8,9,10})</f>
        <v>6</v>
      </c>
      <c r="D548">
        <f t="shared" ca="1" si="48"/>
        <v>27500</v>
      </c>
      <c r="E548" t="str">
        <f ca="1">IF(B548="Oloitoktok A",IF(D548&lt;15000,LOOKUP(RAND(),{0,0.45,0.75,0.92},{"River","Rainwater","Borehole","Vendor"}),IF(D548&lt;30000,LOOKUP(RAND(),{0,0.35,0.65,0.85},{"River","Rainwater","Borehole","Vendor"}),LOOKUP(RAND(),{0,0.25,0.5,0.75},{"River","Rainwater","Borehole","Vendor"}))),IF(B548="Oloitoktok B",IF(D548&lt;15000,LOOKUP(RAND(),{0,0.5,0.78,0.94},{"River","Rainwater","Borehole","Vendor"}),IF(D548&lt;30000,LOOKUP(RAND(),{0,0.4,0.68,0.87},{"River","Rainwater","Borehole","Vendor"}),LOOKUP(RAND(),{0,0.28,0.55,0.78},{"River","Rainwater","Borehole","Vendor"}))),IF(B548="Kiserian",IF(D548&lt;15000,LOOKUP(RAND(),{0,0.35,0.65,0.9},{"River","Rainwater","Borehole","Vendor"}),IF(D548&lt;30000,LOOKUP(RAND(),{0,0.25,0.55,0.82},{"River","Rainwater","Borehole","Vendor"}),LOOKUP(RAND(),{0,0.15,0.45,0.72},{"River","Rainwater","Borehole","Vendor"}))),IF(D548&lt;15000,LOOKUP(RAND(),{0,0.4,0.7,0.92},{"River","Rainwater","Borehole","Vendor"}),IF(D548&lt;30000,LOOKUP(RAND(),{0,0.3,0.6,0.85},{"River","Rainwater","Borehole","Vendor"}),LOOKUP(RAND(),{0,0.2,0.5,0.75},{"River","Rainwater","Borehole","Vendor"}))))))</f>
        <v>River</v>
      </c>
      <c r="F548">
        <f t="shared" ca="1" si="49"/>
        <v>115</v>
      </c>
      <c r="G548">
        <f t="shared" ca="1" si="50"/>
        <v>2.2999999999999998</v>
      </c>
      <c r="H548">
        <f t="shared" ca="1" si="51"/>
        <v>2200</v>
      </c>
      <c r="I548">
        <f t="shared" ca="1" si="52"/>
        <v>3.2619611571820362E-2</v>
      </c>
      <c r="J548">
        <v>1</v>
      </c>
    </row>
    <row r="549" spans="1:10" x14ac:dyDescent="0.3">
      <c r="A549" t="str">
        <f t="shared" si="53"/>
        <v>HH548</v>
      </c>
      <c r="B549" t="str">
        <f ca="1">LOOKUP(RAND(),{0,0.28,0.55,0.78},{"Oloitoktok A","Oloitoktok B","Kiserian","Namanga"})</f>
        <v>Oloitoktok A</v>
      </c>
      <c r="C549">
        <f ca="1">LOOKUP(RAND(),{0,0.02,0.09,0.2,0.35,0.52,0.68,0.81,0.91,0.97},{1,2,3,4,5,6,7,8,9,10})</f>
        <v>4</v>
      </c>
      <c r="D549">
        <f t="shared" ca="1" si="48"/>
        <v>25300</v>
      </c>
      <c r="E549" t="str">
        <f ca="1">IF(B549="Oloitoktok A",IF(D549&lt;15000,LOOKUP(RAND(),{0,0.45,0.75,0.92},{"River","Rainwater","Borehole","Vendor"}),IF(D549&lt;30000,LOOKUP(RAND(),{0,0.35,0.65,0.85},{"River","Rainwater","Borehole","Vendor"}),LOOKUP(RAND(),{0,0.25,0.5,0.75},{"River","Rainwater","Borehole","Vendor"}))),IF(B549="Oloitoktok B",IF(D549&lt;15000,LOOKUP(RAND(),{0,0.5,0.78,0.94},{"River","Rainwater","Borehole","Vendor"}),IF(D549&lt;30000,LOOKUP(RAND(),{0,0.4,0.68,0.87},{"River","Rainwater","Borehole","Vendor"}),LOOKUP(RAND(),{0,0.28,0.55,0.78},{"River","Rainwater","Borehole","Vendor"}))),IF(B549="Kiserian",IF(D549&lt;15000,LOOKUP(RAND(),{0,0.35,0.65,0.9},{"River","Rainwater","Borehole","Vendor"}),IF(D549&lt;30000,LOOKUP(RAND(),{0,0.25,0.55,0.82},{"River","Rainwater","Borehole","Vendor"}),LOOKUP(RAND(),{0,0.15,0.45,0.72},{"River","Rainwater","Borehole","Vendor"}))),IF(D549&lt;15000,LOOKUP(RAND(),{0,0.4,0.7,0.92},{"River","Rainwater","Borehole","Vendor"}),IF(D549&lt;30000,LOOKUP(RAND(),{0,0.3,0.6,0.85},{"River","Rainwater","Borehole","Vendor"}),LOOKUP(RAND(),{0,0.2,0.5,0.75},{"River","Rainwater","Borehole","Vendor"}))))))</f>
        <v>Rainwater</v>
      </c>
      <c r="F549">
        <f t="shared" ca="1" si="49"/>
        <v>35</v>
      </c>
      <c r="G549">
        <f t="shared" ca="1" si="50"/>
        <v>3.3</v>
      </c>
      <c r="H549">
        <f t="shared" ca="1" si="51"/>
        <v>300</v>
      </c>
      <c r="I549">
        <f t="shared" ca="1" si="52"/>
        <v>7.4405717799806315E-2</v>
      </c>
      <c r="J549">
        <v>1</v>
      </c>
    </row>
    <row r="550" spans="1:10" x14ac:dyDescent="0.3">
      <c r="A550" t="str">
        <f t="shared" si="53"/>
        <v>HH549</v>
      </c>
      <c r="B550" t="str">
        <f ca="1">LOOKUP(RAND(),{0,0.28,0.55,0.78},{"Oloitoktok A","Oloitoktok B","Kiserian","Namanga"})</f>
        <v>Kiserian</v>
      </c>
      <c r="C550">
        <f ca="1">LOOKUP(RAND(),{0,0.02,0.09,0.2,0.35,0.52,0.68,0.81,0.91,0.97},{1,2,3,4,5,6,7,8,9,10})</f>
        <v>8</v>
      </c>
      <c r="D550">
        <f t="shared" ca="1" si="48"/>
        <v>59600</v>
      </c>
      <c r="E550" t="str">
        <f ca="1">IF(B550="Oloitoktok A",IF(D550&lt;15000,LOOKUP(RAND(),{0,0.45,0.75,0.92},{"River","Rainwater","Borehole","Vendor"}),IF(D550&lt;30000,LOOKUP(RAND(),{0,0.35,0.65,0.85},{"River","Rainwater","Borehole","Vendor"}),LOOKUP(RAND(),{0,0.25,0.5,0.75},{"River","Rainwater","Borehole","Vendor"}))),IF(B550="Oloitoktok B",IF(D550&lt;15000,LOOKUP(RAND(),{0,0.5,0.78,0.94},{"River","Rainwater","Borehole","Vendor"}),IF(D550&lt;30000,LOOKUP(RAND(),{0,0.4,0.68,0.87},{"River","Rainwater","Borehole","Vendor"}),LOOKUP(RAND(),{0,0.28,0.55,0.78},{"River","Rainwater","Borehole","Vendor"}))),IF(B550="Kiserian",IF(D550&lt;15000,LOOKUP(RAND(),{0,0.35,0.65,0.9},{"River","Rainwater","Borehole","Vendor"}),IF(D550&lt;30000,LOOKUP(RAND(),{0,0.25,0.55,0.82},{"River","Rainwater","Borehole","Vendor"}),LOOKUP(RAND(),{0,0.15,0.45,0.72},{"River","Rainwater","Borehole","Vendor"}))),IF(D550&lt;15000,LOOKUP(RAND(),{0,0.4,0.7,0.92},{"River","Rainwater","Borehole","Vendor"}),IF(D550&lt;30000,LOOKUP(RAND(),{0,0.3,0.6,0.85},{"River","Rainwater","Borehole","Vendor"}),LOOKUP(RAND(),{0,0.2,0.5,0.75},{"River","Rainwater","Borehole","Vendor"}))))))</f>
        <v>Rainwater</v>
      </c>
      <c r="F550">
        <f t="shared" ca="1" si="49"/>
        <v>58</v>
      </c>
      <c r="G550">
        <f t="shared" ca="1" si="50"/>
        <v>6.5</v>
      </c>
      <c r="H550">
        <f t="shared" ca="1" si="51"/>
        <v>12200</v>
      </c>
      <c r="I550">
        <f t="shared" ca="1" si="52"/>
        <v>0.80902596720808218</v>
      </c>
      <c r="J550">
        <v>1</v>
      </c>
    </row>
    <row r="551" spans="1:10" x14ac:dyDescent="0.3">
      <c r="A551" t="str">
        <f t="shared" si="53"/>
        <v>HH550</v>
      </c>
      <c r="B551" t="str">
        <f ca="1">LOOKUP(RAND(),{0,0.28,0.55,0.78},{"Oloitoktok A","Oloitoktok B","Kiserian","Namanga"})</f>
        <v>Kiserian</v>
      </c>
      <c r="C551">
        <f ca="1">LOOKUP(RAND(),{0,0.02,0.09,0.2,0.35,0.52,0.68,0.81,0.91,0.97},{1,2,3,4,5,6,7,8,9,10})</f>
        <v>5</v>
      </c>
      <c r="D551">
        <f t="shared" ca="1" si="48"/>
        <v>44400</v>
      </c>
      <c r="E551" t="str">
        <f ca="1">IF(B551="Oloitoktok A",IF(D551&lt;15000,LOOKUP(RAND(),{0,0.45,0.75,0.92},{"River","Rainwater","Borehole","Vendor"}),IF(D551&lt;30000,LOOKUP(RAND(),{0,0.35,0.65,0.85},{"River","Rainwater","Borehole","Vendor"}),LOOKUP(RAND(),{0,0.25,0.5,0.75},{"River","Rainwater","Borehole","Vendor"}))),IF(B551="Oloitoktok B",IF(D551&lt;15000,LOOKUP(RAND(),{0,0.5,0.78,0.94},{"River","Rainwater","Borehole","Vendor"}),IF(D551&lt;30000,LOOKUP(RAND(),{0,0.4,0.68,0.87},{"River","Rainwater","Borehole","Vendor"}),LOOKUP(RAND(),{0,0.28,0.55,0.78},{"River","Rainwater","Borehole","Vendor"}))),IF(B551="Kiserian",IF(D551&lt;15000,LOOKUP(RAND(),{0,0.35,0.65,0.9},{"River","Rainwater","Borehole","Vendor"}),IF(D551&lt;30000,LOOKUP(RAND(),{0,0.25,0.55,0.82},{"River","Rainwater","Borehole","Vendor"}),LOOKUP(RAND(),{0,0.15,0.45,0.72},{"River","Rainwater","Borehole","Vendor"}))),IF(D551&lt;15000,LOOKUP(RAND(),{0,0.4,0.7,0.92},{"River","Rainwater","Borehole","Vendor"}),IF(D551&lt;30000,LOOKUP(RAND(),{0,0.3,0.6,0.85},{"River","Rainwater","Borehole","Vendor"}),LOOKUP(RAND(),{0,0.2,0.5,0.75},{"River","Rainwater","Borehole","Vendor"}))))))</f>
        <v>Vendor</v>
      </c>
      <c r="F551">
        <f t="shared" ca="1" si="49"/>
        <v>39</v>
      </c>
      <c r="G551">
        <f t="shared" ca="1" si="50"/>
        <v>5.3</v>
      </c>
      <c r="H551">
        <f t="shared" ca="1" si="51"/>
        <v>8100</v>
      </c>
      <c r="I551">
        <f t="shared" ca="1" si="52"/>
        <v>0.6254229180692561</v>
      </c>
      <c r="J551">
        <v>1</v>
      </c>
    </row>
    <row r="552" spans="1:10" x14ac:dyDescent="0.3">
      <c r="A552" t="str">
        <f t="shared" si="53"/>
        <v>HH551</v>
      </c>
      <c r="B552" t="str">
        <f ca="1">LOOKUP(RAND(),{0,0.28,0.55,0.78},{"Oloitoktok A","Oloitoktok B","Kiserian","Namanga"})</f>
        <v>Kiserian</v>
      </c>
      <c r="C552">
        <f ca="1">LOOKUP(RAND(),{0,0.02,0.09,0.2,0.35,0.52,0.68,0.81,0.91,0.97},{1,2,3,4,5,6,7,8,9,10})</f>
        <v>9</v>
      </c>
      <c r="D552">
        <f t="shared" ca="1" si="48"/>
        <v>35700</v>
      </c>
      <c r="E552" t="str">
        <f ca="1">IF(B552="Oloitoktok A",IF(D552&lt;15000,LOOKUP(RAND(),{0,0.45,0.75,0.92},{"River","Rainwater","Borehole","Vendor"}),IF(D552&lt;30000,LOOKUP(RAND(),{0,0.35,0.65,0.85},{"River","Rainwater","Borehole","Vendor"}),LOOKUP(RAND(),{0,0.25,0.5,0.75},{"River","Rainwater","Borehole","Vendor"}))),IF(B552="Oloitoktok B",IF(D552&lt;15000,LOOKUP(RAND(),{0,0.5,0.78,0.94},{"River","Rainwater","Borehole","Vendor"}),IF(D552&lt;30000,LOOKUP(RAND(),{0,0.4,0.68,0.87},{"River","Rainwater","Borehole","Vendor"}),LOOKUP(RAND(),{0,0.28,0.55,0.78},{"River","Rainwater","Borehole","Vendor"}))),IF(B552="Kiserian",IF(D552&lt;15000,LOOKUP(RAND(),{0,0.35,0.65,0.9},{"River","Rainwater","Borehole","Vendor"}),IF(D552&lt;30000,LOOKUP(RAND(),{0,0.25,0.55,0.82},{"River","Rainwater","Borehole","Vendor"}),LOOKUP(RAND(),{0,0.15,0.45,0.72},{"River","Rainwater","Borehole","Vendor"}))),IF(D552&lt;15000,LOOKUP(RAND(),{0,0.4,0.7,0.92},{"River","Rainwater","Borehole","Vendor"}),IF(D552&lt;30000,LOOKUP(RAND(),{0,0.3,0.6,0.85},{"River","Rainwater","Borehole","Vendor"}),LOOKUP(RAND(),{0,0.2,0.5,0.75},{"River","Rainwater","Borehole","Vendor"}))))))</f>
        <v>Rainwater</v>
      </c>
      <c r="F552">
        <f t="shared" ca="1" si="49"/>
        <v>35</v>
      </c>
      <c r="G552">
        <f t="shared" ca="1" si="50"/>
        <v>9.3000000000000007</v>
      </c>
      <c r="H552">
        <f t="shared" ca="1" si="51"/>
        <v>9400</v>
      </c>
      <c r="I552">
        <f t="shared" ca="1" si="52"/>
        <v>0.96862229383154141</v>
      </c>
      <c r="J552">
        <v>1</v>
      </c>
    </row>
    <row r="553" spans="1:10" x14ac:dyDescent="0.3">
      <c r="A553" t="str">
        <f t="shared" si="53"/>
        <v>HH552</v>
      </c>
      <c r="B553" t="str">
        <f ca="1">LOOKUP(RAND(),{0,0.28,0.55,0.78},{"Oloitoktok A","Oloitoktok B","Kiserian","Namanga"})</f>
        <v>Kiserian</v>
      </c>
      <c r="C553">
        <f ca="1">LOOKUP(RAND(),{0,0.02,0.09,0.2,0.35,0.52,0.68,0.81,0.91,0.97},{1,2,3,4,5,6,7,8,9,10})</f>
        <v>2</v>
      </c>
      <c r="D553">
        <f t="shared" ca="1" si="48"/>
        <v>19700</v>
      </c>
      <c r="E553" t="str">
        <f ca="1">IF(B553="Oloitoktok A",IF(D553&lt;15000,LOOKUP(RAND(),{0,0.45,0.75,0.92},{"River","Rainwater","Borehole","Vendor"}),IF(D553&lt;30000,LOOKUP(RAND(),{0,0.35,0.65,0.85},{"River","Rainwater","Borehole","Vendor"}),LOOKUP(RAND(),{0,0.25,0.5,0.75},{"River","Rainwater","Borehole","Vendor"}))),IF(B553="Oloitoktok B",IF(D553&lt;15000,LOOKUP(RAND(),{0,0.5,0.78,0.94},{"River","Rainwater","Borehole","Vendor"}),IF(D553&lt;30000,LOOKUP(RAND(),{0,0.4,0.68,0.87},{"River","Rainwater","Borehole","Vendor"}),LOOKUP(RAND(),{0,0.28,0.55,0.78},{"River","Rainwater","Borehole","Vendor"}))),IF(B553="Kiserian",IF(D553&lt;15000,LOOKUP(RAND(),{0,0.35,0.65,0.9},{"River","Rainwater","Borehole","Vendor"}),IF(D553&lt;30000,LOOKUP(RAND(),{0,0.25,0.55,0.82},{"River","Rainwater","Borehole","Vendor"}),LOOKUP(RAND(),{0,0.15,0.45,0.72},{"River","Rainwater","Borehole","Vendor"}))),IF(D553&lt;15000,LOOKUP(RAND(),{0,0.4,0.7,0.92},{"River","Rainwater","Borehole","Vendor"}),IF(D553&lt;30000,LOOKUP(RAND(),{0,0.3,0.6,0.85},{"River","Rainwater","Borehole","Vendor"}),LOOKUP(RAND(),{0,0.2,0.5,0.75},{"River","Rainwater","Borehole","Vendor"}))))))</f>
        <v>Borehole</v>
      </c>
      <c r="F553">
        <f t="shared" ca="1" si="49"/>
        <v>45</v>
      </c>
      <c r="G553">
        <f t="shared" ca="1" si="50"/>
        <v>4</v>
      </c>
      <c r="H553">
        <f t="shared" ca="1" si="51"/>
        <v>2300</v>
      </c>
      <c r="I553">
        <f t="shared" ca="1" si="52"/>
        <v>0.87353709437464566</v>
      </c>
      <c r="J553">
        <v>1</v>
      </c>
    </row>
    <row r="554" spans="1:10" x14ac:dyDescent="0.3">
      <c r="A554" t="str">
        <f t="shared" si="53"/>
        <v>HH553</v>
      </c>
      <c r="B554" t="str">
        <f ca="1">LOOKUP(RAND(),{0,0.28,0.55,0.78},{"Oloitoktok A","Oloitoktok B","Kiserian","Namanga"})</f>
        <v>Kiserian</v>
      </c>
      <c r="C554">
        <f ca="1">LOOKUP(RAND(),{0,0.02,0.09,0.2,0.35,0.52,0.68,0.81,0.91,0.97},{1,2,3,4,5,6,7,8,9,10})</f>
        <v>6</v>
      </c>
      <c r="D554">
        <f t="shared" ca="1" si="48"/>
        <v>65500</v>
      </c>
      <c r="E554" t="str">
        <f ca="1">IF(B554="Oloitoktok A",IF(D554&lt;15000,LOOKUP(RAND(),{0,0.45,0.75,0.92},{"River","Rainwater","Borehole","Vendor"}),IF(D554&lt;30000,LOOKUP(RAND(),{0,0.35,0.65,0.85},{"River","Rainwater","Borehole","Vendor"}),LOOKUP(RAND(),{0,0.25,0.5,0.75},{"River","Rainwater","Borehole","Vendor"}))),IF(B554="Oloitoktok B",IF(D554&lt;15000,LOOKUP(RAND(),{0,0.5,0.78,0.94},{"River","Rainwater","Borehole","Vendor"}),IF(D554&lt;30000,LOOKUP(RAND(),{0,0.4,0.68,0.87},{"River","Rainwater","Borehole","Vendor"}),LOOKUP(RAND(),{0,0.28,0.55,0.78},{"River","Rainwater","Borehole","Vendor"}))),IF(B554="Kiserian",IF(D554&lt;15000,LOOKUP(RAND(),{0,0.35,0.65,0.9},{"River","Rainwater","Borehole","Vendor"}),IF(D554&lt;30000,LOOKUP(RAND(),{0,0.25,0.55,0.82},{"River","Rainwater","Borehole","Vendor"}),LOOKUP(RAND(),{0,0.15,0.45,0.72},{"River","Rainwater","Borehole","Vendor"}))),IF(D554&lt;15000,LOOKUP(RAND(),{0,0.4,0.7,0.92},{"River","Rainwater","Borehole","Vendor"}),IF(D554&lt;30000,LOOKUP(RAND(),{0,0.3,0.6,0.85},{"River","Rainwater","Borehole","Vendor"}),LOOKUP(RAND(),{0,0.2,0.5,0.75},{"River","Rainwater","Borehole","Vendor"}))))))</f>
        <v>River</v>
      </c>
      <c r="F554">
        <f t="shared" ca="1" si="49"/>
        <v>104</v>
      </c>
      <c r="G554">
        <f t="shared" ca="1" si="50"/>
        <v>8</v>
      </c>
      <c r="H554">
        <f t="shared" ca="1" si="51"/>
        <v>1500</v>
      </c>
      <c r="I554">
        <f t="shared" ca="1" si="52"/>
        <v>0.44444596031158168</v>
      </c>
      <c r="J554">
        <v>1</v>
      </c>
    </row>
    <row r="555" spans="1:10" x14ac:dyDescent="0.3">
      <c r="A555" t="str">
        <f t="shared" si="53"/>
        <v>HH554</v>
      </c>
      <c r="B555" t="str">
        <f ca="1">LOOKUP(RAND(),{0,0.28,0.55,0.78},{"Oloitoktok A","Oloitoktok B","Kiserian","Namanga"})</f>
        <v>Oloitoktok A</v>
      </c>
      <c r="C555">
        <f ca="1">LOOKUP(RAND(),{0,0.02,0.09,0.2,0.35,0.52,0.68,0.81,0.91,0.97},{1,2,3,4,5,6,7,8,9,10})</f>
        <v>4</v>
      </c>
      <c r="D555">
        <f t="shared" ca="1" si="48"/>
        <v>35000</v>
      </c>
      <c r="E555" t="str">
        <f ca="1">IF(B555="Oloitoktok A",IF(D555&lt;15000,LOOKUP(RAND(),{0,0.45,0.75,0.92},{"River","Rainwater","Borehole","Vendor"}),IF(D555&lt;30000,LOOKUP(RAND(),{0,0.35,0.65,0.85},{"River","Rainwater","Borehole","Vendor"}),LOOKUP(RAND(),{0,0.25,0.5,0.75},{"River","Rainwater","Borehole","Vendor"}))),IF(B555="Oloitoktok B",IF(D555&lt;15000,LOOKUP(RAND(),{0,0.5,0.78,0.94},{"River","Rainwater","Borehole","Vendor"}),IF(D555&lt;30000,LOOKUP(RAND(),{0,0.4,0.68,0.87},{"River","Rainwater","Borehole","Vendor"}),LOOKUP(RAND(),{0,0.28,0.55,0.78},{"River","Rainwater","Borehole","Vendor"}))),IF(B555="Kiserian",IF(D555&lt;15000,LOOKUP(RAND(),{0,0.35,0.65,0.9},{"River","Rainwater","Borehole","Vendor"}),IF(D555&lt;30000,LOOKUP(RAND(),{0,0.25,0.55,0.82},{"River","Rainwater","Borehole","Vendor"}),LOOKUP(RAND(),{0,0.15,0.45,0.72},{"River","Rainwater","Borehole","Vendor"}))),IF(D555&lt;15000,LOOKUP(RAND(),{0,0.4,0.7,0.92},{"River","Rainwater","Borehole","Vendor"}),IF(D555&lt;30000,LOOKUP(RAND(),{0,0.3,0.6,0.85},{"River","Rainwater","Borehole","Vendor"}),LOOKUP(RAND(),{0,0.2,0.5,0.75},{"River","Rainwater","Borehole","Vendor"}))))))</f>
        <v>Vendor</v>
      </c>
      <c r="F555">
        <f t="shared" ca="1" si="49"/>
        <v>44</v>
      </c>
      <c r="G555">
        <f t="shared" ca="1" si="50"/>
        <v>9.1</v>
      </c>
      <c r="H555">
        <f t="shared" ca="1" si="51"/>
        <v>7800</v>
      </c>
      <c r="I555">
        <f t="shared" ca="1" si="52"/>
        <v>0.69759535662593208</v>
      </c>
      <c r="J555">
        <v>1</v>
      </c>
    </row>
    <row r="556" spans="1:10" x14ac:dyDescent="0.3">
      <c r="A556" t="str">
        <f t="shared" si="53"/>
        <v>HH555</v>
      </c>
      <c r="B556" t="str">
        <f ca="1">LOOKUP(RAND(),{0,0.28,0.55,0.78},{"Oloitoktok A","Oloitoktok B","Kiserian","Namanga"})</f>
        <v>Kiserian</v>
      </c>
      <c r="C556">
        <f ca="1">LOOKUP(RAND(),{0,0.02,0.09,0.2,0.35,0.52,0.68,0.81,0.91,0.97},{1,2,3,4,5,6,7,8,9,10})</f>
        <v>7</v>
      </c>
      <c r="D556">
        <f t="shared" ca="1" si="48"/>
        <v>17900</v>
      </c>
      <c r="E556" t="str">
        <f ca="1">IF(B556="Oloitoktok A",IF(D556&lt;15000,LOOKUP(RAND(),{0,0.45,0.75,0.92},{"River","Rainwater","Borehole","Vendor"}),IF(D556&lt;30000,LOOKUP(RAND(),{0,0.35,0.65,0.85},{"River","Rainwater","Borehole","Vendor"}),LOOKUP(RAND(),{0,0.25,0.5,0.75},{"River","Rainwater","Borehole","Vendor"}))),IF(B556="Oloitoktok B",IF(D556&lt;15000,LOOKUP(RAND(),{0,0.5,0.78,0.94},{"River","Rainwater","Borehole","Vendor"}),IF(D556&lt;30000,LOOKUP(RAND(),{0,0.4,0.68,0.87},{"River","Rainwater","Borehole","Vendor"}),LOOKUP(RAND(),{0,0.28,0.55,0.78},{"River","Rainwater","Borehole","Vendor"}))),IF(B556="Kiserian",IF(D556&lt;15000,LOOKUP(RAND(),{0,0.35,0.65,0.9},{"River","Rainwater","Borehole","Vendor"}),IF(D556&lt;30000,LOOKUP(RAND(),{0,0.25,0.55,0.82},{"River","Rainwater","Borehole","Vendor"}),LOOKUP(RAND(),{0,0.15,0.45,0.72},{"River","Rainwater","Borehole","Vendor"}))),IF(D556&lt;15000,LOOKUP(RAND(),{0,0.4,0.7,0.92},{"River","Rainwater","Borehole","Vendor"}),IF(D556&lt;30000,LOOKUP(RAND(),{0,0.3,0.6,0.85},{"River","Rainwater","Borehole","Vendor"}),LOOKUP(RAND(),{0,0.2,0.5,0.75},{"River","Rainwater","Borehole","Vendor"}))))))</f>
        <v>Borehole</v>
      </c>
      <c r="F556">
        <f t="shared" ca="1" si="49"/>
        <v>59</v>
      </c>
      <c r="G556">
        <f t="shared" ca="1" si="50"/>
        <v>6.9</v>
      </c>
      <c r="H556">
        <f t="shared" ca="1" si="51"/>
        <v>14200</v>
      </c>
      <c r="I556">
        <f t="shared" ca="1" si="52"/>
        <v>6.5448203814625905E-2</v>
      </c>
      <c r="J556">
        <v>1</v>
      </c>
    </row>
    <row r="557" spans="1:10" x14ac:dyDescent="0.3">
      <c r="A557" t="str">
        <f t="shared" si="53"/>
        <v>HH556</v>
      </c>
      <c r="B557" t="str">
        <f ca="1">LOOKUP(RAND(),{0,0.28,0.55,0.78},{"Oloitoktok A","Oloitoktok B","Kiserian","Namanga"})</f>
        <v>Kiserian</v>
      </c>
      <c r="C557">
        <f ca="1">LOOKUP(RAND(),{0,0.02,0.09,0.2,0.35,0.52,0.68,0.81,0.91,0.97},{1,2,3,4,5,6,7,8,9,10})</f>
        <v>5</v>
      </c>
      <c r="D557">
        <f t="shared" ca="1" si="48"/>
        <v>57800</v>
      </c>
      <c r="E557" t="str">
        <f ca="1">IF(B557="Oloitoktok A",IF(D557&lt;15000,LOOKUP(RAND(),{0,0.45,0.75,0.92},{"River","Rainwater","Borehole","Vendor"}),IF(D557&lt;30000,LOOKUP(RAND(),{0,0.35,0.65,0.85},{"River","Rainwater","Borehole","Vendor"}),LOOKUP(RAND(),{0,0.25,0.5,0.75},{"River","Rainwater","Borehole","Vendor"}))),IF(B557="Oloitoktok B",IF(D557&lt;15000,LOOKUP(RAND(),{0,0.5,0.78,0.94},{"River","Rainwater","Borehole","Vendor"}),IF(D557&lt;30000,LOOKUP(RAND(),{0,0.4,0.68,0.87},{"River","Rainwater","Borehole","Vendor"}),LOOKUP(RAND(),{0,0.28,0.55,0.78},{"River","Rainwater","Borehole","Vendor"}))),IF(B557="Kiserian",IF(D557&lt;15000,LOOKUP(RAND(),{0,0.35,0.65,0.9},{"River","Rainwater","Borehole","Vendor"}),IF(D557&lt;30000,LOOKUP(RAND(),{0,0.25,0.55,0.82},{"River","Rainwater","Borehole","Vendor"}),LOOKUP(RAND(),{0,0.15,0.45,0.72},{"River","Rainwater","Borehole","Vendor"}))),IF(D557&lt;15000,LOOKUP(RAND(),{0,0.4,0.7,0.92},{"River","Rainwater","Borehole","Vendor"}),IF(D557&lt;30000,LOOKUP(RAND(),{0,0.3,0.6,0.85},{"River","Rainwater","Borehole","Vendor"}),LOOKUP(RAND(),{0,0.2,0.5,0.75},{"River","Rainwater","Borehole","Vendor"}))))))</f>
        <v>Vendor</v>
      </c>
      <c r="F557">
        <f t="shared" ca="1" si="49"/>
        <v>57</v>
      </c>
      <c r="G557">
        <f t="shared" ca="1" si="50"/>
        <v>4.7</v>
      </c>
      <c r="H557">
        <f t="shared" ca="1" si="51"/>
        <v>7100</v>
      </c>
      <c r="I557">
        <f t="shared" ca="1" si="52"/>
        <v>0.18217155159249288</v>
      </c>
      <c r="J557">
        <v>1</v>
      </c>
    </row>
    <row r="558" spans="1:10" x14ac:dyDescent="0.3">
      <c r="A558" t="str">
        <f t="shared" si="53"/>
        <v>HH557</v>
      </c>
      <c r="B558" t="str">
        <f ca="1">LOOKUP(RAND(),{0,0.28,0.55,0.78},{"Oloitoktok A","Oloitoktok B","Kiserian","Namanga"})</f>
        <v>Oloitoktok B</v>
      </c>
      <c r="C558">
        <f ca="1">LOOKUP(RAND(),{0,0.02,0.09,0.2,0.35,0.52,0.68,0.81,0.91,0.97},{1,2,3,4,5,6,7,8,9,10})</f>
        <v>8</v>
      </c>
      <c r="D558">
        <f t="shared" ca="1" si="48"/>
        <v>11800</v>
      </c>
      <c r="E558" t="str">
        <f ca="1">IF(B558="Oloitoktok A",IF(D558&lt;15000,LOOKUP(RAND(),{0,0.45,0.75,0.92},{"River","Rainwater","Borehole","Vendor"}),IF(D558&lt;30000,LOOKUP(RAND(),{0,0.35,0.65,0.85},{"River","Rainwater","Borehole","Vendor"}),LOOKUP(RAND(),{0,0.25,0.5,0.75},{"River","Rainwater","Borehole","Vendor"}))),IF(B558="Oloitoktok B",IF(D558&lt;15000,LOOKUP(RAND(),{0,0.5,0.78,0.94},{"River","Rainwater","Borehole","Vendor"}),IF(D558&lt;30000,LOOKUP(RAND(),{0,0.4,0.68,0.87},{"River","Rainwater","Borehole","Vendor"}),LOOKUP(RAND(),{0,0.28,0.55,0.78},{"River","Rainwater","Borehole","Vendor"}))),IF(B558="Kiserian",IF(D558&lt;15000,LOOKUP(RAND(),{0,0.35,0.65,0.9},{"River","Rainwater","Borehole","Vendor"}),IF(D558&lt;30000,LOOKUP(RAND(),{0,0.25,0.55,0.82},{"River","Rainwater","Borehole","Vendor"}),LOOKUP(RAND(),{0,0.15,0.45,0.72},{"River","Rainwater","Borehole","Vendor"}))),IF(D558&lt;15000,LOOKUP(RAND(),{0,0.4,0.7,0.92},{"River","Rainwater","Borehole","Vendor"}),IF(D558&lt;30000,LOOKUP(RAND(),{0,0.3,0.6,0.85},{"River","Rainwater","Borehole","Vendor"}),LOOKUP(RAND(),{0,0.2,0.5,0.75},{"River","Rainwater","Borehole","Vendor"}))))))</f>
        <v>Rainwater</v>
      </c>
      <c r="F558">
        <f t="shared" ca="1" si="49"/>
        <v>21</v>
      </c>
      <c r="G558">
        <f t="shared" ca="1" si="50"/>
        <v>3.4</v>
      </c>
      <c r="H558">
        <f t="shared" ca="1" si="51"/>
        <v>7700</v>
      </c>
      <c r="I558">
        <f t="shared" ca="1" si="52"/>
        <v>0.72585163507242079</v>
      </c>
      <c r="J558">
        <v>1</v>
      </c>
    </row>
    <row r="559" spans="1:10" x14ac:dyDescent="0.3">
      <c r="A559" t="str">
        <f t="shared" si="53"/>
        <v>HH558</v>
      </c>
      <c r="B559" t="str">
        <f ca="1">LOOKUP(RAND(),{0,0.28,0.55,0.78},{"Oloitoktok A","Oloitoktok B","Kiserian","Namanga"})</f>
        <v>Oloitoktok A</v>
      </c>
      <c r="C559">
        <f ca="1">LOOKUP(RAND(),{0,0.02,0.09,0.2,0.35,0.52,0.68,0.81,0.91,0.97},{1,2,3,4,5,6,7,8,9,10})</f>
        <v>4</v>
      </c>
      <c r="D559">
        <f t="shared" ca="1" si="48"/>
        <v>97200</v>
      </c>
      <c r="E559" t="str">
        <f ca="1">IF(B559="Oloitoktok A",IF(D559&lt;15000,LOOKUP(RAND(),{0,0.45,0.75,0.92},{"River","Rainwater","Borehole","Vendor"}),IF(D559&lt;30000,LOOKUP(RAND(),{0,0.35,0.65,0.85},{"River","Rainwater","Borehole","Vendor"}),LOOKUP(RAND(),{0,0.25,0.5,0.75},{"River","Rainwater","Borehole","Vendor"}))),IF(B559="Oloitoktok B",IF(D559&lt;15000,LOOKUP(RAND(),{0,0.5,0.78,0.94},{"River","Rainwater","Borehole","Vendor"}),IF(D559&lt;30000,LOOKUP(RAND(),{0,0.4,0.68,0.87},{"River","Rainwater","Borehole","Vendor"}),LOOKUP(RAND(),{0,0.28,0.55,0.78},{"River","Rainwater","Borehole","Vendor"}))),IF(B559="Kiserian",IF(D559&lt;15000,LOOKUP(RAND(),{0,0.35,0.65,0.9},{"River","Rainwater","Borehole","Vendor"}),IF(D559&lt;30000,LOOKUP(RAND(),{0,0.25,0.55,0.82},{"River","Rainwater","Borehole","Vendor"}),LOOKUP(RAND(),{0,0.15,0.45,0.72},{"River","Rainwater","Borehole","Vendor"}))),IF(D559&lt;15000,LOOKUP(RAND(),{0,0.4,0.7,0.92},{"River","Rainwater","Borehole","Vendor"}),IF(D559&lt;30000,LOOKUP(RAND(),{0,0.3,0.6,0.85},{"River","Rainwater","Borehole","Vendor"}),LOOKUP(RAND(),{0,0.2,0.5,0.75},{"River","Rainwater","Borehole","Vendor"}))))))</f>
        <v>River</v>
      </c>
      <c r="F559">
        <f t="shared" ca="1" si="49"/>
        <v>73</v>
      </c>
      <c r="G559">
        <f t="shared" ca="1" si="50"/>
        <v>4.5</v>
      </c>
      <c r="H559">
        <f t="shared" ca="1" si="51"/>
        <v>10900</v>
      </c>
      <c r="I559">
        <f t="shared" ca="1" si="52"/>
        <v>0.42942536242988061</v>
      </c>
      <c r="J559">
        <v>1</v>
      </c>
    </row>
    <row r="560" spans="1:10" x14ac:dyDescent="0.3">
      <c r="A560" t="str">
        <f t="shared" si="53"/>
        <v>HH559</v>
      </c>
      <c r="B560" t="str">
        <f ca="1">LOOKUP(RAND(),{0,0.28,0.55,0.78},{"Oloitoktok A","Oloitoktok B","Kiserian","Namanga"})</f>
        <v>Oloitoktok A</v>
      </c>
      <c r="C560">
        <f ca="1">LOOKUP(RAND(),{0,0.02,0.09,0.2,0.35,0.52,0.68,0.81,0.91,0.97},{1,2,3,4,5,6,7,8,9,10})</f>
        <v>4</v>
      </c>
      <c r="D560">
        <f t="shared" ca="1" si="48"/>
        <v>73100</v>
      </c>
      <c r="E560" t="str">
        <f ca="1">IF(B560="Oloitoktok A",IF(D560&lt;15000,LOOKUP(RAND(),{0,0.45,0.75,0.92},{"River","Rainwater","Borehole","Vendor"}),IF(D560&lt;30000,LOOKUP(RAND(),{0,0.35,0.65,0.85},{"River","Rainwater","Borehole","Vendor"}),LOOKUP(RAND(),{0,0.25,0.5,0.75},{"River","Rainwater","Borehole","Vendor"}))),IF(B560="Oloitoktok B",IF(D560&lt;15000,LOOKUP(RAND(),{0,0.5,0.78,0.94},{"River","Rainwater","Borehole","Vendor"}),IF(D560&lt;30000,LOOKUP(RAND(),{0,0.4,0.68,0.87},{"River","Rainwater","Borehole","Vendor"}),LOOKUP(RAND(),{0,0.28,0.55,0.78},{"River","Rainwater","Borehole","Vendor"}))),IF(B560="Kiserian",IF(D560&lt;15000,LOOKUP(RAND(),{0,0.35,0.65,0.9},{"River","Rainwater","Borehole","Vendor"}),IF(D560&lt;30000,LOOKUP(RAND(),{0,0.25,0.55,0.82},{"River","Rainwater","Borehole","Vendor"}),LOOKUP(RAND(),{0,0.15,0.45,0.72},{"River","Rainwater","Borehole","Vendor"}))),IF(D560&lt;15000,LOOKUP(RAND(),{0,0.4,0.7,0.92},{"River","Rainwater","Borehole","Vendor"}),IF(D560&lt;30000,LOOKUP(RAND(),{0,0.3,0.6,0.85},{"River","Rainwater","Borehole","Vendor"}),LOOKUP(RAND(),{0,0.2,0.5,0.75},{"River","Rainwater","Borehole","Vendor"}))))))</f>
        <v>Rainwater</v>
      </c>
      <c r="F560">
        <f t="shared" ca="1" si="49"/>
        <v>23</v>
      </c>
      <c r="G560">
        <f t="shared" ca="1" si="50"/>
        <v>12.8</v>
      </c>
      <c r="H560">
        <f t="shared" ca="1" si="51"/>
        <v>8600</v>
      </c>
      <c r="I560">
        <f t="shared" ca="1" si="52"/>
        <v>0.32038722568511346</v>
      </c>
      <c r="J560">
        <v>1</v>
      </c>
    </row>
    <row r="561" spans="1:10" x14ac:dyDescent="0.3">
      <c r="A561" t="str">
        <f t="shared" si="53"/>
        <v>HH560</v>
      </c>
      <c r="B561" t="str">
        <f ca="1">LOOKUP(RAND(),{0,0.28,0.55,0.78},{"Oloitoktok A","Oloitoktok B","Kiserian","Namanga"})</f>
        <v>Kiserian</v>
      </c>
      <c r="C561">
        <f ca="1">LOOKUP(RAND(),{0,0.02,0.09,0.2,0.35,0.52,0.68,0.81,0.91,0.97},{1,2,3,4,5,6,7,8,9,10})</f>
        <v>5</v>
      </c>
      <c r="D561">
        <f t="shared" ca="1" si="48"/>
        <v>29700</v>
      </c>
      <c r="E561" t="str">
        <f ca="1">IF(B561="Oloitoktok A",IF(D561&lt;15000,LOOKUP(RAND(),{0,0.45,0.75,0.92},{"River","Rainwater","Borehole","Vendor"}),IF(D561&lt;30000,LOOKUP(RAND(),{0,0.35,0.65,0.85},{"River","Rainwater","Borehole","Vendor"}),LOOKUP(RAND(),{0,0.25,0.5,0.75},{"River","Rainwater","Borehole","Vendor"}))),IF(B561="Oloitoktok B",IF(D561&lt;15000,LOOKUP(RAND(),{0,0.5,0.78,0.94},{"River","Rainwater","Borehole","Vendor"}),IF(D561&lt;30000,LOOKUP(RAND(),{0,0.4,0.68,0.87},{"River","Rainwater","Borehole","Vendor"}),LOOKUP(RAND(),{0,0.28,0.55,0.78},{"River","Rainwater","Borehole","Vendor"}))),IF(B561="Kiserian",IF(D561&lt;15000,LOOKUP(RAND(),{0,0.35,0.65,0.9},{"River","Rainwater","Borehole","Vendor"}),IF(D561&lt;30000,LOOKUP(RAND(),{0,0.25,0.55,0.82},{"River","Rainwater","Borehole","Vendor"}),LOOKUP(RAND(),{0,0.15,0.45,0.72},{"River","Rainwater","Borehole","Vendor"}))),IF(D561&lt;15000,LOOKUP(RAND(),{0,0.4,0.7,0.92},{"River","Rainwater","Borehole","Vendor"}),IF(D561&lt;30000,LOOKUP(RAND(),{0,0.3,0.6,0.85},{"River","Rainwater","Borehole","Vendor"}),LOOKUP(RAND(),{0,0.2,0.5,0.75},{"River","Rainwater","Borehole","Vendor"}))))))</f>
        <v>Borehole</v>
      </c>
      <c r="F561">
        <f t="shared" ca="1" si="49"/>
        <v>30</v>
      </c>
      <c r="G561">
        <f t="shared" ca="1" si="50"/>
        <v>6.5</v>
      </c>
      <c r="H561">
        <f t="shared" ca="1" si="51"/>
        <v>5500</v>
      </c>
      <c r="I561">
        <f t="shared" ca="1" si="52"/>
        <v>0.65795505070533178</v>
      </c>
      <c r="J561">
        <v>1</v>
      </c>
    </row>
    <row r="562" spans="1:10" x14ac:dyDescent="0.3">
      <c r="A562" t="str">
        <f t="shared" si="53"/>
        <v>HH561</v>
      </c>
      <c r="B562" t="str">
        <f ca="1">LOOKUP(RAND(),{0,0.28,0.55,0.78},{"Oloitoktok A","Oloitoktok B","Kiserian","Namanga"})</f>
        <v>Oloitoktok A</v>
      </c>
      <c r="C562">
        <f ca="1">LOOKUP(RAND(),{0,0.02,0.09,0.2,0.35,0.52,0.68,0.81,0.91,0.97},{1,2,3,4,5,6,7,8,9,10})</f>
        <v>8</v>
      </c>
      <c r="D562">
        <f t="shared" ca="1" si="48"/>
        <v>13300</v>
      </c>
      <c r="E562" t="str">
        <f ca="1">IF(B562="Oloitoktok A",IF(D562&lt;15000,LOOKUP(RAND(),{0,0.45,0.75,0.92},{"River","Rainwater","Borehole","Vendor"}),IF(D562&lt;30000,LOOKUP(RAND(),{0,0.35,0.65,0.85},{"River","Rainwater","Borehole","Vendor"}),LOOKUP(RAND(),{0,0.25,0.5,0.75},{"River","Rainwater","Borehole","Vendor"}))),IF(B562="Oloitoktok B",IF(D562&lt;15000,LOOKUP(RAND(),{0,0.5,0.78,0.94},{"River","Rainwater","Borehole","Vendor"}),IF(D562&lt;30000,LOOKUP(RAND(),{0,0.4,0.68,0.87},{"River","Rainwater","Borehole","Vendor"}),LOOKUP(RAND(),{0,0.28,0.55,0.78},{"River","Rainwater","Borehole","Vendor"}))),IF(B562="Kiserian",IF(D562&lt;15000,LOOKUP(RAND(),{0,0.35,0.65,0.9},{"River","Rainwater","Borehole","Vendor"}),IF(D562&lt;30000,LOOKUP(RAND(),{0,0.25,0.55,0.82},{"River","Rainwater","Borehole","Vendor"}),LOOKUP(RAND(),{0,0.15,0.45,0.72},{"River","Rainwater","Borehole","Vendor"}))),IF(D562&lt;15000,LOOKUP(RAND(),{0,0.4,0.7,0.92},{"River","Rainwater","Borehole","Vendor"}),IF(D562&lt;30000,LOOKUP(RAND(),{0,0.3,0.6,0.85},{"River","Rainwater","Borehole","Vendor"}),LOOKUP(RAND(),{0,0.2,0.5,0.75},{"River","Rainwater","Borehole","Vendor"}))))))</f>
        <v>River</v>
      </c>
      <c r="F562">
        <f t="shared" ca="1" si="49"/>
        <v>75</v>
      </c>
      <c r="G562">
        <f t="shared" ca="1" si="50"/>
        <v>12</v>
      </c>
      <c r="H562">
        <f t="shared" ca="1" si="51"/>
        <v>4800</v>
      </c>
      <c r="I562">
        <f t="shared" ca="1" si="52"/>
        <v>0.91746561750230216</v>
      </c>
      <c r="J562">
        <v>1</v>
      </c>
    </row>
    <row r="563" spans="1:10" x14ac:dyDescent="0.3">
      <c r="A563" t="str">
        <f t="shared" si="53"/>
        <v>HH562</v>
      </c>
      <c r="B563" t="str">
        <f ca="1">LOOKUP(RAND(),{0,0.28,0.55,0.78},{"Oloitoktok A","Oloitoktok B","Kiserian","Namanga"})</f>
        <v>Oloitoktok B</v>
      </c>
      <c r="C563">
        <f ca="1">LOOKUP(RAND(),{0,0.02,0.09,0.2,0.35,0.52,0.68,0.81,0.91,0.97},{1,2,3,4,5,6,7,8,9,10})</f>
        <v>5</v>
      </c>
      <c r="D563">
        <f t="shared" ca="1" si="48"/>
        <v>24300</v>
      </c>
      <c r="E563" t="str">
        <f ca="1">IF(B563="Oloitoktok A",IF(D563&lt;15000,LOOKUP(RAND(),{0,0.45,0.75,0.92},{"River","Rainwater","Borehole","Vendor"}),IF(D563&lt;30000,LOOKUP(RAND(),{0,0.35,0.65,0.85},{"River","Rainwater","Borehole","Vendor"}),LOOKUP(RAND(),{0,0.25,0.5,0.75},{"River","Rainwater","Borehole","Vendor"}))),IF(B563="Oloitoktok B",IF(D563&lt;15000,LOOKUP(RAND(),{0,0.5,0.78,0.94},{"River","Rainwater","Borehole","Vendor"}),IF(D563&lt;30000,LOOKUP(RAND(),{0,0.4,0.68,0.87},{"River","Rainwater","Borehole","Vendor"}),LOOKUP(RAND(),{0,0.28,0.55,0.78},{"River","Rainwater","Borehole","Vendor"}))),IF(B563="Kiserian",IF(D563&lt;15000,LOOKUP(RAND(),{0,0.35,0.65,0.9},{"River","Rainwater","Borehole","Vendor"}),IF(D563&lt;30000,LOOKUP(RAND(),{0,0.25,0.55,0.82},{"River","Rainwater","Borehole","Vendor"}),LOOKUP(RAND(),{0,0.15,0.45,0.72},{"River","Rainwater","Borehole","Vendor"}))),IF(D563&lt;15000,LOOKUP(RAND(),{0,0.4,0.7,0.92},{"River","Rainwater","Borehole","Vendor"}),IF(D563&lt;30000,LOOKUP(RAND(),{0,0.3,0.6,0.85},{"River","Rainwater","Borehole","Vendor"}),LOOKUP(RAND(),{0,0.2,0.5,0.75},{"River","Rainwater","Borehole","Vendor"}))))))</f>
        <v>Vendor</v>
      </c>
      <c r="F563">
        <f t="shared" ca="1" si="49"/>
        <v>54</v>
      </c>
      <c r="G563">
        <f t="shared" ca="1" si="50"/>
        <v>12.3</v>
      </c>
      <c r="H563">
        <f t="shared" ca="1" si="51"/>
        <v>4000</v>
      </c>
      <c r="I563">
        <f t="shared" ca="1" si="52"/>
        <v>8.0786865511699224E-2</v>
      </c>
      <c r="J563">
        <v>1</v>
      </c>
    </row>
    <row r="564" spans="1:10" x14ac:dyDescent="0.3">
      <c r="A564" t="str">
        <f t="shared" si="53"/>
        <v>HH563</v>
      </c>
      <c r="B564" t="str">
        <f ca="1">LOOKUP(RAND(),{0,0.28,0.55,0.78},{"Oloitoktok A","Oloitoktok B","Kiserian","Namanga"})</f>
        <v>Oloitoktok A</v>
      </c>
      <c r="C564">
        <f ca="1">LOOKUP(RAND(),{0,0.02,0.09,0.2,0.35,0.52,0.68,0.81,0.91,0.97},{1,2,3,4,5,6,7,8,9,10})</f>
        <v>6</v>
      </c>
      <c r="D564">
        <f t="shared" ca="1" si="48"/>
        <v>53200</v>
      </c>
      <c r="E564" t="str">
        <f ca="1">IF(B564="Oloitoktok A",IF(D564&lt;15000,LOOKUP(RAND(),{0,0.45,0.75,0.92},{"River","Rainwater","Borehole","Vendor"}),IF(D564&lt;30000,LOOKUP(RAND(),{0,0.35,0.65,0.85},{"River","Rainwater","Borehole","Vendor"}),LOOKUP(RAND(),{0,0.25,0.5,0.75},{"River","Rainwater","Borehole","Vendor"}))),IF(B564="Oloitoktok B",IF(D564&lt;15000,LOOKUP(RAND(),{0,0.5,0.78,0.94},{"River","Rainwater","Borehole","Vendor"}),IF(D564&lt;30000,LOOKUP(RAND(),{0,0.4,0.68,0.87},{"River","Rainwater","Borehole","Vendor"}),LOOKUP(RAND(),{0,0.28,0.55,0.78},{"River","Rainwater","Borehole","Vendor"}))),IF(B564="Kiserian",IF(D564&lt;15000,LOOKUP(RAND(),{0,0.35,0.65,0.9},{"River","Rainwater","Borehole","Vendor"}),IF(D564&lt;30000,LOOKUP(RAND(),{0,0.25,0.55,0.82},{"River","Rainwater","Borehole","Vendor"}),LOOKUP(RAND(),{0,0.15,0.45,0.72},{"River","Rainwater","Borehole","Vendor"}))),IF(D564&lt;15000,LOOKUP(RAND(),{0,0.4,0.7,0.92},{"River","Rainwater","Borehole","Vendor"}),IF(D564&lt;30000,LOOKUP(RAND(),{0,0.3,0.6,0.85},{"River","Rainwater","Borehole","Vendor"}),LOOKUP(RAND(),{0,0.2,0.5,0.75},{"River","Rainwater","Borehole","Vendor"}))))))</f>
        <v>Vendor</v>
      </c>
      <c r="F564">
        <f t="shared" ca="1" si="49"/>
        <v>57</v>
      </c>
      <c r="G564">
        <f t="shared" ca="1" si="50"/>
        <v>12.1</v>
      </c>
      <c r="H564">
        <f t="shared" ca="1" si="51"/>
        <v>5700</v>
      </c>
      <c r="I564">
        <f t="shared" ca="1" si="52"/>
        <v>0.34941626908412926</v>
      </c>
      <c r="J564">
        <v>1</v>
      </c>
    </row>
    <row r="565" spans="1:10" x14ac:dyDescent="0.3">
      <c r="A565" t="str">
        <f t="shared" si="53"/>
        <v>HH564</v>
      </c>
      <c r="B565" t="str">
        <f ca="1">LOOKUP(RAND(),{0,0.28,0.55,0.78},{"Oloitoktok A","Oloitoktok B","Kiserian","Namanga"})</f>
        <v>Namanga</v>
      </c>
      <c r="C565">
        <f ca="1">LOOKUP(RAND(),{0,0.02,0.09,0.2,0.35,0.52,0.68,0.81,0.91,0.97},{1,2,3,4,5,6,7,8,9,10})</f>
        <v>5</v>
      </c>
      <c r="D565">
        <f t="shared" ca="1" si="48"/>
        <v>22900</v>
      </c>
      <c r="E565" t="str">
        <f ca="1">IF(B565="Oloitoktok A",IF(D565&lt;15000,LOOKUP(RAND(),{0,0.45,0.75,0.92},{"River","Rainwater","Borehole","Vendor"}),IF(D565&lt;30000,LOOKUP(RAND(),{0,0.35,0.65,0.85},{"River","Rainwater","Borehole","Vendor"}),LOOKUP(RAND(),{0,0.25,0.5,0.75},{"River","Rainwater","Borehole","Vendor"}))),IF(B565="Oloitoktok B",IF(D565&lt;15000,LOOKUP(RAND(),{0,0.5,0.78,0.94},{"River","Rainwater","Borehole","Vendor"}),IF(D565&lt;30000,LOOKUP(RAND(),{0,0.4,0.68,0.87},{"River","Rainwater","Borehole","Vendor"}),LOOKUP(RAND(),{0,0.28,0.55,0.78},{"River","Rainwater","Borehole","Vendor"}))),IF(B565="Kiserian",IF(D565&lt;15000,LOOKUP(RAND(),{0,0.35,0.65,0.9},{"River","Rainwater","Borehole","Vendor"}),IF(D565&lt;30000,LOOKUP(RAND(),{0,0.25,0.55,0.82},{"River","Rainwater","Borehole","Vendor"}),LOOKUP(RAND(),{0,0.15,0.45,0.72},{"River","Rainwater","Borehole","Vendor"}))),IF(D565&lt;15000,LOOKUP(RAND(),{0,0.4,0.7,0.92},{"River","Rainwater","Borehole","Vendor"}),IF(D565&lt;30000,LOOKUP(RAND(),{0,0.3,0.6,0.85},{"River","Rainwater","Borehole","Vendor"}),LOOKUP(RAND(),{0,0.2,0.5,0.75},{"River","Rainwater","Borehole","Vendor"}))))))</f>
        <v>Borehole</v>
      </c>
      <c r="F565">
        <f t="shared" ca="1" si="49"/>
        <v>46</v>
      </c>
      <c r="G565">
        <f t="shared" ca="1" si="50"/>
        <v>2.9</v>
      </c>
      <c r="H565">
        <f t="shared" ca="1" si="51"/>
        <v>7600</v>
      </c>
      <c r="I565">
        <f t="shared" ca="1" si="52"/>
        <v>0.3275223489364395</v>
      </c>
      <c r="J565">
        <v>1</v>
      </c>
    </row>
    <row r="566" spans="1:10" x14ac:dyDescent="0.3">
      <c r="A566" t="str">
        <f t="shared" si="53"/>
        <v>HH565</v>
      </c>
      <c r="B566" t="str">
        <f ca="1">LOOKUP(RAND(),{0,0.28,0.55,0.78},{"Oloitoktok A","Oloitoktok B","Kiserian","Namanga"})</f>
        <v>Oloitoktok B</v>
      </c>
      <c r="C566">
        <f ca="1">LOOKUP(RAND(),{0,0.02,0.09,0.2,0.35,0.52,0.68,0.81,0.91,0.97},{1,2,3,4,5,6,7,8,9,10})</f>
        <v>7</v>
      </c>
      <c r="D566">
        <f t="shared" ca="1" si="48"/>
        <v>20100</v>
      </c>
      <c r="E566" t="str">
        <f ca="1">IF(B566="Oloitoktok A",IF(D566&lt;15000,LOOKUP(RAND(),{0,0.45,0.75,0.92},{"River","Rainwater","Borehole","Vendor"}),IF(D566&lt;30000,LOOKUP(RAND(),{0,0.35,0.65,0.85},{"River","Rainwater","Borehole","Vendor"}),LOOKUP(RAND(),{0,0.25,0.5,0.75},{"River","Rainwater","Borehole","Vendor"}))),IF(B566="Oloitoktok B",IF(D566&lt;15000,LOOKUP(RAND(),{0,0.5,0.78,0.94},{"River","Rainwater","Borehole","Vendor"}),IF(D566&lt;30000,LOOKUP(RAND(),{0,0.4,0.68,0.87},{"River","Rainwater","Borehole","Vendor"}),LOOKUP(RAND(),{0,0.28,0.55,0.78},{"River","Rainwater","Borehole","Vendor"}))),IF(B566="Kiserian",IF(D566&lt;15000,LOOKUP(RAND(),{0,0.35,0.65,0.9},{"River","Rainwater","Borehole","Vendor"}),IF(D566&lt;30000,LOOKUP(RAND(),{0,0.25,0.55,0.82},{"River","Rainwater","Borehole","Vendor"}),LOOKUP(RAND(),{0,0.15,0.45,0.72},{"River","Rainwater","Borehole","Vendor"}))),IF(D566&lt;15000,LOOKUP(RAND(),{0,0.4,0.7,0.92},{"River","Rainwater","Borehole","Vendor"}),IF(D566&lt;30000,LOOKUP(RAND(),{0,0.3,0.6,0.85},{"River","Rainwater","Borehole","Vendor"}),LOOKUP(RAND(),{0,0.2,0.5,0.75},{"River","Rainwater","Borehole","Vendor"}))))))</f>
        <v>Borehole</v>
      </c>
      <c r="F566">
        <f t="shared" ca="1" si="49"/>
        <v>46</v>
      </c>
      <c r="G566">
        <f t="shared" ca="1" si="50"/>
        <v>11.7</v>
      </c>
      <c r="H566">
        <f t="shared" ca="1" si="51"/>
        <v>3100</v>
      </c>
      <c r="I566">
        <f t="shared" ca="1" si="52"/>
        <v>0.21797730330556642</v>
      </c>
      <c r="J566">
        <v>1</v>
      </c>
    </row>
    <row r="567" spans="1:10" x14ac:dyDescent="0.3">
      <c r="A567" t="str">
        <f t="shared" si="53"/>
        <v>HH566</v>
      </c>
      <c r="B567" t="str">
        <f ca="1">LOOKUP(RAND(),{0,0.28,0.55,0.78},{"Oloitoktok A","Oloitoktok B","Kiserian","Namanga"})</f>
        <v>Oloitoktok A</v>
      </c>
      <c r="C567">
        <f ca="1">LOOKUP(RAND(),{0,0.02,0.09,0.2,0.35,0.52,0.68,0.81,0.91,0.97},{1,2,3,4,5,6,7,8,9,10})</f>
        <v>7</v>
      </c>
      <c r="D567">
        <f t="shared" ca="1" si="48"/>
        <v>150000</v>
      </c>
      <c r="E567" t="str">
        <f ca="1">IF(B567="Oloitoktok A",IF(D567&lt;15000,LOOKUP(RAND(),{0,0.45,0.75,0.92},{"River","Rainwater","Borehole","Vendor"}),IF(D567&lt;30000,LOOKUP(RAND(),{0,0.35,0.65,0.85},{"River","Rainwater","Borehole","Vendor"}),LOOKUP(RAND(),{0,0.25,0.5,0.75},{"River","Rainwater","Borehole","Vendor"}))),IF(B567="Oloitoktok B",IF(D567&lt;15000,LOOKUP(RAND(),{0,0.5,0.78,0.94},{"River","Rainwater","Borehole","Vendor"}),IF(D567&lt;30000,LOOKUP(RAND(),{0,0.4,0.68,0.87},{"River","Rainwater","Borehole","Vendor"}),LOOKUP(RAND(),{0,0.28,0.55,0.78},{"River","Rainwater","Borehole","Vendor"}))),IF(B567="Kiserian",IF(D567&lt;15000,LOOKUP(RAND(),{0,0.35,0.65,0.9},{"River","Rainwater","Borehole","Vendor"}),IF(D567&lt;30000,LOOKUP(RAND(),{0,0.25,0.55,0.82},{"River","Rainwater","Borehole","Vendor"}),LOOKUP(RAND(),{0,0.15,0.45,0.72},{"River","Rainwater","Borehole","Vendor"}))),IF(D567&lt;15000,LOOKUP(RAND(),{0,0.4,0.7,0.92},{"River","Rainwater","Borehole","Vendor"}),IF(D567&lt;30000,LOOKUP(RAND(),{0,0.3,0.6,0.85},{"River","Rainwater","Borehole","Vendor"}),LOOKUP(RAND(),{0,0.2,0.5,0.75},{"River","Rainwater","Borehole","Vendor"}))))))</f>
        <v>River</v>
      </c>
      <c r="F567">
        <f t="shared" ca="1" si="49"/>
        <v>82</v>
      </c>
      <c r="G567">
        <f t="shared" ca="1" si="50"/>
        <v>11.7</v>
      </c>
      <c r="H567">
        <f t="shared" ca="1" si="51"/>
        <v>8700</v>
      </c>
      <c r="I567">
        <f t="shared" ca="1" si="52"/>
        <v>0.2452863295506954</v>
      </c>
      <c r="J567">
        <v>1</v>
      </c>
    </row>
    <row r="568" spans="1:10" x14ac:dyDescent="0.3">
      <c r="A568" t="str">
        <f t="shared" si="53"/>
        <v>HH567</v>
      </c>
      <c r="B568" t="str">
        <f ca="1">LOOKUP(RAND(),{0,0.28,0.55,0.78},{"Oloitoktok A","Oloitoktok B","Kiserian","Namanga"})</f>
        <v>Namanga</v>
      </c>
      <c r="C568">
        <f ca="1">LOOKUP(RAND(),{0,0.02,0.09,0.2,0.35,0.52,0.68,0.81,0.91,0.97},{1,2,3,4,5,6,7,8,9,10})</f>
        <v>5</v>
      </c>
      <c r="D568">
        <f t="shared" ca="1" si="48"/>
        <v>26000</v>
      </c>
      <c r="E568" t="str">
        <f ca="1">IF(B568="Oloitoktok A",IF(D568&lt;15000,LOOKUP(RAND(),{0,0.45,0.75,0.92},{"River","Rainwater","Borehole","Vendor"}),IF(D568&lt;30000,LOOKUP(RAND(),{0,0.35,0.65,0.85},{"River","Rainwater","Borehole","Vendor"}),LOOKUP(RAND(),{0,0.25,0.5,0.75},{"River","Rainwater","Borehole","Vendor"}))),IF(B568="Oloitoktok B",IF(D568&lt;15000,LOOKUP(RAND(),{0,0.5,0.78,0.94},{"River","Rainwater","Borehole","Vendor"}),IF(D568&lt;30000,LOOKUP(RAND(),{0,0.4,0.68,0.87},{"River","Rainwater","Borehole","Vendor"}),LOOKUP(RAND(),{0,0.28,0.55,0.78},{"River","Rainwater","Borehole","Vendor"}))),IF(B568="Kiserian",IF(D568&lt;15000,LOOKUP(RAND(),{0,0.35,0.65,0.9},{"River","Rainwater","Borehole","Vendor"}),IF(D568&lt;30000,LOOKUP(RAND(),{0,0.25,0.55,0.82},{"River","Rainwater","Borehole","Vendor"}),LOOKUP(RAND(),{0,0.15,0.45,0.72},{"River","Rainwater","Borehole","Vendor"}))),IF(D568&lt;15000,LOOKUP(RAND(),{0,0.4,0.7,0.92},{"River","Rainwater","Borehole","Vendor"}),IF(D568&lt;30000,LOOKUP(RAND(),{0,0.3,0.6,0.85},{"River","Rainwater","Borehole","Vendor"}),LOOKUP(RAND(),{0,0.2,0.5,0.75},{"River","Rainwater","Borehole","Vendor"}))))))</f>
        <v>Rainwater</v>
      </c>
      <c r="F568">
        <f t="shared" ca="1" si="49"/>
        <v>16</v>
      </c>
      <c r="G568">
        <f t="shared" ca="1" si="50"/>
        <v>3.7</v>
      </c>
      <c r="H568">
        <f t="shared" ca="1" si="51"/>
        <v>9900</v>
      </c>
      <c r="I568">
        <f t="shared" ca="1" si="52"/>
        <v>9.6945230863344944E-2</v>
      </c>
      <c r="J568">
        <v>1</v>
      </c>
    </row>
    <row r="569" spans="1:10" x14ac:dyDescent="0.3">
      <c r="A569" t="str">
        <f t="shared" si="53"/>
        <v>HH568</v>
      </c>
      <c r="B569" t="str">
        <f ca="1">LOOKUP(RAND(),{0,0.28,0.55,0.78},{"Oloitoktok A","Oloitoktok B","Kiserian","Namanga"})</f>
        <v>Oloitoktok A</v>
      </c>
      <c r="C569">
        <f ca="1">LOOKUP(RAND(),{0,0.02,0.09,0.2,0.35,0.52,0.68,0.81,0.91,0.97},{1,2,3,4,5,6,7,8,9,10})</f>
        <v>3</v>
      </c>
      <c r="D569">
        <f t="shared" ca="1" si="48"/>
        <v>83500</v>
      </c>
      <c r="E569" t="str">
        <f ca="1">IF(B569="Oloitoktok A",IF(D569&lt;15000,LOOKUP(RAND(),{0,0.45,0.75,0.92},{"River","Rainwater","Borehole","Vendor"}),IF(D569&lt;30000,LOOKUP(RAND(),{0,0.35,0.65,0.85},{"River","Rainwater","Borehole","Vendor"}),LOOKUP(RAND(),{0,0.25,0.5,0.75},{"River","Rainwater","Borehole","Vendor"}))),IF(B569="Oloitoktok B",IF(D569&lt;15000,LOOKUP(RAND(),{0,0.5,0.78,0.94},{"River","Rainwater","Borehole","Vendor"}),IF(D569&lt;30000,LOOKUP(RAND(),{0,0.4,0.68,0.87},{"River","Rainwater","Borehole","Vendor"}),LOOKUP(RAND(),{0,0.28,0.55,0.78},{"River","Rainwater","Borehole","Vendor"}))),IF(B569="Kiserian",IF(D569&lt;15000,LOOKUP(RAND(),{0,0.35,0.65,0.9},{"River","Rainwater","Borehole","Vendor"}),IF(D569&lt;30000,LOOKUP(RAND(),{0,0.25,0.55,0.82},{"River","Rainwater","Borehole","Vendor"}),LOOKUP(RAND(),{0,0.15,0.45,0.72},{"River","Rainwater","Borehole","Vendor"}))),IF(D569&lt;15000,LOOKUP(RAND(),{0,0.4,0.7,0.92},{"River","Rainwater","Borehole","Vendor"}),IF(D569&lt;30000,LOOKUP(RAND(),{0,0.3,0.6,0.85},{"River","Rainwater","Borehole","Vendor"}),LOOKUP(RAND(),{0,0.2,0.5,0.75},{"River","Rainwater","Borehole","Vendor"}))))))</f>
        <v>Borehole</v>
      </c>
      <c r="F569">
        <f t="shared" ca="1" si="49"/>
        <v>36</v>
      </c>
      <c r="G569">
        <f t="shared" ca="1" si="50"/>
        <v>6.2</v>
      </c>
      <c r="H569">
        <f t="shared" ca="1" si="51"/>
        <v>4400</v>
      </c>
      <c r="I569">
        <f t="shared" ca="1" si="52"/>
        <v>0.29200240999608307</v>
      </c>
      <c r="J569">
        <v>1</v>
      </c>
    </row>
    <row r="570" spans="1:10" x14ac:dyDescent="0.3">
      <c r="A570" t="str">
        <f t="shared" si="53"/>
        <v>HH569</v>
      </c>
      <c r="B570" t="str">
        <f ca="1">LOOKUP(RAND(),{0,0.28,0.55,0.78},{"Oloitoktok A","Oloitoktok B","Kiserian","Namanga"})</f>
        <v>Oloitoktok B</v>
      </c>
      <c r="C570">
        <f ca="1">LOOKUP(RAND(),{0,0.02,0.09,0.2,0.35,0.52,0.68,0.81,0.91,0.97},{1,2,3,4,5,6,7,8,9,10})</f>
        <v>7</v>
      </c>
      <c r="D570">
        <f t="shared" ca="1" si="48"/>
        <v>31900</v>
      </c>
      <c r="E570" t="str">
        <f ca="1">IF(B570="Oloitoktok A",IF(D570&lt;15000,LOOKUP(RAND(),{0,0.45,0.75,0.92},{"River","Rainwater","Borehole","Vendor"}),IF(D570&lt;30000,LOOKUP(RAND(),{0,0.35,0.65,0.85},{"River","Rainwater","Borehole","Vendor"}),LOOKUP(RAND(),{0,0.25,0.5,0.75},{"River","Rainwater","Borehole","Vendor"}))),IF(B570="Oloitoktok B",IF(D570&lt;15000,LOOKUP(RAND(),{0,0.5,0.78,0.94},{"River","Rainwater","Borehole","Vendor"}),IF(D570&lt;30000,LOOKUP(RAND(),{0,0.4,0.68,0.87},{"River","Rainwater","Borehole","Vendor"}),LOOKUP(RAND(),{0,0.28,0.55,0.78},{"River","Rainwater","Borehole","Vendor"}))),IF(B570="Kiserian",IF(D570&lt;15000,LOOKUP(RAND(),{0,0.35,0.65,0.9},{"River","Rainwater","Borehole","Vendor"}),IF(D570&lt;30000,LOOKUP(RAND(),{0,0.25,0.55,0.82},{"River","Rainwater","Borehole","Vendor"}),LOOKUP(RAND(),{0,0.15,0.45,0.72},{"River","Rainwater","Borehole","Vendor"}))),IF(D570&lt;15000,LOOKUP(RAND(),{0,0.4,0.7,0.92},{"River","Rainwater","Borehole","Vendor"}),IF(D570&lt;30000,LOOKUP(RAND(),{0,0.3,0.6,0.85},{"River","Rainwater","Borehole","Vendor"}),LOOKUP(RAND(),{0,0.2,0.5,0.75},{"River","Rainwater","Borehole","Vendor"}))))))</f>
        <v>Vendor</v>
      </c>
      <c r="F570">
        <f t="shared" ca="1" si="49"/>
        <v>58</v>
      </c>
      <c r="G570">
        <f t="shared" ca="1" si="50"/>
        <v>9.9</v>
      </c>
      <c r="H570">
        <f t="shared" ca="1" si="51"/>
        <v>10700</v>
      </c>
      <c r="I570">
        <f t="shared" ca="1" si="52"/>
        <v>0.91836551576465231</v>
      </c>
      <c r="J570">
        <v>1</v>
      </c>
    </row>
    <row r="571" spans="1:10" x14ac:dyDescent="0.3">
      <c r="A571" t="str">
        <f t="shared" si="53"/>
        <v>HH570</v>
      </c>
      <c r="B571" t="str">
        <f ca="1">LOOKUP(RAND(),{0,0.28,0.55,0.78},{"Oloitoktok A","Oloitoktok B","Kiserian","Namanga"})</f>
        <v>Oloitoktok A</v>
      </c>
      <c r="C571">
        <f ca="1">LOOKUP(RAND(),{0,0.02,0.09,0.2,0.35,0.52,0.68,0.81,0.91,0.97},{1,2,3,4,5,6,7,8,9,10})</f>
        <v>7</v>
      </c>
      <c r="D571">
        <f t="shared" ca="1" si="48"/>
        <v>29200</v>
      </c>
      <c r="E571" t="str">
        <f ca="1">IF(B571="Oloitoktok A",IF(D571&lt;15000,LOOKUP(RAND(),{0,0.45,0.75,0.92},{"River","Rainwater","Borehole","Vendor"}),IF(D571&lt;30000,LOOKUP(RAND(),{0,0.35,0.65,0.85},{"River","Rainwater","Borehole","Vendor"}),LOOKUP(RAND(),{0,0.25,0.5,0.75},{"River","Rainwater","Borehole","Vendor"}))),IF(B571="Oloitoktok B",IF(D571&lt;15000,LOOKUP(RAND(),{0,0.5,0.78,0.94},{"River","Rainwater","Borehole","Vendor"}),IF(D571&lt;30000,LOOKUP(RAND(),{0,0.4,0.68,0.87},{"River","Rainwater","Borehole","Vendor"}),LOOKUP(RAND(),{0,0.28,0.55,0.78},{"River","Rainwater","Borehole","Vendor"}))),IF(B571="Kiserian",IF(D571&lt;15000,LOOKUP(RAND(),{0,0.35,0.65,0.9},{"River","Rainwater","Borehole","Vendor"}),IF(D571&lt;30000,LOOKUP(RAND(),{0,0.25,0.55,0.82},{"River","Rainwater","Borehole","Vendor"}),LOOKUP(RAND(),{0,0.15,0.45,0.72},{"River","Rainwater","Borehole","Vendor"}))),IF(D571&lt;15000,LOOKUP(RAND(),{0,0.4,0.7,0.92},{"River","Rainwater","Borehole","Vendor"}),IF(D571&lt;30000,LOOKUP(RAND(),{0,0.3,0.6,0.85},{"River","Rainwater","Borehole","Vendor"}),LOOKUP(RAND(),{0,0.2,0.5,0.75},{"River","Rainwater","Borehole","Vendor"}))))))</f>
        <v>River</v>
      </c>
      <c r="F571">
        <f t="shared" ca="1" si="49"/>
        <v>75</v>
      </c>
      <c r="G571">
        <f t="shared" ca="1" si="50"/>
        <v>7.4</v>
      </c>
      <c r="H571">
        <f t="shared" ca="1" si="51"/>
        <v>9200</v>
      </c>
      <c r="I571">
        <f t="shared" ca="1" si="52"/>
        <v>0.99285304928480689</v>
      </c>
      <c r="J571">
        <v>1</v>
      </c>
    </row>
    <row r="572" spans="1:10" x14ac:dyDescent="0.3">
      <c r="A572" t="str">
        <f t="shared" si="53"/>
        <v>HH571</v>
      </c>
      <c r="B572" t="str">
        <f ca="1">LOOKUP(RAND(),{0,0.28,0.55,0.78},{"Oloitoktok A","Oloitoktok B","Kiserian","Namanga"})</f>
        <v>Oloitoktok B</v>
      </c>
      <c r="C572">
        <f ca="1">LOOKUP(RAND(),{0,0.02,0.09,0.2,0.35,0.52,0.68,0.81,0.91,0.97},{1,2,3,4,5,6,7,8,9,10})</f>
        <v>6</v>
      </c>
      <c r="D572">
        <f t="shared" ca="1" si="48"/>
        <v>64000</v>
      </c>
      <c r="E572" t="str">
        <f ca="1">IF(B572="Oloitoktok A",IF(D572&lt;15000,LOOKUP(RAND(),{0,0.45,0.75,0.92},{"River","Rainwater","Borehole","Vendor"}),IF(D572&lt;30000,LOOKUP(RAND(),{0,0.35,0.65,0.85},{"River","Rainwater","Borehole","Vendor"}),LOOKUP(RAND(),{0,0.25,0.5,0.75},{"River","Rainwater","Borehole","Vendor"}))),IF(B572="Oloitoktok B",IF(D572&lt;15000,LOOKUP(RAND(),{0,0.5,0.78,0.94},{"River","Rainwater","Borehole","Vendor"}),IF(D572&lt;30000,LOOKUP(RAND(),{0,0.4,0.68,0.87},{"River","Rainwater","Borehole","Vendor"}),LOOKUP(RAND(),{0,0.28,0.55,0.78},{"River","Rainwater","Borehole","Vendor"}))),IF(B572="Kiserian",IF(D572&lt;15000,LOOKUP(RAND(),{0,0.35,0.65,0.9},{"River","Rainwater","Borehole","Vendor"}),IF(D572&lt;30000,LOOKUP(RAND(),{0,0.25,0.55,0.82},{"River","Rainwater","Borehole","Vendor"}),LOOKUP(RAND(),{0,0.15,0.45,0.72},{"River","Rainwater","Borehole","Vendor"}))),IF(D572&lt;15000,LOOKUP(RAND(),{0,0.4,0.7,0.92},{"River","Rainwater","Borehole","Vendor"}),IF(D572&lt;30000,LOOKUP(RAND(),{0,0.3,0.6,0.85},{"River","Rainwater","Borehole","Vendor"}),LOOKUP(RAND(),{0,0.2,0.5,0.75},{"River","Rainwater","Borehole","Vendor"}))))))</f>
        <v>Rainwater</v>
      </c>
      <c r="F572">
        <f t="shared" ca="1" si="49"/>
        <v>39</v>
      </c>
      <c r="G572">
        <f t="shared" ca="1" si="50"/>
        <v>12.5</v>
      </c>
      <c r="H572">
        <f t="shared" ca="1" si="51"/>
        <v>8800</v>
      </c>
      <c r="I572">
        <f t="shared" ca="1" si="52"/>
        <v>0.66895110204636732</v>
      </c>
      <c r="J572">
        <v>1</v>
      </c>
    </row>
    <row r="573" spans="1:10" x14ac:dyDescent="0.3">
      <c r="A573" t="str">
        <f t="shared" si="53"/>
        <v>HH572</v>
      </c>
      <c r="B573" t="str">
        <f ca="1">LOOKUP(RAND(),{0,0.28,0.55,0.78},{"Oloitoktok A","Oloitoktok B","Kiserian","Namanga"})</f>
        <v>Oloitoktok A</v>
      </c>
      <c r="C573">
        <f ca="1">LOOKUP(RAND(),{0,0.02,0.09,0.2,0.35,0.52,0.68,0.81,0.91,0.97},{1,2,3,4,5,6,7,8,9,10})</f>
        <v>4</v>
      </c>
      <c r="D573">
        <f t="shared" ca="1" si="48"/>
        <v>82700</v>
      </c>
      <c r="E573" t="str">
        <f ca="1">IF(B573="Oloitoktok A",IF(D573&lt;15000,LOOKUP(RAND(),{0,0.45,0.75,0.92},{"River","Rainwater","Borehole","Vendor"}),IF(D573&lt;30000,LOOKUP(RAND(),{0,0.35,0.65,0.85},{"River","Rainwater","Borehole","Vendor"}),LOOKUP(RAND(),{0,0.25,0.5,0.75},{"River","Rainwater","Borehole","Vendor"}))),IF(B573="Oloitoktok B",IF(D573&lt;15000,LOOKUP(RAND(),{0,0.5,0.78,0.94},{"River","Rainwater","Borehole","Vendor"}),IF(D573&lt;30000,LOOKUP(RAND(),{0,0.4,0.68,0.87},{"River","Rainwater","Borehole","Vendor"}),LOOKUP(RAND(),{0,0.28,0.55,0.78},{"River","Rainwater","Borehole","Vendor"}))),IF(B573="Kiserian",IF(D573&lt;15000,LOOKUP(RAND(),{0,0.35,0.65,0.9},{"River","Rainwater","Borehole","Vendor"}),IF(D573&lt;30000,LOOKUP(RAND(),{0,0.25,0.55,0.82},{"River","Rainwater","Borehole","Vendor"}),LOOKUP(RAND(),{0,0.15,0.45,0.72},{"River","Rainwater","Borehole","Vendor"}))),IF(D573&lt;15000,LOOKUP(RAND(),{0,0.4,0.7,0.92},{"River","Rainwater","Borehole","Vendor"}),IF(D573&lt;30000,LOOKUP(RAND(),{0,0.3,0.6,0.85},{"River","Rainwater","Borehole","Vendor"}),LOOKUP(RAND(),{0,0.2,0.5,0.75},{"River","Rainwater","Borehole","Vendor"}))))))</f>
        <v>Rainwater</v>
      </c>
      <c r="F573">
        <f t="shared" ca="1" si="49"/>
        <v>19</v>
      </c>
      <c r="G573">
        <f t="shared" ca="1" si="50"/>
        <v>10.1</v>
      </c>
      <c r="H573">
        <f t="shared" ca="1" si="51"/>
        <v>6300</v>
      </c>
      <c r="I573">
        <f t="shared" ca="1" si="52"/>
        <v>0.57738178889291081</v>
      </c>
      <c r="J573">
        <v>1</v>
      </c>
    </row>
    <row r="574" spans="1:10" x14ac:dyDescent="0.3">
      <c r="A574" t="str">
        <f t="shared" si="53"/>
        <v>HH573</v>
      </c>
      <c r="B574" t="str">
        <f ca="1">LOOKUP(RAND(),{0,0.28,0.55,0.78},{"Oloitoktok A","Oloitoktok B","Kiserian","Namanga"})</f>
        <v>Oloitoktok B</v>
      </c>
      <c r="C574">
        <f ca="1">LOOKUP(RAND(),{0,0.02,0.09,0.2,0.35,0.52,0.68,0.81,0.91,0.97},{1,2,3,4,5,6,7,8,9,10})</f>
        <v>8</v>
      </c>
      <c r="D574">
        <f t="shared" ca="1" si="48"/>
        <v>66900</v>
      </c>
      <c r="E574" t="str">
        <f ca="1">IF(B574="Oloitoktok A",IF(D574&lt;15000,LOOKUP(RAND(),{0,0.45,0.75,0.92},{"River","Rainwater","Borehole","Vendor"}),IF(D574&lt;30000,LOOKUP(RAND(),{0,0.35,0.65,0.85},{"River","Rainwater","Borehole","Vendor"}),LOOKUP(RAND(),{0,0.25,0.5,0.75},{"River","Rainwater","Borehole","Vendor"}))),IF(B574="Oloitoktok B",IF(D574&lt;15000,LOOKUP(RAND(),{0,0.5,0.78,0.94},{"River","Rainwater","Borehole","Vendor"}),IF(D574&lt;30000,LOOKUP(RAND(),{0,0.4,0.68,0.87},{"River","Rainwater","Borehole","Vendor"}),LOOKUP(RAND(),{0,0.28,0.55,0.78},{"River","Rainwater","Borehole","Vendor"}))),IF(B574="Kiserian",IF(D574&lt;15000,LOOKUP(RAND(),{0,0.35,0.65,0.9},{"River","Rainwater","Borehole","Vendor"}),IF(D574&lt;30000,LOOKUP(RAND(),{0,0.25,0.55,0.82},{"River","Rainwater","Borehole","Vendor"}),LOOKUP(RAND(),{0,0.15,0.45,0.72},{"River","Rainwater","Borehole","Vendor"}))),IF(D574&lt;15000,LOOKUP(RAND(),{0,0.4,0.7,0.92},{"River","Rainwater","Borehole","Vendor"}),IF(D574&lt;30000,LOOKUP(RAND(),{0,0.3,0.6,0.85},{"River","Rainwater","Borehole","Vendor"}),LOOKUP(RAND(),{0,0.2,0.5,0.75},{"River","Rainwater","Borehole","Vendor"}))))))</f>
        <v>Rainwater</v>
      </c>
      <c r="F574">
        <f t="shared" ca="1" si="49"/>
        <v>62</v>
      </c>
      <c r="G574">
        <f t="shared" ca="1" si="50"/>
        <v>0.7</v>
      </c>
      <c r="H574">
        <f t="shared" ca="1" si="51"/>
        <v>11400</v>
      </c>
      <c r="I574">
        <f t="shared" ca="1" si="52"/>
        <v>0.59710597143666055</v>
      </c>
      <c r="J574">
        <v>1</v>
      </c>
    </row>
    <row r="575" spans="1:10" x14ac:dyDescent="0.3">
      <c r="A575" t="str">
        <f t="shared" si="53"/>
        <v>HH574</v>
      </c>
      <c r="B575" t="str">
        <f ca="1">LOOKUP(RAND(),{0,0.28,0.55,0.78},{"Oloitoktok A","Oloitoktok B","Kiserian","Namanga"})</f>
        <v>Kiserian</v>
      </c>
      <c r="C575">
        <f ca="1">LOOKUP(RAND(),{0,0.02,0.09,0.2,0.35,0.52,0.68,0.81,0.91,0.97},{1,2,3,4,5,6,7,8,9,10})</f>
        <v>3</v>
      </c>
      <c r="D575">
        <f t="shared" ca="1" si="48"/>
        <v>29300</v>
      </c>
      <c r="E575" t="str">
        <f ca="1">IF(B575="Oloitoktok A",IF(D575&lt;15000,LOOKUP(RAND(),{0,0.45,0.75,0.92},{"River","Rainwater","Borehole","Vendor"}),IF(D575&lt;30000,LOOKUP(RAND(),{0,0.35,0.65,0.85},{"River","Rainwater","Borehole","Vendor"}),LOOKUP(RAND(),{0,0.25,0.5,0.75},{"River","Rainwater","Borehole","Vendor"}))),IF(B575="Oloitoktok B",IF(D575&lt;15000,LOOKUP(RAND(),{0,0.5,0.78,0.94},{"River","Rainwater","Borehole","Vendor"}),IF(D575&lt;30000,LOOKUP(RAND(),{0,0.4,0.68,0.87},{"River","Rainwater","Borehole","Vendor"}),LOOKUP(RAND(),{0,0.28,0.55,0.78},{"River","Rainwater","Borehole","Vendor"}))),IF(B575="Kiserian",IF(D575&lt;15000,LOOKUP(RAND(),{0,0.35,0.65,0.9},{"River","Rainwater","Borehole","Vendor"}),IF(D575&lt;30000,LOOKUP(RAND(),{0,0.25,0.55,0.82},{"River","Rainwater","Borehole","Vendor"}),LOOKUP(RAND(),{0,0.15,0.45,0.72},{"River","Rainwater","Borehole","Vendor"}))),IF(D575&lt;15000,LOOKUP(RAND(),{0,0.4,0.7,0.92},{"River","Rainwater","Borehole","Vendor"}),IF(D575&lt;30000,LOOKUP(RAND(),{0,0.3,0.6,0.85},{"River","Rainwater","Borehole","Vendor"}),LOOKUP(RAND(),{0,0.2,0.5,0.75},{"River","Rainwater","Borehole","Vendor"}))))))</f>
        <v>River</v>
      </c>
      <c r="F575">
        <f t="shared" ca="1" si="49"/>
        <v>110</v>
      </c>
      <c r="G575">
        <f t="shared" ca="1" si="50"/>
        <v>7</v>
      </c>
      <c r="H575">
        <f t="shared" ca="1" si="51"/>
        <v>10300</v>
      </c>
      <c r="I575">
        <f t="shared" ca="1" si="52"/>
        <v>0.42226636302273557</v>
      </c>
      <c r="J575">
        <v>1</v>
      </c>
    </row>
    <row r="576" spans="1:10" x14ac:dyDescent="0.3">
      <c r="A576" t="str">
        <f t="shared" si="53"/>
        <v>HH575</v>
      </c>
      <c r="B576" t="str">
        <f ca="1">LOOKUP(RAND(),{0,0.28,0.55,0.78},{"Oloitoktok A","Oloitoktok B","Kiserian","Namanga"})</f>
        <v>Oloitoktok A</v>
      </c>
      <c r="C576">
        <f ca="1">LOOKUP(RAND(),{0,0.02,0.09,0.2,0.35,0.52,0.68,0.81,0.91,0.97},{1,2,3,4,5,6,7,8,9,10})</f>
        <v>2</v>
      </c>
      <c r="D576">
        <f t="shared" ca="1" si="48"/>
        <v>30600</v>
      </c>
      <c r="E576" t="str">
        <f ca="1">IF(B576="Oloitoktok A",IF(D576&lt;15000,LOOKUP(RAND(),{0,0.45,0.75,0.92},{"River","Rainwater","Borehole","Vendor"}),IF(D576&lt;30000,LOOKUP(RAND(),{0,0.35,0.65,0.85},{"River","Rainwater","Borehole","Vendor"}),LOOKUP(RAND(),{0,0.25,0.5,0.75},{"River","Rainwater","Borehole","Vendor"}))),IF(B576="Oloitoktok B",IF(D576&lt;15000,LOOKUP(RAND(),{0,0.5,0.78,0.94},{"River","Rainwater","Borehole","Vendor"}),IF(D576&lt;30000,LOOKUP(RAND(),{0,0.4,0.68,0.87},{"River","Rainwater","Borehole","Vendor"}),LOOKUP(RAND(),{0,0.28,0.55,0.78},{"River","Rainwater","Borehole","Vendor"}))),IF(B576="Kiserian",IF(D576&lt;15000,LOOKUP(RAND(),{0,0.35,0.65,0.9},{"River","Rainwater","Borehole","Vendor"}),IF(D576&lt;30000,LOOKUP(RAND(),{0,0.25,0.55,0.82},{"River","Rainwater","Borehole","Vendor"}),LOOKUP(RAND(),{0,0.15,0.45,0.72},{"River","Rainwater","Borehole","Vendor"}))),IF(D576&lt;15000,LOOKUP(RAND(),{0,0.4,0.7,0.92},{"River","Rainwater","Borehole","Vendor"}),IF(D576&lt;30000,LOOKUP(RAND(),{0,0.3,0.6,0.85},{"River","Rainwater","Borehole","Vendor"}),LOOKUP(RAND(),{0,0.2,0.5,0.75},{"River","Rainwater","Borehole","Vendor"}))))))</f>
        <v>Vendor</v>
      </c>
      <c r="F576">
        <f t="shared" ca="1" si="49"/>
        <v>25</v>
      </c>
      <c r="G576">
        <f t="shared" ca="1" si="50"/>
        <v>7.9</v>
      </c>
      <c r="H576">
        <f t="shared" ca="1" si="51"/>
        <v>5900</v>
      </c>
      <c r="I576">
        <f t="shared" ca="1" si="52"/>
        <v>0.68321571847846974</v>
      </c>
      <c r="J576">
        <v>1</v>
      </c>
    </row>
    <row r="577" spans="1:10" x14ac:dyDescent="0.3">
      <c r="A577" t="str">
        <f t="shared" si="53"/>
        <v>HH576</v>
      </c>
      <c r="B577" t="str">
        <f ca="1">LOOKUP(RAND(),{0,0.28,0.55,0.78},{"Oloitoktok A","Oloitoktok B","Kiserian","Namanga"})</f>
        <v>Kiserian</v>
      </c>
      <c r="C577">
        <f ca="1">LOOKUP(RAND(),{0,0.02,0.09,0.2,0.35,0.52,0.68,0.81,0.91,0.97},{1,2,3,4,5,6,7,8,9,10})</f>
        <v>6</v>
      </c>
      <c r="D577">
        <f t="shared" ca="1" si="48"/>
        <v>34500</v>
      </c>
      <c r="E577" t="str">
        <f ca="1">IF(B577="Oloitoktok A",IF(D577&lt;15000,LOOKUP(RAND(),{0,0.45,0.75,0.92},{"River","Rainwater","Borehole","Vendor"}),IF(D577&lt;30000,LOOKUP(RAND(),{0,0.35,0.65,0.85},{"River","Rainwater","Borehole","Vendor"}),LOOKUP(RAND(),{0,0.25,0.5,0.75},{"River","Rainwater","Borehole","Vendor"}))),IF(B577="Oloitoktok B",IF(D577&lt;15000,LOOKUP(RAND(),{0,0.5,0.78,0.94},{"River","Rainwater","Borehole","Vendor"}),IF(D577&lt;30000,LOOKUP(RAND(),{0,0.4,0.68,0.87},{"River","Rainwater","Borehole","Vendor"}),LOOKUP(RAND(),{0,0.28,0.55,0.78},{"River","Rainwater","Borehole","Vendor"}))),IF(B577="Kiserian",IF(D577&lt;15000,LOOKUP(RAND(),{0,0.35,0.65,0.9},{"River","Rainwater","Borehole","Vendor"}),IF(D577&lt;30000,LOOKUP(RAND(),{0,0.25,0.55,0.82},{"River","Rainwater","Borehole","Vendor"}),LOOKUP(RAND(),{0,0.15,0.45,0.72},{"River","Rainwater","Borehole","Vendor"}))),IF(D577&lt;15000,LOOKUP(RAND(),{0,0.4,0.7,0.92},{"River","Rainwater","Borehole","Vendor"}),IF(D577&lt;30000,LOOKUP(RAND(),{0,0.3,0.6,0.85},{"River","Rainwater","Borehole","Vendor"}),LOOKUP(RAND(),{0,0.2,0.5,0.75},{"River","Rainwater","Borehole","Vendor"}))))))</f>
        <v>Borehole</v>
      </c>
      <c r="F577">
        <f t="shared" ca="1" si="49"/>
        <v>41</v>
      </c>
      <c r="G577">
        <f t="shared" ca="1" si="50"/>
        <v>3.7</v>
      </c>
      <c r="H577">
        <f t="shared" ca="1" si="51"/>
        <v>800</v>
      </c>
      <c r="I577">
        <f t="shared" ca="1" si="52"/>
        <v>0.2848370786678035</v>
      </c>
      <c r="J577">
        <v>1</v>
      </c>
    </row>
    <row r="578" spans="1:10" x14ac:dyDescent="0.3">
      <c r="A578" t="str">
        <f t="shared" si="53"/>
        <v>HH577</v>
      </c>
      <c r="B578" t="str">
        <f ca="1">LOOKUP(RAND(),{0,0.28,0.55,0.78},{"Oloitoktok A","Oloitoktok B","Kiserian","Namanga"})</f>
        <v>Kiserian</v>
      </c>
      <c r="C578">
        <f ca="1">LOOKUP(RAND(),{0,0.02,0.09,0.2,0.35,0.52,0.68,0.81,0.91,0.97},{1,2,3,4,5,6,7,8,9,10})</f>
        <v>3</v>
      </c>
      <c r="D578">
        <f t="shared" ref="D578:D641" ca="1" si="54">MAX(5000,MIN(150000,ROUND(_xlfn.LOGNORM.INV(RAND(),LN(28000+1500*C578),0.55),-2)))</f>
        <v>59100</v>
      </c>
      <c r="E578" t="str">
        <f ca="1">IF(B578="Oloitoktok A",IF(D578&lt;15000,LOOKUP(RAND(),{0,0.45,0.75,0.92},{"River","Rainwater","Borehole","Vendor"}),IF(D578&lt;30000,LOOKUP(RAND(),{0,0.35,0.65,0.85},{"River","Rainwater","Borehole","Vendor"}),LOOKUP(RAND(),{0,0.25,0.5,0.75},{"River","Rainwater","Borehole","Vendor"}))),IF(B578="Oloitoktok B",IF(D578&lt;15000,LOOKUP(RAND(),{0,0.5,0.78,0.94},{"River","Rainwater","Borehole","Vendor"}),IF(D578&lt;30000,LOOKUP(RAND(),{0,0.4,0.68,0.87},{"River","Rainwater","Borehole","Vendor"}),LOOKUP(RAND(),{0,0.28,0.55,0.78},{"River","Rainwater","Borehole","Vendor"}))),IF(B578="Kiserian",IF(D578&lt;15000,LOOKUP(RAND(),{0,0.35,0.65,0.9},{"River","Rainwater","Borehole","Vendor"}),IF(D578&lt;30000,LOOKUP(RAND(),{0,0.25,0.55,0.82},{"River","Rainwater","Borehole","Vendor"}),LOOKUP(RAND(),{0,0.15,0.45,0.72},{"River","Rainwater","Borehole","Vendor"}))),IF(D578&lt;15000,LOOKUP(RAND(),{0,0.4,0.7,0.92},{"River","Rainwater","Borehole","Vendor"}),IF(D578&lt;30000,LOOKUP(RAND(),{0,0.3,0.6,0.85},{"River","Rainwater","Borehole","Vendor"}),LOOKUP(RAND(),{0,0.2,0.5,0.75},{"River","Rainwater","Borehole","Vendor"}))))))</f>
        <v>Rainwater</v>
      </c>
      <c r="F578">
        <f t="shared" ref="F578:F641" ca="1" si="55">IF(E578="River",RANDBETWEEN(45,120),IF(E578="Rainwater",RANDBETWEEN(15,70),IF(E578="Borehole",RANDBETWEEN(20,75),RANDBETWEEN(10,60))))</f>
        <v>31</v>
      </c>
      <c r="G578">
        <f t="shared" ref="G578:G641" ca="1" si="56">IF(B578="Oloitoktok A",ROUND(RANDBETWEEN(5,150)/10,1),IF(B578="Oloitoktok B",ROUND(RANDBETWEEN(4,140)/10,1),IF(B578="Kiserian",ROUND(RANDBETWEEN(2,100)/10,1),ROUND(RANDBETWEEN(3,120)/10,1))))</f>
        <v>0.8</v>
      </c>
      <c r="H578">
        <f t="shared" ref="H578:H641" ca="1" si="57">MAX(0,ROUND((1500+(C578*250)+(D578*0.025)+(F578*8)+(G578*120)+IF(E578="River",1200,IF(E578="Rainwater",700,IF(E578="Borehole",400,200)))+_xlfn.NORM.INV(RAND(),0,3500)),-2))</f>
        <v>10600</v>
      </c>
      <c r="I578">
        <f t="shared" ref="I578:I641" ca="1" si="58">RAND()</f>
        <v>0.15500302255287179</v>
      </c>
      <c r="J578">
        <v>1</v>
      </c>
    </row>
    <row r="579" spans="1:10" x14ac:dyDescent="0.3">
      <c r="A579" t="str">
        <f t="shared" ref="A579:A642" si="59">"HH"&amp;TEXT(ROW()-1,"000")</f>
        <v>HH578</v>
      </c>
      <c r="B579" t="str">
        <f ca="1">LOOKUP(RAND(),{0,0.28,0.55,0.78},{"Oloitoktok A","Oloitoktok B","Kiserian","Namanga"})</f>
        <v>Namanga</v>
      </c>
      <c r="C579">
        <f ca="1">LOOKUP(RAND(),{0,0.02,0.09,0.2,0.35,0.52,0.68,0.81,0.91,0.97},{1,2,3,4,5,6,7,8,9,10})</f>
        <v>4</v>
      </c>
      <c r="D579">
        <f t="shared" ca="1" si="54"/>
        <v>19700</v>
      </c>
      <c r="E579" t="str">
        <f ca="1">IF(B579="Oloitoktok A",IF(D579&lt;15000,LOOKUP(RAND(),{0,0.45,0.75,0.92},{"River","Rainwater","Borehole","Vendor"}),IF(D579&lt;30000,LOOKUP(RAND(),{0,0.35,0.65,0.85},{"River","Rainwater","Borehole","Vendor"}),LOOKUP(RAND(),{0,0.25,0.5,0.75},{"River","Rainwater","Borehole","Vendor"}))),IF(B579="Oloitoktok B",IF(D579&lt;15000,LOOKUP(RAND(),{0,0.5,0.78,0.94},{"River","Rainwater","Borehole","Vendor"}),IF(D579&lt;30000,LOOKUP(RAND(),{0,0.4,0.68,0.87},{"River","Rainwater","Borehole","Vendor"}),LOOKUP(RAND(),{0,0.28,0.55,0.78},{"River","Rainwater","Borehole","Vendor"}))),IF(B579="Kiserian",IF(D579&lt;15000,LOOKUP(RAND(),{0,0.35,0.65,0.9},{"River","Rainwater","Borehole","Vendor"}),IF(D579&lt;30000,LOOKUP(RAND(),{0,0.25,0.55,0.82},{"River","Rainwater","Borehole","Vendor"}),LOOKUP(RAND(),{0,0.15,0.45,0.72},{"River","Rainwater","Borehole","Vendor"}))),IF(D579&lt;15000,LOOKUP(RAND(),{0,0.4,0.7,0.92},{"River","Rainwater","Borehole","Vendor"}),IF(D579&lt;30000,LOOKUP(RAND(),{0,0.3,0.6,0.85},{"River","Rainwater","Borehole","Vendor"}),LOOKUP(RAND(),{0,0.2,0.5,0.75},{"River","Rainwater","Borehole","Vendor"}))))))</f>
        <v>River</v>
      </c>
      <c r="F579">
        <f t="shared" ca="1" si="55"/>
        <v>56</v>
      </c>
      <c r="G579">
        <f t="shared" ca="1" si="56"/>
        <v>11</v>
      </c>
      <c r="H579">
        <f t="shared" ca="1" si="57"/>
        <v>9900</v>
      </c>
      <c r="I579">
        <f t="shared" ca="1" si="58"/>
        <v>0.96659915687932152</v>
      </c>
      <c r="J579">
        <v>1</v>
      </c>
    </row>
    <row r="580" spans="1:10" x14ac:dyDescent="0.3">
      <c r="A580" t="str">
        <f t="shared" si="59"/>
        <v>HH579</v>
      </c>
      <c r="B580" t="str">
        <f ca="1">LOOKUP(RAND(),{0,0.28,0.55,0.78},{"Oloitoktok A","Oloitoktok B","Kiserian","Namanga"})</f>
        <v>Kiserian</v>
      </c>
      <c r="C580">
        <f ca="1">LOOKUP(RAND(),{0,0.02,0.09,0.2,0.35,0.52,0.68,0.81,0.91,0.97},{1,2,3,4,5,6,7,8,9,10})</f>
        <v>7</v>
      </c>
      <c r="D580">
        <f t="shared" ca="1" si="54"/>
        <v>64600</v>
      </c>
      <c r="E580" t="str">
        <f ca="1">IF(B580="Oloitoktok A",IF(D580&lt;15000,LOOKUP(RAND(),{0,0.45,0.75,0.92},{"River","Rainwater","Borehole","Vendor"}),IF(D580&lt;30000,LOOKUP(RAND(),{0,0.35,0.65,0.85},{"River","Rainwater","Borehole","Vendor"}),LOOKUP(RAND(),{0,0.25,0.5,0.75},{"River","Rainwater","Borehole","Vendor"}))),IF(B580="Oloitoktok B",IF(D580&lt;15000,LOOKUP(RAND(),{0,0.5,0.78,0.94},{"River","Rainwater","Borehole","Vendor"}),IF(D580&lt;30000,LOOKUP(RAND(),{0,0.4,0.68,0.87},{"River","Rainwater","Borehole","Vendor"}),LOOKUP(RAND(),{0,0.28,0.55,0.78},{"River","Rainwater","Borehole","Vendor"}))),IF(B580="Kiserian",IF(D580&lt;15000,LOOKUP(RAND(),{0,0.35,0.65,0.9},{"River","Rainwater","Borehole","Vendor"}),IF(D580&lt;30000,LOOKUP(RAND(),{0,0.25,0.55,0.82},{"River","Rainwater","Borehole","Vendor"}),LOOKUP(RAND(),{0,0.15,0.45,0.72},{"River","Rainwater","Borehole","Vendor"}))),IF(D580&lt;15000,LOOKUP(RAND(),{0,0.4,0.7,0.92},{"River","Rainwater","Borehole","Vendor"}),IF(D580&lt;30000,LOOKUP(RAND(),{0,0.3,0.6,0.85},{"River","Rainwater","Borehole","Vendor"}),LOOKUP(RAND(),{0,0.2,0.5,0.75},{"River","Rainwater","Borehole","Vendor"}))))))</f>
        <v>Vendor</v>
      </c>
      <c r="F580">
        <f t="shared" ca="1" si="55"/>
        <v>44</v>
      </c>
      <c r="G580">
        <f t="shared" ca="1" si="56"/>
        <v>0.2</v>
      </c>
      <c r="H580">
        <f t="shared" ca="1" si="57"/>
        <v>6400</v>
      </c>
      <c r="I580">
        <f t="shared" ca="1" si="58"/>
        <v>0.75724660826167678</v>
      </c>
      <c r="J580">
        <v>1</v>
      </c>
    </row>
    <row r="581" spans="1:10" x14ac:dyDescent="0.3">
      <c r="A581" t="str">
        <f t="shared" si="59"/>
        <v>HH580</v>
      </c>
      <c r="B581" t="str">
        <f ca="1">LOOKUP(RAND(),{0,0.28,0.55,0.78},{"Oloitoktok A","Oloitoktok B","Kiserian","Namanga"})</f>
        <v>Oloitoktok A</v>
      </c>
      <c r="C581">
        <f ca="1">LOOKUP(RAND(),{0,0.02,0.09,0.2,0.35,0.52,0.68,0.81,0.91,0.97},{1,2,3,4,5,6,7,8,9,10})</f>
        <v>4</v>
      </c>
      <c r="D581">
        <f t="shared" ca="1" si="54"/>
        <v>30200</v>
      </c>
      <c r="E581" t="str">
        <f ca="1">IF(B581="Oloitoktok A",IF(D581&lt;15000,LOOKUP(RAND(),{0,0.45,0.75,0.92},{"River","Rainwater","Borehole","Vendor"}),IF(D581&lt;30000,LOOKUP(RAND(),{0,0.35,0.65,0.85},{"River","Rainwater","Borehole","Vendor"}),LOOKUP(RAND(),{0,0.25,0.5,0.75},{"River","Rainwater","Borehole","Vendor"}))),IF(B581="Oloitoktok B",IF(D581&lt;15000,LOOKUP(RAND(),{0,0.5,0.78,0.94},{"River","Rainwater","Borehole","Vendor"}),IF(D581&lt;30000,LOOKUP(RAND(),{0,0.4,0.68,0.87},{"River","Rainwater","Borehole","Vendor"}),LOOKUP(RAND(),{0,0.28,0.55,0.78},{"River","Rainwater","Borehole","Vendor"}))),IF(B581="Kiserian",IF(D581&lt;15000,LOOKUP(RAND(),{0,0.35,0.65,0.9},{"River","Rainwater","Borehole","Vendor"}),IF(D581&lt;30000,LOOKUP(RAND(),{0,0.25,0.55,0.82},{"River","Rainwater","Borehole","Vendor"}),LOOKUP(RAND(),{0,0.15,0.45,0.72},{"River","Rainwater","Borehole","Vendor"}))),IF(D581&lt;15000,LOOKUP(RAND(),{0,0.4,0.7,0.92},{"River","Rainwater","Borehole","Vendor"}),IF(D581&lt;30000,LOOKUP(RAND(),{0,0.3,0.6,0.85},{"River","Rainwater","Borehole","Vendor"}),LOOKUP(RAND(),{0,0.2,0.5,0.75},{"River","Rainwater","Borehole","Vendor"}))))))</f>
        <v>River</v>
      </c>
      <c r="F581">
        <f t="shared" ca="1" si="55"/>
        <v>83</v>
      </c>
      <c r="G581">
        <f t="shared" ca="1" si="56"/>
        <v>10.199999999999999</v>
      </c>
      <c r="H581">
        <f t="shared" ca="1" si="57"/>
        <v>10700</v>
      </c>
      <c r="I581">
        <f t="shared" ca="1" si="58"/>
        <v>0.68033019310111909</v>
      </c>
      <c r="J581">
        <v>1</v>
      </c>
    </row>
    <row r="582" spans="1:10" x14ac:dyDescent="0.3">
      <c r="A582" t="str">
        <f t="shared" si="59"/>
        <v>HH581</v>
      </c>
      <c r="B582" t="str">
        <f ca="1">LOOKUP(RAND(),{0,0.28,0.55,0.78},{"Oloitoktok A","Oloitoktok B","Kiserian","Namanga"})</f>
        <v>Namanga</v>
      </c>
      <c r="C582">
        <f ca="1">LOOKUP(RAND(),{0,0.02,0.09,0.2,0.35,0.52,0.68,0.81,0.91,0.97},{1,2,3,4,5,6,7,8,9,10})</f>
        <v>3</v>
      </c>
      <c r="D582">
        <f t="shared" ca="1" si="54"/>
        <v>25500</v>
      </c>
      <c r="E582" t="str">
        <f ca="1">IF(B582="Oloitoktok A",IF(D582&lt;15000,LOOKUP(RAND(),{0,0.45,0.75,0.92},{"River","Rainwater","Borehole","Vendor"}),IF(D582&lt;30000,LOOKUP(RAND(),{0,0.35,0.65,0.85},{"River","Rainwater","Borehole","Vendor"}),LOOKUP(RAND(),{0,0.25,0.5,0.75},{"River","Rainwater","Borehole","Vendor"}))),IF(B582="Oloitoktok B",IF(D582&lt;15000,LOOKUP(RAND(),{0,0.5,0.78,0.94},{"River","Rainwater","Borehole","Vendor"}),IF(D582&lt;30000,LOOKUP(RAND(),{0,0.4,0.68,0.87},{"River","Rainwater","Borehole","Vendor"}),LOOKUP(RAND(),{0,0.28,0.55,0.78},{"River","Rainwater","Borehole","Vendor"}))),IF(B582="Kiserian",IF(D582&lt;15000,LOOKUP(RAND(),{0,0.35,0.65,0.9},{"River","Rainwater","Borehole","Vendor"}),IF(D582&lt;30000,LOOKUP(RAND(),{0,0.25,0.55,0.82},{"River","Rainwater","Borehole","Vendor"}),LOOKUP(RAND(),{0,0.15,0.45,0.72},{"River","Rainwater","Borehole","Vendor"}))),IF(D582&lt;15000,LOOKUP(RAND(),{0,0.4,0.7,0.92},{"River","Rainwater","Borehole","Vendor"}),IF(D582&lt;30000,LOOKUP(RAND(),{0,0.3,0.6,0.85},{"River","Rainwater","Borehole","Vendor"}),LOOKUP(RAND(),{0,0.2,0.5,0.75},{"River","Rainwater","Borehole","Vendor"}))))))</f>
        <v>Borehole</v>
      </c>
      <c r="F582">
        <f t="shared" ca="1" si="55"/>
        <v>59</v>
      </c>
      <c r="G582">
        <f t="shared" ca="1" si="56"/>
        <v>4.7</v>
      </c>
      <c r="H582">
        <f t="shared" ca="1" si="57"/>
        <v>3000</v>
      </c>
      <c r="I582">
        <f t="shared" ca="1" si="58"/>
        <v>0.96053135873615636</v>
      </c>
      <c r="J582">
        <v>1</v>
      </c>
    </row>
    <row r="583" spans="1:10" x14ac:dyDescent="0.3">
      <c r="A583" t="str">
        <f t="shared" si="59"/>
        <v>HH582</v>
      </c>
      <c r="B583" t="str">
        <f ca="1">LOOKUP(RAND(),{0,0.28,0.55,0.78},{"Oloitoktok A","Oloitoktok B","Kiserian","Namanga"})</f>
        <v>Kiserian</v>
      </c>
      <c r="C583">
        <f ca="1">LOOKUP(RAND(),{0,0.02,0.09,0.2,0.35,0.52,0.68,0.81,0.91,0.97},{1,2,3,4,5,6,7,8,9,10})</f>
        <v>4</v>
      </c>
      <c r="D583">
        <f t="shared" ca="1" si="54"/>
        <v>88700</v>
      </c>
      <c r="E583" t="str">
        <f ca="1">IF(B583="Oloitoktok A",IF(D583&lt;15000,LOOKUP(RAND(),{0,0.45,0.75,0.92},{"River","Rainwater","Borehole","Vendor"}),IF(D583&lt;30000,LOOKUP(RAND(),{0,0.35,0.65,0.85},{"River","Rainwater","Borehole","Vendor"}),LOOKUP(RAND(),{0,0.25,0.5,0.75},{"River","Rainwater","Borehole","Vendor"}))),IF(B583="Oloitoktok B",IF(D583&lt;15000,LOOKUP(RAND(),{0,0.5,0.78,0.94},{"River","Rainwater","Borehole","Vendor"}),IF(D583&lt;30000,LOOKUP(RAND(),{0,0.4,0.68,0.87},{"River","Rainwater","Borehole","Vendor"}),LOOKUP(RAND(),{0,0.28,0.55,0.78},{"River","Rainwater","Borehole","Vendor"}))),IF(B583="Kiserian",IF(D583&lt;15000,LOOKUP(RAND(),{0,0.35,0.65,0.9},{"River","Rainwater","Borehole","Vendor"}),IF(D583&lt;30000,LOOKUP(RAND(),{0,0.25,0.55,0.82},{"River","Rainwater","Borehole","Vendor"}),LOOKUP(RAND(),{0,0.15,0.45,0.72},{"River","Rainwater","Borehole","Vendor"}))),IF(D583&lt;15000,LOOKUP(RAND(),{0,0.4,0.7,0.92},{"River","Rainwater","Borehole","Vendor"}),IF(D583&lt;30000,LOOKUP(RAND(),{0,0.3,0.6,0.85},{"River","Rainwater","Borehole","Vendor"}),LOOKUP(RAND(),{0,0.2,0.5,0.75},{"River","Rainwater","Borehole","Vendor"}))))))</f>
        <v>River</v>
      </c>
      <c r="F583">
        <f t="shared" ca="1" si="55"/>
        <v>53</v>
      </c>
      <c r="G583">
        <f t="shared" ca="1" si="56"/>
        <v>9.3000000000000007</v>
      </c>
      <c r="H583">
        <f t="shared" ca="1" si="57"/>
        <v>1400</v>
      </c>
      <c r="I583">
        <f t="shared" ca="1" si="58"/>
        <v>0.95649340171719988</v>
      </c>
      <c r="J583">
        <v>1</v>
      </c>
    </row>
    <row r="584" spans="1:10" x14ac:dyDescent="0.3">
      <c r="A584" t="str">
        <f t="shared" si="59"/>
        <v>HH583</v>
      </c>
      <c r="B584" t="str">
        <f ca="1">LOOKUP(RAND(),{0,0.28,0.55,0.78},{"Oloitoktok A","Oloitoktok B","Kiserian","Namanga"})</f>
        <v>Oloitoktok B</v>
      </c>
      <c r="C584">
        <f ca="1">LOOKUP(RAND(),{0,0.02,0.09,0.2,0.35,0.52,0.68,0.81,0.91,0.97},{1,2,3,4,5,6,7,8,9,10})</f>
        <v>5</v>
      </c>
      <c r="D584">
        <f t="shared" ca="1" si="54"/>
        <v>23500</v>
      </c>
      <c r="E584" t="str">
        <f ca="1">IF(B584="Oloitoktok A",IF(D584&lt;15000,LOOKUP(RAND(),{0,0.45,0.75,0.92},{"River","Rainwater","Borehole","Vendor"}),IF(D584&lt;30000,LOOKUP(RAND(),{0,0.35,0.65,0.85},{"River","Rainwater","Borehole","Vendor"}),LOOKUP(RAND(),{0,0.25,0.5,0.75},{"River","Rainwater","Borehole","Vendor"}))),IF(B584="Oloitoktok B",IF(D584&lt;15000,LOOKUP(RAND(),{0,0.5,0.78,0.94},{"River","Rainwater","Borehole","Vendor"}),IF(D584&lt;30000,LOOKUP(RAND(),{0,0.4,0.68,0.87},{"River","Rainwater","Borehole","Vendor"}),LOOKUP(RAND(),{0,0.28,0.55,0.78},{"River","Rainwater","Borehole","Vendor"}))),IF(B584="Kiserian",IF(D584&lt;15000,LOOKUP(RAND(),{0,0.35,0.65,0.9},{"River","Rainwater","Borehole","Vendor"}),IF(D584&lt;30000,LOOKUP(RAND(),{0,0.25,0.55,0.82},{"River","Rainwater","Borehole","Vendor"}),LOOKUP(RAND(),{0,0.15,0.45,0.72},{"River","Rainwater","Borehole","Vendor"}))),IF(D584&lt;15000,LOOKUP(RAND(),{0,0.4,0.7,0.92},{"River","Rainwater","Borehole","Vendor"}),IF(D584&lt;30000,LOOKUP(RAND(),{0,0.3,0.6,0.85},{"River","Rainwater","Borehole","Vendor"}),LOOKUP(RAND(),{0,0.2,0.5,0.75},{"River","Rainwater","Borehole","Vendor"}))))))</f>
        <v>River</v>
      </c>
      <c r="F584">
        <f t="shared" ca="1" si="55"/>
        <v>86</v>
      </c>
      <c r="G584">
        <f t="shared" ca="1" si="56"/>
        <v>13.8</v>
      </c>
      <c r="H584">
        <f t="shared" ca="1" si="57"/>
        <v>7000</v>
      </c>
      <c r="I584">
        <f t="shared" ca="1" si="58"/>
        <v>0.35419826303588975</v>
      </c>
      <c r="J584">
        <v>1</v>
      </c>
    </row>
    <row r="585" spans="1:10" x14ac:dyDescent="0.3">
      <c r="A585" t="str">
        <f t="shared" si="59"/>
        <v>HH584</v>
      </c>
      <c r="B585" t="str">
        <f ca="1">LOOKUP(RAND(),{0,0.28,0.55,0.78},{"Oloitoktok A","Oloitoktok B","Kiserian","Namanga"})</f>
        <v>Oloitoktok B</v>
      </c>
      <c r="C585">
        <f ca="1">LOOKUP(RAND(),{0,0.02,0.09,0.2,0.35,0.52,0.68,0.81,0.91,0.97},{1,2,3,4,5,6,7,8,9,10})</f>
        <v>6</v>
      </c>
      <c r="D585">
        <f t="shared" ca="1" si="54"/>
        <v>51600</v>
      </c>
      <c r="E585" t="str">
        <f ca="1">IF(B585="Oloitoktok A",IF(D585&lt;15000,LOOKUP(RAND(),{0,0.45,0.75,0.92},{"River","Rainwater","Borehole","Vendor"}),IF(D585&lt;30000,LOOKUP(RAND(),{0,0.35,0.65,0.85},{"River","Rainwater","Borehole","Vendor"}),LOOKUP(RAND(),{0,0.25,0.5,0.75},{"River","Rainwater","Borehole","Vendor"}))),IF(B585="Oloitoktok B",IF(D585&lt;15000,LOOKUP(RAND(),{0,0.5,0.78,0.94},{"River","Rainwater","Borehole","Vendor"}),IF(D585&lt;30000,LOOKUP(RAND(),{0,0.4,0.68,0.87},{"River","Rainwater","Borehole","Vendor"}),LOOKUP(RAND(),{0,0.28,0.55,0.78},{"River","Rainwater","Borehole","Vendor"}))),IF(B585="Kiserian",IF(D585&lt;15000,LOOKUP(RAND(),{0,0.35,0.65,0.9},{"River","Rainwater","Borehole","Vendor"}),IF(D585&lt;30000,LOOKUP(RAND(),{0,0.25,0.55,0.82},{"River","Rainwater","Borehole","Vendor"}),LOOKUP(RAND(),{0,0.15,0.45,0.72},{"River","Rainwater","Borehole","Vendor"}))),IF(D585&lt;15000,LOOKUP(RAND(),{0,0.4,0.7,0.92},{"River","Rainwater","Borehole","Vendor"}),IF(D585&lt;30000,LOOKUP(RAND(),{0,0.3,0.6,0.85},{"River","Rainwater","Borehole","Vendor"}),LOOKUP(RAND(),{0,0.2,0.5,0.75},{"River","Rainwater","Borehole","Vendor"}))))))</f>
        <v>River</v>
      </c>
      <c r="F585">
        <f t="shared" ca="1" si="55"/>
        <v>83</v>
      </c>
      <c r="G585">
        <f t="shared" ca="1" si="56"/>
        <v>8.9</v>
      </c>
      <c r="H585">
        <f t="shared" ca="1" si="57"/>
        <v>5100</v>
      </c>
      <c r="I585">
        <f t="shared" ca="1" si="58"/>
        <v>0.16851181123918191</v>
      </c>
      <c r="J585">
        <v>1</v>
      </c>
    </row>
    <row r="586" spans="1:10" x14ac:dyDescent="0.3">
      <c r="A586" t="str">
        <f t="shared" si="59"/>
        <v>HH585</v>
      </c>
      <c r="B586" t="str">
        <f ca="1">LOOKUP(RAND(),{0,0.28,0.55,0.78},{"Oloitoktok A","Oloitoktok B","Kiserian","Namanga"})</f>
        <v>Namanga</v>
      </c>
      <c r="C586">
        <f ca="1">LOOKUP(RAND(),{0,0.02,0.09,0.2,0.35,0.52,0.68,0.81,0.91,0.97},{1,2,3,4,5,6,7,8,9,10})</f>
        <v>6</v>
      </c>
      <c r="D586">
        <f t="shared" ca="1" si="54"/>
        <v>27600</v>
      </c>
      <c r="E586" t="str">
        <f ca="1">IF(B586="Oloitoktok A",IF(D586&lt;15000,LOOKUP(RAND(),{0,0.45,0.75,0.92},{"River","Rainwater","Borehole","Vendor"}),IF(D586&lt;30000,LOOKUP(RAND(),{0,0.35,0.65,0.85},{"River","Rainwater","Borehole","Vendor"}),LOOKUP(RAND(),{0,0.25,0.5,0.75},{"River","Rainwater","Borehole","Vendor"}))),IF(B586="Oloitoktok B",IF(D586&lt;15000,LOOKUP(RAND(),{0,0.5,0.78,0.94},{"River","Rainwater","Borehole","Vendor"}),IF(D586&lt;30000,LOOKUP(RAND(),{0,0.4,0.68,0.87},{"River","Rainwater","Borehole","Vendor"}),LOOKUP(RAND(),{0,0.28,0.55,0.78},{"River","Rainwater","Borehole","Vendor"}))),IF(B586="Kiserian",IF(D586&lt;15000,LOOKUP(RAND(),{0,0.35,0.65,0.9},{"River","Rainwater","Borehole","Vendor"}),IF(D586&lt;30000,LOOKUP(RAND(),{0,0.25,0.55,0.82},{"River","Rainwater","Borehole","Vendor"}),LOOKUP(RAND(),{0,0.15,0.45,0.72},{"River","Rainwater","Borehole","Vendor"}))),IF(D586&lt;15000,LOOKUP(RAND(),{0,0.4,0.7,0.92},{"River","Rainwater","Borehole","Vendor"}),IF(D586&lt;30000,LOOKUP(RAND(),{0,0.3,0.6,0.85},{"River","Rainwater","Borehole","Vendor"}),LOOKUP(RAND(),{0,0.2,0.5,0.75},{"River","Rainwater","Borehole","Vendor"}))))))</f>
        <v>Vendor</v>
      </c>
      <c r="F586">
        <f t="shared" ca="1" si="55"/>
        <v>20</v>
      </c>
      <c r="G586">
        <f t="shared" ca="1" si="56"/>
        <v>1.7</v>
      </c>
      <c r="H586">
        <f t="shared" ca="1" si="57"/>
        <v>1600</v>
      </c>
      <c r="I586">
        <f t="shared" ca="1" si="58"/>
        <v>0.99611654482295486</v>
      </c>
      <c r="J586">
        <v>1</v>
      </c>
    </row>
    <row r="587" spans="1:10" x14ac:dyDescent="0.3">
      <c r="A587" t="str">
        <f t="shared" si="59"/>
        <v>HH586</v>
      </c>
      <c r="B587" t="str">
        <f ca="1">LOOKUP(RAND(),{0,0.28,0.55,0.78},{"Oloitoktok A","Oloitoktok B","Kiserian","Namanga"})</f>
        <v>Kiserian</v>
      </c>
      <c r="C587">
        <f ca="1">LOOKUP(RAND(),{0,0.02,0.09,0.2,0.35,0.52,0.68,0.81,0.91,0.97},{1,2,3,4,5,6,7,8,9,10})</f>
        <v>3</v>
      </c>
      <c r="D587">
        <f t="shared" ca="1" si="54"/>
        <v>23500</v>
      </c>
      <c r="E587" t="str">
        <f ca="1">IF(B587="Oloitoktok A",IF(D587&lt;15000,LOOKUP(RAND(),{0,0.45,0.75,0.92},{"River","Rainwater","Borehole","Vendor"}),IF(D587&lt;30000,LOOKUP(RAND(),{0,0.35,0.65,0.85},{"River","Rainwater","Borehole","Vendor"}),LOOKUP(RAND(),{0,0.25,0.5,0.75},{"River","Rainwater","Borehole","Vendor"}))),IF(B587="Oloitoktok B",IF(D587&lt;15000,LOOKUP(RAND(),{0,0.5,0.78,0.94},{"River","Rainwater","Borehole","Vendor"}),IF(D587&lt;30000,LOOKUP(RAND(),{0,0.4,0.68,0.87},{"River","Rainwater","Borehole","Vendor"}),LOOKUP(RAND(),{0,0.28,0.55,0.78},{"River","Rainwater","Borehole","Vendor"}))),IF(B587="Kiserian",IF(D587&lt;15000,LOOKUP(RAND(),{0,0.35,0.65,0.9},{"River","Rainwater","Borehole","Vendor"}),IF(D587&lt;30000,LOOKUP(RAND(),{0,0.25,0.55,0.82},{"River","Rainwater","Borehole","Vendor"}),LOOKUP(RAND(),{0,0.15,0.45,0.72},{"River","Rainwater","Borehole","Vendor"}))),IF(D587&lt;15000,LOOKUP(RAND(),{0,0.4,0.7,0.92},{"River","Rainwater","Borehole","Vendor"}),IF(D587&lt;30000,LOOKUP(RAND(),{0,0.3,0.6,0.85},{"River","Rainwater","Borehole","Vendor"}),LOOKUP(RAND(),{0,0.2,0.5,0.75},{"River","Rainwater","Borehole","Vendor"}))))))</f>
        <v>River</v>
      </c>
      <c r="F587">
        <f t="shared" ca="1" si="55"/>
        <v>111</v>
      </c>
      <c r="G587">
        <f t="shared" ca="1" si="56"/>
        <v>8.6999999999999993</v>
      </c>
      <c r="H587">
        <f t="shared" ca="1" si="57"/>
        <v>8200</v>
      </c>
      <c r="I587">
        <f t="shared" ca="1" si="58"/>
        <v>0.99554706939695303</v>
      </c>
      <c r="J587">
        <v>1</v>
      </c>
    </row>
    <row r="588" spans="1:10" x14ac:dyDescent="0.3">
      <c r="A588" t="str">
        <f t="shared" si="59"/>
        <v>HH587</v>
      </c>
      <c r="B588" t="str">
        <f ca="1">LOOKUP(RAND(),{0,0.28,0.55,0.78},{"Oloitoktok A","Oloitoktok B","Kiserian","Namanga"})</f>
        <v>Oloitoktok A</v>
      </c>
      <c r="C588">
        <f ca="1">LOOKUP(RAND(),{0,0.02,0.09,0.2,0.35,0.52,0.68,0.81,0.91,0.97},{1,2,3,4,5,6,7,8,9,10})</f>
        <v>8</v>
      </c>
      <c r="D588">
        <f t="shared" ca="1" si="54"/>
        <v>58200</v>
      </c>
      <c r="E588" t="str">
        <f ca="1">IF(B588="Oloitoktok A",IF(D588&lt;15000,LOOKUP(RAND(),{0,0.45,0.75,0.92},{"River","Rainwater","Borehole","Vendor"}),IF(D588&lt;30000,LOOKUP(RAND(),{0,0.35,0.65,0.85},{"River","Rainwater","Borehole","Vendor"}),LOOKUP(RAND(),{0,0.25,0.5,0.75},{"River","Rainwater","Borehole","Vendor"}))),IF(B588="Oloitoktok B",IF(D588&lt;15000,LOOKUP(RAND(),{0,0.5,0.78,0.94},{"River","Rainwater","Borehole","Vendor"}),IF(D588&lt;30000,LOOKUP(RAND(),{0,0.4,0.68,0.87},{"River","Rainwater","Borehole","Vendor"}),LOOKUP(RAND(),{0,0.28,0.55,0.78},{"River","Rainwater","Borehole","Vendor"}))),IF(B588="Kiserian",IF(D588&lt;15000,LOOKUP(RAND(),{0,0.35,0.65,0.9},{"River","Rainwater","Borehole","Vendor"}),IF(D588&lt;30000,LOOKUP(RAND(),{0,0.25,0.55,0.82},{"River","Rainwater","Borehole","Vendor"}),LOOKUP(RAND(),{0,0.15,0.45,0.72},{"River","Rainwater","Borehole","Vendor"}))),IF(D588&lt;15000,LOOKUP(RAND(),{0,0.4,0.7,0.92},{"River","Rainwater","Borehole","Vendor"}),IF(D588&lt;30000,LOOKUP(RAND(),{0,0.3,0.6,0.85},{"River","Rainwater","Borehole","Vendor"}),LOOKUP(RAND(),{0,0.2,0.5,0.75},{"River","Rainwater","Borehole","Vendor"}))))))</f>
        <v>River</v>
      </c>
      <c r="F588">
        <f t="shared" ca="1" si="55"/>
        <v>52</v>
      </c>
      <c r="G588">
        <f t="shared" ca="1" si="56"/>
        <v>10.7</v>
      </c>
      <c r="H588">
        <f t="shared" ca="1" si="57"/>
        <v>11500</v>
      </c>
      <c r="I588">
        <f t="shared" ca="1" si="58"/>
        <v>0.36881720033084642</v>
      </c>
      <c r="J588">
        <v>1</v>
      </c>
    </row>
    <row r="589" spans="1:10" x14ac:dyDescent="0.3">
      <c r="A589" t="str">
        <f t="shared" si="59"/>
        <v>HH588</v>
      </c>
      <c r="B589" t="str">
        <f ca="1">LOOKUP(RAND(),{0,0.28,0.55,0.78},{"Oloitoktok A","Oloitoktok B","Kiserian","Namanga"})</f>
        <v>Oloitoktok A</v>
      </c>
      <c r="C589">
        <f ca="1">LOOKUP(RAND(),{0,0.02,0.09,0.2,0.35,0.52,0.68,0.81,0.91,0.97},{1,2,3,4,5,6,7,8,9,10})</f>
        <v>6</v>
      </c>
      <c r="D589">
        <f t="shared" ca="1" si="54"/>
        <v>73900</v>
      </c>
      <c r="E589" t="str">
        <f ca="1">IF(B589="Oloitoktok A",IF(D589&lt;15000,LOOKUP(RAND(),{0,0.45,0.75,0.92},{"River","Rainwater","Borehole","Vendor"}),IF(D589&lt;30000,LOOKUP(RAND(),{0,0.35,0.65,0.85},{"River","Rainwater","Borehole","Vendor"}),LOOKUP(RAND(),{0,0.25,0.5,0.75},{"River","Rainwater","Borehole","Vendor"}))),IF(B589="Oloitoktok B",IF(D589&lt;15000,LOOKUP(RAND(),{0,0.5,0.78,0.94},{"River","Rainwater","Borehole","Vendor"}),IF(D589&lt;30000,LOOKUP(RAND(),{0,0.4,0.68,0.87},{"River","Rainwater","Borehole","Vendor"}),LOOKUP(RAND(),{0,0.28,0.55,0.78},{"River","Rainwater","Borehole","Vendor"}))),IF(B589="Kiserian",IF(D589&lt;15000,LOOKUP(RAND(),{0,0.35,0.65,0.9},{"River","Rainwater","Borehole","Vendor"}),IF(D589&lt;30000,LOOKUP(RAND(),{0,0.25,0.55,0.82},{"River","Rainwater","Borehole","Vendor"}),LOOKUP(RAND(),{0,0.15,0.45,0.72},{"River","Rainwater","Borehole","Vendor"}))),IF(D589&lt;15000,LOOKUP(RAND(),{0,0.4,0.7,0.92},{"River","Rainwater","Borehole","Vendor"}),IF(D589&lt;30000,LOOKUP(RAND(),{0,0.3,0.6,0.85},{"River","Rainwater","Borehole","Vendor"}),LOOKUP(RAND(),{0,0.2,0.5,0.75},{"River","Rainwater","Borehole","Vendor"}))))))</f>
        <v>Rainwater</v>
      </c>
      <c r="F589">
        <f t="shared" ca="1" si="55"/>
        <v>66</v>
      </c>
      <c r="G589">
        <f t="shared" ca="1" si="56"/>
        <v>8.3000000000000007</v>
      </c>
      <c r="H589">
        <f t="shared" ca="1" si="57"/>
        <v>7400</v>
      </c>
      <c r="I589">
        <f t="shared" ca="1" si="58"/>
        <v>0.46557521042822814</v>
      </c>
      <c r="J589">
        <v>1</v>
      </c>
    </row>
    <row r="590" spans="1:10" x14ac:dyDescent="0.3">
      <c r="A590" t="str">
        <f t="shared" si="59"/>
        <v>HH589</v>
      </c>
      <c r="B590" t="str">
        <f ca="1">LOOKUP(RAND(),{0,0.28,0.55,0.78},{"Oloitoktok A","Oloitoktok B","Kiserian","Namanga"})</f>
        <v>Kiserian</v>
      </c>
      <c r="C590">
        <f ca="1">LOOKUP(RAND(),{0,0.02,0.09,0.2,0.35,0.52,0.68,0.81,0.91,0.97},{1,2,3,4,5,6,7,8,9,10})</f>
        <v>4</v>
      </c>
      <c r="D590">
        <f t="shared" ca="1" si="54"/>
        <v>28000</v>
      </c>
      <c r="E590" t="str">
        <f ca="1">IF(B590="Oloitoktok A",IF(D590&lt;15000,LOOKUP(RAND(),{0,0.45,0.75,0.92},{"River","Rainwater","Borehole","Vendor"}),IF(D590&lt;30000,LOOKUP(RAND(),{0,0.35,0.65,0.85},{"River","Rainwater","Borehole","Vendor"}),LOOKUP(RAND(),{0,0.25,0.5,0.75},{"River","Rainwater","Borehole","Vendor"}))),IF(B590="Oloitoktok B",IF(D590&lt;15000,LOOKUP(RAND(),{0,0.5,0.78,0.94},{"River","Rainwater","Borehole","Vendor"}),IF(D590&lt;30000,LOOKUP(RAND(),{0,0.4,0.68,0.87},{"River","Rainwater","Borehole","Vendor"}),LOOKUP(RAND(),{0,0.28,0.55,0.78},{"River","Rainwater","Borehole","Vendor"}))),IF(B590="Kiserian",IF(D590&lt;15000,LOOKUP(RAND(),{0,0.35,0.65,0.9},{"River","Rainwater","Borehole","Vendor"}),IF(D590&lt;30000,LOOKUP(RAND(),{0,0.25,0.55,0.82},{"River","Rainwater","Borehole","Vendor"}),LOOKUP(RAND(),{0,0.15,0.45,0.72},{"River","Rainwater","Borehole","Vendor"}))),IF(D590&lt;15000,LOOKUP(RAND(),{0,0.4,0.7,0.92},{"River","Rainwater","Borehole","Vendor"}),IF(D590&lt;30000,LOOKUP(RAND(),{0,0.3,0.6,0.85},{"River","Rainwater","Borehole","Vendor"}),LOOKUP(RAND(),{0,0.2,0.5,0.75},{"River","Rainwater","Borehole","Vendor"}))))))</f>
        <v>Borehole</v>
      </c>
      <c r="F590">
        <f t="shared" ca="1" si="55"/>
        <v>67</v>
      </c>
      <c r="G590">
        <f t="shared" ca="1" si="56"/>
        <v>4</v>
      </c>
      <c r="H590">
        <f t="shared" ca="1" si="57"/>
        <v>7000</v>
      </c>
      <c r="I590">
        <f t="shared" ca="1" si="58"/>
        <v>0.21185514708262765</v>
      </c>
      <c r="J590">
        <v>1</v>
      </c>
    </row>
    <row r="591" spans="1:10" x14ac:dyDescent="0.3">
      <c r="A591" t="str">
        <f t="shared" si="59"/>
        <v>HH590</v>
      </c>
      <c r="B591" t="str">
        <f ca="1">LOOKUP(RAND(),{0,0.28,0.55,0.78},{"Oloitoktok A","Oloitoktok B","Kiserian","Namanga"})</f>
        <v>Namanga</v>
      </c>
      <c r="C591">
        <f ca="1">LOOKUP(RAND(),{0,0.02,0.09,0.2,0.35,0.52,0.68,0.81,0.91,0.97},{1,2,3,4,5,6,7,8,9,10})</f>
        <v>7</v>
      </c>
      <c r="D591">
        <f t="shared" ca="1" si="54"/>
        <v>150000</v>
      </c>
      <c r="E591" t="str">
        <f ca="1">IF(B591="Oloitoktok A",IF(D591&lt;15000,LOOKUP(RAND(),{0,0.45,0.75,0.92},{"River","Rainwater","Borehole","Vendor"}),IF(D591&lt;30000,LOOKUP(RAND(),{0,0.35,0.65,0.85},{"River","Rainwater","Borehole","Vendor"}),LOOKUP(RAND(),{0,0.25,0.5,0.75},{"River","Rainwater","Borehole","Vendor"}))),IF(B591="Oloitoktok B",IF(D591&lt;15000,LOOKUP(RAND(),{0,0.5,0.78,0.94},{"River","Rainwater","Borehole","Vendor"}),IF(D591&lt;30000,LOOKUP(RAND(),{0,0.4,0.68,0.87},{"River","Rainwater","Borehole","Vendor"}),LOOKUP(RAND(),{0,0.28,0.55,0.78},{"River","Rainwater","Borehole","Vendor"}))),IF(B591="Kiserian",IF(D591&lt;15000,LOOKUP(RAND(),{0,0.35,0.65,0.9},{"River","Rainwater","Borehole","Vendor"}),IF(D591&lt;30000,LOOKUP(RAND(),{0,0.25,0.55,0.82},{"River","Rainwater","Borehole","Vendor"}),LOOKUP(RAND(),{0,0.15,0.45,0.72},{"River","Rainwater","Borehole","Vendor"}))),IF(D591&lt;15000,LOOKUP(RAND(),{0,0.4,0.7,0.92},{"River","Rainwater","Borehole","Vendor"}),IF(D591&lt;30000,LOOKUP(RAND(),{0,0.3,0.6,0.85},{"River","Rainwater","Borehole","Vendor"}),LOOKUP(RAND(),{0,0.2,0.5,0.75},{"River","Rainwater","Borehole","Vendor"}))))))</f>
        <v>River</v>
      </c>
      <c r="F591">
        <f t="shared" ca="1" si="55"/>
        <v>80</v>
      </c>
      <c r="G591">
        <f t="shared" ca="1" si="56"/>
        <v>7.3</v>
      </c>
      <c r="H591">
        <f t="shared" ca="1" si="57"/>
        <v>15700</v>
      </c>
      <c r="I591">
        <f t="shared" ca="1" si="58"/>
        <v>0.82024812951255854</v>
      </c>
      <c r="J591">
        <v>1</v>
      </c>
    </row>
    <row r="592" spans="1:10" x14ac:dyDescent="0.3">
      <c r="A592" t="str">
        <f t="shared" si="59"/>
        <v>HH591</v>
      </c>
      <c r="B592" t="str">
        <f ca="1">LOOKUP(RAND(),{0,0.28,0.55,0.78},{"Oloitoktok A","Oloitoktok B","Kiserian","Namanga"})</f>
        <v>Namanga</v>
      </c>
      <c r="C592">
        <f ca="1">LOOKUP(RAND(),{0,0.02,0.09,0.2,0.35,0.52,0.68,0.81,0.91,0.97},{1,2,3,4,5,6,7,8,9,10})</f>
        <v>3</v>
      </c>
      <c r="D592">
        <f t="shared" ca="1" si="54"/>
        <v>21300</v>
      </c>
      <c r="E592" t="str">
        <f ca="1">IF(B592="Oloitoktok A",IF(D592&lt;15000,LOOKUP(RAND(),{0,0.45,0.75,0.92},{"River","Rainwater","Borehole","Vendor"}),IF(D592&lt;30000,LOOKUP(RAND(),{0,0.35,0.65,0.85},{"River","Rainwater","Borehole","Vendor"}),LOOKUP(RAND(),{0,0.25,0.5,0.75},{"River","Rainwater","Borehole","Vendor"}))),IF(B592="Oloitoktok B",IF(D592&lt;15000,LOOKUP(RAND(),{0,0.5,0.78,0.94},{"River","Rainwater","Borehole","Vendor"}),IF(D592&lt;30000,LOOKUP(RAND(),{0,0.4,0.68,0.87},{"River","Rainwater","Borehole","Vendor"}),LOOKUP(RAND(),{0,0.28,0.55,0.78},{"River","Rainwater","Borehole","Vendor"}))),IF(B592="Kiserian",IF(D592&lt;15000,LOOKUP(RAND(),{0,0.35,0.65,0.9},{"River","Rainwater","Borehole","Vendor"}),IF(D592&lt;30000,LOOKUP(RAND(),{0,0.25,0.55,0.82},{"River","Rainwater","Borehole","Vendor"}),LOOKUP(RAND(),{0,0.15,0.45,0.72},{"River","Rainwater","Borehole","Vendor"}))),IF(D592&lt;15000,LOOKUP(RAND(),{0,0.4,0.7,0.92},{"River","Rainwater","Borehole","Vendor"}),IF(D592&lt;30000,LOOKUP(RAND(),{0,0.3,0.6,0.85},{"River","Rainwater","Borehole","Vendor"}),LOOKUP(RAND(),{0,0.2,0.5,0.75},{"River","Rainwater","Borehole","Vendor"}))))))</f>
        <v>Rainwater</v>
      </c>
      <c r="F592">
        <f t="shared" ca="1" si="55"/>
        <v>49</v>
      </c>
      <c r="G592">
        <f t="shared" ca="1" si="56"/>
        <v>6.5</v>
      </c>
      <c r="H592">
        <f t="shared" ca="1" si="57"/>
        <v>1100</v>
      </c>
      <c r="I592">
        <f t="shared" ca="1" si="58"/>
        <v>0.46291695342617112</v>
      </c>
      <c r="J592">
        <v>1</v>
      </c>
    </row>
    <row r="593" spans="1:10" x14ac:dyDescent="0.3">
      <c r="A593" t="str">
        <f t="shared" si="59"/>
        <v>HH592</v>
      </c>
      <c r="B593" t="str">
        <f ca="1">LOOKUP(RAND(),{0,0.28,0.55,0.78},{"Oloitoktok A","Oloitoktok B","Kiserian","Namanga"})</f>
        <v>Namanga</v>
      </c>
      <c r="C593">
        <f ca="1">LOOKUP(RAND(),{0,0.02,0.09,0.2,0.35,0.52,0.68,0.81,0.91,0.97},{1,2,3,4,5,6,7,8,9,10})</f>
        <v>3</v>
      </c>
      <c r="D593">
        <f t="shared" ca="1" si="54"/>
        <v>21500</v>
      </c>
      <c r="E593" t="str">
        <f ca="1">IF(B593="Oloitoktok A",IF(D593&lt;15000,LOOKUP(RAND(),{0,0.45,0.75,0.92},{"River","Rainwater","Borehole","Vendor"}),IF(D593&lt;30000,LOOKUP(RAND(),{0,0.35,0.65,0.85},{"River","Rainwater","Borehole","Vendor"}),LOOKUP(RAND(),{0,0.25,0.5,0.75},{"River","Rainwater","Borehole","Vendor"}))),IF(B593="Oloitoktok B",IF(D593&lt;15000,LOOKUP(RAND(),{0,0.5,0.78,0.94},{"River","Rainwater","Borehole","Vendor"}),IF(D593&lt;30000,LOOKUP(RAND(),{0,0.4,0.68,0.87},{"River","Rainwater","Borehole","Vendor"}),LOOKUP(RAND(),{0,0.28,0.55,0.78},{"River","Rainwater","Borehole","Vendor"}))),IF(B593="Kiserian",IF(D593&lt;15000,LOOKUP(RAND(),{0,0.35,0.65,0.9},{"River","Rainwater","Borehole","Vendor"}),IF(D593&lt;30000,LOOKUP(RAND(),{0,0.25,0.55,0.82},{"River","Rainwater","Borehole","Vendor"}),LOOKUP(RAND(),{0,0.15,0.45,0.72},{"River","Rainwater","Borehole","Vendor"}))),IF(D593&lt;15000,LOOKUP(RAND(),{0,0.4,0.7,0.92},{"River","Rainwater","Borehole","Vendor"}),IF(D593&lt;30000,LOOKUP(RAND(),{0,0.3,0.6,0.85},{"River","Rainwater","Borehole","Vendor"}),LOOKUP(RAND(),{0,0.2,0.5,0.75},{"River","Rainwater","Borehole","Vendor"}))))))</f>
        <v>Rainwater</v>
      </c>
      <c r="F593">
        <f t="shared" ca="1" si="55"/>
        <v>70</v>
      </c>
      <c r="G593">
        <f t="shared" ca="1" si="56"/>
        <v>0.7</v>
      </c>
      <c r="H593">
        <f t="shared" ca="1" si="57"/>
        <v>8400</v>
      </c>
      <c r="I593">
        <f t="shared" ca="1" si="58"/>
        <v>0.1153312276829489</v>
      </c>
      <c r="J593">
        <v>1</v>
      </c>
    </row>
    <row r="594" spans="1:10" x14ac:dyDescent="0.3">
      <c r="A594" t="str">
        <f t="shared" si="59"/>
        <v>HH593</v>
      </c>
      <c r="B594" t="str">
        <f ca="1">LOOKUP(RAND(),{0,0.28,0.55,0.78},{"Oloitoktok A","Oloitoktok B","Kiserian","Namanga"})</f>
        <v>Oloitoktok A</v>
      </c>
      <c r="C594">
        <f ca="1">LOOKUP(RAND(),{0,0.02,0.09,0.2,0.35,0.52,0.68,0.81,0.91,0.97},{1,2,3,4,5,6,7,8,9,10})</f>
        <v>4</v>
      </c>
      <c r="D594">
        <f t="shared" ca="1" si="54"/>
        <v>14200</v>
      </c>
      <c r="E594" t="str">
        <f ca="1">IF(B594="Oloitoktok A",IF(D594&lt;15000,LOOKUP(RAND(),{0,0.45,0.75,0.92},{"River","Rainwater","Borehole","Vendor"}),IF(D594&lt;30000,LOOKUP(RAND(),{0,0.35,0.65,0.85},{"River","Rainwater","Borehole","Vendor"}),LOOKUP(RAND(),{0,0.25,0.5,0.75},{"River","Rainwater","Borehole","Vendor"}))),IF(B594="Oloitoktok B",IF(D594&lt;15000,LOOKUP(RAND(),{0,0.5,0.78,0.94},{"River","Rainwater","Borehole","Vendor"}),IF(D594&lt;30000,LOOKUP(RAND(),{0,0.4,0.68,0.87},{"River","Rainwater","Borehole","Vendor"}),LOOKUP(RAND(),{0,0.28,0.55,0.78},{"River","Rainwater","Borehole","Vendor"}))),IF(B594="Kiserian",IF(D594&lt;15000,LOOKUP(RAND(),{0,0.35,0.65,0.9},{"River","Rainwater","Borehole","Vendor"}),IF(D594&lt;30000,LOOKUP(RAND(),{0,0.25,0.55,0.82},{"River","Rainwater","Borehole","Vendor"}),LOOKUP(RAND(),{0,0.15,0.45,0.72},{"River","Rainwater","Borehole","Vendor"}))),IF(D594&lt;15000,LOOKUP(RAND(),{0,0.4,0.7,0.92},{"River","Rainwater","Borehole","Vendor"}),IF(D594&lt;30000,LOOKUP(RAND(),{0,0.3,0.6,0.85},{"River","Rainwater","Borehole","Vendor"}),LOOKUP(RAND(),{0,0.2,0.5,0.75},{"River","Rainwater","Borehole","Vendor"}))))))</f>
        <v>Rainwater</v>
      </c>
      <c r="F594">
        <f t="shared" ca="1" si="55"/>
        <v>69</v>
      </c>
      <c r="G594">
        <f t="shared" ca="1" si="56"/>
        <v>4.2</v>
      </c>
      <c r="H594">
        <f t="shared" ca="1" si="57"/>
        <v>7800</v>
      </c>
      <c r="I594">
        <f t="shared" ca="1" si="58"/>
        <v>0.98476524186776215</v>
      </c>
      <c r="J594">
        <v>1</v>
      </c>
    </row>
    <row r="595" spans="1:10" x14ac:dyDescent="0.3">
      <c r="A595" t="str">
        <f t="shared" si="59"/>
        <v>HH594</v>
      </c>
      <c r="B595" t="str">
        <f ca="1">LOOKUP(RAND(),{0,0.28,0.55,0.78},{"Oloitoktok A","Oloitoktok B","Kiserian","Namanga"})</f>
        <v>Oloitoktok B</v>
      </c>
      <c r="C595">
        <f ca="1">LOOKUP(RAND(),{0,0.02,0.09,0.2,0.35,0.52,0.68,0.81,0.91,0.97},{1,2,3,4,5,6,7,8,9,10})</f>
        <v>8</v>
      </c>
      <c r="D595">
        <f t="shared" ca="1" si="54"/>
        <v>35000</v>
      </c>
      <c r="E595" t="str">
        <f ca="1">IF(B595="Oloitoktok A",IF(D595&lt;15000,LOOKUP(RAND(),{0,0.45,0.75,0.92},{"River","Rainwater","Borehole","Vendor"}),IF(D595&lt;30000,LOOKUP(RAND(),{0,0.35,0.65,0.85},{"River","Rainwater","Borehole","Vendor"}),LOOKUP(RAND(),{0,0.25,0.5,0.75},{"River","Rainwater","Borehole","Vendor"}))),IF(B595="Oloitoktok B",IF(D595&lt;15000,LOOKUP(RAND(),{0,0.5,0.78,0.94},{"River","Rainwater","Borehole","Vendor"}),IF(D595&lt;30000,LOOKUP(RAND(),{0,0.4,0.68,0.87},{"River","Rainwater","Borehole","Vendor"}),LOOKUP(RAND(),{0,0.28,0.55,0.78},{"River","Rainwater","Borehole","Vendor"}))),IF(B595="Kiserian",IF(D595&lt;15000,LOOKUP(RAND(),{0,0.35,0.65,0.9},{"River","Rainwater","Borehole","Vendor"}),IF(D595&lt;30000,LOOKUP(RAND(),{0,0.25,0.55,0.82},{"River","Rainwater","Borehole","Vendor"}),LOOKUP(RAND(),{0,0.15,0.45,0.72},{"River","Rainwater","Borehole","Vendor"}))),IF(D595&lt;15000,LOOKUP(RAND(),{0,0.4,0.7,0.92},{"River","Rainwater","Borehole","Vendor"}),IF(D595&lt;30000,LOOKUP(RAND(),{0,0.3,0.6,0.85},{"River","Rainwater","Borehole","Vendor"}),LOOKUP(RAND(),{0,0.2,0.5,0.75},{"River","Rainwater","Borehole","Vendor"}))))))</f>
        <v>River</v>
      </c>
      <c r="F595">
        <f t="shared" ca="1" si="55"/>
        <v>119</v>
      </c>
      <c r="G595">
        <f t="shared" ca="1" si="56"/>
        <v>8.4</v>
      </c>
      <c r="H595">
        <f t="shared" ca="1" si="57"/>
        <v>11300</v>
      </c>
      <c r="I595">
        <f t="shared" ca="1" si="58"/>
        <v>0.98089470312736615</v>
      </c>
      <c r="J595">
        <v>1</v>
      </c>
    </row>
    <row r="596" spans="1:10" x14ac:dyDescent="0.3">
      <c r="A596" t="str">
        <f t="shared" si="59"/>
        <v>HH595</v>
      </c>
      <c r="B596" t="str">
        <f ca="1">LOOKUP(RAND(),{0,0.28,0.55,0.78},{"Oloitoktok A","Oloitoktok B","Kiserian","Namanga"})</f>
        <v>Kiserian</v>
      </c>
      <c r="C596">
        <f ca="1">LOOKUP(RAND(),{0,0.02,0.09,0.2,0.35,0.52,0.68,0.81,0.91,0.97},{1,2,3,4,5,6,7,8,9,10})</f>
        <v>2</v>
      </c>
      <c r="D596">
        <f t="shared" ca="1" si="54"/>
        <v>10500</v>
      </c>
      <c r="E596" t="str">
        <f ca="1">IF(B596="Oloitoktok A",IF(D596&lt;15000,LOOKUP(RAND(),{0,0.45,0.75,0.92},{"River","Rainwater","Borehole","Vendor"}),IF(D596&lt;30000,LOOKUP(RAND(),{0,0.35,0.65,0.85},{"River","Rainwater","Borehole","Vendor"}),LOOKUP(RAND(),{0,0.25,0.5,0.75},{"River","Rainwater","Borehole","Vendor"}))),IF(B596="Oloitoktok B",IF(D596&lt;15000,LOOKUP(RAND(),{0,0.5,0.78,0.94},{"River","Rainwater","Borehole","Vendor"}),IF(D596&lt;30000,LOOKUP(RAND(),{0,0.4,0.68,0.87},{"River","Rainwater","Borehole","Vendor"}),LOOKUP(RAND(),{0,0.28,0.55,0.78},{"River","Rainwater","Borehole","Vendor"}))),IF(B596="Kiserian",IF(D596&lt;15000,LOOKUP(RAND(),{0,0.35,0.65,0.9},{"River","Rainwater","Borehole","Vendor"}),IF(D596&lt;30000,LOOKUP(RAND(),{0,0.25,0.55,0.82},{"River","Rainwater","Borehole","Vendor"}),LOOKUP(RAND(),{0,0.15,0.45,0.72},{"River","Rainwater","Borehole","Vendor"}))),IF(D596&lt;15000,LOOKUP(RAND(),{0,0.4,0.7,0.92},{"River","Rainwater","Borehole","Vendor"}),IF(D596&lt;30000,LOOKUP(RAND(),{0,0.3,0.6,0.85},{"River","Rainwater","Borehole","Vendor"}),LOOKUP(RAND(),{0,0.2,0.5,0.75},{"River","Rainwater","Borehole","Vendor"}))))))</f>
        <v>Vendor</v>
      </c>
      <c r="F596">
        <f t="shared" ca="1" si="55"/>
        <v>27</v>
      </c>
      <c r="G596">
        <f t="shared" ca="1" si="56"/>
        <v>8.1999999999999993</v>
      </c>
      <c r="H596">
        <f t="shared" ca="1" si="57"/>
        <v>1000</v>
      </c>
      <c r="I596">
        <f t="shared" ca="1" si="58"/>
        <v>1.1171377481045575E-2</v>
      </c>
      <c r="J596">
        <v>1</v>
      </c>
    </row>
    <row r="597" spans="1:10" x14ac:dyDescent="0.3">
      <c r="A597" t="str">
        <f t="shared" si="59"/>
        <v>HH596</v>
      </c>
      <c r="B597" t="str">
        <f ca="1">LOOKUP(RAND(),{0,0.28,0.55,0.78},{"Oloitoktok A","Oloitoktok B","Kiserian","Namanga"})</f>
        <v>Oloitoktok A</v>
      </c>
      <c r="C597">
        <f ca="1">LOOKUP(RAND(),{0,0.02,0.09,0.2,0.35,0.52,0.68,0.81,0.91,0.97},{1,2,3,4,5,6,7,8,9,10})</f>
        <v>3</v>
      </c>
      <c r="D597">
        <f t="shared" ca="1" si="54"/>
        <v>18900</v>
      </c>
      <c r="E597" t="str">
        <f ca="1">IF(B597="Oloitoktok A",IF(D597&lt;15000,LOOKUP(RAND(),{0,0.45,0.75,0.92},{"River","Rainwater","Borehole","Vendor"}),IF(D597&lt;30000,LOOKUP(RAND(),{0,0.35,0.65,0.85},{"River","Rainwater","Borehole","Vendor"}),LOOKUP(RAND(),{0,0.25,0.5,0.75},{"River","Rainwater","Borehole","Vendor"}))),IF(B597="Oloitoktok B",IF(D597&lt;15000,LOOKUP(RAND(),{0,0.5,0.78,0.94},{"River","Rainwater","Borehole","Vendor"}),IF(D597&lt;30000,LOOKUP(RAND(),{0,0.4,0.68,0.87},{"River","Rainwater","Borehole","Vendor"}),LOOKUP(RAND(),{0,0.28,0.55,0.78},{"River","Rainwater","Borehole","Vendor"}))),IF(B597="Kiserian",IF(D597&lt;15000,LOOKUP(RAND(),{0,0.35,0.65,0.9},{"River","Rainwater","Borehole","Vendor"}),IF(D597&lt;30000,LOOKUP(RAND(),{0,0.25,0.55,0.82},{"River","Rainwater","Borehole","Vendor"}),LOOKUP(RAND(),{0,0.15,0.45,0.72},{"River","Rainwater","Borehole","Vendor"}))),IF(D597&lt;15000,LOOKUP(RAND(),{0,0.4,0.7,0.92},{"River","Rainwater","Borehole","Vendor"}),IF(D597&lt;30000,LOOKUP(RAND(),{0,0.3,0.6,0.85},{"River","Rainwater","Borehole","Vendor"}),LOOKUP(RAND(),{0,0.2,0.5,0.75},{"River","Rainwater","Borehole","Vendor"}))))))</f>
        <v>River</v>
      </c>
      <c r="F597">
        <f t="shared" ca="1" si="55"/>
        <v>65</v>
      </c>
      <c r="G597">
        <f t="shared" ca="1" si="56"/>
        <v>14.1</v>
      </c>
      <c r="H597">
        <f t="shared" ca="1" si="57"/>
        <v>10800</v>
      </c>
      <c r="I597">
        <f t="shared" ca="1" si="58"/>
        <v>0.50433154822446935</v>
      </c>
      <c r="J597">
        <v>1</v>
      </c>
    </row>
    <row r="598" spans="1:10" x14ac:dyDescent="0.3">
      <c r="A598" t="str">
        <f t="shared" si="59"/>
        <v>HH597</v>
      </c>
      <c r="B598" t="str">
        <f ca="1">LOOKUP(RAND(),{0,0.28,0.55,0.78},{"Oloitoktok A","Oloitoktok B","Kiserian","Namanga"})</f>
        <v>Kiserian</v>
      </c>
      <c r="C598">
        <f ca="1">LOOKUP(RAND(),{0,0.02,0.09,0.2,0.35,0.52,0.68,0.81,0.91,0.97},{1,2,3,4,5,6,7,8,9,10})</f>
        <v>8</v>
      </c>
      <c r="D598">
        <f t="shared" ca="1" si="54"/>
        <v>89400</v>
      </c>
      <c r="E598" t="str">
        <f ca="1">IF(B598="Oloitoktok A",IF(D598&lt;15000,LOOKUP(RAND(),{0,0.45,0.75,0.92},{"River","Rainwater","Borehole","Vendor"}),IF(D598&lt;30000,LOOKUP(RAND(),{0,0.35,0.65,0.85},{"River","Rainwater","Borehole","Vendor"}),LOOKUP(RAND(),{0,0.25,0.5,0.75},{"River","Rainwater","Borehole","Vendor"}))),IF(B598="Oloitoktok B",IF(D598&lt;15000,LOOKUP(RAND(),{0,0.5,0.78,0.94},{"River","Rainwater","Borehole","Vendor"}),IF(D598&lt;30000,LOOKUP(RAND(),{0,0.4,0.68,0.87},{"River","Rainwater","Borehole","Vendor"}),LOOKUP(RAND(),{0,0.28,0.55,0.78},{"River","Rainwater","Borehole","Vendor"}))),IF(B598="Kiserian",IF(D598&lt;15000,LOOKUP(RAND(),{0,0.35,0.65,0.9},{"River","Rainwater","Borehole","Vendor"}),IF(D598&lt;30000,LOOKUP(RAND(),{0,0.25,0.55,0.82},{"River","Rainwater","Borehole","Vendor"}),LOOKUP(RAND(),{0,0.15,0.45,0.72},{"River","Rainwater","Borehole","Vendor"}))),IF(D598&lt;15000,LOOKUP(RAND(),{0,0.4,0.7,0.92},{"River","Rainwater","Borehole","Vendor"}),IF(D598&lt;30000,LOOKUP(RAND(),{0,0.3,0.6,0.85},{"River","Rainwater","Borehole","Vendor"}),LOOKUP(RAND(),{0,0.2,0.5,0.75},{"River","Rainwater","Borehole","Vendor"}))))))</f>
        <v>River</v>
      </c>
      <c r="F598">
        <f t="shared" ca="1" si="55"/>
        <v>66</v>
      </c>
      <c r="G598">
        <f t="shared" ca="1" si="56"/>
        <v>2.8</v>
      </c>
      <c r="H598">
        <f t="shared" ca="1" si="57"/>
        <v>3300</v>
      </c>
      <c r="I598">
        <f t="shared" ca="1" si="58"/>
        <v>0.30189740947700394</v>
      </c>
      <c r="J598">
        <v>1</v>
      </c>
    </row>
    <row r="599" spans="1:10" x14ac:dyDescent="0.3">
      <c r="A599" t="str">
        <f t="shared" si="59"/>
        <v>HH598</v>
      </c>
      <c r="B599" t="str">
        <f ca="1">LOOKUP(RAND(),{0,0.28,0.55,0.78},{"Oloitoktok A","Oloitoktok B","Kiserian","Namanga"})</f>
        <v>Kiserian</v>
      </c>
      <c r="C599">
        <f ca="1">LOOKUP(RAND(),{0,0.02,0.09,0.2,0.35,0.52,0.68,0.81,0.91,0.97},{1,2,3,4,5,6,7,8,9,10})</f>
        <v>1</v>
      </c>
      <c r="D599">
        <f t="shared" ca="1" si="54"/>
        <v>14000</v>
      </c>
      <c r="E599" t="str">
        <f ca="1">IF(B599="Oloitoktok A",IF(D599&lt;15000,LOOKUP(RAND(),{0,0.45,0.75,0.92},{"River","Rainwater","Borehole","Vendor"}),IF(D599&lt;30000,LOOKUP(RAND(),{0,0.35,0.65,0.85},{"River","Rainwater","Borehole","Vendor"}),LOOKUP(RAND(),{0,0.25,0.5,0.75},{"River","Rainwater","Borehole","Vendor"}))),IF(B599="Oloitoktok B",IF(D599&lt;15000,LOOKUP(RAND(),{0,0.5,0.78,0.94},{"River","Rainwater","Borehole","Vendor"}),IF(D599&lt;30000,LOOKUP(RAND(),{0,0.4,0.68,0.87},{"River","Rainwater","Borehole","Vendor"}),LOOKUP(RAND(),{0,0.28,0.55,0.78},{"River","Rainwater","Borehole","Vendor"}))),IF(B599="Kiserian",IF(D599&lt;15000,LOOKUP(RAND(),{0,0.35,0.65,0.9},{"River","Rainwater","Borehole","Vendor"}),IF(D599&lt;30000,LOOKUP(RAND(),{0,0.25,0.55,0.82},{"River","Rainwater","Borehole","Vendor"}),LOOKUP(RAND(),{0,0.15,0.45,0.72},{"River","Rainwater","Borehole","Vendor"}))),IF(D599&lt;15000,LOOKUP(RAND(),{0,0.4,0.7,0.92},{"River","Rainwater","Borehole","Vendor"}),IF(D599&lt;30000,LOOKUP(RAND(),{0,0.3,0.6,0.85},{"River","Rainwater","Borehole","Vendor"}),LOOKUP(RAND(),{0,0.2,0.5,0.75},{"River","Rainwater","Borehole","Vendor"}))))))</f>
        <v>River</v>
      </c>
      <c r="F599">
        <f t="shared" ca="1" si="55"/>
        <v>115</v>
      </c>
      <c r="G599">
        <f t="shared" ca="1" si="56"/>
        <v>9.1</v>
      </c>
      <c r="H599">
        <f t="shared" ca="1" si="57"/>
        <v>5900</v>
      </c>
      <c r="I599">
        <f t="shared" ca="1" si="58"/>
        <v>0.59687111577041796</v>
      </c>
      <c r="J599">
        <v>1</v>
      </c>
    </row>
    <row r="600" spans="1:10" x14ac:dyDescent="0.3">
      <c r="A600" t="str">
        <f t="shared" si="59"/>
        <v>HH599</v>
      </c>
      <c r="B600" t="str">
        <f ca="1">LOOKUP(RAND(),{0,0.28,0.55,0.78},{"Oloitoktok A","Oloitoktok B","Kiserian","Namanga"})</f>
        <v>Kiserian</v>
      </c>
      <c r="C600">
        <f ca="1">LOOKUP(RAND(),{0,0.02,0.09,0.2,0.35,0.52,0.68,0.81,0.91,0.97},{1,2,3,4,5,6,7,8,9,10})</f>
        <v>4</v>
      </c>
      <c r="D600">
        <f t="shared" ca="1" si="54"/>
        <v>24900</v>
      </c>
      <c r="E600" t="str">
        <f ca="1">IF(B600="Oloitoktok A",IF(D600&lt;15000,LOOKUP(RAND(),{0,0.45,0.75,0.92},{"River","Rainwater","Borehole","Vendor"}),IF(D600&lt;30000,LOOKUP(RAND(),{0,0.35,0.65,0.85},{"River","Rainwater","Borehole","Vendor"}),LOOKUP(RAND(),{0,0.25,0.5,0.75},{"River","Rainwater","Borehole","Vendor"}))),IF(B600="Oloitoktok B",IF(D600&lt;15000,LOOKUP(RAND(),{0,0.5,0.78,0.94},{"River","Rainwater","Borehole","Vendor"}),IF(D600&lt;30000,LOOKUP(RAND(),{0,0.4,0.68,0.87},{"River","Rainwater","Borehole","Vendor"}),LOOKUP(RAND(),{0,0.28,0.55,0.78},{"River","Rainwater","Borehole","Vendor"}))),IF(B600="Kiserian",IF(D600&lt;15000,LOOKUP(RAND(),{0,0.35,0.65,0.9},{"River","Rainwater","Borehole","Vendor"}),IF(D600&lt;30000,LOOKUP(RAND(),{0,0.25,0.55,0.82},{"River","Rainwater","Borehole","Vendor"}),LOOKUP(RAND(),{0,0.15,0.45,0.72},{"River","Rainwater","Borehole","Vendor"}))),IF(D600&lt;15000,LOOKUP(RAND(),{0,0.4,0.7,0.92},{"River","Rainwater","Borehole","Vendor"}),IF(D600&lt;30000,LOOKUP(RAND(),{0,0.3,0.6,0.85},{"River","Rainwater","Borehole","Vendor"}),LOOKUP(RAND(),{0,0.2,0.5,0.75},{"River","Rainwater","Borehole","Vendor"}))))))</f>
        <v>River</v>
      </c>
      <c r="F600">
        <f t="shared" ca="1" si="55"/>
        <v>118</v>
      </c>
      <c r="G600">
        <f t="shared" ca="1" si="56"/>
        <v>1.5</v>
      </c>
      <c r="H600">
        <f t="shared" ca="1" si="57"/>
        <v>0</v>
      </c>
      <c r="I600">
        <f t="shared" ca="1" si="58"/>
        <v>0.51679765926786903</v>
      </c>
      <c r="J600">
        <v>1</v>
      </c>
    </row>
    <row r="601" spans="1:10" x14ac:dyDescent="0.3">
      <c r="A601" t="str">
        <f t="shared" si="59"/>
        <v>HH600</v>
      </c>
      <c r="B601" t="str">
        <f ca="1">LOOKUP(RAND(),{0,0.28,0.55,0.78},{"Oloitoktok A","Oloitoktok B","Kiserian","Namanga"})</f>
        <v>Oloitoktok B</v>
      </c>
      <c r="C601">
        <f ca="1">LOOKUP(RAND(),{0,0.02,0.09,0.2,0.35,0.52,0.68,0.81,0.91,0.97},{1,2,3,4,5,6,7,8,9,10})</f>
        <v>3</v>
      </c>
      <c r="D601">
        <f t="shared" ca="1" si="54"/>
        <v>30800</v>
      </c>
      <c r="E601" t="str">
        <f ca="1">IF(B601="Oloitoktok A",IF(D601&lt;15000,LOOKUP(RAND(),{0,0.45,0.75,0.92},{"River","Rainwater","Borehole","Vendor"}),IF(D601&lt;30000,LOOKUP(RAND(),{0,0.35,0.65,0.85},{"River","Rainwater","Borehole","Vendor"}),LOOKUP(RAND(),{0,0.25,0.5,0.75},{"River","Rainwater","Borehole","Vendor"}))),IF(B601="Oloitoktok B",IF(D601&lt;15000,LOOKUP(RAND(),{0,0.5,0.78,0.94},{"River","Rainwater","Borehole","Vendor"}),IF(D601&lt;30000,LOOKUP(RAND(),{0,0.4,0.68,0.87},{"River","Rainwater","Borehole","Vendor"}),LOOKUP(RAND(),{0,0.28,0.55,0.78},{"River","Rainwater","Borehole","Vendor"}))),IF(B601="Kiserian",IF(D601&lt;15000,LOOKUP(RAND(),{0,0.35,0.65,0.9},{"River","Rainwater","Borehole","Vendor"}),IF(D601&lt;30000,LOOKUP(RAND(),{0,0.25,0.55,0.82},{"River","Rainwater","Borehole","Vendor"}),LOOKUP(RAND(),{0,0.15,0.45,0.72},{"River","Rainwater","Borehole","Vendor"}))),IF(D601&lt;15000,LOOKUP(RAND(),{0,0.4,0.7,0.92},{"River","Rainwater","Borehole","Vendor"}),IF(D601&lt;30000,LOOKUP(RAND(),{0,0.3,0.6,0.85},{"River","Rainwater","Borehole","Vendor"}),LOOKUP(RAND(),{0,0.2,0.5,0.75},{"River","Rainwater","Borehole","Vendor"}))))))</f>
        <v>Rainwater</v>
      </c>
      <c r="F601">
        <f t="shared" ca="1" si="55"/>
        <v>46</v>
      </c>
      <c r="G601">
        <f t="shared" ca="1" si="56"/>
        <v>1.2</v>
      </c>
      <c r="H601">
        <f t="shared" ca="1" si="57"/>
        <v>4200</v>
      </c>
      <c r="I601">
        <f t="shared" ca="1" si="58"/>
        <v>0.69134464389095318</v>
      </c>
      <c r="J601">
        <v>1</v>
      </c>
    </row>
    <row r="602" spans="1:10" x14ac:dyDescent="0.3">
      <c r="A602" t="str">
        <f t="shared" si="59"/>
        <v>HH601</v>
      </c>
      <c r="B602" t="str">
        <f ca="1">LOOKUP(RAND(),{0,0.28,0.55,0.78},{"Oloitoktok A","Oloitoktok B","Kiserian","Namanga"})</f>
        <v>Oloitoktok A</v>
      </c>
      <c r="C602">
        <f ca="1">LOOKUP(RAND(),{0,0.02,0.09,0.2,0.35,0.52,0.68,0.81,0.91,0.97},{1,2,3,4,5,6,7,8,9,10})</f>
        <v>4</v>
      </c>
      <c r="D602">
        <f t="shared" ca="1" si="54"/>
        <v>118100</v>
      </c>
      <c r="E602" t="str">
        <f ca="1">IF(B602="Oloitoktok A",IF(D602&lt;15000,LOOKUP(RAND(),{0,0.45,0.75,0.92},{"River","Rainwater","Borehole","Vendor"}),IF(D602&lt;30000,LOOKUP(RAND(),{0,0.35,0.65,0.85},{"River","Rainwater","Borehole","Vendor"}),LOOKUP(RAND(),{0,0.25,0.5,0.75},{"River","Rainwater","Borehole","Vendor"}))),IF(B602="Oloitoktok B",IF(D602&lt;15000,LOOKUP(RAND(),{0,0.5,0.78,0.94},{"River","Rainwater","Borehole","Vendor"}),IF(D602&lt;30000,LOOKUP(RAND(),{0,0.4,0.68,0.87},{"River","Rainwater","Borehole","Vendor"}),LOOKUP(RAND(),{0,0.28,0.55,0.78},{"River","Rainwater","Borehole","Vendor"}))),IF(B602="Kiserian",IF(D602&lt;15000,LOOKUP(RAND(),{0,0.35,0.65,0.9},{"River","Rainwater","Borehole","Vendor"}),IF(D602&lt;30000,LOOKUP(RAND(),{0,0.25,0.55,0.82},{"River","Rainwater","Borehole","Vendor"}),LOOKUP(RAND(),{0,0.15,0.45,0.72},{"River","Rainwater","Borehole","Vendor"}))),IF(D602&lt;15000,LOOKUP(RAND(),{0,0.4,0.7,0.92},{"River","Rainwater","Borehole","Vendor"}),IF(D602&lt;30000,LOOKUP(RAND(),{0,0.3,0.6,0.85},{"River","Rainwater","Borehole","Vendor"}),LOOKUP(RAND(),{0,0.2,0.5,0.75},{"River","Rainwater","Borehole","Vendor"}))))))</f>
        <v>Borehole</v>
      </c>
      <c r="F602">
        <f t="shared" ca="1" si="55"/>
        <v>50</v>
      </c>
      <c r="G602">
        <f t="shared" ca="1" si="56"/>
        <v>6.7</v>
      </c>
      <c r="H602">
        <f t="shared" ca="1" si="57"/>
        <v>11600</v>
      </c>
      <c r="I602">
        <f t="shared" ca="1" si="58"/>
        <v>0.92218609261816342</v>
      </c>
      <c r="J602">
        <v>1</v>
      </c>
    </row>
    <row r="603" spans="1:10" x14ac:dyDescent="0.3">
      <c r="A603" t="str">
        <f t="shared" si="59"/>
        <v>HH602</v>
      </c>
      <c r="B603" t="str">
        <f ca="1">LOOKUP(RAND(),{0,0.28,0.55,0.78},{"Oloitoktok A","Oloitoktok B","Kiserian","Namanga"})</f>
        <v>Oloitoktok A</v>
      </c>
      <c r="C603">
        <f ca="1">LOOKUP(RAND(),{0,0.02,0.09,0.2,0.35,0.52,0.68,0.81,0.91,0.97},{1,2,3,4,5,6,7,8,9,10})</f>
        <v>8</v>
      </c>
      <c r="D603">
        <f t="shared" ca="1" si="54"/>
        <v>32900</v>
      </c>
      <c r="E603" t="str">
        <f ca="1">IF(B603="Oloitoktok A",IF(D603&lt;15000,LOOKUP(RAND(),{0,0.45,0.75,0.92},{"River","Rainwater","Borehole","Vendor"}),IF(D603&lt;30000,LOOKUP(RAND(),{0,0.35,0.65,0.85},{"River","Rainwater","Borehole","Vendor"}),LOOKUP(RAND(),{0,0.25,0.5,0.75},{"River","Rainwater","Borehole","Vendor"}))),IF(B603="Oloitoktok B",IF(D603&lt;15000,LOOKUP(RAND(),{0,0.5,0.78,0.94},{"River","Rainwater","Borehole","Vendor"}),IF(D603&lt;30000,LOOKUP(RAND(),{0,0.4,0.68,0.87},{"River","Rainwater","Borehole","Vendor"}),LOOKUP(RAND(),{0,0.28,0.55,0.78},{"River","Rainwater","Borehole","Vendor"}))),IF(B603="Kiserian",IF(D603&lt;15000,LOOKUP(RAND(),{0,0.35,0.65,0.9},{"River","Rainwater","Borehole","Vendor"}),IF(D603&lt;30000,LOOKUP(RAND(),{0,0.25,0.55,0.82},{"River","Rainwater","Borehole","Vendor"}),LOOKUP(RAND(),{0,0.15,0.45,0.72},{"River","Rainwater","Borehole","Vendor"}))),IF(D603&lt;15000,LOOKUP(RAND(),{0,0.4,0.7,0.92},{"River","Rainwater","Borehole","Vendor"}),IF(D603&lt;30000,LOOKUP(RAND(),{0,0.3,0.6,0.85},{"River","Rainwater","Borehole","Vendor"}),LOOKUP(RAND(),{0,0.2,0.5,0.75},{"River","Rainwater","Borehole","Vendor"}))))))</f>
        <v>Rainwater</v>
      </c>
      <c r="F603">
        <f t="shared" ca="1" si="55"/>
        <v>43</v>
      </c>
      <c r="G603">
        <f t="shared" ca="1" si="56"/>
        <v>10</v>
      </c>
      <c r="H603">
        <f t="shared" ca="1" si="57"/>
        <v>1000</v>
      </c>
      <c r="I603">
        <f t="shared" ca="1" si="58"/>
        <v>0.76185486295020877</v>
      </c>
      <c r="J603">
        <v>1</v>
      </c>
    </row>
    <row r="604" spans="1:10" x14ac:dyDescent="0.3">
      <c r="A604" t="str">
        <f t="shared" si="59"/>
        <v>HH603</v>
      </c>
      <c r="B604" t="str">
        <f ca="1">LOOKUP(RAND(),{0,0.28,0.55,0.78},{"Oloitoktok A","Oloitoktok B","Kiserian","Namanga"})</f>
        <v>Kiserian</v>
      </c>
      <c r="C604">
        <f ca="1">LOOKUP(RAND(),{0,0.02,0.09,0.2,0.35,0.52,0.68,0.81,0.91,0.97},{1,2,3,4,5,6,7,8,9,10})</f>
        <v>6</v>
      </c>
      <c r="D604">
        <f t="shared" ca="1" si="54"/>
        <v>16400</v>
      </c>
      <c r="E604" t="str">
        <f ca="1">IF(B604="Oloitoktok A",IF(D604&lt;15000,LOOKUP(RAND(),{0,0.45,0.75,0.92},{"River","Rainwater","Borehole","Vendor"}),IF(D604&lt;30000,LOOKUP(RAND(),{0,0.35,0.65,0.85},{"River","Rainwater","Borehole","Vendor"}),LOOKUP(RAND(),{0,0.25,0.5,0.75},{"River","Rainwater","Borehole","Vendor"}))),IF(B604="Oloitoktok B",IF(D604&lt;15000,LOOKUP(RAND(),{0,0.5,0.78,0.94},{"River","Rainwater","Borehole","Vendor"}),IF(D604&lt;30000,LOOKUP(RAND(),{0,0.4,0.68,0.87},{"River","Rainwater","Borehole","Vendor"}),LOOKUP(RAND(),{0,0.28,0.55,0.78},{"River","Rainwater","Borehole","Vendor"}))),IF(B604="Kiserian",IF(D604&lt;15000,LOOKUP(RAND(),{0,0.35,0.65,0.9},{"River","Rainwater","Borehole","Vendor"}),IF(D604&lt;30000,LOOKUP(RAND(),{0,0.25,0.55,0.82},{"River","Rainwater","Borehole","Vendor"}),LOOKUP(RAND(),{0,0.15,0.45,0.72},{"River","Rainwater","Borehole","Vendor"}))),IF(D604&lt;15000,LOOKUP(RAND(),{0,0.4,0.7,0.92},{"River","Rainwater","Borehole","Vendor"}),IF(D604&lt;30000,LOOKUP(RAND(),{0,0.3,0.6,0.85},{"River","Rainwater","Borehole","Vendor"}),LOOKUP(RAND(),{0,0.2,0.5,0.75},{"River","Rainwater","Borehole","Vendor"}))))))</f>
        <v>Rainwater</v>
      </c>
      <c r="F604">
        <f t="shared" ca="1" si="55"/>
        <v>31</v>
      </c>
      <c r="G604">
        <f t="shared" ca="1" si="56"/>
        <v>6.3</v>
      </c>
      <c r="H604">
        <f t="shared" ca="1" si="57"/>
        <v>9900</v>
      </c>
      <c r="I604">
        <f t="shared" ca="1" si="58"/>
        <v>0.97217320455802547</v>
      </c>
      <c r="J604">
        <v>1</v>
      </c>
    </row>
    <row r="605" spans="1:10" x14ac:dyDescent="0.3">
      <c r="A605" t="str">
        <f t="shared" si="59"/>
        <v>HH604</v>
      </c>
      <c r="B605" t="str">
        <f ca="1">LOOKUP(RAND(),{0,0.28,0.55,0.78},{"Oloitoktok A","Oloitoktok B","Kiserian","Namanga"})</f>
        <v>Oloitoktok B</v>
      </c>
      <c r="C605">
        <f ca="1">LOOKUP(RAND(),{0,0.02,0.09,0.2,0.35,0.52,0.68,0.81,0.91,0.97},{1,2,3,4,5,6,7,8,9,10})</f>
        <v>5</v>
      </c>
      <c r="D605">
        <f t="shared" ca="1" si="54"/>
        <v>31800</v>
      </c>
      <c r="E605" t="str">
        <f ca="1">IF(B605="Oloitoktok A",IF(D605&lt;15000,LOOKUP(RAND(),{0,0.45,0.75,0.92},{"River","Rainwater","Borehole","Vendor"}),IF(D605&lt;30000,LOOKUP(RAND(),{0,0.35,0.65,0.85},{"River","Rainwater","Borehole","Vendor"}),LOOKUP(RAND(),{0,0.25,0.5,0.75},{"River","Rainwater","Borehole","Vendor"}))),IF(B605="Oloitoktok B",IF(D605&lt;15000,LOOKUP(RAND(),{0,0.5,0.78,0.94},{"River","Rainwater","Borehole","Vendor"}),IF(D605&lt;30000,LOOKUP(RAND(),{0,0.4,0.68,0.87},{"River","Rainwater","Borehole","Vendor"}),LOOKUP(RAND(),{0,0.28,0.55,0.78},{"River","Rainwater","Borehole","Vendor"}))),IF(B605="Kiserian",IF(D605&lt;15000,LOOKUP(RAND(),{0,0.35,0.65,0.9},{"River","Rainwater","Borehole","Vendor"}),IF(D605&lt;30000,LOOKUP(RAND(),{0,0.25,0.55,0.82},{"River","Rainwater","Borehole","Vendor"}),LOOKUP(RAND(),{0,0.15,0.45,0.72},{"River","Rainwater","Borehole","Vendor"}))),IF(D605&lt;15000,LOOKUP(RAND(),{0,0.4,0.7,0.92},{"River","Rainwater","Borehole","Vendor"}),IF(D605&lt;30000,LOOKUP(RAND(),{0,0.3,0.6,0.85},{"River","Rainwater","Borehole","Vendor"}),LOOKUP(RAND(),{0,0.2,0.5,0.75},{"River","Rainwater","Borehole","Vendor"}))))))</f>
        <v>River</v>
      </c>
      <c r="F605">
        <f t="shared" ca="1" si="55"/>
        <v>86</v>
      </c>
      <c r="G605">
        <f t="shared" ca="1" si="56"/>
        <v>3.8</v>
      </c>
      <c r="H605">
        <f t="shared" ca="1" si="57"/>
        <v>0</v>
      </c>
      <c r="I605">
        <f t="shared" ca="1" si="58"/>
        <v>0.3144773674648943</v>
      </c>
      <c r="J605">
        <v>1</v>
      </c>
    </row>
    <row r="606" spans="1:10" x14ac:dyDescent="0.3">
      <c r="A606" t="str">
        <f t="shared" si="59"/>
        <v>HH605</v>
      </c>
      <c r="B606" t="str">
        <f ca="1">LOOKUP(RAND(),{0,0.28,0.55,0.78},{"Oloitoktok A","Oloitoktok B","Kiserian","Namanga"})</f>
        <v>Oloitoktok B</v>
      </c>
      <c r="C606">
        <f ca="1">LOOKUP(RAND(),{0,0.02,0.09,0.2,0.35,0.52,0.68,0.81,0.91,0.97},{1,2,3,4,5,6,7,8,9,10})</f>
        <v>9</v>
      </c>
      <c r="D606">
        <f t="shared" ca="1" si="54"/>
        <v>120000</v>
      </c>
      <c r="E606" t="str">
        <f ca="1">IF(B606="Oloitoktok A",IF(D606&lt;15000,LOOKUP(RAND(),{0,0.45,0.75,0.92},{"River","Rainwater","Borehole","Vendor"}),IF(D606&lt;30000,LOOKUP(RAND(),{0,0.35,0.65,0.85},{"River","Rainwater","Borehole","Vendor"}),LOOKUP(RAND(),{0,0.25,0.5,0.75},{"River","Rainwater","Borehole","Vendor"}))),IF(B606="Oloitoktok B",IF(D606&lt;15000,LOOKUP(RAND(),{0,0.5,0.78,0.94},{"River","Rainwater","Borehole","Vendor"}),IF(D606&lt;30000,LOOKUP(RAND(),{0,0.4,0.68,0.87},{"River","Rainwater","Borehole","Vendor"}),LOOKUP(RAND(),{0,0.28,0.55,0.78},{"River","Rainwater","Borehole","Vendor"}))),IF(B606="Kiserian",IF(D606&lt;15000,LOOKUP(RAND(),{0,0.35,0.65,0.9},{"River","Rainwater","Borehole","Vendor"}),IF(D606&lt;30000,LOOKUP(RAND(),{0,0.25,0.55,0.82},{"River","Rainwater","Borehole","Vendor"}),LOOKUP(RAND(),{0,0.15,0.45,0.72},{"River","Rainwater","Borehole","Vendor"}))),IF(D606&lt;15000,LOOKUP(RAND(),{0,0.4,0.7,0.92},{"River","Rainwater","Borehole","Vendor"}),IF(D606&lt;30000,LOOKUP(RAND(),{0,0.3,0.6,0.85},{"River","Rainwater","Borehole","Vendor"}),LOOKUP(RAND(),{0,0.2,0.5,0.75},{"River","Rainwater","Borehole","Vendor"}))))))</f>
        <v>Vendor</v>
      </c>
      <c r="F606">
        <f t="shared" ca="1" si="55"/>
        <v>54</v>
      </c>
      <c r="G606">
        <f t="shared" ca="1" si="56"/>
        <v>3.2</v>
      </c>
      <c r="H606">
        <f t="shared" ca="1" si="57"/>
        <v>10500</v>
      </c>
      <c r="I606">
        <f t="shared" ca="1" si="58"/>
        <v>0.83690161221166171</v>
      </c>
      <c r="J606">
        <v>1</v>
      </c>
    </row>
    <row r="607" spans="1:10" x14ac:dyDescent="0.3">
      <c r="A607" t="str">
        <f t="shared" si="59"/>
        <v>HH606</v>
      </c>
      <c r="B607" t="str">
        <f ca="1">LOOKUP(RAND(),{0,0.28,0.55,0.78},{"Oloitoktok A","Oloitoktok B","Kiserian","Namanga"})</f>
        <v>Namanga</v>
      </c>
      <c r="C607">
        <f ca="1">LOOKUP(RAND(),{0,0.02,0.09,0.2,0.35,0.52,0.68,0.81,0.91,0.97},{1,2,3,4,5,6,7,8,9,10})</f>
        <v>4</v>
      </c>
      <c r="D607">
        <f t="shared" ca="1" si="54"/>
        <v>18600</v>
      </c>
      <c r="E607" t="str">
        <f ca="1">IF(B607="Oloitoktok A",IF(D607&lt;15000,LOOKUP(RAND(),{0,0.45,0.75,0.92},{"River","Rainwater","Borehole","Vendor"}),IF(D607&lt;30000,LOOKUP(RAND(),{0,0.35,0.65,0.85},{"River","Rainwater","Borehole","Vendor"}),LOOKUP(RAND(),{0,0.25,0.5,0.75},{"River","Rainwater","Borehole","Vendor"}))),IF(B607="Oloitoktok B",IF(D607&lt;15000,LOOKUP(RAND(),{0,0.5,0.78,0.94},{"River","Rainwater","Borehole","Vendor"}),IF(D607&lt;30000,LOOKUP(RAND(),{0,0.4,0.68,0.87},{"River","Rainwater","Borehole","Vendor"}),LOOKUP(RAND(),{0,0.28,0.55,0.78},{"River","Rainwater","Borehole","Vendor"}))),IF(B607="Kiserian",IF(D607&lt;15000,LOOKUP(RAND(),{0,0.35,0.65,0.9},{"River","Rainwater","Borehole","Vendor"}),IF(D607&lt;30000,LOOKUP(RAND(),{0,0.25,0.55,0.82},{"River","Rainwater","Borehole","Vendor"}),LOOKUP(RAND(),{0,0.15,0.45,0.72},{"River","Rainwater","Borehole","Vendor"}))),IF(D607&lt;15000,LOOKUP(RAND(),{0,0.4,0.7,0.92},{"River","Rainwater","Borehole","Vendor"}),IF(D607&lt;30000,LOOKUP(RAND(),{0,0.3,0.6,0.85},{"River","Rainwater","Borehole","Vendor"}),LOOKUP(RAND(),{0,0.2,0.5,0.75},{"River","Rainwater","Borehole","Vendor"}))))))</f>
        <v>Rainwater</v>
      </c>
      <c r="F607">
        <f t="shared" ca="1" si="55"/>
        <v>55</v>
      </c>
      <c r="G607">
        <f t="shared" ca="1" si="56"/>
        <v>4.0999999999999996</v>
      </c>
      <c r="H607">
        <f t="shared" ca="1" si="57"/>
        <v>3900</v>
      </c>
      <c r="I607">
        <f t="shared" ca="1" si="58"/>
        <v>0.57166734184054113</v>
      </c>
      <c r="J607">
        <v>1</v>
      </c>
    </row>
    <row r="608" spans="1:10" x14ac:dyDescent="0.3">
      <c r="A608" t="str">
        <f t="shared" si="59"/>
        <v>HH607</v>
      </c>
      <c r="B608" t="str">
        <f ca="1">LOOKUP(RAND(),{0,0.28,0.55,0.78},{"Oloitoktok A","Oloitoktok B","Kiserian","Namanga"})</f>
        <v>Oloitoktok A</v>
      </c>
      <c r="C608">
        <f ca="1">LOOKUP(RAND(),{0,0.02,0.09,0.2,0.35,0.52,0.68,0.81,0.91,0.97},{1,2,3,4,5,6,7,8,9,10})</f>
        <v>6</v>
      </c>
      <c r="D608">
        <f t="shared" ca="1" si="54"/>
        <v>16700</v>
      </c>
      <c r="E608" t="str">
        <f ca="1">IF(B608="Oloitoktok A",IF(D608&lt;15000,LOOKUP(RAND(),{0,0.45,0.75,0.92},{"River","Rainwater","Borehole","Vendor"}),IF(D608&lt;30000,LOOKUP(RAND(),{0,0.35,0.65,0.85},{"River","Rainwater","Borehole","Vendor"}),LOOKUP(RAND(),{0,0.25,0.5,0.75},{"River","Rainwater","Borehole","Vendor"}))),IF(B608="Oloitoktok B",IF(D608&lt;15000,LOOKUP(RAND(),{0,0.5,0.78,0.94},{"River","Rainwater","Borehole","Vendor"}),IF(D608&lt;30000,LOOKUP(RAND(),{0,0.4,0.68,0.87},{"River","Rainwater","Borehole","Vendor"}),LOOKUP(RAND(),{0,0.28,0.55,0.78},{"River","Rainwater","Borehole","Vendor"}))),IF(B608="Kiserian",IF(D608&lt;15000,LOOKUP(RAND(),{0,0.35,0.65,0.9},{"River","Rainwater","Borehole","Vendor"}),IF(D608&lt;30000,LOOKUP(RAND(),{0,0.25,0.55,0.82},{"River","Rainwater","Borehole","Vendor"}),LOOKUP(RAND(),{0,0.15,0.45,0.72},{"River","Rainwater","Borehole","Vendor"}))),IF(D608&lt;15000,LOOKUP(RAND(),{0,0.4,0.7,0.92},{"River","Rainwater","Borehole","Vendor"}),IF(D608&lt;30000,LOOKUP(RAND(),{0,0.3,0.6,0.85},{"River","Rainwater","Borehole","Vendor"}),LOOKUP(RAND(),{0,0.2,0.5,0.75},{"River","Rainwater","Borehole","Vendor"}))))))</f>
        <v>River</v>
      </c>
      <c r="F608">
        <f t="shared" ca="1" si="55"/>
        <v>52</v>
      </c>
      <c r="G608">
        <f t="shared" ca="1" si="56"/>
        <v>4.5</v>
      </c>
      <c r="H608">
        <f t="shared" ca="1" si="57"/>
        <v>9000</v>
      </c>
      <c r="I608">
        <f t="shared" ca="1" si="58"/>
        <v>7.934380125745033E-2</v>
      </c>
      <c r="J608">
        <v>1</v>
      </c>
    </row>
    <row r="609" spans="1:10" x14ac:dyDescent="0.3">
      <c r="A609" t="str">
        <f t="shared" si="59"/>
        <v>HH608</v>
      </c>
      <c r="B609" t="str">
        <f ca="1">LOOKUP(RAND(),{0,0.28,0.55,0.78},{"Oloitoktok A","Oloitoktok B","Kiserian","Namanga"})</f>
        <v>Oloitoktok A</v>
      </c>
      <c r="C609">
        <f ca="1">LOOKUP(RAND(),{0,0.02,0.09,0.2,0.35,0.52,0.68,0.81,0.91,0.97},{1,2,3,4,5,6,7,8,9,10})</f>
        <v>7</v>
      </c>
      <c r="D609">
        <f t="shared" ca="1" si="54"/>
        <v>35400</v>
      </c>
      <c r="E609" t="str">
        <f ca="1">IF(B609="Oloitoktok A",IF(D609&lt;15000,LOOKUP(RAND(),{0,0.45,0.75,0.92},{"River","Rainwater","Borehole","Vendor"}),IF(D609&lt;30000,LOOKUP(RAND(),{0,0.35,0.65,0.85},{"River","Rainwater","Borehole","Vendor"}),LOOKUP(RAND(),{0,0.25,0.5,0.75},{"River","Rainwater","Borehole","Vendor"}))),IF(B609="Oloitoktok B",IF(D609&lt;15000,LOOKUP(RAND(),{0,0.5,0.78,0.94},{"River","Rainwater","Borehole","Vendor"}),IF(D609&lt;30000,LOOKUP(RAND(),{0,0.4,0.68,0.87},{"River","Rainwater","Borehole","Vendor"}),LOOKUP(RAND(),{0,0.28,0.55,0.78},{"River","Rainwater","Borehole","Vendor"}))),IF(B609="Kiserian",IF(D609&lt;15000,LOOKUP(RAND(),{0,0.35,0.65,0.9},{"River","Rainwater","Borehole","Vendor"}),IF(D609&lt;30000,LOOKUP(RAND(),{0,0.25,0.55,0.82},{"River","Rainwater","Borehole","Vendor"}),LOOKUP(RAND(),{0,0.15,0.45,0.72},{"River","Rainwater","Borehole","Vendor"}))),IF(D609&lt;15000,LOOKUP(RAND(),{0,0.4,0.7,0.92},{"River","Rainwater","Borehole","Vendor"}),IF(D609&lt;30000,LOOKUP(RAND(),{0,0.3,0.6,0.85},{"River","Rainwater","Borehole","Vendor"}),LOOKUP(RAND(),{0,0.2,0.5,0.75},{"River","Rainwater","Borehole","Vendor"}))))))</f>
        <v>Vendor</v>
      </c>
      <c r="F609">
        <f t="shared" ca="1" si="55"/>
        <v>34</v>
      </c>
      <c r="G609">
        <f t="shared" ca="1" si="56"/>
        <v>4.2</v>
      </c>
      <c r="H609">
        <f t="shared" ca="1" si="57"/>
        <v>5000</v>
      </c>
      <c r="I609">
        <f t="shared" ca="1" si="58"/>
        <v>0.15018745347409146</v>
      </c>
      <c r="J609">
        <v>1</v>
      </c>
    </row>
    <row r="610" spans="1:10" x14ac:dyDescent="0.3">
      <c r="A610" t="str">
        <f t="shared" si="59"/>
        <v>HH609</v>
      </c>
      <c r="B610" t="str">
        <f ca="1">LOOKUP(RAND(),{0,0.28,0.55,0.78},{"Oloitoktok A","Oloitoktok B","Kiserian","Namanga"})</f>
        <v>Oloitoktok A</v>
      </c>
      <c r="C610">
        <f ca="1">LOOKUP(RAND(),{0,0.02,0.09,0.2,0.35,0.52,0.68,0.81,0.91,0.97},{1,2,3,4,5,6,7,8,9,10})</f>
        <v>7</v>
      </c>
      <c r="D610">
        <f t="shared" ca="1" si="54"/>
        <v>96100</v>
      </c>
      <c r="E610" t="str">
        <f ca="1">IF(B610="Oloitoktok A",IF(D610&lt;15000,LOOKUP(RAND(),{0,0.45,0.75,0.92},{"River","Rainwater","Borehole","Vendor"}),IF(D610&lt;30000,LOOKUP(RAND(),{0,0.35,0.65,0.85},{"River","Rainwater","Borehole","Vendor"}),LOOKUP(RAND(),{0,0.25,0.5,0.75},{"River","Rainwater","Borehole","Vendor"}))),IF(B610="Oloitoktok B",IF(D610&lt;15000,LOOKUP(RAND(),{0,0.5,0.78,0.94},{"River","Rainwater","Borehole","Vendor"}),IF(D610&lt;30000,LOOKUP(RAND(),{0,0.4,0.68,0.87},{"River","Rainwater","Borehole","Vendor"}),LOOKUP(RAND(),{0,0.28,0.55,0.78},{"River","Rainwater","Borehole","Vendor"}))),IF(B610="Kiserian",IF(D610&lt;15000,LOOKUP(RAND(),{0,0.35,0.65,0.9},{"River","Rainwater","Borehole","Vendor"}),IF(D610&lt;30000,LOOKUP(RAND(),{0,0.25,0.55,0.82},{"River","Rainwater","Borehole","Vendor"}),LOOKUP(RAND(),{0,0.15,0.45,0.72},{"River","Rainwater","Borehole","Vendor"}))),IF(D610&lt;15000,LOOKUP(RAND(),{0,0.4,0.7,0.92},{"River","Rainwater","Borehole","Vendor"}),IF(D610&lt;30000,LOOKUP(RAND(),{0,0.3,0.6,0.85},{"River","Rainwater","Borehole","Vendor"}),LOOKUP(RAND(),{0,0.2,0.5,0.75},{"River","Rainwater","Borehole","Vendor"}))))))</f>
        <v>Borehole</v>
      </c>
      <c r="F610">
        <f t="shared" ca="1" si="55"/>
        <v>64</v>
      </c>
      <c r="G610">
        <f t="shared" ca="1" si="56"/>
        <v>13.5</v>
      </c>
      <c r="H610">
        <f t="shared" ca="1" si="57"/>
        <v>4600</v>
      </c>
      <c r="I610">
        <f t="shared" ca="1" si="58"/>
        <v>0.28270323979949963</v>
      </c>
      <c r="J610">
        <v>1</v>
      </c>
    </row>
    <row r="611" spans="1:10" x14ac:dyDescent="0.3">
      <c r="A611" t="str">
        <f t="shared" si="59"/>
        <v>HH610</v>
      </c>
      <c r="B611" t="str">
        <f ca="1">LOOKUP(RAND(),{0,0.28,0.55,0.78},{"Oloitoktok A","Oloitoktok B","Kiserian","Namanga"})</f>
        <v>Kiserian</v>
      </c>
      <c r="C611">
        <f ca="1">LOOKUP(RAND(),{0,0.02,0.09,0.2,0.35,0.52,0.68,0.81,0.91,0.97},{1,2,3,4,5,6,7,8,9,10})</f>
        <v>8</v>
      </c>
      <c r="D611">
        <f t="shared" ca="1" si="54"/>
        <v>83500</v>
      </c>
      <c r="E611" t="str">
        <f ca="1">IF(B611="Oloitoktok A",IF(D611&lt;15000,LOOKUP(RAND(),{0,0.45,0.75,0.92},{"River","Rainwater","Borehole","Vendor"}),IF(D611&lt;30000,LOOKUP(RAND(),{0,0.35,0.65,0.85},{"River","Rainwater","Borehole","Vendor"}),LOOKUP(RAND(),{0,0.25,0.5,0.75},{"River","Rainwater","Borehole","Vendor"}))),IF(B611="Oloitoktok B",IF(D611&lt;15000,LOOKUP(RAND(),{0,0.5,0.78,0.94},{"River","Rainwater","Borehole","Vendor"}),IF(D611&lt;30000,LOOKUP(RAND(),{0,0.4,0.68,0.87},{"River","Rainwater","Borehole","Vendor"}),LOOKUP(RAND(),{0,0.28,0.55,0.78},{"River","Rainwater","Borehole","Vendor"}))),IF(B611="Kiserian",IF(D611&lt;15000,LOOKUP(RAND(),{0,0.35,0.65,0.9},{"River","Rainwater","Borehole","Vendor"}),IF(D611&lt;30000,LOOKUP(RAND(),{0,0.25,0.55,0.82},{"River","Rainwater","Borehole","Vendor"}),LOOKUP(RAND(),{0,0.15,0.45,0.72},{"River","Rainwater","Borehole","Vendor"}))),IF(D611&lt;15000,LOOKUP(RAND(),{0,0.4,0.7,0.92},{"River","Rainwater","Borehole","Vendor"}),IF(D611&lt;30000,LOOKUP(RAND(),{0,0.3,0.6,0.85},{"River","Rainwater","Borehole","Vendor"}),LOOKUP(RAND(),{0,0.2,0.5,0.75},{"River","Rainwater","Borehole","Vendor"}))))))</f>
        <v>Rainwater</v>
      </c>
      <c r="F611">
        <f t="shared" ca="1" si="55"/>
        <v>22</v>
      </c>
      <c r="G611">
        <f t="shared" ca="1" si="56"/>
        <v>8.1999999999999993</v>
      </c>
      <c r="H611">
        <f t="shared" ca="1" si="57"/>
        <v>5600</v>
      </c>
      <c r="I611">
        <f t="shared" ca="1" si="58"/>
        <v>0.20815014969635459</v>
      </c>
      <c r="J611">
        <v>1</v>
      </c>
    </row>
    <row r="612" spans="1:10" x14ac:dyDescent="0.3">
      <c r="A612" t="str">
        <f t="shared" si="59"/>
        <v>HH611</v>
      </c>
      <c r="B612" t="str">
        <f ca="1">LOOKUP(RAND(),{0,0.28,0.55,0.78},{"Oloitoktok A","Oloitoktok B","Kiserian","Namanga"})</f>
        <v>Oloitoktok B</v>
      </c>
      <c r="C612">
        <f ca="1">LOOKUP(RAND(),{0,0.02,0.09,0.2,0.35,0.52,0.68,0.81,0.91,0.97},{1,2,3,4,5,6,7,8,9,10})</f>
        <v>3</v>
      </c>
      <c r="D612">
        <f t="shared" ca="1" si="54"/>
        <v>58400</v>
      </c>
      <c r="E612" t="str">
        <f ca="1">IF(B612="Oloitoktok A",IF(D612&lt;15000,LOOKUP(RAND(),{0,0.45,0.75,0.92},{"River","Rainwater","Borehole","Vendor"}),IF(D612&lt;30000,LOOKUP(RAND(),{0,0.35,0.65,0.85},{"River","Rainwater","Borehole","Vendor"}),LOOKUP(RAND(),{0,0.25,0.5,0.75},{"River","Rainwater","Borehole","Vendor"}))),IF(B612="Oloitoktok B",IF(D612&lt;15000,LOOKUP(RAND(),{0,0.5,0.78,0.94},{"River","Rainwater","Borehole","Vendor"}),IF(D612&lt;30000,LOOKUP(RAND(),{0,0.4,0.68,0.87},{"River","Rainwater","Borehole","Vendor"}),LOOKUP(RAND(),{0,0.28,0.55,0.78},{"River","Rainwater","Borehole","Vendor"}))),IF(B612="Kiserian",IF(D612&lt;15000,LOOKUP(RAND(),{0,0.35,0.65,0.9},{"River","Rainwater","Borehole","Vendor"}),IF(D612&lt;30000,LOOKUP(RAND(),{0,0.25,0.55,0.82},{"River","Rainwater","Borehole","Vendor"}),LOOKUP(RAND(),{0,0.15,0.45,0.72},{"River","Rainwater","Borehole","Vendor"}))),IF(D612&lt;15000,LOOKUP(RAND(),{0,0.4,0.7,0.92},{"River","Rainwater","Borehole","Vendor"}),IF(D612&lt;30000,LOOKUP(RAND(),{0,0.3,0.6,0.85},{"River","Rainwater","Borehole","Vendor"}),LOOKUP(RAND(),{0,0.2,0.5,0.75},{"River","Rainwater","Borehole","Vendor"}))))))</f>
        <v>River</v>
      </c>
      <c r="F612">
        <f t="shared" ca="1" si="55"/>
        <v>56</v>
      </c>
      <c r="G612">
        <f t="shared" ca="1" si="56"/>
        <v>0.9</v>
      </c>
      <c r="H612">
        <f t="shared" ca="1" si="57"/>
        <v>2700</v>
      </c>
      <c r="I612">
        <f t="shared" ca="1" si="58"/>
        <v>0.82184289552210132</v>
      </c>
      <c r="J612">
        <v>1</v>
      </c>
    </row>
    <row r="613" spans="1:10" x14ac:dyDescent="0.3">
      <c r="A613" t="str">
        <f t="shared" si="59"/>
        <v>HH612</v>
      </c>
      <c r="B613" t="str">
        <f ca="1">LOOKUP(RAND(),{0,0.28,0.55,0.78},{"Oloitoktok A","Oloitoktok B","Kiserian","Namanga"})</f>
        <v>Namanga</v>
      </c>
      <c r="C613">
        <f ca="1">LOOKUP(RAND(),{0,0.02,0.09,0.2,0.35,0.52,0.68,0.81,0.91,0.97},{1,2,3,4,5,6,7,8,9,10})</f>
        <v>5</v>
      </c>
      <c r="D613">
        <f t="shared" ca="1" si="54"/>
        <v>27300</v>
      </c>
      <c r="E613" t="str">
        <f ca="1">IF(B613="Oloitoktok A",IF(D613&lt;15000,LOOKUP(RAND(),{0,0.45,0.75,0.92},{"River","Rainwater","Borehole","Vendor"}),IF(D613&lt;30000,LOOKUP(RAND(),{0,0.35,0.65,0.85},{"River","Rainwater","Borehole","Vendor"}),LOOKUP(RAND(),{0,0.25,0.5,0.75},{"River","Rainwater","Borehole","Vendor"}))),IF(B613="Oloitoktok B",IF(D613&lt;15000,LOOKUP(RAND(),{0,0.5,0.78,0.94},{"River","Rainwater","Borehole","Vendor"}),IF(D613&lt;30000,LOOKUP(RAND(),{0,0.4,0.68,0.87},{"River","Rainwater","Borehole","Vendor"}),LOOKUP(RAND(),{0,0.28,0.55,0.78},{"River","Rainwater","Borehole","Vendor"}))),IF(B613="Kiserian",IF(D613&lt;15000,LOOKUP(RAND(),{0,0.35,0.65,0.9},{"River","Rainwater","Borehole","Vendor"}),IF(D613&lt;30000,LOOKUP(RAND(),{0,0.25,0.55,0.82},{"River","Rainwater","Borehole","Vendor"}),LOOKUP(RAND(),{0,0.15,0.45,0.72},{"River","Rainwater","Borehole","Vendor"}))),IF(D613&lt;15000,LOOKUP(RAND(),{0,0.4,0.7,0.92},{"River","Rainwater","Borehole","Vendor"}),IF(D613&lt;30000,LOOKUP(RAND(),{0,0.3,0.6,0.85},{"River","Rainwater","Borehole","Vendor"}),LOOKUP(RAND(),{0,0.2,0.5,0.75},{"River","Rainwater","Borehole","Vendor"}))))))</f>
        <v>River</v>
      </c>
      <c r="F613">
        <f t="shared" ca="1" si="55"/>
        <v>46</v>
      </c>
      <c r="G613">
        <f t="shared" ca="1" si="56"/>
        <v>0.4</v>
      </c>
      <c r="H613">
        <f t="shared" ca="1" si="57"/>
        <v>6100</v>
      </c>
      <c r="I613">
        <f t="shared" ca="1" si="58"/>
        <v>0.79184391735395621</v>
      </c>
      <c r="J613">
        <v>1</v>
      </c>
    </row>
    <row r="614" spans="1:10" x14ac:dyDescent="0.3">
      <c r="A614" t="str">
        <f t="shared" si="59"/>
        <v>HH613</v>
      </c>
      <c r="B614" t="str">
        <f ca="1">LOOKUP(RAND(),{0,0.28,0.55,0.78},{"Oloitoktok A","Oloitoktok B","Kiserian","Namanga"})</f>
        <v>Namanga</v>
      </c>
      <c r="C614">
        <f ca="1">LOOKUP(RAND(),{0,0.02,0.09,0.2,0.35,0.52,0.68,0.81,0.91,0.97},{1,2,3,4,5,6,7,8,9,10})</f>
        <v>3</v>
      </c>
      <c r="D614">
        <f t="shared" ca="1" si="54"/>
        <v>13200</v>
      </c>
      <c r="E614" t="str">
        <f ca="1">IF(B614="Oloitoktok A",IF(D614&lt;15000,LOOKUP(RAND(),{0,0.45,0.75,0.92},{"River","Rainwater","Borehole","Vendor"}),IF(D614&lt;30000,LOOKUP(RAND(),{0,0.35,0.65,0.85},{"River","Rainwater","Borehole","Vendor"}),LOOKUP(RAND(),{0,0.25,0.5,0.75},{"River","Rainwater","Borehole","Vendor"}))),IF(B614="Oloitoktok B",IF(D614&lt;15000,LOOKUP(RAND(),{0,0.5,0.78,0.94},{"River","Rainwater","Borehole","Vendor"}),IF(D614&lt;30000,LOOKUP(RAND(),{0,0.4,0.68,0.87},{"River","Rainwater","Borehole","Vendor"}),LOOKUP(RAND(),{0,0.28,0.55,0.78},{"River","Rainwater","Borehole","Vendor"}))),IF(B614="Kiserian",IF(D614&lt;15000,LOOKUP(RAND(),{0,0.35,0.65,0.9},{"River","Rainwater","Borehole","Vendor"}),IF(D614&lt;30000,LOOKUP(RAND(),{0,0.25,0.55,0.82},{"River","Rainwater","Borehole","Vendor"}),LOOKUP(RAND(),{0,0.15,0.45,0.72},{"River","Rainwater","Borehole","Vendor"}))),IF(D614&lt;15000,LOOKUP(RAND(),{0,0.4,0.7,0.92},{"River","Rainwater","Borehole","Vendor"}),IF(D614&lt;30000,LOOKUP(RAND(),{0,0.3,0.6,0.85},{"River","Rainwater","Borehole","Vendor"}),LOOKUP(RAND(),{0,0.2,0.5,0.75},{"River","Rainwater","Borehole","Vendor"}))))))</f>
        <v>River</v>
      </c>
      <c r="F614">
        <f t="shared" ca="1" si="55"/>
        <v>107</v>
      </c>
      <c r="G614">
        <f t="shared" ca="1" si="56"/>
        <v>8.4</v>
      </c>
      <c r="H614">
        <f t="shared" ca="1" si="57"/>
        <v>3300</v>
      </c>
      <c r="I614">
        <f t="shared" ca="1" si="58"/>
        <v>1.6274902920141776E-2</v>
      </c>
      <c r="J614">
        <v>1</v>
      </c>
    </row>
    <row r="615" spans="1:10" x14ac:dyDescent="0.3">
      <c r="A615" t="str">
        <f t="shared" si="59"/>
        <v>HH614</v>
      </c>
      <c r="B615" t="str">
        <f ca="1">LOOKUP(RAND(),{0,0.28,0.55,0.78},{"Oloitoktok A","Oloitoktok B","Kiserian","Namanga"})</f>
        <v>Oloitoktok A</v>
      </c>
      <c r="C615">
        <f ca="1">LOOKUP(RAND(),{0,0.02,0.09,0.2,0.35,0.52,0.68,0.81,0.91,0.97},{1,2,3,4,5,6,7,8,9,10})</f>
        <v>9</v>
      </c>
      <c r="D615">
        <f t="shared" ca="1" si="54"/>
        <v>22300</v>
      </c>
      <c r="E615" t="str">
        <f ca="1">IF(B615="Oloitoktok A",IF(D615&lt;15000,LOOKUP(RAND(),{0,0.45,0.75,0.92},{"River","Rainwater","Borehole","Vendor"}),IF(D615&lt;30000,LOOKUP(RAND(),{0,0.35,0.65,0.85},{"River","Rainwater","Borehole","Vendor"}),LOOKUP(RAND(),{0,0.25,0.5,0.75},{"River","Rainwater","Borehole","Vendor"}))),IF(B615="Oloitoktok B",IF(D615&lt;15000,LOOKUP(RAND(),{0,0.5,0.78,0.94},{"River","Rainwater","Borehole","Vendor"}),IF(D615&lt;30000,LOOKUP(RAND(),{0,0.4,0.68,0.87},{"River","Rainwater","Borehole","Vendor"}),LOOKUP(RAND(),{0,0.28,0.55,0.78},{"River","Rainwater","Borehole","Vendor"}))),IF(B615="Kiserian",IF(D615&lt;15000,LOOKUP(RAND(),{0,0.35,0.65,0.9},{"River","Rainwater","Borehole","Vendor"}),IF(D615&lt;30000,LOOKUP(RAND(),{0,0.25,0.55,0.82},{"River","Rainwater","Borehole","Vendor"}),LOOKUP(RAND(),{0,0.15,0.45,0.72},{"River","Rainwater","Borehole","Vendor"}))),IF(D615&lt;15000,LOOKUP(RAND(),{0,0.4,0.7,0.92},{"River","Rainwater","Borehole","Vendor"}),IF(D615&lt;30000,LOOKUP(RAND(),{0,0.3,0.6,0.85},{"River","Rainwater","Borehole","Vendor"}),LOOKUP(RAND(),{0,0.2,0.5,0.75},{"River","Rainwater","Borehole","Vendor"}))))))</f>
        <v>River</v>
      </c>
      <c r="F615">
        <f t="shared" ca="1" si="55"/>
        <v>62</v>
      </c>
      <c r="G615">
        <f t="shared" ca="1" si="56"/>
        <v>4.2</v>
      </c>
      <c r="H615">
        <f t="shared" ca="1" si="57"/>
        <v>700</v>
      </c>
      <c r="I615">
        <f t="shared" ca="1" si="58"/>
        <v>0.47955831825673367</v>
      </c>
      <c r="J615">
        <v>1</v>
      </c>
    </row>
    <row r="616" spans="1:10" x14ac:dyDescent="0.3">
      <c r="A616" t="str">
        <f t="shared" si="59"/>
        <v>HH615</v>
      </c>
      <c r="B616" t="str">
        <f ca="1">LOOKUP(RAND(),{0,0.28,0.55,0.78},{"Oloitoktok A","Oloitoktok B","Kiserian","Namanga"})</f>
        <v>Namanga</v>
      </c>
      <c r="C616">
        <f ca="1">LOOKUP(RAND(),{0,0.02,0.09,0.2,0.35,0.52,0.68,0.81,0.91,0.97},{1,2,3,4,5,6,7,8,9,10})</f>
        <v>5</v>
      </c>
      <c r="D616">
        <f t="shared" ca="1" si="54"/>
        <v>43500</v>
      </c>
      <c r="E616" t="str">
        <f ca="1">IF(B616="Oloitoktok A",IF(D616&lt;15000,LOOKUP(RAND(),{0,0.45,0.75,0.92},{"River","Rainwater","Borehole","Vendor"}),IF(D616&lt;30000,LOOKUP(RAND(),{0,0.35,0.65,0.85},{"River","Rainwater","Borehole","Vendor"}),LOOKUP(RAND(),{0,0.25,0.5,0.75},{"River","Rainwater","Borehole","Vendor"}))),IF(B616="Oloitoktok B",IF(D616&lt;15000,LOOKUP(RAND(),{0,0.5,0.78,0.94},{"River","Rainwater","Borehole","Vendor"}),IF(D616&lt;30000,LOOKUP(RAND(),{0,0.4,0.68,0.87},{"River","Rainwater","Borehole","Vendor"}),LOOKUP(RAND(),{0,0.28,0.55,0.78},{"River","Rainwater","Borehole","Vendor"}))),IF(B616="Kiserian",IF(D616&lt;15000,LOOKUP(RAND(),{0,0.35,0.65,0.9},{"River","Rainwater","Borehole","Vendor"}),IF(D616&lt;30000,LOOKUP(RAND(),{0,0.25,0.55,0.82},{"River","Rainwater","Borehole","Vendor"}),LOOKUP(RAND(),{0,0.15,0.45,0.72},{"River","Rainwater","Borehole","Vendor"}))),IF(D616&lt;15000,LOOKUP(RAND(),{0,0.4,0.7,0.92},{"River","Rainwater","Borehole","Vendor"}),IF(D616&lt;30000,LOOKUP(RAND(),{0,0.3,0.6,0.85},{"River","Rainwater","Borehole","Vendor"}),LOOKUP(RAND(),{0,0.2,0.5,0.75},{"River","Rainwater","Borehole","Vendor"}))))))</f>
        <v>Borehole</v>
      </c>
      <c r="F616">
        <f t="shared" ca="1" si="55"/>
        <v>51</v>
      </c>
      <c r="G616">
        <f t="shared" ca="1" si="56"/>
        <v>9.6</v>
      </c>
      <c r="H616">
        <f t="shared" ca="1" si="57"/>
        <v>4500</v>
      </c>
      <c r="I616">
        <f t="shared" ca="1" si="58"/>
        <v>9.2824423059064243E-2</v>
      </c>
      <c r="J616">
        <v>1</v>
      </c>
    </row>
    <row r="617" spans="1:10" x14ac:dyDescent="0.3">
      <c r="A617" t="str">
        <f t="shared" si="59"/>
        <v>HH616</v>
      </c>
      <c r="B617" t="str">
        <f ca="1">LOOKUP(RAND(),{0,0.28,0.55,0.78},{"Oloitoktok A","Oloitoktok B","Kiserian","Namanga"})</f>
        <v>Oloitoktok A</v>
      </c>
      <c r="C617">
        <f ca="1">LOOKUP(RAND(),{0,0.02,0.09,0.2,0.35,0.52,0.68,0.81,0.91,0.97},{1,2,3,4,5,6,7,8,9,10})</f>
        <v>5</v>
      </c>
      <c r="D617">
        <f t="shared" ca="1" si="54"/>
        <v>5800</v>
      </c>
      <c r="E617" t="str">
        <f ca="1">IF(B617="Oloitoktok A",IF(D617&lt;15000,LOOKUP(RAND(),{0,0.45,0.75,0.92},{"River","Rainwater","Borehole","Vendor"}),IF(D617&lt;30000,LOOKUP(RAND(),{0,0.35,0.65,0.85},{"River","Rainwater","Borehole","Vendor"}),LOOKUP(RAND(),{0,0.25,0.5,0.75},{"River","Rainwater","Borehole","Vendor"}))),IF(B617="Oloitoktok B",IF(D617&lt;15000,LOOKUP(RAND(),{0,0.5,0.78,0.94},{"River","Rainwater","Borehole","Vendor"}),IF(D617&lt;30000,LOOKUP(RAND(),{0,0.4,0.68,0.87},{"River","Rainwater","Borehole","Vendor"}),LOOKUP(RAND(),{0,0.28,0.55,0.78},{"River","Rainwater","Borehole","Vendor"}))),IF(B617="Kiserian",IF(D617&lt;15000,LOOKUP(RAND(),{0,0.35,0.65,0.9},{"River","Rainwater","Borehole","Vendor"}),IF(D617&lt;30000,LOOKUP(RAND(),{0,0.25,0.55,0.82},{"River","Rainwater","Borehole","Vendor"}),LOOKUP(RAND(),{0,0.15,0.45,0.72},{"River","Rainwater","Borehole","Vendor"}))),IF(D617&lt;15000,LOOKUP(RAND(),{0,0.4,0.7,0.92},{"River","Rainwater","Borehole","Vendor"}),IF(D617&lt;30000,LOOKUP(RAND(),{0,0.3,0.6,0.85},{"River","Rainwater","Borehole","Vendor"}),LOOKUP(RAND(),{0,0.2,0.5,0.75},{"River","Rainwater","Borehole","Vendor"}))))))</f>
        <v>River</v>
      </c>
      <c r="F617">
        <f t="shared" ca="1" si="55"/>
        <v>58</v>
      </c>
      <c r="G617">
        <f t="shared" ca="1" si="56"/>
        <v>7.1</v>
      </c>
      <c r="H617">
        <f t="shared" ca="1" si="57"/>
        <v>9600</v>
      </c>
      <c r="I617">
        <f t="shared" ca="1" si="58"/>
        <v>0.5110570898593374</v>
      </c>
      <c r="J617">
        <v>1</v>
      </c>
    </row>
    <row r="618" spans="1:10" x14ac:dyDescent="0.3">
      <c r="A618" t="str">
        <f t="shared" si="59"/>
        <v>HH617</v>
      </c>
      <c r="B618" t="str">
        <f ca="1">LOOKUP(RAND(),{0,0.28,0.55,0.78},{"Oloitoktok A","Oloitoktok B","Kiserian","Namanga"})</f>
        <v>Oloitoktok B</v>
      </c>
      <c r="C618">
        <f ca="1">LOOKUP(RAND(),{0,0.02,0.09,0.2,0.35,0.52,0.68,0.81,0.91,0.97},{1,2,3,4,5,6,7,8,9,10})</f>
        <v>8</v>
      </c>
      <c r="D618">
        <f t="shared" ca="1" si="54"/>
        <v>31200</v>
      </c>
      <c r="E618" t="str">
        <f ca="1">IF(B618="Oloitoktok A",IF(D618&lt;15000,LOOKUP(RAND(),{0,0.45,0.75,0.92},{"River","Rainwater","Borehole","Vendor"}),IF(D618&lt;30000,LOOKUP(RAND(),{0,0.35,0.65,0.85},{"River","Rainwater","Borehole","Vendor"}),LOOKUP(RAND(),{0,0.25,0.5,0.75},{"River","Rainwater","Borehole","Vendor"}))),IF(B618="Oloitoktok B",IF(D618&lt;15000,LOOKUP(RAND(),{0,0.5,0.78,0.94},{"River","Rainwater","Borehole","Vendor"}),IF(D618&lt;30000,LOOKUP(RAND(),{0,0.4,0.68,0.87},{"River","Rainwater","Borehole","Vendor"}),LOOKUP(RAND(),{0,0.28,0.55,0.78},{"River","Rainwater","Borehole","Vendor"}))),IF(B618="Kiserian",IF(D618&lt;15000,LOOKUP(RAND(),{0,0.35,0.65,0.9},{"River","Rainwater","Borehole","Vendor"}),IF(D618&lt;30000,LOOKUP(RAND(),{0,0.25,0.55,0.82},{"River","Rainwater","Borehole","Vendor"}),LOOKUP(RAND(),{0,0.15,0.45,0.72},{"River","Rainwater","Borehole","Vendor"}))),IF(D618&lt;15000,LOOKUP(RAND(),{0,0.4,0.7,0.92},{"River","Rainwater","Borehole","Vendor"}),IF(D618&lt;30000,LOOKUP(RAND(),{0,0.3,0.6,0.85},{"River","Rainwater","Borehole","Vendor"}),LOOKUP(RAND(),{0,0.2,0.5,0.75},{"River","Rainwater","Borehole","Vendor"}))))))</f>
        <v>Rainwater</v>
      </c>
      <c r="F618">
        <f t="shared" ca="1" si="55"/>
        <v>65</v>
      </c>
      <c r="G618">
        <f t="shared" ca="1" si="56"/>
        <v>10.4</v>
      </c>
      <c r="H618">
        <f t="shared" ca="1" si="57"/>
        <v>5800</v>
      </c>
      <c r="I618">
        <f t="shared" ca="1" si="58"/>
        <v>0.80235782010625056</v>
      </c>
      <c r="J618">
        <v>1</v>
      </c>
    </row>
    <row r="619" spans="1:10" x14ac:dyDescent="0.3">
      <c r="A619" t="str">
        <f t="shared" si="59"/>
        <v>HH618</v>
      </c>
      <c r="B619" t="str">
        <f ca="1">LOOKUP(RAND(),{0,0.28,0.55,0.78},{"Oloitoktok A","Oloitoktok B","Kiserian","Namanga"})</f>
        <v>Namanga</v>
      </c>
      <c r="C619">
        <f ca="1">LOOKUP(RAND(),{0,0.02,0.09,0.2,0.35,0.52,0.68,0.81,0.91,0.97},{1,2,3,4,5,6,7,8,9,10})</f>
        <v>5</v>
      </c>
      <c r="D619">
        <f t="shared" ca="1" si="54"/>
        <v>44700</v>
      </c>
      <c r="E619" t="str">
        <f ca="1">IF(B619="Oloitoktok A",IF(D619&lt;15000,LOOKUP(RAND(),{0,0.45,0.75,0.92},{"River","Rainwater","Borehole","Vendor"}),IF(D619&lt;30000,LOOKUP(RAND(),{0,0.35,0.65,0.85},{"River","Rainwater","Borehole","Vendor"}),LOOKUP(RAND(),{0,0.25,0.5,0.75},{"River","Rainwater","Borehole","Vendor"}))),IF(B619="Oloitoktok B",IF(D619&lt;15000,LOOKUP(RAND(),{0,0.5,0.78,0.94},{"River","Rainwater","Borehole","Vendor"}),IF(D619&lt;30000,LOOKUP(RAND(),{0,0.4,0.68,0.87},{"River","Rainwater","Borehole","Vendor"}),LOOKUP(RAND(),{0,0.28,0.55,0.78},{"River","Rainwater","Borehole","Vendor"}))),IF(B619="Kiserian",IF(D619&lt;15000,LOOKUP(RAND(),{0,0.35,0.65,0.9},{"River","Rainwater","Borehole","Vendor"}),IF(D619&lt;30000,LOOKUP(RAND(),{0,0.25,0.55,0.82},{"River","Rainwater","Borehole","Vendor"}),LOOKUP(RAND(),{0,0.15,0.45,0.72},{"River","Rainwater","Borehole","Vendor"}))),IF(D619&lt;15000,LOOKUP(RAND(),{0,0.4,0.7,0.92},{"River","Rainwater","Borehole","Vendor"}),IF(D619&lt;30000,LOOKUP(RAND(),{0,0.3,0.6,0.85},{"River","Rainwater","Borehole","Vendor"}),LOOKUP(RAND(),{0,0.2,0.5,0.75},{"River","Rainwater","Borehole","Vendor"}))))))</f>
        <v>Vendor</v>
      </c>
      <c r="F619">
        <f t="shared" ca="1" si="55"/>
        <v>46</v>
      </c>
      <c r="G619">
        <f t="shared" ca="1" si="56"/>
        <v>8.3000000000000007</v>
      </c>
      <c r="H619">
        <f t="shared" ca="1" si="57"/>
        <v>4400</v>
      </c>
      <c r="I619">
        <f t="shared" ca="1" si="58"/>
        <v>0.86890042168281423</v>
      </c>
      <c r="J619">
        <v>1</v>
      </c>
    </row>
    <row r="620" spans="1:10" x14ac:dyDescent="0.3">
      <c r="A620" t="str">
        <f t="shared" si="59"/>
        <v>HH619</v>
      </c>
      <c r="B620" t="str">
        <f ca="1">LOOKUP(RAND(),{0,0.28,0.55,0.78},{"Oloitoktok A","Oloitoktok B","Kiserian","Namanga"})</f>
        <v>Namanga</v>
      </c>
      <c r="C620">
        <f ca="1">LOOKUP(RAND(),{0,0.02,0.09,0.2,0.35,0.52,0.68,0.81,0.91,0.97},{1,2,3,4,5,6,7,8,9,10})</f>
        <v>4</v>
      </c>
      <c r="D620">
        <f t="shared" ca="1" si="54"/>
        <v>38900</v>
      </c>
      <c r="E620" t="str">
        <f ca="1">IF(B620="Oloitoktok A",IF(D620&lt;15000,LOOKUP(RAND(),{0,0.45,0.75,0.92},{"River","Rainwater","Borehole","Vendor"}),IF(D620&lt;30000,LOOKUP(RAND(),{0,0.35,0.65,0.85},{"River","Rainwater","Borehole","Vendor"}),LOOKUP(RAND(),{0,0.25,0.5,0.75},{"River","Rainwater","Borehole","Vendor"}))),IF(B620="Oloitoktok B",IF(D620&lt;15000,LOOKUP(RAND(),{0,0.5,0.78,0.94},{"River","Rainwater","Borehole","Vendor"}),IF(D620&lt;30000,LOOKUP(RAND(),{0,0.4,0.68,0.87},{"River","Rainwater","Borehole","Vendor"}),LOOKUP(RAND(),{0,0.28,0.55,0.78},{"River","Rainwater","Borehole","Vendor"}))),IF(B620="Kiserian",IF(D620&lt;15000,LOOKUP(RAND(),{0,0.35,0.65,0.9},{"River","Rainwater","Borehole","Vendor"}),IF(D620&lt;30000,LOOKUP(RAND(),{0,0.25,0.55,0.82},{"River","Rainwater","Borehole","Vendor"}),LOOKUP(RAND(),{0,0.15,0.45,0.72},{"River","Rainwater","Borehole","Vendor"}))),IF(D620&lt;15000,LOOKUP(RAND(),{0,0.4,0.7,0.92},{"River","Rainwater","Borehole","Vendor"}),IF(D620&lt;30000,LOOKUP(RAND(),{0,0.3,0.6,0.85},{"River","Rainwater","Borehole","Vendor"}),LOOKUP(RAND(),{0,0.2,0.5,0.75},{"River","Rainwater","Borehole","Vendor"}))))))</f>
        <v>River</v>
      </c>
      <c r="F620">
        <f t="shared" ca="1" si="55"/>
        <v>106</v>
      </c>
      <c r="G620">
        <f t="shared" ca="1" si="56"/>
        <v>8.6999999999999993</v>
      </c>
      <c r="H620">
        <f t="shared" ca="1" si="57"/>
        <v>4500</v>
      </c>
      <c r="I620">
        <f t="shared" ca="1" si="58"/>
        <v>0.57761312157797173</v>
      </c>
      <c r="J620">
        <v>1</v>
      </c>
    </row>
    <row r="621" spans="1:10" x14ac:dyDescent="0.3">
      <c r="A621" t="str">
        <f t="shared" si="59"/>
        <v>HH620</v>
      </c>
      <c r="B621" t="str">
        <f ca="1">LOOKUP(RAND(),{0,0.28,0.55,0.78},{"Oloitoktok A","Oloitoktok B","Kiserian","Namanga"})</f>
        <v>Kiserian</v>
      </c>
      <c r="C621">
        <f ca="1">LOOKUP(RAND(),{0,0.02,0.09,0.2,0.35,0.52,0.68,0.81,0.91,0.97},{1,2,3,4,5,6,7,8,9,10})</f>
        <v>9</v>
      </c>
      <c r="D621">
        <f t="shared" ca="1" si="54"/>
        <v>77000</v>
      </c>
      <c r="E621" t="str">
        <f ca="1">IF(B621="Oloitoktok A",IF(D621&lt;15000,LOOKUP(RAND(),{0,0.45,0.75,0.92},{"River","Rainwater","Borehole","Vendor"}),IF(D621&lt;30000,LOOKUP(RAND(),{0,0.35,0.65,0.85},{"River","Rainwater","Borehole","Vendor"}),LOOKUP(RAND(),{0,0.25,0.5,0.75},{"River","Rainwater","Borehole","Vendor"}))),IF(B621="Oloitoktok B",IF(D621&lt;15000,LOOKUP(RAND(),{0,0.5,0.78,0.94},{"River","Rainwater","Borehole","Vendor"}),IF(D621&lt;30000,LOOKUP(RAND(),{0,0.4,0.68,0.87},{"River","Rainwater","Borehole","Vendor"}),LOOKUP(RAND(),{0,0.28,0.55,0.78},{"River","Rainwater","Borehole","Vendor"}))),IF(B621="Kiserian",IF(D621&lt;15000,LOOKUP(RAND(),{0,0.35,0.65,0.9},{"River","Rainwater","Borehole","Vendor"}),IF(D621&lt;30000,LOOKUP(RAND(),{0,0.25,0.55,0.82},{"River","Rainwater","Borehole","Vendor"}),LOOKUP(RAND(),{0,0.15,0.45,0.72},{"River","Rainwater","Borehole","Vendor"}))),IF(D621&lt;15000,LOOKUP(RAND(),{0,0.4,0.7,0.92},{"River","Rainwater","Borehole","Vendor"}),IF(D621&lt;30000,LOOKUP(RAND(),{0,0.3,0.6,0.85},{"River","Rainwater","Borehole","Vendor"}),LOOKUP(RAND(),{0,0.2,0.5,0.75},{"River","Rainwater","Borehole","Vendor"}))))))</f>
        <v>Vendor</v>
      </c>
      <c r="F621">
        <f t="shared" ca="1" si="55"/>
        <v>26</v>
      </c>
      <c r="G621">
        <f t="shared" ca="1" si="56"/>
        <v>5.3</v>
      </c>
      <c r="H621">
        <f t="shared" ca="1" si="57"/>
        <v>8800</v>
      </c>
      <c r="I621">
        <f t="shared" ca="1" si="58"/>
        <v>0.40920067072473776</v>
      </c>
      <c r="J621">
        <v>1</v>
      </c>
    </row>
    <row r="622" spans="1:10" x14ac:dyDescent="0.3">
      <c r="A622" t="str">
        <f t="shared" si="59"/>
        <v>HH621</v>
      </c>
      <c r="B622" t="str">
        <f ca="1">LOOKUP(RAND(),{0,0.28,0.55,0.78},{"Oloitoktok A","Oloitoktok B","Kiserian","Namanga"})</f>
        <v>Kiserian</v>
      </c>
      <c r="C622">
        <f ca="1">LOOKUP(RAND(),{0,0.02,0.09,0.2,0.35,0.52,0.68,0.81,0.91,0.97},{1,2,3,4,5,6,7,8,9,10})</f>
        <v>3</v>
      </c>
      <c r="D622">
        <f t="shared" ca="1" si="54"/>
        <v>35700</v>
      </c>
      <c r="E622" t="str">
        <f ca="1">IF(B622="Oloitoktok A",IF(D622&lt;15000,LOOKUP(RAND(),{0,0.45,0.75,0.92},{"River","Rainwater","Borehole","Vendor"}),IF(D622&lt;30000,LOOKUP(RAND(),{0,0.35,0.65,0.85},{"River","Rainwater","Borehole","Vendor"}),LOOKUP(RAND(),{0,0.25,0.5,0.75},{"River","Rainwater","Borehole","Vendor"}))),IF(B622="Oloitoktok B",IF(D622&lt;15000,LOOKUP(RAND(),{0,0.5,0.78,0.94},{"River","Rainwater","Borehole","Vendor"}),IF(D622&lt;30000,LOOKUP(RAND(),{0,0.4,0.68,0.87},{"River","Rainwater","Borehole","Vendor"}),LOOKUP(RAND(),{0,0.28,0.55,0.78},{"River","Rainwater","Borehole","Vendor"}))),IF(B622="Kiserian",IF(D622&lt;15000,LOOKUP(RAND(),{0,0.35,0.65,0.9},{"River","Rainwater","Borehole","Vendor"}),IF(D622&lt;30000,LOOKUP(RAND(),{0,0.25,0.55,0.82},{"River","Rainwater","Borehole","Vendor"}),LOOKUP(RAND(),{0,0.15,0.45,0.72},{"River","Rainwater","Borehole","Vendor"}))),IF(D622&lt;15000,LOOKUP(RAND(),{0,0.4,0.7,0.92},{"River","Rainwater","Borehole","Vendor"}),IF(D622&lt;30000,LOOKUP(RAND(),{0,0.3,0.6,0.85},{"River","Rainwater","Borehole","Vendor"}),LOOKUP(RAND(),{0,0.2,0.5,0.75},{"River","Rainwater","Borehole","Vendor"}))))))</f>
        <v>River</v>
      </c>
      <c r="F622">
        <f t="shared" ca="1" si="55"/>
        <v>94</v>
      </c>
      <c r="G622">
        <f t="shared" ca="1" si="56"/>
        <v>8.3000000000000007</v>
      </c>
      <c r="H622">
        <f t="shared" ca="1" si="57"/>
        <v>4700</v>
      </c>
      <c r="I622">
        <f t="shared" ca="1" si="58"/>
        <v>0.2485879639024714</v>
      </c>
      <c r="J622">
        <v>1</v>
      </c>
    </row>
    <row r="623" spans="1:10" x14ac:dyDescent="0.3">
      <c r="A623" t="str">
        <f t="shared" si="59"/>
        <v>HH622</v>
      </c>
      <c r="B623" t="str">
        <f ca="1">LOOKUP(RAND(),{0,0.28,0.55,0.78},{"Oloitoktok A","Oloitoktok B","Kiserian","Namanga"})</f>
        <v>Oloitoktok B</v>
      </c>
      <c r="C623">
        <f ca="1">LOOKUP(RAND(),{0,0.02,0.09,0.2,0.35,0.52,0.68,0.81,0.91,0.97},{1,2,3,4,5,6,7,8,9,10})</f>
        <v>7</v>
      </c>
      <c r="D623">
        <f t="shared" ca="1" si="54"/>
        <v>60200</v>
      </c>
      <c r="E623" t="str">
        <f ca="1">IF(B623="Oloitoktok A",IF(D623&lt;15000,LOOKUP(RAND(),{0,0.45,0.75,0.92},{"River","Rainwater","Borehole","Vendor"}),IF(D623&lt;30000,LOOKUP(RAND(),{0,0.35,0.65,0.85},{"River","Rainwater","Borehole","Vendor"}),LOOKUP(RAND(),{0,0.25,0.5,0.75},{"River","Rainwater","Borehole","Vendor"}))),IF(B623="Oloitoktok B",IF(D623&lt;15000,LOOKUP(RAND(),{0,0.5,0.78,0.94},{"River","Rainwater","Borehole","Vendor"}),IF(D623&lt;30000,LOOKUP(RAND(),{0,0.4,0.68,0.87},{"River","Rainwater","Borehole","Vendor"}),LOOKUP(RAND(),{0,0.28,0.55,0.78},{"River","Rainwater","Borehole","Vendor"}))),IF(B623="Kiserian",IF(D623&lt;15000,LOOKUP(RAND(),{0,0.35,0.65,0.9},{"River","Rainwater","Borehole","Vendor"}),IF(D623&lt;30000,LOOKUP(RAND(),{0,0.25,0.55,0.82},{"River","Rainwater","Borehole","Vendor"}),LOOKUP(RAND(),{0,0.15,0.45,0.72},{"River","Rainwater","Borehole","Vendor"}))),IF(D623&lt;15000,LOOKUP(RAND(),{0,0.4,0.7,0.92},{"River","Rainwater","Borehole","Vendor"}),IF(D623&lt;30000,LOOKUP(RAND(),{0,0.3,0.6,0.85},{"River","Rainwater","Borehole","Vendor"}),LOOKUP(RAND(),{0,0.2,0.5,0.75},{"River","Rainwater","Borehole","Vendor"}))))))</f>
        <v>Vendor</v>
      </c>
      <c r="F623">
        <f t="shared" ca="1" si="55"/>
        <v>22</v>
      </c>
      <c r="G623">
        <f t="shared" ca="1" si="56"/>
        <v>8.1</v>
      </c>
      <c r="H623">
        <f t="shared" ca="1" si="57"/>
        <v>2000</v>
      </c>
      <c r="I623">
        <f t="shared" ca="1" si="58"/>
        <v>0.79350859649315952</v>
      </c>
      <c r="J623">
        <v>1</v>
      </c>
    </row>
    <row r="624" spans="1:10" x14ac:dyDescent="0.3">
      <c r="A624" t="str">
        <f t="shared" si="59"/>
        <v>HH623</v>
      </c>
      <c r="B624" t="str">
        <f ca="1">LOOKUP(RAND(),{0,0.28,0.55,0.78},{"Oloitoktok A","Oloitoktok B","Kiserian","Namanga"})</f>
        <v>Oloitoktok A</v>
      </c>
      <c r="C624">
        <f ca="1">LOOKUP(RAND(),{0,0.02,0.09,0.2,0.35,0.52,0.68,0.81,0.91,0.97},{1,2,3,4,5,6,7,8,9,10})</f>
        <v>3</v>
      </c>
      <c r="D624">
        <f t="shared" ca="1" si="54"/>
        <v>54400</v>
      </c>
      <c r="E624" t="str">
        <f ca="1">IF(B624="Oloitoktok A",IF(D624&lt;15000,LOOKUP(RAND(),{0,0.45,0.75,0.92},{"River","Rainwater","Borehole","Vendor"}),IF(D624&lt;30000,LOOKUP(RAND(),{0,0.35,0.65,0.85},{"River","Rainwater","Borehole","Vendor"}),LOOKUP(RAND(),{0,0.25,0.5,0.75},{"River","Rainwater","Borehole","Vendor"}))),IF(B624="Oloitoktok B",IF(D624&lt;15000,LOOKUP(RAND(),{0,0.5,0.78,0.94},{"River","Rainwater","Borehole","Vendor"}),IF(D624&lt;30000,LOOKUP(RAND(),{0,0.4,0.68,0.87},{"River","Rainwater","Borehole","Vendor"}),LOOKUP(RAND(),{0,0.28,0.55,0.78},{"River","Rainwater","Borehole","Vendor"}))),IF(B624="Kiserian",IF(D624&lt;15000,LOOKUP(RAND(),{0,0.35,0.65,0.9},{"River","Rainwater","Borehole","Vendor"}),IF(D624&lt;30000,LOOKUP(RAND(),{0,0.25,0.55,0.82},{"River","Rainwater","Borehole","Vendor"}),LOOKUP(RAND(),{0,0.15,0.45,0.72},{"River","Rainwater","Borehole","Vendor"}))),IF(D624&lt;15000,LOOKUP(RAND(),{0,0.4,0.7,0.92},{"River","Rainwater","Borehole","Vendor"}),IF(D624&lt;30000,LOOKUP(RAND(),{0,0.3,0.6,0.85},{"River","Rainwater","Borehole","Vendor"}),LOOKUP(RAND(),{0,0.2,0.5,0.75},{"River","Rainwater","Borehole","Vendor"}))))))</f>
        <v>Vendor</v>
      </c>
      <c r="F624">
        <f t="shared" ca="1" si="55"/>
        <v>49</v>
      </c>
      <c r="G624">
        <f t="shared" ca="1" si="56"/>
        <v>6.9</v>
      </c>
      <c r="H624">
        <f t="shared" ca="1" si="57"/>
        <v>2500</v>
      </c>
      <c r="I624">
        <f t="shared" ca="1" si="58"/>
        <v>0.640538507122552</v>
      </c>
      <c r="J624">
        <v>1</v>
      </c>
    </row>
    <row r="625" spans="1:10" x14ac:dyDescent="0.3">
      <c r="A625" t="str">
        <f t="shared" si="59"/>
        <v>HH624</v>
      </c>
      <c r="B625" t="str">
        <f ca="1">LOOKUP(RAND(),{0,0.28,0.55,0.78},{"Oloitoktok A","Oloitoktok B","Kiserian","Namanga"})</f>
        <v>Oloitoktok B</v>
      </c>
      <c r="C625">
        <f ca="1">LOOKUP(RAND(),{0,0.02,0.09,0.2,0.35,0.52,0.68,0.81,0.91,0.97},{1,2,3,4,5,6,7,8,9,10})</f>
        <v>7</v>
      </c>
      <c r="D625">
        <f t="shared" ca="1" si="54"/>
        <v>26400</v>
      </c>
      <c r="E625" t="str">
        <f ca="1">IF(B625="Oloitoktok A",IF(D625&lt;15000,LOOKUP(RAND(),{0,0.45,0.75,0.92},{"River","Rainwater","Borehole","Vendor"}),IF(D625&lt;30000,LOOKUP(RAND(),{0,0.35,0.65,0.85},{"River","Rainwater","Borehole","Vendor"}),LOOKUP(RAND(),{0,0.25,0.5,0.75},{"River","Rainwater","Borehole","Vendor"}))),IF(B625="Oloitoktok B",IF(D625&lt;15000,LOOKUP(RAND(),{0,0.5,0.78,0.94},{"River","Rainwater","Borehole","Vendor"}),IF(D625&lt;30000,LOOKUP(RAND(),{0,0.4,0.68,0.87},{"River","Rainwater","Borehole","Vendor"}),LOOKUP(RAND(),{0,0.28,0.55,0.78},{"River","Rainwater","Borehole","Vendor"}))),IF(B625="Kiserian",IF(D625&lt;15000,LOOKUP(RAND(),{0,0.35,0.65,0.9},{"River","Rainwater","Borehole","Vendor"}),IF(D625&lt;30000,LOOKUP(RAND(),{0,0.25,0.55,0.82},{"River","Rainwater","Borehole","Vendor"}),LOOKUP(RAND(),{0,0.15,0.45,0.72},{"River","Rainwater","Borehole","Vendor"}))),IF(D625&lt;15000,LOOKUP(RAND(),{0,0.4,0.7,0.92},{"River","Rainwater","Borehole","Vendor"}),IF(D625&lt;30000,LOOKUP(RAND(),{0,0.3,0.6,0.85},{"River","Rainwater","Borehole","Vendor"}),LOOKUP(RAND(),{0,0.2,0.5,0.75},{"River","Rainwater","Borehole","Vendor"}))))))</f>
        <v>Borehole</v>
      </c>
      <c r="F625">
        <f t="shared" ca="1" si="55"/>
        <v>35</v>
      </c>
      <c r="G625">
        <f t="shared" ca="1" si="56"/>
        <v>7.3</v>
      </c>
      <c r="H625">
        <f t="shared" ca="1" si="57"/>
        <v>6600</v>
      </c>
      <c r="I625">
        <f t="shared" ca="1" si="58"/>
        <v>0.8924205598410323</v>
      </c>
      <c r="J625">
        <v>1</v>
      </c>
    </row>
    <row r="626" spans="1:10" x14ac:dyDescent="0.3">
      <c r="A626" t="str">
        <f t="shared" si="59"/>
        <v>HH625</v>
      </c>
      <c r="B626" t="str">
        <f ca="1">LOOKUP(RAND(),{0,0.28,0.55,0.78},{"Oloitoktok A","Oloitoktok B","Kiserian","Namanga"})</f>
        <v>Oloitoktok A</v>
      </c>
      <c r="C626">
        <f ca="1">LOOKUP(RAND(),{0,0.02,0.09,0.2,0.35,0.52,0.68,0.81,0.91,0.97},{1,2,3,4,5,6,7,8,9,10})</f>
        <v>7</v>
      </c>
      <c r="D626">
        <f t="shared" ca="1" si="54"/>
        <v>31200</v>
      </c>
      <c r="E626" t="str">
        <f ca="1">IF(B626="Oloitoktok A",IF(D626&lt;15000,LOOKUP(RAND(),{0,0.45,0.75,0.92},{"River","Rainwater","Borehole","Vendor"}),IF(D626&lt;30000,LOOKUP(RAND(),{0,0.35,0.65,0.85},{"River","Rainwater","Borehole","Vendor"}),LOOKUP(RAND(),{0,0.25,0.5,0.75},{"River","Rainwater","Borehole","Vendor"}))),IF(B626="Oloitoktok B",IF(D626&lt;15000,LOOKUP(RAND(),{0,0.5,0.78,0.94},{"River","Rainwater","Borehole","Vendor"}),IF(D626&lt;30000,LOOKUP(RAND(),{0,0.4,0.68,0.87},{"River","Rainwater","Borehole","Vendor"}),LOOKUP(RAND(),{0,0.28,0.55,0.78},{"River","Rainwater","Borehole","Vendor"}))),IF(B626="Kiserian",IF(D626&lt;15000,LOOKUP(RAND(),{0,0.35,0.65,0.9},{"River","Rainwater","Borehole","Vendor"}),IF(D626&lt;30000,LOOKUP(RAND(),{0,0.25,0.55,0.82},{"River","Rainwater","Borehole","Vendor"}),LOOKUP(RAND(),{0,0.15,0.45,0.72},{"River","Rainwater","Borehole","Vendor"}))),IF(D626&lt;15000,LOOKUP(RAND(),{0,0.4,0.7,0.92},{"River","Rainwater","Borehole","Vendor"}),IF(D626&lt;30000,LOOKUP(RAND(),{0,0.3,0.6,0.85},{"River","Rainwater","Borehole","Vendor"}),LOOKUP(RAND(),{0,0.2,0.5,0.75},{"River","Rainwater","Borehole","Vendor"}))))))</f>
        <v>River</v>
      </c>
      <c r="F626">
        <f t="shared" ca="1" si="55"/>
        <v>110</v>
      </c>
      <c r="G626">
        <f t="shared" ca="1" si="56"/>
        <v>1.2</v>
      </c>
      <c r="H626">
        <f t="shared" ca="1" si="57"/>
        <v>5300</v>
      </c>
      <c r="I626">
        <f t="shared" ca="1" si="58"/>
        <v>0.39562405949849733</v>
      </c>
      <c r="J626">
        <v>1</v>
      </c>
    </row>
    <row r="627" spans="1:10" x14ac:dyDescent="0.3">
      <c r="A627" t="str">
        <f t="shared" si="59"/>
        <v>HH626</v>
      </c>
      <c r="B627" t="str">
        <f ca="1">LOOKUP(RAND(),{0,0.28,0.55,0.78},{"Oloitoktok A","Oloitoktok B","Kiserian","Namanga"})</f>
        <v>Oloitoktok B</v>
      </c>
      <c r="C627">
        <f ca="1">LOOKUP(RAND(),{0,0.02,0.09,0.2,0.35,0.52,0.68,0.81,0.91,0.97},{1,2,3,4,5,6,7,8,9,10})</f>
        <v>4</v>
      </c>
      <c r="D627">
        <f t="shared" ca="1" si="54"/>
        <v>65100</v>
      </c>
      <c r="E627" t="str">
        <f ca="1">IF(B627="Oloitoktok A",IF(D627&lt;15000,LOOKUP(RAND(),{0,0.45,0.75,0.92},{"River","Rainwater","Borehole","Vendor"}),IF(D627&lt;30000,LOOKUP(RAND(),{0,0.35,0.65,0.85},{"River","Rainwater","Borehole","Vendor"}),LOOKUP(RAND(),{0,0.25,0.5,0.75},{"River","Rainwater","Borehole","Vendor"}))),IF(B627="Oloitoktok B",IF(D627&lt;15000,LOOKUP(RAND(),{0,0.5,0.78,0.94},{"River","Rainwater","Borehole","Vendor"}),IF(D627&lt;30000,LOOKUP(RAND(),{0,0.4,0.68,0.87},{"River","Rainwater","Borehole","Vendor"}),LOOKUP(RAND(),{0,0.28,0.55,0.78},{"River","Rainwater","Borehole","Vendor"}))),IF(B627="Kiserian",IF(D627&lt;15000,LOOKUP(RAND(),{0,0.35,0.65,0.9},{"River","Rainwater","Borehole","Vendor"}),IF(D627&lt;30000,LOOKUP(RAND(),{0,0.25,0.55,0.82},{"River","Rainwater","Borehole","Vendor"}),LOOKUP(RAND(),{0,0.15,0.45,0.72},{"River","Rainwater","Borehole","Vendor"}))),IF(D627&lt;15000,LOOKUP(RAND(),{0,0.4,0.7,0.92},{"River","Rainwater","Borehole","Vendor"}),IF(D627&lt;30000,LOOKUP(RAND(),{0,0.3,0.6,0.85},{"River","Rainwater","Borehole","Vendor"}),LOOKUP(RAND(),{0,0.2,0.5,0.75},{"River","Rainwater","Borehole","Vendor"}))))))</f>
        <v>River</v>
      </c>
      <c r="F627">
        <f t="shared" ca="1" si="55"/>
        <v>113</v>
      </c>
      <c r="G627">
        <f t="shared" ca="1" si="56"/>
        <v>12.1</v>
      </c>
      <c r="H627">
        <f t="shared" ca="1" si="57"/>
        <v>10000</v>
      </c>
      <c r="I627">
        <f t="shared" ca="1" si="58"/>
        <v>0.75033627659727309</v>
      </c>
      <c r="J627">
        <v>1</v>
      </c>
    </row>
    <row r="628" spans="1:10" x14ac:dyDescent="0.3">
      <c r="A628" t="str">
        <f t="shared" si="59"/>
        <v>HH627</v>
      </c>
      <c r="B628" t="str">
        <f ca="1">LOOKUP(RAND(),{0,0.28,0.55,0.78},{"Oloitoktok A","Oloitoktok B","Kiserian","Namanga"})</f>
        <v>Oloitoktok A</v>
      </c>
      <c r="C628">
        <f ca="1">LOOKUP(RAND(),{0,0.02,0.09,0.2,0.35,0.52,0.68,0.81,0.91,0.97},{1,2,3,4,5,6,7,8,9,10})</f>
        <v>6</v>
      </c>
      <c r="D628">
        <f t="shared" ca="1" si="54"/>
        <v>47500</v>
      </c>
      <c r="E628" t="str">
        <f ca="1">IF(B628="Oloitoktok A",IF(D628&lt;15000,LOOKUP(RAND(),{0,0.45,0.75,0.92},{"River","Rainwater","Borehole","Vendor"}),IF(D628&lt;30000,LOOKUP(RAND(),{0,0.35,0.65,0.85},{"River","Rainwater","Borehole","Vendor"}),LOOKUP(RAND(),{0,0.25,0.5,0.75},{"River","Rainwater","Borehole","Vendor"}))),IF(B628="Oloitoktok B",IF(D628&lt;15000,LOOKUP(RAND(),{0,0.5,0.78,0.94},{"River","Rainwater","Borehole","Vendor"}),IF(D628&lt;30000,LOOKUP(RAND(),{0,0.4,0.68,0.87},{"River","Rainwater","Borehole","Vendor"}),LOOKUP(RAND(),{0,0.28,0.55,0.78},{"River","Rainwater","Borehole","Vendor"}))),IF(B628="Kiserian",IF(D628&lt;15000,LOOKUP(RAND(),{0,0.35,0.65,0.9},{"River","Rainwater","Borehole","Vendor"}),IF(D628&lt;30000,LOOKUP(RAND(),{0,0.25,0.55,0.82},{"River","Rainwater","Borehole","Vendor"}),LOOKUP(RAND(),{0,0.15,0.45,0.72},{"River","Rainwater","Borehole","Vendor"}))),IF(D628&lt;15000,LOOKUP(RAND(),{0,0.4,0.7,0.92},{"River","Rainwater","Borehole","Vendor"}),IF(D628&lt;30000,LOOKUP(RAND(),{0,0.3,0.6,0.85},{"River","Rainwater","Borehole","Vendor"}),LOOKUP(RAND(),{0,0.2,0.5,0.75},{"River","Rainwater","Borehole","Vendor"}))))))</f>
        <v>Vendor</v>
      </c>
      <c r="F628">
        <f t="shared" ca="1" si="55"/>
        <v>12</v>
      </c>
      <c r="G628">
        <f t="shared" ca="1" si="56"/>
        <v>6</v>
      </c>
      <c r="H628">
        <f t="shared" ca="1" si="57"/>
        <v>0</v>
      </c>
      <c r="I628">
        <f t="shared" ca="1" si="58"/>
        <v>0.5676741459741127</v>
      </c>
      <c r="J628">
        <v>1</v>
      </c>
    </row>
    <row r="629" spans="1:10" x14ac:dyDescent="0.3">
      <c r="A629" t="str">
        <f t="shared" si="59"/>
        <v>HH628</v>
      </c>
      <c r="B629" t="str">
        <f ca="1">LOOKUP(RAND(),{0,0.28,0.55,0.78},{"Oloitoktok A","Oloitoktok B","Kiserian","Namanga"})</f>
        <v>Oloitoktok B</v>
      </c>
      <c r="C629">
        <f ca="1">LOOKUP(RAND(),{0,0.02,0.09,0.2,0.35,0.52,0.68,0.81,0.91,0.97},{1,2,3,4,5,6,7,8,9,10})</f>
        <v>7</v>
      </c>
      <c r="D629">
        <f t="shared" ca="1" si="54"/>
        <v>31300</v>
      </c>
      <c r="E629" t="str">
        <f ca="1">IF(B629="Oloitoktok A",IF(D629&lt;15000,LOOKUP(RAND(),{0,0.45,0.75,0.92},{"River","Rainwater","Borehole","Vendor"}),IF(D629&lt;30000,LOOKUP(RAND(),{0,0.35,0.65,0.85},{"River","Rainwater","Borehole","Vendor"}),LOOKUP(RAND(),{0,0.25,0.5,0.75},{"River","Rainwater","Borehole","Vendor"}))),IF(B629="Oloitoktok B",IF(D629&lt;15000,LOOKUP(RAND(),{0,0.5,0.78,0.94},{"River","Rainwater","Borehole","Vendor"}),IF(D629&lt;30000,LOOKUP(RAND(),{0,0.4,0.68,0.87},{"River","Rainwater","Borehole","Vendor"}),LOOKUP(RAND(),{0,0.28,0.55,0.78},{"River","Rainwater","Borehole","Vendor"}))),IF(B629="Kiserian",IF(D629&lt;15000,LOOKUP(RAND(),{0,0.35,0.65,0.9},{"River","Rainwater","Borehole","Vendor"}),IF(D629&lt;30000,LOOKUP(RAND(),{0,0.25,0.55,0.82},{"River","Rainwater","Borehole","Vendor"}),LOOKUP(RAND(),{0,0.15,0.45,0.72},{"River","Rainwater","Borehole","Vendor"}))),IF(D629&lt;15000,LOOKUP(RAND(),{0,0.4,0.7,0.92},{"River","Rainwater","Borehole","Vendor"}),IF(D629&lt;30000,LOOKUP(RAND(),{0,0.3,0.6,0.85},{"River","Rainwater","Borehole","Vendor"}),LOOKUP(RAND(),{0,0.2,0.5,0.75},{"River","Rainwater","Borehole","Vendor"}))))))</f>
        <v>Borehole</v>
      </c>
      <c r="F629">
        <f t="shared" ca="1" si="55"/>
        <v>46</v>
      </c>
      <c r="G629">
        <f t="shared" ca="1" si="56"/>
        <v>11</v>
      </c>
      <c r="H629">
        <f t="shared" ca="1" si="57"/>
        <v>9500</v>
      </c>
      <c r="I629">
        <f t="shared" ca="1" si="58"/>
        <v>1.9789617386586578E-2</v>
      </c>
      <c r="J629">
        <v>1</v>
      </c>
    </row>
    <row r="630" spans="1:10" x14ac:dyDescent="0.3">
      <c r="A630" t="str">
        <f t="shared" si="59"/>
        <v>HH629</v>
      </c>
      <c r="B630" t="str">
        <f ca="1">LOOKUP(RAND(),{0,0.28,0.55,0.78},{"Oloitoktok A","Oloitoktok B","Kiserian","Namanga"})</f>
        <v>Kiserian</v>
      </c>
      <c r="C630">
        <f ca="1">LOOKUP(RAND(),{0,0.02,0.09,0.2,0.35,0.52,0.68,0.81,0.91,0.97},{1,2,3,4,5,6,7,8,9,10})</f>
        <v>6</v>
      </c>
      <c r="D630">
        <f t="shared" ca="1" si="54"/>
        <v>28200</v>
      </c>
      <c r="E630" t="str">
        <f ca="1">IF(B630="Oloitoktok A",IF(D630&lt;15000,LOOKUP(RAND(),{0,0.45,0.75,0.92},{"River","Rainwater","Borehole","Vendor"}),IF(D630&lt;30000,LOOKUP(RAND(),{0,0.35,0.65,0.85},{"River","Rainwater","Borehole","Vendor"}),LOOKUP(RAND(),{0,0.25,0.5,0.75},{"River","Rainwater","Borehole","Vendor"}))),IF(B630="Oloitoktok B",IF(D630&lt;15000,LOOKUP(RAND(),{0,0.5,0.78,0.94},{"River","Rainwater","Borehole","Vendor"}),IF(D630&lt;30000,LOOKUP(RAND(),{0,0.4,0.68,0.87},{"River","Rainwater","Borehole","Vendor"}),LOOKUP(RAND(),{0,0.28,0.55,0.78},{"River","Rainwater","Borehole","Vendor"}))),IF(B630="Kiserian",IF(D630&lt;15000,LOOKUP(RAND(),{0,0.35,0.65,0.9},{"River","Rainwater","Borehole","Vendor"}),IF(D630&lt;30000,LOOKUP(RAND(),{0,0.25,0.55,0.82},{"River","Rainwater","Borehole","Vendor"}),LOOKUP(RAND(),{0,0.15,0.45,0.72},{"River","Rainwater","Borehole","Vendor"}))),IF(D630&lt;15000,LOOKUP(RAND(),{0,0.4,0.7,0.92},{"River","Rainwater","Borehole","Vendor"}),IF(D630&lt;30000,LOOKUP(RAND(),{0,0.3,0.6,0.85},{"River","Rainwater","Borehole","Vendor"}),LOOKUP(RAND(),{0,0.2,0.5,0.75},{"River","Rainwater","Borehole","Vendor"}))))))</f>
        <v>Rainwater</v>
      </c>
      <c r="F630">
        <f t="shared" ca="1" si="55"/>
        <v>64</v>
      </c>
      <c r="G630">
        <f t="shared" ca="1" si="56"/>
        <v>3.5</v>
      </c>
      <c r="H630">
        <f t="shared" ca="1" si="57"/>
        <v>0</v>
      </c>
      <c r="I630">
        <f t="shared" ca="1" si="58"/>
        <v>0.10525308477036832</v>
      </c>
      <c r="J630">
        <v>1</v>
      </c>
    </row>
    <row r="631" spans="1:10" x14ac:dyDescent="0.3">
      <c r="A631" t="str">
        <f t="shared" si="59"/>
        <v>HH630</v>
      </c>
      <c r="B631" t="str">
        <f ca="1">LOOKUP(RAND(),{0,0.28,0.55,0.78},{"Oloitoktok A","Oloitoktok B","Kiserian","Namanga"})</f>
        <v>Oloitoktok B</v>
      </c>
      <c r="C631">
        <f ca="1">LOOKUP(RAND(),{0,0.02,0.09,0.2,0.35,0.52,0.68,0.81,0.91,0.97},{1,2,3,4,5,6,7,8,9,10})</f>
        <v>4</v>
      </c>
      <c r="D631">
        <f t="shared" ca="1" si="54"/>
        <v>24500</v>
      </c>
      <c r="E631" t="str">
        <f ca="1">IF(B631="Oloitoktok A",IF(D631&lt;15000,LOOKUP(RAND(),{0,0.45,0.75,0.92},{"River","Rainwater","Borehole","Vendor"}),IF(D631&lt;30000,LOOKUP(RAND(),{0,0.35,0.65,0.85},{"River","Rainwater","Borehole","Vendor"}),LOOKUP(RAND(),{0,0.25,0.5,0.75},{"River","Rainwater","Borehole","Vendor"}))),IF(B631="Oloitoktok B",IF(D631&lt;15000,LOOKUP(RAND(),{0,0.5,0.78,0.94},{"River","Rainwater","Borehole","Vendor"}),IF(D631&lt;30000,LOOKUP(RAND(),{0,0.4,0.68,0.87},{"River","Rainwater","Borehole","Vendor"}),LOOKUP(RAND(),{0,0.28,0.55,0.78},{"River","Rainwater","Borehole","Vendor"}))),IF(B631="Kiserian",IF(D631&lt;15000,LOOKUP(RAND(),{0,0.35,0.65,0.9},{"River","Rainwater","Borehole","Vendor"}),IF(D631&lt;30000,LOOKUP(RAND(),{0,0.25,0.55,0.82},{"River","Rainwater","Borehole","Vendor"}),LOOKUP(RAND(),{0,0.15,0.45,0.72},{"River","Rainwater","Borehole","Vendor"}))),IF(D631&lt;15000,LOOKUP(RAND(),{0,0.4,0.7,0.92},{"River","Rainwater","Borehole","Vendor"}),IF(D631&lt;30000,LOOKUP(RAND(),{0,0.3,0.6,0.85},{"River","Rainwater","Borehole","Vendor"}),LOOKUP(RAND(),{0,0.2,0.5,0.75},{"River","Rainwater","Borehole","Vendor"}))))))</f>
        <v>River</v>
      </c>
      <c r="F631">
        <f t="shared" ca="1" si="55"/>
        <v>86</v>
      </c>
      <c r="G631">
        <f t="shared" ca="1" si="56"/>
        <v>3.5</v>
      </c>
      <c r="H631">
        <f t="shared" ca="1" si="57"/>
        <v>6600</v>
      </c>
      <c r="I631">
        <f t="shared" ca="1" si="58"/>
        <v>0.80691754172502472</v>
      </c>
      <c r="J631">
        <v>1</v>
      </c>
    </row>
    <row r="632" spans="1:10" x14ac:dyDescent="0.3">
      <c r="A632" t="str">
        <f t="shared" si="59"/>
        <v>HH631</v>
      </c>
      <c r="B632" t="str">
        <f ca="1">LOOKUP(RAND(),{0,0.28,0.55,0.78},{"Oloitoktok A","Oloitoktok B","Kiserian","Namanga"})</f>
        <v>Namanga</v>
      </c>
      <c r="C632">
        <f ca="1">LOOKUP(RAND(),{0,0.02,0.09,0.2,0.35,0.52,0.68,0.81,0.91,0.97},{1,2,3,4,5,6,7,8,9,10})</f>
        <v>3</v>
      </c>
      <c r="D632">
        <f t="shared" ca="1" si="54"/>
        <v>131600</v>
      </c>
      <c r="E632" t="str">
        <f ca="1">IF(B632="Oloitoktok A",IF(D632&lt;15000,LOOKUP(RAND(),{0,0.45,0.75,0.92},{"River","Rainwater","Borehole","Vendor"}),IF(D632&lt;30000,LOOKUP(RAND(),{0,0.35,0.65,0.85},{"River","Rainwater","Borehole","Vendor"}),LOOKUP(RAND(),{0,0.25,0.5,0.75},{"River","Rainwater","Borehole","Vendor"}))),IF(B632="Oloitoktok B",IF(D632&lt;15000,LOOKUP(RAND(),{0,0.5,0.78,0.94},{"River","Rainwater","Borehole","Vendor"}),IF(D632&lt;30000,LOOKUP(RAND(),{0,0.4,0.68,0.87},{"River","Rainwater","Borehole","Vendor"}),LOOKUP(RAND(),{0,0.28,0.55,0.78},{"River","Rainwater","Borehole","Vendor"}))),IF(B632="Kiserian",IF(D632&lt;15000,LOOKUP(RAND(),{0,0.35,0.65,0.9},{"River","Rainwater","Borehole","Vendor"}),IF(D632&lt;30000,LOOKUP(RAND(),{0,0.25,0.55,0.82},{"River","Rainwater","Borehole","Vendor"}),LOOKUP(RAND(),{0,0.15,0.45,0.72},{"River","Rainwater","Borehole","Vendor"}))),IF(D632&lt;15000,LOOKUP(RAND(),{0,0.4,0.7,0.92},{"River","Rainwater","Borehole","Vendor"}),IF(D632&lt;30000,LOOKUP(RAND(),{0,0.3,0.6,0.85},{"River","Rainwater","Borehole","Vendor"}),LOOKUP(RAND(),{0,0.2,0.5,0.75},{"River","Rainwater","Borehole","Vendor"}))))))</f>
        <v>Rainwater</v>
      </c>
      <c r="F632">
        <f t="shared" ca="1" si="55"/>
        <v>47</v>
      </c>
      <c r="G632">
        <f t="shared" ca="1" si="56"/>
        <v>3</v>
      </c>
      <c r="H632">
        <f t="shared" ca="1" si="57"/>
        <v>7500</v>
      </c>
      <c r="I632">
        <f t="shared" ca="1" si="58"/>
        <v>0.22854029539308462</v>
      </c>
      <c r="J632">
        <v>1</v>
      </c>
    </row>
    <row r="633" spans="1:10" x14ac:dyDescent="0.3">
      <c r="A633" t="str">
        <f t="shared" si="59"/>
        <v>HH632</v>
      </c>
      <c r="B633" t="str">
        <f ca="1">LOOKUP(RAND(),{0,0.28,0.55,0.78},{"Oloitoktok A","Oloitoktok B","Kiserian","Namanga"})</f>
        <v>Oloitoktok A</v>
      </c>
      <c r="C633">
        <f ca="1">LOOKUP(RAND(),{0,0.02,0.09,0.2,0.35,0.52,0.68,0.81,0.91,0.97},{1,2,3,4,5,6,7,8,9,10})</f>
        <v>1</v>
      </c>
      <c r="D633">
        <f t="shared" ca="1" si="54"/>
        <v>17700</v>
      </c>
      <c r="E633" t="str">
        <f ca="1">IF(B633="Oloitoktok A",IF(D633&lt;15000,LOOKUP(RAND(),{0,0.45,0.75,0.92},{"River","Rainwater","Borehole","Vendor"}),IF(D633&lt;30000,LOOKUP(RAND(),{0,0.35,0.65,0.85},{"River","Rainwater","Borehole","Vendor"}),LOOKUP(RAND(),{0,0.25,0.5,0.75},{"River","Rainwater","Borehole","Vendor"}))),IF(B633="Oloitoktok B",IF(D633&lt;15000,LOOKUP(RAND(),{0,0.5,0.78,0.94},{"River","Rainwater","Borehole","Vendor"}),IF(D633&lt;30000,LOOKUP(RAND(),{0,0.4,0.68,0.87},{"River","Rainwater","Borehole","Vendor"}),LOOKUP(RAND(),{0,0.28,0.55,0.78},{"River","Rainwater","Borehole","Vendor"}))),IF(B633="Kiserian",IF(D633&lt;15000,LOOKUP(RAND(),{0,0.35,0.65,0.9},{"River","Rainwater","Borehole","Vendor"}),IF(D633&lt;30000,LOOKUP(RAND(),{0,0.25,0.55,0.82},{"River","Rainwater","Borehole","Vendor"}),LOOKUP(RAND(),{0,0.15,0.45,0.72},{"River","Rainwater","Borehole","Vendor"}))),IF(D633&lt;15000,LOOKUP(RAND(),{0,0.4,0.7,0.92},{"River","Rainwater","Borehole","Vendor"}),IF(D633&lt;30000,LOOKUP(RAND(),{0,0.3,0.6,0.85},{"River","Rainwater","Borehole","Vendor"}),LOOKUP(RAND(),{0,0.2,0.5,0.75},{"River","Rainwater","Borehole","Vendor"}))))))</f>
        <v>River</v>
      </c>
      <c r="F633">
        <f t="shared" ca="1" si="55"/>
        <v>59</v>
      </c>
      <c r="G633">
        <f t="shared" ca="1" si="56"/>
        <v>6.8</v>
      </c>
      <c r="H633">
        <f t="shared" ca="1" si="57"/>
        <v>4200</v>
      </c>
      <c r="I633">
        <f t="shared" ca="1" si="58"/>
        <v>0.23716434219491422</v>
      </c>
      <c r="J633">
        <v>1</v>
      </c>
    </row>
    <row r="634" spans="1:10" x14ac:dyDescent="0.3">
      <c r="A634" t="str">
        <f t="shared" si="59"/>
        <v>HH633</v>
      </c>
      <c r="B634" t="str">
        <f ca="1">LOOKUP(RAND(),{0,0.28,0.55,0.78},{"Oloitoktok A","Oloitoktok B","Kiserian","Namanga"})</f>
        <v>Oloitoktok A</v>
      </c>
      <c r="C634">
        <f ca="1">LOOKUP(RAND(),{0,0.02,0.09,0.2,0.35,0.52,0.68,0.81,0.91,0.97},{1,2,3,4,5,6,7,8,9,10})</f>
        <v>8</v>
      </c>
      <c r="D634">
        <f t="shared" ca="1" si="54"/>
        <v>32200</v>
      </c>
      <c r="E634" t="str">
        <f ca="1">IF(B634="Oloitoktok A",IF(D634&lt;15000,LOOKUP(RAND(),{0,0.45,0.75,0.92},{"River","Rainwater","Borehole","Vendor"}),IF(D634&lt;30000,LOOKUP(RAND(),{0,0.35,0.65,0.85},{"River","Rainwater","Borehole","Vendor"}),LOOKUP(RAND(),{0,0.25,0.5,0.75},{"River","Rainwater","Borehole","Vendor"}))),IF(B634="Oloitoktok B",IF(D634&lt;15000,LOOKUP(RAND(),{0,0.5,0.78,0.94},{"River","Rainwater","Borehole","Vendor"}),IF(D634&lt;30000,LOOKUP(RAND(),{0,0.4,0.68,0.87},{"River","Rainwater","Borehole","Vendor"}),LOOKUP(RAND(),{0,0.28,0.55,0.78},{"River","Rainwater","Borehole","Vendor"}))),IF(B634="Kiserian",IF(D634&lt;15000,LOOKUP(RAND(),{0,0.35,0.65,0.9},{"River","Rainwater","Borehole","Vendor"}),IF(D634&lt;30000,LOOKUP(RAND(),{0,0.25,0.55,0.82},{"River","Rainwater","Borehole","Vendor"}),LOOKUP(RAND(),{0,0.15,0.45,0.72},{"River","Rainwater","Borehole","Vendor"}))),IF(D634&lt;15000,LOOKUP(RAND(),{0,0.4,0.7,0.92},{"River","Rainwater","Borehole","Vendor"}),IF(D634&lt;30000,LOOKUP(RAND(),{0,0.3,0.6,0.85},{"River","Rainwater","Borehole","Vendor"}),LOOKUP(RAND(),{0,0.2,0.5,0.75},{"River","Rainwater","Borehole","Vendor"}))))))</f>
        <v>Borehole</v>
      </c>
      <c r="F634">
        <f t="shared" ca="1" si="55"/>
        <v>39</v>
      </c>
      <c r="G634">
        <f t="shared" ca="1" si="56"/>
        <v>14.3</v>
      </c>
      <c r="H634">
        <f t="shared" ca="1" si="57"/>
        <v>9700</v>
      </c>
      <c r="I634">
        <f t="shared" ca="1" si="58"/>
        <v>0.80575893178561775</v>
      </c>
      <c r="J634">
        <v>1</v>
      </c>
    </row>
    <row r="635" spans="1:10" x14ac:dyDescent="0.3">
      <c r="A635" t="str">
        <f t="shared" si="59"/>
        <v>HH634</v>
      </c>
      <c r="B635" t="str">
        <f ca="1">LOOKUP(RAND(),{0,0.28,0.55,0.78},{"Oloitoktok A","Oloitoktok B","Kiserian","Namanga"})</f>
        <v>Kiserian</v>
      </c>
      <c r="C635">
        <f ca="1">LOOKUP(RAND(),{0,0.02,0.09,0.2,0.35,0.52,0.68,0.81,0.91,0.97},{1,2,3,4,5,6,7,8,9,10})</f>
        <v>3</v>
      </c>
      <c r="D635">
        <f t="shared" ca="1" si="54"/>
        <v>32900</v>
      </c>
      <c r="E635" t="str">
        <f ca="1">IF(B635="Oloitoktok A",IF(D635&lt;15000,LOOKUP(RAND(),{0,0.45,0.75,0.92},{"River","Rainwater","Borehole","Vendor"}),IF(D635&lt;30000,LOOKUP(RAND(),{0,0.35,0.65,0.85},{"River","Rainwater","Borehole","Vendor"}),LOOKUP(RAND(),{0,0.25,0.5,0.75},{"River","Rainwater","Borehole","Vendor"}))),IF(B635="Oloitoktok B",IF(D635&lt;15000,LOOKUP(RAND(),{0,0.5,0.78,0.94},{"River","Rainwater","Borehole","Vendor"}),IF(D635&lt;30000,LOOKUP(RAND(),{0,0.4,0.68,0.87},{"River","Rainwater","Borehole","Vendor"}),LOOKUP(RAND(),{0,0.28,0.55,0.78},{"River","Rainwater","Borehole","Vendor"}))),IF(B635="Kiserian",IF(D635&lt;15000,LOOKUP(RAND(),{0,0.35,0.65,0.9},{"River","Rainwater","Borehole","Vendor"}),IF(D635&lt;30000,LOOKUP(RAND(),{0,0.25,0.55,0.82},{"River","Rainwater","Borehole","Vendor"}),LOOKUP(RAND(),{0,0.15,0.45,0.72},{"River","Rainwater","Borehole","Vendor"}))),IF(D635&lt;15000,LOOKUP(RAND(),{0,0.4,0.7,0.92},{"River","Rainwater","Borehole","Vendor"}),IF(D635&lt;30000,LOOKUP(RAND(),{0,0.3,0.6,0.85},{"River","Rainwater","Borehole","Vendor"}),LOOKUP(RAND(),{0,0.2,0.5,0.75},{"River","Rainwater","Borehole","Vendor"}))))))</f>
        <v>Rainwater</v>
      </c>
      <c r="F635">
        <f t="shared" ca="1" si="55"/>
        <v>41</v>
      </c>
      <c r="G635">
        <f t="shared" ca="1" si="56"/>
        <v>7.5</v>
      </c>
      <c r="H635">
        <f t="shared" ca="1" si="57"/>
        <v>4900</v>
      </c>
      <c r="I635">
        <f t="shared" ca="1" si="58"/>
        <v>0.5564947682922371</v>
      </c>
      <c r="J635">
        <v>1</v>
      </c>
    </row>
    <row r="636" spans="1:10" x14ac:dyDescent="0.3">
      <c r="A636" t="str">
        <f t="shared" si="59"/>
        <v>HH635</v>
      </c>
      <c r="B636" t="str">
        <f ca="1">LOOKUP(RAND(),{0,0.28,0.55,0.78},{"Oloitoktok A","Oloitoktok B","Kiserian","Namanga"})</f>
        <v>Namanga</v>
      </c>
      <c r="C636">
        <f ca="1">LOOKUP(RAND(),{0,0.02,0.09,0.2,0.35,0.52,0.68,0.81,0.91,0.97},{1,2,3,4,5,6,7,8,9,10})</f>
        <v>2</v>
      </c>
      <c r="D636">
        <f t="shared" ca="1" si="54"/>
        <v>8400</v>
      </c>
      <c r="E636" t="str">
        <f ca="1">IF(B636="Oloitoktok A",IF(D636&lt;15000,LOOKUP(RAND(),{0,0.45,0.75,0.92},{"River","Rainwater","Borehole","Vendor"}),IF(D636&lt;30000,LOOKUP(RAND(),{0,0.35,0.65,0.85},{"River","Rainwater","Borehole","Vendor"}),LOOKUP(RAND(),{0,0.25,0.5,0.75},{"River","Rainwater","Borehole","Vendor"}))),IF(B636="Oloitoktok B",IF(D636&lt;15000,LOOKUP(RAND(),{0,0.5,0.78,0.94},{"River","Rainwater","Borehole","Vendor"}),IF(D636&lt;30000,LOOKUP(RAND(),{0,0.4,0.68,0.87},{"River","Rainwater","Borehole","Vendor"}),LOOKUP(RAND(),{0,0.28,0.55,0.78},{"River","Rainwater","Borehole","Vendor"}))),IF(B636="Kiserian",IF(D636&lt;15000,LOOKUP(RAND(),{0,0.35,0.65,0.9},{"River","Rainwater","Borehole","Vendor"}),IF(D636&lt;30000,LOOKUP(RAND(),{0,0.25,0.55,0.82},{"River","Rainwater","Borehole","Vendor"}),LOOKUP(RAND(),{0,0.15,0.45,0.72},{"River","Rainwater","Borehole","Vendor"}))),IF(D636&lt;15000,LOOKUP(RAND(),{0,0.4,0.7,0.92},{"River","Rainwater","Borehole","Vendor"}),IF(D636&lt;30000,LOOKUP(RAND(),{0,0.3,0.6,0.85},{"River","Rainwater","Borehole","Vendor"}),LOOKUP(RAND(),{0,0.2,0.5,0.75},{"River","Rainwater","Borehole","Vendor"}))))))</f>
        <v>River</v>
      </c>
      <c r="F636">
        <f t="shared" ca="1" si="55"/>
        <v>48</v>
      </c>
      <c r="G636">
        <f t="shared" ca="1" si="56"/>
        <v>2.4</v>
      </c>
      <c r="H636">
        <f t="shared" ca="1" si="57"/>
        <v>8200</v>
      </c>
      <c r="I636">
        <f t="shared" ca="1" si="58"/>
        <v>0.88903782659574915</v>
      </c>
      <c r="J636">
        <v>1</v>
      </c>
    </row>
    <row r="637" spans="1:10" x14ac:dyDescent="0.3">
      <c r="A637" t="str">
        <f t="shared" si="59"/>
        <v>HH636</v>
      </c>
      <c r="B637" t="str">
        <f ca="1">LOOKUP(RAND(),{0,0.28,0.55,0.78},{"Oloitoktok A","Oloitoktok B","Kiserian","Namanga"})</f>
        <v>Kiserian</v>
      </c>
      <c r="C637">
        <f ca="1">LOOKUP(RAND(),{0,0.02,0.09,0.2,0.35,0.52,0.68,0.81,0.91,0.97},{1,2,3,4,5,6,7,8,9,10})</f>
        <v>6</v>
      </c>
      <c r="D637">
        <f t="shared" ca="1" si="54"/>
        <v>32400</v>
      </c>
      <c r="E637" t="str">
        <f ca="1">IF(B637="Oloitoktok A",IF(D637&lt;15000,LOOKUP(RAND(),{0,0.45,0.75,0.92},{"River","Rainwater","Borehole","Vendor"}),IF(D637&lt;30000,LOOKUP(RAND(),{0,0.35,0.65,0.85},{"River","Rainwater","Borehole","Vendor"}),LOOKUP(RAND(),{0,0.25,0.5,0.75},{"River","Rainwater","Borehole","Vendor"}))),IF(B637="Oloitoktok B",IF(D637&lt;15000,LOOKUP(RAND(),{0,0.5,0.78,0.94},{"River","Rainwater","Borehole","Vendor"}),IF(D637&lt;30000,LOOKUP(RAND(),{0,0.4,0.68,0.87},{"River","Rainwater","Borehole","Vendor"}),LOOKUP(RAND(),{0,0.28,0.55,0.78},{"River","Rainwater","Borehole","Vendor"}))),IF(B637="Kiserian",IF(D637&lt;15000,LOOKUP(RAND(),{0,0.35,0.65,0.9},{"River","Rainwater","Borehole","Vendor"}),IF(D637&lt;30000,LOOKUP(RAND(),{0,0.25,0.55,0.82},{"River","Rainwater","Borehole","Vendor"}),LOOKUP(RAND(),{0,0.15,0.45,0.72},{"River","Rainwater","Borehole","Vendor"}))),IF(D637&lt;15000,LOOKUP(RAND(),{0,0.4,0.7,0.92},{"River","Rainwater","Borehole","Vendor"}),IF(D637&lt;30000,LOOKUP(RAND(),{0,0.3,0.6,0.85},{"River","Rainwater","Borehole","Vendor"}),LOOKUP(RAND(),{0,0.2,0.5,0.75},{"River","Rainwater","Borehole","Vendor"}))))))</f>
        <v>Rainwater</v>
      </c>
      <c r="F637">
        <f t="shared" ca="1" si="55"/>
        <v>15</v>
      </c>
      <c r="G637">
        <f t="shared" ca="1" si="56"/>
        <v>8.3000000000000007</v>
      </c>
      <c r="H637">
        <f t="shared" ca="1" si="57"/>
        <v>4500</v>
      </c>
      <c r="I637">
        <f t="shared" ca="1" si="58"/>
        <v>0.17170068000418337</v>
      </c>
      <c r="J637">
        <v>1</v>
      </c>
    </row>
    <row r="638" spans="1:10" x14ac:dyDescent="0.3">
      <c r="A638" t="str">
        <f t="shared" si="59"/>
        <v>HH637</v>
      </c>
      <c r="B638" t="str">
        <f ca="1">LOOKUP(RAND(),{0,0.28,0.55,0.78},{"Oloitoktok A","Oloitoktok B","Kiserian","Namanga"})</f>
        <v>Kiserian</v>
      </c>
      <c r="C638">
        <f ca="1">LOOKUP(RAND(),{0,0.02,0.09,0.2,0.35,0.52,0.68,0.81,0.91,0.97},{1,2,3,4,5,6,7,8,9,10})</f>
        <v>6</v>
      </c>
      <c r="D638">
        <f t="shared" ca="1" si="54"/>
        <v>25400</v>
      </c>
      <c r="E638" t="str">
        <f ca="1">IF(B638="Oloitoktok A",IF(D638&lt;15000,LOOKUP(RAND(),{0,0.45,0.75,0.92},{"River","Rainwater","Borehole","Vendor"}),IF(D638&lt;30000,LOOKUP(RAND(),{0,0.35,0.65,0.85},{"River","Rainwater","Borehole","Vendor"}),LOOKUP(RAND(),{0,0.25,0.5,0.75},{"River","Rainwater","Borehole","Vendor"}))),IF(B638="Oloitoktok B",IF(D638&lt;15000,LOOKUP(RAND(),{0,0.5,0.78,0.94},{"River","Rainwater","Borehole","Vendor"}),IF(D638&lt;30000,LOOKUP(RAND(),{0,0.4,0.68,0.87},{"River","Rainwater","Borehole","Vendor"}),LOOKUP(RAND(),{0,0.28,0.55,0.78},{"River","Rainwater","Borehole","Vendor"}))),IF(B638="Kiserian",IF(D638&lt;15000,LOOKUP(RAND(),{0,0.35,0.65,0.9},{"River","Rainwater","Borehole","Vendor"}),IF(D638&lt;30000,LOOKUP(RAND(),{0,0.25,0.55,0.82},{"River","Rainwater","Borehole","Vendor"}),LOOKUP(RAND(),{0,0.15,0.45,0.72},{"River","Rainwater","Borehole","Vendor"}))),IF(D638&lt;15000,LOOKUP(RAND(),{0,0.4,0.7,0.92},{"River","Rainwater","Borehole","Vendor"}),IF(D638&lt;30000,LOOKUP(RAND(),{0,0.3,0.6,0.85},{"River","Rainwater","Borehole","Vendor"}),LOOKUP(RAND(),{0,0.2,0.5,0.75},{"River","Rainwater","Borehole","Vendor"}))))))</f>
        <v>Rainwater</v>
      </c>
      <c r="F638">
        <f t="shared" ca="1" si="55"/>
        <v>15</v>
      </c>
      <c r="G638">
        <f t="shared" ca="1" si="56"/>
        <v>1.6</v>
      </c>
      <c r="H638">
        <f t="shared" ca="1" si="57"/>
        <v>7000</v>
      </c>
      <c r="I638">
        <f t="shared" ca="1" si="58"/>
        <v>0.8806578242545624</v>
      </c>
      <c r="J638">
        <v>1</v>
      </c>
    </row>
    <row r="639" spans="1:10" x14ac:dyDescent="0.3">
      <c r="A639" t="str">
        <f t="shared" si="59"/>
        <v>HH638</v>
      </c>
      <c r="B639" t="str">
        <f ca="1">LOOKUP(RAND(),{0,0.28,0.55,0.78},{"Oloitoktok A","Oloitoktok B","Kiserian","Namanga"})</f>
        <v>Oloitoktok A</v>
      </c>
      <c r="C639">
        <f ca="1">LOOKUP(RAND(),{0,0.02,0.09,0.2,0.35,0.52,0.68,0.81,0.91,0.97},{1,2,3,4,5,6,7,8,9,10})</f>
        <v>5</v>
      </c>
      <c r="D639">
        <f t="shared" ca="1" si="54"/>
        <v>33400</v>
      </c>
      <c r="E639" t="str">
        <f ca="1">IF(B639="Oloitoktok A",IF(D639&lt;15000,LOOKUP(RAND(),{0,0.45,0.75,0.92},{"River","Rainwater","Borehole","Vendor"}),IF(D639&lt;30000,LOOKUP(RAND(),{0,0.35,0.65,0.85},{"River","Rainwater","Borehole","Vendor"}),LOOKUP(RAND(),{0,0.25,0.5,0.75},{"River","Rainwater","Borehole","Vendor"}))),IF(B639="Oloitoktok B",IF(D639&lt;15000,LOOKUP(RAND(),{0,0.5,0.78,0.94},{"River","Rainwater","Borehole","Vendor"}),IF(D639&lt;30000,LOOKUP(RAND(),{0,0.4,0.68,0.87},{"River","Rainwater","Borehole","Vendor"}),LOOKUP(RAND(),{0,0.28,0.55,0.78},{"River","Rainwater","Borehole","Vendor"}))),IF(B639="Kiserian",IF(D639&lt;15000,LOOKUP(RAND(),{0,0.35,0.65,0.9},{"River","Rainwater","Borehole","Vendor"}),IF(D639&lt;30000,LOOKUP(RAND(),{0,0.25,0.55,0.82},{"River","Rainwater","Borehole","Vendor"}),LOOKUP(RAND(),{0,0.15,0.45,0.72},{"River","Rainwater","Borehole","Vendor"}))),IF(D639&lt;15000,LOOKUP(RAND(),{0,0.4,0.7,0.92},{"River","Rainwater","Borehole","Vendor"}),IF(D639&lt;30000,LOOKUP(RAND(),{0,0.3,0.6,0.85},{"River","Rainwater","Borehole","Vendor"}),LOOKUP(RAND(),{0,0.2,0.5,0.75},{"River","Rainwater","Borehole","Vendor"}))))))</f>
        <v>Vendor</v>
      </c>
      <c r="F639">
        <f t="shared" ca="1" si="55"/>
        <v>37</v>
      </c>
      <c r="G639">
        <f t="shared" ca="1" si="56"/>
        <v>14.5</v>
      </c>
      <c r="H639">
        <f t="shared" ca="1" si="57"/>
        <v>2200</v>
      </c>
      <c r="I639">
        <f t="shared" ca="1" si="58"/>
        <v>0.40175611494167474</v>
      </c>
      <c r="J639">
        <v>1</v>
      </c>
    </row>
    <row r="640" spans="1:10" x14ac:dyDescent="0.3">
      <c r="A640" t="str">
        <f t="shared" si="59"/>
        <v>HH639</v>
      </c>
      <c r="B640" t="str">
        <f ca="1">LOOKUP(RAND(),{0,0.28,0.55,0.78},{"Oloitoktok A","Oloitoktok B","Kiserian","Namanga"})</f>
        <v>Oloitoktok A</v>
      </c>
      <c r="C640">
        <f ca="1">LOOKUP(RAND(),{0,0.02,0.09,0.2,0.35,0.52,0.68,0.81,0.91,0.97},{1,2,3,4,5,6,7,8,9,10})</f>
        <v>4</v>
      </c>
      <c r="D640">
        <f t="shared" ca="1" si="54"/>
        <v>16800</v>
      </c>
      <c r="E640" t="str">
        <f ca="1">IF(B640="Oloitoktok A",IF(D640&lt;15000,LOOKUP(RAND(),{0,0.45,0.75,0.92},{"River","Rainwater","Borehole","Vendor"}),IF(D640&lt;30000,LOOKUP(RAND(),{0,0.35,0.65,0.85},{"River","Rainwater","Borehole","Vendor"}),LOOKUP(RAND(),{0,0.25,0.5,0.75},{"River","Rainwater","Borehole","Vendor"}))),IF(B640="Oloitoktok B",IF(D640&lt;15000,LOOKUP(RAND(),{0,0.5,0.78,0.94},{"River","Rainwater","Borehole","Vendor"}),IF(D640&lt;30000,LOOKUP(RAND(),{0,0.4,0.68,0.87},{"River","Rainwater","Borehole","Vendor"}),LOOKUP(RAND(),{0,0.28,0.55,0.78},{"River","Rainwater","Borehole","Vendor"}))),IF(B640="Kiserian",IF(D640&lt;15000,LOOKUP(RAND(),{0,0.35,0.65,0.9},{"River","Rainwater","Borehole","Vendor"}),IF(D640&lt;30000,LOOKUP(RAND(),{0,0.25,0.55,0.82},{"River","Rainwater","Borehole","Vendor"}),LOOKUP(RAND(),{0,0.15,0.45,0.72},{"River","Rainwater","Borehole","Vendor"}))),IF(D640&lt;15000,LOOKUP(RAND(),{0,0.4,0.7,0.92},{"River","Rainwater","Borehole","Vendor"}),IF(D640&lt;30000,LOOKUP(RAND(),{0,0.3,0.6,0.85},{"River","Rainwater","Borehole","Vendor"}),LOOKUP(RAND(),{0,0.2,0.5,0.75},{"River","Rainwater","Borehole","Vendor"}))))))</f>
        <v>River</v>
      </c>
      <c r="F640">
        <f t="shared" ca="1" si="55"/>
        <v>93</v>
      </c>
      <c r="G640">
        <f t="shared" ca="1" si="56"/>
        <v>5.4</v>
      </c>
      <c r="H640">
        <f t="shared" ca="1" si="57"/>
        <v>3400</v>
      </c>
      <c r="I640">
        <f t="shared" ca="1" si="58"/>
        <v>0.65714172110846958</v>
      </c>
      <c r="J640">
        <v>1</v>
      </c>
    </row>
    <row r="641" spans="1:10" x14ac:dyDescent="0.3">
      <c r="A641" t="str">
        <f t="shared" si="59"/>
        <v>HH640</v>
      </c>
      <c r="B641" t="str">
        <f ca="1">LOOKUP(RAND(),{0,0.28,0.55,0.78},{"Oloitoktok A","Oloitoktok B","Kiserian","Namanga"})</f>
        <v>Namanga</v>
      </c>
      <c r="C641">
        <f ca="1">LOOKUP(RAND(),{0,0.02,0.09,0.2,0.35,0.52,0.68,0.81,0.91,0.97},{1,2,3,4,5,6,7,8,9,10})</f>
        <v>8</v>
      </c>
      <c r="D641">
        <f t="shared" ca="1" si="54"/>
        <v>45500</v>
      </c>
      <c r="E641" t="str">
        <f ca="1">IF(B641="Oloitoktok A",IF(D641&lt;15000,LOOKUP(RAND(),{0,0.45,0.75,0.92},{"River","Rainwater","Borehole","Vendor"}),IF(D641&lt;30000,LOOKUP(RAND(),{0,0.35,0.65,0.85},{"River","Rainwater","Borehole","Vendor"}),LOOKUP(RAND(),{0,0.25,0.5,0.75},{"River","Rainwater","Borehole","Vendor"}))),IF(B641="Oloitoktok B",IF(D641&lt;15000,LOOKUP(RAND(),{0,0.5,0.78,0.94},{"River","Rainwater","Borehole","Vendor"}),IF(D641&lt;30000,LOOKUP(RAND(),{0,0.4,0.68,0.87},{"River","Rainwater","Borehole","Vendor"}),LOOKUP(RAND(),{0,0.28,0.55,0.78},{"River","Rainwater","Borehole","Vendor"}))),IF(B641="Kiserian",IF(D641&lt;15000,LOOKUP(RAND(),{0,0.35,0.65,0.9},{"River","Rainwater","Borehole","Vendor"}),IF(D641&lt;30000,LOOKUP(RAND(),{0,0.25,0.55,0.82},{"River","Rainwater","Borehole","Vendor"}),LOOKUP(RAND(),{0,0.15,0.45,0.72},{"River","Rainwater","Borehole","Vendor"}))),IF(D641&lt;15000,LOOKUP(RAND(),{0,0.4,0.7,0.92},{"River","Rainwater","Borehole","Vendor"}),IF(D641&lt;30000,LOOKUP(RAND(),{0,0.3,0.6,0.85},{"River","Rainwater","Borehole","Vendor"}),LOOKUP(RAND(),{0,0.2,0.5,0.75},{"River","Rainwater","Borehole","Vendor"}))))))</f>
        <v>Borehole</v>
      </c>
      <c r="F641">
        <f t="shared" ca="1" si="55"/>
        <v>40</v>
      </c>
      <c r="G641">
        <f t="shared" ca="1" si="56"/>
        <v>11.9</v>
      </c>
      <c r="H641">
        <f t="shared" ca="1" si="57"/>
        <v>8100</v>
      </c>
      <c r="I641">
        <f t="shared" ca="1" si="58"/>
        <v>0.16240656196341241</v>
      </c>
      <c r="J641">
        <v>1</v>
      </c>
    </row>
    <row r="642" spans="1:10" x14ac:dyDescent="0.3">
      <c r="A642" t="str">
        <f t="shared" si="59"/>
        <v>HH641</v>
      </c>
      <c r="B642" t="str">
        <f ca="1">LOOKUP(RAND(),{0,0.28,0.55,0.78},{"Oloitoktok A","Oloitoktok B","Kiserian","Namanga"})</f>
        <v>Kiserian</v>
      </c>
      <c r="C642">
        <f ca="1">LOOKUP(RAND(),{0,0.02,0.09,0.2,0.35,0.52,0.68,0.81,0.91,0.97},{1,2,3,4,5,6,7,8,9,10})</f>
        <v>4</v>
      </c>
      <c r="D642">
        <f t="shared" ref="D642:D705" ca="1" si="60">MAX(5000,MIN(150000,ROUND(_xlfn.LOGNORM.INV(RAND(),LN(28000+1500*C642),0.55),-2)))</f>
        <v>73400</v>
      </c>
      <c r="E642" t="str">
        <f ca="1">IF(B642="Oloitoktok A",IF(D642&lt;15000,LOOKUP(RAND(),{0,0.45,0.75,0.92},{"River","Rainwater","Borehole","Vendor"}),IF(D642&lt;30000,LOOKUP(RAND(),{0,0.35,0.65,0.85},{"River","Rainwater","Borehole","Vendor"}),LOOKUP(RAND(),{0,0.25,0.5,0.75},{"River","Rainwater","Borehole","Vendor"}))),IF(B642="Oloitoktok B",IF(D642&lt;15000,LOOKUP(RAND(),{0,0.5,0.78,0.94},{"River","Rainwater","Borehole","Vendor"}),IF(D642&lt;30000,LOOKUP(RAND(),{0,0.4,0.68,0.87},{"River","Rainwater","Borehole","Vendor"}),LOOKUP(RAND(),{0,0.28,0.55,0.78},{"River","Rainwater","Borehole","Vendor"}))),IF(B642="Kiserian",IF(D642&lt;15000,LOOKUP(RAND(),{0,0.35,0.65,0.9},{"River","Rainwater","Borehole","Vendor"}),IF(D642&lt;30000,LOOKUP(RAND(),{0,0.25,0.55,0.82},{"River","Rainwater","Borehole","Vendor"}),LOOKUP(RAND(),{0,0.15,0.45,0.72},{"River","Rainwater","Borehole","Vendor"}))),IF(D642&lt;15000,LOOKUP(RAND(),{0,0.4,0.7,0.92},{"River","Rainwater","Borehole","Vendor"}),IF(D642&lt;30000,LOOKUP(RAND(),{0,0.3,0.6,0.85},{"River","Rainwater","Borehole","Vendor"}),LOOKUP(RAND(),{0,0.2,0.5,0.75},{"River","Rainwater","Borehole","Vendor"}))))))</f>
        <v>Rainwater</v>
      </c>
      <c r="F642">
        <f t="shared" ref="F642:F705" ca="1" si="61">IF(E642="River",RANDBETWEEN(45,120),IF(E642="Rainwater",RANDBETWEEN(15,70),IF(E642="Borehole",RANDBETWEEN(20,75),RANDBETWEEN(10,60))))</f>
        <v>54</v>
      </c>
      <c r="G642">
        <f t="shared" ref="G642:G705" ca="1" si="62">IF(B642="Oloitoktok A",ROUND(RANDBETWEEN(5,150)/10,1),IF(B642="Oloitoktok B",ROUND(RANDBETWEEN(4,140)/10,1),IF(B642="Kiserian",ROUND(RANDBETWEEN(2,100)/10,1),ROUND(RANDBETWEEN(3,120)/10,1))))</f>
        <v>1.7</v>
      </c>
      <c r="H642">
        <f t="shared" ref="H642:H705" ca="1" si="63">MAX(0,ROUND((1500+(C642*250)+(D642*0.025)+(F642*8)+(G642*120)+IF(E642="River",1200,IF(E642="Rainwater",700,IF(E642="Borehole",400,200)))+_xlfn.NORM.INV(RAND(),0,3500)),-2))</f>
        <v>5200</v>
      </c>
      <c r="I642">
        <f t="shared" ref="I642:I705" ca="1" si="64">RAND()</f>
        <v>0.58739896209370579</v>
      </c>
      <c r="J642">
        <v>1</v>
      </c>
    </row>
    <row r="643" spans="1:10" x14ac:dyDescent="0.3">
      <c r="A643" t="str">
        <f t="shared" ref="A643:A706" si="65">"HH"&amp;TEXT(ROW()-1,"000")</f>
        <v>HH642</v>
      </c>
      <c r="B643" t="str">
        <f ca="1">LOOKUP(RAND(),{0,0.28,0.55,0.78},{"Oloitoktok A","Oloitoktok B","Kiserian","Namanga"})</f>
        <v>Oloitoktok A</v>
      </c>
      <c r="C643">
        <f ca="1">LOOKUP(RAND(),{0,0.02,0.09,0.2,0.35,0.52,0.68,0.81,0.91,0.97},{1,2,3,4,5,6,7,8,9,10})</f>
        <v>3</v>
      </c>
      <c r="D643">
        <f t="shared" ca="1" si="60"/>
        <v>20300</v>
      </c>
      <c r="E643" t="str">
        <f ca="1">IF(B643="Oloitoktok A",IF(D643&lt;15000,LOOKUP(RAND(),{0,0.45,0.75,0.92},{"River","Rainwater","Borehole","Vendor"}),IF(D643&lt;30000,LOOKUP(RAND(),{0,0.35,0.65,0.85},{"River","Rainwater","Borehole","Vendor"}),LOOKUP(RAND(),{0,0.25,0.5,0.75},{"River","Rainwater","Borehole","Vendor"}))),IF(B643="Oloitoktok B",IF(D643&lt;15000,LOOKUP(RAND(),{0,0.5,0.78,0.94},{"River","Rainwater","Borehole","Vendor"}),IF(D643&lt;30000,LOOKUP(RAND(),{0,0.4,0.68,0.87},{"River","Rainwater","Borehole","Vendor"}),LOOKUP(RAND(),{0,0.28,0.55,0.78},{"River","Rainwater","Borehole","Vendor"}))),IF(B643="Kiserian",IF(D643&lt;15000,LOOKUP(RAND(),{0,0.35,0.65,0.9},{"River","Rainwater","Borehole","Vendor"}),IF(D643&lt;30000,LOOKUP(RAND(),{0,0.25,0.55,0.82},{"River","Rainwater","Borehole","Vendor"}),LOOKUP(RAND(),{0,0.15,0.45,0.72},{"River","Rainwater","Borehole","Vendor"}))),IF(D643&lt;15000,LOOKUP(RAND(),{0,0.4,0.7,0.92},{"River","Rainwater","Borehole","Vendor"}),IF(D643&lt;30000,LOOKUP(RAND(),{0,0.3,0.6,0.85},{"River","Rainwater","Borehole","Vendor"}),LOOKUP(RAND(),{0,0.2,0.5,0.75},{"River","Rainwater","Borehole","Vendor"}))))))</f>
        <v>Rainwater</v>
      </c>
      <c r="F643">
        <f t="shared" ca="1" si="61"/>
        <v>44</v>
      </c>
      <c r="G643">
        <f t="shared" ca="1" si="62"/>
        <v>11.3</v>
      </c>
      <c r="H643">
        <f t="shared" ca="1" si="63"/>
        <v>4200</v>
      </c>
      <c r="I643">
        <f t="shared" ca="1" si="64"/>
        <v>0.80450153421787607</v>
      </c>
      <c r="J643">
        <v>1</v>
      </c>
    </row>
    <row r="644" spans="1:10" x14ac:dyDescent="0.3">
      <c r="A644" t="str">
        <f t="shared" si="65"/>
        <v>HH643</v>
      </c>
      <c r="B644" t="str">
        <f ca="1">LOOKUP(RAND(),{0,0.28,0.55,0.78},{"Oloitoktok A","Oloitoktok B","Kiserian","Namanga"})</f>
        <v>Oloitoktok A</v>
      </c>
      <c r="C644">
        <f ca="1">LOOKUP(RAND(),{0,0.02,0.09,0.2,0.35,0.52,0.68,0.81,0.91,0.97},{1,2,3,4,5,6,7,8,9,10})</f>
        <v>3</v>
      </c>
      <c r="D644">
        <f t="shared" ca="1" si="60"/>
        <v>18900</v>
      </c>
      <c r="E644" t="str">
        <f ca="1">IF(B644="Oloitoktok A",IF(D644&lt;15000,LOOKUP(RAND(),{0,0.45,0.75,0.92},{"River","Rainwater","Borehole","Vendor"}),IF(D644&lt;30000,LOOKUP(RAND(),{0,0.35,0.65,0.85},{"River","Rainwater","Borehole","Vendor"}),LOOKUP(RAND(),{0,0.25,0.5,0.75},{"River","Rainwater","Borehole","Vendor"}))),IF(B644="Oloitoktok B",IF(D644&lt;15000,LOOKUP(RAND(),{0,0.5,0.78,0.94},{"River","Rainwater","Borehole","Vendor"}),IF(D644&lt;30000,LOOKUP(RAND(),{0,0.4,0.68,0.87},{"River","Rainwater","Borehole","Vendor"}),LOOKUP(RAND(),{0,0.28,0.55,0.78},{"River","Rainwater","Borehole","Vendor"}))),IF(B644="Kiserian",IF(D644&lt;15000,LOOKUP(RAND(),{0,0.35,0.65,0.9},{"River","Rainwater","Borehole","Vendor"}),IF(D644&lt;30000,LOOKUP(RAND(),{0,0.25,0.55,0.82},{"River","Rainwater","Borehole","Vendor"}),LOOKUP(RAND(),{0,0.15,0.45,0.72},{"River","Rainwater","Borehole","Vendor"}))),IF(D644&lt;15000,LOOKUP(RAND(),{0,0.4,0.7,0.92},{"River","Rainwater","Borehole","Vendor"}),IF(D644&lt;30000,LOOKUP(RAND(),{0,0.3,0.6,0.85},{"River","Rainwater","Borehole","Vendor"}),LOOKUP(RAND(),{0,0.2,0.5,0.75},{"River","Rainwater","Borehole","Vendor"}))))))</f>
        <v>Vendor</v>
      </c>
      <c r="F644">
        <f t="shared" ca="1" si="61"/>
        <v>21</v>
      </c>
      <c r="G644">
        <f t="shared" ca="1" si="62"/>
        <v>7.8</v>
      </c>
      <c r="H644">
        <f t="shared" ca="1" si="63"/>
        <v>500</v>
      </c>
      <c r="I644">
        <f t="shared" ca="1" si="64"/>
        <v>0.38197458905157478</v>
      </c>
      <c r="J644">
        <v>1</v>
      </c>
    </row>
    <row r="645" spans="1:10" x14ac:dyDescent="0.3">
      <c r="A645" t="str">
        <f t="shared" si="65"/>
        <v>HH644</v>
      </c>
      <c r="B645" t="str">
        <f ca="1">LOOKUP(RAND(),{0,0.28,0.55,0.78},{"Oloitoktok A","Oloitoktok B","Kiserian","Namanga"})</f>
        <v>Kiserian</v>
      </c>
      <c r="C645">
        <f ca="1">LOOKUP(RAND(),{0,0.02,0.09,0.2,0.35,0.52,0.68,0.81,0.91,0.97},{1,2,3,4,5,6,7,8,9,10})</f>
        <v>8</v>
      </c>
      <c r="D645">
        <f t="shared" ca="1" si="60"/>
        <v>51900</v>
      </c>
      <c r="E645" t="str">
        <f ca="1">IF(B645="Oloitoktok A",IF(D645&lt;15000,LOOKUP(RAND(),{0,0.45,0.75,0.92},{"River","Rainwater","Borehole","Vendor"}),IF(D645&lt;30000,LOOKUP(RAND(),{0,0.35,0.65,0.85},{"River","Rainwater","Borehole","Vendor"}),LOOKUP(RAND(),{0,0.25,0.5,0.75},{"River","Rainwater","Borehole","Vendor"}))),IF(B645="Oloitoktok B",IF(D645&lt;15000,LOOKUP(RAND(),{0,0.5,0.78,0.94},{"River","Rainwater","Borehole","Vendor"}),IF(D645&lt;30000,LOOKUP(RAND(),{0,0.4,0.68,0.87},{"River","Rainwater","Borehole","Vendor"}),LOOKUP(RAND(),{0,0.28,0.55,0.78},{"River","Rainwater","Borehole","Vendor"}))),IF(B645="Kiserian",IF(D645&lt;15000,LOOKUP(RAND(),{0,0.35,0.65,0.9},{"River","Rainwater","Borehole","Vendor"}),IF(D645&lt;30000,LOOKUP(RAND(),{0,0.25,0.55,0.82},{"River","Rainwater","Borehole","Vendor"}),LOOKUP(RAND(),{0,0.15,0.45,0.72},{"River","Rainwater","Borehole","Vendor"}))),IF(D645&lt;15000,LOOKUP(RAND(),{0,0.4,0.7,0.92},{"River","Rainwater","Borehole","Vendor"}),IF(D645&lt;30000,LOOKUP(RAND(),{0,0.3,0.6,0.85},{"River","Rainwater","Borehole","Vendor"}),LOOKUP(RAND(),{0,0.2,0.5,0.75},{"River","Rainwater","Borehole","Vendor"}))))))</f>
        <v>Rainwater</v>
      </c>
      <c r="F645">
        <f t="shared" ca="1" si="61"/>
        <v>21</v>
      </c>
      <c r="G645">
        <f t="shared" ca="1" si="62"/>
        <v>1.3</v>
      </c>
      <c r="H645">
        <f t="shared" ca="1" si="63"/>
        <v>5000</v>
      </c>
      <c r="I645">
        <f t="shared" ca="1" si="64"/>
        <v>0.87167256410231642</v>
      </c>
      <c r="J645">
        <v>1</v>
      </c>
    </row>
    <row r="646" spans="1:10" x14ac:dyDescent="0.3">
      <c r="A646" t="str">
        <f t="shared" si="65"/>
        <v>HH645</v>
      </c>
      <c r="B646" t="str">
        <f ca="1">LOOKUP(RAND(),{0,0.28,0.55,0.78},{"Oloitoktok A","Oloitoktok B","Kiserian","Namanga"})</f>
        <v>Namanga</v>
      </c>
      <c r="C646">
        <f ca="1">LOOKUP(RAND(),{0,0.02,0.09,0.2,0.35,0.52,0.68,0.81,0.91,0.97},{1,2,3,4,5,6,7,8,9,10})</f>
        <v>3</v>
      </c>
      <c r="D646">
        <f t="shared" ca="1" si="60"/>
        <v>43600</v>
      </c>
      <c r="E646" t="str">
        <f ca="1">IF(B646="Oloitoktok A",IF(D646&lt;15000,LOOKUP(RAND(),{0,0.45,0.75,0.92},{"River","Rainwater","Borehole","Vendor"}),IF(D646&lt;30000,LOOKUP(RAND(),{0,0.35,0.65,0.85},{"River","Rainwater","Borehole","Vendor"}),LOOKUP(RAND(),{0,0.25,0.5,0.75},{"River","Rainwater","Borehole","Vendor"}))),IF(B646="Oloitoktok B",IF(D646&lt;15000,LOOKUP(RAND(),{0,0.5,0.78,0.94},{"River","Rainwater","Borehole","Vendor"}),IF(D646&lt;30000,LOOKUP(RAND(),{0,0.4,0.68,0.87},{"River","Rainwater","Borehole","Vendor"}),LOOKUP(RAND(),{0,0.28,0.55,0.78},{"River","Rainwater","Borehole","Vendor"}))),IF(B646="Kiserian",IF(D646&lt;15000,LOOKUP(RAND(),{0,0.35,0.65,0.9},{"River","Rainwater","Borehole","Vendor"}),IF(D646&lt;30000,LOOKUP(RAND(),{0,0.25,0.55,0.82},{"River","Rainwater","Borehole","Vendor"}),LOOKUP(RAND(),{0,0.15,0.45,0.72},{"River","Rainwater","Borehole","Vendor"}))),IF(D646&lt;15000,LOOKUP(RAND(),{0,0.4,0.7,0.92},{"River","Rainwater","Borehole","Vendor"}),IF(D646&lt;30000,LOOKUP(RAND(),{0,0.3,0.6,0.85},{"River","Rainwater","Borehole","Vendor"}),LOOKUP(RAND(),{0,0.2,0.5,0.75},{"River","Rainwater","Borehole","Vendor"}))))))</f>
        <v>Borehole</v>
      </c>
      <c r="F646">
        <f t="shared" ca="1" si="61"/>
        <v>32</v>
      </c>
      <c r="G646">
        <f t="shared" ca="1" si="62"/>
        <v>1.6</v>
      </c>
      <c r="H646">
        <f t="shared" ca="1" si="63"/>
        <v>4600</v>
      </c>
      <c r="I646">
        <f t="shared" ca="1" si="64"/>
        <v>0.91425135503877075</v>
      </c>
      <c r="J646">
        <v>1</v>
      </c>
    </row>
    <row r="647" spans="1:10" x14ac:dyDescent="0.3">
      <c r="A647" t="str">
        <f t="shared" si="65"/>
        <v>HH646</v>
      </c>
      <c r="B647" t="str">
        <f ca="1">LOOKUP(RAND(),{0,0.28,0.55,0.78},{"Oloitoktok A","Oloitoktok B","Kiserian","Namanga"})</f>
        <v>Oloitoktok A</v>
      </c>
      <c r="C647">
        <f ca="1">LOOKUP(RAND(),{0,0.02,0.09,0.2,0.35,0.52,0.68,0.81,0.91,0.97},{1,2,3,4,5,6,7,8,9,10})</f>
        <v>3</v>
      </c>
      <c r="D647">
        <f t="shared" ca="1" si="60"/>
        <v>60200</v>
      </c>
      <c r="E647" t="str">
        <f ca="1">IF(B647="Oloitoktok A",IF(D647&lt;15000,LOOKUP(RAND(),{0,0.45,0.75,0.92},{"River","Rainwater","Borehole","Vendor"}),IF(D647&lt;30000,LOOKUP(RAND(),{0,0.35,0.65,0.85},{"River","Rainwater","Borehole","Vendor"}),LOOKUP(RAND(),{0,0.25,0.5,0.75},{"River","Rainwater","Borehole","Vendor"}))),IF(B647="Oloitoktok B",IF(D647&lt;15000,LOOKUP(RAND(),{0,0.5,0.78,0.94},{"River","Rainwater","Borehole","Vendor"}),IF(D647&lt;30000,LOOKUP(RAND(),{0,0.4,0.68,0.87},{"River","Rainwater","Borehole","Vendor"}),LOOKUP(RAND(),{0,0.28,0.55,0.78},{"River","Rainwater","Borehole","Vendor"}))),IF(B647="Kiserian",IF(D647&lt;15000,LOOKUP(RAND(),{0,0.35,0.65,0.9},{"River","Rainwater","Borehole","Vendor"}),IF(D647&lt;30000,LOOKUP(RAND(),{0,0.25,0.55,0.82},{"River","Rainwater","Borehole","Vendor"}),LOOKUP(RAND(),{0,0.15,0.45,0.72},{"River","Rainwater","Borehole","Vendor"}))),IF(D647&lt;15000,LOOKUP(RAND(),{0,0.4,0.7,0.92},{"River","Rainwater","Borehole","Vendor"}),IF(D647&lt;30000,LOOKUP(RAND(),{0,0.3,0.6,0.85},{"River","Rainwater","Borehole","Vendor"}),LOOKUP(RAND(),{0,0.2,0.5,0.75},{"River","Rainwater","Borehole","Vendor"}))))))</f>
        <v>Borehole</v>
      </c>
      <c r="F647">
        <f t="shared" ca="1" si="61"/>
        <v>51</v>
      </c>
      <c r="G647">
        <f t="shared" ca="1" si="62"/>
        <v>11.9</v>
      </c>
      <c r="H647">
        <f t="shared" ca="1" si="63"/>
        <v>5500</v>
      </c>
      <c r="I647">
        <f t="shared" ca="1" si="64"/>
        <v>0.92461593596794622</v>
      </c>
      <c r="J647">
        <v>1</v>
      </c>
    </row>
    <row r="648" spans="1:10" x14ac:dyDescent="0.3">
      <c r="A648" t="str">
        <f t="shared" si="65"/>
        <v>HH647</v>
      </c>
      <c r="B648" t="str">
        <f ca="1">LOOKUP(RAND(),{0,0.28,0.55,0.78},{"Oloitoktok A","Oloitoktok B","Kiserian","Namanga"})</f>
        <v>Oloitoktok A</v>
      </c>
      <c r="C648">
        <f ca="1">LOOKUP(RAND(),{0,0.02,0.09,0.2,0.35,0.52,0.68,0.81,0.91,0.97},{1,2,3,4,5,6,7,8,9,10})</f>
        <v>6</v>
      </c>
      <c r="D648">
        <f t="shared" ca="1" si="60"/>
        <v>44900</v>
      </c>
      <c r="E648" t="str">
        <f ca="1">IF(B648="Oloitoktok A",IF(D648&lt;15000,LOOKUP(RAND(),{0,0.45,0.75,0.92},{"River","Rainwater","Borehole","Vendor"}),IF(D648&lt;30000,LOOKUP(RAND(),{0,0.35,0.65,0.85},{"River","Rainwater","Borehole","Vendor"}),LOOKUP(RAND(),{0,0.25,0.5,0.75},{"River","Rainwater","Borehole","Vendor"}))),IF(B648="Oloitoktok B",IF(D648&lt;15000,LOOKUP(RAND(),{0,0.5,0.78,0.94},{"River","Rainwater","Borehole","Vendor"}),IF(D648&lt;30000,LOOKUP(RAND(),{0,0.4,0.68,0.87},{"River","Rainwater","Borehole","Vendor"}),LOOKUP(RAND(),{0,0.28,0.55,0.78},{"River","Rainwater","Borehole","Vendor"}))),IF(B648="Kiserian",IF(D648&lt;15000,LOOKUP(RAND(),{0,0.35,0.65,0.9},{"River","Rainwater","Borehole","Vendor"}),IF(D648&lt;30000,LOOKUP(RAND(),{0,0.25,0.55,0.82},{"River","Rainwater","Borehole","Vendor"}),LOOKUP(RAND(),{0,0.15,0.45,0.72},{"River","Rainwater","Borehole","Vendor"}))),IF(D648&lt;15000,LOOKUP(RAND(),{0,0.4,0.7,0.92},{"River","Rainwater","Borehole","Vendor"}),IF(D648&lt;30000,LOOKUP(RAND(),{0,0.3,0.6,0.85},{"River","Rainwater","Borehole","Vendor"}),LOOKUP(RAND(),{0,0.2,0.5,0.75},{"River","Rainwater","Borehole","Vendor"}))))))</f>
        <v>Vendor</v>
      </c>
      <c r="F648">
        <f t="shared" ca="1" si="61"/>
        <v>41</v>
      </c>
      <c r="G648">
        <f t="shared" ca="1" si="62"/>
        <v>9.4</v>
      </c>
      <c r="H648">
        <f t="shared" ca="1" si="63"/>
        <v>4000</v>
      </c>
      <c r="I648">
        <f t="shared" ca="1" si="64"/>
        <v>0.22591629318411677</v>
      </c>
      <c r="J648">
        <v>1</v>
      </c>
    </row>
    <row r="649" spans="1:10" x14ac:dyDescent="0.3">
      <c r="A649" t="str">
        <f t="shared" si="65"/>
        <v>HH648</v>
      </c>
      <c r="B649" t="str">
        <f ca="1">LOOKUP(RAND(),{0,0.28,0.55,0.78},{"Oloitoktok A","Oloitoktok B","Kiserian","Namanga"})</f>
        <v>Oloitoktok A</v>
      </c>
      <c r="C649">
        <f ca="1">LOOKUP(RAND(),{0,0.02,0.09,0.2,0.35,0.52,0.68,0.81,0.91,0.97},{1,2,3,4,5,6,7,8,9,10})</f>
        <v>6</v>
      </c>
      <c r="D649">
        <f t="shared" ca="1" si="60"/>
        <v>21800</v>
      </c>
      <c r="E649" t="str">
        <f ca="1">IF(B649="Oloitoktok A",IF(D649&lt;15000,LOOKUP(RAND(),{0,0.45,0.75,0.92},{"River","Rainwater","Borehole","Vendor"}),IF(D649&lt;30000,LOOKUP(RAND(),{0,0.35,0.65,0.85},{"River","Rainwater","Borehole","Vendor"}),LOOKUP(RAND(),{0,0.25,0.5,0.75},{"River","Rainwater","Borehole","Vendor"}))),IF(B649="Oloitoktok B",IF(D649&lt;15000,LOOKUP(RAND(),{0,0.5,0.78,0.94},{"River","Rainwater","Borehole","Vendor"}),IF(D649&lt;30000,LOOKUP(RAND(),{0,0.4,0.68,0.87},{"River","Rainwater","Borehole","Vendor"}),LOOKUP(RAND(),{0,0.28,0.55,0.78},{"River","Rainwater","Borehole","Vendor"}))),IF(B649="Kiserian",IF(D649&lt;15000,LOOKUP(RAND(),{0,0.35,0.65,0.9},{"River","Rainwater","Borehole","Vendor"}),IF(D649&lt;30000,LOOKUP(RAND(),{0,0.25,0.55,0.82},{"River","Rainwater","Borehole","Vendor"}),LOOKUP(RAND(),{0,0.15,0.45,0.72},{"River","Rainwater","Borehole","Vendor"}))),IF(D649&lt;15000,LOOKUP(RAND(),{0,0.4,0.7,0.92},{"River","Rainwater","Borehole","Vendor"}),IF(D649&lt;30000,LOOKUP(RAND(),{0,0.3,0.6,0.85},{"River","Rainwater","Borehole","Vendor"}),LOOKUP(RAND(),{0,0.2,0.5,0.75},{"River","Rainwater","Borehole","Vendor"}))))))</f>
        <v>Vendor</v>
      </c>
      <c r="F649">
        <f t="shared" ca="1" si="61"/>
        <v>18</v>
      </c>
      <c r="G649">
        <f t="shared" ca="1" si="62"/>
        <v>3.8</v>
      </c>
      <c r="H649">
        <f t="shared" ca="1" si="63"/>
        <v>8700</v>
      </c>
      <c r="I649">
        <f t="shared" ca="1" si="64"/>
        <v>0.98514315852088241</v>
      </c>
      <c r="J649">
        <v>1</v>
      </c>
    </row>
    <row r="650" spans="1:10" x14ac:dyDescent="0.3">
      <c r="A650" t="str">
        <f t="shared" si="65"/>
        <v>HH649</v>
      </c>
      <c r="B650" t="str">
        <f ca="1">LOOKUP(RAND(),{0,0.28,0.55,0.78},{"Oloitoktok A","Oloitoktok B","Kiserian","Namanga"})</f>
        <v>Oloitoktok A</v>
      </c>
      <c r="C650">
        <f ca="1">LOOKUP(RAND(),{0,0.02,0.09,0.2,0.35,0.52,0.68,0.81,0.91,0.97},{1,2,3,4,5,6,7,8,9,10})</f>
        <v>7</v>
      </c>
      <c r="D650">
        <f t="shared" ca="1" si="60"/>
        <v>38000</v>
      </c>
      <c r="E650" t="str">
        <f ca="1">IF(B650="Oloitoktok A",IF(D650&lt;15000,LOOKUP(RAND(),{0,0.45,0.75,0.92},{"River","Rainwater","Borehole","Vendor"}),IF(D650&lt;30000,LOOKUP(RAND(),{0,0.35,0.65,0.85},{"River","Rainwater","Borehole","Vendor"}),LOOKUP(RAND(),{0,0.25,0.5,0.75},{"River","Rainwater","Borehole","Vendor"}))),IF(B650="Oloitoktok B",IF(D650&lt;15000,LOOKUP(RAND(),{0,0.5,0.78,0.94},{"River","Rainwater","Borehole","Vendor"}),IF(D650&lt;30000,LOOKUP(RAND(),{0,0.4,0.68,0.87},{"River","Rainwater","Borehole","Vendor"}),LOOKUP(RAND(),{0,0.28,0.55,0.78},{"River","Rainwater","Borehole","Vendor"}))),IF(B650="Kiserian",IF(D650&lt;15000,LOOKUP(RAND(),{0,0.35,0.65,0.9},{"River","Rainwater","Borehole","Vendor"}),IF(D650&lt;30000,LOOKUP(RAND(),{0,0.25,0.55,0.82},{"River","Rainwater","Borehole","Vendor"}),LOOKUP(RAND(),{0,0.15,0.45,0.72},{"River","Rainwater","Borehole","Vendor"}))),IF(D650&lt;15000,LOOKUP(RAND(),{0,0.4,0.7,0.92},{"River","Rainwater","Borehole","Vendor"}),IF(D650&lt;30000,LOOKUP(RAND(),{0,0.3,0.6,0.85},{"River","Rainwater","Borehole","Vendor"}),LOOKUP(RAND(),{0,0.2,0.5,0.75},{"River","Rainwater","Borehole","Vendor"}))))))</f>
        <v>Vendor</v>
      </c>
      <c r="F650">
        <f t="shared" ca="1" si="61"/>
        <v>45</v>
      </c>
      <c r="G650">
        <f t="shared" ca="1" si="62"/>
        <v>7</v>
      </c>
      <c r="H650">
        <f t="shared" ca="1" si="63"/>
        <v>1800</v>
      </c>
      <c r="I650">
        <f t="shared" ca="1" si="64"/>
        <v>0.31855876231345814</v>
      </c>
      <c r="J650">
        <v>1</v>
      </c>
    </row>
    <row r="651" spans="1:10" x14ac:dyDescent="0.3">
      <c r="A651" t="str">
        <f t="shared" si="65"/>
        <v>HH650</v>
      </c>
      <c r="B651" t="str">
        <f ca="1">LOOKUP(RAND(),{0,0.28,0.55,0.78},{"Oloitoktok A","Oloitoktok B","Kiserian","Namanga"})</f>
        <v>Namanga</v>
      </c>
      <c r="C651">
        <f ca="1">LOOKUP(RAND(),{0,0.02,0.09,0.2,0.35,0.52,0.68,0.81,0.91,0.97},{1,2,3,4,5,6,7,8,9,10})</f>
        <v>9</v>
      </c>
      <c r="D651">
        <f t="shared" ca="1" si="60"/>
        <v>24900</v>
      </c>
      <c r="E651" t="str">
        <f ca="1">IF(B651="Oloitoktok A",IF(D651&lt;15000,LOOKUP(RAND(),{0,0.45,0.75,0.92},{"River","Rainwater","Borehole","Vendor"}),IF(D651&lt;30000,LOOKUP(RAND(),{0,0.35,0.65,0.85},{"River","Rainwater","Borehole","Vendor"}),LOOKUP(RAND(),{0,0.25,0.5,0.75},{"River","Rainwater","Borehole","Vendor"}))),IF(B651="Oloitoktok B",IF(D651&lt;15000,LOOKUP(RAND(),{0,0.5,0.78,0.94},{"River","Rainwater","Borehole","Vendor"}),IF(D651&lt;30000,LOOKUP(RAND(),{0,0.4,0.68,0.87},{"River","Rainwater","Borehole","Vendor"}),LOOKUP(RAND(),{0,0.28,0.55,0.78},{"River","Rainwater","Borehole","Vendor"}))),IF(B651="Kiserian",IF(D651&lt;15000,LOOKUP(RAND(),{0,0.35,0.65,0.9},{"River","Rainwater","Borehole","Vendor"}),IF(D651&lt;30000,LOOKUP(RAND(),{0,0.25,0.55,0.82},{"River","Rainwater","Borehole","Vendor"}),LOOKUP(RAND(),{0,0.15,0.45,0.72},{"River","Rainwater","Borehole","Vendor"}))),IF(D651&lt;15000,LOOKUP(RAND(),{0,0.4,0.7,0.92},{"River","Rainwater","Borehole","Vendor"}),IF(D651&lt;30000,LOOKUP(RAND(),{0,0.3,0.6,0.85},{"River","Rainwater","Borehole","Vendor"}),LOOKUP(RAND(),{0,0.2,0.5,0.75},{"River","Rainwater","Borehole","Vendor"}))))))</f>
        <v>Rainwater</v>
      </c>
      <c r="F651">
        <f t="shared" ca="1" si="61"/>
        <v>23</v>
      </c>
      <c r="G651">
        <f t="shared" ca="1" si="62"/>
        <v>8.6</v>
      </c>
      <c r="H651">
        <f t="shared" ca="1" si="63"/>
        <v>3400</v>
      </c>
      <c r="I651">
        <f t="shared" ca="1" si="64"/>
        <v>0.15221462699360089</v>
      </c>
      <c r="J651">
        <v>1</v>
      </c>
    </row>
    <row r="652" spans="1:10" x14ac:dyDescent="0.3">
      <c r="A652" t="str">
        <f t="shared" si="65"/>
        <v>HH651</v>
      </c>
      <c r="B652" t="str">
        <f ca="1">LOOKUP(RAND(),{0,0.28,0.55,0.78},{"Oloitoktok A","Oloitoktok B","Kiserian","Namanga"})</f>
        <v>Oloitoktok A</v>
      </c>
      <c r="C652">
        <f ca="1">LOOKUP(RAND(),{0,0.02,0.09,0.2,0.35,0.52,0.68,0.81,0.91,0.97},{1,2,3,4,5,6,7,8,9,10})</f>
        <v>8</v>
      </c>
      <c r="D652">
        <f t="shared" ca="1" si="60"/>
        <v>30500</v>
      </c>
      <c r="E652" t="str">
        <f ca="1">IF(B652="Oloitoktok A",IF(D652&lt;15000,LOOKUP(RAND(),{0,0.45,0.75,0.92},{"River","Rainwater","Borehole","Vendor"}),IF(D652&lt;30000,LOOKUP(RAND(),{0,0.35,0.65,0.85},{"River","Rainwater","Borehole","Vendor"}),LOOKUP(RAND(),{0,0.25,0.5,0.75},{"River","Rainwater","Borehole","Vendor"}))),IF(B652="Oloitoktok B",IF(D652&lt;15000,LOOKUP(RAND(),{0,0.5,0.78,0.94},{"River","Rainwater","Borehole","Vendor"}),IF(D652&lt;30000,LOOKUP(RAND(),{0,0.4,0.68,0.87},{"River","Rainwater","Borehole","Vendor"}),LOOKUP(RAND(),{0,0.28,0.55,0.78},{"River","Rainwater","Borehole","Vendor"}))),IF(B652="Kiserian",IF(D652&lt;15000,LOOKUP(RAND(),{0,0.35,0.65,0.9},{"River","Rainwater","Borehole","Vendor"}),IF(D652&lt;30000,LOOKUP(RAND(),{0,0.25,0.55,0.82},{"River","Rainwater","Borehole","Vendor"}),LOOKUP(RAND(),{0,0.15,0.45,0.72},{"River","Rainwater","Borehole","Vendor"}))),IF(D652&lt;15000,LOOKUP(RAND(),{0,0.4,0.7,0.92},{"River","Rainwater","Borehole","Vendor"}),IF(D652&lt;30000,LOOKUP(RAND(),{0,0.3,0.6,0.85},{"River","Rainwater","Borehole","Vendor"}),LOOKUP(RAND(),{0,0.2,0.5,0.75},{"River","Rainwater","Borehole","Vendor"}))))))</f>
        <v>Vendor</v>
      </c>
      <c r="F652">
        <f t="shared" ca="1" si="61"/>
        <v>14</v>
      </c>
      <c r="G652">
        <f t="shared" ca="1" si="62"/>
        <v>6.6</v>
      </c>
      <c r="H652">
        <f t="shared" ca="1" si="63"/>
        <v>2000</v>
      </c>
      <c r="I652">
        <f t="shared" ca="1" si="64"/>
        <v>0.86937990164933565</v>
      </c>
      <c r="J652">
        <v>1</v>
      </c>
    </row>
    <row r="653" spans="1:10" x14ac:dyDescent="0.3">
      <c r="A653" t="str">
        <f t="shared" si="65"/>
        <v>HH652</v>
      </c>
      <c r="B653" t="str">
        <f ca="1">LOOKUP(RAND(),{0,0.28,0.55,0.78},{"Oloitoktok A","Oloitoktok B","Kiserian","Namanga"})</f>
        <v>Oloitoktok A</v>
      </c>
      <c r="C653">
        <f ca="1">LOOKUP(RAND(),{0,0.02,0.09,0.2,0.35,0.52,0.68,0.81,0.91,0.97},{1,2,3,4,5,6,7,8,9,10})</f>
        <v>5</v>
      </c>
      <c r="D653">
        <f t="shared" ca="1" si="60"/>
        <v>28300</v>
      </c>
      <c r="E653" t="str">
        <f ca="1">IF(B653="Oloitoktok A",IF(D653&lt;15000,LOOKUP(RAND(),{0,0.45,0.75,0.92},{"River","Rainwater","Borehole","Vendor"}),IF(D653&lt;30000,LOOKUP(RAND(),{0,0.35,0.65,0.85},{"River","Rainwater","Borehole","Vendor"}),LOOKUP(RAND(),{0,0.25,0.5,0.75},{"River","Rainwater","Borehole","Vendor"}))),IF(B653="Oloitoktok B",IF(D653&lt;15000,LOOKUP(RAND(),{0,0.5,0.78,0.94},{"River","Rainwater","Borehole","Vendor"}),IF(D653&lt;30000,LOOKUP(RAND(),{0,0.4,0.68,0.87},{"River","Rainwater","Borehole","Vendor"}),LOOKUP(RAND(),{0,0.28,0.55,0.78},{"River","Rainwater","Borehole","Vendor"}))),IF(B653="Kiserian",IF(D653&lt;15000,LOOKUP(RAND(),{0,0.35,0.65,0.9},{"River","Rainwater","Borehole","Vendor"}),IF(D653&lt;30000,LOOKUP(RAND(),{0,0.25,0.55,0.82},{"River","Rainwater","Borehole","Vendor"}),LOOKUP(RAND(),{0,0.15,0.45,0.72},{"River","Rainwater","Borehole","Vendor"}))),IF(D653&lt;15000,LOOKUP(RAND(),{0,0.4,0.7,0.92},{"River","Rainwater","Borehole","Vendor"}),IF(D653&lt;30000,LOOKUP(RAND(),{0,0.3,0.6,0.85},{"River","Rainwater","Borehole","Vendor"}),LOOKUP(RAND(),{0,0.2,0.5,0.75},{"River","Rainwater","Borehole","Vendor"}))))))</f>
        <v>Rainwater</v>
      </c>
      <c r="F653">
        <f t="shared" ca="1" si="61"/>
        <v>22</v>
      </c>
      <c r="G653">
        <f t="shared" ca="1" si="62"/>
        <v>11.7</v>
      </c>
      <c r="H653">
        <f t="shared" ca="1" si="63"/>
        <v>0</v>
      </c>
      <c r="I653">
        <f t="shared" ca="1" si="64"/>
        <v>0.77168296694525829</v>
      </c>
      <c r="J653">
        <v>1</v>
      </c>
    </row>
    <row r="654" spans="1:10" x14ac:dyDescent="0.3">
      <c r="A654" t="str">
        <f t="shared" si="65"/>
        <v>HH653</v>
      </c>
      <c r="B654" t="str">
        <f ca="1">LOOKUP(RAND(),{0,0.28,0.55,0.78},{"Oloitoktok A","Oloitoktok B","Kiserian","Namanga"})</f>
        <v>Namanga</v>
      </c>
      <c r="C654">
        <f ca="1">LOOKUP(RAND(),{0,0.02,0.09,0.2,0.35,0.52,0.68,0.81,0.91,0.97},{1,2,3,4,5,6,7,8,9,10})</f>
        <v>5</v>
      </c>
      <c r="D654">
        <f t="shared" ca="1" si="60"/>
        <v>28600</v>
      </c>
      <c r="E654" t="str">
        <f ca="1">IF(B654="Oloitoktok A",IF(D654&lt;15000,LOOKUP(RAND(),{0,0.45,0.75,0.92},{"River","Rainwater","Borehole","Vendor"}),IF(D654&lt;30000,LOOKUP(RAND(),{0,0.35,0.65,0.85},{"River","Rainwater","Borehole","Vendor"}),LOOKUP(RAND(),{0,0.25,0.5,0.75},{"River","Rainwater","Borehole","Vendor"}))),IF(B654="Oloitoktok B",IF(D654&lt;15000,LOOKUP(RAND(),{0,0.5,0.78,0.94},{"River","Rainwater","Borehole","Vendor"}),IF(D654&lt;30000,LOOKUP(RAND(),{0,0.4,0.68,0.87},{"River","Rainwater","Borehole","Vendor"}),LOOKUP(RAND(),{0,0.28,0.55,0.78},{"River","Rainwater","Borehole","Vendor"}))),IF(B654="Kiserian",IF(D654&lt;15000,LOOKUP(RAND(),{0,0.35,0.65,0.9},{"River","Rainwater","Borehole","Vendor"}),IF(D654&lt;30000,LOOKUP(RAND(),{0,0.25,0.55,0.82},{"River","Rainwater","Borehole","Vendor"}),LOOKUP(RAND(),{0,0.15,0.45,0.72},{"River","Rainwater","Borehole","Vendor"}))),IF(D654&lt;15000,LOOKUP(RAND(),{0,0.4,0.7,0.92},{"River","Rainwater","Borehole","Vendor"}),IF(D654&lt;30000,LOOKUP(RAND(),{0,0.3,0.6,0.85},{"River","Rainwater","Borehole","Vendor"}),LOOKUP(RAND(),{0,0.2,0.5,0.75},{"River","Rainwater","Borehole","Vendor"}))))))</f>
        <v>Rainwater</v>
      </c>
      <c r="F654">
        <f t="shared" ca="1" si="61"/>
        <v>25</v>
      </c>
      <c r="G654">
        <f t="shared" ca="1" si="62"/>
        <v>8</v>
      </c>
      <c r="H654">
        <f t="shared" ca="1" si="63"/>
        <v>8300</v>
      </c>
      <c r="I654">
        <f t="shared" ca="1" si="64"/>
        <v>0.16557999949145286</v>
      </c>
      <c r="J654">
        <v>1</v>
      </c>
    </row>
    <row r="655" spans="1:10" x14ac:dyDescent="0.3">
      <c r="A655" t="str">
        <f t="shared" si="65"/>
        <v>HH654</v>
      </c>
      <c r="B655" t="str">
        <f ca="1">LOOKUP(RAND(),{0,0.28,0.55,0.78},{"Oloitoktok A","Oloitoktok B","Kiserian","Namanga"})</f>
        <v>Oloitoktok B</v>
      </c>
      <c r="C655">
        <f ca="1">LOOKUP(RAND(),{0,0.02,0.09,0.2,0.35,0.52,0.68,0.81,0.91,0.97},{1,2,3,4,5,6,7,8,9,10})</f>
        <v>8</v>
      </c>
      <c r="D655">
        <f t="shared" ca="1" si="60"/>
        <v>26600</v>
      </c>
      <c r="E655" t="str">
        <f ca="1">IF(B655="Oloitoktok A",IF(D655&lt;15000,LOOKUP(RAND(),{0,0.45,0.75,0.92},{"River","Rainwater","Borehole","Vendor"}),IF(D655&lt;30000,LOOKUP(RAND(),{0,0.35,0.65,0.85},{"River","Rainwater","Borehole","Vendor"}),LOOKUP(RAND(),{0,0.25,0.5,0.75},{"River","Rainwater","Borehole","Vendor"}))),IF(B655="Oloitoktok B",IF(D655&lt;15000,LOOKUP(RAND(),{0,0.5,0.78,0.94},{"River","Rainwater","Borehole","Vendor"}),IF(D655&lt;30000,LOOKUP(RAND(),{0,0.4,0.68,0.87},{"River","Rainwater","Borehole","Vendor"}),LOOKUP(RAND(),{0,0.28,0.55,0.78},{"River","Rainwater","Borehole","Vendor"}))),IF(B655="Kiserian",IF(D655&lt;15000,LOOKUP(RAND(),{0,0.35,0.65,0.9},{"River","Rainwater","Borehole","Vendor"}),IF(D655&lt;30000,LOOKUP(RAND(),{0,0.25,0.55,0.82},{"River","Rainwater","Borehole","Vendor"}),LOOKUP(RAND(),{0,0.15,0.45,0.72},{"River","Rainwater","Borehole","Vendor"}))),IF(D655&lt;15000,LOOKUP(RAND(),{0,0.4,0.7,0.92},{"River","Rainwater","Borehole","Vendor"}),IF(D655&lt;30000,LOOKUP(RAND(),{0,0.3,0.6,0.85},{"River","Rainwater","Borehole","Vendor"}),LOOKUP(RAND(),{0,0.2,0.5,0.75},{"River","Rainwater","Borehole","Vendor"}))))))</f>
        <v>River</v>
      </c>
      <c r="F655">
        <f t="shared" ca="1" si="61"/>
        <v>74</v>
      </c>
      <c r="G655">
        <f t="shared" ca="1" si="62"/>
        <v>3</v>
      </c>
      <c r="H655">
        <f t="shared" ca="1" si="63"/>
        <v>8600</v>
      </c>
      <c r="I655">
        <f t="shared" ca="1" si="64"/>
        <v>7.3993378792346909E-2</v>
      </c>
      <c r="J655">
        <v>1</v>
      </c>
    </row>
    <row r="656" spans="1:10" x14ac:dyDescent="0.3">
      <c r="A656" t="str">
        <f t="shared" si="65"/>
        <v>HH655</v>
      </c>
      <c r="B656" t="str">
        <f ca="1">LOOKUP(RAND(),{0,0.28,0.55,0.78},{"Oloitoktok A","Oloitoktok B","Kiserian","Namanga"})</f>
        <v>Oloitoktok A</v>
      </c>
      <c r="C656">
        <f ca="1">LOOKUP(RAND(),{0,0.02,0.09,0.2,0.35,0.52,0.68,0.81,0.91,0.97},{1,2,3,4,5,6,7,8,9,10})</f>
        <v>5</v>
      </c>
      <c r="D656">
        <f t="shared" ca="1" si="60"/>
        <v>41200</v>
      </c>
      <c r="E656" t="str">
        <f ca="1">IF(B656="Oloitoktok A",IF(D656&lt;15000,LOOKUP(RAND(),{0,0.45,0.75,0.92},{"River","Rainwater","Borehole","Vendor"}),IF(D656&lt;30000,LOOKUP(RAND(),{0,0.35,0.65,0.85},{"River","Rainwater","Borehole","Vendor"}),LOOKUP(RAND(),{0,0.25,0.5,0.75},{"River","Rainwater","Borehole","Vendor"}))),IF(B656="Oloitoktok B",IF(D656&lt;15000,LOOKUP(RAND(),{0,0.5,0.78,0.94},{"River","Rainwater","Borehole","Vendor"}),IF(D656&lt;30000,LOOKUP(RAND(),{0,0.4,0.68,0.87},{"River","Rainwater","Borehole","Vendor"}),LOOKUP(RAND(),{0,0.28,0.55,0.78},{"River","Rainwater","Borehole","Vendor"}))),IF(B656="Kiserian",IF(D656&lt;15000,LOOKUP(RAND(),{0,0.35,0.65,0.9},{"River","Rainwater","Borehole","Vendor"}),IF(D656&lt;30000,LOOKUP(RAND(),{0,0.25,0.55,0.82},{"River","Rainwater","Borehole","Vendor"}),LOOKUP(RAND(),{0,0.15,0.45,0.72},{"River","Rainwater","Borehole","Vendor"}))),IF(D656&lt;15000,LOOKUP(RAND(),{0,0.4,0.7,0.92},{"River","Rainwater","Borehole","Vendor"}),IF(D656&lt;30000,LOOKUP(RAND(),{0,0.3,0.6,0.85},{"River","Rainwater","Borehole","Vendor"}),LOOKUP(RAND(),{0,0.2,0.5,0.75},{"River","Rainwater","Borehole","Vendor"}))))))</f>
        <v>Vendor</v>
      </c>
      <c r="F656">
        <f t="shared" ca="1" si="61"/>
        <v>34</v>
      </c>
      <c r="G656">
        <f t="shared" ca="1" si="62"/>
        <v>7.5</v>
      </c>
      <c r="H656">
        <f t="shared" ca="1" si="63"/>
        <v>8300</v>
      </c>
      <c r="I656">
        <f t="shared" ca="1" si="64"/>
        <v>4.6119981464254445E-2</v>
      </c>
      <c r="J656">
        <v>1</v>
      </c>
    </row>
    <row r="657" spans="1:10" x14ac:dyDescent="0.3">
      <c r="A657" t="str">
        <f t="shared" si="65"/>
        <v>HH656</v>
      </c>
      <c r="B657" t="str">
        <f ca="1">LOOKUP(RAND(),{0,0.28,0.55,0.78},{"Oloitoktok A","Oloitoktok B","Kiserian","Namanga"})</f>
        <v>Oloitoktok A</v>
      </c>
      <c r="C657">
        <f ca="1">LOOKUP(RAND(),{0,0.02,0.09,0.2,0.35,0.52,0.68,0.81,0.91,0.97},{1,2,3,4,5,6,7,8,9,10})</f>
        <v>6</v>
      </c>
      <c r="D657">
        <f t="shared" ca="1" si="60"/>
        <v>37200</v>
      </c>
      <c r="E657" t="str">
        <f ca="1">IF(B657="Oloitoktok A",IF(D657&lt;15000,LOOKUP(RAND(),{0,0.45,0.75,0.92},{"River","Rainwater","Borehole","Vendor"}),IF(D657&lt;30000,LOOKUP(RAND(),{0,0.35,0.65,0.85},{"River","Rainwater","Borehole","Vendor"}),LOOKUP(RAND(),{0,0.25,0.5,0.75},{"River","Rainwater","Borehole","Vendor"}))),IF(B657="Oloitoktok B",IF(D657&lt;15000,LOOKUP(RAND(),{0,0.5,0.78,0.94},{"River","Rainwater","Borehole","Vendor"}),IF(D657&lt;30000,LOOKUP(RAND(),{0,0.4,0.68,0.87},{"River","Rainwater","Borehole","Vendor"}),LOOKUP(RAND(),{0,0.28,0.55,0.78},{"River","Rainwater","Borehole","Vendor"}))),IF(B657="Kiserian",IF(D657&lt;15000,LOOKUP(RAND(),{0,0.35,0.65,0.9},{"River","Rainwater","Borehole","Vendor"}),IF(D657&lt;30000,LOOKUP(RAND(),{0,0.25,0.55,0.82},{"River","Rainwater","Borehole","Vendor"}),LOOKUP(RAND(),{0,0.15,0.45,0.72},{"River","Rainwater","Borehole","Vendor"}))),IF(D657&lt;15000,LOOKUP(RAND(),{0,0.4,0.7,0.92},{"River","Rainwater","Borehole","Vendor"}),IF(D657&lt;30000,LOOKUP(RAND(),{0,0.3,0.6,0.85},{"River","Rainwater","Borehole","Vendor"}),LOOKUP(RAND(),{0,0.2,0.5,0.75},{"River","Rainwater","Borehole","Vendor"}))))))</f>
        <v>Vendor</v>
      </c>
      <c r="F657">
        <f t="shared" ca="1" si="61"/>
        <v>21</v>
      </c>
      <c r="G657">
        <f t="shared" ca="1" si="62"/>
        <v>8.4</v>
      </c>
      <c r="H657">
        <f t="shared" ca="1" si="63"/>
        <v>4800</v>
      </c>
      <c r="I657">
        <f t="shared" ca="1" si="64"/>
        <v>0.75465645733601006</v>
      </c>
      <c r="J657">
        <v>1</v>
      </c>
    </row>
    <row r="658" spans="1:10" x14ac:dyDescent="0.3">
      <c r="A658" t="str">
        <f t="shared" si="65"/>
        <v>HH657</v>
      </c>
      <c r="B658" t="str">
        <f ca="1">LOOKUP(RAND(),{0,0.28,0.55,0.78},{"Oloitoktok A","Oloitoktok B","Kiserian","Namanga"})</f>
        <v>Oloitoktok B</v>
      </c>
      <c r="C658">
        <f ca="1">LOOKUP(RAND(),{0,0.02,0.09,0.2,0.35,0.52,0.68,0.81,0.91,0.97},{1,2,3,4,5,6,7,8,9,10})</f>
        <v>5</v>
      </c>
      <c r="D658">
        <f t="shared" ca="1" si="60"/>
        <v>50500</v>
      </c>
      <c r="E658" t="str">
        <f ca="1">IF(B658="Oloitoktok A",IF(D658&lt;15000,LOOKUP(RAND(),{0,0.45,0.75,0.92},{"River","Rainwater","Borehole","Vendor"}),IF(D658&lt;30000,LOOKUP(RAND(),{0,0.35,0.65,0.85},{"River","Rainwater","Borehole","Vendor"}),LOOKUP(RAND(),{0,0.25,0.5,0.75},{"River","Rainwater","Borehole","Vendor"}))),IF(B658="Oloitoktok B",IF(D658&lt;15000,LOOKUP(RAND(),{0,0.5,0.78,0.94},{"River","Rainwater","Borehole","Vendor"}),IF(D658&lt;30000,LOOKUP(RAND(),{0,0.4,0.68,0.87},{"River","Rainwater","Borehole","Vendor"}),LOOKUP(RAND(),{0,0.28,0.55,0.78},{"River","Rainwater","Borehole","Vendor"}))),IF(B658="Kiserian",IF(D658&lt;15000,LOOKUP(RAND(),{0,0.35,0.65,0.9},{"River","Rainwater","Borehole","Vendor"}),IF(D658&lt;30000,LOOKUP(RAND(),{0,0.25,0.55,0.82},{"River","Rainwater","Borehole","Vendor"}),LOOKUP(RAND(),{0,0.15,0.45,0.72},{"River","Rainwater","Borehole","Vendor"}))),IF(D658&lt;15000,LOOKUP(RAND(),{0,0.4,0.7,0.92},{"River","Rainwater","Borehole","Vendor"}),IF(D658&lt;30000,LOOKUP(RAND(),{0,0.3,0.6,0.85},{"River","Rainwater","Borehole","Vendor"}),LOOKUP(RAND(),{0,0.2,0.5,0.75},{"River","Rainwater","Borehole","Vendor"}))))))</f>
        <v>Borehole</v>
      </c>
      <c r="F658">
        <f t="shared" ca="1" si="61"/>
        <v>68</v>
      </c>
      <c r="G658">
        <f t="shared" ca="1" si="62"/>
        <v>8.5</v>
      </c>
      <c r="H658">
        <f t="shared" ca="1" si="63"/>
        <v>6700</v>
      </c>
      <c r="I658">
        <f t="shared" ca="1" si="64"/>
        <v>0.99167495038936848</v>
      </c>
      <c r="J658">
        <v>1</v>
      </c>
    </row>
    <row r="659" spans="1:10" x14ac:dyDescent="0.3">
      <c r="A659" t="str">
        <f t="shared" si="65"/>
        <v>HH658</v>
      </c>
      <c r="B659" t="str">
        <f ca="1">LOOKUP(RAND(),{0,0.28,0.55,0.78},{"Oloitoktok A","Oloitoktok B","Kiserian","Namanga"})</f>
        <v>Oloitoktok B</v>
      </c>
      <c r="C659">
        <f ca="1">LOOKUP(RAND(),{0,0.02,0.09,0.2,0.35,0.52,0.68,0.81,0.91,0.97},{1,2,3,4,5,6,7,8,9,10})</f>
        <v>3</v>
      </c>
      <c r="D659">
        <f t="shared" ca="1" si="60"/>
        <v>38800</v>
      </c>
      <c r="E659" t="str">
        <f ca="1">IF(B659="Oloitoktok A",IF(D659&lt;15000,LOOKUP(RAND(),{0,0.45,0.75,0.92},{"River","Rainwater","Borehole","Vendor"}),IF(D659&lt;30000,LOOKUP(RAND(),{0,0.35,0.65,0.85},{"River","Rainwater","Borehole","Vendor"}),LOOKUP(RAND(),{0,0.25,0.5,0.75},{"River","Rainwater","Borehole","Vendor"}))),IF(B659="Oloitoktok B",IF(D659&lt;15000,LOOKUP(RAND(),{0,0.5,0.78,0.94},{"River","Rainwater","Borehole","Vendor"}),IF(D659&lt;30000,LOOKUP(RAND(),{0,0.4,0.68,0.87},{"River","Rainwater","Borehole","Vendor"}),LOOKUP(RAND(),{0,0.28,0.55,0.78},{"River","Rainwater","Borehole","Vendor"}))),IF(B659="Kiserian",IF(D659&lt;15000,LOOKUP(RAND(),{0,0.35,0.65,0.9},{"River","Rainwater","Borehole","Vendor"}),IF(D659&lt;30000,LOOKUP(RAND(),{0,0.25,0.55,0.82},{"River","Rainwater","Borehole","Vendor"}),LOOKUP(RAND(),{0,0.15,0.45,0.72},{"River","Rainwater","Borehole","Vendor"}))),IF(D659&lt;15000,LOOKUP(RAND(),{0,0.4,0.7,0.92},{"River","Rainwater","Borehole","Vendor"}),IF(D659&lt;30000,LOOKUP(RAND(),{0,0.3,0.6,0.85},{"River","Rainwater","Borehole","Vendor"}),LOOKUP(RAND(),{0,0.2,0.5,0.75},{"River","Rainwater","Borehole","Vendor"}))))))</f>
        <v>River</v>
      </c>
      <c r="F659">
        <f t="shared" ca="1" si="61"/>
        <v>57</v>
      </c>
      <c r="G659">
        <f t="shared" ca="1" si="62"/>
        <v>1.8</v>
      </c>
      <c r="H659">
        <f t="shared" ca="1" si="63"/>
        <v>11800</v>
      </c>
      <c r="I659">
        <f t="shared" ca="1" si="64"/>
        <v>0.34054068718510966</v>
      </c>
      <c r="J659">
        <v>1</v>
      </c>
    </row>
    <row r="660" spans="1:10" x14ac:dyDescent="0.3">
      <c r="A660" t="str">
        <f t="shared" si="65"/>
        <v>HH659</v>
      </c>
      <c r="B660" t="str">
        <f ca="1">LOOKUP(RAND(),{0,0.28,0.55,0.78},{"Oloitoktok A","Oloitoktok B","Kiserian","Namanga"})</f>
        <v>Kiserian</v>
      </c>
      <c r="C660">
        <f ca="1">LOOKUP(RAND(),{0,0.02,0.09,0.2,0.35,0.52,0.68,0.81,0.91,0.97},{1,2,3,4,5,6,7,8,9,10})</f>
        <v>7</v>
      </c>
      <c r="D660">
        <f t="shared" ca="1" si="60"/>
        <v>22200</v>
      </c>
      <c r="E660" t="str">
        <f ca="1">IF(B660="Oloitoktok A",IF(D660&lt;15000,LOOKUP(RAND(),{0,0.45,0.75,0.92},{"River","Rainwater","Borehole","Vendor"}),IF(D660&lt;30000,LOOKUP(RAND(),{0,0.35,0.65,0.85},{"River","Rainwater","Borehole","Vendor"}),LOOKUP(RAND(),{0,0.25,0.5,0.75},{"River","Rainwater","Borehole","Vendor"}))),IF(B660="Oloitoktok B",IF(D660&lt;15000,LOOKUP(RAND(),{0,0.5,0.78,0.94},{"River","Rainwater","Borehole","Vendor"}),IF(D660&lt;30000,LOOKUP(RAND(),{0,0.4,0.68,0.87},{"River","Rainwater","Borehole","Vendor"}),LOOKUP(RAND(),{0,0.28,0.55,0.78},{"River","Rainwater","Borehole","Vendor"}))),IF(B660="Kiserian",IF(D660&lt;15000,LOOKUP(RAND(),{0,0.35,0.65,0.9},{"River","Rainwater","Borehole","Vendor"}),IF(D660&lt;30000,LOOKUP(RAND(),{0,0.25,0.55,0.82},{"River","Rainwater","Borehole","Vendor"}),LOOKUP(RAND(),{0,0.15,0.45,0.72},{"River","Rainwater","Borehole","Vendor"}))),IF(D660&lt;15000,LOOKUP(RAND(),{0,0.4,0.7,0.92},{"River","Rainwater","Borehole","Vendor"}),IF(D660&lt;30000,LOOKUP(RAND(),{0,0.3,0.6,0.85},{"River","Rainwater","Borehole","Vendor"}),LOOKUP(RAND(),{0,0.2,0.5,0.75},{"River","Rainwater","Borehole","Vendor"}))))))</f>
        <v>River</v>
      </c>
      <c r="F660">
        <f t="shared" ca="1" si="61"/>
        <v>117</v>
      </c>
      <c r="G660">
        <f t="shared" ca="1" si="62"/>
        <v>6.7</v>
      </c>
      <c r="H660">
        <f t="shared" ca="1" si="63"/>
        <v>5600</v>
      </c>
      <c r="I660">
        <f t="shared" ca="1" si="64"/>
        <v>0.63632448564517763</v>
      </c>
      <c r="J660">
        <v>1</v>
      </c>
    </row>
    <row r="661" spans="1:10" x14ac:dyDescent="0.3">
      <c r="A661" t="str">
        <f t="shared" si="65"/>
        <v>HH660</v>
      </c>
      <c r="B661" t="str">
        <f ca="1">LOOKUP(RAND(),{0,0.28,0.55,0.78},{"Oloitoktok A","Oloitoktok B","Kiserian","Namanga"})</f>
        <v>Namanga</v>
      </c>
      <c r="C661">
        <f ca="1">LOOKUP(RAND(),{0,0.02,0.09,0.2,0.35,0.52,0.68,0.81,0.91,0.97},{1,2,3,4,5,6,7,8,9,10})</f>
        <v>7</v>
      </c>
      <c r="D661">
        <f t="shared" ca="1" si="60"/>
        <v>14800</v>
      </c>
      <c r="E661" t="str">
        <f ca="1">IF(B661="Oloitoktok A",IF(D661&lt;15000,LOOKUP(RAND(),{0,0.45,0.75,0.92},{"River","Rainwater","Borehole","Vendor"}),IF(D661&lt;30000,LOOKUP(RAND(),{0,0.35,0.65,0.85},{"River","Rainwater","Borehole","Vendor"}),LOOKUP(RAND(),{0,0.25,0.5,0.75},{"River","Rainwater","Borehole","Vendor"}))),IF(B661="Oloitoktok B",IF(D661&lt;15000,LOOKUP(RAND(),{0,0.5,0.78,0.94},{"River","Rainwater","Borehole","Vendor"}),IF(D661&lt;30000,LOOKUP(RAND(),{0,0.4,0.68,0.87},{"River","Rainwater","Borehole","Vendor"}),LOOKUP(RAND(),{0,0.28,0.55,0.78},{"River","Rainwater","Borehole","Vendor"}))),IF(B661="Kiserian",IF(D661&lt;15000,LOOKUP(RAND(),{0,0.35,0.65,0.9},{"River","Rainwater","Borehole","Vendor"}),IF(D661&lt;30000,LOOKUP(RAND(),{0,0.25,0.55,0.82},{"River","Rainwater","Borehole","Vendor"}),LOOKUP(RAND(),{0,0.15,0.45,0.72},{"River","Rainwater","Borehole","Vendor"}))),IF(D661&lt;15000,LOOKUP(RAND(),{0,0.4,0.7,0.92},{"River","Rainwater","Borehole","Vendor"}),IF(D661&lt;30000,LOOKUP(RAND(),{0,0.3,0.6,0.85},{"River","Rainwater","Borehole","Vendor"}),LOOKUP(RAND(),{0,0.2,0.5,0.75},{"River","Rainwater","Borehole","Vendor"}))))))</f>
        <v>River</v>
      </c>
      <c r="F661">
        <f t="shared" ca="1" si="61"/>
        <v>53</v>
      </c>
      <c r="G661">
        <f t="shared" ca="1" si="62"/>
        <v>6.7</v>
      </c>
      <c r="H661">
        <f t="shared" ca="1" si="63"/>
        <v>15600</v>
      </c>
      <c r="I661">
        <f t="shared" ca="1" si="64"/>
        <v>4.4769640752342466E-2</v>
      </c>
      <c r="J661">
        <v>1</v>
      </c>
    </row>
    <row r="662" spans="1:10" x14ac:dyDescent="0.3">
      <c r="A662" t="str">
        <f t="shared" si="65"/>
        <v>HH661</v>
      </c>
      <c r="B662" t="str">
        <f ca="1">LOOKUP(RAND(),{0,0.28,0.55,0.78},{"Oloitoktok A","Oloitoktok B","Kiserian","Namanga"})</f>
        <v>Oloitoktok A</v>
      </c>
      <c r="C662">
        <f ca="1">LOOKUP(RAND(),{0,0.02,0.09,0.2,0.35,0.52,0.68,0.81,0.91,0.97},{1,2,3,4,5,6,7,8,9,10})</f>
        <v>4</v>
      </c>
      <c r="D662">
        <f t="shared" ca="1" si="60"/>
        <v>38500</v>
      </c>
      <c r="E662" t="str">
        <f ca="1">IF(B662="Oloitoktok A",IF(D662&lt;15000,LOOKUP(RAND(),{0,0.45,0.75,0.92},{"River","Rainwater","Borehole","Vendor"}),IF(D662&lt;30000,LOOKUP(RAND(),{0,0.35,0.65,0.85},{"River","Rainwater","Borehole","Vendor"}),LOOKUP(RAND(),{0,0.25,0.5,0.75},{"River","Rainwater","Borehole","Vendor"}))),IF(B662="Oloitoktok B",IF(D662&lt;15000,LOOKUP(RAND(),{0,0.5,0.78,0.94},{"River","Rainwater","Borehole","Vendor"}),IF(D662&lt;30000,LOOKUP(RAND(),{0,0.4,0.68,0.87},{"River","Rainwater","Borehole","Vendor"}),LOOKUP(RAND(),{0,0.28,0.55,0.78},{"River","Rainwater","Borehole","Vendor"}))),IF(B662="Kiserian",IF(D662&lt;15000,LOOKUP(RAND(),{0,0.35,0.65,0.9},{"River","Rainwater","Borehole","Vendor"}),IF(D662&lt;30000,LOOKUP(RAND(),{0,0.25,0.55,0.82},{"River","Rainwater","Borehole","Vendor"}),LOOKUP(RAND(),{0,0.15,0.45,0.72},{"River","Rainwater","Borehole","Vendor"}))),IF(D662&lt;15000,LOOKUP(RAND(),{0,0.4,0.7,0.92},{"River","Rainwater","Borehole","Vendor"}),IF(D662&lt;30000,LOOKUP(RAND(),{0,0.3,0.6,0.85},{"River","Rainwater","Borehole","Vendor"}),LOOKUP(RAND(),{0,0.2,0.5,0.75},{"River","Rainwater","Borehole","Vendor"}))))))</f>
        <v>Vendor</v>
      </c>
      <c r="F662">
        <f t="shared" ca="1" si="61"/>
        <v>48</v>
      </c>
      <c r="G662">
        <f t="shared" ca="1" si="62"/>
        <v>8.1999999999999993</v>
      </c>
      <c r="H662">
        <f t="shared" ca="1" si="63"/>
        <v>8300</v>
      </c>
      <c r="I662">
        <f t="shared" ca="1" si="64"/>
        <v>0.2501264329347227</v>
      </c>
      <c r="J662">
        <v>1</v>
      </c>
    </row>
    <row r="663" spans="1:10" x14ac:dyDescent="0.3">
      <c r="A663" t="str">
        <f t="shared" si="65"/>
        <v>HH662</v>
      </c>
      <c r="B663" t="str">
        <f ca="1">LOOKUP(RAND(),{0,0.28,0.55,0.78},{"Oloitoktok A","Oloitoktok B","Kiserian","Namanga"})</f>
        <v>Namanga</v>
      </c>
      <c r="C663">
        <f ca="1">LOOKUP(RAND(),{0,0.02,0.09,0.2,0.35,0.52,0.68,0.81,0.91,0.97},{1,2,3,4,5,6,7,8,9,10})</f>
        <v>5</v>
      </c>
      <c r="D663">
        <f t="shared" ca="1" si="60"/>
        <v>16000</v>
      </c>
      <c r="E663" t="str">
        <f ca="1">IF(B663="Oloitoktok A",IF(D663&lt;15000,LOOKUP(RAND(),{0,0.45,0.75,0.92},{"River","Rainwater","Borehole","Vendor"}),IF(D663&lt;30000,LOOKUP(RAND(),{0,0.35,0.65,0.85},{"River","Rainwater","Borehole","Vendor"}),LOOKUP(RAND(),{0,0.25,0.5,0.75},{"River","Rainwater","Borehole","Vendor"}))),IF(B663="Oloitoktok B",IF(D663&lt;15000,LOOKUP(RAND(),{0,0.5,0.78,0.94},{"River","Rainwater","Borehole","Vendor"}),IF(D663&lt;30000,LOOKUP(RAND(),{0,0.4,0.68,0.87},{"River","Rainwater","Borehole","Vendor"}),LOOKUP(RAND(),{0,0.28,0.55,0.78},{"River","Rainwater","Borehole","Vendor"}))),IF(B663="Kiserian",IF(D663&lt;15000,LOOKUP(RAND(),{0,0.35,0.65,0.9},{"River","Rainwater","Borehole","Vendor"}),IF(D663&lt;30000,LOOKUP(RAND(),{0,0.25,0.55,0.82},{"River","Rainwater","Borehole","Vendor"}),LOOKUP(RAND(),{0,0.15,0.45,0.72},{"River","Rainwater","Borehole","Vendor"}))),IF(D663&lt;15000,LOOKUP(RAND(),{0,0.4,0.7,0.92},{"River","Rainwater","Borehole","Vendor"}),IF(D663&lt;30000,LOOKUP(RAND(),{0,0.3,0.6,0.85},{"River","Rainwater","Borehole","Vendor"}),LOOKUP(RAND(),{0,0.2,0.5,0.75},{"River","Rainwater","Borehole","Vendor"}))))))</f>
        <v>Rainwater</v>
      </c>
      <c r="F663">
        <f t="shared" ca="1" si="61"/>
        <v>31</v>
      </c>
      <c r="G663">
        <f t="shared" ca="1" si="62"/>
        <v>5.6</v>
      </c>
      <c r="H663">
        <f t="shared" ca="1" si="63"/>
        <v>2200</v>
      </c>
      <c r="I663">
        <f t="shared" ca="1" si="64"/>
        <v>0.38274785676815559</v>
      </c>
      <c r="J663">
        <v>1</v>
      </c>
    </row>
    <row r="664" spans="1:10" x14ac:dyDescent="0.3">
      <c r="A664" t="str">
        <f t="shared" si="65"/>
        <v>HH663</v>
      </c>
      <c r="B664" t="str">
        <f ca="1">LOOKUP(RAND(),{0,0.28,0.55,0.78},{"Oloitoktok A","Oloitoktok B","Kiserian","Namanga"})</f>
        <v>Oloitoktok A</v>
      </c>
      <c r="C664">
        <f ca="1">LOOKUP(RAND(),{0,0.02,0.09,0.2,0.35,0.52,0.68,0.81,0.91,0.97},{1,2,3,4,5,6,7,8,9,10})</f>
        <v>6</v>
      </c>
      <c r="D664">
        <f t="shared" ca="1" si="60"/>
        <v>30000</v>
      </c>
      <c r="E664" t="str">
        <f ca="1">IF(B664="Oloitoktok A",IF(D664&lt;15000,LOOKUP(RAND(),{0,0.45,0.75,0.92},{"River","Rainwater","Borehole","Vendor"}),IF(D664&lt;30000,LOOKUP(RAND(),{0,0.35,0.65,0.85},{"River","Rainwater","Borehole","Vendor"}),LOOKUP(RAND(),{0,0.25,0.5,0.75},{"River","Rainwater","Borehole","Vendor"}))),IF(B664="Oloitoktok B",IF(D664&lt;15000,LOOKUP(RAND(),{0,0.5,0.78,0.94},{"River","Rainwater","Borehole","Vendor"}),IF(D664&lt;30000,LOOKUP(RAND(),{0,0.4,0.68,0.87},{"River","Rainwater","Borehole","Vendor"}),LOOKUP(RAND(),{0,0.28,0.55,0.78},{"River","Rainwater","Borehole","Vendor"}))),IF(B664="Kiserian",IF(D664&lt;15000,LOOKUP(RAND(),{0,0.35,0.65,0.9},{"River","Rainwater","Borehole","Vendor"}),IF(D664&lt;30000,LOOKUP(RAND(),{0,0.25,0.55,0.82},{"River","Rainwater","Borehole","Vendor"}),LOOKUP(RAND(),{0,0.15,0.45,0.72},{"River","Rainwater","Borehole","Vendor"}))),IF(D664&lt;15000,LOOKUP(RAND(),{0,0.4,0.7,0.92},{"River","Rainwater","Borehole","Vendor"}),IF(D664&lt;30000,LOOKUP(RAND(),{0,0.3,0.6,0.85},{"River","Rainwater","Borehole","Vendor"}),LOOKUP(RAND(),{0,0.2,0.5,0.75},{"River","Rainwater","Borehole","Vendor"}))))))</f>
        <v>River</v>
      </c>
      <c r="F664">
        <f t="shared" ca="1" si="61"/>
        <v>80</v>
      </c>
      <c r="G664">
        <f t="shared" ca="1" si="62"/>
        <v>2.8</v>
      </c>
      <c r="H664">
        <f t="shared" ca="1" si="63"/>
        <v>10500</v>
      </c>
      <c r="I664">
        <f t="shared" ca="1" si="64"/>
        <v>0.36631669618990814</v>
      </c>
      <c r="J664">
        <v>1</v>
      </c>
    </row>
    <row r="665" spans="1:10" x14ac:dyDescent="0.3">
      <c r="A665" t="str">
        <f t="shared" si="65"/>
        <v>HH664</v>
      </c>
      <c r="B665" t="str">
        <f ca="1">LOOKUP(RAND(),{0,0.28,0.55,0.78},{"Oloitoktok A","Oloitoktok B","Kiserian","Namanga"})</f>
        <v>Oloitoktok A</v>
      </c>
      <c r="C665">
        <f ca="1">LOOKUP(RAND(),{0,0.02,0.09,0.2,0.35,0.52,0.68,0.81,0.91,0.97},{1,2,3,4,5,6,7,8,9,10})</f>
        <v>6</v>
      </c>
      <c r="D665">
        <f t="shared" ca="1" si="60"/>
        <v>37100</v>
      </c>
      <c r="E665" t="str">
        <f ca="1">IF(B665="Oloitoktok A",IF(D665&lt;15000,LOOKUP(RAND(),{0,0.45,0.75,0.92},{"River","Rainwater","Borehole","Vendor"}),IF(D665&lt;30000,LOOKUP(RAND(),{0,0.35,0.65,0.85},{"River","Rainwater","Borehole","Vendor"}),LOOKUP(RAND(),{0,0.25,0.5,0.75},{"River","Rainwater","Borehole","Vendor"}))),IF(B665="Oloitoktok B",IF(D665&lt;15000,LOOKUP(RAND(),{0,0.5,0.78,0.94},{"River","Rainwater","Borehole","Vendor"}),IF(D665&lt;30000,LOOKUP(RAND(),{0,0.4,0.68,0.87},{"River","Rainwater","Borehole","Vendor"}),LOOKUP(RAND(),{0,0.28,0.55,0.78},{"River","Rainwater","Borehole","Vendor"}))),IF(B665="Kiserian",IF(D665&lt;15000,LOOKUP(RAND(),{0,0.35,0.65,0.9},{"River","Rainwater","Borehole","Vendor"}),IF(D665&lt;30000,LOOKUP(RAND(),{0,0.25,0.55,0.82},{"River","Rainwater","Borehole","Vendor"}),LOOKUP(RAND(),{0,0.15,0.45,0.72},{"River","Rainwater","Borehole","Vendor"}))),IF(D665&lt;15000,LOOKUP(RAND(),{0,0.4,0.7,0.92},{"River","Rainwater","Borehole","Vendor"}),IF(D665&lt;30000,LOOKUP(RAND(),{0,0.3,0.6,0.85},{"River","Rainwater","Borehole","Vendor"}),LOOKUP(RAND(),{0,0.2,0.5,0.75},{"River","Rainwater","Borehole","Vendor"}))))))</f>
        <v>Vendor</v>
      </c>
      <c r="F665">
        <f t="shared" ca="1" si="61"/>
        <v>51</v>
      </c>
      <c r="G665">
        <f t="shared" ca="1" si="62"/>
        <v>14.8</v>
      </c>
      <c r="H665">
        <f t="shared" ca="1" si="63"/>
        <v>9600</v>
      </c>
      <c r="I665">
        <f t="shared" ca="1" si="64"/>
        <v>0.87748705104692504</v>
      </c>
      <c r="J665">
        <v>1</v>
      </c>
    </row>
    <row r="666" spans="1:10" x14ac:dyDescent="0.3">
      <c r="A666" t="str">
        <f t="shared" si="65"/>
        <v>HH665</v>
      </c>
      <c r="B666" t="str">
        <f ca="1">LOOKUP(RAND(),{0,0.28,0.55,0.78},{"Oloitoktok A","Oloitoktok B","Kiserian","Namanga"})</f>
        <v>Oloitoktok A</v>
      </c>
      <c r="C666">
        <f ca="1">LOOKUP(RAND(),{0,0.02,0.09,0.2,0.35,0.52,0.68,0.81,0.91,0.97},{1,2,3,4,5,6,7,8,9,10})</f>
        <v>5</v>
      </c>
      <c r="D666">
        <f t="shared" ca="1" si="60"/>
        <v>53300</v>
      </c>
      <c r="E666" t="str">
        <f ca="1">IF(B666="Oloitoktok A",IF(D666&lt;15000,LOOKUP(RAND(),{0,0.45,0.75,0.92},{"River","Rainwater","Borehole","Vendor"}),IF(D666&lt;30000,LOOKUP(RAND(),{0,0.35,0.65,0.85},{"River","Rainwater","Borehole","Vendor"}),LOOKUP(RAND(),{0,0.25,0.5,0.75},{"River","Rainwater","Borehole","Vendor"}))),IF(B666="Oloitoktok B",IF(D666&lt;15000,LOOKUP(RAND(),{0,0.5,0.78,0.94},{"River","Rainwater","Borehole","Vendor"}),IF(D666&lt;30000,LOOKUP(RAND(),{0,0.4,0.68,0.87},{"River","Rainwater","Borehole","Vendor"}),LOOKUP(RAND(),{0,0.28,0.55,0.78},{"River","Rainwater","Borehole","Vendor"}))),IF(B666="Kiserian",IF(D666&lt;15000,LOOKUP(RAND(),{0,0.35,0.65,0.9},{"River","Rainwater","Borehole","Vendor"}),IF(D666&lt;30000,LOOKUP(RAND(),{0,0.25,0.55,0.82},{"River","Rainwater","Borehole","Vendor"}),LOOKUP(RAND(),{0,0.15,0.45,0.72},{"River","Rainwater","Borehole","Vendor"}))),IF(D666&lt;15000,LOOKUP(RAND(),{0,0.4,0.7,0.92},{"River","Rainwater","Borehole","Vendor"}),IF(D666&lt;30000,LOOKUP(RAND(),{0,0.3,0.6,0.85},{"River","Rainwater","Borehole","Vendor"}),LOOKUP(RAND(),{0,0.2,0.5,0.75},{"River","Rainwater","Borehole","Vendor"}))))))</f>
        <v>River</v>
      </c>
      <c r="F666">
        <f t="shared" ca="1" si="61"/>
        <v>106</v>
      </c>
      <c r="G666">
        <f t="shared" ca="1" si="62"/>
        <v>13.1</v>
      </c>
      <c r="H666">
        <f t="shared" ca="1" si="63"/>
        <v>6300</v>
      </c>
      <c r="I666">
        <f t="shared" ca="1" si="64"/>
        <v>0.58150453591996665</v>
      </c>
      <c r="J666">
        <v>1</v>
      </c>
    </row>
    <row r="667" spans="1:10" x14ac:dyDescent="0.3">
      <c r="A667" t="str">
        <f t="shared" si="65"/>
        <v>HH666</v>
      </c>
      <c r="B667" t="str">
        <f ca="1">LOOKUP(RAND(),{0,0.28,0.55,0.78},{"Oloitoktok A","Oloitoktok B","Kiserian","Namanga"})</f>
        <v>Namanga</v>
      </c>
      <c r="C667">
        <f ca="1">LOOKUP(RAND(),{0,0.02,0.09,0.2,0.35,0.52,0.68,0.81,0.91,0.97},{1,2,3,4,5,6,7,8,9,10})</f>
        <v>3</v>
      </c>
      <c r="D667">
        <f t="shared" ca="1" si="60"/>
        <v>42700</v>
      </c>
      <c r="E667" t="str">
        <f ca="1">IF(B667="Oloitoktok A",IF(D667&lt;15000,LOOKUP(RAND(),{0,0.45,0.75,0.92},{"River","Rainwater","Borehole","Vendor"}),IF(D667&lt;30000,LOOKUP(RAND(),{0,0.35,0.65,0.85},{"River","Rainwater","Borehole","Vendor"}),LOOKUP(RAND(),{0,0.25,0.5,0.75},{"River","Rainwater","Borehole","Vendor"}))),IF(B667="Oloitoktok B",IF(D667&lt;15000,LOOKUP(RAND(),{0,0.5,0.78,0.94},{"River","Rainwater","Borehole","Vendor"}),IF(D667&lt;30000,LOOKUP(RAND(),{0,0.4,0.68,0.87},{"River","Rainwater","Borehole","Vendor"}),LOOKUP(RAND(),{0,0.28,0.55,0.78},{"River","Rainwater","Borehole","Vendor"}))),IF(B667="Kiserian",IF(D667&lt;15000,LOOKUP(RAND(),{0,0.35,0.65,0.9},{"River","Rainwater","Borehole","Vendor"}),IF(D667&lt;30000,LOOKUP(RAND(),{0,0.25,0.55,0.82},{"River","Rainwater","Borehole","Vendor"}),LOOKUP(RAND(),{0,0.15,0.45,0.72},{"River","Rainwater","Borehole","Vendor"}))),IF(D667&lt;15000,LOOKUP(RAND(),{0,0.4,0.7,0.92},{"River","Rainwater","Borehole","Vendor"}),IF(D667&lt;30000,LOOKUP(RAND(),{0,0.3,0.6,0.85},{"River","Rainwater","Borehole","Vendor"}),LOOKUP(RAND(),{0,0.2,0.5,0.75},{"River","Rainwater","Borehole","Vendor"}))))))</f>
        <v>Borehole</v>
      </c>
      <c r="F667">
        <f t="shared" ca="1" si="61"/>
        <v>69</v>
      </c>
      <c r="G667">
        <f t="shared" ca="1" si="62"/>
        <v>5.9</v>
      </c>
      <c r="H667">
        <f t="shared" ca="1" si="63"/>
        <v>7000</v>
      </c>
      <c r="I667">
        <f t="shared" ca="1" si="64"/>
        <v>0.14741686445716307</v>
      </c>
      <c r="J667">
        <v>1</v>
      </c>
    </row>
    <row r="668" spans="1:10" x14ac:dyDescent="0.3">
      <c r="A668" t="str">
        <f t="shared" si="65"/>
        <v>HH667</v>
      </c>
      <c r="B668" t="str">
        <f ca="1">LOOKUP(RAND(),{0,0.28,0.55,0.78},{"Oloitoktok A","Oloitoktok B","Kiserian","Namanga"})</f>
        <v>Oloitoktok A</v>
      </c>
      <c r="C668">
        <f ca="1">LOOKUP(RAND(),{0,0.02,0.09,0.2,0.35,0.52,0.68,0.81,0.91,0.97},{1,2,3,4,5,6,7,8,9,10})</f>
        <v>9</v>
      </c>
      <c r="D668">
        <f t="shared" ca="1" si="60"/>
        <v>42800</v>
      </c>
      <c r="E668" t="str">
        <f ca="1">IF(B668="Oloitoktok A",IF(D668&lt;15000,LOOKUP(RAND(),{0,0.45,0.75,0.92},{"River","Rainwater","Borehole","Vendor"}),IF(D668&lt;30000,LOOKUP(RAND(),{0,0.35,0.65,0.85},{"River","Rainwater","Borehole","Vendor"}),LOOKUP(RAND(),{0,0.25,0.5,0.75},{"River","Rainwater","Borehole","Vendor"}))),IF(B668="Oloitoktok B",IF(D668&lt;15000,LOOKUP(RAND(),{0,0.5,0.78,0.94},{"River","Rainwater","Borehole","Vendor"}),IF(D668&lt;30000,LOOKUP(RAND(),{0,0.4,0.68,0.87},{"River","Rainwater","Borehole","Vendor"}),LOOKUP(RAND(),{0,0.28,0.55,0.78},{"River","Rainwater","Borehole","Vendor"}))),IF(B668="Kiserian",IF(D668&lt;15000,LOOKUP(RAND(),{0,0.35,0.65,0.9},{"River","Rainwater","Borehole","Vendor"}),IF(D668&lt;30000,LOOKUP(RAND(),{0,0.25,0.55,0.82},{"River","Rainwater","Borehole","Vendor"}),LOOKUP(RAND(),{0,0.15,0.45,0.72},{"River","Rainwater","Borehole","Vendor"}))),IF(D668&lt;15000,LOOKUP(RAND(),{0,0.4,0.7,0.92},{"River","Rainwater","Borehole","Vendor"}),IF(D668&lt;30000,LOOKUP(RAND(),{0,0.3,0.6,0.85},{"River","Rainwater","Borehole","Vendor"}),LOOKUP(RAND(),{0,0.2,0.5,0.75},{"River","Rainwater","Borehole","Vendor"}))))))</f>
        <v>Rainwater</v>
      </c>
      <c r="F668">
        <f t="shared" ca="1" si="61"/>
        <v>64</v>
      </c>
      <c r="G668">
        <f t="shared" ca="1" si="62"/>
        <v>4.0999999999999996</v>
      </c>
      <c r="H668">
        <f t="shared" ca="1" si="63"/>
        <v>6400</v>
      </c>
      <c r="I668">
        <f t="shared" ca="1" si="64"/>
        <v>0.30618572509216846</v>
      </c>
      <c r="J668">
        <v>1</v>
      </c>
    </row>
    <row r="669" spans="1:10" x14ac:dyDescent="0.3">
      <c r="A669" t="str">
        <f t="shared" si="65"/>
        <v>HH668</v>
      </c>
      <c r="B669" t="str">
        <f ca="1">LOOKUP(RAND(),{0,0.28,0.55,0.78},{"Oloitoktok A","Oloitoktok B","Kiserian","Namanga"})</f>
        <v>Namanga</v>
      </c>
      <c r="C669">
        <f ca="1">LOOKUP(RAND(),{0,0.02,0.09,0.2,0.35,0.52,0.68,0.81,0.91,0.97},{1,2,3,4,5,6,7,8,9,10})</f>
        <v>6</v>
      </c>
      <c r="D669">
        <f t="shared" ca="1" si="60"/>
        <v>33300</v>
      </c>
      <c r="E669" t="str">
        <f ca="1">IF(B669="Oloitoktok A",IF(D669&lt;15000,LOOKUP(RAND(),{0,0.45,0.75,0.92},{"River","Rainwater","Borehole","Vendor"}),IF(D669&lt;30000,LOOKUP(RAND(),{0,0.35,0.65,0.85},{"River","Rainwater","Borehole","Vendor"}),LOOKUP(RAND(),{0,0.25,0.5,0.75},{"River","Rainwater","Borehole","Vendor"}))),IF(B669="Oloitoktok B",IF(D669&lt;15000,LOOKUP(RAND(),{0,0.5,0.78,0.94},{"River","Rainwater","Borehole","Vendor"}),IF(D669&lt;30000,LOOKUP(RAND(),{0,0.4,0.68,0.87},{"River","Rainwater","Borehole","Vendor"}),LOOKUP(RAND(),{0,0.28,0.55,0.78},{"River","Rainwater","Borehole","Vendor"}))),IF(B669="Kiserian",IF(D669&lt;15000,LOOKUP(RAND(),{0,0.35,0.65,0.9},{"River","Rainwater","Borehole","Vendor"}),IF(D669&lt;30000,LOOKUP(RAND(),{0,0.25,0.55,0.82},{"River","Rainwater","Borehole","Vendor"}),LOOKUP(RAND(),{0,0.15,0.45,0.72},{"River","Rainwater","Borehole","Vendor"}))),IF(D669&lt;15000,LOOKUP(RAND(),{0,0.4,0.7,0.92},{"River","Rainwater","Borehole","Vendor"}),IF(D669&lt;30000,LOOKUP(RAND(),{0,0.3,0.6,0.85},{"River","Rainwater","Borehole","Vendor"}),LOOKUP(RAND(),{0,0.2,0.5,0.75},{"River","Rainwater","Borehole","Vendor"}))))))</f>
        <v>Rainwater</v>
      </c>
      <c r="F669">
        <f t="shared" ca="1" si="61"/>
        <v>50</v>
      </c>
      <c r="G669">
        <f t="shared" ca="1" si="62"/>
        <v>7.2</v>
      </c>
      <c r="H669">
        <f t="shared" ca="1" si="63"/>
        <v>3800</v>
      </c>
      <c r="I669">
        <f t="shared" ca="1" si="64"/>
        <v>0.95970288881594479</v>
      </c>
      <c r="J669">
        <v>1</v>
      </c>
    </row>
    <row r="670" spans="1:10" x14ac:dyDescent="0.3">
      <c r="A670" t="str">
        <f t="shared" si="65"/>
        <v>HH669</v>
      </c>
      <c r="B670" t="str">
        <f ca="1">LOOKUP(RAND(),{0,0.28,0.55,0.78},{"Oloitoktok A","Oloitoktok B","Kiserian","Namanga"})</f>
        <v>Oloitoktok B</v>
      </c>
      <c r="C670">
        <f ca="1">LOOKUP(RAND(),{0,0.02,0.09,0.2,0.35,0.52,0.68,0.81,0.91,0.97},{1,2,3,4,5,6,7,8,9,10})</f>
        <v>4</v>
      </c>
      <c r="D670">
        <f t="shared" ca="1" si="60"/>
        <v>50600</v>
      </c>
      <c r="E670" t="str">
        <f ca="1">IF(B670="Oloitoktok A",IF(D670&lt;15000,LOOKUP(RAND(),{0,0.45,0.75,0.92},{"River","Rainwater","Borehole","Vendor"}),IF(D670&lt;30000,LOOKUP(RAND(),{0,0.35,0.65,0.85},{"River","Rainwater","Borehole","Vendor"}),LOOKUP(RAND(),{0,0.25,0.5,0.75},{"River","Rainwater","Borehole","Vendor"}))),IF(B670="Oloitoktok B",IF(D670&lt;15000,LOOKUP(RAND(),{0,0.5,0.78,0.94},{"River","Rainwater","Borehole","Vendor"}),IF(D670&lt;30000,LOOKUP(RAND(),{0,0.4,0.68,0.87},{"River","Rainwater","Borehole","Vendor"}),LOOKUP(RAND(),{0,0.28,0.55,0.78},{"River","Rainwater","Borehole","Vendor"}))),IF(B670="Kiserian",IF(D670&lt;15000,LOOKUP(RAND(),{0,0.35,0.65,0.9},{"River","Rainwater","Borehole","Vendor"}),IF(D670&lt;30000,LOOKUP(RAND(),{0,0.25,0.55,0.82},{"River","Rainwater","Borehole","Vendor"}),LOOKUP(RAND(),{0,0.15,0.45,0.72},{"River","Rainwater","Borehole","Vendor"}))),IF(D670&lt;15000,LOOKUP(RAND(),{0,0.4,0.7,0.92},{"River","Rainwater","Borehole","Vendor"}),IF(D670&lt;30000,LOOKUP(RAND(),{0,0.3,0.6,0.85},{"River","Rainwater","Borehole","Vendor"}),LOOKUP(RAND(),{0,0.2,0.5,0.75},{"River","Rainwater","Borehole","Vendor"}))))))</f>
        <v>Rainwater</v>
      </c>
      <c r="F670">
        <f t="shared" ca="1" si="61"/>
        <v>63</v>
      </c>
      <c r="G670">
        <f t="shared" ca="1" si="62"/>
        <v>6.7</v>
      </c>
      <c r="H670">
        <f t="shared" ca="1" si="63"/>
        <v>10600</v>
      </c>
      <c r="I670">
        <f t="shared" ca="1" si="64"/>
        <v>0.87511460753346404</v>
      </c>
      <c r="J670">
        <v>1</v>
      </c>
    </row>
    <row r="671" spans="1:10" x14ac:dyDescent="0.3">
      <c r="A671" t="str">
        <f t="shared" si="65"/>
        <v>HH670</v>
      </c>
      <c r="B671" t="str">
        <f ca="1">LOOKUP(RAND(),{0,0.28,0.55,0.78},{"Oloitoktok A","Oloitoktok B","Kiserian","Namanga"})</f>
        <v>Oloitoktok B</v>
      </c>
      <c r="C671">
        <f ca="1">LOOKUP(RAND(),{0,0.02,0.09,0.2,0.35,0.52,0.68,0.81,0.91,0.97},{1,2,3,4,5,6,7,8,9,10})</f>
        <v>2</v>
      </c>
      <c r="D671">
        <f t="shared" ca="1" si="60"/>
        <v>34700</v>
      </c>
      <c r="E671" t="str">
        <f ca="1">IF(B671="Oloitoktok A",IF(D671&lt;15000,LOOKUP(RAND(),{0,0.45,0.75,0.92},{"River","Rainwater","Borehole","Vendor"}),IF(D671&lt;30000,LOOKUP(RAND(),{0,0.35,0.65,0.85},{"River","Rainwater","Borehole","Vendor"}),LOOKUP(RAND(),{0,0.25,0.5,0.75},{"River","Rainwater","Borehole","Vendor"}))),IF(B671="Oloitoktok B",IF(D671&lt;15000,LOOKUP(RAND(),{0,0.5,0.78,0.94},{"River","Rainwater","Borehole","Vendor"}),IF(D671&lt;30000,LOOKUP(RAND(),{0,0.4,0.68,0.87},{"River","Rainwater","Borehole","Vendor"}),LOOKUP(RAND(),{0,0.28,0.55,0.78},{"River","Rainwater","Borehole","Vendor"}))),IF(B671="Kiserian",IF(D671&lt;15000,LOOKUP(RAND(),{0,0.35,0.65,0.9},{"River","Rainwater","Borehole","Vendor"}),IF(D671&lt;30000,LOOKUP(RAND(),{0,0.25,0.55,0.82},{"River","Rainwater","Borehole","Vendor"}),LOOKUP(RAND(),{0,0.15,0.45,0.72},{"River","Rainwater","Borehole","Vendor"}))),IF(D671&lt;15000,LOOKUP(RAND(),{0,0.4,0.7,0.92},{"River","Rainwater","Borehole","Vendor"}),IF(D671&lt;30000,LOOKUP(RAND(),{0,0.3,0.6,0.85},{"River","Rainwater","Borehole","Vendor"}),LOOKUP(RAND(),{0,0.2,0.5,0.75},{"River","Rainwater","Borehole","Vendor"}))))))</f>
        <v>Rainwater</v>
      </c>
      <c r="F671">
        <f t="shared" ca="1" si="61"/>
        <v>43</v>
      </c>
      <c r="G671">
        <f t="shared" ca="1" si="62"/>
        <v>11.4</v>
      </c>
      <c r="H671">
        <f t="shared" ca="1" si="63"/>
        <v>1600</v>
      </c>
      <c r="I671">
        <f t="shared" ca="1" si="64"/>
        <v>0.93489451699304982</v>
      </c>
      <c r="J671">
        <v>1</v>
      </c>
    </row>
    <row r="672" spans="1:10" x14ac:dyDescent="0.3">
      <c r="A672" t="str">
        <f t="shared" si="65"/>
        <v>HH671</v>
      </c>
      <c r="B672" t="str">
        <f ca="1">LOOKUP(RAND(),{0,0.28,0.55,0.78},{"Oloitoktok A","Oloitoktok B","Kiserian","Namanga"})</f>
        <v>Oloitoktok B</v>
      </c>
      <c r="C672">
        <f ca="1">LOOKUP(RAND(),{0,0.02,0.09,0.2,0.35,0.52,0.68,0.81,0.91,0.97},{1,2,3,4,5,6,7,8,9,10})</f>
        <v>3</v>
      </c>
      <c r="D672">
        <f t="shared" ca="1" si="60"/>
        <v>18300</v>
      </c>
      <c r="E672" t="str">
        <f ca="1">IF(B672="Oloitoktok A",IF(D672&lt;15000,LOOKUP(RAND(),{0,0.45,0.75,0.92},{"River","Rainwater","Borehole","Vendor"}),IF(D672&lt;30000,LOOKUP(RAND(),{0,0.35,0.65,0.85},{"River","Rainwater","Borehole","Vendor"}),LOOKUP(RAND(),{0,0.25,0.5,0.75},{"River","Rainwater","Borehole","Vendor"}))),IF(B672="Oloitoktok B",IF(D672&lt;15000,LOOKUP(RAND(),{0,0.5,0.78,0.94},{"River","Rainwater","Borehole","Vendor"}),IF(D672&lt;30000,LOOKUP(RAND(),{0,0.4,0.68,0.87},{"River","Rainwater","Borehole","Vendor"}),LOOKUP(RAND(),{0,0.28,0.55,0.78},{"River","Rainwater","Borehole","Vendor"}))),IF(B672="Kiserian",IF(D672&lt;15000,LOOKUP(RAND(),{0,0.35,0.65,0.9},{"River","Rainwater","Borehole","Vendor"}),IF(D672&lt;30000,LOOKUP(RAND(),{0,0.25,0.55,0.82},{"River","Rainwater","Borehole","Vendor"}),LOOKUP(RAND(),{0,0.15,0.45,0.72},{"River","Rainwater","Borehole","Vendor"}))),IF(D672&lt;15000,LOOKUP(RAND(),{0,0.4,0.7,0.92},{"River","Rainwater","Borehole","Vendor"}),IF(D672&lt;30000,LOOKUP(RAND(),{0,0.3,0.6,0.85},{"River","Rainwater","Borehole","Vendor"}),LOOKUP(RAND(),{0,0.2,0.5,0.75},{"River","Rainwater","Borehole","Vendor"}))))))</f>
        <v>Vendor</v>
      </c>
      <c r="F672">
        <f t="shared" ca="1" si="61"/>
        <v>14</v>
      </c>
      <c r="G672">
        <f t="shared" ca="1" si="62"/>
        <v>1.5</v>
      </c>
      <c r="H672">
        <f t="shared" ca="1" si="63"/>
        <v>10700</v>
      </c>
      <c r="I672">
        <f t="shared" ca="1" si="64"/>
        <v>0.37371427909458366</v>
      </c>
      <c r="J672">
        <v>1</v>
      </c>
    </row>
    <row r="673" spans="1:10" x14ac:dyDescent="0.3">
      <c r="A673" t="str">
        <f t="shared" si="65"/>
        <v>HH672</v>
      </c>
      <c r="B673" t="str">
        <f ca="1">LOOKUP(RAND(),{0,0.28,0.55,0.78},{"Oloitoktok A","Oloitoktok B","Kiserian","Namanga"})</f>
        <v>Oloitoktok B</v>
      </c>
      <c r="C673">
        <f ca="1">LOOKUP(RAND(),{0,0.02,0.09,0.2,0.35,0.52,0.68,0.81,0.91,0.97},{1,2,3,4,5,6,7,8,9,10})</f>
        <v>8</v>
      </c>
      <c r="D673">
        <f t="shared" ca="1" si="60"/>
        <v>29100</v>
      </c>
      <c r="E673" t="str">
        <f ca="1">IF(B673="Oloitoktok A",IF(D673&lt;15000,LOOKUP(RAND(),{0,0.45,0.75,0.92},{"River","Rainwater","Borehole","Vendor"}),IF(D673&lt;30000,LOOKUP(RAND(),{0,0.35,0.65,0.85},{"River","Rainwater","Borehole","Vendor"}),LOOKUP(RAND(),{0,0.25,0.5,0.75},{"River","Rainwater","Borehole","Vendor"}))),IF(B673="Oloitoktok B",IF(D673&lt;15000,LOOKUP(RAND(),{0,0.5,0.78,0.94},{"River","Rainwater","Borehole","Vendor"}),IF(D673&lt;30000,LOOKUP(RAND(),{0,0.4,0.68,0.87},{"River","Rainwater","Borehole","Vendor"}),LOOKUP(RAND(),{0,0.28,0.55,0.78},{"River","Rainwater","Borehole","Vendor"}))),IF(B673="Kiserian",IF(D673&lt;15000,LOOKUP(RAND(),{0,0.35,0.65,0.9},{"River","Rainwater","Borehole","Vendor"}),IF(D673&lt;30000,LOOKUP(RAND(),{0,0.25,0.55,0.82},{"River","Rainwater","Borehole","Vendor"}),LOOKUP(RAND(),{0,0.15,0.45,0.72},{"River","Rainwater","Borehole","Vendor"}))),IF(D673&lt;15000,LOOKUP(RAND(),{0,0.4,0.7,0.92},{"River","Rainwater","Borehole","Vendor"}),IF(D673&lt;30000,LOOKUP(RAND(),{0,0.3,0.6,0.85},{"River","Rainwater","Borehole","Vendor"}),LOOKUP(RAND(),{0,0.2,0.5,0.75},{"River","Rainwater","Borehole","Vendor"}))))))</f>
        <v>River</v>
      </c>
      <c r="F673">
        <f t="shared" ca="1" si="61"/>
        <v>118</v>
      </c>
      <c r="G673">
        <f t="shared" ca="1" si="62"/>
        <v>3.6</v>
      </c>
      <c r="H673">
        <f t="shared" ca="1" si="63"/>
        <v>10200</v>
      </c>
      <c r="I673">
        <f t="shared" ca="1" si="64"/>
        <v>5.5783781329625803E-2</v>
      </c>
      <c r="J673">
        <v>1</v>
      </c>
    </row>
    <row r="674" spans="1:10" x14ac:dyDescent="0.3">
      <c r="A674" t="str">
        <f t="shared" si="65"/>
        <v>HH673</v>
      </c>
      <c r="B674" t="str">
        <f ca="1">LOOKUP(RAND(),{0,0.28,0.55,0.78},{"Oloitoktok A","Oloitoktok B","Kiserian","Namanga"})</f>
        <v>Kiserian</v>
      </c>
      <c r="C674">
        <f ca="1">LOOKUP(RAND(),{0,0.02,0.09,0.2,0.35,0.52,0.68,0.81,0.91,0.97},{1,2,3,4,5,6,7,8,9,10})</f>
        <v>3</v>
      </c>
      <c r="D674">
        <f t="shared" ca="1" si="60"/>
        <v>32600</v>
      </c>
      <c r="E674" t="str">
        <f ca="1">IF(B674="Oloitoktok A",IF(D674&lt;15000,LOOKUP(RAND(),{0,0.45,0.75,0.92},{"River","Rainwater","Borehole","Vendor"}),IF(D674&lt;30000,LOOKUP(RAND(),{0,0.35,0.65,0.85},{"River","Rainwater","Borehole","Vendor"}),LOOKUP(RAND(),{0,0.25,0.5,0.75},{"River","Rainwater","Borehole","Vendor"}))),IF(B674="Oloitoktok B",IF(D674&lt;15000,LOOKUP(RAND(),{0,0.5,0.78,0.94},{"River","Rainwater","Borehole","Vendor"}),IF(D674&lt;30000,LOOKUP(RAND(),{0,0.4,0.68,0.87},{"River","Rainwater","Borehole","Vendor"}),LOOKUP(RAND(),{0,0.28,0.55,0.78},{"River","Rainwater","Borehole","Vendor"}))),IF(B674="Kiserian",IF(D674&lt;15000,LOOKUP(RAND(),{0,0.35,0.65,0.9},{"River","Rainwater","Borehole","Vendor"}),IF(D674&lt;30000,LOOKUP(RAND(),{0,0.25,0.55,0.82},{"River","Rainwater","Borehole","Vendor"}),LOOKUP(RAND(),{0,0.15,0.45,0.72},{"River","Rainwater","Borehole","Vendor"}))),IF(D674&lt;15000,LOOKUP(RAND(),{0,0.4,0.7,0.92},{"River","Rainwater","Borehole","Vendor"}),IF(D674&lt;30000,LOOKUP(RAND(),{0,0.3,0.6,0.85},{"River","Rainwater","Borehole","Vendor"}),LOOKUP(RAND(),{0,0.2,0.5,0.75},{"River","Rainwater","Borehole","Vendor"}))))))</f>
        <v>Rainwater</v>
      </c>
      <c r="F674">
        <f t="shared" ca="1" si="61"/>
        <v>32</v>
      </c>
      <c r="G674">
        <f t="shared" ca="1" si="62"/>
        <v>6.2</v>
      </c>
      <c r="H674">
        <f t="shared" ca="1" si="63"/>
        <v>3100</v>
      </c>
      <c r="I674">
        <f t="shared" ca="1" si="64"/>
        <v>0.19407056282737833</v>
      </c>
      <c r="J674">
        <v>1</v>
      </c>
    </row>
    <row r="675" spans="1:10" x14ac:dyDescent="0.3">
      <c r="A675" t="str">
        <f t="shared" si="65"/>
        <v>HH674</v>
      </c>
      <c r="B675" t="str">
        <f ca="1">LOOKUP(RAND(),{0,0.28,0.55,0.78},{"Oloitoktok A","Oloitoktok B","Kiserian","Namanga"})</f>
        <v>Kiserian</v>
      </c>
      <c r="C675">
        <f ca="1">LOOKUP(RAND(),{0,0.02,0.09,0.2,0.35,0.52,0.68,0.81,0.91,0.97},{1,2,3,4,5,6,7,8,9,10})</f>
        <v>8</v>
      </c>
      <c r="D675">
        <f t="shared" ca="1" si="60"/>
        <v>25500</v>
      </c>
      <c r="E675" t="str">
        <f ca="1">IF(B675="Oloitoktok A",IF(D675&lt;15000,LOOKUP(RAND(),{0,0.45,0.75,0.92},{"River","Rainwater","Borehole","Vendor"}),IF(D675&lt;30000,LOOKUP(RAND(),{0,0.35,0.65,0.85},{"River","Rainwater","Borehole","Vendor"}),LOOKUP(RAND(),{0,0.25,0.5,0.75},{"River","Rainwater","Borehole","Vendor"}))),IF(B675="Oloitoktok B",IF(D675&lt;15000,LOOKUP(RAND(),{0,0.5,0.78,0.94},{"River","Rainwater","Borehole","Vendor"}),IF(D675&lt;30000,LOOKUP(RAND(),{0,0.4,0.68,0.87},{"River","Rainwater","Borehole","Vendor"}),LOOKUP(RAND(),{0,0.28,0.55,0.78},{"River","Rainwater","Borehole","Vendor"}))),IF(B675="Kiserian",IF(D675&lt;15000,LOOKUP(RAND(),{0,0.35,0.65,0.9},{"River","Rainwater","Borehole","Vendor"}),IF(D675&lt;30000,LOOKUP(RAND(),{0,0.25,0.55,0.82},{"River","Rainwater","Borehole","Vendor"}),LOOKUP(RAND(),{0,0.15,0.45,0.72},{"River","Rainwater","Borehole","Vendor"}))),IF(D675&lt;15000,LOOKUP(RAND(),{0,0.4,0.7,0.92},{"River","Rainwater","Borehole","Vendor"}),IF(D675&lt;30000,LOOKUP(RAND(),{0,0.3,0.6,0.85},{"River","Rainwater","Borehole","Vendor"}),LOOKUP(RAND(),{0,0.2,0.5,0.75},{"River","Rainwater","Borehole","Vendor"}))))))</f>
        <v>Borehole</v>
      </c>
      <c r="F675">
        <f t="shared" ca="1" si="61"/>
        <v>52</v>
      </c>
      <c r="G675">
        <f t="shared" ca="1" si="62"/>
        <v>4.5</v>
      </c>
      <c r="H675">
        <f t="shared" ca="1" si="63"/>
        <v>4300</v>
      </c>
      <c r="I675">
        <f t="shared" ca="1" si="64"/>
        <v>0.1461372850890319</v>
      </c>
      <c r="J675">
        <v>1</v>
      </c>
    </row>
    <row r="676" spans="1:10" x14ac:dyDescent="0.3">
      <c r="A676" t="str">
        <f t="shared" si="65"/>
        <v>HH675</v>
      </c>
      <c r="B676" t="str">
        <f ca="1">LOOKUP(RAND(),{0,0.28,0.55,0.78},{"Oloitoktok A","Oloitoktok B","Kiserian","Namanga"})</f>
        <v>Oloitoktok A</v>
      </c>
      <c r="C676">
        <f ca="1">LOOKUP(RAND(),{0,0.02,0.09,0.2,0.35,0.52,0.68,0.81,0.91,0.97},{1,2,3,4,5,6,7,8,9,10})</f>
        <v>4</v>
      </c>
      <c r="D676">
        <f t="shared" ca="1" si="60"/>
        <v>63900</v>
      </c>
      <c r="E676" t="str">
        <f ca="1">IF(B676="Oloitoktok A",IF(D676&lt;15000,LOOKUP(RAND(),{0,0.45,0.75,0.92},{"River","Rainwater","Borehole","Vendor"}),IF(D676&lt;30000,LOOKUP(RAND(),{0,0.35,0.65,0.85},{"River","Rainwater","Borehole","Vendor"}),LOOKUP(RAND(),{0,0.25,0.5,0.75},{"River","Rainwater","Borehole","Vendor"}))),IF(B676="Oloitoktok B",IF(D676&lt;15000,LOOKUP(RAND(),{0,0.5,0.78,0.94},{"River","Rainwater","Borehole","Vendor"}),IF(D676&lt;30000,LOOKUP(RAND(),{0,0.4,0.68,0.87},{"River","Rainwater","Borehole","Vendor"}),LOOKUP(RAND(),{0,0.28,0.55,0.78},{"River","Rainwater","Borehole","Vendor"}))),IF(B676="Kiserian",IF(D676&lt;15000,LOOKUP(RAND(),{0,0.35,0.65,0.9},{"River","Rainwater","Borehole","Vendor"}),IF(D676&lt;30000,LOOKUP(RAND(),{0,0.25,0.55,0.82},{"River","Rainwater","Borehole","Vendor"}),LOOKUP(RAND(),{0,0.15,0.45,0.72},{"River","Rainwater","Borehole","Vendor"}))),IF(D676&lt;15000,LOOKUP(RAND(),{0,0.4,0.7,0.92},{"River","Rainwater","Borehole","Vendor"}),IF(D676&lt;30000,LOOKUP(RAND(),{0,0.3,0.6,0.85},{"River","Rainwater","Borehole","Vendor"}),LOOKUP(RAND(),{0,0.2,0.5,0.75},{"River","Rainwater","Borehole","Vendor"}))))))</f>
        <v>River</v>
      </c>
      <c r="F676">
        <f t="shared" ca="1" si="61"/>
        <v>81</v>
      </c>
      <c r="G676">
        <f t="shared" ca="1" si="62"/>
        <v>11.1</v>
      </c>
      <c r="H676">
        <f t="shared" ca="1" si="63"/>
        <v>10900</v>
      </c>
      <c r="I676">
        <f t="shared" ca="1" si="64"/>
        <v>0.59246345250093646</v>
      </c>
      <c r="J676">
        <v>1</v>
      </c>
    </row>
    <row r="677" spans="1:10" x14ac:dyDescent="0.3">
      <c r="A677" t="str">
        <f t="shared" si="65"/>
        <v>HH676</v>
      </c>
      <c r="B677" t="str">
        <f ca="1">LOOKUP(RAND(),{0,0.28,0.55,0.78},{"Oloitoktok A","Oloitoktok B","Kiserian","Namanga"})</f>
        <v>Kiserian</v>
      </c>
      <c r="C677">
        <f ca="1">LOOKUP(RAND(),{0,0.02,0.09,0.2,0.35,0.52,0.68,0.81,0.91,0.97},{1,2,3,4,5,6,7,8,9,10})</f>
        <v>6</v>
      </c>
      <c r="D677">
        <f t="shared" ca="1" si="60"/>
        <v>32100</v>
      </c>
      <c r="E677" t="str">
        <f ca="1">IF(B677="Oloitoktok A",IF(D677&lt;15000,LOOKUP(RAND(),{0,0.45,0.75,0.92},{"River","Rainwater","Borehole","Vendor"}),IF(D677&lt;30000,LOOKUP(RAND(),{0,0.35,0.65,0.85},{"River","Rainwater","Borehole","Vendor"}),LOOKUP(RAND(),{0,0.25,0.5,0.75},{"River","Rainwater","Borehole","Vendor"}))),IF(B677="Oloitoktok B",IF(D677&lt;15000,LOOKUP(RAND(),{0,0.5,0.78,0.94},{"River","Rainwater","Borehole","Vendor"}),IF(D677&lt;30000,LOOKUP(RAND(),{0,0.4,0.68,0.87},{"River","Rainwater","Borehole","Vendor"}),LOOKUP(RAND(),{0,0.28,0.55,0.78},{"River","Rainwater","Borehole","Vendor"}))),IF(B677="Kiserian",IF(D677&lt;15000,LOOKUP(RAND(),{0,0.35,0.65,0.9},{"River","Rainwater","Borehole","Vendor"}),IF(D677&lt;30000,LOOKUP(RAND(),{0,0.25,0.55,0.82},{"River","Rainwater","Borehole","Vendor"}),LOOKUP(RAND(),{0,0.15,0.45,0.72},{"River","Rainwater","Borehole","Vendor"}))),IF(D677&lt;15000,LOOKUP(RAND(),{0,0.4,0.7,0.92},{"River","Rainwater","Borehole","Vendor"}),IF(D677&lt;30000,LOOKUP(RAND(),{0,0.3,0.6,0.85},{"River","Rainwater","Borehole","Vendor"}),LOOKUP(RAND(),{0,0.2,0.5,0.75},{"River","Rainwater","Borehole","Vendor"}))))))</f>
        <v>Borehole</v>
      </c>
      <c r="F677">
        <f t="shared" ca="1" si="61"/>
        <v>66</v>
      </c>
      <c r="G677">
        <f t="shared" ca="1" si="62"/>
        <v>5.4</v>
      </c>
      <c r="H677">
        <f t="shared" ca="1" si="63"/>
        <v>6800</v>
      </c>
      <c r="I677">
        <f t="shared" ca="1" si="64"/>
        <v>0.36376744234758251</v>
      </c>
      <c r="J677">
        <v>1</v>
      </c>
    </row>
    <row r="678" spans="1:10" x14ac:dyDescent="0.3">
      <c r="A678" t="str">
        <f t="shared" si="65"/>
        <v>HH677</v>
      </c>
      <c r="B678" t="str">
        <f ca="1">LOOKUP(RAND(),{0,0.28,0.55,0.78},{"Oloitoktok A","Oloitoktok B","Kiserian","Namanga"})</f>
        <v>Kiserian</v>
      </c>
      <c r="C678">
        <f ca="1">LOOKUP(RAND(),{0,0.02,0.09,0.2,0.35,0.52,0.68,0.81,0.91,0.97},{1,2,3,4,5,6,7,8,9,10})</f>
        <v>5</v>
      </c>
      <c r="D678">
        <f t="shared" ca="1" si="60"/>
        <v>23400</v>
      </c>
      <c r="E678" t="str">
        <f ca="1">IF(B678="Oloitoktok A",IF(D678&lt;15000,LOOKUP(RAND(),{0,0.45,0.75,0.92},{"River","Rainwater","Borehole","Vendor"}),IF(D678&lt;30000,LOOKUP(RAND(),{0,0.35,0.65,0.85},{"River","Rainwater","Borehole","Vendor"}),LOOKUP(RAND(),{0,0.25,0.5,0.75},{"River","Rainwater","Borehole","Vendor"}))),IF(B678="Oloitoktok B",IF(D678&lt;15000,LOOKUP(RAND(),{0,0.5,0.78,0.94},{"River","Rainwater","Borehole","Vendor"}),IF(D678&lt;30000,LOOKUP(RAND(),{0,0.4,0.68,0.87},{"River","Rainwater","Borehole","Vendor"}),LOOKUP(RAND(),{0,0.28,0.55,0.78},{"River","Rainwater","Borehole","Vendor"}))),IF(B678="Kiserian",IF(D678&lt;15000,LOOKUP(RAND(),{0,0.35,0.65,0.9},{"River","Rainwater","Borehole","Vendor"}),IF(D678&lt;30000,LOOKUP(RAND(),{0,0.25,0.55,0.82},{"River","Rainwater","Borehole","Vendor"}),LOOKUP(RAND(),{0,0.15,0.45,0.72},{"River","Rainwater","Borehole","Vendor"}))),IF(D678&lt;15000,LOOKUP(RAND(),{0,0.4,0.7,0.92},{"River","Rainwater","Borehole","Vendor"}),IF(D678&lt;30000,LOOKUP(RAND(),{0,0.3,0.6,0.85},{"River","Rainwater","Borehole","Vendor"}),LOOKUP(RAND(),{0,0.2,0.5,0.75},{"River","Rainwater","Borehole","Vendor"}))))))</f>
        <v>Vendor</v>
      </c>
      <c r="F678">
        <f t="shared" ca="1" si="61"/>
        <v>53</v>
      </c>
      <c r="G678">
        <f t="shared" ca="1" si="62"/>
        <v>0.8</v>
      </c>
      <c r="H678">
        <f t="shared" ca="1" si="63"/>
        <v>7700</v>
      </c>
      <c r="I678">
        <f t="shared" ca="1" si="64"/>
        <v>0.44551765215205463</v>
      </c>
      <c r="J678">
        <v>1</v>
      </c>
    </row>
    <row r="679" spans="1:10" x14ac:dyDescent="0.3">
      <c r="A679" t="str">
        <f t="shared" si="65"/>
        <v>HH678</v>
      </c>
      <c r="B679" t="str">
        <f ca="1">LOOKUP(RAND(),{0,0.28,0.55,0.78},{"Oloitoktok A","Oloitoktok B","Kiserian","Namanga"})</f>
        <v>Oloitoktok B</v>
      </c>
      <c r="C679">
        <f ca="1">LOOKUP(RAND(),{0,0.02,0.09,0.2,0.35,0.52,0.68,0.81,0.91,0.97},{1,2,3,4,5,6,7,8,9,10})</f>
        <v>4</v>
      </c>
      <c r="D679">
        <f t="shared" ca="1" si="60"/>
        <v>36000</v>
      </c>
      <c r="E679" t="str">
        <f ca="1">IF(B679="Oloitoktok A",IF(D679&lt;15000,LOOKUP(RAND(),{0,0.45,0.75,0.92},{"River","Rainwater","Borehole","Vendor"}),IF(D679&lt;30000,LOOKUP(RAND(),{0,0.35,0.65,0.85},{"River","Rainwater","Borehole","Vendor"}),LOOKUP(RAND(),{0,0.25,0.5,0.75},{"River","Rainwater","Borehole","Vendor"}))),IF(B679="Oloitoktok B",IF(D679&lt;15000,LOOKUP(RAND(),{0,0.5,0.78,0.94},{"River","Rainwater","Borehole","Vendor"}),IF(D679&lt;30000,LOOKUP(RAND(),{0,0.4,0.68,0.87},{"River","Rainwater","Borehole","Vendor"}),LOOKUP(RAND(),{0,0.28,0.55,0.78},{"River","Rainwater","Borehole","Vendor"}))),IF(B679="Kiserian",IF(D679&lt;15000,LOOKUP(RAND(),{0,0.35,0.65,0.9},{"River","Rainwater","Borehole","Vendor"}),IF(D679&lt;30000,LOOKUP(RAND(),{0,0.25,0.55,0.82},{"River","Rainwater","Borehole","Vendor"}),LOOKUP(RAND(),{0,0.15,0.45,0.72},{"River","Rainwater","Borehole","Vendor"}))),IF(D679&lt;15000,LOOKUP(RAND(),{0,0.4,0.7,0.92},{"River","Rainwater","Borehole","Vendor"}),IF(D679&lt;30000,LOOKUP(RAND(),{0,0.3,0.6,0.85},{"River","Rainwater","Borehole","Vendor"}),LOOKUP(RAND(),{0,0.2,0.5,0.75},{"River","Rainwater","Borehole","Vendor"}))))))</f>
        <v>Vendor</v>
      </c>
      <c r="F679">
        <f t="shared" ca="1" si="61"/>
        <v>17</v>
      </c>
      <c r="G679">
        <f t="shared" ca="1" si="62"/>
        <v>10.4</v>
      </c>
      <c r="H679">
        <f t="shared" ca="1" si="63"/>
        <v>0</v>
      </c>
      <c r="I679">
        <f t="shared" ca="1" si="64"/>
        <v>0.33292445339708465</v>
      </c>
      <c r="J679">
        <v>1</v>
      </c>
    </row>
    <row r="680" spans="1:10" x14ac:dyDescent="0.3">
      <c r="A680" t="str">
        <f t="shared" si="65"/>
        <v>HH679</v>
      </c>
      <c r="B680" t="str">
        <f ca="1">LOOKUP(RAND(),{0,0.28,0.55,0.78},{"Oloitoktok A","Oloitoktok B","Kiserian","Namanga"})</f>
        <v>Namanga</v>
      </c>
      <c r="C680">
        <f ca="1">LOOKUP(RAND(),{0,0.02,0.09,0.2,0.35,0.52,0.68,0.81,0.91,0.97},{1,2,3,4,5,6,7,8,9,10})</f>
        <v>4</v>
      </c>
      <c r="D680">
        <f t="shared" ca="1" si="60"/>
        <v>25800</v>
      </c>
      <c r="E680" t="str">
        <f ca="1">IF(B680="Oloitoktok A",IF(D680&lt;15000,LOOKUP(RAND(),{0,0.45,0.75,0.92},{"River","Rainwater","Borehole","Vendor"}),IF(D680&lt;30000,LOOKUP(RAND(),{0,0.35,0.65,0.85},{"River","Rainwater","Borehole","Vendor"}),LOOKUP(RAND(),{0,0.25,0.5,0.75},{"River","Rainwater","Borehole","Vendor"}))),IF(B680="Oloitoktok B",IF(D680&lt;15000,LOOKUP(RAND(),{0,0.5,0.78,0.94},{"River","Rainwater","Borehole","Vendor"}),IF(D680&lt;30000,LOOKUP(RAND(),{0,0.4,0.68,0.87},{"River","Rainwater","Borehole","Vendor"}),LOOKUP(RAND(),{0,0.28,0.55,0.78},{"River","Rainwater","Borehole","Vendor"}))),IF(B680="Kiserian",IF(D680&lt;15000,LOOKUP(RAND(),{0,0.35,0.65,0.9},{"River","Rainwater","Borehole","Vendor"}),IF(D680&lt;30000,LOOKUP(RAND(),{0,0.25,0.55,0.82},{"River","Rainwater","Borehole","Vendor"}),LOOKUP(RAND(),{0,0.15,0.45,0.72},{"River","Rainwater","Borehole","Vendor"}))),IF(D680&lt;15000,LOOKUP(RAND(),{0,0.4,0.7,0.92},{"River","Rainwater","Borehole","Vendor"}),IF(D680&lt;30000,LOOKUP(RAND(),{0,0.3,0.6,0.85},{"River","Rainwater","Borehole","Vendor"}),LOOKUP(RAND(),{0,0.2,0.5,0.75},{"River","Rainwater","Borehole","Vendor"}))))))</f>
        <v>Rainwater</v>
      </c>
      <c r="F680">
        <f t="shared" ca="1" si="61"/>
        <v>18</v>
      </c>
      <c r="G680">
        <f t="shared" ca="1" si="62"/>
        <v>6.7</v>
      </c>
      <c r="H680">
        <f t="shared" ca="1" si="63"/>
        <v>0</v>
      </c>
      <c r="I680">
        <f t="shared" ca="1" si="64"/>
        <v>0.60437723173981783</v>
      </c>
      <c r="J680">
        <v>1</v>
      </c>
    </row>
    <row r="681" spans="1:10" x14ac:dyDescent="0.3">
      <c r="A681" t="str">
        <f t="shared" si="65"/>
        <v>HH680</v>
      </c>
      <c r="B681" t="str">
        <f ca="1">LOOKUP(RAND(),{0,0.28,0.55,0.78},{"Oloitoktok A","Oloitoktok B","Kiserian","Namanga"})</f>
        <v>Oloitoktok B</v>
      </c>
      <c r="C681">
        <f ca="1">LOOKUP(RAND(),{0,0.02,0.09,0.2,0.35,0.52,0.68,0.81,0.91,0.97},{1,2,3,4,5,6,7,8,9,10})</f>
        <v>7</v>
      </c>
      <c r="D681">
        <f t="shared" ca="1" si="60"/>
        <v>41700</v>
      </c>
      <c r="E681" t="str">
        <f ca="1">IF(B681="Oloitoktok A",IF(D681&lt;15000,LOOKUP(RAND(),{0,0.45,0.75,0.92},{"River","Rainwater","Borehole","Vendor"}),IF(D681&lt;30000,LOOKUP(RAND(),{0,0.35,0.65,0.85},{"River","Rainwater","Borehole","Vendor"}),LOOKUP(RAND(),{0,0.25,0.5,0.75},{"River","Rainwater","Borehole","Vendor"}))),IF(B681="Oloitoktok B",IF(D681&lt;15000,LOOKUP(RAND(),{0,0.5,0.78,0.94},{"River","Rainwater","Borehole","Vendor"}),IF(D681&lt;30000,LOOKUP(RAND(),{0,0.4,0.68,0.87},{"River","Rainwater","Borehole","Vendor"}),LOOKUP(RAND(),{0,0.28,0.55,0.78},{"River","Rainwater","Borehole","Vendor"}))),IF(B681="Kiserian",IF(D681&lt;15000,LOOKUP(RAND(),{0,0.35,0.65,0.9},{"River","Rainwater","Borehole","Vendor"}),IF(D681&lt;30000,LOOKUP(RAND(),{0,0.25,0.55,0.82},{"River","Rainwater","Borehole","Vendor"}),LOOKUP(RAND(),{0,0.15,0.45,0.72},{"River","Rainwater","Borehole","Vendor"}))),IF(D681&lt;15000,LOOKUP(RAND(),{0,0.4,0.7,0.92},{"River","Rainwater","Borehole","Vendor"}),IF(D681&lt;30000,LOOKUP(RAND(),{0,0.3,0.6,0.85},{"River","Rainwater","Borehole","Vendor"}),LOOKUP(RAND(),{0,0.2,0.5,0.75},{"River","Rainwater","Borehole","Vendor"}))))))</f>
        <v>Rainwater</v>
      </c>
      <c r="F681">
        <f t="shared" ca="1" si="61"/>
        <v>59</v>
      </c>
      <c r="G681">
        <f t="shared" ca="1" si="62"/>
        <v>5.2</v>
      </c>
      <c r="H681">
        <f t="shared" ca="1" si="63"/>
        <v>9300</v>
      </c>
      <c r="I681">
        <f t="shared" ca="1" si="64"/>
        <v>0.67785045183112258</v>
      </c>
      <c r="J681">
        <v>1</v>
      </c>
    </row>
    <row r="682" spans="1:10" x14ac:dyDescent="0.3">
      <c r="A682" t="str">
        <f t="shared" si="65"/>
        <v>HH681</v>
      </c>
      <c r="B682" t="str">
        <f ca="1">LOOKUP(RAND(),{0,0.28,0.55,0.78},{"Oloitoktok A","Oloitoktok B","Kiserian","Namanga"})</f>
        <v>Oloitoktok A</v>
      </c>
      <c r="C682">
        <f ca="1">LOOKUP(RAND(),{0,0.02,0.09,0.2,0.35,0.52,0.68,0.81,0.91,0.97},{1,2,3,4,5,6,7,8,9,10})</f>
        <v>8</v>
      </c>
      <c r="D682">
        <f t="shared" ca="1" si="60"/>
        <v>62300</v>
      </c>
      <c r="E682" t="str">
        <f ca="1">IF(B682="Oloitoktok A",IF(D682&lt;15000,LOOKUP(RAND(),{0,0.45,0.75,0.92},{"River","Rainwater","Borehole","Vendor"}),IF(D682&lt;30000,LOOKUP(RAND(),{0,0.35,0.65,0.85},{"River","Rainwater","Borehole","Vendor"}),LOOKUP(RAND(),{0,0.25,0.5,0.75},{"River","Rainwater","Borehole","Vendor"}))),IF(B682="Oloitoktok B",IF(D682&lt;15000,LOOKUP(RAND(),{0,0.5,0.78,0.94},{"River","Rainwater","Borehole","Vendor"}),IF(D682&lt;30000,LOOKUP(RAND(),{0,0.4,0.68,0.87},{"River","Rainwater","Borehole","Vendor"}),LOOKUP(RAND(),{0,0.28,0.55,0.78},{"River","Rainwater","Borehole","Vendor"}))),IF(B682="Kiserian",IF(D682&lt;15000,LOOKUP(RAND(),{0,0.35,0.65,0.9},{"River","Rainwater","Borehole","Vendor"}),IF(D682&lt;30000,LOOKUP(RAND(),{0,0.25,0.55,0.82},{"River","Rainwater","Borehole","Vendor"}),LOOKUP(RAND(),{0,0.15,0.45,0.72},{"River","Rainwater","Borehole","Vendor"}))),IF(D682&lt;15000,LOOKUP(RAND(),{0,0.4,0.7,0.92},{"River","Rainwater","Borehole","Vendor"}),IF(D682&lt;30000,LOOKUP(RAND(),{0,0.3,0.6,0.85},{"River","Rainwater","Borehole","Vendor"}),LOOKUP(RAND(),{0,0.2,0.5,0.75},{"River","Rainwater","Borehole","Vendor"}))))))</f>
        <v>Vendor</v>
      </c>
      <c r="F682">
        <f t="shared" ca="1" si="61"/>
        <v>11</v>
      </c>
      <c r="G682">
        <f t="shared" ca="1" si="62"/>
        <v>14.2</v>
      </c>
      <c r="H682">
        <f t="shared" ca="1" si="63"/>
        <v>10100</v>
      </c>
      <c r="I682">
        <f t="shared" ca="1" si="64"/>
        <v>0.28647196914060935</v>
      </c>
      <c r="J682">
        <v>1</v>
      </c>
    </row>
    <row r="683" spans="1:10" x14ac:dyDescent="0.3">
      <c r="A683" t="str">
        <f t="shared" si="65"/>
        <v>HH682</v>
      </c>
      <c r="B683" t="str">
        <f ca="1">LOOKUP(RAND(),{0,0.28,0.55,0.78},{"Oloitoktok A","Oloitoktok B","Kiserian","Namanga"})</f>
        <v>Oloitoktok A</v>
      </c>
      <c r="C683">
        <f ca="1">LOOKUP(RAND(),{0,0.02,0.09,0.2,0.35,0.52,0.68,0.81,0.91,0.97},{1,2,3,4,5,6,7,8,9,10})</f>
        <v>8</v>
      </c>
      <c r="D683">
        <f t="shared" ca="1" si="60"/>
        <v>25800</v>
      </c>
      <c r="E683" t="str">
        <f ca="1">IF(B683="Oloitoktok A",IF(D683&lt;15000,LOOKUP(RAND(),{0,0.45,0.75,0.92},{"River","Rainwater","Borehole","Vendor"}),IF(D683&lt;30000,LOOKUP(RAND(),{0,0.35,0.65,0.85},{"River","Rainwater","Borehole","Vendor"}),LOOKUP(RAND(),{0,0.25,0.5,0.75},{"River","Rainwater","Borehole","Vendor"}))),IF(B683="Oloitoktok B",IF(D683&lt;15000,LOOKUP(RAND(),{0,0.5,0.78,0.94},{"River","Rainwater","Borehole","Vendor"}),IF(D683&lt;30000,LOOKUP(RAND(),{0,0.4,0.68,0.87},{"River","Rainwater","Borehole","Vendor"}),LOOKUP(RAND(),{0,0.28,0.55,0.78},{"River","Rainwater","Borehole","Vendor"}))),IF(B683="Kiserian",IF(D683&lt;15000,LOOKUP(RAND(),{0,0.35,0.65,0.9},{"River","Rainwater","Borehole","Vendor"}),IF(D683&lt;30000,LOOKUP(RAND(),{0,0.25,0.55,0.82},{"River","Rainwater","Borehole","Vendor"}),LOOKUP(RAND(),{0,0.15,0.45,0.72},{"River","Rainwater","Borehole","Vendor"}))),IF(D683&lt;15000,LOOKUP(RAND(),{0,0.4,0.7,0.92},{"River","Rainwater","Borehole","Vendor"}),IF(D683&lt;30000,LOOKUP(RAND(),{0,0.3,0.6,0.85},{"River","Rainwater","Borehole","Vendor"}),LOOKUP(RAND(),{0,0.2,0.5,0.75},{"River","Rainwater","Borehole","Vendor"}))))))</f>
        <v>River</v>
      </c>
      <c r="F683">
        <f t="shared" ca="1" si="61"/>
        <v>103</v>
      </c>
      <c r="G683">
        <f t="shared" ca="1" si="62"/>
        <v>10.5</v>
      </c>
      <c r="H683">
        <f t="shared" ca="1" si="63"/>
        <v>6200</v>
      </c>
      <c r="I683">
        <f t="shared" ca="1" si="64"/>
        <v>0.92862546119966805</v>
      </c>
      <c r="J683">
        <v>1</v>
      </c>
    </row>
    <row r="684" spans="1:10" x14ac:dyDescent="0.3">
      <c r="A684" t="str">
        <f t="shared" si="65"/>
        <v>HH683</v>
      </c>
      <c r="B684" t="str">
        <f ca="1">LOOKUP(RAND(),{0,0.28,0.55,0.78},{"Oloitoktok A","Oloitoktok B","Kiserian","Namanga"})</f>
        <v>Namanga</v>
      </c>
      <c r="C684">
        <f ca="1">LOOKUP(RAND(),{0,0.02,0.09,0.2,0.35,0.52,0.68,0.81,0.91,0.97},{1,2,3,4,5,6,7,8,9,10})</f>
        <v>6</v>
      </c>
      <c r="D684">
        <f t="shared" ca="1" si="60"/>
        <v>39200</v>
      </c>
      <c r="E684" t="str">
        <f ca="1">IF(B684="Oloitoktok A",IF(D684&lt;15000,LOOKUP(RAND(),{0,0.45,0.75,0.92},{"River","Rainwater","Borehole","Vendor"}),IF(D684&lt;30000,LOOKUP(RAND(),{0,0.35,0.65,0.85},{"River","Rainwater","Borehole","Vendor"}),LOOKUP(RAND(),{0,0.25,0.5,0.75},{"River","Rainwater","Borehole","Vendor"}))),IF(B684="Oloitoktok B",IF(D684&lt;15000,LOOKUP(RAND(),{0,0.5,0.78,0.94},{"River","Rainwater","Borehole","Vendor"}),IF(D684&lt;30000,LOOKUP(RAND(),{0,0.4,0.68,0.87},{"River","Rainwater","Borehole","Vendor"}),LOOKUP(RAND(),{0,0.28,0.55,0.78},{"River","Rainwater","Borehole","Vendor"}))),IF(B684="Kiserian",IF(D684&lt;15000,LOOKUP(RAND(),{0,0.35,0.65,0.9},{"River","Rainwater","Borehole","Vendor"}),IF(D684&lt;30000,LOOKUP(RAND(),{0,0.25,0.55,0.82},{"River","Rainwater","Borehole","Vendor"}),LOOKUP(RAND(),{0,0.15,0.45,0.72},{"River","Rainwater","Borehole","Vendor"}))),IF(D684&lt;15000,LOOKUP(RAND(),{0,0.4,0.7,0.92},{"River","Rainwater","Borehole","Vendor"}),IF(D684&lt;30000,LOOKUP(RAND(),{0,0.3,0.6,0.85},{"River","Rainwater","Borehole","Vendor"}),LOOKUP(RAND(),{0,0.2,0.5,0.75},{"River","Rainwater","Borehole","Vendor"}))))))</f>
        <v>Borehole</v>
      </c>
      <c r="F684">
        <f t="shared" ca="1" si="61"/>
        <v>38</v>
      </c>
      <c r="G684">
        <f t="shared" ca="1" si="62"/>
        <v>10.6</v>
      </c>
      <c r="H684">
        <f t="shared" ca="1" si="63"/>
        <v>8500</v>
      </c>
      <c r="I684">
        <f t="shared" ca="1" si="64"/>
        <v>0.92585150611233669</v>
      </c>
      <c r="J684">
        <v>1</v>
      </c>
    </row>
    <row r="685" spans="1:10" x14ac:dyDescent="0.3">
      <c r="A685" t="str">
        <f t="shared" si="65"/>
        <v>HH684</v>
      </c>
      <c r="B685" t="str">
        <f ca="1">LOOKUP(RAND(),{0,0.28,0.55,0.78},{"Oloitoktok A","Oloitoktok B","Kiserian","Namanga"})</f>
        <v>Oloitoktok A</v>
      </c>
      <c r="C685">
        <f ca="1">LOOKUP(RAND(),{0,0.02,0.09,0.2,0.35,0.52,0.68,0.81,0.91,0.97},{1,2,3,4,5,6,7,8,9,10})</f>
        <v>5</v>
      </c>
      <c r="D685">
        <f t="shared" ca="1" si="60"/>
        <v>19000</v>
      </c>
      <c r="E685" t="str">
        <f ca="1">IF(B685="Oloitoktok A",IF(D685&lt;15000,LOOKUP(RAND(),{0,0.45,0.75,0.92},{"River","Rainwater","Borehole","Vendor"}),IF(D685&lt;30000,LOOKUP(RAND(),{0,0.35,0.65,0.85},{"River","Rainwater","Borehole","Vendor"}),LOOKUP(RAND(),{0,0.25,0.5,0.75},{"River","Rainwater","Borehole","Vendor"}))),IF(B685="Oloitoktok B",IF(D685&lt;15000,LOOKUP(RAND(),{0,0.5,0.78,0.94},{"River","Rainwater","Borehole","Vendor"}),IF(D685&lt;30000,LOOKUP(RAND(),{0,0.4,0.68,0.87},{"River","Rainwater","Borehole","Vendor"}),LOOKUP(RAND(),{0,0.28,0.55,0.78},{"River","Rainwater","Borehole","Vendor"}))),IF(B685="Kiserian",IF(D685&lt;15000,LOOKUP(RAND(),{0,0.35,0.65,0.9},{"River","Rainwater","Borehole","Vendor"}),IF(D685&lt;30000,LOOKUP(RAND(),{0,0.25,0.55,0.82},{"River","Rainwater","Borehole","Vendor"}),LOOKUP(RAND(),{0,0.15,0.45,0.72},{"River","Rainwater","Borehole","Vendor"}))),IF(D685&lt;15000,LOOKUP(RAND(),{0,0.4,0.7,0.92},{"River","Rainwater","Borehole","Vendor"}),IF(D685&lt;30000,LOOKUP(RAND(),{0,0.3,0.6,0.85},{"River","Rainwater","Borehole","Vendor"}),LOOKUP(RAND(),{0,0.2,0.5,0.75},{"River","Rainwater","Borehole","Vendor"}))))))</f>
        <v>Rainwater</v>
      </c>
      <c r="F685">
        <f t="shared" ca="1" si="61"/>
        <v>60</v>
      </c>
      <c r="G685">
        <f t="shared" ca="1" si="62"/>
        <v>4.4000000000000004</v>
      </c>
      <c r="H685">
        <f t="shared" ca="1" si="63"/>
        <v>10400</v>
      </c>
      <c r="I685">
        <f t="shared" ca="1" si="64"/>
        <v>0.3420040717306978</v>
      </c>
      <c r="J685">
        <v>1</v>
      </c>
    </row>
    <row r="686" spans="1:10" x14ac:dyDescent="0.3">
      <c r="A686" t="str">
        <f t="shared" si="65"/>
        <v>HH685</v>
      </c>
      <c r="B686" t="str">
        <f ca="1">LOOKUP(RAND(),{0,0.28,0.55,0.78},{"Oloitoktok A","Oloitoktok B","Kiserian","Namanga"})</f>
        <v>Namanga</v>
      </c>
      <c r="C686">
        <f ca="1">LOOKUP(RAND(),{0,0.02,0.09,0.2,0.35,0.52,0.68,0.81,0.91,0.97},{1,2,3,4,5,6,7,8,9,10})</f>
        <v>5</v>
      </c>
      <c r="D686">
        <f t="shared" ca="1" si="60"/>
        <v>33800</v>
      </c>
      <c r="E686" t="str">
        <f ca="1">IF(B686="Oloitoktok A",IF(D686&lt;15000,LOOKUP(RAND(),{0,0.45,0.75,0.92},{"River","Rainwater","Borehole","Vendor"}),IF(D686&lt;30000,LOOKUP(RAND(),{0,0.35,0.65,0.85},{"River","Rainwater","Borehole","Vendor"}),LOOKUP(RAND(),{0,0.25,0.5,0.75},{"River","Rainwater","Borehole","Vendor"}))),IF(B686="Oloitoktok B",IF(D686&lt;15000,LOOKUP(RAND(),{0,0.5,0.78,0.94},{"River","Rainwater","Borehole","Vendor"}),IF(D686&lt;30000,LOOKUP(RAND(),{0,0.4,0.68,0.87},{"River","Rainwater","Borehole","Vendor"}),LOOKUP(RAND(),{0,0.28,0.55,0.78},{"River","Rainwater","Borehole","Vendor"}))),IF(B686="Kiserian",IF(D686&lt;15000,LOOKUP(RAND(),{0,0.35,0.65,0.9},{"River","Rainwater","Borehole","Vendor"}),IF(D686&lt;30000,LOOKUP(RAND(),{0,0.25,0.55,0.82},{"River","Rainwater","Borehole","Vendor"}),LOOKUP(RAND(),{0,0.15,0.45,0.72},{"River","Rainwater","Borehole","Vendor"}))),IF(D686&lt;15000,LOOKUP(RAND(),{0,0.4,0.7,0.92},{"River","Rainwater","Borehole","Vendor"}),IF(D686&lt;30000,LOOKUP(RAND(),{0,0.3,0.6,0.85},{"River","Rainwater","Borehole","Vendor"}),LOOKUP(RAND(),{0,0.2,0.5,0.75},{"River","Rainwater","Borehole","Vendor"}))))))</f>
        <v>Borehole</v>
      </c>
      <c r="F686">
        <f t="shared" ca="1" si="61"/>
        <v>75</v>
      </c>
      <c r="G686">
        <f t="shared" ca="1" si="62"/>
        <v>7.4</v>
      </c>
      <c r="H686">
        <f t="shared" ca="1" si="63"/>
        <v>9200</v>
      </c>
      <c r="I686">
        <f t="shared" ca="1" si="64"/>
        <v>0.84934464766371265</v>
      </c>
      <c r="J686">
        <v>1</v>
      </c>
    </row>
    <row r="687" spans="1:10" x14ac:dyDescent="0.3">
      <c r="A687" t="str">
        <f t="shared" si="65"/>
        <v>HH686</v>
      </c>
      <c r="B687" t="str">
        <f ca="1">LOOKUP(RAND(),{0,0.28,0.55,0.78},{"Oloitoktok A","Oloitoktok B","Kiserian","Namanga"})</f>
        <v>Oloitoktok A</v>
      </c>
      <c r="C687">
        <f ca="1">LOOKUP(RAND(),{0,0.02,0.09,0.2,0.35,0.52,0.68,0.81,0.91,0.97},{1,2,3,4,5,6,7,8,9,10})</f>
        <v>6</v>
      </c>
      <c r="D687">
        <f t="shared" ca="1" si="60"/>
        <v>54000</v>
      </c>
      <c r="E687" t="str">
        <f ca="1">IF(B687="Oloitoktok A",IF(D687&lt;15000,LOOKUP(RAND(),{0,0.45,0.75,0.92},{"River","Rainwater","Borehole","Vendor"}),IF(D687&lt;30000,LOOKUP(RAND(),{0,0.35,0.65,0.85},{"River","Rainwater","Borehole","Vendor"}),LOOKUP(RAND(),{0,0.25,0.5,0.75},{"River","Rainwater","Borehole","Vendor"}))),IF(B687="Oloitoktok B",IF(D687&lt;15000,LOOKUP(RAND(),{0,0.5,0.78,0.94},{"River","Rainwater","Borehole","Vendor"}),IF(D687&lt;30000,LOOKUP(RAND(),{0,0.4,0.68,0.87},{"River","Rainwater","Borehole","Vendor"}),LOOKUP(RAND(),{0,0.28,0.55,0.78},{"River","Rainwater","Borehole","Vendor"}))),IF(B687="Kiserian",IF(D687&lt;15000,LOOKUP(RAND(),{0,0.35,0.65,0.9},{"River","Rainwater","Borehole","Vendor"}),IF(D687&lt;30000,LOOKUP(RAND(),{0,0.25,0.55,0.82},{"River","Rainwater","Borehole","Vendor"}),LOOKUP(RAND(),{0,0.15,0.45,0.72},{"River","Rainwater","Borehole","Vendor"}))),IF(D687&lt;15000,LOOKUP(RAND(),{0,0.4,0.7,0.92},{"River","Rainwater","Borehole","Vendor"}),IF(D687&lt;30000,LOOKUP(RAND(),{0,0.3,0.6,0.85},{"River","Rainwater","Borehole","Vendor"}),LOOKUP(RAND(),{0,0.2,0.5,0.75},{"River","Rainwater","Borehole","Vendor"}))))))</f>
        <v>Borehole</v>
      </c>
      <c r="F687">
        <f t="shared" ca="1" si="61"/>
        <v>49</v>
      </c>
      <c r="G687">
        <f t="shared" ca="1" si="62"/>
        <v>4.2</v>
      </c>
      <c r="H687">
        <f t="shared" ca="1" si="63"/>
        <v>1700</v>
      </c>
      <c r="I687">
        <f t="shared" ca="1" si="64"/>
        <v>0.67819338620355463</v>
      </c>
      <c r="J687">
        <v>1</v>
      </c>
    </row>
    <row r="688" spans="1:10" x14ac:dyDescent="0.3">
      <c r="A688" t="str">
        <f t="shared" si="65"/>
        <v>HH687</v>
      </c>
      <c r="B688" t="str">
        <f ca="1">LOOKUP(RAND(),{0,0.28,0.55,0.78},{"Oloitoktok A","Oloitoktok B","Kiserian","Namanga"})</f>
        <v>Namanga</v>
      </c>
      <c r="C688">
        <f ca="1">LOOKUP(RAND(),{0,0.02,0.09,0.2,0.35,0.52,0.68,0.81,0.91,0.97},{1,2,3,4,5,6,7,8,9,10})</f>
        <v>5</v>
      </c>
      <c r="D688">
        <f t="shared" ca="1" si="60"/>
        <v>21100</v>
      </c>
      <c r="E688" t="str">
        <f ca="1">IF(B688="Oloitoktok A",IF(D688&lt;15000,LOOKUP(RAND(),{0,0.45,0.75,0.92},{"River","Rainwater","Borehole","Vendor"}),IF(D688&lt;30000,LOOKUP(RAND(),{0,0.35,0.65,0.85},{"River","Rainwater","Borehole","Vendor"}),LOOKUP(RAND(),{0,0.25,0.5,0.75},{"River","Rainwater","Borehole","Vendor"}))),IF(B688="Oloitoktok B",IF(D688&lt;15000,LOOKUP(RAND(),{0,0.5,0.78,0.94},{"River","Rainwater","Borehole","Vendor"}),IF(D688&lt;30000,LOOKUP(RAND(),{0,0.4,0.68,0.87},{"River","Rainwater","Borehole","Vendor"}),LOOKUP(RAND(),{0,0.28,0.55,0.78},{"River","Rainwater","Borehole","Vendor"}))),IF(B688="Kiserian",IF(D688&lt;15000,LOOKUP(RAND(),{0,0.35,0.65,0.9},{"River","Rainwater","Borehole","Vendor"}),IF(D688&lt;30000,LOOKUP(RAND(),{0,0.25,0.55,0.82},{"River","Rainwater","Borehole","Vendor"}),LOOKUP(RAND(),{0,0.15,0.45,0.72},{"River","Rainwater","Borehole","Vendor"}))),IF(D688&lt;15000,LOOKUP(RAND(),{0,0.4,0.7,0.92},{"River","Rainwater","Borehole","Vendor"}),IF(D688&lt;30000,LOOKUP(RAND(),{0,0.3,0.6,0.85},{"River","Rainwater","Borehole","Vendor"}),LOOKUP(RAND(),{0,0.2,0.5,0.75},{"River","Rainwater","Borehole","Vendor"}))))))</f>
        <v>River</v>
      </c>
      <c r="F688">
        <f t="shared" ca="1" si="61"/>
        <v>72</v>
      </c>
      <c r="G688">
        <f t="shared" ca="1" si="62"/>
        <v>4</v>
      </c>
      <c r="H688">
        <f t="shared" ca="1" si="63"/>
        <v>3400</v>
      </c>
      <c r="I688">
        <f t="shared" ca="1" si="64"/>
        <v>0.19563217946251965</v>
      </c>
      <c r="J688">
        <v>1</v>
      </c>
    </row>
    <row r="689" spans="1:10" x14ac:dyDescent="0.3">
      <c r="A689" t="str">
        <f t="shared" si="65"/>
        <v>HH688</v>
      </c>
      <c r="B689" t="str">
        <f ca="1">LOOKUP(RAND(),{0,0.28,0.55,0.78},{"Oloitoktok A","Oloitoktok B","Kiserian","Namanga"})</f>
        <v>Kiserian</v>
      </c>
      <c r="C689">
        <f ca="1">LOOKUP(RAND(),{0,0.02,0.09,0.2,0.35,0.52,0.68,0.81,0.91,0.97},{1,2,3,4,5,6,7,8,9,10})</f>
        <v>5</v>
      </c>
      <c r="D689">
        <f t="shared" ca="1" si="60"/>
        <v>77500</v>
      </c>
      <c r="E689" t="str">
        <f ca="1">IF(B689="Oloitoktok A",IF(D689&lt;15000,LOOKUP(RAND(),{0,0.45,0.75,0.92},{"River","Rainwater","Borehole","Vendor"}),IF(D689&lt;30000,LOOKUP(RAND(),{0,0.35,0.65,0.85},{"River","Rainwater","Borehole","Vendor"}),LOOKUP(RAND(),{0,0.25,0.5,0.75},{"River","Rainwater","Borehole","Vendor"}))),IF(B689="Oloitoktok B",IF(D689&lt;15000,LOOKUP(RAND(),{0,0.5,0.78,0.94},{"River","Rainwater","Borehole","Vendor"}),IF(D689&lt;30000,LOOKUP(RAND(),{0,0.4,0.68,0.87},{"River","Rainwater","Borehole","Vendor"}),LOOKUP(RAND(),{0,0.28,0.55,0.78},{"River","Rainwater","Borehole","Vendor"}))),IF(B689="Kiserian",IF(D689&lt;15000,LOOKUP(RAND(),{0,0.35,0.65,0.9},{"River","Rainwater","Borehole","Vendor"}),IF(D689&lt;30000,LOOKUP(RAND(),{0,0.25,0.55,0.82},{"River","Rainwater","Borehole","Vendor"}),LOOKUP(RAND(),{0,0.15,0.45,0.72},{"River","Rainwater","Borehole","Vendor"}))),IF(D689&lt;15000,LOOKUP(RAND(),{0,0.4,0.7,0.92},{"River","Rainwater","Borehole","Vendor"}),IF(D689&lt;30000,LOOKUP(RAND(),{0,0.3,0.6,0.85},{"River","Rainwater","Borehole","Vendor"}),LOOKUP(RAND(),{0,0.2,0.5,0.75},{"River","Rainwater","Borehole","Vendor"}))))))</f>
        <v>Vendor</v>
      </c>
      <c r="F689">
        <f t="shared" ca="1" si="61"/>
        <v>13</v>
      </c>
      <c r="G689">
        <f t="shared" ca="1" si="62"/>
        <v>4.5</v>
      </c>
      <c r="H689">
        <f t="shared" ca="1" si="63"/>
        <v>900</v>
      </c>
      <c r="I689">
        <f t="shared" ca="1" si="64"/>
        <v>0.46996036403868802</v>
      </c>
      <c r="J689">
        <v>1</v>
      </c>
    </row>
    <row r="690" spans="1:10" x14ac:dyDescent="0.3">
      <c r="A690" t="str">
        <f t="shared" si="65"/>
        <v>HH689</v>
      </c>
      <c r="B690" t="str">
        <f ca="1">LOOKUP(RAND(),{0,0.28,0.55,0.78},{"Oloitoktok A","Oloitoktok B","Kiserian","Namanga"})</f>
        <v>Oloitoktok B</v>
      </c>
      <c r="C690">
        <f ca="1">LOOKUP(RAND(),{0,0.02,0.09,0.2,0.35,0.52,0.68,0.81,0.91,0.97},{1,2,3,4,5,6,7,8,9,10})</f>
        <v>10</v>
      </c>
      <c r="D690">
        <f t="shared" ca="1" si="60"/>
        <v>45100</v>
      </c>
      <c r="E690" t="str">
        <f ca="1">IF(B690="Oloitoktok A",IF(D690&lt;15000,LOOKUP(RAND(),{0,0.45,0.75,0.92},{"River","Rainwater","Borehole","Vendor"}),IF(D690&lt;30000,LOOKUP(RAND(),{0,0.35,0.65,0.85},{"River","Rainwater","Borehole","Vendor"}),LOOKUP(RAND(),{0,0.25,0.5,0.75},{"River","Rainwater","Borehole","Vendor"}))),IF(B690="Oloitoktok B",IF(D690&lt;15000,LOOKUP(RAND(),{0,0.5,0.78,0.94},{"River","Rainwater","Borehole","Vendor"}),IF(D690&lt;30000,LOOKUP(RAND(),{0,0.4,0.68,0.87},{"River","Rainwater","Borehole","Vendor"}),LOOKUP(RAND(),{0,0.28,0.55,0.78},{"River","Rainwater","Borehole","Vendor"}))),IF(B690="Kiserian",IF(D690&lt;15000,LOOKUP(RAND(),{0,0.35,0.65,0.9},{"River","Rainwater","Borehole","Vendor"}),IF(D690&lt;30000,LOOKUP(RAND(),{0,0.25,0.55,0.82},{"River","Rainwater","Borehole","Vendor"}),LOOKUP(RAND(),{0,0.15,0.45,0.72},{"River","Rainwater","Borehole","Vendor"}))),IF(D690&lt;15000,LOOKUP(RAND(),{0,0.4,0.7,0.92},{"River","Rainwater","Borehole","Vendor"}),IF(D690&lt;30000,LOOKUP(RAND(),{0,0.3,0.6,0.85},{"River","Rainwater","Borehole","Vendor"}),LOOKUP(RAND(),{0,0.2,0.5,0.75},{"River","Rainwater","Borehole","Vendor"}))))))</f>
        <v>Borehole</v>
      </c>
      <c r="F690">
        <f t="shared" ca="1" si="61"/>
        <v>22</v>
      </c>
      <c r="G690">
        <f t="shared" ca="1" si="62"/>
        <v>3.1</v>
      </c>
      <c r="H690">
        <f t="shared" ca="1" si="63"/>
        <v>11200</v>
      </c>
      <c r="I690">
        <f t="shared" ca="1" si="64"/>
        <v>0.31018924098732803</v>
      </c>
      <c r="J690">
        <v>1</v>
      </c>
    </row>
    <row r="691" spans="1:10" x14ac:dyDescent="0.3">
      <c r="A691" t="str">
        <f t="shared" si="65"/>
        <v>HH690</v>
      </c>
      <c r="B691" t="str">
        <f ca="1">LOOKUP(RAND(),{0,0.28,0.55,0.78},{"Oloitoktok A","Oloitoktok B","Kiserian","Namanga"})</f>
        <v>Kiserian</v>
      </c>
      <c r="C691">
        <f ca="1">LOOKUP(RAND(),{0,0.02,0.09,0.2,0.35,0.52,0.68,0.81,0.91,0.97},{1,2,3,4,5,6,7,8,9,10})</f>
        <v>9</v>
      </c>
      <c r="D691">
        <f t="shared" ca="1" si="60"/>
        <v>60500</v>
      </c>
      <c r="E691" t="str">
        <f ca="1">IF(B691="Oloitoktok A",IF(D691&lt;15000,LOOKUP(RAND(),{0,0.45,0.75,0.92},{"River","Rainwater","Borehole","Vendor"}),IF(D691&lt;30000,LOOKUP(RAND(),{0,0.35,0.65,0.85},{"River","Rainwater","Borehole","Vendor"}),LOOKUP(RAND(),{0,0.25,0.5,0.75},{"River","Rainwater","Borehole","Vendor"}))),IF(B691="Oloitoktok B",IF(D691&lt;15000,LOOKUP(RAND(),{0,0.5,0.78,0.94},{"River","Rainwater","Borehole","Vendor"}),IF(D691&lt;30000,LOOKUP(RAND(),{0,0.4,0.68,0.87},{"River","Rainwater","Borehole","Vendor"}),LOOKUP(RAND(),{0,0.28,0.55,0.78},{"River","Rainwater","Borehole","Vendor"}))),IF(B691="Kiserian",IF(D691&lt;15000,LOOKUP(RAND(),{0,0.35,0.65,0.9},{"River","Rainwater","Borehole","Vendor"}),IF(D691&lt;30000,LOOKUP(RAND(),{0,0.25,0.55,0.82},{"River","Rainwater","Borehole","Vendor"}),LOOKUP(RAND(),{0,0.15,0.45,0.72},{"River","Rainwater","Borehole","Vendor"}))),IF(D691&lt;15000,LOOKUP(RAND(),{0,0.4,0.7,0.92},{"River","Rainwater","Borehole","Vendor"}),IF(D691&lt;30000,LOOKUP(RAND(),{0,0.3,0.6,0.85},{"River","Rainwater","Borehole","Vendor"}),LOOKUP(RAND(),{0,0.2,0.5,0.75},{"River","Rainwater","Borehole","Vendor"}))))))</f>
        <v>Vendor</v>
      </c>
      <c r="F691">
        <f t="shared" ca="1" si="61"/>
        <v>35</v>
      </c>
      <c r="G691">
        <f t="shared" ca="1" si="62"/>
        <v>7.7</v>
      </c>
      <c r="H691">
        <f t="shared" ca="1" si="63"/>
        <v>6000</v>
      </c>
      <c r="I691">
        <f t="shared" ca="1" si="64"/>
        <v>0.21088890792914861</v>
      </c>
      <c r="J691">
        <v>1</v>
      </c>
    </row>
    <row r="692" spans="1:10" x14ac:dyDescent="0.3">
      <c r="A692" t="str">
        <f t="shared" si="65"/>
        <v>HH691</v>
      </c>
      <c r="B692" t="str">
        <f ca="1">LOOKUP(RAND(),{0,0.28,0.55,0.78},{"Oloitoktok A","Oloitoktok B","Kiserian","Namanga"})</f>
        <v>Kiserian</v>
      </c>
      <c r="C692">
        <f ca="1">LOOKUP(RAND(),{0,0.02,0.09,0.2,0.35,0.52,0.68,0.81,0.91,0.97},{1,2,3,4,5,6,7,8,9,10})</f>
        <v>8</v>
      </c>
      <c r="D692">
        <f t="shared" ca="1" si="60"/>
        <v>20300</v>
      </c>
      <c r="E692" t="str">
        <f ca="1">IF(B692="Oloitoktok A",IF(D692&lt;15000,LOOKUP(RAND(),{0,0.45,0.75,0.92},{"River","Rainwater","Borehole","Vendor"}),IF(D692&lt;30000,LOOKUP(RAND(),{0,0.35,0.65,0.85},{"River","Rainwater","Borehole","Vendor"}),LOOKUP(RAND(),{0,0.25,0.5,0.75},{"River","Rainwater","Borehole","Vendor"}))),IF(B692="Oloitoktok B",IF(D692&lt;15000,LOOKUP(RAND(),{0,0.5,0.78,0.94},{"River","Rainwater","Borehole","Vendor"}),IF(D692&lt;30000,LOOKUP(RAND(),{0,0.4,0.68,0.87},{"River","Rainwater","Borehole","Vendor"}),LOOKUP(RAND(),{0,0.28,0.55,0.78},{"River","Rainwater","Borehole","Vendor"}))),IF(B692="Kiserian",IF(D692&lt;15000,LOOKUP(RAND(),{0,0.35,0.65,0.9},{"River","Rainwater","Borehole","Vendor"}),IF(D692&lt;30000,LOOKUP(RAND(),{0,0.25,0.55,0.82},{"River","Rainwater","Borehole","Vendor"}),LOOKUP(RAND(),{0,0.15,0.45,0.72},{"River","Rainwater","Borehole","Vendor"}))),IF(D692&lt;15000,LOOKUP(RAND(),{0,0.4,0.7,0.92},{"River","Rainwater","Borehole","Vendor"}),IF(D692&lt;30000,LOOKUP(RAND(),{0,0.3,0.6,0.85},{"River","Rainwater","Borehole","Vendor"}),LOOKUP(RAND(),{0,0.2,0.5,0.75},{"River","Rainwater","Borehole","Vendor"}))))))</f>
        <v>Vendor</v>
      </c>
      <c r="F692">
        <f t="shared" ca="1" si="61"/>
        <v>16</v>
      </c>
      <c r="G692">
        <f t="shared" ca="1" si="62"/>
        <v>3.8</v>
      </c>
      <c r="H692">
        <f t="shared" ca="1" si="63"/>
        <v>3600</v>
      </c>
      <c r="I692">
        <f t="shared" ca="1" si="64"/>
        <v>0.71744456589626515</v>
      </c>
      <c r="J692">
        <v>1</v>
      </c>
    </row>
    <row r="693" spans="1:10" x14ac:dyDescent="0.3">
      <c r="A693" t="str">
        <f t="shared" si="65"/>
        <v>HH692</v>
      </c>
      <c r="B693" t="str">
        <f ca="1">LOOKUP(RAND(),{0,0.28,0.55,0.78},{"Oloitoktok A","Oloitoktok B","Kiserian","Namanga"})</f>
        <v>Oloitoktok B</v>
      </c>
      <c r="C693">
        <f ca="1">LOOKUP(RAND(),{0,0.02,0.09,0.2,0.35,0.52,0.68,0.81,0.91,0.97},{1,2,3,4,5,6,7,8,9,10})</f>
        <v>4</v>
      </c>
      <c r="D693">
        <f t="shared" ca="1" si="60"/>
        <v>31100</v>
      </c>
      <c r="E693" t="str">
        <f ca="1">IF(B693="Oloitoktok A",IF(D693&lt;15000,LOOKUP(RAND(),{0,0.45,0.75,0.92},{"River","Rainwater","Borehole","Vendor"}),IF(D693&lt;30000,LOOKUP(RAND(),{0,0.35,0.65,0.85},{"River","Rainwater","Borehole","Vendor"}),LOOKUP(RAND(),{0,0.25,0.5,0.75},{"River","Rainwater","Borehole","Vendor"}))),IF(B693="Oloitoktok B",IF(D693&lt;15000,LOOKUP(RAND(),{0,0.5,0.78,0.94},{"River","Rainwater","Borehole","Vendor"}),IF(D693&lt;30000,LOOKUP(RAND(),{0,0.4,0.68,0.87},{"River","Rainwater","Borehole","Vendor"}),LOOKUP(RAND(),{0,0.28,0.55,0.78},{"River","Rainwater","Borehole","Vendor"}))),IF(B693="Kiserian",IF(D693&lt;15000,LOOKUP(RAND(),{0,0.35,0.65,0.9},{"River","Rainwater","Borehole","Vendor"}),IF(D693&lt;30000,LOOKUP(RAND(),{0,0.25,0.55,0.82},{"River","Rainwater","Borehole","Vendor"}),LOOKUP(RAND(),{0,0.15,0.45,0.72},{"River","Rainwater","Borehole","Vendor"}))),IF(D693&lt;15000,LOOKUP(RAND(),{0,0.4,0.7,0.92},{"River","Rainwater","Borehole","Vendor"}),IF(D693&lt;30000,LOOKUP(RAND(),{0,0.3,0.6,0.85},{"River","Rainwater","Borehole","Vendor"}),LOOKUP(RAND(),{0,0.2,0.5,0.75},{"River","Rainwater","Borehole","Vendor"}))))))</f>
        <v>Rainwater</v>
      </c>
      <c r="F693">
        <f t="shared" ca="1" si="61"/>
        <v>42</v>
      </c>
      <c r="G693">
        <f t="shared" ca="1" si="62"/>
        <v>12.9</v>
      </c>
      <c r="H693">
        <f t="shared" ca="1" si="63"/>
        <v>2300</v>
      </c>
      <c r="I693">
        <f t="shared" ca="1" si="64"/>
        <v>0.35070935859859376</v>
      </c>
      <c r="J693">
        <v>1</v>
      </c>
    </row>
    <row r="694" spans="1:10" x14ac:dyDescent="0.3">
      <c r="A694" t="str">
        <f t="shared" si="65"/>
        <v>HH693</v>
      </c>
      <c r="B694" t="str">
        <f ca="1">LOOKUP(RAND(),{0,0.28,0.55,0.78},{"Oloitoktok A","Oloitoktok B","Kiserian","Namanga"})</f>
        <v>Namanga</v>
      </c>
      <c r="C694">
        <f ca="1">LOOKUP(RAND(),{0,0.02,0.09,0.2,0.35,0.52,0.68,0.81,0.91,0.97},{1,2,3,4,5,6,7,8,9,10})</f>
        <v>9</v>
      </c>
      <c r="D694">
        <f t="shared" ca="1" si="60"/>
        <v>50800</v>
      </c>
      <c r="E694" t="str">
        <f ca="1">IF(B694="Oloitoktok A",IF(D694&lt;15000,LOOKUP(RAND(),{0,0.45,0.75,0.92},{"River","Rainwater","Borehole","Vendor"}),IF(D694&lt;30000,LOOKUP(RAND(),{0,0.35,0.65,0.85},{"River","Rainwater","Borehole","Vendor"}),LOOKUP(RAND(),{0,0.25,0.5,0.75},{"River","Rainwater","Borehole","Vendor"}))),IF(B694="Oloitoktok B",IF(D694&lt;15000,LOOKUP(RAND(),{0,0.5,0.78,0.94},{"River","Rainwater","Borehole","Vendor"}),IF(D694&lt;30000,LOOKUP(RAND(),{0,0.4,0.68,0.87},{"River","Rainwater","Borehole","Vendor"}),LOOKUP(RAND(),{0,0.28,0.55,0.78},{"River","Rainwater","Borehole","Vendor"}))),IF(B694="Kiserian",IF(D694&lt;15000,LOOKUP(RAND(),{0,0.35,0.65,0.9},{"River","Rainwater","Borehole","Vendor"}),IF(D694&lt;30000,LOOKUP(RAND(),{0,0.25,0.55,0.82},{"River","Rainwater","Borehole","Vendor"}),LOOKUP(RAND(),{0,0.15,0.45,0.72},{"River","Rainwater","Borehole","Vendor"}))),IF(D694&lt;15000,LOOKUP(RAND(),{0,0.4,0.7,0.92},{"River","Rainwater","Borehole","Vendor"}),IF(D694&lt;30000,LOOKUP(RAND(),{0,0.3,0.6,0.85},{"River","Rainwater","Borehole","Vendor"}),LOOKUP(RAND(),{0,0.2,0.5,0.75},{"River","Rainwater","Borehole","Vendor"}))))))</f>
        <v>Rainwater</v>
      </c>
      <c r="F694">
        <f t="shared" ca="1" si="61"/>
        <v>68</v>
      </c>
      <c r="G694">
        <f t="shared" ca="1" si="62"/>
        <v>10.1</v>
      </c>
      <c r="H694">
        <f t="shared" ca="1" si="63"/>
        <v>5600</v>
      </c>
      <c r="I694">
        <f t="shared" ca="1" si="64"/>
        <v>0.47236217629196908</v>
      </c>
      <c r="J694">
        <v>1</v>
      </c>
    </row>
    <row r="695" spans="1:10" x14ac:dyDescent="0.3">
      <c r="A695" t="str">
        <f t="shared" si="65"/>
        <v>HH694</v>
      </c>
      <c r="B695" t="str">
        <f ca="1">LOOKUP(RAND(),{0,0.28,0.55,0.78},{"Oloitoktok A","Oloitoktok B","Kiserian","Namanga"})</f>
        <v>Namanga</v>
      </c>
      <c r="C695">
        <f ca="1">LOOKUP(RAND(),{0,0.02,0.09,0.2,0.35,0.52,0.68,0.81,0.91,0.97},{1,2,3,4,5,6,7,8,9,10})</f>
        <v>4</v>
      </c>
      <c r="D695">
        <f t="shared" ca="1" si="60"/>
        <v>60300</v>
      </c>
      <c r="E695" t="str">
        <f ca="1">IF(B695="Oloitoktok A",IF(D695&lt;15000,LOOKUP(RAND(),{0,0.45,0.75,0.92},{"River","Rainwater","Borehole","Vendor"}),IF(D695&lt;30000,LOOKUP(RAND(),{0,0.35,0.65,0.85},{"River","Rainwater","Borehole","Vendor"}),LOOKUP(RAND(),{0,0.25,0.5,0.75},{"River","Rainwater","Borehole","Vendor"}))),IF(B695="Oloitoktok B",IF(D695&lt;15000,LOOKUP(RAND(),{0,0.5,0.78,0.94},{"River","Rainwater","Borehole","Vendor"}),IF(D695&lt;30000,LOOKUP(RAND(),{0,0.4,0.68,0.87},{"River","Rainwater","Borehole","Vendor"}),LOOKUP(RAND(),{0,0.28,0.55,0.78},{"River","Rainwater","Borehole","Vendor"}))),IF(B695="Kiserian",IF(D695&lt;15000,LOOKUP(RAND(),{0,0.35,0.65,0.9},{"River","Rainwater","Borehole","Vendor"}),IF(D695&lt;30000,LOOKUP(RAND(),{0,0.25,0.55,0.82},{"River","Rainwater","Borehole","Vendor"}),LOOKUP(RAND(),{0,0.15,0.45,0.72},{"River","Rainwater","Borehole","Vendor"}))),IF(D695&lt;15000,LOOKUP(RAND(),{0,0.4,0.7,0.92},{"River","Rainwater","Borehole","Vendor"}),IF(D695&lt;30000,LOOKUP(RAND(),{0,0.3,0.6,0.85},{"River","Rainwater","Borehole","Vendor"}),LOOKUP(RAND(),{0,0.2,0.5,0.75},{"River","Rainwater","Borehole","Vendor"}))))))</f>
        <v>Rainwater</v>
      </c>
      <c r="F695">
        <f t="shared" ca="1" si="61"/>
        <v>16</v>
      </c>
      <c r="G695">
        <f t="shared" ca="1" si="62"/>
        <v>11.1</v>
      </c>
      <c r="H695">
        <f t="shared" ca="1" si="63"/>
        <v>5100</v>
      </c>
      <c r="I695">
        <f t="shared" ca="1" si="64"/>
        <v>0.40491843591307564</v>
      </c>
      <c r="J695">
        <v>1</v>
      </c>
    </row>
    <row r="696" spans="1:10" x14ac:dyDescent="0.3">
      <c r="A696" t="str">
        <f t="shared" si="65"/>
        <v>HH695</v>
      </c>
      <c r="B696" t="str">
        <f ca="1">LOOKUP(RAND(),{0,0.28,0.55,0.78},{"Oloitoktok A","Oloitoktok B","Kiserian","Namanga"})</f>
        <v>Oloitoktok B</v>
      </c>
      <c r="C696">
        <f ca="1">LOOKUP(RAND(),{0,0.02,0.09,0.2,0.35,0.52,0.68,0.81,0.91,0.97},{1,2,3,4,5,6,7,8,9,10})</f>
        <v>9</v>
      </c>
      <c r="D696">
        <f t="shared" ca="1" si="60"/>
        <v>22000</v>
      </c>
      <c r="E696" t="str">
        <f ca="1">IF(B696="Oloitoktok A",IF(D696&lt;15000,LOOKUP(RAND(),{0,0.45,0.75,0.92},{"River","Rainwater","Borehole","Vendor"}),IF(D696&lt;30000,LOOKUP(RAND(),{0,0.35,0.65,0.85},{"River","Rainwater","Borehole","Vendor"}),LOOKUP(RAND(),{0,0.25,0.5,0.75},{"River","Rainwater","Borehole","Vendor"}))),IF(B696="Oloitoktok B",IF(D696&lt;15000,LOOKUP(RAND(),{0,0.5,0.78,0.94},{"River","Rainwater","Borehole","Vendor"}),IF(D696&lt;30000,LOOKUP(RAND(),{0,0.4,0.68,0.87},{"River","Rainwater","Borehole","Vendor"}),LOOKUP(RAND(),{0,0.28,0.55,0.78},{"River","Rainwater","Borehole","Vendor"}))),IF(B696="Kiserian",IF(D696&lt;15000,LOOKUP(RAND(),{0,0.35,0.65,0.9},{"River","Rainwater","Borehole","Vendor"}),IF(D696&lt;30000,LOOKUP(RAND(),{0,0.25,0.55,0.82},{"River","Rainwater","Borehole","Vendor"}),LOOKUP(RAND(),{0,0.15,0.45,0.72},{"River","Rainwater","Borehole","Vendor"}))),IF(D696&lt;15000,LOOKUP(RAND(),{0,0.4,0.7,0.92},{"River","Rainwater","Borehole","Vendor"}),IF(D696&lt;30000,LOOKUP(RAND(),{0,0.3,0.6,0.85},{"River","Rainwater","Borehole","Vendor"}),LOOKUP(RAND(),{0,0.2,0.5,0.75},{"River","Rainwater","Borehole","Vendor"}))))))</f>
        <v>River</v>
      </c>
      <c r="F696">
        <f t="shared" ca="1" si="61"/>
        <v>49</v>
      </c>
      <c r="G696">
        <f t="shared" ca="1" si="62"/>
        <v>4.7</v>
      </c>
      <c r="H696">
        <f t="shared" ca="1" si="63"/>
        <v>14400</v>
      </c>
      <c r="I696">
        <f t="shared" ca="1" si="64"/>
        <v>0.48305997222144503</v>
      </c>
      <c r="J696">
        <v>1</v>
      </c>
    </row>
    <row r="697" spans="1:10" x14ac:dyDescent="0.3">
      <c r="A697" t="str">
        <f t="shared" si="65"/>
        <v>HH696</v>
      </c>
      <c r="B697" t="str">
        <f ca="1">LOOKUP(RAND(),{0,0.28,0.55,0.78},{"Oloitoktok A","Oloitoktok B","Kiserian","Namanga"})</f>
        <v>Oloitoktok A</v>
      </c>
      <c r="C697">
        <f ca="1">LOOKUP(RAND(),{0,0.02,0.09,0.2,0.35,0.52,0.68,0.81,0.91,0.97},{1,2,3,4,5,6,7,8,9,10})</f>
        <v>6</v>
      </c>
      <c r="D697">
        <f t="shared" ca="1" si="60"/>
        <v>20100</v>
      </c>
      <c r="E697" t="str">
        <f ca="1">IF(B697="Oloitoktok A",IF(D697&lt;15000,LOOKUP(RAND(),{0,0.45,0.75,0.92},{"River","Rainwater","Borehole","Vendor"}),IF(D697&lt;30000,LOOKUP(RAND(),{0,0.35,0.65,0.85},{"River","Rainwater","Borehole","Vendor"}),LOOKUP(RAND(),{0,0.25,0.5,0.75},{"River","Rainwater","Borehole","Vendor"}))),IF(B697="Oloitoktok B",IF(D697&lt;15000,LOOKUP(RAND(),{0,0.5,0.78,0.94},{"River","Rainwater","Borehole","Vendor"}),IF(D697&lt;30000,LOOKUP(RAND(),{0,0.4,0.68,0.87},{"River","Rainwater","Borehole","Vendor"}),LOOKUP(RAND(),{0,0.28,0.55,0.78},{"River","Rainwater","Borehole","Vendor"}))),IF(B697="Kiserian",IF(D697&lt;15000,LOOKUP(RAND(),{0,0.35,0.65,0.9},{"River","Rainwater","Borehole","Vendor"}),IF(D697&lt;30000,LOOKUP(RAND(),{0,0.25,0.55,0.82},{"River","Rainwater","Borehole","Vendor"}),LOOKUP(RAND(),{0,0.15,0.45,0.72},{"River","Rainwater","Borehole","Vendor"}))),IF(D697&lt;15000,LOOKUP(RAND(),{0,0.4,0.7,0.92},{"River","Rainwater","Borehole","Vendor"}),IF(D697&lt;30000,LOOKUP(RAND(),{0,0.3,0.6,0.85},{"River","Rainwater","Borehole","Vendor"}),LOOKUP(RAND(),{0,0.2,0.5,0.75},{"River","Rainwater","Borehole","Vendor"}))))))</f>
        <v>Rainwater</v>
      </c>
      <c r="F697">
        <f t="shared" ca="1" si="61"/>
        <v>66</v>
      </c>
      <c r="G697">
        <f t="shared" ca="1" si="62"/>
        <v>6.5</v>
      </c>
      <c r="H697">
        <f t="shared" ca="1" si="63"/>
        <v>4400</v>
      </c>
      <c r="I697">
        <f t="shared" ca="1" si="64"/>
        <v>0.45906525406447785</v>
      </c>
      <c r="J697">
        <v>1</v>
      </c>
    </row>
    <row r="698" spans="1:10" x14ac:dyDescent="0.3">
      <c r="A698" t="str">
        <f t="shared" si="65"/>
        <v>HH697</v>
      </c>
      <c r="B698" t="str">
        <f ca="1">LOOKUP(RAND(),{0,0.28,0.55,0.78},{"Oloitoktok A","Oloitoktok B","Kiserian","Namanga"})</f>
        <v>Kiserian</v>
      </c>
      <c r="C698">
        <f ca="1">LOOKUP(RAND(),{0,0.02,0.09,0.2,0.35,0.52,0.68,0.81,0.91,0.97},{1,2,3,4,5,6,7,8,9,10})</f>
        <v>5</v>
      </c>
      <c r="D698">
        <f t="shared" ca="1" si="60"/>
        <v>26600</v>
      </c>
      <c r="E698" t="str">
        <f ca="1">IF(B698="Oloitoktok A",IF(D698&lt;15000,LOOKUP(RAND(),{0,0.45,0.75,0.92},{"River","Rainwater","Borehole","Vendor"}),IF(D698&lt;30000,LOOKUP(RAND(),{0,0.35,0.65,0.85},{"River","Rainwater","Borehole","Vendor"}),LOOKUP(RAND(),{0,0.25,0.5,0.75},{"River","Rainwater","Borehole","Vendor"}))),IF(B698="Oloitoktok B",IF(D698&lt;15000,LOOKUP(RAND(),{0,0.5,0.78,0.94},{"River","Rainwater","Borehole","Vendor"}),IF(D698&lt;30000,LOOKUP(RAND(),{0,0.4,0.68,0.87},{"River","Rainwater","Borehole","Vendor"}),LOOKUP(RAND(),{0,0.28,0.55,0.78},{"River","Rainwater","Borehole","Vendor"}))),IF(B698="Kiserian",IF(D698&lt;15000,LOOKUP(RAND(),{0,0.35,0.65,0.9},{"River","Rainwater","Borehole","Vendor"}),IF(D698&lt;30000,LOOKUP(RAND(),{0,0.25,0.55,0.82},{"River","Rainwater","Borehole","Vendor"}),LOOKUP(RAND(),{0,0.15,0.45,0.72},{"River","Rainwater","Borehole","Vendor"}))),IF(D698&lt;15000,LOOKUP(RAND(),{0,0.4,0.7,0.92},{"River","Rainwater","Borehole","Vendor"}),IF(D698&lt;30000,LOOKUP(RAND(),{0,0.3,0.6,0.85},{"River","Rainwater","Borehole","Vendor"}),LOOKUP(RAND(),{0,0.2,0.5,0.75},{"River","Rainwater","Borehole","Vendor"}))))))</f>
        <v>Borehole</v>
      </c>
      <c r="F698">
        <f t="shared" ca="1" si="61"/>
        <v>43</v>
      </c>
      <c r="G698">
        <f t="shared" ca="1" si="62"/>
        <v>2.6</v>
      </c>
      <c r="H698">
        <f t="shared" ca="1" si="63"/>
        <v>700</v>
      </c>
      <c r="I698">
        <f t="shared" ca="1" si="64"/>
        <v>7.191625180490635E-2</v>
      </c>
      <c r="J698">
        <v>1</v>
      </c>
    </row>
    <row r="699" spans="1:10" x14ac:dyDescent="0.3">
      <c r="A699" t="str">
        <f t="shared" si="65"/>
        <v>HH698</v>
      </c>
      <c r="B699" t="str">
        <f ca="1">LOOKUP(RAND(),{0,0.28,0.55,0.78},{"Oloitoktok A","Oloitoktok B","Kiserian","Namanga"})</f>
        <v>Kiserian</v>
      </c>
      <c r="C699">
        <f ca="1">LOOKUP(RAND(),{0,0.02,0.09,0.2,0.35,0.52,0.68,0.81,0.91,0.97},{1,2,3,4,5,6,7,8,9,10})</f>
        <v>3</v>
      </c>
      <c r="D699">
        <f t="shared" ca="1" si="60"/>
        <v>27700</v>
      </c>
      <c r="E699" t="str">
        <f ca="1">IF(B699="Oloitoktok A",IF(D699&lt;15000,LOOKUP(RAND(),{0,0.45,0.75,0.92},{"River","Rainwater","Borehole","Vendor"}),IF(D699&lt;30000,LOOKUP(RAND(),{0,0.35,0.65,0.85},{"River","Rainwater","Borehole","Vendor"}),LOOKUP(RAND(),{0,0.25,0.5,0.75},{"River","Rainwater","Borehole","Vendor"}))),IF(B699="Oloitoktok B",IF(D699&lt;15000,LOOKUP(RAND(),{0,0.5,0.78,0.94},{"River","Rainwater","Borehole","Vendor"}),IF(D699&lt;30000,LOOKUP(RAND(),{0,0.4,0.68,0.87},{"River","Rainwater","Borehole","Vendor"}),LOOKUP(RAND(),{0,0.28,0.55,0.78},{"River","Rainwater","Borehole","Vendor"}))),IF(B699="Kiserian",IF(D699&lt;15000,LOOKUP(RAND(),{0,0.35,0.65,0.9},{"River","Rainwater","Borehole","Vendor"}),IF(D699&lt;30000,LOOKUP(RAND(),{0,0.25,0.55,0.82},{"River","Rainwater","Borehole","Vendor"}),LOOKUP(RAND(),{0,0.15,0.45,0.72},{"River","Rainwater","Borehole","Vendor"}))),IF(D699&lt;15000,LOOKUP(RAND(),{0,0.4,0.7,0.92},{"River","Rainwater","Borehole","Vendor"}),IF(D699&lt;30000,LOOKUP(RAND(),{0,0.3,0.6,0.85},{"River","Rainwater","Borehole","Vendor"}),LOOKUP(RAND(),{0,0.2,0.5,0.75},{"River","Rainwater","Borehole","Vendor"}))))))</f>
        <v>River</v>
      </c>
      <c r="F699">
        <f t="shared" ca="1" si="61"/>
        <v>88</v>
      </c>
      <c r="G699">
        <f t="shared" ca="1" si="62"/>
        <v>4.4000000000000004</v>
      </c>
      <c r="H699">
        <f t="shared" ca="1" si="63"/>
        <v>4000</v>
      </c>
      <c r="I699">
        <f t="shared" ca="1" si="64"/>
        <v>0.18470761479733688</v>
      </c>
      <c r="J699">
        <v>1</v>
      </c>
    </row>
    <row r="700" spans="1:10" x14ac:dyDescent="0.3">
      <c r="A700" t="str">
        <f t="shared" si="65"/>
        <v>HH699</v>
      </c>
      <c r="B700" t="str">
        <f ca="1">LOOKUP(RAND(),{0,0.28,0.55,0.78},{"Oloitoktok A","Oloitoktok B","Kiserian","Namanga"})</f>
        <v>Kiserian</v>
      </c>
      <c r="C700">
        <f ca="1">LOOKUP(RAND(),{0,0.02,0.09,0.2,0.35,0.52,0.68,0.81,0.91,0.97},{1,2,3,4,5,6,7,8,9,10})</f>
        <v>6</v>
      </c>
      <c r="D700">
        <f t="shared" ca="1" si="60"/>
        <v>88000</v>
      </c>
      <c r="E700" t="str">
        <f ca="1">IF(B700="Oloitoktok A",IF(D700&lt;15000,LOOKUP(RAND(),{0,0.45,0.75,0.92},{"River","Rainwater","Borehole","Vendor"}),IF(D700&lt;30000,LOOKUP(RAND(),{0,0.35,0.65,0.85},{"River","Rainwater","Borehole","Vendor"}),LOOKUP(RAND(),{0,0.25,0.5,0.75},{"River","Rainwater","Borehole","Vendor"}))),IF(B700="Oloitoktok B",IF(D700&lt;15000,LOOKUP(RAND(),{0,0.5,0.78,0.94},{"River","Rainwater","Borehole","Vendor"}),IF(D700&lt;30000,LOOKUP(RAND(),{0,0.4,0.68,0.87},{"River","Rainwater","Borehole","Vendor"}),LOOKUP(RAND(),{0,0.28,0.55,0.78},{"River","Rainwater","Borehole","Vendor"}))),IF(B700="Kiserian",IF(D700&lt;15000,LOOKUP(RAND(),{0,0.35,0.65,0.9},{"River","Rainwater","Borehole","Vendor"}),IF(D700&lt;30000,LOOKUP(RAND(),{0,0.25,0.55,0.82},{"River","Rainwater","Borehole","Vendor"}),LOOKUP(RAND(),{0,0.15,0.45,0.72},{"River","Rainwater","Borehole","Vendor"}))),IF(D700&lt;15000,LOOKUP(RAND(),{0,0.4,0.7,0.92},{"River","Rainwater","Borehole","Vendor"}),IF(D700&lt;30000,LOOKUP(RAND(),{0,0.3,0.6,0.85},{"River","Rainwater","Borehole","Vendor"}),LOOKUP(RAND(),{0,0.2,0.5,0.75},{"River","Rainwater","Borehole","Vendor"}))))))</f>
        <v>Rainwater</v>
      </c>
      <c r="F700">
        <f t="shared" ca="1" si="61"/>
        <v>32</v>
      </c>
      <c r="G700">
        <f t="shared" ca="1" si="62"/>
        <v>8.9</v>
      </c>
      <c r="H700">
        <f t="shared" ca="1" si="63"/>
        <v>6400</v>
      </c>
      <c r="I700">
        <f t="shared" ca="1" si="64"/>
        <v>0.6175774579014256</v>
      </c>
      <c r="J700">
        <v>1</v>
      </c>
    </row>
    <row r="701" spans="1:10" x14ac:dyDescent="0.3">
      <c r="A701" t="str">
        <f t="shared" si="65"/>
        <v>HH700</v>
      </c>
      <c r="B701" t="str">
        <f ca="1">LOOKUP(RAND(),{0,0.28,0.55,0.78},{"Oloitoktok A","Oloitoktok B","Kiserian","Namanga"})</f>
        <v>Oloitoktok A</v>
      </c>
      <c r="C701">
        <f ca="1">LOOKUP(RAND(),{0,0.02,0.09,0.2,0.35,0.52,0.68,0.81,0.91,0.97},{1,2,3,4,5,6,7,8,9,10})</f>
        <v>8</v>
      </c>
      <c r="D701">
        <f t="shared" ca="1" si="60"/>
        <v>77600</v>
      </c>
      <c r="E701" t="str">
        <f ca="1">IF(B701="Oloitoktok A",IF(D701&lt;15000,LOOKUP(RAND(),{0,0.45,0.75,0.92},{"River","Rainwater","Borehole","Vendor"}),IF(D701&lt;30000,LOOKUP(RAND(),{0,0.35,0.65,0.85},{"River","Rainwater","Borehole","Vendor"}),LOOKUP(RAND(),{0,0.25,0.5,0.75},{"River","Rainwater","Borehole","Vendor"}))),IF(B701="Oloitoktok B",IF(D701&lt;15000,LOOKUP(RAND(),{0,0.5,0.78,0.94},{"River","Rainwater","Borehole","Vendor"}),IF(D701&lt;30000,LOOKUP(RAND(),{0,0.4,0.68,0.87},{"River","Rainwater","Borehole","Vendor"}),LOOKUP(RAND(),{0,0.28,0.55,0.78},{"River","Rainwater","Borehole","Vendor"}))),IF(B701="Kiserian",IF(D701&lt;15000,LOOKUP(RAND(),{0,0.35,0.65,0.9},{"River","Rainwater","Borehole","Vendor"}),IF(D701&lt;30000,LOOKUP(RAND(),{0,0.25,0.55,0.82},{"River","Rainwater","Borehole","Vendor"}),LOOKUP(RAND(),{0,0.15,0.45,0.72},{"River","Rainwater","Borehole","Vendor"}))),IF(D701&lt;15000,LOOKUP(RAND(),{0,0.4,0.7,0.92},{"River","Rainwater","Borehole","Vendor"}),IF(D701&lt;30000,LOOKUP(RAND(),{0,0.3,0.6,0.85},{"River","Rainwater","Borehole","Vendor"}),LOOKUP(RAND(),{0,0.2,0.5,0.75},{"River","Rainwater","Borehole","Vendor"}))))))</f>
        <v>Rainwater</v>
      </c>
      <c r="F701">
        <f t="shared" ca="1" si="61"/>
        <v>47</v>
      </c>
      <c r="G701">
        <f t="shared" ca="1" si="62"/>
        <v>12.3</v>
      </c>
      <c r="H701">
        <f t="shared" ca="1" si="63"/>
        <v>5100</v>
      </c>
      <c r="I701">
        <f t="shared" ca="1" si="64"/>
        <v>0.77477743542902411</v>
      </c>
      <c r="J701">
        <v>1</v>
      </c>
    </row>
    <row r="702" spans="1:10" x14ac:dyDescent="0.3">
      <c r="A702" t="str">
        <f t="shared" si="65"/>
        <v>HH701</v>
      </c>
      <c r="B702" t="str">
        <f ca="1">LOOKUP(RAND(),{0,0.28,0.55,0.78},{"Oloitoktok A","Oloitoktok B","Kiserian","Namanga"})</f>
        <v>Oloitoktok A</v>
      </c>
      <c r="C702">
        <f ca="1">LOOKUP(RAND(),{0,0.02,0.09,0.2,0.35,0.52,0.68,0.81,0.91,0.97},{1,2,3,4,5,6,7,8,9,10})</f>
        <v>4</v>
      </c>
      <c r="D702">
        <f t="shared" ca="1" si="60"/>
        <v>53300</v>
      </c>
      <c r="E702" t="str">
        <f ca="1">IF(B702="Oloitoktok A",IF(D702&lt;15000,LOOKUP(RAND(),{0,0.45,0.75,0.92},{"River","Rainwater","Borehole","Vendor"}),IF(D702&lt;30000,LOOKUP(RAND(),{0,0.35,0.65,0.85},{"River","Rainwater","Borehole","Vendor"}),LOOKUP(RAND(),{0,0.25,0.5,0.75},{"River","Rainwater","Borehole","Vendor"}))),IF(B702="Oloitoktok B",IF(D702&lt;15000,LOOKUP(RAND(),{0,0.5,0.78,0.94},{"River","Rainwater","Borehole","Vendor"}),IF(D702&lt;30000,LOOKUP(RAND(),{0,0.4,0.68,0.87},{"River","Rainwater","Borehole","Vendor"}),LOOKUP(RAND(),{0,0.28,0.55,0.78},{"River","Rainwater","Borehole","Vendor"}))),IF(B702="Kiserian",IF(D702&lt;15000,LOOKUP(RAND(),{0,0.35,0.65,0.9},{"River","Rainwater","Borehole","Vendor"}),IF(D702&lt;30000,LOOKUP(RAND(),{0,0.25,0.55,0.82},{"River","Rainwater","Borehole","Vendor"}),LOOKUP(RAND(),{0,0.15,0.45,0.72},{"River","Rainwater","Borehole","Vendor"}))),IF(D702&lt;15000,LOOKUP(RAND(),{0,0.4,0.7,0.92},{"River","Rainwater","Borehole","Vendor"}),IF(D702&lt;30000,LOOKUP(RAND(),{0,0.3,0.6,0.85},{"River","Rainwater","Borehole","Vendor"}),LOOKUP(RAND(),{0,0.2,0.5,0.75},{"River","Rainwater","Borehole","Vendor"}))))))</f>
        <v>Rainwater</v>
      </c>
      <c r="F702">
        <f t="shared" ca="1" si="61"/>
        <v>50</v>
      </c>
      <c r="G702">
        <f t="shared" ca="1" si="62"/>
        <v>5.3</v>
      </c>
      <c r="H702">
        <f t="shared" ca="1" si="63"/>
        <v>11100</v>
      </c>
      <c r="I702">
        <f t="shared" ca="1" si="64"/>
        <v>0.81110265692931405</v>
      </c>
      <c r="J702">
        <v>1</v>
      </c>
    </row>
    <row r="703" spans="1:10" x14ac:dyDescent="0.3">
      <c r="A703" t="str">
        <f t="shared" si="65"/>
        <v>HH702</v>
      </c>
      <c r="B703" t="str">
        <f ca="1">LOOKUP(RAND(),{0,0.28,0.55,0.78},{"Oloitoktok A","Oloitoktok B","Kiserian","Namanga"})</f>
        <v>Oloitoktok B</v>
      </c>
      <c r="C703">
        <f ca="1">LOOKUP(RAND(),{0,0.02,0.09,0.2,0.35,0.52,0.68,0.81,0.91,0.97},{1,2,3,4,5,6,7,8,9,10})</f>
        <v>4</v>
      </c>
      <c r="D703">
        <f t="shared" ca="1" si="60"/>
        <v>39000</v>
      </c>
      <c r="E703" t="str">
        <f ca="1">IF(B703="Oloitoktok A",IF(D703&lt;15000,LOOKUP(RAND(),{0,0.45,0.75,0.92},{"River","Rainwater","Borehole","Vendor"}),IF(D703&lt;30000,LOOKUP(RAND(),{0,0.35,0.65,0.85},{"River","Rainwater","Borehole","Vendor"}),LOOKUP(RAND(),{0,0.25,0.5,0.75},{"River","Rainwater","Borehole","Vendor"}))),IF(B703="Oloitoktok B",IF(D703&lt;15000,LOOKUP(RAND(),{0,0.5,0.78,0.94},{"River","Rainwater","Borehole","Vendor"}),IF(D703&lt;30000,LOOKUP(RAND(),{0,0.4,0.68,0.87},{"River","Rainwater","Borehole","Vendor"}),LOOKUP(RAND(),{0,0.28,0.55,0.78},{"River","Rainwater","Borehole","Vendor"}))),IF(B703="Kiserian",IF(D703&lt;15000,LOOKUP(RAND(),{0,0.35,0.65,0.9},{"River","Rainwater","Borehole","Vendor"}),IF(D703&lt;30000,LOOKUP(RAND(),{0,0.25,0.55,0.82},{"River","Rainwater","Borehole","Vendor"}),LOOKUP(RAND(),{0,0.15,0.45,0.72},{"River","Rainwater","Borehole","Vendor"}))),IF(D703&lt;15000,LOOKUP(RAND(),{0,0.4,0.7,0.92},{"River","Rainwater","Borehole","Vendor"}),IF(D703&lt;30000,LOOKUP(RAND(),{0,0.3,0.6,0.85},{"River","Rainwater","Borehole","Vendor"}),LOOKUP(RAND(),{0,0.2,0.5,0.75},{"River","Rainwater","Borehole","Vendor"}))))))</f>
        <v>River</v>
      </c>
      <c r="F703">
        <f t="shared" ca="1" si="61"/>
        <v>117</v>
      </c>
      <c r="G703">
        <f t="shared" ca="1" si="62"/>
        <v>0.9</v>
      </c>
      <c r="H703">
        <f t="shared" ca="1" si="63"/>
        <v>3600</v>
      </c>
      <c r="I703">
        <f t="shared" ca="1" si="64"/>
        <v>0.88121012717684721</v>
      </c>
      <c r="J703">
        <v>1</v>
      </c>
    </row>
    <row r="704" spans="1:10" x14ac:dyDescent="0.3">
      <c r="A704" t="str">
        <f t="shared" si="65"/>
        <v>HH703</v>
      </c>
      <c r="B704" t="str">
        <f ca="1">LOOKUP(RAND(),{0,0.28,0.55,0.78},{"Oloitoktok A","Oloitoktok B","Kiserian","Namanga"})</f>
        <v>Oloitoktok B</v>
      </c>
      <c r="C704">
        <f ca="1">LOOKUP(RAND(),{0,0.02,0.09,0.2,0.35,0.52,0.68,0.81,0.91,0.97},{1,2,3,4,5,6,7,8,9,10})</f>
        <v>3</v>
      </c>
      <c r="D704">
        <f t="shared" ca="1" si="60"/>
        <v>32600</v>
      </c>
      <c r="E704" t="str">
        <f ca="1">IF(B704="Oloitoktok A",IF(D704&lt;15000,LOOKUP(RAND(),{0,0.45,0.75,0.92},{"River","Rainwater","Borehole","Vendor"}),IF(D704&lt;30000,LOOKUP(RAND(),{0,0.35,0.65,0.85},{"River","Rainwater","Borehole","Vendor"}),LOOKUP(RAND(),{0,0.25,0.5,0.75},{"River","Rainwater","Borehole","Vendor"}))),IF(B704="Oloitoktok B",IF(D704&lt;15000,LOOKUP(RAND(),{0,0.5,0.78,0.94},{"River","Rainwater","Borehole","Vendor"}),IF(D704&lt;30000,LOOKUP(RAND(),{0,0.4,0.68,0.87},{"River","Rainwater","Borehole","Vendor"}),LOOKUP(RAND(),{0,0.28,0.55,0.78},{"River","Rainwater","Borehole","Vendor"}))),IF(B704="Kiserian",IF(D704&lt;15000,LOOKUP(RAND(),{0,0.35,0.65,0.9},{"River","Rainwater","Borehole","Vendor"}),IF(D704&lt;30000,LOOKUP(RAND(),{0,0.25,0.55,0.82},{"River","Rainwater","Borehole","Vendor"}),LOOKUP(RAND(),{0,0.15,0.45,0.72},{"River","Rainwater","Borehole","Vendor"}))),IF(D704&lt;15000,LOOKUP(RAND(),{0,0.4,0.7,0.92},{"River","Rainwater","Borehole","Vendor"}),IF(D704&lt;30000,LOOKUP(RAND(),{0,0.3,0.6,0.85},{"River","Rainwater","Borehole","Vendor"}),LOOKUP(RAND(),{0,0.2,0.5,0.75},{"River","Rainwater","Borehole","Vendor"}))))))</f>
        <v>Rainwater</v>
      </c>
      <c r="F704">
        <f t="shared" ca="1" si="61"/>
        <v>32</v>
      </c>
      <c r="G704">
        <f t="shared" ca="1" si="62"/>
        <v>4.4000000000000004</v>
      </c>
      <c r="H704">
        <f t="shared" ca="1" si="63"/>
        <v>6100</v>
      </c>
      <c r="I704">
        <f t="shared" ca="1" si="64"/>
        <v>0.56636410638001355</v>
      </c>
      <c r="J704">
        <v>1</v>
      </c>
    </row>
    <row r="705" spans="1:10" x14ac:dyDescent="0.3">
      <c r="A705" t="str">
        <f t="shared" si="65"/>
        <v>HH704</v>
      </c>
      <c r="B705" t="str">
        <f ca="1">LOOKUP(RAND(),{0,0.28,0.55,0.78},{"Oloitoktok A","Oloitoktok B","Kiserian","Namanga"})</f>
        <v>Kiserian</v>
      </c>
      <c r="C705">
        <f ca="1">LOOKUP(RAND(),{0,0.02,0.09,0.2,0.35,0.52,0.68,0.81,0.91,0.97},{1,2,3,4,5,6,7,8,9,10})</f>
        <v>3</v>
      </c>
      <c r="D705">
        <f t="shared" ca="1" si="60"/>
        <v>23800</v>
      </c>
      <c r="E705" t="str">
        <f ca="1">IF(B705="Oloitoktok A",IF(D705&lt;15000,LOOKUP(RAND(),{0,0.45,0.75,0.92},{"River","Rainwater","Borehole","Vendor"}),IF(D705&lt;30000,LOOKUP(RAND(),{0,0.35,0.65,0.85},{"River","Rainwater","Borehole","Vendor"}),LOOKUP(RAND(),{0,0.25,0.5,0.75},{"River","Rainwater","Borehole","Vendor"}))),IF(B705="Oloitoktok B",IF(D705&lt;15000,LOOKUP(RAND(),{0,0.5,0.78,0.94},{"River","Rainwater","Borehole","Vendor"}),IF(D705&lt;30000,LOOKUP(RAND(),{0,0.4,0.68,0.87},{"River","Rainwater","Borehole","Vendor"}),LOOKUP(RAND(),{0,0.28,0.55,0.78},{"River","Rainwater","Borehole","Vendor"}))),IF(B705="Kiserian",IF(D705&lt;15000,LOOKUP(RAND(),{0,0.35,0.65,0.9},{"River","Rainwater","Borehole","Vendor"}),IF(D705&lt;30000,LOOKUP(RAND(),{0,0.25,0.55,0.82},{"River","Rainwater","Borehole","Vendor"}),LOOKUP(RAND(),{0,0.15,0.45,0.72},{"River","Rainwater","Borehole","Vendor"}))),IF(D705&lt;15000,LOOKUP(RAND(),{0,0.4,0.7,0.92},{"River","Rainwater","Borehole","Vendor"}),IF(D705&lt;30000,LOOKUP(RAND(),{0,0.3,0.6,0.85},{"River","Rainwater","Borehole","Vendor"}),LOOKUP(RAND(),{0,0.2,0.5,0.75},{"River","Rainwater","Borehole","Vendor"}))))))</f>
        <v>Rainwater</v>
      </c>
      <c r="F705">
        <f t="shared" ca="1" si="61"/>
        <v>45</v>
      </c>
      <c r="G705">
        <f t="shared" ca="1" si="62"/>
        <v>7.7</v>
      </c>
      <c r="H705">
        <f t="shared" ca="1" si="63"/>
        <v>2400</v>
      </c>
      <c r="I705">
        <f t="shared" ca="1" si="64"/>
        <v>0.99614678760421305</v>
      </c>
      <c r="J705">
        <v>1</v>
      </c>
    </row>
    <row r="706" spans="1:10" x14ac:dyDescent="0.3">
      <c r="A706" t="str">
        <f t="shared" si="65"/>
        <v>HH705</v>
      </c>
      <c r="B706" t="str">
        <f ca="1">LOOKUP(RAND(),{0,0.28,0.55,0.78},{"Oloitoktok A","Oloitoktok B","Kiserian","Namanga"})</f>
        <v>Kiserian</v>
      </c>
      <c r="C706">
        <f ca="1">LOOKUP(RAND(),{0,0.02,0.09,0.2,0.35,0.52,0.68,0.81,0.91,0.97},{1,2,3,4,5,6,7,8,9,10})</f>
        <v>6</v>
      </c>
      <c r="D706">
        <f t="shared" ref="D706:D769" ca="1" si="66">MAX(5000,MIN(150000,ROUND(_xlfn.LOGNORM.INV(RAND(),LN(28000+1500*C706),0.55),-2)))</f>
        <v>30500</v>
      </c>
      <c r="E706" t="str">
        <f ca="1">IF(B706="Oloitoktok A",IF(D706&lt;15000,LOOKUP(RAND(),{0,0.45,0.75,0.92},{"River","Rainwater","Borehole","Vendor"}),IF(D706&lt;30000,LOOKUP(RAND(),{0,0.35,0.65,0.85},{"River","Rainwater","Borehole","Vendor"}),LOOKUP(RAND(),{0,0.25,0.5,0.75},{"River","Rainwater","Borehole","Vendor"}))),IF(B706="Oloitoktok B",IF(D706&lt;15000,LOOKUP(RAND(),{0,0.5,0.78,0.94},{"River","Rainwater","Borehole","Vendor"}),IF(D706&lt;30000,LOOKUP(RAND(),{0,0.4,0.68,0.87},{"River","Rainwater","Borehole","Vendor"}),LOOKUP(RAND(),{0,0.28,0.55,0.78},{"River","Rainwater","Borehole","Vendor"}))),IF(B706="Kiserian",IF(D706&lt;15000,LOOKUP(RAND(),{0,0.35,0.65,0.9},{"River","Rainwater","Borehole","Vendor"}),IF(D706&lt;30000,LOOKUP(RAND(),{0,0.25,0.55,0.82},{"River","Rainwater","Borehole","Vendor"}),LOOKUP(RAND(),{0,0.15,0.45,0.72},{"River","Rainwater","Borehole","Vendor"}))),IF(D706&lt;15000,LOOKUP(RAND(),{0,0.4,0.7,0.92},{"River","Rainwater","Borehole","Vendor"}),IF(D706&lt;30000,LOOKUP(RAND(),{0,0.3,0.6,0.85},{"River","Rainwater","Borehole","Vendor"}),LOOKUP(RAND(),{0,0.2,0.5,0.75},{"River","Rainwater","Borehole","Vendor"}))))))</f>
        <v>Vendor</v>
      </c>
      <c r="F706">
        <f t="shared" ref="F706:F769" ca="1" si="67">IF(E706="River",RANDBETWEEN(45,120),IF(E706="Rainwater",RANDBETWEEN(15,70),IF(E706="Borehole",RANDBETWEEN(20,75),RANDBETWEEN(10,60))))</f>
        <v>59</v>
      </c>
      <c r="G706">
        <f t="shared" ref="G706:G769" ca="1" si="68">IF(B706="Oloitoktok A",ROUND(RANDBETWEEN(5,150)/10,1),IF(B706="Oloitoktok B",ROUND(RANDBETWEEN(4,140)/10,1),IF(B706="Kiserian",ROUND(RANDBETWEEN(2,100)/10,1),ROUND(RANDBETWEEN(3,120)/10,1))))</f>
        <v>5</v>
      </c>
      <c r="H706">
        <f t="shared" ref="H706:H769" ca="1" si="69">MAX(0,ROUND((1500+(C706*250)+(D706*0.025)+(F706*8)+(G706*120)+IF(E706="River",1200,IF(E706="Rainwater",700,IF(E706="Borehole",400,200)))+_xlfn.NORM.INV(RAND(),0,3500)),-2))</f>
        <v>6100</v>
      </c>
      <c r="I706">
        <f t="shared" ref="I706:I769" ca="1" si="70">RAND()</f>
        <v>0.28954134236773299</v>
      </c>
      <c r="J706">
        <v>1</v>
      </c>
    </row>
    <row r="707" spans="1:10" x14ac:dyDescent="0.3">
      <c r="A707" t="str">
        <f t="shared" ref="A707:A770" si="71">"HH"&amp;TEXT(ROW()-1,"000")</f>
        <v>HH706</v>
      </c>
      <c r="B707" t="str">
        <f ca="1">LOOKUP(RAND(),{0,0.28,0.55,0.78},{"Oloitoktok A","Oloitoktok B","Kiserian","Namanga"})</f>
        <v>Oloitoktok A</v>
      </c>
      <c r="C707">
        <f ca="1">LOOKUP(RAND(),{0,0.02,0.09,0.2,0.35,0.52,0.68,0.81,0.91,0.97},{1,2,3,4,5,6,7,8,9,10})</f>
        <v>3</v>
      </c>
      <c r="D707">
        <f t="shared" ca="1" si="66"/>
        <v>49800</v>
      </c>
      <c r="E707" t="str">
        <f ca="1">IF(B707="Oloitoktok A",IF(D707&lt;15000,LOOKUP(RAND(),{0,0.45,0.75,0.92},{"River","Rainwater","Borehole","Vendor"}),IF(D707&lt;30000,LOOKUP(RAND(),{0,0.35,0.65,0.85},{"River","Rainwater","Borehole","Vendor"}),LOOKUP(RAND(),{0,0.25,0.5,0.75},{"River","Rainwater","Borehole","Vendor"}))),IF(B707="Oloitoktok B",IF(D707&lt;15000,LOOKUP(RAND(),{0,0.5,0.78,0.94},{"River","Rainwater","Borehole","Vendor"}),IF(D707&lt;30000,LOOKUP(RAND(),{0,0.4,0.68,0.87},{"River","Rainwater","Borehole","Vendor"}),LOOKUP(RAND(),{0,0.28,0.55,0.78},{"River","Rainwater","Borehole","Vendor"}))),IF(B707="Kiserian",IF(D707&lt;15000,LOOKUP(RAND(),{0,0.35,0.65,0.9},{"River","Rainwater","Borehole","Vendor"}),IF(D707&lt;30000,LOOKUP(RAND(),{0,0.25,0.55,0.82},{"River","Rainwater","Borehole","Vendor"}),LOOKUP(RAND(),{0,0.15,0.45,0.72},{"River","Rainwater","Borehole","Vendor"}))),IF(D707&lt;15000,LOOKUP(RAND(),{0,0.4,0.7,0.92},{"River","Rainwater","Borehole","Vendor"}),IF(D707&lt;30000,LOOKUP(RAND(),{0,0.3,0.6,0.85},{"River","Rainwater","Borehole","Vendor"}),LOOKUP(RAND(),{0,0.2,0.5,0.75},{"River","Rainwater","Borehole","Vendor"}))))))</f>
        <v>Borehole</v>
      </c>
      <c r="F707">
        <f t="shared" ca="1" si="67"/>
        <v>69</v>
      </c>
      <c r="G707">
        <f t="shared" ca="1" si="68"/>
        <v>12.2</v>
      </c>
      <c r="H707">
        <f t="shared" ca="1" si="69"/>
        <v>7600</v>
      </c>
      <c r="I707">
        <f t="shared" ca="1" si="70"/>
        <v>0.819259602768031</v>
      </c>
      <c r="J707">
        <v>1</v>
      </c>
    </row>
    <row r="708" spans="1:10" x14ac:dyDescent="0.3">
      <c r="A708" t="str">
        <f t="shared" si="71"/>
        <v>HH707</v>
      </c>
      <c r="B708" t="str">
        <f ca="1">LOOKUP(RAND(),{0,0.28,0.55,0.78},{"Oloitoktok A","Oloitoktok B","Kiserian","Namanga"})</f>
        <v>Kiserian</v>
      </c>
      <c r="C708">
        <f ca="1">LOOKUP(RAND(),{0,0.02,0.09,0.2,0.35,0.52,0.68,0.81,0.91,0.97},{1,2,3,4,5,6,7,8,9,10})</f>
        <v>6</v>
      </c>
      <c r="D708">
        <f t="shared" ca="1" si="66"/>
        <v>70600</v>
      </c>
      <c r="E708" t="str">
        <f ca="1">IF(B708="Oloitoktok A",IF(D708&lt;15000,LOOKUP(RAND(),{0,0.45,0.75,0.92},{"River","Rainwater","Borehole","Vendor"}),IF(D708&lt;30000,LOOKUP(RAND(),{0,0.35,0.65,0.85},{"River","Rainwater","Borehole","Vendor"}),LOOKUP(RAND(),{0,0.25,0.5,0.75},{"River","Rainwater","Borehole","Vendor"}))),IF(B708="Oloitoktok B",IF(D708&lt;15000,LOOKUP(RAND(),{0,0.5,0.78,0.94},{"River","Rainwater","Borehole","Vendor"}),IF(D708&lt;30000,LOOKUP(RAND(),{0,0.4,0.68,0.87},{"River","Rainwater","Borehole","Vendor"}),LOOKUP(RAND(),{0,0.28,0.55,0.78},{"River","Rainwater","Borehole","Vendor"}))),IF(B708="Kiserian",IF(D708&lt;15000,LOOKUP(RAND(),{0,0.35,0.65,0.9},{"River","Rainwater","Borehole","Vendor"}),IF(D708&lt;30000,LOOKUP(RAND(),{0,0.25,0.55,0.82},{"River","Rainwater","Borehole","Vendor"}),LOOKUP(RAND(),{0,0.15,0.45,0.72},{"River","Rainwater","Borehole","Vendor"}))),IF(D708&lt;15000,LOOKUP(RAND(),{0,0.4,0.7,0.92},{"River","Rainwater","Borehole","Vendor"}),IF(D708&lt;30000,LOOKUP(RAND(),{0,0.3,0.6,0.85},{"River","Rainwater","Borehole","Vendor"}),LOOKUP(RAND(),{0,0.2,0.5,0.75},{"River","Rainwater","Borehole","Vendor"}))))))</f>
        <v>River</v>
      </c>
      <c r="F708">
        <f t="shared" ca="1" si="67"/>
        <v>59</v>
      </c>
      <c r="G708">
        <f t="shared" ca="1" si="68"/>
        <v>7.8</v>
      </c>
      <c r="H708">
        <f t="shared" ca="1" si="69"/>
        <v>5000</v>
      </c>
      <c r="I708">
        <f t="shared" ca="1" si="70"/>
        <v>0.21699776078215294</v>
      </c>
      <c r="J708">
        <v>1</v>
      </c>
    </row>
    <row r="709" spans="1:10" x14ac:dyDescent="0.3">
      <c r="A709" t="str">
        <f t="shared" si="71"/>
        <v>HH708</v>
      </c>
      <c r="B709" t="str">
        <f ca="1">LOOKUP(RAND(),{0,0.28,0.55,0.78},{"Oloitoktok A","Oloitoktok B","Kiserian","Namanga"})</f>
        <v>Namanga</v>
      </c>
      <c r="C709">
        <f ca="1">LOOKUP(RAND(),{0,0.02,0.09,0.2,0.35,0.52,0.68,0.81,0.91,0.97},{1,2,3,4,5,6,7,8,9,10})</f>
        <v>6</v>
      </c>
      <c r="D709">
        <f t="shared" ca="1" si="66"/>
        <v>39600</v>
      </c>
      <c r="E709" t="str">
        <f ca="1">IF(B709="Oloitoktok A",IF(D709&lt;15000,LOOKUP(RAND(),{0,0.45,0.75,0.92},{"River","Rainwater","Borehole","Vendor"}),IF(D709&lt;30000,LOOKUP(RAND(),{0,0.35,0.65,0.85},{"River","Rainwater","Borehole","Vendor"}),LOOKUP(RAND(),{0,0.25,0.5,0.75},{"River","Rainwater","Borehole","Vendor"}))),IF(B709="Oloitoktok B",IF(D709&lt;15000,LOOKUP(RAND(),{0,0.5,0.78,0.94},{"River","Rainwater","Borehole","Vendor"}),IF(D709&lt;30000,LOOKUP(RAND(),{0,0.4,0.68,0.87},{"River","Rainwater","Borehole","Vendor"}),LOOKUP(RAND(),{0,0.28,0.55,0.78},{"River","Rainwater","Borehole","Vendor"}))),IF(B709="Kiserian",IF(D709&lt;15000,LOOKUP(RAND(),{0,0.35,0.65,0.9},{"River","Rainwater","Borehole","Vendor"}),IF(D709&lt;30000,LOOKUP(RAND(),{0,0.25,0.55,0.82},{"River","Rainwater","Borehole","Vendor"}),LOOKUP(RAND(),{0,0.15,0.45,0.72},{"River","Rainwater","Borehole","Vendor"}))),IF(D709&lt;15000,LOOKUP(RAND(),{0,0.4,0.7,0.92},{"River","Rainwater","Borehole","Vendor"}),IF(D709&lt;30000,LOOKUP(RAND(),{0,0.3,0.6,0.85},{"River","Rainwater","Borehole","Vendor"}),LOOKUP(RAND(),{0,0.2,0.5,0.75},{"River","Rainwater","Borehole","Vendor"}))))))</f>
        <v>Rainwater</v>
      </c>
      <c r="F709">
        <f t="shared" ca="1" si="67"/>
        <v>60</v>
      </c>
      <c r="G709">
        <f t="shared" ca="1" si="68"/>
        <v>2.8</v>
      </c>
      <c r="H709">
        <f t="shared" ca="1" si="69"/>
        <v>8700</v>
      </c>
      <c r="I709">
        <f t="shared" ca="1" si="70"/>
        <v>0.65323462348676231</v>
      </c>
      <c r="J709">
        <v>1</v>
      </c>
    </row>
    <row r="710" spans="1:10" x14ac:dyDescent="0.3">
      <c r="A710" t="str">
        <f t="shared" si="71"/>
        <v>HH709</v>
      </c>
      <c r="B710" t="str">
        <f ca="1">LOOKUP(RAND(),{0,0.28,0.55,0.78},{"Oloitoktok A","Oloitoktok B","Kiserian","Namanga"})</f>
        <v>Kiserian</v>
      </c>
      <c r="C710">
        <f ca="1">LOOKUP(RAND(),{0,0.02,0.09,0.2,0.35,0.52,0.68,0.81,0.91,0.97},{1,2,3,4,5,6,7,8,9,10})</f>
        <v>10</v>
      </c>
      <c r="D710">
        <f t="shared" ca="1" si="66"/>
        <v>38700</v>
      </c>
      <c r="E710" t="str">
        <f ca="1">IF(B710="Oloitoktok A",IF(D710&lt;15000,LOOKUP(RAND(),{0,0.45,0.75,0.92},{"River","Rainwater","Borehole","Vendor"}),IF(D710&lt;30000,LOOKUP(RAND(),{0,0.35,0.65,0.85},{"River","Rainwater","Borehole","Vendor"}),LOOKUP(RAND(),{0,0.25,0.5,0.75},{"River","Rainwater","Borehole","Vendor"}))),IF(B710="Oloitoktok B",IF(D710&lt;15000,LOOKUP(RAND(),{0,0.5,0.78,0.94},{"River","Rainwater","Borehole","Vendor"}),IF(D710&lt;30000,LOOKUP(RAND(),{0,0.4,0.68,0.87},{"River","Rainwater","Borehole","Vendor"}),LOOKUP(RAND(),{0,0.28,0.55,0.78},{"River","Rainwater","Borehole","Vendor"}))),IF(B710="Kiserian",IF(D710&lt;15000,LOOKUP(RAND(),{0,0.35,0.65,0.9},{"River","Rainwater","Borehole","Vendor"}),IF(D710&lt;30000,LOOKUP(RAND(),{0,0.25,0.55,0.82},{"River","Rainwater","Borehole","Vendor"}),LOOKUP(RAND(),{0,0.15,0.45,0.72},{"River","Rainwater","Borehole","Vendor"}))),IF(D710&lt;15000,LOOKUP(RAND(),{0,0.4,0.7,0.92},{"River","Rainwater","Borehole","Vendor"}),IF(D710&lt;30000,LOOKUP(RAND(),{0,0.3,0.6,0.85},{"River","Rainwater","Borehole","Vendor"}),LOOKUP(RAND(),{0,0.2,0.5,0.75},{"River","Rainwater","Borehole","Vendor"}))))))</f>
        <v>Borehole</v>
      </c>
      <c r="F710">
        <f t="shared" ca="1" si="67"/>
        <v>61</v>
      </c>
      <c r="G710">
        <f t="shared" ca="1" si="68"/>
        <v>4.7</v>
      </c>
      <c r="H710">
        <f t="shared" ca="1" si="69"/>
        <v>5600</v>
      </c>
      <c r="I710">
        <f t="shared" ca="1" si="70"/>
        <v>0.29428876250840474</v>
      </c>
      <c r="J710">
        <v>1</v>
      </c>
    </row>
    <row r="711" spans="1:10" x14ac:dyDescent="0.3">
      <c r="A711" t="str">
        <f t="shared" si="71"/>
        <v>HH710</v>
      </c>
      <c r="B711" t="str">
        <f ca="1">LOOKUP(RAND(),{0,0.28,0.55,0.78},{"Oloitoktok A","Oloitoktok B","Kiserian","Namanga"})</f>
        <v>Oloitoktok A</v>
      </c>
      <c r="C711">
        <f ca="1">LOOKUP(RAND(),{0,0.02,0.09,0.2,0.35,0.52,0.68,0.81,0.91,0.97},{1,2,3,4,5,6,7,8,9,10})</f>
        <v>9</v>
      </c>
      <c r="D711">
        <f t="shared" ca="1" si="66"/>
        <v>58300</v>
      </c>
      <c r="E711" t="str">
        <f ca="1">IF(B711="Oloitoktok A",IF(D711&lt;15000,LOOKUP(RAND(),{0,0.45,0.75,0.92},{"River","Rainwater","Borehole","Vendor"}),IF(D711&lt;30000,LOOKUP(RAND(),{0,0.35,0.65,0.85},{"River","Rainwater","Borehole","Vendor"}),LOOKUP(RAND(),{0,0.25,0.5,0.75},{"River","Rainwater","Borehole","Vendor"}))),IF(B711="Oloitoktok B",IF(D711&lt;15000,LOOKUP(RAND(),{0,0.5,0.78,0.94},{"River","Rainwater","Borehole","Vendor"}),IF(D711&lt;30000,LOOKUP(RAND(),{0,0.4,0.68,0.87},{"River","Rainwater","Borehole","Vendor"}),LOOKUP(RAND(),{0,0.28,0.55,0.78},{"River","Rainwater","Borehole","Vendor"}))),IF(B711="Kiserian",IF(D711&lt;15000,LOOKUP(RAND(),{0,0.35,0.65,0.9},{"River","Rainwater","Borehole","Vendor"}),IF(D711&lt;30000,LOOKUP(RAND(),{0,0.25,0.55,0.82},{"River","Rainwater","Borehole","Vendor"}),LOOKUP(RAND(),{0,0.15,0.45,0.72},{"River","Rainwater","Borehole","Vendor"}))),IF(D711&lt;15000,LOOKUP(RAND(),{0,0.4,0.7,0.92},{"River","Rainwater","Borehole","Vendor"}),IF(D711&lt;30000,LOOKUP(RAND(),{0,0.3,0.6,0.85},{"River","Rainwater","Borehole","Vendor"}),LOOKUP(RAND(),{0,0.2,0.5,0.75},{"River","Rainwater","Borehole","Vendor"}))))))</f>
        <v>Vendor</v>
      </c>
      <c r="F711">
        <f t="shared" ca="1" si="67"/>
        <v>21</v>
      </c>
      <c r="G711">
        <f t="shared" ca="1" si="68"/>
        <v>2.2000000000000002</v>
      </c>
      <c r="H711">
        <f t="shared" ca="1" si="69"/>
        <v>6300</v>
      </c>
      <c r="I711">
        <f t="shared" ca="1" si="70"/>
        <v>0.2155164167360597</v>
      </c>
      <c r="J711">
        <v>1</v>
      </c>
    </row>
    <row r="712" spans="1:10" x14ac:dyDescent="0.3">
      <c r="A712" t="str">
        <f t="shared" si="71"/>
        <v>HH711</v>
      </c>
      <c r="B712" t="str">
        <f ca="1">LOOKUP(RAND(),{0,0.28,0.55,0.78},{"Oloitoktok A","Oloitoktok B","Kiserian","Namanga"})</f>
        <v>Kiserian</v>
      </c>
      <c r="C712">
        <f ca="1">LOOKUP(RAND(),{0,0.02,0.09,0.2,0.35,0.52,0.68,0.81,0.91,0.97},{1,2,3,4,5,6,7,8,9,10})</f>
        <v>7</v>
      </c>
      <c r="D712">
        <f t="shared" ca="1" si="66"/>
        <v>33300</v>
      </c>
      <c r="E712" t="str">
        <f ca="1">IF(B712="Oloitoktok A",IF(D712&lt;15000,LOOKUP(RAND(),{0,0.45,0.75,0.92},{"River","Rainwater","Borehole","Vendor"}),IF(D712&lt;30000,LOOKUP(RAND(),{0,0.35,0.65,0.85},{"River","Rainwater","Borehole","Vendor"}),LOOKUP(RAND(),{0,0.25,0.5,0.75},{"River","Rainwater","Borehole","Vendor"}))),IF(B712="Oloitoktok B",IF(D712&lt;15000,LOOKUP(RAND(),{0,0.5,0.78,0.94},{"River","Rainwater","Borehole","Vendor"}),IF(D712&lt;30000,LOOKUP(RAND(),{0,0.4,0.68,0.87},{"River","Rainwater","Borehole","Vendor"}),LOOKUP(RAND(),{0,0.28,0.55,0.78},{"River","Rainwater","Borehole","Vendor"}))),IF(B712="Kiserian",IF(D712&lt;15000,LOOKUP(RAND(),{0,0.35,0.65,0.9},{"River","Rainwater","Borehole","Vendor"}),IF(D712&lt;30000,LOOKUP(RAND(),{0,0.25,0.55,0.82},{"River","Rainwater","Borehole","Vendor"}),LOOKUP(RAND(),{0,0.15,0.45,0.72},{"River","Rainwater","Borehole","Vendor"}))),IF(D712&lt;15000,LOOKUP(RAND(),{0,0.4,0.7,0.92},{"River","Rainwater","Borehole","Vendor"}),IF(D712&lt;30000,LOOKUP(RAND(),{0,0.3,0.6,0.85},{"River","Rainwater","Borehole","Vendor"}),LOOKUP(RAND(),{0,0.2,0.5,0.75},{"River","Rainwater","Borehole","Vendor"}))))))</f>
        <v>Borehole</v>
      </c>
      <c r="F712">
        <f t="shared" ca="1" si="67"/>
        <v>29</v>
      </c>
      <c r="G712">
        <f t="shared" ca="1" si="68"/>
        <v>1.1000000000000001</v>
      </c>
      <c r="H712">
        <f t="shared" ca="1" si="69"/>
        <v>3200</v>
      </c>
      <c r="I712">
        <f t="shared" ca="1" si="70"/>
        <v>0.32316550996481541</v>
      </c>
      <c r="J712">
        <v>1</v>
      </c>
    </row>
    <row r="713" spans="1:10" x14ac:dyDescent="0.3">
      <c r="A713" t="str">
        <f t="shared" si="71"/>
        <v>HH712</v>
      </c>
      <c r="B713" t="str">
        <f ca="1">LOOKUP(RAND(),{0,0.28,0.55,0.78},{"Oloitoktok A","Oloitoktok B","Kiserian","Namanga"})</f>
        <v>Oloitoktok B</v>
      </c>
      <c r="C713">
        <f ca="1">LOOKUP(RAND(),{0,0.02,0.09,0.2,0.35,0.52,0.68,0.81,0.91,0.97},{1,2,3,4,5,6,7,8,9,10})</f>
        <v>9</v>
      </c>
      <c r="D713">
        <f t="shared" ca="1" si="66"/>
        <v>86800</v>
      </c>
      <c r="E713" t="str">
        <f ca="1">IF(B713="Oloitoktok A",IF(D713&lt;15000,LOOKUP(RAND(),{0,0.45,0.75,0.92},{"River","Rainwater","Borehole","Vendor"}),IF(D713&lt;30000,LOOKUP(RAND(),{0,0.35,0.65,0.85},{"River","Rainwater","Borehole","Vendor"}),LOOKUP(RAND(),{0,0.25,0.5,0.75},{"River","Rainwater","Borehole","Vendor"}))),IF(B713="Oloitoktok B",IF(D713&lt;15000,LOOKUP(RAND(),{0,0.5,0.78,0.94},{"River","Rainwater","Borehole","Vendor"}),IF(D713&lt;30000,LOOKUP(RAND(),{0,0.4,0.68,0.87},{"River","Rainwater","Borehole","Vendor"}),LOOKUP(RAND(),{0,0.28,0.55,0.78},{"River","Rainwater","Borehole","Vendor"}))),IF(B713="Kiserian",IF(D713&lt;15000,LOOKUP(RAND(),{0,0.35,0.65,0.9},{"River","Rainwater","Borehole","Vendor"}),IF(D713&lt;30000,LOOKUP(RAND(),{0,0.25,0.55,0.82},{"River","Rainwater","Borehole","Vendor"}),LOOKUP(RAND(),{0,0.15,0.45,0.72},{"River","Rainwater","Borehole","Vendor"}))),IF(D713&lt;15000,LOOKUP(RAND(),{0,0.4,0.7,0.92},{"River","Rainwater","Borehole","Vendor"}),IF(D713&lt;30000,LOOKUP(RAND(),{0,0.3,0.6,0.85},{"River","Rainwater","Borehole","Vendor"}),LOOKUP(RAND(),{0,0.2,0.5,0.75},{"River","Rainwater","Borehole","Vendor"}))))))</f>
        <v>Rainwater</v>
      </c>
      <c r="F713">
        <f t="shared" ca="1" si="67"/>
        <v>37</v>
      </c>
      <c r="G713">
        <f t="shared" ca="1" si="68"/>
        <v>7.8</v>
      </c>
      <c r="H713">
        <f t="shared" ca="1" si="69"/>
        <v>4800</v>
      </c>
      <c r="I713">
        <f t="shared" ca="1" si="70"/>
        <v>0.23561047818248859</v>
      </c>
      <c r="J713">
        <v>1</v>
      </c>
    </row>
    <row r="714" spans="1:10" x14ac:dyDescent="0.3">
      <c r="A714" t="str">
        <f t="shared" si="71"/>
        <v>HH713</v>
      </c>
      <c r="B714" t="str">
        <f ca="1">LOOKUP(RAND(),{0,0.28,0.55,0.78},{"Oloitoktok A","Oloitoktok B","Kiserian","Namanga"})</f>
        <v>Namanga</v>
      </c>
      <c r="C714">
        <f ca="1">LOOKUP(RAND(),{0,0.02,0.09,0.2,0.35,0.52,0.68,0.81,0.91,0.97},{1,2,3,4,5,6,7,8,9,10})</f>
        <v>5</v>
      </c>
      <c r="D714">
        <f t="shared" ca="1" si="66"/>
        <v>30700</v>
      </c>
      <c r="E714" t="str">
        <f ca="1">IF(B714="Oloitoktok A",IF(D714&lt;15000,LOOKUP(RAND(),{0,0.45,0.75,0.92},{"River","Rainwater","Borehole","Vendor"}),IF(D714&lt;30000,LOOKUP(RAND(),{0,0.35,0.65,0.85},{"River","Rainwater","Borehole","Vendor"}),LOOKUP(RAND(),{0,0.25,0.5,0.75},{"River","Rainwater","Borehole","Vendor"}))),IF(B714="Oloitoktok B",IF(D714&lt;15000,LOOKUP(RAND(),{0,0.5,0.78,0.94},{"River","Rainwater","Borehole","Vendor"}),IF(D714&lt;30000,LOOKUP(RAND(),{0,0.4,0.68,0.87},{"River","Rainwater","Borehole","Vendor"}),LOOKUP(RAND(),{0,0.28,0.55,0.78},{"River","Rainwater","Borehole","Vendor"}))),IF(B714="Kiserian",IF(D714&lt;15000,LOOKUP(RAND(),{0,0.35,0.65,0.9},{"River","Rainwater","Borehole","Vendor"}),IF(D714&lt;30000,LOOKUP(RAND(),{0,0.25,0.55,0.82},{"River","Rainwater","Borehole","Vendor"}),LOOKUP(RAND(),{0,0.15,0.45,0.72},{"River","Rainwater","Borehole","Vendor"}))),IF(D714&lt;15000,LOOKUP(RAND(),{0,0.4,0.7,0.92},{"River","Rainwater","Borehole","Vendor"}),IF(D714&lt;30000,LOOKUP(RAND(),{0,0.3,0.6,0.85},{"River","Rainwater","Borehole","Vendor"}),LOOKUP(RAND(),{0,0.2,0.5,0.75},{"River","Rainwater","Borehole","Vendor"}))))))</f>
        <v>Vendor</v>
      </c>
      <c r="F714">
        <f t="shared" ca="1" si="67"/>
        <v>56</v>
      </c>
      <c r="G714">
        <f t="shared" ca="1" si="68"/>
        <v>5.2</v>
      </c>
      <c r="H714">
        <f t="shared" ca="1" si="69"/>
        <v>6400</v>
      </c>
      <c r="I714">
        <f t="shared" ca="1" si="70"/>
        <v>0.23968814474633893</v>
      </c>
      <c r="J714">
        <v>1</v>
      </c>
    </row>
    <row r="715" spans="1:10" x14ac:dyDescent="0.3">
      <c r="A715" t="str">
        <f t="shared" si="71"/>
        <v>HH714</v>
      </c>
      <c r="B715" t="str">
        <f ca="1">LOOKUP(RAND(),{0,0.28,0.55,0.78},{"Oloitoktok A","Oloitoktok B","Kiserian","Namanga"})</f>
        <v>Namanga</v>
      </c>
      <c r="C715">
        <f ca="1">LOOKUP(RAND(),{0,0.02,0.09,0.2,0.35,0.52,0.68,0.81,0.91,0.97},{1,2,3,4,5,6,7,8,9,10})</f>
        <v>2</v>
      </c>
      <c r="D715">
        <f t="shared" ca="1" si="66"/>
        <v>16000</v>
      </c>
      <c r="E715" t="str">
        <f ca="1">IF(B715="Oloitoktok A",IF(D715&lt;15000,LOOKUP(RAND(),{0,0.45,0.75,0.92},{"River","Rainwater","Borehole","Vendor"}),IF(D715&lt;30000,LOOKUP(RAND(),{0,0.35,0.65,0.85},{"River","Rainwater","Borehole","Vendor"}),LOOKUP(RAND(),{0,0.25,0.5,0.75},{"River","Rainwater","Borehole","Vendor"}))),IF(B715="Oloitoktok B",IF(D715&lt;15000,LOOKUP(RAND(),{0,0.5,0.78,0.94},{"River","Rainwater","Borehole","Vendor"}),IF(D715&lt;30000,LOOKUP(RAND(),{0,0.4,0.68,0.87},{"River","Rainwater","Borehole","Vendor"}),LOOKUP(RAND(),{0,0.28,0.55,0.78},{"River","Rainwater","Borehole","Vendor"}))),IF(B715="Kiserian",IF(D715&lt;15000,LOOKUP(RAND(),{0,0.35,0.65,0.9},{"River","Rainwater","Borehole","Vendor"}),IF(D715&lt;30000,LOOKUP(RAND(),{0,0.25,0.55,0.82},{"River","Rainwater","Borehole","Vendor"}),LOOKUP(RAND(),{0,0.15,0.45,0.72},{"River","Rainwater","Borehole","Vendor"}))),IF(D715&lt;15000,LOOKUP(RAND(),{0,0.4,0.7,0.92},{"River","Rainwater","Borehole","Vendor"}),IF(D715&lt;30000,LOOKUP(RAND(),{0,0.3,0.6,0.85},{"River","Rainwater","Borehole","Vendor"}),LOOKUP(RAND(),{0,0.2,0.5,0.75},{"River","Rainwater","Borehole","Vendor"}))))))</f>
        <v>Rainwater</v>
      </c>
      <c r="F715">
        <f t="shared" ca="1" si="67"/>
        <v>19</v>
      </c>
      <c r="G715">
        <f t="shared" ca="1" si="68"/>
        <v>7.9</v>
      </c>
      <c r="H715">
        <f t="shared" ca="1" si="69"/>
        <v>3500</v>
      </c>
      <c r="I715">
        <f t="shared" ca="1" si="70"/>
        <v>0.26539745785126589</v>
      </c>
      <c r="J715">
        <v>1</v>
      </c>
    </row>
    <row r="716" spans="1:10" x14ac:dyDescent="0.3">
      <c r="A716" t="str">
        <f t="shared" si="71"/>
        <v>HH715</v>
      </c>
      <c r="B716" t="str">
        <f ca="1">LOOKUP(RAND(),{0,0.28,0.55,0.78},{"Oloitoktok A","Oloitoktok B","Kiserian","Namanga"})</f>
        <v>Oloitoktok A</v>
      </c>
      <c r="C716">
        <f ca="1">LOOKUP(RAND(),{0,0.02,0.09,0.2,0.35,0.52,0.68,0.81,0.91,0.97},{1,2,3,4,5,6,7,8,9,10})</f>
        <v>3</v>
      </c>
      <c r="D716">
        <f t="shared" ca="1" si="66"/>
        <v>31200</v>
      </c>
      <c r="E716" t="str">
        <f ca="1">IF(B716="Oloitoktok A",IF(D716&lt;15000,LOOKUP(RAND(),{0,0.45,0.75,0.92},{"River","Rainwater","Borehole","Vendor"}),IF(D716&lt;30000,LOOKUP(RAND(),{0,0.35,0.65,0.85},{"River","Rainwater","Borehole","Vendor"}),LOOKUP(RAND(),{0,0.25,0.5,0.75},{"River","Rainwater","Borehole","Vendor"}))),IF(B716="Oloitoktok B",IF(D716&lt;15000,LOOKUP(RAND(),{0,0.5,0.78,0.94},{"River","Rainwater","Borehole","Vendor"}),IF(D716&lt;30000,LOOKUP(RAND(),{0,0.4,0.68,0.87},{"River","Rainwater","Borehole","Vendor"}),LOOKUP(RAND(),{0,0.28,0.55,0.78},{"River","Rainwater","Borehole","Vendor"}))),IF(B716="Kiserian",IF(D716&lt;15000,LOOKUP(RAND(),{0,0.35,0.65,0.9},{"River","Rainwater","Borehole","Vendor"}),IF(D716&lt;30000,LOOKUP(RAND(),{0,0.25,0.55,0.82},{"River","Rainwater","Borehole","Vendor"}),LOOKUP(RAND(),{0,0.15,0.45,0.72},{"River","Rainwater","Borehole","Vendor"}))),IF(D716&lt;15000,LOOKUP(RAND(),{0,0.4,0.7,0.92},{"River","Rainwater","Borehole","Vendor"}),IF(D716&lt;30000,LOOKUP(RAND(),{0,0.3,0.6,0.85},{"River","Rainwater","Borehole","Vendor"}),LOOKUP(RAND(),{0,0.2,0.5,0.75},{"River","Rainwater","Borehole","Vendor"}))))))</f>
        <v>Vendor</v>
      </c>
      <c r="F716">
        <f t="shared" ca="1" si="67"/>
        <v>24</v>
      </c>
      <c r="G716">
        <f t="shared" ca="1" si="68"/>
        <v>5.7</v>
      </c>
      <c r="H716">
        <f t="shared" ca="1" si="69"/>
        <v>10800</v>
      </c>
      <c r="I716">
        <f t="shared" ca="1" si="70"/>
        <v>0.66308597362901944</v>
      </c>
      <c r="J716">
        <v>1</v>
      </c>
    </row>
    <row r="717" spans="1:10" x14ac:dyDescent="0.3">
      <c r="A717" t="str">
        <f t="shared" si="71"/>
        <v>HH716</v>
      </c>
      <c r="B717" t="str">
        <f ca="1">LOOKUP(RAND(),{0,0.28,0.55,0.78},{"Oloitoktok A","Oloitoktok B","Kiserian","Namanga"})</f>
        <v>Kiserian</v>
      </c>
      <c r="C717">
        <f ca="1">LOOKUP(RAND(),{0,0.02,0.09,0.2,0.35,0.52,0.68,0.81,0.91,0.97},{1,2,3,4,5,6,7,8,9,10})</f>
        <v>5</v>
      </c>
      <c r="D717">
        <f t="shared" ca="1" si="66"/>
        <v>31000</v>
      </c>
      <c r="E717" t="str">
        <f ca="1">IF(B717="Oloitoktok A",IF(D717&lt;15000,LOOKUP(RAND(),{0,0.45,0.75,0.92},{"River","Rainwater","Borehole","Vendor"}),IF(D717&lt;30000,LOOKUP(RAND(),{0,0.35,0.65,0.85},{"River","Rainwater","Borehole","Vendor"}),LOOKUP(RAND(),{0,0.25,0.5,0.75},{"River","Rainwater","Borehole","Vendor"}))),IF(B717="Oloitoktok B",IF(D717&lt;15000,LOOKUP(RAND(),{0,0.5,0.78,0.94},{"River","Rainwater","Borehole","Vendor"}),IF(D717&lt;30000,LOOKUP(RAND(),{0,0.4,0.68,0.87},{"River","Rainwater","Borehole","Vendor"}),LOOKUP(RAND(),{0,0.28,0.55,0.78},{"River","Rainwater","Borehole","Vendor"}))),IF(B717="Kiserian",IF(D717&lt;15000,LOOKUP(RAND(),{0,0.35,0.65,0.9},{"River","Rainwater","Borehole","Vendor"}),IF(D717&lt;30000,LOOKUP(RAND(),{0,0.25,0.55,0.82},{"River","Rainwater","Borehole","Vendor"}),LOOKUP(RAND(),{0,0.15,0.45,0.72},{"River","Rainwater","Borehole","Vendor"}))),IF(D717&lt;15000,LOOKUP(RAND(),{0,0.4,0.7,0.92},{"River","Rainwater","Borehole","Vendor"}),IF(D717&lt;30000,LOOKUP(RAND(),{0,0.3,0.6,0.85},{"River","Rainwater","Borehole","Vendor"}),LOOKUP(RAND(),{0,0.2,0.5,0.75},{"River","Rainwater","Borehole","Vendor"}))))))</f>
        <v>Borehole</v>
      </c>
      <c r="F717">
        <f t="shared" ca="1" si="67"/>
        <v>38</v>
      </c>
      <c r="G717">
        <f t="shared" ca="1" si="68"/>
        <v>7.6</v>
      </c>
      <c r="H717">
        <f t="shared" ca="1" si="69"/>
        <v>4500</v>
      </c>
      <c r="I717">
        <f t="shared" ca="1" si="70"/>
        <v>0.56519060719847403</v>
      </c>
      <c r="J717">
        <v>1</v>
      </c>
    </row>
    <row r="718" spans="1:10" x14ac:dyDescent="0.3">
      <c r="A718" t="str">
        <f t="shared" si="71"/>
        <v>HH717</v>
      </c>
      <c r="B718" t="str">
        <f ca="1">LOOKUP(RAND(),{0,0.28,0.55,0.78},{"Oloitoktok A","Oloitoktok B","Kiserian","Namanga"})</f>
        <v>Kiserian</v>
      </c>
      <c r="C718">
        <f ca="1">LOOKUP(RAND(),{0,0.02,0.09,0.2,0.35,0.52,0.68,0.81,0.91,0.97},{1,2,3,4,5,6,7,8,9,10})</f>
        <v>7</v>
      </c>
      <c r="D718">
        <f t="shared" ca="1" si="66"/>
        <v>32000</v>
      </c>
      <c r="E718" t="str">
        <f ca="1">IF(B718="Oloitoktok A",IF(D718&lt;15000,LOOKUP(RAND(),{0,0.45,0.75,0.92},{"River","Rainwater","Borehole","Vendor"}),IF(D718&lt;30000,LOOKUP(RAND(),{0,0.35,0.65,0.85},{"River","Rainwater","Borehole","Vendor"}),LOOKUP(RAND(),{0,0.25,0.5,0.75},{"River","Rainwater","Borehole","Vendor"}))),IF(B718="Oloitoktok B",IF(D718&lt;15000,LOOKUP(RAND(),{0,0.5,0.78,0.94},{"River","Rainwater","Borehole","Vendor"}),IF(D718&lt;30000,LOOKUP(RAND(),{0,0.4,0.68,0.87},{"River","Rainwater","Borehole","Vendor"}),LOOKUP(RAND(),{0,0.28,0.55,0.78},{"River","Rainwater","Borehole","Vendor"}))),IF(B718="Kiserian",IF(D718&lt;15000,LOOKUP(RAND(),{0,0.35,0.65,0.9},{"River","Rainwater","Borehole","Vendor"}),IF(D718&lt;30000,LOOKUP(RAND(),{0,0.25,0.55,0.82},{"River","Rainwater","Borehole","Vendor"}),LOOKUP(RAND(),{0,0.15,0.45,0.72},{"River","Rainwater","Borehole","Vendor"}))),IF(D718&lt;15000,LOOKUP(RAND(),{0,0.4,0.7,0.92},{"River","Rainwater","Borehole","Vendor"}),IF(D718&lt;30000,LOOKUP(RAND(),{0,0.3,0.6,0.85},{"River","Rainwater","Borehole","Vendor"}),LOOKUP(RAND(),{0,0.2,0.5,0.75},{"River","Rainwater","Borehole","Vendor"}))))))</f>
        <v>Rainwater</v>
      </c>
      <c r="F718">
        <f t="shared" ca="1" si="67"/>
        <v>30</v>
      </c>
      <c r="G718">
        <f t="shared" ca="1" si="68"/>
        <v>4.3</v>
      </c>
      <c r="H718">
        <f t="shared" ca="1" si="69"/>
        <v>0</v>
      </c>
      <c r="I718">
        <f t="shared" ca="1" si="70"/>
        <v>0.37943920946218057</v>
      </c>
      <c r="J718">
        <v>1</v>
      </c>
    </row>
    <row r="719" spans="1:10" x14ac:dyDescent="0.3">
      <c r="A719" t="str">
        <f t="shared" si="71"/>
        <v>HH718</v>
      </c>
      <c r="B719" t="str">
        <f ca="1">LOOKUP(RAND(),{0,0.28,0.55,0.78},{"Oloitoktok A","Oloitoktok B","Kiserian","Namanga"})</f>
        <v>Oloitoktok A</v>
      </c>
      <c r="C719">
        <f ca="1">LOOKUP(RAND(),{0,0.02,0.09,0.2,0.35,0.52,0.68,0.81,0.91,0.97},{1,2,3,4,5,6,7,8,9,10})</f>
        <v>4</v>
      </c>
      <c r="D719">
        <f t="shared" ca="1" si="66"/>
        <v>127900</v>
      </c>
      <c r="E719" t="str">
        <f ca="1">IF(B719="Oloitoktok A",IF(D719&lt;15000,LOOKUP(RAND(),{0,0.45,0.75,0.92},{"River","Rainwater","Borehole","Vendor"}),IF(D719&lt;30000,LOOKUP(RAND(),{0,0.35,0.65,0.85},{"River","Rainwater","Borehole","Vendor"}),LOOKUP(RAND(),{0,0.25,0.5,0.75},{"River","Rainwater","Borehole","Vendor"}))),IF(B719="Oloitoktok B",IF(D719&lt;15000,LOOKUP(RAND(),{0,0.5,0.78,0.94},{"River","Rainwater","Borehole","Vendor"}),IF(D719&lt;30000,LOOKUP(RAND(),{0,0.4,0.68,0.87},{"River","Rainwater","Borehole","Vendor"}),LOOKUP(RAND(),{0,0.28,0.55,0.78},{"River","Rainwater","Borehole","Vendor"}))),IF(B719="Kiserian",IF(D719&lt;15000,LOOKUP(RAND(),{0,0.35,0.65,0.9},{"River","Rainwater","Borehole","Vendor"}),IF(D719&lt;30000,LOOKUP(RAND(),{0,0.25,0.55,0.82},{"River","Rainwater","Borehole","Vendor"}),LOOKUP(RAND(),{0,0.15,0.45,0.72},{"River","Rainwater","Borehole","Vendor"}))),IF(D719&lt;15000,LOOKUP(RAND(),{0,0.4,0.7,0.92},{"River","Rainwater","Borehole","Vendor"}),IF(D719&lt;30000,LOOKUP(RAND(),{0,0.3,0.6,0.85},{"River","Rainwater","Borehole","Vendor"}),LOOKUP(RAND(),{0,0.2,0.5,0.75},{"River","Rainwater","Borehole","Vendor"}))))))</f>
        <v>Borehole</v>
      </c>
      <c r="F719">
        <f t="shared" ca="1" si="67"/>
        <v>60</v>
      </c>
      <c r="G719">
        <f t="shared" ca="1" si="68"/>
        <v>10.5</v>
      </c>
      <c r="H719">
        <f t="shared" ca="1" si="69"/>
        <v>8100</v>
      </c>
      <c r="I719">
        <f t="shared" ca="1" si="70"/>
        <v>0.14800538294445575</v>
      </c>
      <c r="J719">
        <v>1</v>
      </c>
    </row>
    <row r="720" spans="1:10" x14ac:dyDescent="0.3">
      <c r="A720" t="str">
        <f t="shared" si="71"/>
        <v>HH719</v>
      </c>
      <c r="B720" t="str">
        <f ca="1">LOOKUP(RAND(),{0,0.28,0.55,0.78},{"Oloitoktok A","Oloitoktok B","Kiserian","Namanga"})</f>
        <v>Oloitoktok A</v>
      </c>
      <c r="C720">
        <f ca="1">LOOKUP(RAND(),{0,0.02,0.09,0.2,0.35,0.52,0.68,0.81,0.91,0.97},{1,2,3,4,5,6,7,8,9,10})</f>
        <v>3</v>
      </c>
      <c r="D720">
        <f t="shared" ca="1" si="66"/>
        <v>68300</v>
      </c>
      <c r="E720" t="str">
        <f ca="1">IF(B720="Oloitoktok A",IF(D720&lt;15000,LOOKUP(RAND(),{0,0.45,0.75,0.92},{"River","Rainwater","Borehole","Vendor"}),IF(D720&lt;30000,LOOKUP(RAND(),{0,0.35,0.65,0.85},{"River","Rainwater","Borehole","Vendor"}),LOOKUP(RAND(),{0,0.25,0.5,0.75},{"River","Rainwater","Borehole","Vendor"}))),IF(B720="Oloitoktok B",IF(D720&lt;15000,LOOKUP(RAND(),{0,0.5,0.78,0.94},{"River","Rainwater","Borehole","Vendor"}),IF(D720&lt;30000,LOOKUP(RAND(),{0,0.4,0.68,0.87},{"River","Rainwater","Borehole","Vendor"}),LOOKUP(RAND(),{0,0.28,0.55,0.78},{"River","Rainwater","Borehole","Vendor"}))),IF(B720="Kiserian",IF(D720&lt;15000,LOOKUP(RAND(),{0,0.35,0.65,0.9},{"River","Rainwater","Borehole","Vendor"}),IF(D720&lt;30000,LOOKUP(RAND(),{0,0.25,0.55,0.82},{"River","Rainwater","Borehole","Vendor"}),LOOKUP(RAND(),{0,0.15,0.45,0.72},{"River","Rainwater","Borehole","Vendor"}))),IF(D720&lt;15000,LOOKUP(RAND(),{0,0.4,0.7,0.92},{"River","Rainwater","Borehole","Vendor"}),IF(D720&lt;30000,LOOKUP(RAND(),{0,0.3,0.6,0.85},{"River","Rainwater","Borehole","Vendor"}),LOOKUP(RAND(),{0,0.2,0.5,0.75},{"River","Rainwater","Borehole","Vendor"}))))))</f>
        <v>River</v>
      </c>
      <c r="F720">
        <f t="shared" ca="1" si="67"/>
        <v>87</v>
      </c>
      <c r="G720">
        <f t="shared" ca="1" si="68"/>
        <v>2.8</v>
      </c>
      <c r="H720">
        <f t="shared" ca="1" si="69"/>
        <v>7900</v>
      </c>
      <c r="I720">
        <f t="shared" ca="1" si="70"/>
        <v>0.85887109628671987</v>
      </c>
      <c r="J720">
        <v>1</v>
      </c>
    </row>
    <row r="721" spans="1:10" x14ac:dyDescent="0.3">
      <c r="A721" t="str">
        <f t="shared" si="71"/>
        <v>HH720</v>
      </c>
      <c r="B721" t="str">
        <f ca="1">LOOKUP(RAND(),{0,0.28,0.55,0.78},{"Oloitoktok A","Oloitoktok B","Kiserian","Namanga"})</f>
        <v>Oloitoktok A</v>
      </c>
      <c r="C721">
        <f ca="1">LOOKUP(RAND(),{0,0.02,0.09,0.2,0.35,0.52,0.68,0.81,0.91,0.97},{1,2,3,4,5,6,7,8,9,10})</f>
        <v>5</v>
      </c>
      <c r="D721">
        <f t="shared" ca="1" si="66"/>
        <v>33700</v>
      </c>
      <c r="E721" t="str">
        <f ca="1">IF(B721="Oloitoktok A",IF(D721&lt;15000,LOOKUP(RAND(),{0,0.45,0.75,0.92},{"River","Rainwater","Borehole","Vendor"}),IF(D721&lt;30000,LOOKUP(RAND(),{0,0.35,0.65,0.85},{"River","Rainwater","Borehole","Vendor"}),LOOKUP(RAND(),{0,0.25,0.5,0.75},{"River","Rainwater","Borehole","Vendor"}))),IF(B721="Oloitoktok B",IF(D721&lt;15000,LOOKUP(RAND(),{0,0.5,0.78,0.94},{"River","Rainwater","Borehole","Vendor"}),IF(D721&lt;30000,LOOKUP(RAND(),{0,0.4,0.68,0.87},{"River","Rainwater","Borehole","Vendor"}),LOOKUP(RAND(),{0,0.28,0.55,0.78},{"River","Rainwater","Borehole","Vendor"}))),IF(B721="Kiserian",IF(D721&lt;15000,LOOKUP(RAND(),{0,0.35,0.65,0.9},{"River","Rainwater","Borehole","Vendor"}),IF(D721&lt;30000,LOOKUP(RAND(),{0,0.25,0.55,0.82},{"River","Rainwater","Borehole","Vendor"}),LOOKUP(RAND(),{0,0.15,0.45,0.72},{"River","Rainwater","Borehole","Vendor"}))),IF(D721&lt;15000,LOOKUP(RAND(),{0,0.4,0.7,0.92},{"River","Rainwater","Borehole","Vendor"}),IF(D721&lt;30000,LOOKUP(RAND(),{0,0.3,0.6,0.85},{"River","Rainwater","Borehole","Vendor"}),LOOKUP(RAND(),{0,0.2,0.5,0.75},{"River","Rainwater","Borehole","Vendor"}))))))</f>
        <v>Rainwater</v>
      </c>
      <c r="F721">
        <f t="shared" ca="1" si="67"/>
        <v>33</v>
      </c>
      <c r="G721">
        <f t="shared" ca="1" si="68"/>
        <v>2.4</v>
      </c>
      <c r="H721">
        <f t="shared" ca="1" si="69"/>
        <v>4100</v>
      </c>
      <c r="I721">
        <f t="shared" ca="1" si="70"/>
        <v>0.35100597557667101</v>
      </c>
      <c r="J721">
        <v>1</v>
      </c>
    </row>
    <row r="722" spans="1:10" x14ac:dyDescent="0.3">
      <c r="A722" t="str">
        <f t="shared" si="71"/>
        <v>HH721</v>
      </c>
      <c r="B722" t="str">
        <f ca="1">LOOKUP(RAND(),{0,0.28,0.55,0.78},{"Oloitoktok A","Oloitoktok B","Kiserian","Namanga"})</f>
        <v>Oloitoktok A</v>
      </c>
      <c r="C722">
        <f ca="1">LOOKUP(RAND(),{0,0.02,0.09,0.2,0.35,0.52,0.68,0.81,0.91,0.97},{1,2,3,4,5,6,7,8,9,10})</f>
        <v>5</v>
      </c>
      <c r="D722">
        <f t="shared" ca="1" si="66"/>
        <v>29200</v>
      </c>
      <c r="E722" t="str">
        <f ca="1">IF(B722="Oloitoktok A",IF(D722&lt;15000,LOOKUP(RAND(),{0,0.45,0.75,0.92},{"River","Rainwater","Borehole","Vendor"}),IF(D722&lt;30000,LOOKUP(RAND(),{0,0.35,0.65,0.85},{"River","Rainwater","Borehole","Vendor"}),LOOKUP(RAND(),{0,0.25,0.5,0.75},{"River","Rainwater","Borehole","Vendor"}))),IF(B722="Oloitoktok B",IF(D722&lt;15000,LOOKUP(RAND(),{0,0.5,0.78,0.94},{"River","Rainwater","Borehole","Vendor"}),IF(D722&lt;30000,LOOKUP(RAND(),{0,0.4,0.68,0.87},{"River","Rainwater","Borehole","Vendor"}),LOOKUP(RAND(),{0,0.28,0.55,0.78},{"River","Rainwater","Borehole","Vendor"}))),IF(B722="Kiserian",IF(D722&lt;15000,LOOKUP(RAND(),{0,0.35,0.65,0.9},{"River","Rainwater","Borehole","Vendor"}),IF(D722&lt;30000,LOOKUP(RAND(),{0,0.25,0.55,0.82},{"River","Rainwater","Borehole","Vendor"}),LOOKUP(RAND(),{0,0.15,0.45,0.72},{"River","Rainwater","Borehole","Vendor"}))),IF(D722&lt;15000,LOOKUP(RAND(),{0,0.4,0.7,0.92},{"River","Rainwater","Borehole","Vendor"}),IF(D722&lt;30000,LOOKUP(RAND(),{0,0.3,0.6,0.85},{"River","Rainwater","Borehole","Vendor"}),LOOKUP(RAND(),{0,0.2,0.5,0.75},{"River","Rainwater","Borehole","Vendor"}))))))</f>
        <v>River</v>
      </c>
      <c r="F722">
        <f t="shared" ca="1" si="67"/>
        <v>52</v>
      </c>
      <c r="G722">
        <f t="shared" ca="1" si="68"/>
        <v>6.2</v>
      </c>
      <c r="H722">
        <f t="shared" ca="1" si="69"/>
        <v>7200</v>
      </c>
      <c r="I722">
        <f t="shared" ca="1" si="70"/>
        <v>0.24232786022768404</v>
      </c>
      <c r="J722">
        <v>1</v>
      </c>
    </row>
    <row r="723" spans="1:10" x14ac:dyDescent="0.3">
      <c r="A723" t="str">
        <f t="shared" si="71"/>
        <v>HH722</v>
      </c>
      <c r="B723" t="str">
        <f ca="1">LOOKUP(RAND(),{0,0.28,0.55,0.78},{"Oloitoktok A","Oloitoktok B","Kiserian","Namanga"})</f>
        <v>Oloitoktok B</v>
      </c>
      <c r="C723">
        <f ca="1">LOOKUP(RAND(),{0,0.02,0.09,0.2,0.35,0.52,0.68,0.81,0.91,0.97},{1,2,3,4,5,6,7,8,9,10})</f>
        <v>7</v>
      </c>
      <c r="D723">
        <f t="shared" ca="1" si="66"/>
        <v>66800</v>
      </c>
      <c r="E723" t="str">
        <f ca="1">IF(B723="Oloitoktok A",IF(D723&lt;15000,LOOKUP(RAND(),{0,0.45,0.75,0.92},{"River","Rainwater","Borehole","Vendor"}),IF(D723&lt;30000,LOOKUP(RAND(),{0,0.35,0.65,0.85},{"River","Rainwater","Borehole","Vendor"}),LOOKUP(RAND(),{0,0.25,0.5,0.75},{"River","Rainwater","Borehole","Vendor"}))),IF(B723="Oloitoktok B",IF(D723&lt;15000,LOOKUP(RAND(),{0,0.5,0.78,0.94},{"River","Rainwater","Borehole","Vendor"}),IF(D723&lt;30000,LOOKUP(RAND(),{0,0.4,0.68,0.87},{"River","Rainwater","Borehole","Vendor"}),LOOKUP(RAND(),{0,0.28,0.55,0.78},{"River","Rainwater","Borehole","Vendor"}))),IF(B723="Kiserian",IF(D723&lt;15000,LOOKUP(RAND(),{0,0.35,0.65,0.9},{"River","Rainwater","Borehole","Vendor"}),IF(D723&lt;30000,LOOKUP(RAND(),{0,0.25,0.55,0.82},{"River","Rainwater","Borehole","Vendor"}),LOOKUP(RAND(),{0,0.15,0.45,0.72},{"River","Rainwater","Borehole","Vendor"}))),IF(D723&lt;15000,LOOKUP(RAND(),{0,0.4,0.7,0.92},{"River","Rainwater","Borehole","Vendor"}),IF(D723&lt;30000,LOOKUP(RAND(),{0,0.3,0.6,0.85},{"River","Rainwater","Borehole","Vendor"}),LOOKUP(RAND(),{0,0.2,0.5,0.75},{"River","Rainwater","Borehole","Vendor"}))))))</f>
        <v>River</v>
      </c>
      <c r="F723">
        <f t="shared" ca="1" si="67"/>
        <v>71</v>
      </c>
      <c r="G723">
        <f t="shared" ca="1" si="68"/>
        <v>8.5</v>
      </c>
      <c r="H723">
        <f t="shared" ca="1" si="69"/>
        <v>2900</v>
      </c>
      <c r="I723">
        <f t="shared" ca="1" si="70"/>
        <v>0.89384103955620442</v>
      </c>
      <c r="J723">
        <v>1</v>
      </c>
    </row>
    <row r="724" spans="1:10" x14ac:dyDescent="0.3">
      <c r="A724" t="str">
        <f t="shared" si="71"/>
        <v>HH723</v>
      </c>
      <c r="B724" t="str">
        <f ca="1">LOOKUP(RAND(),{0,0.28,0.55,0.78},{"Oloitoktok A","Oloitoktok B","Kiserian","Namanga"})</f>
        <v>Oloitoktok A</v>
      </c>
      <c r="C724">
        <f ca="1">LOOKUP(RAND(),{0,0.02,0.09,0.2,0.35,0.52,0.68,0.81,0.91,0.97},{1,2,3,4,5,6,7,8,9,10})</f>
        <v>3</v>
      </c>
      <c r="D724">
        <f t="shared" ca="1" si="66"/>
        <v>33100</v>
      </c>
      <c r="E724" t="str">
        <f ca="1">IF(B724="Oloitoktok A",IF(D724&lt;15000,LOOKUP(RAND(),{0,0.45,0.75,0.92},{"River","Rainwater","Borehole","Vendor"}),IF(D724&lt;30000,LOOKUP(RAND(),{0,0.35,0.65,0.85},{"River","Rainwater","Borehole","Vendor"}),LOOKUP(RAND(),{0,0.25,0.5,0.75},{"River","Rainwater","Borehole","Vendor"}))),IF(B724="Oloitoktok B",IF(D724&lt;15000,LOOKUP(RAND(),{0,0.5,0.78,0.94},{"River","Rainwater","Borehole","Vendor"}),IF(D724&lt;30000,LOOKUP(RAND(),{0,0.4,0.68,0.87},{"River","Rainwater","Borehole","Vendor"}),LOOKUP(RAND(),{0,0.28,0.55,0.78},{"River","Rainwater","Borehole","Vendor"}))),IF(B724="Kiserian",IF(D724&lt;15000,LOOKUP(RAND(),{0,0.35,0.65,0.9},{"River","Rainwater","Borehole","Vendor"}),IF(D724&lt;30000,LOOKUP(RAND(),{0,0.25,0.55,0.82},{"River","Rainwater","Borehole","Vendor"}),LOOKUP(RAND(),{0,0.15,0.45,0.72},{"River","Rainwater","Borehole","Vendor"}))),IF(D724&lt;15000,LOOKUP(RAND(),{0,0.4,0.7,0.92},{"River","Rainwater","Borehole","Vendor"}),IF(D724&lt;30000,LOOKUP(RAND(),{0,0.3,0.6,0.85},{"River","Rainwater","Borehole","Vendor"}),LOOKUP(RAND(),{0,0.2,0.5,0.75},{"River","Rainwater","Borehole","Vendor"}))))))</f>
        <v>Borehole</v>
      </c>
      <c r="F724">
        <f t="shared" ca="1" si="67"/>
        <v>66</v>
      </c>
      <c r="G724">
        <f t="shared" ca="1" si="68"/>
        <v>8.1999999999999993</v>
      </c>
      <c r="H724">
        <f t="shared" ca="1" si="69"/>
        <v>7300</v>
      </c>
      <c r="I724">
        <f t="shared" ca="1" si="70"/>
        <v>0.29991405214189337</v>
      </c>
      <c r="J724">
        <v>1</v>
      </c>
    </row>
    <row r="725" spans="1:10" x14ac:dyDescent="0.3">
      <c r="A725" t="str">
        <f t="shared" si="71"/>
        <v>HH724</v>
      </c>
      <c r="B725" t="str">
        <f ca="1">LOOKUP(RAND(),{0,0.28,0.55,0.78},{"Oloitoktok A","Oloitoktok B","Kiserian","Namanga"})</f>
        <v>Oloitoktok B</v>
      </c>
      <c r="C725">
        <f ca="1">LOOKUP(RAND(),{0,0.02,0.09,0.2,0.35,0.52,0.68,0.81,0.91,0.97},{1,2,3,4,5,6,7,8,9,10})</f>
        <v>5</v>
      </c>
      <c r="D725">
        <f t="shared" ca="1" si="66"/>
        <v>27900</v>
      </c>
      <c r="E725" t="str">
        <f ca="1">IF(B725="Oloitoktok A",IF(D725&lt;15000,LOOKUP(RAND(),{0,0.45,0.75,0.92},{"River","Rainwater","Borehole","Vendor"}),IF(D725&lt;30000,LOOKUP(RAND(),{0,0.35,0.65,0.85},{"River","Rainwater","Borehole","Vendor"}),LOOKUP(RAND(),{0,0.25,0.5,0.75},{"River","Rainwater","Borehole","Vendor"}))),IF(B725="Oloitoktok B",IF(D725&lt;15000,LOOKUP(RAND(),{0,0.5,0.78,0.94},{"River","Rainwater","Borehole","Vendor"}),IF(D725&lt;30000,LOOKUP(RAND(),{0,0.4,0.68,0.87},{"River","Rainwater","Borehole","Vendor"}),LOOKUP(RAND(),{0,0.28,0.55,0.78},{"River","Rainwater","Borehole","Vendor"}))),IF(B725="Kiserian",IF(D725&lt;15000,LOOKUP(RAND(),{0,0.35,0.65,0.9},{"River","Rainwater","Borehole","Vendor"}),IF(D725&lt;30000,LOOKUP(RAND(),{0,0.25,0.55,0.82},{"River","Rainwater","Borehole","Vendor"}),LOOKUP(RAND(),{0,0.15,0.45,0.72},{"River","Rainwater","Borehole","Vendor"}))),IF(D725&lt;15000,LOOKUP(RAND(),{0,0.4,0.7,0.92},{"River","Rainwater","Borehole","Vendor"}),IF(D725&lt;30000,LOOKUP(RAND(),{0,0.3,0.6,0.85},{"River","Rainwater","Borehole","Vendor"}),LOOKUP(RAND(),{0,0.2,0.5,0.75},{"River","Rainwater","Borehole","Vendor"}))))))</f>
        <v>Borehole</v>
      </c>
      <c r="F725">
        <f t="shared" ca="1" si="67"/>
        <v>74</v>
      </c>
      <c r="G725">
        <f t="shared" ca="1" si="68"/>
        <v>1.8</v>
      </c>
      <c r="H725">
        <f t="shared" ca="1" si="69"/>
        <v>4000</v>
      </c>
      <c r="I725">
        <f t="shared" ca="1" si="70"/>
        <v>7.1472659360198643E-2</v>
      </c>
      <c r="J725">
        <v>1</v>
      </c>
    </row>
    <row r="726" spans="1:10" x14ac:dyDescent="0.3">
      <c r="A726" t="str">
        <f t="shared" si="71"/>
        <v>HH725</v>
      </c>
      <c r="B726" t="str">
        <f ca="1">LOOKUP(RAND(),{0,0.28,0.55,0.78},{"Oloitoktok A","Oloitoktok B","Kiserian","Namanga"})</f>
        <v>Oloitoktok A</v>
      </c>
      <c r="C726">
        <f ca="1">LOOKUP(RAND(),{0,0.02,0.09,0.2,0.35,0.52,0.68,0.81,0.91,0.97},{1,2,3,4,5,6,7,8,9,10})</f>
        <v>6</v>
      </c>
      <c r="D726">
        <f t="shared" ca="1" si="66"/>
        <v>29300</v>
      </c>
      <c r="E726" t="str">
        <f ca="1">IF(B726="Oloitoktok A",IF(D726&lt;15000,LOOKUP(RAND(),{0,0.45,0.75,0.92},{"River","Rainwater","Borehole","Vendor"}),IF(D726&lt;30000,LOOKUP(RAND(),{0,0.35,0.65,0.85},{"River","Rainwater","Borehole","Vendor"}),LOOKUP(RAND(),{0,0.25,0.5,0.75},{"River","Rainwater","Borehole","Vendor"}))),IF(B726="Oloitoktok B",IF(D726&lt;15000,LOOKUP(RAND(),{0,0.5,0.78,0.94},{"River","Rainwater","Borehole","Vendor"}),IF(D726&lt;30000,LOOKUP(RAND(),{0,0.4,0.68,0.87},{"River","Rainwater","Borehole","Vendor"}),LOOKUP(RAND(),{0,0.28,0.55,0.78},{"River","Rainwater","Borehole","Vendor"}))),IF(B726="Kiserian",IF(D726&lt;15000,LOOKUP(RAND(),{0,0.35,0.65,0.9},{"River","Rainwater","Borehole","Vendor"}),IF(D726&lt;30000,LOOKUP(RAND(),{0,0.25,0.55,0.82},{"River","Rainwater","Borehole","Vendor"}),LOOKUP(RAND(),{0,0.15,0.45,0.72},{"River","Rainwater","Borehole","Vendor"}))),IF(D726&lt;15000,LOOKUP(RAND(),{0,0.4,0.7,0.92},{"River","Rainwater","Borehole","Vendor"}),IF(D726&lt;30000,LOOKUP(RAND(),{0,0.3,0.6,0.85},{"River","Rainwater","Borehole","Vendor"}),LOOKUP(RAND(),{0,0.2,0.5,0.75},{"River","Rainwater","Borehole","Vendor"}))))))</f>
        <v>Rainwater</v>
      </c>
      <c r="F726">
        <f t="shared" ca="1" si="67"/>
        <v>35</v>
      </c>
      <c r="G726">
        <f t="shared" ca="1" si="68"/>
        <v>9.5</v>
      </c>
      <c r="H726">
        <f t="shared" ca="1" si="69"/>
        <v>6900</v>
      </c>
      <c r="I726">
        <f t="shared" ca="1" si="70"/>
        <v>0.166388436777962</v>
      </c>
      <c r="J726">
        <v>1</v>
      </c>
    </row>
    <row r="727" spans="1:10" x14ac:dyDescent="0.3">
      <c r="A727" t="str">
        <f t="shared" si="71"/>
        <v>HH726</v>
      </c>
      <c r="B727" t="str">
        <f ca="1">LOOKUP(RAND(),{0,0.28,0.55,0.78},{"Oloitoktok A","Oloitoktok B","Kiserian","Namanga"})</f>
        <v>Namanga</v>
      </c>
      <c r="C727">
        <f ca="1">LOOKUP(RAND(),{0,0.02,0.09,0.2,0.35,0.52,0.68,0.81,0.91,0.97},{1,2,3,4,5,6,7,8,9,10})</f>
        <v>3</v>
      </c>
      <c r="D727">
        <f t="shared" ca="1" si="66"/>
        <v>46400</v>
      </c>
      <c r="E727" t="str">
        <f ca="1">IF(B727="Oloitoktok A",IF(D727&lt;15000,LOOKUP(RAND(),{0,0.45,0.75,0.92},{"River","Rainwater","Borehole","Vendor"}),IF(D727&lt;30000,LOOKUP(RAND(),{0,0.35,0.65,0.85},{"River","Rainwater","Borehole","Vendor"}),LOOKUP(RAND(),{0,0.25,0.5,0.75},{"River","Rainwater","Borehole","Vendor"}))),IF(B727="Oloitoktok B",IF(D727&lt;15000,LOOKUP(RAND(),{0,0.5,0.78,0.94},{"River","Rainwater","Borehole","Vendor"}),IF(D727&lt;30000,LOOKUP(RAND(),{0,0.4,0.68,0.87},{"River","Rainwater","Borehole","Vendor"}),LOOKUP(RAND(),{0,0.28,0.55,0.78},{"River","Rainwater","Borehole","Vendor"}))),IF(B727="Kiserian",IF(D727&lt;15000,LOOKUP(RAND(),{0,0.35,0.65,0.9},{"River","Rainwater","Borehole","Vendor"}),IF(D727&lt;30000,LOOKUP(RAND(),{0,0.25,0.55,0.82},{"River","Rainwater","Borehole","Vendor"}),LOOKUP(RAND(),{0,0.15,0.45,0.72},{"River","Rainwater","Borehole","Vendor"}))),IF(D727&lt;15000,LOOKUP(RAND(),{0,0.4,0.7,0.92},{"River","Rainwater","Borehole","Vendor"}),IF(D727&lt;30000,LOOKUP(RAND(),{0,0.3,0.6,0.85},{"River","Rainwater","Borehole","Vendor"}),LOOKUP(RAND(),{0,0.2,0.5,0.75},{"River","Rainwater","Borehole","Vendor"}))))))</f>
        <v>River</v>
      </c>
      <c r="F727">
        <f t="shared" ca="1" si="67"/>
        <v>120</v>
      </c>
      <c r="G727">
        <f t="shared" ca="1" si="68"/>
        <v>10.4</v>
      </c>
      <c r="H727">
        <f t="shared" ca="1" si="69"/>
        <v>9200</v>
      </c>
      <c r="I727">
        <f t="shared" ca="1" si="70"/>
        <v>0.36729148558006597</v>
      </c>
      <c r="J727">
        <v>1</v>
      </c>
    </row>
    <row r="728" spans="1:10" x14ac:dyDescent="0.3">
      <c r="A728" t="str">
        <f t="shared" si="71"/>
        <v>HH727</v>
      </c>
      <c r="B728" t="str">
        <f ca="1">LOOKUP(RAND(),{0,0.28,0.55,0.78},{"Oloitoktok A","Oloitoktok B","Kiserian","Namanga"})</f>
        <v>Oloitoktok A</v>
      </c>
      <c r="C728">
        <f ca="1">LOOKUP(RAND(),{0,0.02,0.09,0.2,0.35,0.52,0.68,0.81,0.91,0.97},{1,2,3,4,5,6,7,8,9,10})</f>
        <v>7</v>
      </c>
      <c r="D728">
        <f t="shared" ca="1" si="66"/>
        <v>52700</v>
      </c>
      <c r="E728" t="str">
        <f ca="1">IF(B728="Oloitoktok A",IF(D728&lt;15000,LOOKUP(RAND(),{0,0.45,0.75,0.92},{"River","Rainwater","Borehole","Vendor"}),IF(D728&lt;30000,LOOKUP(RAND(),{0,0.35,0.65,0.85},{"River","Rainwater","Borehole","Vendor"}),LOOKUP(RAND(),{0,0.25,0.5,0.75},{"River","Rainwater","Borehole","Vendor"}))),IF(B728="Oloitoktok B",IF(D728&lt;15000,LOOKUP(RAND(),{0,0.5,0.78,0.94},{"River","Rainwater","Borehole","Vendor"}),IF(D728&lt;30000,LOOKUP(RAND(),{0,0.4,0.68,0.87},{"River","Rainwater","Borehole","Vendor"}),LOOKUP(RAND(),{0,0.28,0.55,0.78},{"River","Rainwater","Borehole","Vendor"}))),IF(B728="Kiserian",IF(D728&lt;15000,LOOKUP(RAND(),{0,0.35,0.65,0.9},{"River","Rainwater","Borehole","Vendor"}),IF(D728&lt;30000,LOOKUP(RAND(),{0,0.25,0.55,0.82},{"River","Rainwater","Borehole","Vendor"}),LOOKUP(RAND(),{0,0.15,0.45,0.72},{"River","Rainwater","Borehole","Vendor"}))),IF(D728&lt;15000,LOOKUP(RAND(),{0,0.4,0.7,0.92},{"River","Rainwater","Borehole","Vendor"}),IF(D728&lt;30000,LOOKUP(RAND(),{0,0.3,0.6,0.85},{"River","Rainwater","Borehole","Vendor"}),LOOKUP(RAND(),{0,0.2,0.5,0.75},{"River","Rainwater","Borehole","Vendor"}))))))</f>
        <v>Rainwater</v>
      </c>
      <c r="F728">
        <f t="shared" ca="1" si="67"/>
        <v>18</v>
      </c>
      <c r="G728">
        <f t="shared" ca="1" si="68"/>
        <v>9.1999999999999993</v>
      </c>
      <c r="H728">
        <f t="shared" ca="1" si="69"/>
        <v>10700</v>
      </c>
      <c r="I728">
        <f t="shared" ca="1" si="70"/>
        <v>7.4488801084063749E-2</v>
      </c>
      <c r="J728">
        <v>1</v>
      </c>
    </row>
    <row r="729" spans="1:10" x14ac:dyDescent="0.3">
      <c r="A729" t="str">
        <f t="shared" si="71"/>
        <v>HH728</v>
      </c>
      <c r="B729" t="str">
        <f ca="1">LOOKUP(RAND(),{0,0.28,0.55,0.78},{"Oloitoktok A","Oloitoktok B","Kiserian","Namanga"})</f>
        <v>Kiserian</v>
      </c>
      <c r="C729">
        <f ca="1">LOOKUP(RAND(),{0,0.02,0.09,0.2,0.35,0.52,0.68,0.81,0.91,0.97},{1,2,3,4,5,6,7,8,9,10})</f>
        <v>2</v>
      </c>
      <c r="D729">
        <f t="shared" ca="1" si="66"/>
        <v>24600</v>
      </c>
      <c r="E729" t="str">
        <f ca="1">IF(B729="Oloitoktok A",IF(D729&lt;15000,LOOKUP(RAND(),{0,0.45,0.75,0.92},{"River","Rainwater","Borehole","Vendor"}),IF(D729&lt;30000,LOOKUP(RAND(),{0,0.35,0.65,0.85},{"River","Rainwater","Borehole","Vendor"}),LOOKUP(RAND(),{0,0.25,0.5,0.75},{"River","Rainwater","Borehole","Vendor"}))),IF(B729="Oloitoktok B",IF(D729&lt;15000,LOOKUP(RAND(),{0,0.5,0.78,0.94},{"River","Rainwater","Borehole","Vendor"}),IF(D729&lt;30000,LOOKUP(RAND(),{0,0.4,0.68,0.87},{"River","Rainwater","Borehole","Vendor"}),LOOKUP(RAND(),{0,0.28,0.55,0.78},{"River","Rainwater","Borehole","Vendor"}))),IF(B729="Kiserian",IF(D729&lt;15000,LOOKUP(RAND(),{0,0.35,0.65,0.9},{"River","Rainwater","Borehole","Vendor"}),IF(D729&lt;30000,LOOKUP(RAND(),{0,0.25,0.55,0.82},{"River","Rainwater","Borehole","Vendor"}),LOOKUP(RAND(),{0,0.15,0.45,0.72},{"River","Rainwater","Borehole","Vendor"}))),IF(D729&lt;15000,LOOKUP(RAND(),{0,0.4,0.7,0.92},{"River","Rainwater","Borehole","Vendor"}),IF(D729&lt;30000,LOOKUP(RAND(),{0,0.3,0.6,0.85},{"River","Rainwater","Borehole","Vendor"}),LOOKUP(RAND(),{0,0.2,0.5,0.75},{"River","Rainwater","Borehole","Vendor"}))))))</f>
        <v>Rainwater</v>
      </c>
      <c r="F729">
        <f t="shared" ca="1" si="67"/>
        <v>20</v>
      </c>
      <c r="G729">
        <f t="shared" ca="1" si="68"/>
        <v>3.2</v>
      </c>
      <c r="H729">
        <f t="shared" ca="1" si="69"/>
        <v>0</v>
      </c>
      <c r="I729">
        <f t="shared" ca="1" si="70"/>
        <v>0.68257259674721393</v>
      </c>
      <c r="J729">
        <v>1</v>
      </c>
    </row>
    <row r="730" spans="1:10" x14ac:dyDescent="0.3">
      <c r="A730" t="str">
        <f t="shared" si="71"/>
        <v>HH729</v>
      </c>
      <c r="B730" t="str">
        <f ca="1">LOOKUP(RAND(),{0,0.28,0.55,0.78},{"Oloitoktok A","Oloitoktok B","Kiserian","Namanga"})</f>
        <v>Oloitoktok B</v>
      </c>
      <c r="C730">
        <f ca="1">LOOKUP(RAND(),{0,0.02,0.09,0.2,0.35,0.52,0.68,0.81,0.91,0.97},{1,2,3,4,5,6,7,8,9,10})</f>
        <v>4</v>
      </c>
      <c r="D730">
        <f t="shared" ca="1" si="66"/>
        <v>24200</v>
      </c>
      <c r="E730" t="str">
        <f ca="1">IF(B730="Oloitoktok A",IF(D730&lt;15000,LOOKUP(RAND(),{0,0.45,0.75,0.92},{"River","Rainwater","Borehole","Vendor"}),IF(D730&lt;30000,LOOKUP(RAND(),{0,0.35,0.65,0.85},{"River","Rainwater","Borehole","Vendor"}),LOOKUP(RAND(),{0,0.25,0.5,0.75},{"River","Rainwater","Borehole","Vendor"}))),IF(B730="Oloitoktok B",IF(D730&lt;15000,LOOKUP(RAND(),{0,0.5,0.78,0.94},{"River","Rainwater","Borehole","Vendor"}),IF(D730&lt;30000,LOOKUP(RAND(),{0,0.4,0.68,0.87},{"River","Rainwater","Borehole","Vendor"}),LOOKUP(RAND(),{0,0.28,0.55,0.78},{"River","Rainwater","Borehole","Vendor"}))),IF(B730="Kiserian",IF(D730&lt;15000,LOOKUP(RAND(),{0,0.35,0.65,0.9},{"River","Rainwater","Borehole","Vendor"}),IF(D730&lt;30000,LOOKUP(RAND(),{0,0.25,0.55,0.82},{"River","Rainwater","Borehole","Vendor"}),LOOKUP(RAND(),{0,0.15,0.45,0.72},{"River","Rainwater","Borehole","Vendor"}))),IF(D730&lt;15000,LOOKUP(RAND(),{0,0.4,0.7,0.92},{"River","Rainwater","Borehole","Vendor"}),IF(D730&lt;30000,LOOKUP(RAND(),{0,0.3,0.6,0.85},{"River","Rainwater","Borehole","Vendor"}),LOOKUP(RAND(),{0,0.2,0.5,0.75},{"River","Rainwater","Borehole","Vendor"}))))))</f>
        <v>Rainwater</v>
      </c>
      <c r="F730">
        <f t="shared" ca="1" si="67"/>
        <v>31</v>
      </c>
      <c r="G730">
        <f t="shared" ca="1" si="68"/>
        <v>10.3</v>
      </c>
      <c r="H730">
        <f t="shared" ca="1" si="69"/>
        <v>3800</v>
      </c>
      <c r="I730">
        <f t="shared" ca="1" si="70"/>
        <v>0.92625735940968079</v>
      </c>
      <c r="J730">
        <v>1</v>
      </c>
    </row>
    <row r="731" spans="1:10" x14ac:dyDescent="0.3">
      <c r="A731" t="str">
        <f t="shared" si="71"/>
        <v>HH730</v>
      </c>
      <c r="B731" t="str">
        <f ca="1">LOOKUP(RAND(),{0,0.28,0.55,0.78},{"Oloitoktok A","Oloitoktok B","Kiserian","Namanga"})</f>
        <v>Oloitoktok A</v>
      </c>
      <c r="C731">
        <f ca="1">LOOKUP(RAND(),{0,0.02,0.09,0.2,0.35,0.52,0.68,0.81,0.91,0.97},{1,2,3,4,5,6,7,8,9,10})</f>
        <v>3</v>
      </c>
      <c r="D731">
        <f t="shared" ca="1" si="66"/>
        <v>18100</v>
      </c>
      <c r="E731" t="str">
        <f ca="1">IF(B731="Oloitoktok A",IF(D731&lt;15000,LOOKUP(RAND(),{0,0.45,0.75,0.92},{"River","Rainwater","Borehole","Vendor"}),IF(D731&lt;30000,LOOKUP(RAND(),{0,0.35,0.65,0.85},{"River","Rainwater","Borehole","Vendor"}),LOOKUP(RAND(),{0,0.25,0.5,0.75},{"River","Rainwater","Borehole","Vendor"}))),IF(B731="Oloitoktok B",IF(D731&lt;15000,LOOKUP(RAND(),{0,0.5,0.78,0.94},{"River","Rainwater","Borehole","Vendor"}),IF(D731&lt;30000,LOOKUP(RAND(),{0,0.4,0.68,0.87},{"River","Rainwater","Borehole","Vendor"}),LOOKUP(RAND(),{0,0.28,0.55,0.78},{"River","Rainwater","Borehole","Vendor"}))),IF(B731="Kiserian",IF(D731&lt;15000,LOOKUP(RAND(),{0,0.35,0.65,0.9},{"River","Rainwater","Borehole","Vendor"}),IF(D731&lt;30000,LOOKUP(RAND(),{0,0.25,0.55,0.82},{"River","Rainwater","Borehole","Vendor"}),LOOKUP(RAND(),{0,0.15,0.45,0.72},{"River","Rainwater","Borehole","Vendor"}))),IF(D731&lt;15000,LOOKUP(RAND(),{0,0.4,0.7,0.92},{"River","Rainwater","Borehole","Vendor"}),IF(D731&lt;30000,LOOKUP(RAND(),{0,0.3,0.6,0.85},{"River","Rainwater","Borehole","Vendor"}),LOOKUP(RAND(),{0,0.2,0.5,0.75},{"River","Rainwater","Borehole","Vendor"}))))))</f>
        <v>River</v>
      </c>
      <c r="F731">
        <f t="shared" ca="1" si="67"/>
        <v>95</v>
      </c>
      <c r="G731">
        <f t="shared" ca="1" si="68"/>
        <v>8.8000000000000007</v>
      </c>
      <c r="H731">
        <f t="shared" ca="1" si="69"/>
        <v>9500</v>
      </c>
      <c r="I731">
        <f t="shared" ca="1" si="70"/>
        <v>0.30133278758033266</v>
      </c>
      <c r="J731">
        <v>1</v>
      </c>
    </row>
    <row r="732" spans="1:10" x14ac:dyDescent="0.3">
      <c r="A732" t="str">
        <f t="shared" si="71"/>
        <v>HH731</v>
      </c>
      <c r="B732" t="str">
        <f ca="1">LOOKUP(RAND(),{0,0.28,0.55,0.78},{"Oloitoktok A","Oloitoktok B","Kiserian","Namanga"})</f>
        <v>Namanga</v>
      </c>
      <c r="C732">
        <f ca="1">LOOKUP(RAND(),{0,0.02,0.09,0.2,0.35,0.52,0.68,0.81,0.91,0.97},{1,2,3,4,5,6,7,8,9,10})</f>
        <v>2</v>
      </c>
      <c r="D732">
        <f t="shared" ca="1" si="66"/>
        <v>24600</v>
      </c>
      <c r="E732" t="str">
        <f ca="1">IF(B732="Oloitoktok A",IF(D732&lt;15000,LOOKUP(RAND(),{0,0.45,0.75,0.92},{"River","Rainwater","Borehole","Vendor"}),IF(D732&lt;30000,LOOKUP(RAND(),{0,0.35,0.65,0.85},{"River","Rainwater","Borehole","Vendor"}),LOOKUP(RAND(),{0,0.25,0.5,0.75},{"River","Rainwater","Borehole","Vendor"}))),IF(B732="Oloitoktok B",IF(D732&lt;15000,LOOKUP(RAND(),{0,0.5,0.78,0.94},{"River","Rainwater","Borehole","Vendor"}),IF(D732&lt;30000,LOOKUP(RAND(),{0,0.4,0.68,0.87},{"River","Rainwater","Borehole","Vendor"}),LOOKUP(RAND(),{0,0.28,0.55,0.78},{"River","Rainwater","Borehole","Vendor"}))),IF(B732="Kiserian",IF(D732&lt;15000,LOOKUP(RAND(),{0,0.35,0.65,0.9},{"River","Rainwater","Borehole","Vendor"}),IF(D732&lt;30000,LOOKUP(RAND(),{0,0.25,0.55,0.82},{"River","Rainwater","Borehole","Vendor"}),LOOKUP(RAND(),{0,0.15,0.45,0.72},{"River","Rainwater","Borehole","Vendor"}))),IF(D732&lt;15000,LOOKUP(RAND(),{0,0.4,0.7,0.92},{"River","Rainwater","Borehole","Vendor"}),IF(D732&lt;30000,LOOKUP(RAND(),{0,0.3,0.6,0.85},{"River","Rainwater","Borehole","Vendor"}),LOOKUP(RAND(),{0,0.2,0.5,0.75},{"River","Rainwater","Borehole","Vendor"}))))))</f>
        <v>Vendor</v>
      </c>
      <c r="F732">
        <f t="shared" ca="1" si="67"/>
        <v>52</v>
      </c>
      <c r="G732">
        <f t="shared" ca="1" si="68"/>
        <v>10.199999999999999</v>
      </c>
      <c r="H732">
        <f t="shared" ca="1" si="69"/>
        <v>11400</v>
      </c>
      <c r="I732">
        <f t="shared" ca="1" si="70"/>
        <v>2.217279306636466E-2</v>
      </c>
      <c r="J732">
        <v>1</v>
      </c>
    </row>
    <row r="733" spans="1:10" x14ac:dyDescent="0.3">
      <c r="A733" t="str">
        <f t="shared" si="71"/>
        <v>HH732</v>
      </c>
      <c r="B733" t="str">
        <f ca="1">LOOKUP(RAND(),{0,0.28,0.55,0.78},{"Oloitoktok A","Oloitoktok B","Kiserian","Namanga"})</f>
        <v>Oloitoktok A</v>
      </c>
      <c r="C733">
        <f ca="1">LOOKUP(RAND(),{0,0.02,0.09,0.2,0.35,0.52,0.68,0.81,0.91,0.97},{1,2,3,4,5,6,7,8,9,10})</f>
        <v>5</v>
      </c>
      <c r="D733">
        <f t="shared" ca="1" si="66"/>
        <v>22300</v>
      </c>
      <c r="E733" t="str">
        <f ca="1">IF(B733="Oloitoktok A",IF(D733&lt;15000,LOOKUP(RAND(),{0,0.45,0.75,0.92},{"River","Rainwater","Borehole","Vendor"}),IF(D733&lt;30000,LOOKUP(RAND(),{0,0.35,0.65,0.85},{"River","Rainwater","Borehole","Vendor"}),LOOKUP(RAND(),{0,0.25,0.5,0.75},{"River","Rainwater","Borehole","Vendor"}))),IF(B733="Oloitoktok B",IF(D733&lt;15000,LOOKUP(RAND(),{0,0.5,0.78,0.94},{"River","Rainwater","Borehole","Vendor"}),IF(D733&lt;30000,LOOKUP(RAND(),{0,0.4,0.68,0.87},{"River","Rainwater","Borehole","Vendor"}),LOOKUP(RAND(),{0,0.28,0.55,0.78},{"River","Rainwater","Borehole","Vendor"}))),IF(B733="Kiserian",IF(D733&lt;15000,LOOKUP(RAND(),{0,0.35,0.65,0.9},{"River","Rainwater","Borehole","Vendor"}),IF(D733&lt;30000,LOOKUP(RAND(),{0,0.25,0.55,0.82},{"River","Rainwater","Borehole","Vendor"}),LOOKUP(RAND(),{0,0.15,0.45,0.72},{"River","Rainwater","Borehole","Vendor"}))),IF(D733&lt;15000,LOOKUP(RAND(),{0,0.4,0.7,0.92},{"River","Rainwater","Borehole","Vendor"}),IF(D733&lt;30000,LOOKUP(RAND(),{0,0.3,0.6,0.85},{"River","Rainwater","Borehole","Vendor"}),LOOKUP(RAND(),{0,0.2,0.5,0.75},{"River","Rainwater","Borehole","Vendor"}))))))</f>
        <v>Vendor</v>
      </c>
      <c r="F733">
        <f t="shared" ca="1" si="67"/>
        <v>55</v>
      </c>
      <c r="G733">
        <f t="shared" ca="1" si="68"/>
        <v>7</v>
      </c>
      <c r="H733">
        <f t="shared" ca="1" si="69"/>
        <v>0</v>
      </c>
      <c r="I733">
        <f t="shared" ca="1" si="70"/>
        <v>0.18245725278401559</v>
      </c>
      <c r="J733">
        <v>1</v>
      </c>
    </row>
    <row r="734" spans="1:10" x14ac:dyDescent="0.3">
      <c r="A734" t="str">
        <f t="shared" si="71"/>
        <v>HH733</v>
      </c>
      <c r="B734" t="str">
        <f ca="1">LOOKUP(RAND(),{0,0.28,0.55,0.78},{"Oloitoktok A","Oloitoktok B","Kiserian","Namanga"})</f>
        <v>Oloitoktok A</v>
      </c>
      <c r="C734">
        <f ca="1">LOOKUP(RAND(),{0,0.02,0.09,0.2,0.35,0.52,0.68,0.81,0.91,0.97},{1,2,3,4,5,6,7,8,9,10})</f>
        <v>8</v>
      </c>
      <c r="D734">
        <f t="shared" ca="1" si="66"/>
        <v>57400</v>
      </c>
      <c r="E734" t="str">
        <f ca="1">IF(B734="Oloitoktok A",IF(D734&lt;15000,LOOKUP(RAND(),{0,0.45,0.75,0.92},{"River","Rainwater","Borehole","Vendor"}),IF(D734&lt;30000,LOOKUP(RAND(),{0,0.35,0.65,0.85},{"River","Rainwater","Borehole","Vendor"}),LOOKUP(RAND(),{0,0.25,0.5,0.75},{"River","Rainwater","Borehole","Vendor"}))),IF(B734="Oloitoktok B",IF(D734&lt;15000,LOOKUP(RAND(),{0,0.5,0.78,0.94},{"River","Rainwater","Borehole","Vendor"}),IF(D734&lt;30000,LOOKUP(RAND(),{0,0.4,0.68,0.87},{"River","Rainwater","Borehole","Vendor"}),LOOKUP(RAND(),{0,0.28,0.55,0.78},{"River","Rainwater","Borehole","Vendor"}))),IF(B734="Kiserian",IF(D734&lt;15000,LOOKUP(RAND(),{0,0.35,0.65,0.9},{"River","Rainwater","Borehole","Vendor"}),IF(D734&lt;30000,LOOKUP(RAND(),{0,0.25,0.55,0.82},{"River","Rainwater","Borehole","Vendor"}),LOOKUP(RAND(),{0,0.15,0.45,0.72},{"River","Rainwater","Borehole","Vendor"}))),IF(D734&lt;15000,LOOKUP(RAND(),{0,0.4,0.7,0.92},{"River","Rainwater","Borehole","Vendor"}),IF(D734&lt;30000,LOOKUP(RAND(),{0,0.3,0.6,0.85},{"River","Rainwater","Borehole","Vendor"}),LOOKUP(RAND(),{0,0.2,0.5,0.75},{"River","Rainwater","Borehole","Vendor"}))))))</f>
        <v>Vendor</v>
      </c>
      <c r="F734">
        <f t="shared" ca="1" si="67"/>
        <v>46</v>
      </c>
      <c r="G734">
        <f t="shared" ca="1" si="68"/>
        <v>14.2</v>
      </c>
      <c r="H734">
        <f t="shared" ca="1" si="69"/>
        <v>3400</v>
      </c>
      <c r="I734">
        <f t="shared" ca="1" si="70"/>
        <v>0.72272587927796772</v>
      </c>
      <c r="J734">
        <v>1</v>
      </c>
    </row>
    <row r="735" spans="1:10" x14ac:dyDescent="0.3">
      <c r="A735" t="str">
        <f t="shared" si="71"/>
        <v>HH734</v>
      </c>
      <c r="B735" t="str">
        <f ca="1">LOOKUP(RAND(),{0,0.28,0.55,0.78},{"Oloitoktok A","Oloitoktok B","Kiserian","Namanga"})</f>
        <v>Kiserian</v>
      </c>
      <c r="C735">
        <f ca="1">LOOKUP(RAND(),{0,0.02,0.09,0.2,0.35,0.52,0.68,0.81,0.91,0.97},{1,2,3,4,5,6,7,8,9,10})</f>
        <v>5</v>
      </c>
      <c r="D735">
        <f t="shared" ca="1" si="66"/>
        <v>54400</v>
      </c>
      <c r="E735" t="str">
        <f ca="1">IF(B735="Oloitoktok A",IF(D735&lt;15000,LOOKUP(RAND(),{0,0.45,0.75,0.92},{"River","Rainwater","Borehole","Vendor"}),IF(D735&lt;30000,LOOKUP(RAND(),{0,0.35,0.65,0.85},{"River","Rainwater","Borehole","Vendor"}),LOOKUP(RAND(),{0,0.25,0.5,0.75},{"River","Rainwater","Borehole","Vendor"}))),IF(B735="Oloitoktok B",IF(D735&lt;15000,LOOKUP(RAND(),{0,0.5,0.78,0.94},{"River","Rainwater","Borehole","Vendor"}),IF(D735&lt;30000,LOOKUP(RAND(),{0,0.4,0.68,0.87},{"River","Rainwater","Borehole","Vendor"}),LOOKUP(RAND(),{0,0.28,0.55,0.78},{"River","Rainwater","Borehole","Vendor"}))),IF(B735="Kiserian",IF(D735&lt;15000,LOOKUP(RAND(),{0,0.35,0.65,0.9},{"River","Rainwater","Borehole","Vendor"}),IF(D735&lt;30000,LOOKUP(RAND(),{0,0.25,0.55,0.82},{"River","Rainwater","Borehole","Vendor"}),LOOKUP(RAND(),{0,0.15,0.45,0.72},{"River","Rainwater","Borehole","Vendor"}))),IF(D735&lt;15000,LOOKUP(RAND(),{0,0.4,0.7,0.92},{"River","Rainwater","Borehole","Vendor"}),IF(D735&lt;30000,LOOKUP(RAND(),{0,0.3,0.6,0.85},{"River","Rainwater","Borehole","Vendor"}),LOOKUP(RAND(),{0,0.2,0.5,0.75},{"River","Rainwater","Borehole","Vendor"}))))))</f>
        <v>Vendor</v>
      </c>
      <c r="F735">
        <f t="shared" ca="1" si="67"/>
        <v>50</v>
      </c>
      <c r="G735">
        <f t="shared" ca="1" si="68"/>
        <v>1.3</v>
      </c>
      <c r="H735">
        <f t="shared" ca="1" si="69"/>
        <v>9600</v>
      </c>
      <c r="I735">
        <f t="shared" ca="1" si="70"/>
        <v>0.9776063161709595</v>
      </c>
      <c r="J735">
        <v>1</v>
      </c>
    </row>
    <row r="736" spans="1:10" x14ac:dyDescent="0.3">
      <c r="A736" t="str">
        <f t="shared" si="71"/>
        <v>HH735</v>
      </c>
      <c r="B736" t="str">
        <f ca="1">LOOKUP(RAND(),{0,0.28,0.55,0.78},{"Oloitoktok A","Oloitoktok B","Kiserian","Namanga"})</f>
        <v>Oloitoktok B</v>
      </c>
      <c r="C736">
        <f ca="1">LOOKUP(RAND(),{0,0.02,0.09,0.2,0.35,0.52,0.68,0.81,0.91,0.97},{1,2,3,4,5,6,7,8,9,10})</f>
        <v>6</v>
      </c>
      <c r="D736">
        <f t="shared" ca="1" si="66"/>
        <v>33300</v>
      </c>
      <c r="E736" t="str">
        <f ca="1">IF(B736="Oloitoktok A",IF(D736&lt;15000,LOOKUP(RAND(),{0,0.45,0.75,0.92},{"River","Rainwater","Borehole","Vendor"}),IF(D736&lt;30000,LOOKUP(RAND(),{0,0.35,0.65,0.85},{"River","Rainwater","Borehole","Vendor"}),LOOKUP(RAND(),{0,0.25,0.5,0.75},{"River","Rainwater","Borehole","Vendor"}))),IF(B736="Oloitoktok B",IF(D736&lt;15000,LOOKUP(RAND(),{0,0.5,0.78,0.94},{"River","Rainwater","Borehole","Vendor"}),IF(D736&lt;30000,LOOKUP(RAND(),{0,0.4,0.68,0.87},{"River","Rainwater","Borehole","Vendor"}),LOOKUP(RAND(),{0,0.28,0.55,0.78},{"River","Rainwater","Borehole","Vendor"}))),IF(B736="Kiserian",IF(D736&lt;15000,LOOKUP(RAND(),{0,0.35,0.65,0.9},{"River","Rainwater","Borehole","Vendor"}),IF(D736&lt;30000,LOOKUP(RAND(),{0,0.25,0.55,0.82},{"River","Rainwater","Borehole","Vendor"}),LOOKUP(RAND(),{0,0.15,0.45,0.72},{"River","Rainwater","Borehole","Vendor"}))),IF(D736&lt;15000,LOOKUP(RAND(),{0,0.4,0.7,0.92},{"River","Rainwater","Borehole","Vendor"}),IF(D736&lt;30000,LOOKUP(RAND(),{0,0.3,0.6,0.85},{"River","Rainwater","Borehole","Vendor"}),LOOKUP(RAND(),{0,0.2,0.5,0.75},{"River","Rainwater","Borehole","Vendor"}))))))</f>
        <v>River</v>
      </c>
      <c r="F736">
        <f t="shared" ca="1" si="67"/>
        <v>45</v>
      </c>
      <c r="G736">
        <f t="shared" ca="1" si="68"/>
        <v>1.9</v>
      </c>
      <c r="H736">
        <f t="shared" ca="1" si="69"/>
        <v>7400</v>
      </c>
      <c r="I736">
        <f t="shared" ca="1" si="70"/>
        <v>0.9488093520408607</v>
      </c>
      <c r="J736">
        <v>1</v>
      </c>
    </row>
    <row r="737" spans="1:10" x14ac:dyDescent="0.3">
      <c r="A737" t="str">
        <f t="shared" si="71"/>
        <v>HH736</v>
      </c>
      <c r="B737" t="str">
        <f ca="1">LOOKUP(RAND(),{0,0.28,0.55,0.78},{"Oloitoktok A","Oloitoktok B","Kiserian","Namanga"})</f>
        <v>Namanga</v>
      </c>
      <c r="C737">
        <f ca="1">LOOKUP(RAND(),{0,0.02,0.09,0.2,0.35,0.52,0.68,0.81,0.91,0.97},{1,2,3,4,5,6,7,8,9,10})</f>
        <v>5</v>
      </c>
      <c r="D737">
        <f t="shared" ca="1" si="66"/>
        <v>18000</v>
      </c>
      <c r="E737" t="str">
        <f ca="1">IF(B737="Oloitoktok A",IF(D737&lt;15000,LOOKUP(RAND(),{0,0.45,0.75,0.92},{"River","Rainwater","Borehole","Vendor"}),IF(D737&lt;30000,LOOKUP(RAND(),{0,0.35,0.65,0.85},{"River","Rainwater","Borehole","Vendor"}),LOOKUP(RAND(),{0,0.25,0.5,0.75},{"River","Rainwater","Borehole","Vendor"}))),IF(B737="Oloitoktok B",IF(D737&lt;15000,LOOKUP(RAND(),{0,0.5,0.78,0.94},{"River","Rainwater","Borehole","Vendor"}),IF(D737&lt;30000,LOOKUP(RAND(),{0,0.4,0.68,0.87},{"River","Rainwater","Borehole","Vendor"}),LOOKUP(RAND(),{0,0.28,0.55,0.78},{"River","Rainwater","Borehole","Vendor"}))),IF(B737="Kiserian",IF(D737&lt;15000,LOOKUP(RAND(),{0,0.35,0.65,0.9},{"River","Rainwater","Borehole","Vendor"}),IF(D737&lt;30000,LOOKUP(RAND(),{0,0.25,0.55,0.82},{"River","Rainwater","Borehole","Vendor"}),LOOKUP(RAND(),{0,0.15,0.45,0.72},{"River","Rainwater","Borehole","Vendor"}))),IF(D737&lt;15000,LOOKUP(RAND(),{0,0.4,0.7,0.92},{"River","Rainwater","Borehole","Vendor"}),IF(D737&lt;30000,LOOKUP(RAND(),{0,0.3,0.6,0.85},{"River","Rainwater","Borehole","Vendor"}),LOOKUP(RAND(),{0,0.2,0.5,0.75},{"River","Rainwater","Borehole","Vendor"}))))))</f>
        <v>Rainwater</v>
      </c>
      <c r="F737">
        <f t="shared" ca="1" si="67"/>
        <v>15</v>
      </c>
      <c r="G737">
        <f t="shared" ca="1" si="68"/>
        <v>3.8</v>
      </c>
      <c r="H737">
        <f t="shared" ca="1" si="69"/>
        <v>7200</v>
      </c>
      <c r="I737">
        <f t="shared" ca="1" si="70"/>
        <v>0.57352764954830415</v>
      </c>
      <c r="J737">
        <v>1</v>
      </c>
    </row>
    <row r="738" spans="1:10" x14ac:dyDescent="0.3">
      <c r="A738" t="str">
        <f t="shared" si="71"/>
        <v>HH737</v>
      </c>
      <c r="B738" t="str">
        <f ca="1">LOOKUP(RAND(),{0,0.28,0.55,0.78},{"Oloitoktok A","Oloitoktok B","Kiserian","Namanga"})</f>
        <v>Oloitoktok B</v>
      </c>
      <c r="C738">
        <f ca="1">LOOKUP(RAND(),{0,0.02,0.09,0.2,0.35,0.52,0.68,0.81,0.91,0.97},{1,2,3,4,5,6,7,8,9,10})</f>
        <v>3</v>
      </c>
      <c r="D738">
        <f t="shared" ca="1" si="66"/>
        <v>53900</v>
      </c>
      <c r="E738" t="str">
        <f ca="1">IF(B738="Oloitoktok A",IF(D738&lt;15000,LOOKUP(RAND(),{0,0.45,0.75,0.92},{"River","Rainwater","Borehole","Vendor"}),IF(D738&lt;30000,LOOKUP(RAND(),{0,0.35,0.65,0.85},{"River","Rainwater","Borehole","Vendor"}),LOOKUP(RAND(),{0,0.25,0.5,0.75},{"River","Rainwater","Borehole","Vendor"}))),IF(B738="Oloitoktok B",IF(D738&lt;15000,LOOKUP(RAND(),{0,0.5,0.78,0.94},{"River","Rainwater","Borehole","Vendor"}),IF(D738&lt;30000,LOOKUP(RAND(),{0,0.4,0.68,0.87},{"River","Rainwater","Borehole","Vendor"}),LOOKUP(RAND(),{0,0.28,0.55,0.78},{"River","Rainwater","Borehole","Vendor"}))),IF(B738="Kiserian",IF(D738&lt;15000,LOOKUP(RAND(),{0,0.35,0.65,0.9},{"River","Rainwater","Borehole","Vendor"}),IF(D738&lt;30000,LOOKUP(RAND(),{0,0.25,0.55,0.82},{"River","Rainwater","Borehole","Vendor"}),LOOKUP(RAND(),{0,0.15,0.45,0.72},{"River","Rainwater","Borehole","Vendor"}))),IF(D738&lt;15000,LOOKUP(RAND(),{0,0.4,0.7,0.92},{"River","Rainwater","Borehole","Vendor"}),IF(D738&lt;30000,LOOKUP(RAND(),{0,0.3,0.6,0.85},{"River","Rainwater","Borehole","Vendor"}),LOOKUP(RAND(),{0,0.2,0.5,0.75},{"River","Rainwater","Borehole","Vendor"}))))))</f>
        <v>Rainwater</v>
      </c>
      <c r="F738">
        <f t="shared" ca="1" si="67"/>
        <v>28</v>
      </c>
      <c r="G738">
        <f t="shared" ca="1" si="68"/>
        <v>7.3</v>
      </c>
      <c r="H738">
        <f t="shared" ca="1" si="69"/>
        <v>0</v>
      </c>
      <c r="I738">
        <f t="shared" ca="1" si="70"/>
        <v>0.8315115285996264</v>
      </c>
      <c r="J738">
        <v>1</v>
      </c>
    </row>
    <row r="739" spans="1:10" x14ac:dyDescent="0.3">
      <c r="A739" t="str">
        <f t="shared" si="71"/>
        <v>HH738</v>
      </c>
      <c r="B739" t="str">
        <f ca="1">LOOKUP(RAND(),{0,0.28,0.55,0.78},{"Oloitoktok A","Oloitoktok B","Kiserian","Namanga"})</f>
        <v>Namanga</v>
      </c>
      <c r="C739">
        <f ca="1">LOOKUP(RAND(),{0,0.02,0.09,0.2,0.35,0.52,0.68,0.81,0.91,0.97},{1,2,3,4,5,6,7,8,9,10})</f>
        <v>5</v>
      </c>
      <c r="D739">
        <f t="shared" ca="1" si="66"/>
        <v>26700</v>
      </c>
      <c r="E739" t="str">
        <f ca="1">IF(B739="Oloitoktok A",IF(D739&lt;15000,LOOKUP(RAND(),{0,0.45,0.75,0.92},{"River","Rainwater","Borehole","Vendor"}),IF(D739&lt;30000,LOOKUP(RAND(),{0,0.35,0.65,0.85},{"River","Rainwater","Borehole","Vendor"}),LOOKUP(RAND(),{0,0.25,0.5,0.75},{"River","Rainwater","Borehole","Vendor"}))),IF(B739="Oloitoktok B",IF(D739&lt;15000,LOOKUP(RAND(),{0,0.5,0.78,0.94},{"River","Rainwater","Borehole","Vendor"}),IF(D739&lt;30000,LOOKUP(RAND(),{0,0.4,0.68,0.87},{"River","Rainwater","Borehole","Vendor"}),LOOKUP(RAND(),{0,0.28,0.55,0.78},{"River","Rainwater","Borehole","Vendor"}))),IF(B739="Kiserian",IF(D739&lt;15000,LOOKUP(RAND(),{0,0.35,0.65,0.9},{"River","Rainwater","Borehole","Vendor"}),IF(D739&lt;30000,LOOKUP(RAND(),{0,0.25,0.55,0.82},{"River","Rainwater","Borehole","Vendor"}),LOOKUP(RAND(),{0,0.15,0.45,0.72},{"River","Rainwater","Borehole","Vendor"}))),IF(D739&lt;15000,LOOKUP(RAND(),{0,0.4,0.7,0.92},{"River","Rainwater","Borehole","Vendor"}),IF(D739&lt;30000,LOOKUP(RAND(),{0,0.3,0.6,0.85},{"River","Rainwater","Borehole","Vendor"}),LOOKUP(RAND(),{0,0.2,0.5,0.75},{"River","Rainwater","Borehole","Vendor"}))))))</f>
        <v>Vendor</v>
      </c>
      <c r="F739">
        <f t="shared" ca="1" si="67"/>
        <v>12</v>
      </c>
      <c r="G739">
        <f t="shared" ca="1" si="68"/>
        <v>6.8</v>
      </c>
      <c r="H739">
        <f t="shared" ca="1" si="69"/>
        <v>800</v>
      </c>
      <c r="I739">
        <f t="shared" ca="1" si="70"/>
        <v>0.9962409268381377</v>
      </c>
      <c r="J739">
        <v>1</v>
      </c>
    </row>
    <row r="740" spans="1:10" x14ac:dyDescent="0.3">
      <c r="A740" t="str">
        <f t="shared" si="71"/>
        <v>HH739</v>
      </c>
      <c r="B740" t="str">
        <f ca="1">LOOKUP(RAND(),{0,0.28,0.55,0.78},{"Oloitoktok A","Oloitoktok B","Kiserian","Namanga"})</f>
        <v>Oloitoktok A</v>
      </c>
      <c r="C740">
        <f ca="1">LOOKUP(RAND(),{0,0.02,0.09,0.2,0.35,0.52,0.68,0.81,0.91,0.97},{1,2,3,4,5,6,7,8,9,10})</f>
        <v>5</v>
      </c>
      <c r="D740">
        <f t="shared" ca="1" si="66"/>
        <v>76300</v>
      </c>
      <c r="E740" t="str">
        <f ca="1">IF(B740="Oloitoktok A",IF(D740&lt;15000,LOOKUP(RAND(),{0,0.45,0.75,0.92},{"River","Rainwater","Borehole","Vendor"}),IF(D740&lt;30000,LOOKUP(RAND(),{0,0.35,0.65,0.85},{"River","Rainwater","Borehole","Vendor"}),LOOKUP(RAND(),{0,0.25,0.5,0.75},{"River","Rainwater","Borehole","Vendor"}))),IF(B740="Oloitoktok B",IF(D740&lt;15000,LOOKUP(RAND(),{0,0.5,0.78,0.94},{"River","Rainwater","Borehole","Vendor"}),IF(D740&lt;30000,LOOKUP(RAND(),{0,0.4,0.68,0.87},{"River","Rainwater","Borehole","Vendor"}),LOOKUP(RAND(),{0,0.28,0.55,0.78},{"River","Rainwater","Borehole","Vendor"}))),IF(B740="Kiserian",IF(D740&lt;15000,LOOKUP(RAND(),{0,0.35,0.65,0.9},{"River","Rainwater","Borehole","Vendor"}),IF(D740&lt;30000,LOOKUP(RAND(),{0,0.25,0.55,0.82},{"River","Rainwater","Borehole","Vendor"}),LOOKUP(RAND(),{0,0.15,0.45,0.72},{"River","Rainwater","Borehole","Vendor"}))),IF(D740&lt;15000,LOOKUP(RAND(),{0,0.4,0.7,0.92},{"River","Rainwater","Borehole","Vendor"}),IF(D740&lt;30000,LOOKUP(RAND(),{0,0.3,0.6,0.85},{"River","Rainwater","Borehole","Vendor"}),LOOKUP(RAND(),{0,0.2,0.5,0.75},{"River","Rainwater","Borehole","Vendor"}))))))</f>
        <v>River</v>
      </c>
      <c r="F740">
        <f t="shared" ca="1" si="67"/>
        <v>110</v>
      </c>
      <c r="G740">
        <f t="shared" ca="1" si="68"/>
        <v>5.0999999999999996</v>
      </c>
      <c r="H740">
        <f t="shared" ca="1" si="69"/>
        <v>0</v>
      </c>
      <c r="I740">
        <f t="shared" ca="1" si="70"/>
        <v>0.15912033116543445</v>
      </c>
      <c r="J740">
        <v>1</v>
      </c>
    </row>
    <row r="741" spans="1:10" x14ac:dyDescent="0.3">
      <c r="A741" t="str">
        <f t="shared" si="71"/>
        <v>HH740</v>
      </c>
      <c r="B741" t="str">
        <f ca="1">LOOKUP(RAND(),{0,0.28,0.55,0.78},{"Oloitoktok A","Oloitoktok B","Kiserian","Namanga"})</f>
        <v>Oloitoktok B</v>
      </c>
      <c r="C741">
        <f ca="1">LOOKUP(RAND(),{0,0.02,0.09,0.2,0.35,0.52,0.68,0.81,0.91,0.97},{1,2,3,4,5,6,7,8,9,10})</f>
        <v>10</v>
      </c>
      <c r="D741">
        <f t="shared" ca="1" si="66"/>
        <v>150000</v>
      </c>
      <c r="E741" t="str">
        <f ca="1">IF(B741="Oloitoktok A",IF(D741&lt;15000,LOOKUP(RAND(),{0,0.45,0.75,0.92},{"River","Rainwater","Borehole","Vendor"}),IF(D741&lt;30000,LOOKUP(RAND(),{0,0.35,0.65,0.85},{"River","Rainwater","Borehole","Vendor"}),LOOKUP(RAND(),{0,0.25,0.5,0.75},{"River","Rainwater","Borehole","Vendor"}))),IF(B741="Oloitoktok B",IF(D741&lt;15000,LOOKUP(RAND(),{0,0.5,0.78,0.94},{"River","Rainwater","Borehole","Vendor"}),IF(D741&lt;30000,LOOKUP(RAND(),{0,0.4,0.68,0.87},{"River","Rainwater","Borehole","Vendor"}),LOOKUP(RAND(),{0,0.28,0.55,0.78},{"River","Rainwater","Borehole","Vendor"}))),IF(B741="Kiserian",IF(D741&lt;15000,LOOKUP(RAND(),{0,0.35,0.65,0.9},{"River","Rainwater","Borehole","Vendor"}),IF(D741&lt;30000,LOOKUP(RAND(),{0,0.25,0.55,0.82},{"River","Rainwater","Borehole","Vendor"}),LOOKUP(RAND(),{0,0.15,0.45,0.72},{"River","Rainwater","Borehole","Vendor"}))),IF(D741&lt;15000,LOOKUP(RAND(),{0,0.4,0.7,0.92},{"River","Rainwater","Borehole","Vendor"}),IF(D741&lt;30000,LOOKUP(RAND(),{0,0.3,0.6,0.85},{"River","Rainwater","Borehole","Vendor"}),LOOKUP(RAND(),{0,0.2,0.5,0.75},{"River","Rainwater","Borehole","Vendor"}))))))</f>
        <v>River</v>
      </c>
      <c r="F741">
        <f t="shared" ca="1" si="67"/>
        <v>84</v>
      </c>
      <c r="G741">
        <f t="shared" ca="1" si="68"/>
        <v>0.7</v>
      </c>
      <c r="H741">
        <f t="shared" ca="1" si="69"/>
        <v>13900</v>
      </c>
      <c r="I741">
        <f t="shared" ca="1" si="70"/>
        <v>0.7110964977429568</v>
      </c>
      <c r="J741">
        <v>1</v>
      </c>
    </row>
    <row r="742" spans="1:10" x14ac:dyDescent="0.3">
      <c r="A742" t="str">
        <f t="shared" si="71"/>
        <v>HH741</v>
      </c>
      <c r="B742" t="str">
        <f ca="1">LOOKUP(RAND(),{0,0.28,0.55,0.78},{"Oloitoktok A","Oloitoktok B","Kiserian","Namanga"})</f>
        <v>Oloitoktok B</v>
      </c>
      <c r="C742">
        <f ca="1">LOOKUP(RAND(),{0,0.02,0.09,0.2,0.35,0.52,0.68,0.81,0.91,0.97},{1,2,3,4,5,6,7,8,9,10})</f>
        <v>6</v>
      </c>
      <c r="D742">
        <f t="shared" ca="1" si="66"/>
        <v>31700</v>
      </c>
      <c r="E742" t="str">
        <f ca="1">IF(B742="Oloitoktok A",IF(D742&lt;15000,LOOKUP(RAND(),{0,0.45,0.75,0.92},{"River","Rainwater","Borehole","Vendor"}),IF(D742&lt;30000,LOOKUP(RAND(),{0,0.35,0.65,0.85},{"River","Rainwater","Borehole","Vendor"}),LOOKUP(RAND(),{0,0.25,0.5,0.75},{"River","Rainwater","Borehole","Vendor"}))),IF(B742="Oloitoktok B",IF(D742&lt;15000,LOOKUP(RAND(),{0,0.5,0.78,0.94},{"River","Rainwater","Borehole","Vendor"}),IF(D742&lt;30000,LOOKUP(RAND(),{0,0.4,0.68,0.87},{"River","Rainwater","Borehole","Vendor"}),LOOKUP(RAND(),{0,0.28,0.55,0.78},{"River","Rainwater","Borehole","Vendor"}))),IF(B742="Kiserian",IF(D742&lt;15000,LOOKUP(RAND(),{0,0.35,0.65,0.9},{"River","Rainwater","Borehole","Vendor"}),IF(D742&lt;30000,LOOKUP(RAND(),{0,0.25,0.55,0.82},{"River","Rainwater","Borehole","Vendor"}),LOOKUP(RAND(),{0,0.15,0.45,0.72},{"River","Rainwater","Borehole","Vendor"}))),IF(D742&lt;15000,LOOKUP(RAND(),{0,0.4,0.7,0.92},{"River","Rainwater","Borehole","Vendor"}),IF(D742&lt;30000,LOOKUP(RAND(),{0,0.3,0.6,0.85},{"River","Rainwater","Borehole","Vendor"}),LOOKUP(RAND(),{0,0.2,0.5,0.75},{"River","Rainwater","Borehole","Vendor"}))))))</f>
        <v>Rainwater</v>
      </c>
      <c r="F742">
        <f t="shared" ca="1" si="67"/>
        <v>69</v>
      </c>
      <c r="G742">
        <f t="shared" ca="1" si="68"/>
        <v>5.3</v>
      </c>
      <c r="H742">
        <f t="shared" ca="1" si="69"/>
        <v>8100</v>
      </c>
      <c r="I742">
        <f t="shared" ca="1" si="70"/>
        <v>0.39782975934353793</v>
      </c>
      <c r="J742">
        <v>1</v>
      </c>
    </row>
    <row r="743" spans="1:10" x14ac:dyDescent="0.3">
      <c r="A743" t="str">
        <f t="shared" si="71"/>
        <v>HH742</v>
      </c>
      <c r="B743" t="str">
        <f ca="1">LOOKUP(RAND(),{0,0.28,0.55,0.78},{"Oloitoktok A","Oloitoktok B","Kiserian","Namanga"})</f>
        <v>Oloitoktok A</v>
      </c>
      <c r="C743">
        <f ca="1">LOOKUP(RAND(),{0,0.02,0.09,0.2,0.35,0.52,0.68,0.81,0.91,0.97},{1,2,3,4,5,6,7,8,9,10})</f>
        <v>6</v>
      </c>
      <c r="D743">
        <f t="shared" ca="1" si="66"/>
        <v>51300</v>
      </c>
      <c r="E743" t="str">
        <f ca="1">IF(B743="Oloitoktok A",IF(D743&lt;15000,LOOKUP(RAND(),{0,0.45,0.75,0.92},{"River","Rainwater","Borehole","Vendor"}),IF(D743&lt;30000,LOOKUP(RAND(),{0,0.35,0.65,0.85},{"River","Rainwater","Borehole","Vendor"}),LOOKUP(RAND(),{0,0.25,0.5,0.75},{"River","Rainwater","Borehole","Vendor"}))),IF(B743="Oloitoktok B",IF(D743&lt;15000,LOOKUP(RAND(),{0,0.5,0.78,0.94},{"River","Rainwater","Borehole","Vendor"}),IF(D743&lt;30000,LOOKUP(RAND(),{0,0.4,0.68,0.87},{"River","Rainwater","Borehole","Vendor"}),LOOKUP(RAND(),{0,0.28,0.55,0.78},{"River","Rainwater","Borehole","Vendor"}))),IF(B743="Kiserian",IF(D743&lt;15000,LOOKUP(RAND(),{0,0.35,0.65,0.9},{"River","Rainwater","Borehole","Vendor"}),IF(D743&lt;30000,LOOKUP(RAND(),{0,0.25,0.55,0.82},{"River","Rainwater","Borehole","Vendor"}),LOOKUP(RAND(),{0,0.15,0.45,0.72},{"River","Rainwater","Borehole","Vendor"}))),IF(D743&lt;15000,LOOKUP(RAND(),{0,0.4,0.7,0.92},{"River","Rainwater","Borehole","Vendor"}),IF(D743&lt;30000,LOOKUP(RAND(),{0,0.3,0.6,0.85},{"River","Rainwater","Borehole","Vendor"}),LOOKUP(RAND(),{0,0.2,0.5,0.75},{"River","Rainwater","Borehole","Vendor"}))))))</f>
        <v>River</v>
      </c>
      <c r="F743">
        <f t="shared" ca="1" si="67"/>
        <v>58</v>
      </c>
      <c r="G743">
        <f t="shared" ca="1" si="68"/>
        <v>1.2</v>
      </c>
      <c r="H743">
        <f t="shared" ca="1" si="69"/>
        <v>12700</v>
      </c>
      <c r="I743">
        <f t="shared" ca="1" si="70"/>
        <v>0.61122764375771144</v>
      </c>
      <c r="J743">
        <v>1</v>
      </c>
    </row>
    <row r="744" spans="1:10" x14ac:dyDescent="0.3">
      <c r="A744" t="str">
        <f t="shared" si="71"/>
        <v>HH743</v>
      </c>
      <c r="B744" t="str">
        <f ca="1">LOOKUP(RAND(),{0,0.28,0.55,0.78},{"Oloitoktok A","Oloitoktok B","Kiserian","Namanga"})</f>
        <v>Oloitoktok A</v>
      </c>
      <c r="C744">
        <f ca="1">LOOKUP(RAND(),{0,0.02,0.09,0.2,0.35,0.52,0.68,0.81,0.91,0.97},{1,2,3,4,5,6,7,8,9,10})</f>
        <v>7</v>
      </c>
      <c r="D744">
        <f t="shared" ca="1" si="66"/>
        <v>33300</v>
      </c>
      <c r="E744" t="str">
        <f ca="1">IF(B744="Oloitoktok A",IF(D744&lt;15000,LOOKUP(RAND(),{0,0.45,0.75,0.92},{"River","Rainwater","Borehole","Vendor"}),IF(D744&lt;30000,LOOKUP(RAND(),{0,0.35,0.65,0.85},{"River","Rainwater","Borehole","Vendor"}),LOOKUP(RAND(),{0,0.25,0.5,0.75},{"River","Rainwater","Borehole","Vendor"}))),IF(B744="Oloitoktok B",IF(D744&lt;15000,LOOKUP(RAND(),{0,0.5,0.78,0.94},{"River","Rainwater","Borehole","Vendor"}),IF(D744&lt;30000,LOOKUP(RAND(),{0,0.4,0.68,0.87},{"River","Rainwater","Borehole","Vendor"}),LOOKUP(RAND(),{0,0.28,0.55,0.78},{"River","Rainwater","Borehole","Vendor"}))),IF(B744="Kiserian",IF(D744&lt;15000,LOOKUP(RAND(),{0,0.35,0.65,0.9},{"River","Rainwater","Borehole","Vendor"}),IF(D744&lt;30000,LOOKUP(RAND(),{0,0.25,0.55,0.82},{"River","Rainwater","Borehole","Vendor"}),LOOKUP(RAND(),{0,0.15,0.45,0.72},{"River","Rainwater","Borehole","Vendor"}))),IF(D744&lt;15000,LOOKUP(RAND(),{0,0.4,0.7,0.92},{"River","Rainwater","Borehole","Vendor"}),IF(D744&lt;30000,LOOKUP(RAND(),{0,0.3,0.6,0.85},{"River","Rainwater","Borehole","Vendor"}),LOOKUP(RAND(),{0,0.2,0.5,0.75},{"River","Rainwater","Borehole","Vendor"}))))))</f>
        <v>Rainwater</v>
      </c>
      <c r="F744">
        <f t="shared" ca="1" si="67"/>
        <v>62</v>
      </c>
      <c r="G744">
        <f t="shared" ca="1" si="68"/>
        <v>9.5</v>
      </c>
      <c r="H744">
        <f t="shared" ca="1" si="69"/>
        <v>5300</v>
      </c>
      <c r="I744">
        <f t="shared" ca="1" si="70"/>
        <v>0.45427216858946673</v>
      </c>
      <c r="J744">
        <v>1</v>
      </c>
    </row>
    <row r="745" spans="1:10" x14ac:dyDescent="0.3">
      <c r="A745" t="str">
        <f t="shared" si="71"/>
        <v>HH744</v>
      </c>
      <c r="B745" t="str">
        <f ca="1">LOOKUP(RAND(),{0,0.28,0.55,0.78},{"Oloitoktok A","Oloitoktok B","Kiserian","Namanga"})</f>
        <v>Namanga</v>
      </c>
      <c r="C745">
        <f ca="1">LOOKUP(RAND(),{0,0.02,0.09,0.2,0.35,0.52,0.68,0.81,0.91,0.97},{1,2,3,4,5,6,7,8,9,10})</f>
        <v>4</v>
      </c>
      <c r="D745">
        <f t="shared" ca="1" si="66"/>
        <v>64300</v>
      </c>
      <c r="E745" t="str">
        <f ca="1">IF(B745="Oloitoktok A",IF(D745&lt;15000,LOOKUP(RAND(),{0,0.45,0.75,0.92},{"River","Rainwater","Borehole","Vendor"}),IF(D745&lt;30000,LOOKUP(RAND(),{0,0.35,0.65,0.85},{"River","Rainwater","Borehole","Vendor"}),LOOKUP(RAND(),{0,0.25,0.5,0.75},{"River","Rainwater","Borehole","Vendor"}))),IF(B745="Oloitoktok B",IF(D745&lt;15000,LOOKUP(RAND(),{0,0.5,0.78,0.94},{"River","Rainwater","Borehole","Vendor"}),IF(D745&lt;30000,LOOKUP(RAND(),{0,0.4,0.68,0.87},{"River","Rainwater","Borehole","Vendor"}),LOOKUP(RAND(),{0,0.28,0.55,0.78},{"River","Rainwater","Borehole","Vendor"}))),IF(B745="Kiserian",IF(D745&lt;15000,LOOKUP(RAND(),{0,0.35,0.65,0.9},{"River","Rainwater","Borehole","Vendor"}),IF(D745&lt;30000,LOOKUP(RAND(),{0,0.25,0.55,0.82},{"River","Rainwater","Borehole","Vendor"}),LOOKUP(RAND(),{0,0.15,0.45,0.72},{"River","Rainwater","Borehole","Vendor"}))),IF(D745&lt;15000,LOOKUP(RAND(),{0,0.4,0.7,0.92},{"River","Rainwater","Borehole","Vendor"}),IF(D745&lt;30000,LOOKUP(RAND(),{0,0.3,0.6,0.85},{"River","Rainwater","Borehole","Vendor"}),LOOKUP(RAND(),{0,0.2,0.5,0.75},{"River","Rainwater","Borehole","Vendor"}))))))</f>
        <v>River</v>
      </c>
      <c r="F745">
        <f t="shared" ca="1" si="67"/>
        <v>77</v>
      </c>
      <c r="G745">
        <f t="shared" ca="1" si="68"/>
        <v>6.4</v>
      </c>
      <c r="H745">
        <f t="shared" ca="1" si="69"/>
        <v>0</v>
      </c>
      <c r="I745">
        <f t="shared" ca="1" si="70"/>
        <v>0.63697414816612141</v>
      </c>
      <c r="J745">
        <v>1</v>
      </c>
    </row>
    <row r="746" spans="1:10" x14ac:dyDescent="0.3">
      <c r="A746" t="str">
        <f t="shared" si="71"/>
        <v>HH745</v>
      </c>
      <c r="B746" t="str">
        <f ca="1">LOOKUP(RAND(),{0,0.28,0.55,0.78},{"Oloitoktok A","Oloitoktok B","Kiserian","Namanga"})</f>
        <v>Oloitoktok B</v>
      </c>
      <c r="C746">
        <f ca="1">LOOKUP(RAND(),{0,0.02,0.09,0.2,0.35,0.52,0.68,0.81,0.91,0.97},{1,2,3,4,5,6,7,8,9,10})</f>
        <v>6</v>
      </c>
      <c r="D746">
        <f t="shared" ca="1" si="66"/>
        <v>70000</v>
      </c>
      <c r="E746" t="str">
        <f ca="1">IF(B746="Oloitoktok A",IF(D746&lt;15000,LOOKUP(RAND(),{0,0.45,0.75,0.92},{"River","Rainwater","Borehole","Vendor"}),IF(D746&lt;30000,LOOKUP(RAND(),{0,0.35,0.65,0.85},{"River","Rainwater","Borehole","Vendor"}),LOOKUP(RAND(),{0,0.25,0.5,0.75},{"River","Rainwater","Borehole","Vendor"}))),IF(B746="Oloitoktok B",IF(D746&lt;15000,LOOKUP(RAND(),{0,0.5,0.78,0.94},{"River","Rainwater","Borehole","Vendor"}),IF(D746&lt;30000,LOOKUP(RAND(),{0,0.4,0.68,0.87},{"River","Rainwater","Borehole","Vendor"}),LOOKUP(RAND(),{0,0.28,0.55,0.78},{"River","Rainwater","Borehole","Vendor"}))),IF(B746="Kiserian",IF(D746&lt;15000,LOOKUP(RAND(),{0,0.35,0.65,0.9},{"River","Rainwater","Borehole","Vendor"}),IF(D746&lt;30000,LOOKUP(RAND(),{0,0.25,0.55,0.82},{"River","Rainwater","Borehole","Vendor"}),LOOKUP(RAND(),{0,0.15,0.45,0.72},{"River","Rainwater","Borehole","Vendor"}))),IF(D746&lt;15000,LOOKUP(RAND(),{0,0.4,0.7,0.92},{"River","Rainwater","Borehole","Vendor"}),IF(D746&lt;30000,LOOKUP(RAND(),{0,0.3,0.6,0.85},{"River","Rainwater","Borehole","Vendor"}),LOOKUP(RAND(),{0,0.2,0.5,0.75},{"River","Rainwater","Borehole","Vendor"}))))))</f>
        <v>Rainwater</v>
      </c>
      <c r="F746">
        <f t="shared" ca="1" si="67"/>
        <v>62</v>
      </c>
      <c r="G746">
        <f t="shared" ca="1" si="68"/>
        <v>12</v>
      </c>
      <c r="H746">
        <f t="shared" ca="1" si="69"/>
        <v>11300</v>
      </c>
      <c r="I746">
        <f t="shared" ca="1" si="70"/>
        <v>0.20492919132073173</v>
      </c>
      <c r="J746">
        <v>1</v>
      </c>
    </row>
    <row r="747" spans="1:10" x14ac:dyDescent="0.3">
      <c r="A747" t="str">
        <f t="shared" si="71"/>
        <v>HH746</v>
      </c>
      <c r="B747" t="str">
        <f ca="1">LOOKUP(RAND(),{0,0.28,0.55,0.78},{"Oloitoktok A","Oloitoktok B","Kiserian","Namanga"})</f>
        <v>Oloitoktok B</v>
      </c>
      <c r="C747">
        <f ca="1">LOOKUP(RAND(),{0,0.02,0.09,0.2,0.35,0.52,0.68,0.81,0.91,0.97},{1,2,3,4,5,6,7,8,9,10})</f>
        <v>6</v>
      </c>
      <c r="D747">
        <f t="shared" ca="1" si="66"/>
        <v>56000</v>
      </c>
      <c r="E747" t="str">
        <f ca="1">IF(B747="Oloitoktok A",IF(D747&lt;15000,LOOKUP(RAND(),{0,0.45,0.75,0.92},{"River","Rainwater","Borehole","Vendor"}),IF(D747&lt;30000,LOOKUP(RAND(),{0,0.35,0.65,0.85},{"River","Rainwater","Borehole","Vendor"}),LOOKUP(RAND(),{0,0.25,0.5,0.75},{"River","Rainwater","Borehole","Vendor"}))),IF(B747="Oloitoktok B",IF(D747&lt;15000,LOOKUP(RAND(),{0,0.5,0.78,0.94},{"River","Rainwater","Borehole","Vendor"}),IF(D747&lt;30000,LOOKUP(RAND(),{0,0.4,0.68,0.87},{"River","Rainwater","Borehole","Vendor"}),LOOKUP(RAND(),{0,0.28,0.55,0.78},{"River","Rainwater","Borehole","Vendor"}))),IF(B747="Kiserian",IF(D747&lt;15000,LOOKUP(RAND(),{0,0.35,0.65,0.9},{"River","Rainwater","Borehole","Vendor"}),IF(D747&lt;30000,LOOKUP(RAND(),{0,0.25,0.55,0.82},{"River","Rainwater","Borehole","Vendor"}),LOOKUP(RAND(),{0,0.15,0.45,0.72},{"River","Rainwater","Borehole","Vendor"}))),IF(D747&lt;15000,LOOKUP(RAND(),{0,0.4,0.7,0.92},{"River","Rainwater","Borehole","Vendor"}),IF(D747&lt;30000,LOOKUP(RAND(),{0,0.3,0.6,0.85},{"River","Rainwater","Borehole","Vendor"}),LOOKUP(RAND(),{0,0.2,0.5,0.75},{"River","Rainwater","Borehole","Vendor"}))))))</f>
        <v>Vendor</v>
      </c>
      <c r="F747">
        <f t="shared" ca="1" si="67"/>
        <v>53</v>
      </c>
      <c r="G747">
        <f t="shared" ca="1" si="68"/>
        <v>1.7</v>
      </c>
      <c r="H747">
        <f t="shared" ca="1" si="69"/>
        <v>5300</v>
      </c>
      <c r="I747">
        <f t="shared" ca="1" si="70"/>
        <v>0.64192124150170915</v>
      </c>
      <c r="J747">
        <v>1</v>
      </c>
    </row>
    <row r="748" spans="1:10" x14ac:dyDescent="0.3">
      <c r="A748" t="str">
        <f t="shared" si="71"/>
        <v>HH747</v>
      </c>
      <c r="B748" t="str">
        <f ca="1">LOOKUP(RAND(),{0,0.28,0.55,0.78},{"Oloitoktok A","Oloitoktok B","Kiserian","Namanga"})</f>
        <v>Oloitoktok B</v>
      </c>
      <c r="C748">
        <f ca="1">LOOKUP(RAND(),{0,0.02,0.09,0.2,0.35,0.52,0.68,0.81,0.91,0.97},{1,2,3,4,5,6,7,8,9,10})</f>
        <v>3</v>
      </c>
      <c r="D748">
        <f t="shared" ca="1" si="66"/>
        <v>150000</v>
      </c>
      <c r="E748" t="str">
        <f ca="1">IF(B748="Oloitoktok A",IF(D748&lt;15000,LOOKUP(RAND(),{0,0.45,0.75,0.92},{"River","Rainwater","Borehole","Vendor"}),IF(D748&lt;30000,LOOKUP(RAND(),{0,0.35,0.65,0.85},{"River","Rainwater","Borehole","Vendor"}),LOOKUP(RAND(),{0,0.25,0.5,0.75},{"River","Rainwater","Borehole","Vendor"}))),IF(B748="Oloitoktok B",IF(D748&lt;15000,LOOKUP(RAND(),{0,0.5,0.78,0.94},{"River","Rainwater","Borehole","Vendor"}),IF(D748&lt;30000,LOOKUP(RAND(),{0,0.4,0.68,0.87},{"River","Rainwater","Borehole","Vendor"}),LOOKUP(RAND(),{0,0.28,0.55,0.78},{"River","Rainwater","Borehole","Vendor"}))),IF(B748="Kiserian",IF(D748&lt;15000,LOOKUP(RAND(),{0,0.35,0.65,0.9},{"River","Rainwater","Borehole","Vendor"}),IF(D748&lt;30000,LOOKUP(RAND(),{0,0.25,0.55,0.82},{"River","Rainwater","Borehole","Vendor"}),LOOKUP(RAND(),{0,0.15,0.45,0.72},{"River","Rainwater","Borehole","Vendor"}))),IF(D748&lt;15000,LOOKUP(RAND(),{0,0.4,0.7,0.92},{"River","Rainwater","Borehole","Vendor"}),IF(D748&lt;30000,LOOKUP(RAND(),{0,0.3,0.6,0.85},{"River","Rainwater","Borehole","Vendor"}),LOOKUP(RAND(),{0,0.2,0.5,0.75},{"River","Rainwater","Borehole","Vendor"}))))))</f>
        <v>River</v>
      </c>
      <c r="F748">
        <f t="shared" ca="1" si="67"/>
        <v>58</v>
      </c>
      <c r="G748">
        <f t="shared" ca="1" si="68"/>
        <v>0.4</v>
      </c>
      <c r="H748">
        <f t="shared" ca="1" si="69"/>
        <v>11600</v>
      </c>
      <c r="I748">
        <f t="shared" ca="1" si="70"/>
        <v>1.3060136056153637E-2</v>
      </c>
      <c r="J748">
        <v>1</v>
      </c>
    </row>
    <row r="749" spans="1:10" x14ac:dyDescent="0.3">
      <c r="A749" t="str">
        <f t="shared" si="71"/>
        <v>HH748</v>
      </c>
      <c r="B749" t="str">
        <f ca="1">LOOKUP(RAND(),{0,0.28,0.55,0.78},{"Oloitoktok A","Oloitoktok B","Kiserian","Namanga"})</f>
        <v>Namanga</v>
      </c>
      <c r="C749">
        <f ca="1">LOOKUP(RAND(),{0,0.02,0.09,0.2,0.35,0.52,0.68,0.81,0.91,0.97},{1,2,3,4,5,6,7,8,9,10})</f>
        <v>4</v>
      </c>
      <c r="D749">
        <f t="shared" ca="1" si="66"/>
        <v>55800</v>
      </c>
      <c r="E749" t="str">
        <f ca="1">IF(B749="Oloitoktok A",IF(D749&lt;15000,LOOKUP(RAND(),{0,0.45,0.75,0.92},{"River","Rainwater","Borehole","Vendor"}),IF(D749&lt;30000,LOOKUP(RAND(),{0,0.35,0.65,0.85},{"River","Rainwater","Borehole","Vendor"}),LOOKUP(RAND(),{0,0.25,0.5,0.75},{"River","Rainwater","Borehole","Vendor"}))),IF(B749="Oloitoktok B",IF(D749&lt;15000,LOOKUP(RAND(),{0,0.5,0.78,0.94},{"River","Rainwater","Borehole","Vendor"}),IF(D749&lt;30000,LOOKUP(RAND(),{0,0.4,0.68,0.87},{"River","Rainwater","Borehole","Vendor"}),LOOKUP(RAND(),{0,0.28,0.55,0.78},{"River","Rainwater","Borehole","Vendor"}))),IF(B749="Kiserian",IF(D749&lt;15000,LOOKUP(RAND(),{0,0.35,0.65,0.9},{"River","Rainwater","Borehole","Vendor"}),IF(D749&lt;30000,LOOKUP(RAND(),{0,0.25,0.55,0.82},{"River","Rainwater","Borehole","Vendor"}),LOOKUP(RAND(),{0,0.15,0.45,0.72},{"River","Rainwater","Borehole","Vendor"}))),IF(D749&lt;15000,LOOKUP(RAND(),{0,0.4,0.7,0.92},{"River","Rainwater","Borehole","Vendor"}),IF(D749&lt;30000,LOOKUP(RAND(),{0,0.3,0.6,0.85},{"River","Rainwater","Borehole","Vendor"}),LOOKUP(RAND(),{0,0.2,0.5,0.75},{"River","Rainwater","Borehole","Vendor"}))))))</f>
        <v>Borehole</v>
      </c>
      <c r="F749">
        <f t="shared" ca="1" si="67"/>
        <v>39</v>
      </c>
      <c r="G749">
        <f t="shared" ca="1" si="68"/>
        <v>11.9</v>
      </c>
      <c r="H749">
        <f t="shared" ca="1" si="69"/>
        <v>7900</v>
      </c>
      <c r="I749">
        <f t="shared" ca="1" si="70"/>
        <v>0.28996546403927681</v>
      </c>
      <c r="J749">
        <v>1</v>
      </c>
    </row>
    <row r="750" spans="1:10" x14ac:dyDescent="0.3">
      <c r="A750" t="str">
        <f t="shared" si="71"/>
        <v>HH749</v>
      </c>
      <c r="B750" t="str">
        <f ca="1">LOOKUP(RAND(),{0,0.28,0.55,0.78},{"Oloitoktok A","Oloitoktok B","Kiserian","Namanga"})</f>
        <v>Namanga</v>
      </c>
      <c r="C750">
        <f ca="1">LOOKUP(RAND(),{0,0.02,0.09,0.2,0.35,0.52,0.68,0.81,0.91,0.97},{1,2,3,4,5,6,7,8,9,10})</f>
        <v>5</v>
      </c>
      <c r="D750">
        <f t="shared" ca="1" si="66"/>
        <v>12600</v>
      </c>
      <c r="E750" t="str">
        <f ca="1">IF(B750="Oloitoktok A",IF(D750&lt;15000,LOOKUP(RAND(),{0,0.45,0.75,0.92},{"River","Rainwater","Borehole","Vendor"}),IF(D750&lt;30000,LOOKUP(RAND(),{0,0.35,0.65,0.85},{"River","Rainwater","Borehole","Vendor"}),LOOKUP(RAND(),{0,0.25,0.5,0.75},{"River","Rainwater","Borehole","Vendor"}))),IF(B750="Oloitoktok B",IF(D750&lt;15000,LOOKUP(RAND(),{0,0.5,0.78,0.94},{"River","Rainwater","Borehole","Vendor"}),IF(D750&lt;30000,LOOKUP(RAND(),{0,0.4,0.68,0.87},{"River","Rainwater","Borehole","Vendor"}),LOOKUP(RAND(),{0,0.28,0.55,0.78},{"River","Rainwater","Borehole","Vendor"}))),IF(B750="Kiserian",IF(D750&lt;15000,LOOKUP(RAND(),{0,0.35,0.65,0.9},{"River","Rainwater","Borehole","Vendor"}),IF(D750&lt;30000,LOOKUP(RAND(),{0,0.25,0.55,0.82},{"River","Rainwater","Borehole","Vendor"}),LOOKUP(RAND(),{0,0.15,0.45,0.72},{"River","Rainwater","Borehole","Vendor"}))),IF(D750&lt;15000,LOOKUP(RAND(),{0,0.4,0.7,0.92},{"River","Rainwater","Borehole","Vendor"}),IF(D750&lt;30000,LOOKUP(RAND(),{0,0.3,0.6,0.85},{"River","Rainwater","Borehole","Vendor"}),LOOKUP(RAND(),{0,0.2,0.5,0.75},{"River","Rainwater","Borehole","Vendor"}))))))</f>
        <v>Rainwater</v>
      </c>
      <c r="F750">
        <f t="shared" ca="1" si="67"/>
        <v>70</v>
      </c>
      <c r="G750">
        <f t="shared" ca="1" si="68"/>
        <v>8.8000000000000007</v>
      </c>
      <c r="H750">
        <f t="shared" ca="1" si="69"/>
        <v>9500</v>
      </c>
      <c r="I750">
        <f t="shared" ca="1" si="70"/>
        <v>0.960957219645866</v>
      </c>
      <c r="J750">
        <v>1</v>
      </c>
    </row>
    <row r="751" spans="1:10" x14ac:dyDescent="0.3">
      <c r="A751" t="str">
        <f t="shared" si="71"/>
        <v>HH750</v>
      </c>
      <c r="B751" t="str">
        <f ca="1">LOOKUP(RAND(),{0,0.28,0.55,0.78},{"Oloitoktok A","Oloitoktok B","Kiserian","Namanga"})</f>
        <v>Namanga</v>
      </c>
      <c r="C751">
        <f ca="1">LOOKUP(RAND(),{0,0.02,0.09,0.2,0.35,0.52,0.68,0.81,0.91,0.97},{1,2,3,4,5,6,7,8,9,10})</f>
        <v>6</v>
      </c>
      <c r="D751">
        <f t="shared" ca="1" si="66"/>
        <v>55600</v>
      </c>
      <c r="E751" t="str">
        <f ca="1">IF(B751="Oloitoktok A",IF(D751&lt;15000,LOOKUP(RAND(),{0,0.45,0.75,0.92},{"River","Rainwater","Borehole","Vendor"}),IF(D751&lt;30000,LOOKUP(RAND(),{0,0.35,0.65,0.85},{"River","Rainwater","Borehole","Vendor"}),LOOKUP(RAND(),{0,0.25,0.5,0.75},{"River","Rainwater","Borehole","Vendor"}))),IF(B751="Oloitoktok B",IF(D751&lt;15000,LOOKUP(RAND(),{0,0.5,0.78,0.94},{"River","Rainwater","Borehole","Vendor"}),IF(D751&lt;30000,LOOKUP(RAND(),{0,0.4,0.68,0.87},{"River","Rainwater","Borehole","Vendor"}),LOOKUP(RAND(),{0,0.28,0.55,0.78},{"River","Rainwater","Borehole","Vendor"}))),IF(B751="Kiserian",IF(D751&lt;15000,LOOKUP(RAND(),{0,0.35,0.65,0.9},{"River","Rainwater","Borehole","Vendor"}),IF(D751&lt;30000,LOOKUP(RAND(),{0,0.25,0.55,0.82},{"River","Rainwater","Borehole","Vendor"}),LOOKUP(RAND(),{0,0.15,0.45,0.72},{"River","Rainwater","Borehole","Vendor"}))),IF(D751&lt;15000,LOOKUP(RAND(),{0,0.4,0.7,0.92},{"River","Rainwater","Borehole","Vendor"}),IF(D751&lt;30000,LOOKUP(RAND(),{0,0.3,0.6,0.85},{"River","Rainwater","Borehole","Vendor"}),LOOKUP(RAND(),{0,0.2,0.5,0.75},{"River","Rainwater","Borehole","Vendor"}))))))</f>
        <v>Borehole</v>
      </c>
      <c r="F751">
        <f t="shared" ca="1" si="67"/>
        <v>35</v>
      </c>
      <c r="G751">
        <f t="shared" ca="1" si="68"/>
        <v>7.8</v>
      </c>
      <c r="H751">
        <f t="shared" ca="1" si="69"/>
        <v>10100</v>
      </c>
      <c r="I751">
        <f t="shared" ca="1" si="70"/>
        <v>0.57070796739952845</v>
      </c>
      <c r="J751">
        <v>1</v>
      </c>
    </row>
    <row r="752" spans="1:10" x14ac:dyDescent="0.3">
      <c r="A752" t="str">
        <f t="shared" si="71"/>
        <v>HH751</v>
      </c>
      <c r="B752" t="str">
        <f ca="1">LOOKUP(RAND(),{0,0.28,0.55,0.78},{"Oloitoktok A","Oloitoktok B","Kiserian","Namanga"})</f>
        <v>Oloitoktok A</v>
      </c>
      <c r="C752">
        <f ca="1">LOOKUP(RAND(),{0,0.02,0.09,0.2,0.35,0.52,0.68,0.81,0.91,0.97},{1,2,3,4,5,6,7,8,9,10})</f>
        <v>2</v>
      </c>
      <c r="D752">
        <f t="shared" ca="1" si="66"/>
        <v>43800</v>
      </c>
      <c r="E752" t="str">
        <f ca="1">IF(B752="Oloitoktok A",IF(D752&lt;15000,LOOKUP(RAND(),{0,0.45,0.75,0.92},{"River","Rainwater","Borehole","Vendor"}),IF(D752&lt;30000,LOOKUP(RAND(),{0,0.35,0.65,0.85},{"River","Rainwater","Borehole","Vendor"}),LOOKUP(RAND(),{0,0.25,0.5,0.75},{"River","Rainwater","Borehole","Vendor"}))),IF(B752="Oloitoktok B",IF(D752&lt;15000,LOOKUP(RAND(),{0,0.5,0.78,0.94},{"River","Rainwater","Borehole","Vendor"}),IF(D752&lt;30000,LOOKUP(RAND(),{0,0.4,0.68,0.87},{"River","Rainwater","Borehole","Vendor"}),LOOKUP(RAND(),{0,0.28,0.55,0.78},{"River","Rainwater","Borehole","Vendor"}))),IF(B752="Kiserian",IF(D752&lt;15000,LOOKUP(RAND(),{0,0.35,0.65,0.9},{"River","Rainwater","Borehole","Vendor"}),IF(D752&lt;30000,LOOKUP(RAND(),{0,0.25,0.55,0.82},{"River","Rainwater","Borehole","Vendor"}),LOOKUP(RAND(),{0,0.15,0.45,0.72},{"River","Rainwater","Borehole","Vendor"}))),IF(D752&lt;15000,LOOKUP(RAND(),{0,0.4,0.7,0.92},{"River","Rainwater","Borehole","Vendor"}),IF(D752&lt;30000,LOOKUP(RAND(),{0,0.3,0.6,0.85},{"River","Rainwater","Borehole","Vendor"}),LOOKUP(RAND(),{0,0.2,0.5,0.75},{"River","Rainwater","Borehole","Vendor"}))))))</f>
        <v>Borehole</v>
      </c>
      <c r="F752">
        <f t="shared" ca="1" si="67"/>
        <v>33</v>
      </c>
      <c r="G752">
        <f t="shared" ca="1" si="68"/>
        <v>9</v>
      </c>
      <c r="H752">
        <f t="shared" ca="1" si="69"/>
        <v>2400</v>
      </c>
      <c r="I752">
        <f t="shared" ca="1" si="70"/>
        <v>0.78622919110946454</v>
      </c>
      <c r="J752">
        <v>1</v>
      </c>
    </row>
    <row r="753" spans="1:10" x14ac:dyDescent="0.3">
      <c r="A753" t="str">
        <f t="shared" si="71"/>
        <v>HH752</v>
      </c>
      <c r="B753" t="str">
        <f ca="1">LOOKUP(RAND(),{0,0.28,0.55,0.78},{"Oloitoktok A","Oloitoktok B","Kiserian","Namanga"})</f>
        <v>Oloitoktok B</v>
      </c>
      <c r="C753">
        <f ca="1">LOOKUP(RAND(),{0,0.02,0.09,0.2,0.35,0.52,0.68,0.81,0.91,0.97},{1,2,3,4,5,6,7,8,9,10})</f>
        <v>4</v>
      </c>
      <c r="D753">
        <f t="shared" ca="1" si="66"/>
        <v>68900</v>
      </c>
      <c r="E753" t="str">
        <f ca="1">IF(B753="Oloitoktok A",IF(D753&lt;15000,LOOKUP(RAND(),{0,0.45,0.75,0.92},{"River","Rainwater","Borehole","Vendor"}),IF(D753&lt;30000,LOOKUP(RAND(),{0,0.35,0.65,0.85},{"River","Rainwater","Borehole","Vendor"}),LOOKUP(RAND(),{0,0.25,0.5,0.75},{"River","Rainwater","Borehole","Vendor"}))),IF(B753="Oloitoktok B",IF(D753&lt;15000,LOOKUP(RAND(),{0,0.5,0.78,0.94},{"River","Rainwater","Borehole","Vendor"}),IF(D753&lt;30000,LOOKUP(RAND(),{0,0.4,0.68,0.87},{"River","Rainwater","Borehole","Vendor"}),LOOKUP(RAND(),{0,0.28,0.55,0.78},{"River","Rainwater","Borehole","Vendor"}))),IF(B753="Kiserian",IF(D753&lt;15000,LOOKUP(RAND(),{0,0.35,0.65,0.9},{"River","Rainwater","Borehole","Vendor"}),IF(D753&lt;30000,LOOKUP(RAND(),{0,0.25,0.55,0.82},{"River","Rainwater","Borehole","Vendor"}),LOOKUP(RAND(),{0,0.15,0.45,0.72},{"River","Rainwater","Borehole","Vendor"}))),IF(D753&lt;15000,LOOKUP(RAND(),{0,0.4,0.7,0.92},{"River","Rainwater","Borehole","Vendor"}),IF(D753&lt;30000,LOOKUP(RAND(),{0,0.3,0.6,0.85},{"River","Rainwater","Borehole","Vendor"}),LOOKUP(RAND(),{0,0.2,0.5,0.75},{"River","Rainwater","Borehole","Vendor"}))))))</f>
        <v>Borehole</v>
      </c>
      <c r="F753">
        <f t="shared" ca="1" si="67"/>
        <v>72</v>
      </c>
      <c r="G753">
        <f t="shared" ca="1" si="68"/>
        <v>0.6</v>
      </c>
      <c r="H753">
        <f t="shared" ca="1" si="69"/>
        <v>8000</v>
      </c>
      <c r="I753">
        <f t="shared" ca="1" si="70"/>
        <v>0.96389773372211141</v>
      </c>
      <c r="J753">
        <v>1</v>
      </c>
    </row>
    <row r="754" spans="1:10" x14ac:dyDescent="0.3">
      <c r="A754" t="str">
        <f t="shared" si="71"/>
        <v>HH753</v>
      </c>
      <c r="B754" t="str">
        <f ca="1">LOOKUP(RAND(),{0,0.28,0.55,0.78},{"Oloitoktok A","Oloitoktok B","Kiserian","Namanga"})</f>
        <v>Oloitoktok A</v>
      </c>
      <c r="C754">
        <f ca="1">LOOKUP(RAND(),{0,0.02,0.09,0.2,0.35,0.52,0.68,0.81,0.91,0.97},{1,2,3,4,5,6,7,8,9,10})</f>
        <v>9</v>
      </c>
      <c r="D754">
        <f t="shared" ca="1" si="66"/>
        <v>32000</v>
      </c>
      <c r="E754" t="str">
        <f ca="1">IF(B754="Oloitoktok A",IF(D754&lt;15000,LOOKUP(RAND(),{0,0.45,0.75,0.92},{"River","Rainwater","Borehole","Vendor"}),IF(D754&lt;30000,LOOKUP(RAND(),{0,0.35,0.65,0.85},{"River","Rainwater","Borehole","Vendor"}),LOOKUP(RAND(),{0,0.25,0.5,0.75},{"River","Rainwater","Borehole","Vendor"}))),IF(B754="Oloitoktok B",IF(D754&lt;15000,LOOKUP(RAND(),{0,0.5,0.78,0.94},{"River","Rainwater","Borehole","Vendor"}),IF(D754&lt;30000,LOOKUP(RAND(),{0,0.4,0.68,0.87},{"River","Rainwater","Borehole","Vendor"}),LOOKUP(RAND(),{0,0.28,0.55,0.78},{"River","Rainwater","Borehole","Vendor"}))),IF(B754="Kiserian",IF(D754&lt;15000,LOOKUP(RAND(),{0,0.35,0.65,0.9},{"River","Rainwater","Borehole","Vendor"}),IF(D754&lt;30000,LOOKUP(RAND(),{0,0.25,0.55,0.82},{"River","Rainwater","Borehole","Vendor"}),LOOKUP(RAND(),{0,0.15,0.45,0.72},{"River","Rainwater","Borehole","Vendor"}))),IF(D754&lt;15000,LOOKUP(RAND(),{0,0.4,0.7,0.92},{"River","Rainwater","Borehole","Vendor"}),IF(D754&lt;30000,LOOKUP(RAND(),{0,0.3,0.6,0.85},{"River","Rainwater","Borehole","Vendor"}),LOOKUP(RAND(),{0,0.2,0.5,0.75},{"River","Rainwater","Borehole","Vendor"}))))))</f>
        <v>Rainwater</v>
      </c>
      <c r="F754">
        <f t="shared" ca="1" si="67"/>
        <v>42</v>
      </c>
      <c r="G754">
        <f t="shared" ca="1" si="68"/>
        <v>9.1</v>
      </c>
      <c r="H754">
        <f t="shared" ca="1" si="69"/>
        <v>3700</v>
      </c>
      <c r="I754">
        <f t="shared" ca="1" si="70"/>
        <v>0.12674189974110328</v>
      </c>
      <c r="J754">
        <v>1</v>
      </c>
    </row>
    <row r="755" spans="1:10" x14ac:dyDescent="0.3">
      <c r="A755" t="str">
        <f t="shared" si="71"/>
        <v>HH754</v>
      </c>
      <c r="B755" t="str">
        <f ca="1">LOOKUP(RAND(),{0,0.28,0.55,0.78},{"Oloitoktok A","Oloitoktok B","Kiserian","Namanga"})</f>
        <v>Kiserian</v>
      </c>
      <c r="C755">
        <f ca="1">LOOKUP(RAND(),{0,0.02,0.09,0.2,0.35,0.52,0.68,0.81,0.91,0.97},{1,2,3,4,5,6,7,8,9,10})</f>
        <v>6</v>
      </c>
      <c r="D755">
        <f t="shared" ca="1" si="66"/>
        <v>80800</v>
      </c>
      <c r="E755" t="str">
        <f ca="1">IF(B755="Oloitoktok A",IF(D755&lt;15000,LOOKUP(RAND(),{0,0.45,0.75,0.92},{"River","Rainwater","Borehole","Vendor"}),IF(D755&lt;30000,LOOKUP(RAND(),{0,0.35,0.65,0.85},{"River","Rainwater","Borehole","Vendor"}),LOOKUP(RAND(),{0,0.25,0.5,0.75},{"River","Rainwater","Borehole","Vendor"}))),IF(B755="Oloitoktok B",IF(D755&lt;15000,LOOKUP(RAND(),{0,0.5,0.78,0.94},{"River","Rainwater","Borehole","Vendor"}),IF(D755&lt;30000,LOOKUP(RAND(),{0,0.4,0.68,0.87},{"River","Rainwater","Borehole","Vendor"}),LOOKUP(RAND(),{0,0.28,0.55,0.78},{"River","Rainwater","Borehole","Vendor"}))),IF(B755="Kiserian",IF(D755&lt;15000,LOOKUP(RAND(),{0,0.35,0.65,0.9},{"River","Rainwater","Borehole","Vendor"}),IF(D755&lt;30000,LOOKUP(RAND(),{0,0.25,0.55,0.82},{"River","Rainwater","Borehole","Vendor"}),LOOKUP(RAND(),{0,0.15,0.45,0.72},{"River","Rainwater","Borehole","Vendor"}))),IF(D755&lt;15000,LOOKUP(RAND(),{0,0.4,0.7,0.92},{"River","Rainwater","Borehole","Vendor"}),IF(D755&lt;30000,LOOKUP(RAND(),{0,0.3,0.6,0.85},{"River","Rainwater","Borehole","Vendor"}),LOOKUP(RAND(),{0,0.2,0.5,0.75},{"River","Rainwater","Borehole","Vendor"}))))))</f>
        <v>Rainwater</v>
      </c>
      <c r="F755">
        <f t="shared" ca="1" si="67"/>
        <v>33</v>
      </c>
      <c r="G755">
        <f t="shared" ca="1" si="68"/>
        <v>5.9</v>
      </c>
      <c r="H755">
        <f t="shared" ca="1" si="69"/>
        <v>5800</v>
      </c>
      <c r="I755">
        <f t="shared" ca="1" si="70"/>
        <v>0.59156901696890141</v>
      </c>
      <c r="J755">
        <v>1</v>
      </c>
    </row>
    <row r="756" spans="1:10" x14ac:dyDescent="0.3">
      <c r="A756" t="str">
        <f t="shared" si="71"/>
        <v>HH755</v>
      </c>
      <c r="B756" t="str">
        <f ca="1">LOOKUP(RAND(),{0,0.28,0.55,0.78},{"Oloitoktok A","Oloitoktok B","Kiserian","Namanga"})</f>
        <v>Oloitoktok A</v>
      </c>
      <c r="C756">
        <f ca="1">LOOKUP(RAND(),{0,0.02,0.09,0.2,0.35,0.52,0.68,0.81,0.91,0.97},{1,2,3,4,5,6,7,8,9,10})</f>
        <v>3</v>
      </c>
      <c r="D756">
        <f t="shared" ca="1" si="66"/>
        <v>19700</v>
      </c>
      <c r="E756" t="str">
        <f ca="1">IF(B756="Oloitoktok A",IF(D756&lt;15000,LOOKUP(RAND(),{0,0.45,0.75,0.92},{"River","Rainwater","Borehole","Vendor"}),IF(D756&lt;30000,LOOKUP(RAND(),{0,0.35,0.65,0.85},{"River","Rainwater","Borehole","Vendor"}),LOOKUP(RAND(),{0,0.25,0.5,0.75},{"River","Rainwater","Borehole","Vendor"}))),IF(B756="Oloitoktok B",IF(D756&lt;15000,LOOKUP(RAND(),{0,0.5,0.78,0.94},{"River","Rainwater","Borehole","Vendor"}),IF(D756&lt;30000,LOOKUP(RAND(),{0,0.4,0.68,0.87},{"River","Rainwater","Borehole","Vendor"}),LOOKUP(RAND(),{0,0.28,0.55,0.78},{"River","Rainwater","Borehole","Vendor"}))),IF(B756="Kiserian",IF(D756&lt;15000,LOOKUP(RAND(),{0,0.35,0.65,0.9},{"River","Rainwater","Borehole","Vendor"}),IF(D756&lt;30000,LOOKUP(RAND(),{0,0.25,0.55,0.82},{"River","Rainwater","Borehole","Vendor"}),LOOKUP(RAND(),{0,0.15,0.45,0.72},{"River","Rainwater","Borehole","Vendor"}))),IF(D756&lt;15000,LOOKUP(RAND(),{0,0.4,0.7,0.92},{"River","Rainwater","Borehole","Vendor"}),IF(D756&lt;30000,LOOKUP(RAND(),{0,0.3,0.6,0.85},{"River","Rainwater","Borehole","Vendor"}),LOOKUP(RAND(),{0,0.2,0.5,0.75},{"River","Rainwater","Borehole","Vendor"}))))))</f>
        <v>Borehole</v>
      </c>
      <c r="F756">
        <f t="shared" ca="1" si="67"/>
        <v>53</v>
      </c>
      <c r="G756">
        <f t="shared" ca="1" si="68"/>
        <v>9.9</v>
      </c>
      <c r="H756">
        <f t="shared" ca="1" si="69"/>
        <v>8100</v>
      </c>
      <c r="I756">
        <f t="shared" ca="1" si="70"/>
        <v>0.63709625824940319</v>
      </c>
      <c r="J756">
        <v>1</v>
      </c>
    </row>
    <row r="757" spans="1:10" x14ac:dyDescent="0.3">
      <c r="A757" t="str">
        <f t="shared" si="71"/>
        <v>HH756</v>
      </c>
      <c r="B757" t="str">
        <f ca="1">LOOKUP(RAND(),{0,0.28,0.55,0.78},{"Oloitoktok A","Oloitoktok B","Kiserian","Namanga"})</f>
        <v>Kiserian</v>
      </c>
      <c r="C757">
        <f ca="1">LOOKUP(RAND(),{0,0.02,0.09,0.2,0.35,0.52,0.68,0.81,0.91,0.97},{1,2,3,4,5,6,7,8,9,10})</f>
        <v>8</v>
      </c>
      <c r="D757">
        <f t="shared" ca="1" si="66"/>
        <v>74000</v>
      </c>
      <c r="E757" t="str">
        <f ca="1">IF(B757="Oloitoktok A",IF(D757&lt;15000,LOOKUP(RAND(),{0,0.45,0.75,0.92},{"River","Rainwater","Borehole","Vendor"}),IF(D757&lt;30000,LOOKUP(RAND(),{0,0.35,0.65,0.85},{"River","Rainwater","Borehole","Vendor"}),LOOKUP(RAND(),{0,0.25,0.5,0.75},{"River","Rainwater","Borehole","Vendor"}))),IF(B757="Oloitoktok B",IF(D757&lt;15000,LOOKUP(RAND(),{0,0.5,0.78,0.94},{"River","Rainwater","Borehole","Vendor"}),IF(D757&lt;30000,LOOKUP(RAND(),{0,0.4,0.68,0.87},{"River","Rainwater","Borehole","Vendor"}),LOOKUP(RAND(),{0,0.28,0.55,0.78},{"River","Rainwater","Borehole","Vendor"}))),IF(B757="Kiserian",IF(D757&lt;15000,LOOKUP(RAND(),{0,0.35,0.65,0.9},{"River","Rainwater","Borehole","Vendor"}),IF(D757&lt;30000,LOOKUP(RAND(),{0,0.25,0.55,0.82},{"River","Rainwater","Borehole","Vendor"}),LOOKUP(RAND(),{0,0.15,0.45,0.72},{"River","Rainwater","Borehole","Vendor"}))),IF(D757&lt;15000,LOOKUP(RAND(),{0,0.4,0.7,0.92},{"River","Rainwater","Borehole","Vendor"}),IF(D757&lt;30000,LOOKUP(RAND(),{0,0.3,0.6,0.85},{"River","Rainwater","Borehole","Vendor"}),LOOKUP(RAND(),{0,0.2,0.5,0.75},{"River","Rainwater","Borehole","Vendor"}))))))</f>
        <v>River</v>
      </c>
      <c r="F757">
        <f t="shared" ca="1" si="67"/>
        <v>77</v>
      </c>
      <c r="G757">
        <f t="shared" ca="1" si="68"/>
        <v>4.7</v>
      </c>
      <c r="H757">
        <f t="shared" ca="1" si="69"/>
        <v>12000</v>
      </c>
      <c r="I757">
        <f t="shared" ca="1" si="70"/>
        <v>0.85040654257328796</v>
      </c>
      <c r="J757">
        <v>1</v>
      </c>
    </row>
    <row r="758" spans="1:10" x14ac:dyDescent="0.3">
      <c r="A758" t="str">
        <f t="shared" si="71"/>
        <v>HH757</v>
      </c>
      <c r="B758" t="str">
        <f ca="1">LOOKUP(RAND(),{0,0.28,0.55,0.78},{"Oloitoktok A","Oloitoktok B","Kiserian","Namanga"})</f>
        <v>Oloitoktok B</v>
      </c>
      <c r="C758">
        <f ca="1">LOOKUP(RAND(),{0,0.02,0.09,0.2,0.35,0.52,0.68,0.81,0.91,0.97},{1,2,3,4,5,6,7,8,9,10})</f>
        <v>5</v>
      </c>
      <c r="D758">
        <f t="shared" ca="1" si="66"/>
        <v>38900</v>
      </c>
      <c r="E758" t="str">
        <f ca="1">IF(B758="Oloitoktok A",IF(D758&lt;15000,LOOKUP(RAND(),{0,0.45,0.75,0.92},{"River","Rainwater","Borehole","Vendor"}),IF(D758&lt;30000,LOOKUP(RAND(),{0,0.35,0.65,0.85},{"River","Rainwater","Borehole","Vendor"}),LOOKUP(RAND(),{0,0.25,0.5,0.75},{"River","Rainwater","Borehole","Vendor"}))),IF(B758="Oloitoktok B",IF(D758&lt;15000,LOOKUP(RAND(),{0,0.5,0.78,0.94},{"River","Rainwater","Borehole","Vendor"}),IF(D758&lt;30000,LOOKUP(RAND(),{0,0.4,0.68,0.87},{"River","Rainwater","Borehole","Vendor"}),LOOKUP(RAND(),{0,0.28,0.55,0.78},{"River","Rainwater","Borehole","Vendor"}))),IF(B758="Kiserian",IF(D758&lt;15000,LOOKUP(RAND(),{0,0.35,0.65,0.9},{"River","Rainwater","Borehole","Vendor"}),IF(D758&lt;30000,LOOKUP(RAND(),{0,0.25,0.55,0.82},{"River","Rainwater","Borehole","Vendor"}),LOOKUP(RAND(),{0,0.15,0.45,0.72},{"River","Rainwater","Borehole","Vendor"}))),IF(D758&lt;15000,LOOKUP(RAND(),{0,0.4,0.7,0.92},{"River","Rainwater","Borehole","Vendor"}),IF(D758&lt;30000,LOOKUP(RAND(),{0,0.3,0.6,0.85},{"River","Rainwater","Borehole","Vendor"}),LOOKUP(RAND(),{0,0.2,0.5,0.75},{"River","Rainwater","Borehole","Vendor"}))))))</f>
        <v>Rainwater</v>
      </c>
      <c r="F758">
        <f t="shared" ca="1" si="67"/>
        <v>59</v>
      </c>
      <c r="G758">
        <f t="shared" ca="1" si="68"/>
        <v>7.7</v>
      </c>
      <c r="H758">
        <f t="shared" ca="1" si="69"/>
        <v>4800</v>
      </c>
      <c r="I758">
        <f t="shared" ca="1" si="70"/>
        <v>0.78759508423602609</v>
      </c>
      <c r="J758">
        <v>1</v>
      </c>
    </row>
    <row r="759" spans="1:10" x14ac:dyDescent="0.3">
      <c r="A759" t="str">
        <f t="shared" si="71"/>
        <v>HH758</v>
      </c>
      <c r="B759" t="str">
        <f ca="1">LOOKUP(RAND(),{0,0.28,0.55,0.78},{"Oloitoktok A","Oloitoktok B","Kiserian","Namanga"})</f>
        <v>Oloitoktok B</v>
      </c>
      <c r="C759">
        <f ca="1">LOOKUP(RAND(),{0,0.02,0.09,0.2,0.35,0.52,0.68,0.81,0.91,0.97},{1,2,3,4,5,6,7,8,9,10})</f>
        <v>5</v>
      </c>
      <c r="D759">
        <f t="shared" ca="1" si="66"/>
        <v>31200</v>
      </c>
      <c r="E759" t="str">
        <f ca="1">IF(B759="Oloitoktok A",IF(D759&lt;15000,LOOKUP(RAND(),{0,0.45,0.75,0.92},{"River","Rainwater","Borehole","Vendor"}),IF(D759&lt;30000,LOOKUP(RAND(),{0,0.35,0.65,0.85},{"River","Rainwater","Borehole","Vendor"}),LOOKUP(RAND(),{0,0.25,0.5,0.75},{"River","Rainwater","Borehole","Vendor"}))),IF(B759="Oloitoktok B",IF(D759&lt;15000,LOOKUP(RAND(),{0,0.5,0.78,0.94},{"River","Rainwater","Borehole","Vendor"}),IF(D759&lt;30000,LOOKUP(RAND(),{0,0.4,0.68,0.87},{"River","Rainwater","Borehole","Vendor"}),LOOKUP(RAND(),{0,0.28,0.55,0.78},{"River","Rainwater","Borehole","Vendor"}))),IF(B759="Kiserian",IF(D759&lt;15000,LOOKUP(RAND(),{0,0.35,0.65,0.9},{"River","Rainwater","Borehole","Vendor"}),IF(D759&lt;30000,LOOKUP(RAND(),{0,0.25,0.55,0.82},{"River","Rainwater","Borehole","Vendor"}),LOOKUP(RAND(),{0,0.15,0.45,0.72},{"River","Rainwater","Borehole","Vendor"}))),IF(D759&lt;15000,LOOKUP(RAND(),{0,0.4,0.7,0.92},{"River","Rainwater","Borehole","Vendor"}),IF(D759&lt;30000,LOOKUP(RAND(),{0,0.3,0.6,0.85},{"River","Rainwater","Borehole","Vendor"}),LOOKUP(RAND(),{0,0.2,0.5,0.75},{"River","Rainwater","Borehole","Vendor"}))))))</f>
        <v>River</v>
      </c>
      <c r="F759">
        <f t="shared" ca="1" si="67"/>
        <v>80</v>
      </c>
      <c r="G759">
        <f t="shared" ca="1" si="68"/>
        <v>9</v>
      </c>
      <c r="H759">
        <f t="shared" ca="1" si="69"/>
        <v>2600</v>
      </c>
      <c r="I759">
        <f t="shared" ca="1" si="70"/>
        <v>0.40972660222268187</v>
      </c>
      <c r="J759">
        <v>1</v>
      </c>
    </row>
    <row r="760" spans="1:10" x14ac:dyDescent="0.3">
      <c r="A760" t="str">
        <f t="shared" si="71"/>
        <v>HH759</v>
      </c>
      <c r="B760" t="str">
        <f ca="1">LOOKUP(RAND(),{0,0.28,0.55,0.78},{"Oloitoktok A","Oloitoktok B","Kiserian","Namanga"})</f>
        <v>Oloitoktok A</v>
      </c>
      <c r="C760">
        <f ca="1">LOOKUP(RAND(),{0,0.02,0.09,0.2,0.35,0.52,0.68,0.81,0.91,0.97},{1,2,3,4,5,6,7,8,9,10})</f>
        <v>2</v>
      </c>
      <c r="D760">
        <f t="shared" ca="1" si="66"/>
        <v>40600</v>
      </c>
      <c r="E760" t="str">
        <f ca="1">IF(B760="Oloitoktok A",IF(D760&lt;15000,LOOKUP(RAND(),{0,0.45,0.75,0.92},{"River","Rainwater","Borehole","Vendor"}),IF(D760&lt;30000,LOOKUP(RAND(),{0,0.35,0.65,0.85},{"River","Rainwater","Borehole","Vendor"}),LOOKUP(RAND(),{0,0.25,0.5,0.75},{"River","Rainwater","Borehole","Vendor"}))),IF(B760="Oloitoktok B",IF(D760&lt;15000,LOOKUP(RAND(),{0,0.5,0.78,0.94},{"River","Rainwater","Borehole","Vendor"}),IF(D760&lt;30000,LOOKUP(RAND(),{0,0.4,0.68,0.87},{"River","Rainwater","Borehole","Vendor"}),LOOKUP(RAND(),{0,0.28,0.55,0.78},{"River","Rainwater","Borehole","Vendor"}))),IF(B760="Kiserian",IF(D760&lt;15000,LOOKUP(RAND(),{0,0.35,0.65,0.9},{"River","Rainwater","Borehole","Vendor"}),IF(D760&lt;30000,LOOKUP(RAND(),{0,0.25,0.55,0.82},{"River","Rainwater","Borehole","Vendor"}),LOOKUP(RAND(),{0,0.15,0.45,0.72},{"River","Rainwater","Borehole","Vendor"}))),IF(D760&lt;15000,LOOKUP(RAND(),{0,0.4,0.7,0.92},{"River","Rainwater","Borehole","Vendor"}),IF(D760&lt;30000,LOOKUP(RAND(),{0,0.3,0.6,0.85},{"River","Rainwater","Borehole","Vendor"}),LOOKUP(RAND(),{0,0.2,0.5,0.75},{"River","Rainwater","Borehole","Vendor"}))))))</f>
        <v>Rainwater</v>
      </c>
      <c r="F760">
        <f t="shared" ca="1" si="67"/>
        <v>65</v>
      </c>
      <c r="G760">
        <f t="shared" ca="1" si="68"/>
        <v>11.4</v>
      </c>
      <c r="H760">
        <f t="shared" ca="1" si="69"/>
        <v>5300</v>
      </c>
      <c r="I760">
        <f t="shared" ca="1" si="70"/>
        <v>0.80874809411763582</v>
      </c>
      <c r="J760">
        <v>1</v>
      </c>
    </row>
    <row r="761" spans="1:10" x14ac:dyDescent="0.3">
      <c r="A761" t="str">
        <f t="shared" si="71"/>
        <v>HH760</v>
      </c>
      <c r="B761" t="str">
        <f ca="1">LOOKUP(RAND(),{0,0.28,0.55,0.78},{"Oloitoktok A","Oloitoktok B","Kiserian","Namanga"})</f>
        <v>Oloitoktok B</v>
      </c>
      <c r="C761">
        <f ca="1">LOOKUP(RAND(),{0,0.02,0.09,0.2,0.35,0.52,0.68,0.81,0.91,0.97},{1,2,3,4,5,6,7,8,9,10})</f>
        <v>5</v>
      </c>
      <c r="D761">
        <f t="shared" ca="1" si="66"/>
        <v>76900</v>
      </c>
      <c r="E761" t="str">
        <f ca="1">IF(B761="Oloitoktok A",IF(D761&lt;15000,LOOKUP(RAND(),{0,0.45,0.75,0.92},{"River","Rainwater","Borehole","Vendor"}),IF(D761&lt;30000,LOOKUP(RAND(),{0,0.35,0.65,0.85},{"River","Rainwater","Borehole","Vendor"}),LOOKUP(RAND(),{0,0.25,0.5,0.75},{"River","Rainwater","Borehole","Vendor"}))),IF(B761="Oloitoktok B",IF(D761&lt;15000,LOOKUP(RAND(),{0,0.5,0.78,0.94},{"River","Rainwater","Borehole","Vendor"}),IF(D761&lt;30000,LOOKUP(RAND(),{0,0.4,0.68,0.87},{"River","Rainwater","Borehole","Vendor"}),LOOKUP(RAND(),{0,0.28,0.55,0.78},{"River","Rainwater","Borehole","Vendor"}))),IF(B761="Kiserian",IF(D761&lt;15000,LOOKUP(RAND(),{0,0.35,0.65,0.9},{"River","Rainwater","Borehole","Vendor"}),IF(D761&lt;30000,LOOKUP(RAND(),{0,0.25,0.55,0.82},{"River","Rainwater","Borehole","Vendor"}),LOOKUP(RAND(),{0,0.15,0.45,0.72},{"River","Rainwater","Borehole","Vendor"}))),IF(D761&lt;15000,LOOKUP(RAND(),{0,0.4,0.7,0.92},{"River","Rainwater","Borehole","Vendor"}),IF(D761&lt;30000,LOOKUP(RAND(),{0,0.3,0.6,0.85},{"River","Rainwater","Borehole","Vendor"}),LOOKUP(RAND(),{0,0.2,0.5,0.75},{"River","Rainwater","Borehole","Vendor"}))))))</f>
        <v>Borehole</v>
      </c>
      <c r="F761">
        <f t="shared" ca="1" si="67"/>
        <v>28</v>
      </c>
      <c r="G761">
        <f t="shared" ca="1" si="68"/>
        <v>5.7</v>
      </c>
      <c r="H761">
        <f t="shared" ca="1" si="69"/>
        <v>4500</v>
      </c>
      <c r="I761">
        <f t="shared" ca="1" si="70"/>
        <v>0.59289031976414963</v>
      </c>
      <c r="J761">
        <v>1</v>
      </c>
    </row>
    <row r="762" spans="1:10" x14ac:dyDescent="0.3">
      <c r="A762" t="str">
        <f t="shared" si="71"/>
        <v>HH761</v>
      </c>
      <c r="B762" t="str">
        <f ca="1">LOOKUP(RAND(),{0,0.28,0.55,0.78},{"Oloitoktok A","Oloitoktok B","Kiserian","Namanga"})</f>
        <v>Oloitoktok B</v>
      </c>
      <c r="C762">
        <f ca="1">LOOKUP(RAND(),{0,0.02,0.09,0.2,0.35,0.52,0.68,0.81,0.91,0.97},{1,2,3,4,5,6,7,8,9,10})</f>
        <v>3</v>
      </c>
      <c r="D762">
        <f t="shared" ca="1" si="66"/>
        <v>11200</v>
      </c>
      <c r="E762" t="str">
        <f ca="1">IF(B762="Oloitoktok A",IF(D762&lt;15000,LOOKUP(RAND(),{0,0.45,0.75,0.92},{"River","Rainwater","Borehole","Vendor"}),IF(D762&lt;30000,LOOKUP(RAND(),{0,0.35,0.65,0.85},{"River","Rainwater","Borehole","Vendor"}),LOOKUP(RAND(),{0,0.25,0.5,0.75},{"River","Rainwater","Borehole","Vendor"}))),IF(B762="Oloitoktok B",IF(D762&lt;15000,LOOKUP(RAND(),{0,0.5,0.78,0.94},{"River","Rainwater","Borehole","Vendor"}),IF(D762&lt;30000,LOOKUP(RAND(),{0,0.4,0.68,0.87},{"River","Rainwater","Borehole","Vendor"}),LOOKUP(RAND(),{0,0.28,0.55,0.78},{"River","Rainwater","Borehole","Vendor"}))),IF(B762="Kiserian",IF(D762&lt;15000,LOOKUP(RAND(),{0,0.35,0.65,0.9},{"River","Rainwater","Borehole","Vendor"}),IF(D762&lt;30000,LOOKUP(RAND(),{0,0.25,0.55,0.82},{"River","Rainwater","Borehole","Vendor"}),LOOKUP(RAND(),{0,0.15,0.45,0.72},{"River","Rainwater","Borehole","Vendor"}))),IF(D762&lt;15000,LOOKUP(RAND(),{0,0.4,0.7,0.92},{"River","Rainwater","Borehole","Vendor"}),IF(D762&lt;30000,LOOKUP(RAND(),{0,0.3,0.6,0.85},{"River","Rainwater","Borehole","Vendor"}),LOOKUP(RAND(),{0,0.2,0.5,0.75},{"River","Rainwater","Borehole","Vendor"}))))))</f>
        <v>Rainwater</v>
      </c>
      <c r="F762">
        <f t="shared" ca="1" si="67"/>
        <v>48</v>
      </c>
      <c r="G762">
        <f t="shared" ca="1" si="68"/>
        <v>11.8</v>
      </c>
      <c r="H762">
        <f t="shared" ca="1" si="69"/>
        <v>5300</v>
      </c>
      <c r="I762">
        <f t="shared" ca="1" si="70"/>
        <v>0.94182345537205225</v>
      </c>
      <c r="J762">
        <v>1</v>
      </c>
    </row>
    <row r="763" spans="1:10" x14ac:dyDescent="0.3">
      <c r="A763" t="str">
        <f t="shared" si="71"/>
        <v>HH762</v>
      </c>
      <c r="B763" t="str">
        <f ca="1">LOOKUP(RAND(),{0,0.28,0.55,0.78},{"Oloitoktok A","Oloitoktok B","Kiserian","Namanga"})</f>
        <v>Kiserian</v>
      </c>
      <c r="C763">
        <f ca="1">LOOKUP(RAND(),{0,0.02,0.09,0.2,0.35,0.52,0.68,0.81,0.91,0.97},{1,2,3,4,5,6,7,8,9,10})</f>
        <v>5</v>
      </c>
      <c r="D763">
        <f t="shared" ca="1" si="66"/>
        <v>15500</v>
      </c>
      <c r="E763" t="str">
        <f ca="1">IF(B763="Oloitoktok A",IF(D763&lt;15000,LOOKUP(RAND(),{0,0.45,0.75,0.92},{"River","Rainwater","Borehole","Vendor"}),IF(D763&lt;30000,LOOKUP(RAND(),{0,0.35,0.65,0.85},{"River","Rainwater","Borehole","Vendor"}),LOOKUP(RAND(),{0,0.25,0.5,0.75},{"River","Rainwater","Borehole","Vendor"}))),IF(B763="Oloitoktok B",IF(D763&lt;15000,LOOKUP(RAND(),{0,0.5,0.78,0.94},{"River","Rainwater","Borehole","Vendor"}),IF(D763&lt;30000,LOOKUP(RAND(),{0,0.4,0.68,0.87},{"River","Rainwater","Borehole","Vendor"}),LOOKUP(RAND(),{0,0.28,0.55,0.78},{"River","Rainwater","Borehole","Vendor"}))),IF(B763="Kiserian",IF(D763&lt;15000,LOOKUP(RAND(),{0,0.35,0.65,0.9},{"River","Rainwater","Borehole","Vendor"}),IF(D763&lt;30000,LOOKUP(RAND(),{0,0.25,0.55,0.82},{"River","Rainwater","Borehole","Vendor"}),LOOKUP(RAND(),{0,0.15,0.45,0.72},{"River","Rainwater","Borehole","Vendor"}))),IF(D763&lt;15000,LOOKUP(RAND(),{0,0.4,0.7,0.92},{"River","Rainwater","Borehole","Vendor"}),IF(D763&lt;30000,LOOKUP(RAND(),{0,0.3,0.6,0.85},{"River","Rainwater","Borehole","Vendor"}),LOOKUP(RAND(),{0,0.2,0.5,0.75},{"River","Rainwater","Borehole","Vendor"}))))))</f>
        <v>Borehole</v>
      </c>
      <c r="F763">
        <f t="shared" ca="1" si="67"/>
        <v>32</v>
      </c>
      <c r="G763">
        <f t="shared" ca="1" si="68"/>
        <v>7.3</v>
      </c>
      <c r="H763">
        <f t="shared" ca="1" si="69"/>
        <v>7600</v>
      </c>
      <c r="I763">
        <f t="shared" ca="1" si="70"/>
        <v>0.80970242846662432</v>
      </c>
      <c r="J763">
        <v>1</v>
      </c>
    </row>
    <row r="764" spans="1:10" x14ac:dyDescent="0.3">
      <c r="A764" t="str">
        <f t="shared" si="71"/>
        <v>HH763</v>
      </c>
      <c r="B764" t="str">
        <f ca="1">LOOKUP(RAND(),{0,0.28,0.55,0.78},{"Oloitoktok A","Oloitoktok B","Kiserian","Namanga"})</f>
        <v>Oloitoktok B</v>
      </c>
      <c r="C764">
        <f ca="1">LOOKUP(RAND(),{0,0.02,0.09,0.2,0.35,0.52,0.68,0.81,0.91,0.97},{1,2,3,4,5,6,7,8,9,10})</f>
        <v>3</v>
      </c>
      <c r="D764">
        <f t="shared" ca="1" si="66"/>
        <v>17400</v>
      </c>
      <c r="E764" t="str">
        <f ca="1">IF(B764="Oloitoktok A",IF(D764&lt;15000,LOOKUP(RAND(),{0,0.45,0.75,0.92},{"River","Rainwater","Borehole","Vendor"}),IF(D764&lt;30000,LOOKUP(RAND(),{0,0.35,0.65,0.85},{"River","Rainwater","Borehole","Vendor"}),LOOKUP(RAND(),{0,0.25,0.5,0.75},{"River","Rainwater","Borehole","Vendor"}))),IF(B764="Oloitoktok B",IF(D764&lt;15000,LOOKUP(RAND(),{0,0.5,0.78,0.94},{"River","Rainwater","Borehole","Vendor"}),IF(D764&lt;30000,LOOKUP(RAND(),{0,0.4,0.68,0.87},{"River","Rainwater","Borehole","Vendor"}),LOOKUP(RAND(),{0,0.28,0.55,0.78},{"River","Rainwater","Borehole","Vendor"}))),IF(B764="Kiserian",IF(D764&lt;15000,LOOKUP(RAND(),{0,0.35,0.65,0.9},{"River","Rainwater","Borehole","Vendor"}),IF(D764&lt;30000,LOOKUP(RAND(),{0,0.25,0.55,0.82},{"River","Rainwater","Borehole","Vendor"}),LOOKUP(RAND(),{0,0.15,0.45,0.72},{"River","Rainwater","Borehole","Vendor"}))),IF(D764&lt;15000,LOOKUP(RAND(),{0,0.4,0.7,0.92},{"River","Rainwater","Borehole","Vendor"}),IF(D764&lt;30000,LOOKUP(RAND(),{0,0.3,0.6,0.85},{"River","Rainwater","Borehole","Vendor"}),LOOKUP(RAND(),{0,0.2,0.5,0.75},{"River","Rainwater","Borehole","Vendor"}))))))</f>
        <v>Vendor</v>
      </c>
      <c r="F764">
        <f t="shared" ca="1" si="67"/>
        <v>24</v>
      </c>
      <c r="G764">
        <f t="shared" ca="1" si="68"/>
        <v>1.4</v>
      </c>
      <c r="H764">
        <f t="shared" ca="1" si="69"/>
        <v>6800</v>
      </c>
      <c r="I764">
        <f t="shared" ca="1" si="70"/>
        <v>0.8471943003412199</v>
      </c>
      <c r="J764">
        <v>1</v>
      </c>
    </row>
    <row r="765" spans="1:10" x14ac:dyDescent="0.3">
      <c r="A765" t="str">
        <f t="shared" si="71"/>
        <v>HH764</v>
      </c>
      <c r="B765" t="str">
        <f ca="1">LOOKUP(RAND(),{0,0.28,0.55,0.78},{"Oloitoktok A","Oloitoktok B","Kiserian","Namanga"})</f>
        <v>Oloitoktok B</v>
      </c>
      <c r="C765">
        <f ca="1">LOOKUP(RAND(),{0,0.02,0.09,0.2,0.35,0.52,0.68,0.81,0.91,0.97},{1,2,3,4,5,6,7,8,9,10})</f>
        <v>5</v>
      </c>
      <c r="D765">
        <f t="shared" ca="1" si="66"/>
        <v>49200</v>
      </c>
      <c r="E765" t="str">
        <f ca="1">IF(B765="Oloitoktok A",IF(D765&lt;15000,LOOKUP(RAND(),{0,0.45,0.75,0.92},{"River","Rainwater","Borehole","Vendor"}),IF(D765&lt;30000,LOOKUP(RAND(),{0,0.35,0.65,0.85},{"River","Rainwater","Borehole","Vendor"}),LOOKUP(RAND(),{0,0.25,0.5,0.75},{"River","Rainwater","Borehole","Vendor"}))),IF(B765="Oloitoktok B",IF(D765&lt;15000,LOOKUP(RAND(),{0,0.5,0.78,0.94},{"River","Rainwater","Borehole","Vendor"}),IF(D765&lt;30000,LOOKUP(RAND(),{0,0.4,0.68,0.87},{"River","Rainwater","Borehole","Vendor"}),LOOKUP(RAND(),{0,0.28,0.55,0.78},{"River","Rainwater","Borehole","Vendor"}))),IF(B765="Kiserian",IF(D765&lt;15000,LOOKUP(RAND(),{0,0.35,0.65,0.9},{"River","Rainwater","Borehole","Vendor"}),IF(D765&lt;30000,LOOKUP(RAND(),{0,0.25,0.55,0.82},{"River","Rainwater","Borehole","Vendor"}),LOOKUP(RAND(),{0,0.15,0.45,0.72},{"River","Rainwater","Borehole","Vendor"}))),IF(D765&lt;15000,LOOKUP(RAND(),{0,0.4,0.7,0.92},{"River","Rainwater","Borehole","Vendor"}),IF(D765&lt;30000,LOOKUP(RAND(),{0,0.3,0.6,0.85},{"River","Rainwater","Borehole","Vendor"}),LOOKUP(RAND(),{0,0.2,0.5,0.75},{"River","Rainwater","Borehole","Vendor"}))))))</f>
        <v>Borehole</v>
      </c>
      <c r="F765">
        <f t="shared" ca="1" si="67"/>
        <v>30</v>
      </c>
      <c r="G765">
        <f t="shared" ca="1" si="68"/>
        <v>3.6</v>
      </c>
      <c r="H765">
        <f t="shared" ca="1" si="69"/>
        <v>900</v>
      </c>
      <c r="I765">
        <f t="shared" ca="1" si="70"/>
        <v>0.48180422716017368</v>
      </c>
      <c r="J765">
        <v>1</v>
      </c>
    </row>
    <row r="766" spans="1:10" x14ac:dyDescent="0.3">
      <c r="A766" t="str">
        <f t="shared" si="71"/>
        <v>HH765</v>
      </c>
      <c r="B766" t="str">
        <f ca="1">LOOKUP(RAND(),{0,0.28,0.55,0.78},{"Oloitoktok A","Oloitoktok B","Kiserian","Namanga"})</f>
        <v>Oloitoktok B</v>
      </c>
      <c r="C766">
        <f ca="1">LOOKUP(RAND(),{0,0.02,0.09,0.2,0.35,0.52,0.68,0.81,0.91,0.97},{1,2,3,4,5,6,7,8,9,10})</f>
        <v>8</v>
      </c>
      <c r="D766">
        <f t="shared" ca="1" si="66"/>
        <v>75700</v>
      </c>
      <c r="E766" t="str">
        <f ca="1">IF(B766="Oloitoktok A",IF(D766&lt;15000,LOOKUP(RAND(),{0,0.45,0.75,0.92},{"River","Rainwater","Borehole","Vendor"}),IF(D766&lt;30000,LOOKUP(RAND(),{0,0.35,0.65,0.85},{"River","Rainwater","Borehole","Vendor"}),LOOKUP(RAND(),{0,0.25,0.5,0.75},{"River","Rainwater","Borehole","Vendor"}))),IF(B766="Oloitoktok B",IF(D766&lt;15000,LOOKUP(RAND(),{0,0.5,0.78,0.94},{"River","Rainwater","Borehole","Vendor"}),IF(D766&lt;30000,LOOKUP(RAND(),{0,0.4,0.68,0.87},{"River","Rainwater","Borehole","Vendor"}),LOOKUP(RAND(),{0,0.28,0.55,0.78},{"River","Rainwater","Borehole","Vendor"}))),IF(B766="Kiserian",IF(D766&lt;15000,LOOKUP(RAND(),{0,0.35,0.65,0.9},{"River","Rainwater","Borehole","Vendor"}),IF(D766&lt;30000,LOOKUP(RAND(),{0,0.25,0.55,0.82},{"River","Rainwater","Borehole","Vendor"}),LOOKUP(RAND(),{0,0.15,0.45,0.72},{"River","Rainwater","Borehole","Vendor"}))),IF(D766&lt;15000,LOOKUP(RAND(),{0,0.4,0.7,0.92},{"River","Rainwater","Borehole","Vendor"}),IF(D766&lt;30000,LOOKUP(RAND(),{0,0.3,0.6,0.85},{"River","Rainwater","Borehole","Vendor"}),LOOKUP(RAND(),{0,0.2,0.5,0.75},{"River","Rainwater","Borehole","Vendor"}))))))</f>
        <v>River</v>
      </c>
      <c r="F766">
        <f t="shared" ca="1" si="67"/>
        <v>57</v>
      </c>
      <c r="G766">
        <f t="shared" ca="1" si="68"/>
        <v>7.2</v>
      </c>
      <c r="H766">
        <f t="shared" ca="1" si="69"/>
        <v>6600</v>
      </c>
      <c r="I766">
        <f t="shared" ca="1" si="70"/>
        <v>0.44163263590458568</v>
      </c>
      <c r="J766">
        <v>1</v>
      </c>
    </row>
    <row r="767" spans="1:10" x14ac:dyDescent="0.3">
      <c r="A767" t="str">
        <f t="shared" si="71"/>
        <v>HH766</v>
      </c>
      <c r="B767" t="str">
        <f ca="1">LOOKUP(RAND(),{0,0.28,0.55,0.78},{"Oloitoktok A","Oloitoktok B","Kiserian","Namanga"})</f>
        <v>Namanga</v>
      </c>
      <c r="C767">
        <f ca="1">LOOKUP(RAND(),{0,0.02,0.09,0.2,0.35,0.52,0.68,0.81,0.91,0.97},{1,2,3,4,5,6,7,8,9,10})</f>
        <v>7</v>
      </c>
      <c r="D767">
        <f t="shared" ca="1" si="66"/>
        <v>19500</v>
      </c>
      <c r="E767" t="str">
        <f ca="1">IF(B767="Oloitoktok A",IF(D767&lt;15000,LOOKUP(RAND(),{0,0.45,0.75,0.92},{"River","Rainwater","Borehole","Vendor"}),IF(D767&lt;30000,LOOKUP(RAND(),{0,0.35,0.65,0.85},{"River","Rainwater","Borehole","Vendor"}),LOOKUP(RAND(),{0,0.25,0.5,0.75},{"River","Rainwater","Borehole","Vendor"}))),IF(B767="Oloitoktok B",IF(D767&lt;15000,LOOKUP(RAND(),{0,0.5,0.78,0.94},{"River","Rainwater","Borehole","Vendor"}),IF(D767&lt;30000,LOOKUP(RAND(),{0,0.4,0.68,0.87},{"River","Rainwater","Borehole","Vendor"}),LOOKUP(RAND(),{0,0.28,0.55,0.78},{"River","Rainwater","Borehole","Vendor"}))),IF(B767="Kiserian",IF(D767&lt;15000,LOOKUP(RAND(),{0,0.35,0.65,0.9},{"River","Rainwater","Borehole","Vendor"}),IF(D767&lt;30000,LOOKUP(RAND(),{0,0.25,0.55,0.82},{"River","Rainwater","Borehole","Vendor"}),LOOKUP(RAND(),{0,0.15,0.45,0.72},{"River","Rainwater","Borehole","Vendor"}))),IF(D767&lt;15000,LOOKUP(RAND(),{0,0.4,0.7,0.92},{"River","Rainwater","Borehole","Vendor"}),IF(D767&lt;30000,LOOKUP(RAND(),{0,0.3,0.6,0.85},{"River","Rainwater","Borehole","Vendor"}),LOOKUP(RAND(),{0,0.2,0.5,0.75},{"River","Rainwater","Borehole","Vendor"}))))))</f>
        <v>Borehole</v>
      </c>
      <c r="F767">
        <f t="shared" ca="1" si="67"/>
        <v>35</v>
      </c>
      <c r="G767">
        <f t="shared" ca="1" si="68"/>
        <v>7.5</v>
      </c>
      <c r="H767">
        <f t="shared" ca="1" si="69"/>
        <v>2700</v>
      </c>
      <c r="I767">
        <f t="shared" ca="1" si="70"/>
        <v>0.54215079575905267</v>
      </c>
      <c r="J767">
        <v>1</v>
      </c>
    </row>
    <row r="768" spans="1:10" x14ac:dyDescent="0.3">
      <c r="A768" t="str">
        <f t="shared" si="71"/>
        <v>HH767</v>
      </c>
      <c r="B768" t="str">
        <f ca="1">LOOKUP(RAND(),{0,0.28,0.55,0.78},{"Oloitoktok A","Oloitoktok B","Kiserian","Namanga"})</f>
        <v>Oloitoktok B</v>
      </c>
      <c r="C768">
        <f ca="1">LOOKUP(RAND(),{0,0.02,0.09,0.2,0.35,0.52,0.68,0.81,0.91,0.97},{1,2,3,4,5,6,7,8,9,10})</f>
        <v>6</v>
      </c>
      <c r="D768">
        <f t="shared" ca="1" si="66"/>
        <v>111200</v>
      </c>
      <c r="E768" t="str">
        <f ca="1">IF(B768="Oloitoktok A",IF(D768&lt;15000,LOOKUP(RAND(),{0,0.45,0.75,0.92},{"River","Rainwater","Borehole","Vendor"}),IF(D768&lt;30000,LOOKUP(RAND(),{0,0.35,0.65,0.85},{"River","Rainwater","Borehole","Vendor"}),LOOKUP(RAND(),{0,0.25,0.5,0.75},{"River","Rainwater","Borehole","Vendor"}))),IF(B768="Oloitoktok B",IF(D768&lt;15000,LOOKUP(RAND(),{0,0.5,0.78,0.94},{"River","Rainwater","Borehole","Vendor"}),IF(D768&lt;30000,LOOKUP(RAND(),{0,0.4,0.68,0.87},{"River","Rainwater","Borehole","Vendor"}),LOOKUP(RAND(),{0,0.28,0.55,0.78},{"River","Rainwater","Borehole","Vendor"}))),IF(B768="Kiserian",IF(D768&lt;15000,LOOKUP(RAND(),{0,0.35,0.65,0.9},{"River","Rainwater","Borehole","Vendor"}),IF(D768&lt;30000,LOOKUP(RAND(),{0,0.25,0.55,0.82},{"River","Rainwater","Borehole","Vendor"}),LOOKUP(RAND(),{0,0.15,0.45,0.72},{"River","Rainwater","Borehole","Vendor"}))),IF(D768&lt;15000,LOOKUP(RAND(),{0,0.4,0.7,0.92},{"River","Rainwater","Borehole","Vendor"}),IF(D768&lt;30000,LOOKUP(RAND(),{0,0.3,0.6,0.85},{"River","Rainwater","Borehole","Vendor"}),LOOKUP(RAND(),{0,0.2,0.5,0.75},{"River","Rainwater","Borehole","Vendor"}))))))</f>
        <v>River</v>
      </c>
      <c r="F768">
        <f t="shared" ca="1" si="67"/>
        <v>76</v>
      </c>
      <c r="G768">
        <f t="shared" ca="1" si="68"/>
        <v>8.1999999999999993</v>
      </c>
      <c r="H768">
        <f t="shared" ca="1" si="69"/>
        <v>8700</v>
      </c>
      <c r="I768">
        <f t="shared" ca="1" si="70"/>
        <v>0.90878030821538025</v>
      </c>
      <c r="J768">
        <v>1</v>
      </c>
    </row>
    <row r="769" spans="1:10" x14ac:dyDescent="0.3">
      <c r="A769" t="str">
        <f t="shared" si="71"/>
        <v>HH768</v>
      </c>
      <c r="B769" t="str">
        <f ca="1">LOOKUP(RAND(),{0,0.28,0.55,0.78},{"Oloitoktok A","Oloitoktok B","Kiserian","Namanga"})</f>
        <v>Oloitoktok B</v>
      </c>
      <c r="C769">
        <f ca="1">LOOKUP(RAND(),{0,0.02,0.09,0.2,0.35,0.52,0.68,0.81,0.91,0.97},{1,2,3,4,5,6,7,8,9,10})</f>
        <v>4</v>
      </c>
      <c r="D769">
        <f t="shared" ca="1" si="66"/>
        <v>19200</v>
      </c>
      <c r="E769" t="str">
        <f ca="1">IF(B769="Oloitoktok A",IF(D769&lt;15000,LOOKUP(RAND(),{0,0.45,0.75,0.92},{"River","Rainwater","Borehole","Vendor"}),IF(D769&lt;30000,LOOKUP(RAND(),{0,0.35,0.65,0.85},{"River","Rainwater","Borehole","Vendor"}),LOOKUP(RAND(),{0,0.25,0.5,0.75},{"River","Rainwater","Borehole","Vendor"}))),IF(B769="Oloitoktok B",IF(D769&lt;15000,LOOKUP(RAND(),{0,0.5,0.78,0.94},{"River","Rainwater","Borehole","Vendor"}),IF(D769&lt;30000,LOOKUP(RAND(),{0,0.4,0.68,0.87},{"River","Rainwater","Borehole","Vendor"}),LOOKUP(RAND(),{0,0.28,0.55,0.78},{"River","Rainwater","Borehole","Vendor"}))),IF(B769="Kiserian",IF(D769&lt;15000,LOOKUP(RAND(),{0,0.35,0.65,0.9},{"River","Rainwater","Borehole","Vendor"}),IF(D769&lt;30000,LOOKUP(RAND(),{0,0.25,0.55,0.82},{"River","Rainwater","Borehole","Vendor"}),LOOKUP(RAND(),{0,0.15,0.45,0.72},{"River","Rainwater","Borehole","Vendor"}))),IF(D769&lt;15000,LOOKUP(RAND(),{0,0.4,0.7,0.92},{"River","Rainwater","Borehole","Vendor"}),IF(D769&lt;30000,LOOKUP(RAND(),{0,0.3,0.6,0.85},{"River","Rainwater","Borehole","Vendor"}),LOOKUP(RAND(),{0,0.2,0.5,0.75},{"River","Rainwater","Borehole","Vendor"}))))))</f>
        <v>Rainwater</v>
      </c>
      <c r="F769">
        <f t="shared" ca="1" si="67"/>
        <v>38</v>
      </c>
      <c r="G769">
        <f t="shared" ca="1" si="68"/>
        <v>0.5</v>
      </c>
      <c r="H769">
        <f t="shared" ca="1" si="69"/>
        <v>3300</v>
      </c>
      <c r="I769">
        <f t="shared" ca="1" si="70"/>
        <v>0.70414271430463338</v>
      </c>
      <c r="J769">
        <v>1</v>
      </c>
    </row>
    <row r="770" spans="1:10" x14ac:dyDescent="0.3">
      <c r="A770" t="str">
        <f t="shared" si="71"/>
        <v>HH769</v>
      </c>
      <c r="B770" t="str">
        <f ca="1">LOOKUP(RAND(),{0,0.28,0.55,0.78},{"Oloitoktok A","Oloitoktok B","Kiserian","Namanga"})</f>
        <v>Namanga</v>
      </c>
      <c r="C770">
        <f ca="1">LOOKUP(RAND(),{0,0.02,0.09,0.2,0.35,0.52,0.68,0.81,0.91,0.97},{1,2,3,4,5,6,7,8,9,10})</f>
        <v>2</v>
      </c>
      <c r="D770">
        <f t="shared" ref="D770:D833" ca="1" si="72">MAX(5000,MIN(150000,ROUND(_xlfn.LOGNORM.INV(RAND(),LN(28000+1500*C770),0.55),-2)))</f>
        <v>10800</v>
      </c>
      <c r="E770" t="str">
        <f ca="1">IF(B770="Oloitoktok A",IF(D770&lt;15000,LOOKUP(RAND(),{0,0.45,0.75,0.92},{"River","Rainwater","Borehole","Vendor"}),IF(D770&lt;30000,LOOKUP(RAND(),{0,0.35,0.65,0.85},{"River","Rainwater","Borehole","Vendor"}),LOOKUP(RAND(),{0,0.25,0.5,0.75},{"River","Rainwater","Borehole","Vendor"}))),IF(B770="Oloitoktok B",IF(D770&lt;15000,LOOKUP(RAND(),{0,0.5,0.78,0.94},{"River","Rainwater","Borehole","Vendor"}),IF(D770&lt;30000,LOOKUP(RAND(),{0,0.4,0.68,0.87},{"River","Rainwater","Borehole","Vendor"}),LOOKUP(RAND(),{0,0.28,0.55,0.78},{"River","Rainwater","Borehole","Vendor"}))),IF(B770="Kiserian",IF(D770&lt;15000,LOOKUP(RAND(),{0,0.35,0.65,0.9},{"River","Rainwater","Borehole","Vendor"}),IF(D770&lt;30000,LOOKUP(RAND(),{0,0.25,0.55,0.82},{"River","Rainwater","Borehole","Vendor"}),LOOKUP(RAND(),{0,0.15,0.45,0.72},{"River","Rainwater","Borehole","Vendor"}))),IF(D770&lt;15000,LOOKUP(RAND(),{0,0.4,0.7,0.92},{"River","Rainwater","Borehole","Vendor"}),IF(D770&lt;30000,LOOKUP(RAND(),{0,0.3,0.6,0.85},{"River","Rainwater","Borehole","Vendor"}),LOOKUP(RAND(),{0,0.2,0.5,0.75},{"River","Rainwater","Borehole","Vendor"}))))))</f>
        <v>Borehole</v>
      </c>
      <c r="F770">
        <f t="shared" ref="F770:F833" ca="1" si="73">IF(E770="River",RANDBETWEEN(45,120),IF(E770="Rainwater",RANDBETWEEN(15,70),IF(E770="Borehole",RANDBETWEEN(20,75),RANDBETWEEN(10,60))))</f>
        <v>39</v>
      </c>
      <c r="G770">
        <f t="shared" ref="G770:G833" ca="1" si="74">IF(B770="Oloitoktok A",ROUND(RANDBETWEEN(5,150)/10,1),IF(B770="Oloitoktok B",ROUND(RANDBETWEEN(4,140)/10,1),IF(B770="Kiserian",ROUND(RANDBETWEEN(2,100)/10,1),ROUND(RANDBETWEEN(3,120)/10,1))))</f>
        <v>2</v>
      </c>
      <c r="H770">
        <f t="shared" ref="H770:H833" ca="1" si="75">MAX(0,ROUND((1500+(C770*250)+(D770*0.025)+(F770*8)+(G770*120)+IF(E770="River",1200,IF(E770="Rainwater",700,IF(E770="Borehole",400,200)))+_xlfn.NORM.INV(RAND(),0,3500)),-2))</f>
        <v>700</v>
      </c>
      <c r="I770">
        <f t="shared" ref="I770:I833" ca="1" si="76">RAND()</f>
        <v>0.81385005576044678</v>
      </c>
      <c r="J770">
        <v>1</v>
      </c>
    </row>
    <row r="771" spans="1:10" x14ac:dyDescent="0.3">
      <c r="A771" t="str">
        <f t="shared" ref="A771:A834" si="77">"HH"&amp;TEXT(ROW()-1,"000")</f>
        <v>HH770</v>
      </c>
      <c r="B771" t="str">
        <f ca="1">LOOKUP(RAND(),{0,0.28,0.55,0.78},{"Oloitoktok A","Oloitoktok B","Kiserian","Namanga"})</f>
        <v>Kiserian</v>
      </c>
      <c r="C771">
        <f ca="1">LOOKUP(RAND(),{0,0.02,0.09,0.2,0.35,0.52,0.68,0.81,0.91,0.97},{1,2,3,4,5,6,7,8,9,10})</f>
        <v>7</v>
      </c>
      <c r="D771">
        <f t="shared" ca="1" si="72"/>
        <v>32900</v>
      </c>
      <c r="E771" t="str">
        <f ca="1">IF(B771="Oloitoktok A",IF(D771&lt;15000,LOOKUP(RAND(),{0,0.45,0.75,0.92},{"River","Rainwater","Borehole","Vendor"}),IF(D771&lt;30000,LOOKUP(RAND(),{0,0.35,0.65,0.85},{"River","Rainwater","Borehole","Vendor"}),LOOKUP(RAND(),{0,0.25,0.5,0.75},{"River","Rainwater","Borehole","Vendor"}))),IF(B771="Oloitoktok B",IF(D771&lt;15000,LOOKUP(RAND(),{0,0.5,0.78,0.94},{"River","Rainwater","Borehole","Vendor"}),IF(D771&lt;30000,LOOKUP(RAND(),{0,0.4,0.68,0.87},{"River","Rainwater","Borehole","Vendor"}),LOOKUP(RAND(),{0,0.28,0.55,0.78},{"River","Rainwater","Borehole","Vendor"}))),IF(B771="Kiserian",IF(D771&lt;15000,LOOKUP(RAND(),{0,0.35,0.65,0.9},{"River","Rainwater","Borehole","Vendor"}),IF(D771&lt;30000,LOOKUP(RAND(),{0,0.25,0.55,0.82},{"River","Rainwater","Borehole","Vendor"}),LOOKUP(RAND(),{0,0.15,0.45,0.72},{"River","Rainwater","Borehole","Vendor"}))),IF(D771&lt;15000,LOOKUP(RAND(),{0,0.4,0.7,0.92},{"River","Rainwater","Borehole","Vendor"}),IF(D771&lt;30000,LOOKUP(RAND(),{0,0.3,0.6,0.85},{"River","Rainwater","Borehole","Vendor"}),LOOKUP(RAND(),{0,0.2,0.5,0.75},{"River","Rainwater","Borehole","Vendor"}))))))</f>
        <v>Vendor</v>
      </c>
      <c r="F771">
        <f t="shared" ca="1" si="73"/>
        <v>58</v>
      </c>
      <c r="G771">
        <f t="shared" ca="1" si="74"/>
        <v>3</v>
      </c>
      <c r="H771">
        <f t="shared" ca="1" si="75"/>
        <v>7900</v>
      </c>
      <c r="I771">
        <f t="shared" ca="1" si="76"/>
        <v>0.83871311210008392</v>
      </c>
      <c r="J771">
        <v>1</v>
      </c>
    </row>
    <row r="772" spans="1:10" x14ac:dyDescent="0.3">
      <c r="A772" t="str">
        <f t="shared" si="77"/>
        <v>HH771</v>
      </c>
      <c r="B772" t="str">
        <f ca="1">LOOKUP(RAND(),{0,0.28,0.55,0.78},{"Oloitoktok A","Oloitoktok B","Kiserian","Namanga"})</f>
        <v>Oloitoktok B</v>
      </c>
      <c r="C772">
        <f ca="1">LOOKUP(RAND(),{0,0.02,0.09,0.2,0.35,0.52,0.68,0.81,0.91,0.97},{1,2,3,4,5,6,7,8,9,10})</f>
        <v>7</v>
      </c>
      <c r="D772">
        <f t="shared" ca="1" si="72"/>
        <v>33000</v>
      </c>
      <c r="E772" t="str">
        <f ca="1">IF(B772="Oloitoktok A",IF(D772&lt;15000,LOOKUP(RAND(),{0,0.45,0.75,0.92},{"River","Rainwater","Borehole","Vendor"}),IF(D772&lt;30000,LOOKUP(RAND(),{0,0.35,0.65,0.85},{"River","Rainwater","Borehole","Vendor"}),LOOKUP(RAND(),{0,0.25,0.5,0.75},{"River","Rainwater","Borehole","Vendor"}))),IF(B772="Oloitoktok B",IF(D772&lt;15000,LOOKUP(RAND(),{0,0.5,0.78,0.94},{"River","Rainwater","Borehole","Vendor"}),IF(D772&lt;30000,LOOKUP(RAND(),{0,0.4,0.68,0.87},{"River","Rainwater","Borehole","Vendor"}),LOOKUP(RAND(),{0,0.28,0.55,0.78},{"River","Rainwater","Borehole","Vendor"}))),IF(B772="Kiserian",IF(D772&lt;15000,LOOKUP(RAND(),{0,0.35,0.65,0.9},{"River","Rainwater","Borehole","Vendor"}),IF(D772&lt;30000,LOOKUP(RAND(),{0,0.25,0.55,0.82},{"River","Rainwater","Borehole","Vendor"}),LOOKUP(RAND(),{0,0.15,0.45,0.72},{"River","Rainwater","Borehole","Vendor"}))),IF(D772&lt;15000,LOOKUP(RAND(),{0,0.4,0.7,0.92},{"River","Rainwater","Borehole","Vendor"}),IF(D772&lt;30000,LOOKUP(RAND(),{0,0.3,0.6,0.85},{"River","Rainwater","Borehole","Vendor"}),LOOKUP(RAND(),{0,0.2,0.5,0.75},{"River","Rainwater","Borehole","Vendor"}))))))</f>
        <v>Borehole</v>
      </c>
      <c r="F772">
        <f t="shared" ca="1" si="73"/>
        <v>65</v>
      </c>
      <c r="G772">
        <f t="shared" ca="1" si="74"/>
        <v>11.6</v>
      </c>
      <c r="H772">
        <f t="shared" ca="1" si="75"/>
        <v>11700</v>
      </c>
      <c r="I772">
        <f t="shared" ca="1" si="76"/>
        <v>0.44852047332020473</v>
      </c>
      <c r="J772">
        <v>1</v>
      </c>
    </row>
    <row r="773" spans="1:10" x14ac:dyDescent="0.3">
      <c r="A773" t="str">
        <f t="shared" si="77"/>
        <v>HH772</v>
      </c>
      <c r="B773" t="str">
        <f ca="1">LOOKUP(RAND(),{0,0.28,0.55,0.78},{"Oloitoktok A","Oloitoktok B","Kiserian","Namanga"})</f>
        <v>Namanga</v>
      </c>
      <c r="C773">
        <f ca="1">LOOKUP(RAND(),{0,0.02,0.09,0.2,0.35,0.52,0.68,0.81,0.91,0.97},{1,2,3,4,5,6,7,8,9,10})</f>
        <v>5</v>
      </c>
      <c r="D773">
        <f t="shared" ca="1" si="72"/>
        <v>64600</v>
      </c>
      <c r="E773" t="str">
        <f ca="1">IF(B773="Oloitoktok A",IF(D773&lt;15000,LOOKUP(RAND(),{0,0.45,0.75,0.92},{"River","Rainwater","Borehole","Vendor"}),IF(D773&lt;30000,LOOKUP(RAND(),{0,0.35,0.65,0.85},{"River","Rainwater","Borehole","Vendor"}),LOOKUP(RAND(),{0,0.25,0.5,0.75},{"River","Rainwater","Borehole","Vendor"}))),IF(B773="Oloitoktok B",IF(D773&lt;15000,LOOKUP(RAND(),{0,0.5,0.78,0.94},{"River","Rainwater","Borehole","Vendor"}),IF(D773&lt;30000,LOOKUP(RAND(),{0,0.4,0.68,0.87},{"River","Rainwater","Borehole","Vendor"}),LOOKUP(RAND(),{0,0.28,0.55,0.78},{"River","Rainwater","Borehole","Vendor"}))),IF(B773="Kiserian",IF(D773&lt;15000,LOOKUP(RAND(),{0,0.35,0.65,0.9},{"River","Rainwater","Borehole","Vendor"}),IF(D773&lt;30000,LOOKUP(RAND(),{0,0.25,0.55,0.82},{"River","Rainwater","Borehole","Vendor"}),LOOKUP(RAND(),{0,0.15,0.45,0.72},{"River","Rainwater","Borehole","Vendor"}))),IF(D773&lt;15000,LOOKUP(RAND(),{0,0.4,0.7,0.92},{"River","Rainwater","Borehole","Vendor"}),IF(D773&lt;30000,LOOKUP(RAND(),{0,0.3,0.6,0.85},{"River","Rainwater","Borehole","Vendor"}),LOOKUP(RAND(),{0,0.2,0.5,0.75},{"River","Rainwater","Borehole","Vendor"}))))))</f>
        <v>Borehole</v>
      </c>
      <c r="F773">
        <f t="shared" ca="1" si="73"/>
        <v>27</v>
      </c>
      <c r="G773">
        <f t="shared" ca="1" si="74"/>
        <v>8.9</v>
      </c>
      <c r="H773">
        <f t="shared" ca="1" si="75"/>
        <v>5300</v>
      </c>
      <c r="I773">
        <f t="shared" ca="1" si="76"/>
        <v>0.40435725116421362</v>
      </c>
      <c r="J773">
        <v>1</v>
      </c>
    </row>
    <row r="774" spans="1:10" x14ac:dyDescent="0.3">
      <c r="A774" t="str">
        <f t="shared" si="77"/>
        <v>HH773</v>
      </c>
      <c r="B774" t="str">
        <f ca="1">LOOKUP(RAND(),{0,0.28,0.55,0.78},{"Oloitoktok A","Oloitoktok B","Kiserian","Namanga"})</f>
        <v>Oloitoktok A</v>
      </c>
      <c r="C774">
        <f ca="1">LOOKUP(RAND(),{0,0.02,0.09,0.2,0.35,0.52,0.68,0.81,0.91,0.97},{1,2,3,4,5,6,7,8,9,10})</f>
        <v>8</v>
      </c>
      <c r="D774">
        <f t="shared" ca="1" si="72"/>
        <v>36800</v>
      </c>
      <c r="E774" t="str">
        <f ca="1">IF(B774="Oloitoktok A",IF(D774&lt;15000,LOOKUP(RAND(),{0,0.45,0.75,0.92},{"River","Rainwater","Borehole","Vendor"}),IF(D774&lt;30000,LOOKUP(RAND(),{0,0.35,0.65,0.85},{"River","Rainwater","Borehole","Vendor"}),LOOKUP(RAND(),{0,0.25,0.5,0.75},{"River","Rainwater","Borehole","Vendor"}))),IF(B774="Oloitoktok B",IF(D774&lt;15000,LOOKUP(RAND(),{0,0.5,0.78,0.94},{"River","Rainwater","Borehole","Vendor"}),IF(D774&lt;30000,LOOKUP(RAND(),{0,0.4,0.68,0.87},{"River","Rainwater","Borehole","Vendor"}),LOOKUP(RAND(),{0,0.28,0.55,0.78},{"River","Rainwater","Borehole","Vendor"}))),IF(B774="Kiserian",IF(D774&lt;15000,LOOKUP(RAND(),{0,0.35,0.65,0.9},{"River","Rainwater","Borehole","Vendor"}),IF(D774&lt;30000,LOOKUP(RAND(),{0,0.25,0.55,0.82},{"River","Rainwater","Borehole","Vendor"}),LOOKUP(RAND(),{0,0.15,0.45,0.72},{"River","Rainwater","Borehole","Vendor"}))),IF(D774&lt;15000,LOOKUP(RAND(),{0,0.4,0.7,0.92},{"River","Rainwater","Borehole","Vendor"}),IF(D774&lt;30000,LOOKUP(RAND(),{0,0.3,0.6,0.85},{"River","Rainwater","Borehole","Vendor"}),LOOKUP(RAND(),{0,0.2,0.5,0.75},{"River","Rainwater","Borehole","Vendor"}))))))</f>
        <v>Borehole</v>
      </c>
      <c r="F774">
        <f t="shared" ca="1" si="73"/>
        <v>65</v>
      </c>
      <c r="G774">
        <f t="shared" ca="1" si="74"/>
        <v>3.4</v>
      </c>
      <c r="H774">
        <f t="shared" ca="1" si="75"/>
        <v>0</v>
      </c>
      <c r="I774">
        <f t="shared" ca="1" si="76"/>
        <v>0.51756425929265526</v>
      </c>
      <c r="J774">
        <v>1</v>
      </c>
    </row>
    <row r="775" spans="1:10" x14ac:dyDescent="0.3">
      <c r="A775" t="str">
        <f t="shared" si="77"/>
        <v>HH774</v>
      </c>
      <c r="B775" t="str">
        <f ca="1">LOOKUP(RAND(),{0,0.28,0.55,0.78},{"Oloitoktok A","Oloitoktok B","Kiserian","Namanga"})</f>
        <v>Oloitoktok A</v>
      </c>
      <c r="C775">
        <f ca="1">LOOKUP(RAND(),{0,0.02,0.09,0.2,0.35,0.52,0.68,0.81,0.91,0.97},{1,2,3,4,5,6,7,8,9,10})</f>
        <v>5</v>
      </c>
      <c r="D775">
        <f t="shared" ca="1" si="72"/>
        <v>32000</v>
      </c>
      <c r="E775" t="str">
        <f ca="1">IF(B775="Oloitoktok A",IF(D775&lt;15000,LOOKUP(RAND(),{0,0.45,0.75,0.92},{"River","Rainwater","Borehole","Vendor"}),IF(D775&lt;30000,LOOKUP(RAND(),{0,0.35,0.65,0.85},{"River","Rainwater","Borehole","Vendor"}),LOOKUP(RAND(),{0,0.25,0.5,0.75},{"River","Rainwater","Borehole","Vendor"}))),IF(B775="Oloitoktok B",IF(D775&lt;15000,LOOKUP(RAND(),{0,0.5,0.78,0.94},{"River","Rainwater","Borehole","Vendor"}),IF(D775&lt;30000,LOOKUP(RAND(),{0,0.4,0.68,0.87},{"River","Rainwater","Borehole","Vendor"}),LOOKUP(RAND(),{0,0.28,0.55,0.78},{"River","Rainwater","Borehole","Vendor"}))),IF(B775="Kiserian",IF(D775&lt;15000,LOOKUP(RAND(),{0,0.35,0.65,0.9},{"River","Rainwater","Borehole","Vendor"}),IF(D775&lt;30000,LOOKUP(RAND(),{0,0.25,0.55,0.82},{"River","Rainwater","Borehole","Vendor"}),LOOKUP(RAND(),{0,0.15,0.45,0.72},{"River","Rainwater","Borehole","Vendor"}))),IF(D775&lt;15000,LOOKUP(RAND(),{0,0.4,0.7,0.92},{"River","Rainwater","Borehole","Vendor"}),IF(D775&lt;30000,LOOKUP(RAND(),{0,0.3,0.6,0.85},{"River","Rainwater","Borehole","Vendor"}),LOOKUP(RAND(),{0,0.2,0.5,0.75},{"River","Rainwater","Borehole","Vendor"}))))))</f>
        <v>River</v>
      </c>
      <c r="F775">
        <f t="shared" ca="1" si="73"/>
        <v>58</v>
      </c>
      <c r="G775">
        <f t="shared" ca="1" si="74"/>
        <v>4.4000000000000004</v>
      </c>
      <c r="H775">
        <f t="shared" ca="1" si="75"/>
        <v>11100</v>
      </c>
      <c r="I775">
        <f t="shared" ca="1" si="76"/>
        <v>0.11960661804490769</v>
      </c>
      <c r="J775">
        <v>1</v>
      </c>
    </row>
    <row r="776" spans="1:10" x14ac:dyDescent="0.3">
      <c r="A776" t="str">
        <f t="shared" si="77"/>
        <v>HH775</v>
      </c>
      <c r="B776" t="str">
        <f ca="1">LOOKUP(RAND(),{0,0.28,0.55,0.78},{"Oloitoktok A","Oloitoktok B","Kiserian","Namanga"})</f>
        <v>Kiserian</v>
      </c>
      <c r="C776">
        <f ca="1">LOOKUP(RAND(),{0,0.02,0.09,0.2,0.35,0.52,0.68,0.81,0.91,0.97},{1,2,3,4,5,6,7,8,9,10})</f>
        <v>2</v>
      </c>
      <c r="D776">
        <f t="shared" ca="1" si="72"/>
        <v>50500</v>
      </c>
      <c r="E776" t="str">
        <f ca="1">IF(B776="Oloitoktok A",IF(D776&lt;15000,LOOKUP(RAND(),{0,0.45,0.75,0.92},{"River","Rainwater","Borehole","Vendor"}),IF(D776&lt;30000,LOOKUP(RAND(),{0,0.35,0.65,0.85},{"River","Rainwater","Borehole","Vendor"}),LOOKUP(RAND(),{0,0.25,0.5,0.75},{"River","Rainwater","Borehole","Vendor"}))),IF(B776="Oloitoktok B",IF(D776&lt;15000,LOOKUP(RAND(),{0,0.5,0.78,0.94},{"River","Rainwater","Borehole","Vendor"}),IF(D776&lt;30000,LOOKUP(RAND(),{0,0.4,0.68,0.87},{"River","Rainwater","Borehole","Vendor"}),LOOKUP(RAND(),{0,0.28,0.55,0.78},{"River","Rainwater","Borehole","Vendor"}))),IF(B776="Kiserian",IF(D776&lt;15000,LOOKUP(RAND(),{0,0.35,0.65,0.9},{"River","Rainwater","Borehole","Vendor"}),IF(D776&lt;30000,LOOKUP(RAND(),{0,0.25,0.55,0.82},{"River","Rainwater","Borehole","Vendor"}),LOOKUP(RAND(),{0,0.15,0.45,0.72},{"River","Rainwater","Borehole","Vendor"}))),IF(D776&lt;15000,LOOKUP(RAND(),{0,0.4,0.7,0.92},{"River","Rainwater","Borehole","Vendor"}),IF(D776&lt;30000,LOOKUP(RAND(),{0,0.3,0.6,0.85},{"River","Rainwater","Borehole","Vendor"}),LOOKUP(RAND(),{0,0.2,0.5,0.75},{"River","Rainwater","Borehole","Vendor"}))))))</f>
        <v>Vendor</v>
      </c>
      <c r="F776">
        <f t="shared" ca="1" si="73"/>
        <v>44</v>
      </c>
      <c r="G776">
        <f t="shared" ca="1" si="74"/>
        <v>7.6</v>
      </c>
      <c r="H776">
        <f t="shared" ca="1" si="75"/>
        <v>5500</v>
      </c>
      <c r="I776">
        <f t="shared" ca="1" si="76"/>
        <v>0.18666309956572014</v>
      </c>
      <c r="J776">
        <v>1</v>
      </c>
    </row>
    <row r="777" spans="1:10" x14ac:dyDescent="0.3">
      <c r="A777" t="str">
        <f t="shared" si="77"/>
        <v>HH776</v>
      </c>
      <c r="B777" t="str">
        <f ca="1">LOOKUP(RAND(),{0,0.28,0.55,0.78},{"Oloitoktok A","Oloitoktok B","Kiserian","Namanga"})</f>
        <v>Namanga</v>
      </c>
      <c r="C777">
        <f ca="1">LOOKUP(RAND(),{0,0.02,0.09,0.2,0.35,0.52,0.68,0.81,0.91,0.97},{1,2,3,4,5,6,7,8,9,10})</f>
        <v>7</v>
      </c>
      <c r="D777">
        <f t="shared" ca="1" si="72"/>
        <v>24000</v>
      </c>
      <c r="E777" t="str">
        <f ca="1">IF(B777="Oloitoktok A",IF(D777&lt;15000,LOOKUP(RAND(),{0,0.45,0.75,0.92},{"River","Rainwater","Borehole","Vendor"}),IF(D777&lt;30000,LOOKUP(RAND(),{0,0.35,0.65,0.85},{"River","Rainwater","Borehole","Vendor"}),LOOKUP(RAND(),{0,0.25,0.5,0.75},{"River","Rainwater","Borehole","Vendor"}))),IF(B777="Oloitoktok B",IF(D777&lt;15000,LOOKUP(RAND(),{0,0.5,0.78,0.94},{"River","Rainwater","Borehole","Vendor"}),IF(D777&lt;30000,LOOKUP(RAND(),{0,0.4,0.68,0.87},{"River","Rainwater","Borehole","Vendor"}),LOOKUP(RAND(),{0,0.28,0.55,0.78},{"River","Rainwater","Borehole","Vendor"}))),IF(B777="Kiserian",IF(D777&lt;15000,LOOKUP(RAND(),{0,0.35,0.65,0.9},{"River","Rainwater","Borehole","Vendor"}),IF(D777&lt;30000,LOOKUP(RAND(),{0,0.25,0.55,0.82},{"River","Rainwater","Borehole","Vendor"}),LOOKUP(RAND(),{0,0.15,0.45,0.72},{"River","Rainwater","Borehole","Vendor"}))),IF(D777&lt;15000,LOOKUP(RAND(),{0,0.4,0.7,0.92},{"River","Rainwater","Borehole","Vendor"}),IF(D777&lt;30000,LOOKUP(RAND(),{0,0.3,0.6,0.85},{"River","Rainwater","Borehole","Vendor"}),LOOKUP(RAND(),{0,0.2,0.5,0.75},{"River","Rainwater","Borehole","Vendor"}))))))</f>
        <v>River</v>
      </c>
      <c r="F777">
        <f t="shared" ca="1" si="73"/>
        <v>73</v>
      </c>
      <c r="G777">
        <f t="shared" ca="1" si="74"/>
        <v>1.7</v>
      </c>
      <c r="H777">
        <f t="shared" ca="1" si="75"/>
        <v>5000</v>
      </c>
      <c r="I777">
        <f t="shared" ca="1" si="76"/>
        <v>0.87137587024183327</v>
      </c>
      <c r="J777">
        <v>1</v>
      </c>
    </row>
    <row r="778" spans="1:10" x14ac:dyDescent="0.3">
      <c r="A778" t="str">
        <f t="shared" si="77"/>
        <v>HH777</v>
      </c>
      <c r="B778" t="str">
        <f ca="1">LOOKUP(RAND(),{0,0.28,0.55,0.78},{"Oloitoktok A","Oloitoktok B","Kiserian","Namanga"})</f>
        <v>Oloitoktok B</v>
      </c>
      <c r="C778">
        <f ca="1">LOOKUP(RAND(),{0,0.02,0.09,0.2,0.35,0.52,0.68,0.81,0.91,0.97},{1,2,3,4,5,6,7,8,9,10})</f>
        <v>10</v>
      </c>
      <c r="D778">
        <f t="shared" ca="1" si="72"/>
        <v>86300</v>
      </c>
      <c r="E778" t="str">
        <f ca="1">IF(B778="Oloitoktok A",IF(D778&lt;15000,LOOKUP(RAND(),{0,0.45,0.75,0.92},{"River","Rainwater","Borehole","Vendor"}),IF(D778&lt;30000,LOOKUP(RAND(),{0,0.35,0.65,0.85},{"River","Rainwater","Borehole","Vendor"}),LOOKUP(RAND(),{0,0.25,0.5,0.75},{"River","Rainwater","Borehole","Vendor"}))),IF(B778="Oloitoktok B",IF(D778&lt;15000,LOOKUP(RAND(),{0,0.5,0.78,0.94},{"River","Rainwater","Borehole","Vendor"}),IF(D778&lt;30000,LOOKUP(RAND(),{0,0.4,0.68,0.87},{"River","Rainwater","Borehole","Vendor"}),LOOKUP(RAND(),{0,0.28,0.55,0.78},{"River","Rainwater","Borehole","Vendor"}))),IF(B778="Kiserian",IF(D778&lt;15000,LOOKUP(RAND(),{0,0.35,0.65,0.9},{"River","Rainwater","Borehole","Vendor"}),IF(D778&lt;30000,LOOKUP(RAND(),{0,0.25,0.55,0.82},{"River","Rainwater","Borehole","Vendor"}),LOOKUP(RAND(),{0,0.15,0.45,0.72},{"River","Rainwater","Borehole","Vendor"}))),IF(D778&lt;15000,LOOKUP(RAND(),{0,0.4,0.7,0.92},{"River","Rainwater","Borehole","Vendor"}),IF(D778&lt;30000,LOOKUP(RAND(),{0,0.3,0.6,0.85},{"River","Rainwater","Borehole","Vendor"}),LOOKUP(RAND(),{0,0.2,0.5,0.75},{"River","Rainwater","Borehole","Vendor"}))))))</f>
        <v>Vendor</v>
      </c>
      <c r="F778">
        <f t="shared" ca="1" si="73"/>
        <v>54</v>
      </c>
      <c r="G778">
        <f t="shared" ca="1" si="74"/>
        <v>3.8</v>
      </c>
      <c r="H778">
        <f t="shared" ca="1" si="75"/>
        <v>8300</v>
      </c>
      <c r="I778">
        <f t="shared" ca="1" si="76"/>
        <v>0.32510350786031617</v>
      </c>
      <c r="J778">
        <v>1</v>
      </c>
    </row>
    <row r="779" spans="1:10" x14ac:dyDescent="0.3">
      <c r="A779" t="str">
        <f t="shared" si="77"/>
        <v>HH778</v>
      </c>
      <c r="B779" t="str">
        <f ca="1">LOOKUP(RAND(),{0,0.28,0.55,0.78},{"Oloitoktok A","Oloitoktok B","Kiserian","Namanga"})</f>
        <v>Oloitoktok A</v>
      </c>
      <c r="C779">
        <f ca="1">LOOKUP(RAND(),{0,0.02,0.09,0.2,0.35,0.52,0.68,0.81,0.91,0.97},{1,2,3,4,5,6,7,8,9,10})</f>
        <v>6</v>
      </c>
      <c r="D779">
        <f t="shared" ca="1" si="72"/>
        <v>26000</v>
      </c>
      <c r="E779" t="str">
        <f ca="1">IF(B779="Oloitoktok A",IF(D779&lt;15000,LOOKUP(RAND(),{0,0.45,0.75,0.92},{"River","Rainwater","Borehole","Vendor"}),IF(D779&lt;30000,LOOKUP(RAND(),{0,0.35,0.65,0.85},{"River","Rainwater","Borehole","Vendor"}),LOOKUP(RAND(),{0,0.25,0.5,0.75},{"River","Rainwater","Borehole","Vendor"}))),IF(B779="Oloitoktok B",IF(D779&lt;15000,LOOKUP(RAND(),{0,0.5,0.78,0.94},{"River","Rainwater","Borehole","Vendor"}),IF(D779&lt;30000,LOOKUP(RAND(),{0,0.4,0.68,0.87},{"River","Rainwater","Borehole","Vendor"}),LOOKUP(RAND(),{0,0.28,0.55,0.78},{"River","Rainwater","Borehole","Vendor"}))),IF(B779="Kiserian",IF(D779&lt;15000,LOOKUP(RAND(),{0,0.35,0.65,0.9},{"River","Rainwater","Borehole","Vendor"}),IF(D779&lt;30000,LOOKUP(RAND(),{0,0.25,0.55,0.82},{"River","Rainwater","Borehole","Vendor"}),LOOKUP(RAND(),{0,0.15,0.45,0.72},{"River","Rainwater","Borehole","Vendor"}))),IF(D779&lt;15000,LOOKUP(RAND(),{0,0.4,0.7,0.92},{"River","Rainwater","Borehole","Vendor"}),IF(D779&lt;30000,LOOKUP(RAND(),{0,0.3,0.6,0.85},{"River","Rainwater","Borehole","Vendor"}),LOOKUP(RAND(),{0,0.2,0.5,0.75},{"River","Rainwater","Borehole","Vendor"}))))))</f>
        <v>Rainwater</v>
      </c>
      <c r="F779">
        <f t="shared" ca="1" si="73"/>
        <v>15</v>
      </c>
      <c r="G779">
        <f t="shared" ca="1" si="74"/>
        <v>9.8000000000000007</v>
      </c>
      <c r="H779">
        <f t="shared" ca="1" si="75"/>
        <v>9400</v>
      </c>
      <c r="I779">
        <f t="shared" ca="1" si="76"/>
        <v>0.13237118888116128</v>
      </c>
      <c r="J779">
        <v>1</v>
      </c>
    </row>
    <row r="780" spans="1:10" x14ac:dyDescent="0.3">
      <c r="A780" t="str">
        <f t="shared" si="77"/>
        <v>HH779</v>
      </c>
      <c r="B780" t="str">
        <f ca="1">LOOKUP(RAND(),{0,0.28,0.55,0.78},{"Oloitoktok A","Oloitoktok B","Kiserian","Namanga"})</f>
        <v>Oloitoktok A</v>
      </c>
      <c r="C780">
        <f ca="1">LOOKUP(RAND(),{0,0.02,0.09,0.2,0.35,0.52,0.68,0.81,0.91,0.97},{1,2,3,4,5,6,7,8,9,10})</f>
        <v>7</v>
      </c>
      <c r="D780">
        <f t="shared" ca="1" si="72"/>
        <v>25900</v>
      </c>
      <c r="E780" t="str">
        <f ca="1">IF(B780="Oloitoktok A",IF(D780&lt;15000,LOOKUP(RAND(),{0,0.45,0.75,0.92},{"River","Rainwater","Borehole","Vendor"}),IF(D780&lt;30000,LOOKUP(RAND(),{0,0.35,0.65,0.85},{"River","Rainwater","Borehole","Vendor"}),LOOKUP(RAND(),{0,0.25,0.5,0.75},{"River","Rainwater","Borehole","Vendor"}))),IF(B780="Oloitoktok B",IF(D780&lt;15000,LOOKUP(RAND(),{0,0.5,0.78,0.94},{"River","Rainwater","Borehole","Vendor"}),IF(D780&lt;30000,LOOKUP(RAND(),{0,0.4,0.68,0.87},{"River","Rainwater","Borehole","Vendor"}),LOOKUP(RAND(),{0,0.28,0.55,0.78},{"River","Rainwater","Borehole","Vendor"}))),IF(B780="Kiserian",IF(D780&lt;15000,LOOKUP(RAND(),{0,0.35,0.65,0.9},{"River","Rainwater","Borehole","Vendor"}),IF(D780&lt;30000,LOOKUP(RAND(),{0,0.25,0.55,0.82},{"River","Rainwater","Borehole","Vendor"}),LOOKUP(RAND(),{0,0.15,0.45,0.72},{"River","Rainwater","Borehole","Vendor"}))),IF(D780&lt;15000,LOOKUP(RAND(),{0,0.4,0.7,0.92},{"River","Rainwater","Borehole","Vendor"}),IF(D780&lt;30000,LOOKUP(RAND(),{0,0.3,0.6,0.85},{"River","Rainwater","Borehole","Vendor"}),LOOKUP(RAND(),{0,0.2,0.5,0.75},{"River","Rainwater","Borehole","Vendor"}))))))</f>
        <v>River</v>
      </c>
      <c r="F780">
        <f t="shared" ca="1" si="73"/>
        <v>81</v>
      </c>
      <c r="G780">
        <f t="shared" ca="1" si="74"/>
        <v>5.7</v>
      </c>
      <c r="H780">
        <f t="shared" ca="1" si="75"/>
        <v>17800</v>
      </c>
      <c r="I780">
        <f t="shared" ca="1" si="76"/>
        <v>0.20557460643143799</v>
      </c>
      <c r="J780">
        <v>1</v>
      </c>
    </row>
    <row r="781" spans="1:10" x14ac:dyDescent="0.3">
      <c r="A781" t="str">
        <f t="shared" si="77"/>
        <v>HH780</v>
      </c>
      <c r="B781" t="str">
        <f ca="1">LOOKUP(RAND(),{0,0.28,0.55,0.78},{"Oloitoktok A","Oloitoktok B","Kiserian","Namanga"})</f>
        <v>Oloitoktok A</v>
      </c>
      <c r="C781">
        <f ca="1">LOOKUP(RAND(),{0,0.02,0.09,0.2,0.35,0.52,0.68,0.81,0.91,0.97},{1,2,3,4,5,6,7,8,9,10})</f>
        <v>8</v>
      </c>
      <c r="D781">
        <f t="shared" ca="1" si="72"/>
        <v>17400</v>
      </c>
      <c r="E781" t="str">
        <f ca="1">IF(B781="Oloitoktok A",IF(D781&lt;15000,LOOKUP(RAND(),{0,0.45,0.75,0.92},{"River","Rainwater","Borehole","Vendor"}),IF(D781&lt;30000,LOOKUP(RAND(),{0,0.35,0.65,0.85},{"River","Rainwater","Borehole","Vendor"}),LOOKUP(RAND(),{0,0.25,0.5,0.75},{"River","Rainwater","Borehole","Vendor"}))),IF(B781="Oloitoktok B",IF(D781&lt;15000,LOOKUP(RAND(),{0,0.5,0.78,0.94},{"River","Rainwater","Borehole","Vendor"}),IF(D781&lt;30000,LOOKUP(RAND(),{0,0.4,0.68,0.87},{"River","Rainwater","Borehole","Vendor"}),LOOKUP(RAND(),{0,0.28,0.55,0.78},{"River","Rainwater","Borehole","Vendor"}))),IF(B781="Kiserian",IF(D781&lt;15000,LOOKUP(RAND(),{0,0.35,0.65,0.9},{"River","Rainwater","Borehole","Vendor"}),IF(D781&lt;30000,LOOKUP(RAND(),{0,0.25,0.55,0.82},{"River","Rainwater","Borehole","Vendor"}),LOOKUP(RAND(),{0,0.15,0.45,0.72},{"River","Rainwater","Borehole","Vendor"}))),IF(D781&lt;15000,LOOKUP(RAND(),{0,0.4,0.7,0.92},{"River","Rainwater","Borehole","Vendor"}),IF(D781&lt;30000,LOOKUP(RAND(),{0,0.3,0.6,0.85},{"River","Rainwater","Borehole","Vendor"}),LOOKUP(RAND(),{0,0.2,0.5,0.75},{"River","Rainwater","Borehole","Vendor"}))))))</f>
        <v>River</v>
      </c>
      <c r="F781">
        <f t="shared" ca="1" si="73"/>
        <v>80</v>
      </c>
      <c r="G781">
        <f t="shared" ca="1" si="74"/>
        <v>1.6</v>
      </c>
      <c r="H781">
        <f t="shared" ca="1" si="75"/>
        <v>7400</v>
      </c>
      <c r="I781">
        <f t="shared" ca="1" si="76"/>
        <v>0.51320161452187851</v>
      </c>
      <c r="J781">
        <v>1</v>
      </c>
    </row>
    <row r="782" spans="1:10" x14ac:dyDescent="0.3">
      <c r="A782" t="str">
        <f t="shared" si="77"/>
        <v>HH781</v>
      </c>
      <c r="B782" t="str">
        <f ca="1">LOOKUP(RAND(),{0,0.28,0.55,0.78},{"Oloitoktok A","Oloitoktok B","Kiserian","Namanga"})</f>
        <v>Namanga</v>
      </c>
      <c r="C782">
        <f ca="1">LOOKUP(RAND(),{0,0.02,0.09,0.2,0.35,0.52,0.68,0.81,0.91,0.97},{1,2,3,4,5,6,7,8,9,10})</f>
        <v>4</v>
      </c>
      <c r="D782">
        <f t="shared" ca="1" si="72"/>
        <v>46900</v>
      </c>
      <c r="E782" t="str">
        <f ca="1">IF(B782="Oloitoktok A",IF(D782&lt;15000,LOOKUP(RAND(),{0,0.45,0.75,0.92},{"River","Rainwater","Borehole","Vendor"}),IF(D782&lt;30000,LOOKUP(RAND(),{0,0.35,0.65,0.85},{"River","Rainwater","Borehole","Vendor"}),LOOKUP(RAND(),{0,0.25,0.5,0.75},{"River","Rainwater","Borehole","Vendor"}))),IF(B782="Oloitoktok B",IF(D782&lt;15000,LOOKUP(RAND(),{0,0.5,0.78,0.94},{"River","Rainwater","Borehole","Vendor"}),IF(D782&lt;30000,LOOKUP(RAND(),{0,0.4,0.68,0.87},{"River","Rainwater","Borehole","Vendor"}),LOOKUP(RAND(),{0,0.28,0.55,0.78},{"River","Rainwater","Borehole","Vendor"}))),IF(B782="Kiserian",IF(D782&lt;15000,LOOKUP(RAND(),{0,0.35,0.65,0.9},{"River","Rainwater","Borehole","Vendor"}),IF(D782&lt;30000,LOOKUP(RAND(),{0,0.25,0.55,0.82},{"River","Rainwater","Borehole","Vendor"}),LOOKUP(RAND(),{0,0.15,0.45,0.72},{"River","Rainwater","Borehole","Vendor"}))),IF(D782&lt;15000,LOOKUP(RAND(),{0,0.4,0.7,0.92},{"River","Rainwater","Borehole","Vendor"}),IF(D782&lt;30000,LOOKUP(RAND(),{0,0.3,0.6,0.85},{"River","Rainwater","Borehole","Vendor"}),LOOKUP(RAND(),{0,0.2,0.5,0.75},{"River","Rainwater","Borehole","Vendor"}))))))</f>
        <v>Vendor</v>
      </c>
      <c r="F782">
        <f t="shared" ca="1" si="73"/>
        <v>55</v>
      </c>
      <c r="G782">
        <f t="shared" ca="1" si="74"/>
        <v>11.5</v>
      </c>
      <c r="H782">
        <f t="shared" ca="1" si="75"/>
        <v>6500</v>
      </c>
      <c r="I782">
        <f t="shared" ca="1" si="76"/>
        <v>0.20151576428231444</v>
      </c>
      <c r="J782">
        <v>1</v>
      </c>
    </row>
    <row r="783" spans="1:10" x14ac:dyDescent="0.3">
      <c r="A783" t="str">
        <f t="shared" si="77"/>
        <v>HH782</v>
      </c>
      <c r="B783" t="str">
        <f ca="1">LOOKUP(RAND(),{0,0.28,0.55,0.78},{"Oloitoktok A","Oloitoktok B","Kiserian","Namanga"})</f>
        <v>Namanga</v>
      </c>
      <c r="C783">
        <f ca="1">LOOKUP(RAND(),{0,0.02,0.09,0.2,0.35,0.52,0.68,0.81,0.91,0.97},{1,2,3,4,5,6,7,8,9,10})</f>
        <v>3</v>
      </c>
      <c r="D783">
        <f t="shared" ca="1" si="72"/>
        <v>35300</v>
      </c>
      <c r="E783" t="str">
        <f ca="1">IF(B783="Oloitoktok A",IF(D783&lt;15000,LOOKUP(RAND(),{0,0.45,0.75,0.92},{"River","Rainwater","Borehole","Vendor"}),IF(D783&lt;30000,LOOKUP(RAND(),{0,0.35,0.65,0.85},{"River","Rainwater","Borehole","Vendor"}),LOOKUP(RAND(),{0,0.25,0.5,0.75},{"River","Rainwater","Borehole","Vendor"}))),IF(B783="Oloitoktok B",IF(D783&lt;15000,LOOKUP(RAND(),{0,0.5,0.78,0.94},{"River","Rainwater","Borehole","Vendor"}),IF(D783&lt;30000,LOOKUP(RAND(),{0,0.4,0.68,0.87},{"River","Rainwater","Borehole","Vendor"}),LOOKUP(RAND(),{0,0.28,0.55,0.78},{"River","Rainwater","Borehole","Vendor"}))),IF(B783="Kiserian",IF(D783&lt;15000,LOOKUP(RAND(),{0,0.35,0.65,0.9},{"River","Rainwater","Borehole","Vendor"}),IF(D783&lt;30000,LOOKUP(RAND(),{0,0.25,0.55,0.82},{"River","Rainwater","Borehole","Vendor"}),LOOKUP(RAND(),{0,0.15,0.45,0.72},{"River","Rainwater","Borehole","Vendor"}))),IF(D783&lt;15000,LOOKUP(RAND(),{0,0.4,0.7,0.92},{"River","Rainwater","Borehole","Vendor"}),IF(D783&lt;30000,LOOKUP(RAND(),{0,0.3,0.6,0.85},{"River","Rainwater","Borehole","Vendor"}),LOOKUP(RAND(),{0,0.2,0.5,0.75},{"River","Rainwater","Borehole","Vendor"}))))))</f>
        <v>Rainwater</v>
      </c>
      <c r="F783">
        <f t="shared" ca="1" si="73"/>
        <v>38</v>
      </c>
      <c r="G783">
        <f t="shared" ca="1" si="74"/>
        <v>7.7</v>
      </c>
      <c r="H783">
        <f t="shared" ca="1" si="75"/>
        <v>7100</v>
      </c>
      <c r="I783">
        <f t="shared" ca="1" si="76"/>
        <v>0.56286057874902651</v>
      </c>
      <c r="J783">
        <v>1</v>
      </c>
    </row>
    <row r="784" spans="1:10" x14ac:dyDescent="0.3">
      <c r="A784" t="str">
        <f t="shared" si="77"/>
        <v>HH783</v>
      </c>
      <c r="B784" t="str">
        <f ca="1">LOOKUP(RAND(),{0,0.28,0.55,0.78},{"Oloitoktok A","Oloitoktok B","Kiserian","Namanga"})</f>
        <v>Oloitoktok A</v>
      </c>
      <c r="C784">
        <f ca="1">LOOKUP(RAND(),{0,0.02,0.09,0.2,0.35,0.52,0.68,0.81,0.91,0.97},{1,2,3,4,5,6,7,8,9,10})</f>
        <v>7</v>
      </c>
      <c r="D784">
        <f t="shared" ca="1" si="72"/>
        <v>35800</v>
      </c>
      <c r="E784" t="str">
        <f ca="1">IF(B784="Oloitoktok A",IF(D784&lt;15000,LOOKUP(RAND(),{0,0.45,0.75,0.92},{"River","Rainwater","Borehole","Vendor"}),IF(D784&lt;30000,LOOKUP(RAND(),{0,0.35,0.65,0.85},{"River","Rainwater","Borehole","Vendor"}),LOOKUP(RAND(),{0,0.25,0.5,0.75},{"River","Rainwater","Borehole","Vendor"}))),IF(B784="Oloitoktok B",IF(D784&lt;15000,LOOKUP(RAND(),{0,0.5,0.78,0.94},{"River","Rainwater","Borehole","Vendor"}),IF(D784&lt;30000,LOOKUP(RAND(),{0,0.4,0.68,0.87},{"River","Rainwater","Borehole","Vendor"}),LOOKUP(RAND(),{0,0.28,0.55,0.78},{"River","Rainwater","Borehole","Vendor"}))),IF(B784="Kiserian",IF(D784&lt;15000,LOOKUP(RAND(),{0,0.35,0.65,0.9},{"River","Rainwater","Borehole","Vendor"}),IF(D784&lt;30000,LOOKUP(RAND(),{0,0.25,0.55,0.82},{"River","Rainwater","Borehole","Vendor"}),LOOKUP(RAND(),{0,0.15,0.45,0.72},{"River","Rainwater","Borehole","Vendor"}))),IF(D784&lt;15000,LOOKUP(RAND(),{0,0.4,0.7,0.92},{"River","Rainwater","Borehole","Vendor"}),IF(D784&lt;30000,LOOKUP(RAND(),{0,0.3,0.6,0.85},{"River","Rainwater","Borehole","Vendor"}),LOOKUP(RAND(),{0,0.2,0.5,0.75},{"River","Rainwater","Borehole","Vendor"}))))))</f>
        <v>Borehole</v>
      </c>
      <c r="F784">
        <f t="shared" ca="1" si="73"/>
        <v>69</v>
      </c>
      <c r="G784">
        <f t="shared" ca="1" si="74"/>
        <v>7.7</v>
      </c>
      <c r="H784">
        <f t="shared" ca="1" si="75"/>
        <v>9000</v>
      </c>
      <c r="I784">
        <f t="shared" ca="1" si="76"/>
        <v>8.6617166942568269E-2</v>
      </c>
      <c r="J784">
        <v>1</v>
      </c>
    </row>
    <row r="785" spans="1:10" x14ac:dyDescent="0.3">
      <c r="A785" t="str">
        <f t="shared" si="77"/>
        <v>HH784</v>
      </c>
      <c r="B785" t="str">
        <f ca="1">LOOKUP(RAND(),{0,0.28,0.55,0.78},{"Oloitoktok A","Oloitoktok B","Kiserian","Namanga"})</f>
        <v>Oloitoktok B</v>
      </c>
      <c r="C785">
        <f ca="1">LOOKUP(RAND(),{0,0.02,0.09,0.2,0.35,0.52,0.68,0.81,0.91,0.97},{1,2,3,4,5,6,7,8,9,10})</f>
        <v>7</v>
      </c>
      <c r="D785">
        <f t="shared" ca="1" si="72"/>
        <v>46300</v>
      </c>
      <c r="E785" t="str">
        <f ca="1">IF(B785="Oloitoktok A",IF(D785&lt;15000,LOOKUP(RAND(),{0,0.45,0.75,0.92},{"River","Rainwater","Borehole","Vendor"}),IF(D785&lt;30000,LOOKUP(RAND(),{0,0.35,0.65,0.85},{"River","Rainwater","Borehole","Vendor"}),LOOKUP(RAND(),{0,0.25,0.5,0.75},{"River","Rainwater","Borehole","Vendor"}))),IF(B785="Oloitoktok B",IF(D785&lt;15000,LOOKUP(RAND(),{0,0.5,0.78,0.94},{"River","Rainwater","Borehole","Vendor"}),IF(D785&lt;30000,LOOKUP(RAND(),{0,0.4,0.68,0.87},{"River","Rainwater","Borehole","Vendor"}),LOOKUP(RAND(),{0,0.28,0.55,0.78},{"River","Rainwater","Borehole","Vendor"}))),IF(B785="Kiserian",IF(D785&lt;15000,LOOKUP(RAND(),{0,0.35,0.65,0.9},{"River","Rainwater","Borehole","Vendor"}),IF(D785&lt;30000,LOOKUP(RAND(),{0,0.25,0.55,0.82},{"River","Rainwater","Borehole","Vendor"}),LOOKUP(RAND(),{0,0.15,0.45,0.72},{"River","Rainwater","Borehole","Vendor"}))),IF(D785&lt;15000,LOOKUP(RAND(),{0,0.4,0.7,0.92},{"River","Rainwater","Borehole","Vendor"}),IF(D785&lt;30000,LOOKUP(RAND(),{0,0.3,0.6,0.85},{"River","Rainwater","Borehole","Vendor"}),LOOKUP(RAND(),{0,0.2,0.5,0.75},{"River","Rainwater","Borehole","Vendor"}))))))</f>
        <v>Borehole</v>
      </c>
      <c r="F785">
        <f t="shared" ca="1" si="73"/>
        <v>21</v>
      </c>
      <c r="G785">
        <f t="shared" ca="1" si="74"/>
        <v>3.6</v>
      </c>
      <c r="H785">
        <f t="shared" ca="1" si="75"/>
        <v>5300</v>
      </c>
      <c r="I785">
        <f t="shared" ca="1" si="76"/>
        <v>0.38668281261307058</v>
      </c>
      <c r="J785">
        <v>1</v>
      </c>
    </row>
    <row r="786" spans="1:10" x14ac:dyDescent="0.3">
      <c r="A786" t="str">
        <f t="shared" si="77"/>
        <v>HH785</v>
      </c>
      <c r="B786" t="str">
        <f ca="1">LOOKUP(RAND(),{0,0.28,0.55,0.78},{"Oloitoktok A","Oloitoktok B","Kiserian","Namanga"})</f>
        <v>Oloitoktok B</v>
      </c>
      <c r="C786">
        <f ca="1">LOOKUP(RAND(),{0,0.02,0.09,0.2,0.35,0.52,0.68,0.81,0.91,0.97},{1,2,3,4,5,6,7,8,9,10})</f>
        <v>10</v>
      </c>
      <c r="D786">
        <f t="shared" ca="1" si="72"/>
        <v>46400</v>
      </c>
      <c r="E786" t="str">
        <f ca="1">IF(B786="Oloitoktok A",IF(D786&lt;15000,LOOKUP(RAND(),{0,0.45,0.75,0.92},{"River","Rainwater","Borehole","Vendor"}),IF(D786&lt;30000,LOOKUP(RAND(),{0,0.35,0.65,0.85},{"River","Rainwater","Borehole","Vendor"}),LOOKUP(RAND(),{0,0.25,0.5,0.75},{"River","Rainwater","Borehole","Vendor"}))),IF(B786="Oloitoktok B",IF(D786&lt;15000,LOOKUP(RAND(),{0,0.5,0.78,0.94},{"River","Rainwater","Borehole","Vendor"}),IF(D786&lt;30000,LOOKUP(RAND(),{0,0.4,0.68,0.87},{"River","Rainwater","Borehole","Vendor"}),LOOKUP(RAND(),{0,0.28,0.55,0.78},{"River","Rainwater","Borehole","Vendor"}))),IF(B786="Kiserian",IF(D786&lt;15000,LOOKUP(RAND(),{0,0.35,0.65,0.9},{"River","Rainwater","Borehole","Vendor"}),IF(D786&lt;30000,LOOKUP(RAND(),{0,0.25,0.55,0.82},{"River","Rainwater","Borehole","Vendor"}),LOOKUP(RAND(),{0,0.15,0.45,0.72},{"River","Rainwater","Borehole","Vendor"}))),IF(D786&lt;15000,LOOKUP(RAND(),{0,0.4,0.7,0.92},{"River","Rainwater","Borehole","Vendor"}),IF(D786&lt;30000,LOOKUP(RAND(),{0,0.3,0.6,0.85},{"River","Rainwater","Borehole","Vendor"}),LOOKUP(RAND(),{0,0.2,0.5,0.75},{"River","Rainwater","Borehole","Vendor"}))))))</f>
        <v>Rainwater</v>
      </c>
      <c r="F786">
        <f t="shared" ca="1" si="73"/>
        <v>63</v>
      </c>
      <c r="G786">
        <f t="shared" ca="1" si="74"/>
        <v>2.1</v>
      </c>
      <c r="H786">
        <f t="shared" ca="1" si="75"/>
        <v>3300</v>
      </c>
      <c r="I786">
        <f t="shared" ca="1" si="76"/>
        <v>0.20267299275559858</v>
      </c>
      <c r="J786">
        <v>1</v>
      </c>
    </row>
    <row r="787" spans="1:10" x14ac:dyDescent="0.3">
      <c r="A787" t="str">
        <f t="shared" si="77"/>
        <v>HH786</v>
      </c>
      <c r="B787" t="str">
        <f ca="1">LOOKUP(RAND(),{0,0.28,0.55,0.78},{"Oloitoktok A","Oloitoktok B","Kiserian","Namanga"})</f>
        <v>Namanga</v>
      </c>
      <c r="C787">
        <f ca="1">LOOKUP(RAND(),{0,0.02,0.09,0.2,0.35,0.52,0.68,0.81,0.91,0.97},{1,2,3,4,5,6,7,8,9,10})</f>
        <v>4</v>
      </c>
      <c r="D787">
        <f t="shared" ca="1" si="72"/>
        <v>71500</v>
      </c>
      <c r="E787" t="str">
        <f ca="1">IF(B787="Oloitoktok A",IF(D787&lt;15000,LOOKUP(RAND(),{0,0.45,0.75,0.92},{"River","Rainwater","Borehole","Vendor"}),IF(D787&lt;30000,LOOKUP(RAND(),{0,0.35,0.65,0.85},{"River","Rainwater","Borehole","Vendor"}),LOOKUP(RAND(),{0,0.25,0.5,0.75},{"River","Rainwater","Borehole","Vendor"}))),IF(B787="Oloitoktok B",IF(D787&lt;15000,LOOKUP(RAND(),{0,0.5,0.78,0.94},{"River","Rainwater","Borehole","Vendor"}),IF(D787&lt;30000,LOOKUP(RAND(),{0,0.4,0.68,0.87},{"River","Rainwater","Borehole","Vendor"}),LOOKUP(RAND(),{0,0.28,0.55,0.78},{"River","Rainwater","Borehole","Vendor"}))),IF(B787="Kiserian",IF(D787&lt;15000,LOOKUP(RAND(),{0,0.35,0.65,0.9},{"River","Rainwater","Borehole","Vendor"}),IF(D787&lt;30000,LOOKUP(RAND(),{0,0.25,0.55,0.82},{"River","Rainwater","Borehole","Vendor"}),LOOKUP(RAND(),{0,0.15,0.45,0.72},{"River","Rainwater","Borehole","Vendor"}))),IF(D787&lt;15000,LOOKUP(RAND(),{0,0.4,0.7,0.92},{"River","Rainwater","Borehole","Vendor"}),IF(D787&lt;30000,LOOKUP(RAND(),{0,0.3,0.6,0.85},{"River","Rainwater","Borehole","Vendor"}),LOOKUP(RAND(),{0,0.2,0.5,0.75},{"River","Rainwater","Borehole","Vendor"}))))))</f>
        <v>Borehole</v>
      </c>
      <c r="F787">
        <f t="shared" ca="1" si="73"/>
        <v>21</v>
      </c>
      <c r="G787">
        <f t="shared" ca="1" si="74"/>
        <v>5.4</v>
      </c>
      <c r="H787">
        <f t="shared" ca="1" si="75"/>
        <v>1700</v>
      </c>
      <c r="I787">
        <f t="shared" ca="1" si="76"/>
        <v>6.9501214972354841E-2</v>
      </c>
      <c r="J787">
        <v>1</v>
      </c>
    </row>
    <row r="788" spans="1:10" x14ac:dyDescent="0.3">
      <c r="A788" t="str">
        <f t="shared" si="77"/>
        <v>HH787</v>
      </c>
      <c r="B788" t="str">
        <f ca="1">LOOKUP(RAND(),{0,0.28,0.55,0.78},{"Oloitoktok A","Oloitoktok B","Kiserian","Namanga"})</f>
        <v>Oloitoktok A</v>
      </c>
      <c r="C788">
        <f ca="1">LOOKUP(RAND(),{0,0.02,0.09,0.2,0.35,0.52,0.68,0.81,0.91,0.97},{1,2,3,4,5,6,7,8,9,10})</f>
        <v>7</v>
      </c>
      <c r="D788">
        <f t="shared" ca="1" si="72"/>
        <v>22800</v>
      </c>
      <c r="E788" t="str">
        <f ca="1">IF(B788="Oloitoktok A",IF(D788&lt;15000,LOOKUP(RAND(),{0,0.45,0.75,0.92},{"River","Rainwater","Borehole","Vendor"}),IF(D788&lt;30000,LOOKUP(RAND(),{0,0.35,0.65,0.85},{"River","Rainwater","Borehole","Vendor"}),LOOKUP(RAND(),{0,0.25,0.5,0.75},{"River","Rainwater","Borehole","Vendor"}))),IF(B788="Oloitoktok B",IF(D788&lt;15000,LOOKUP(RAND(),{0,0.5,0.78,0.94},{"River","Rainwater","Borehole","Vendor"}),IF(D788&lt;30000,LOOKUP(RAND(),{0,0.4,0.68,0.87},{"River","Rainwater","Borehole","Vendor"}),LOOKUP(RAND(),{0,0.28,0.55,0.78},{"River","Rainwater","Borehole","Vendor"}))),IF(B788="Kiserian",IF(D788&lt;15000,LOOKUP(RAND(),{0,0.35,0.65,0.9},{"River","Rainwater","Borehole","Vendor"}),IF(D788&lt;30000,LOOKUP(RAND(),{0,0.25,0.55,0.82},{"River","Rainwater","Borehole","Vendor"}),LOOKUP(RAND(),{0,0.15,0.45,0.72},{"River","Rainwater","Borehole","Vendor"}))),IF(D788&lt;15000,LOOKUP(RAND(),{0,0.4,0.7,0.92},{"River","Rainwater","Borehole","Vendor"}),IF(D788&lt;30000,LOOKUP(RAND(),{0,0.3,0.6,0.85},{"River","Rainwater","Borehole","Vendor"}),LOOKUP(RAND(),{0,0.2,0.5,0.75},{"River","Rainwater","Borehole","Vendor"}))))))</f>
        <v>River</v>
      </c>
      <c r="F788">
        <f t="shared" ca="1" si="73"/>
        <v>113</v>
      </c>
      <c r="G788">
        <f t="shared" ca="1" si="74"/>
        <v>9.3000000000000007</v>
      </c>
      <c r="H788">
        <f t="shared" ca="1" si="75"/>
        <v>12500</v>
      </c>
      <c r="I788">
        <f t="shared" ca="1" si="76"/>
        <v>0.87094608748846536</v>
      </c>
      <c r="J788">
        <v>1</v>
      </c>
    </row>
    <row r="789" spans="1:10" x14ac:dyDescent="0.3">
      <c r="A789" t="str">
        <f t="shared" si="77"/>
        <v>HH788</v>
      </c>
      <c r="B789" t="str">
        <f ca="1">LOOKUP(RAND(),{0,0.28,0.55,0.78},{"Oloitoktok A","Oloitoktok B","Kiserian","Namanga"})</f>
        <v>Oloitoktok B</v>
      </c>
      <c r="C789">
        <f ca="1">LOOKUP(RAND(),{0,0.02,0.09,0.2,0.35,0.52,0.68,0.81,0.91,0.97},{1,2,3,4,5,6,7,8,9,10})</f>
        <v>8</v>
      </c>
      <c r="D789">
        <f t="shared" ca="1" si="72"/>
        <v>33300</v>
      </c>
      <c r="E789" t="str">
        <f ca="1">IF(B789="Oloitoktok A",IF(D789&lt;15000,LOOKUP(RAND(),{0,0.45,0.75,0.92},{"River","Rainwater","Borehole","Vendor"}),IF(D789&lt;30000,LOOKUP(RAND(),{0,0.35,0.65,0.85},{"River","Rainwater","Borehole","Vendor"}),LOOKUP(RAND(),{0,0.25,0.5,0.75},{"River","Rainwater","Borehole","Vendor"}))),IF(B789="Oloitoktok B",IF(D789&lt;15000,LOOKUP(RAND(),{0,0.5,0.78,0.94},{"River","Rainwater","Borehole","Vendor"}),IF(D789&lt;30000,LOOKUP(RAND(),{0,0.4,0.68,0.87},{"River","Rainwater","Borehole","Vendor"}),LOOKUP(RAND(),{0,0.28,0.55,0.78},{"River","Rainwater","Borehole","Vendor"}))),IF(B789="Kiserian",IF(D789&lt;15000,LOOKUP(RAND(),{0,0.35,0.65,0.9},{"River","Rainwater","Borehole","Vendor"}),IF(D789&lt;30000,LOOKUP(RAND(),{0,0.25,0.55,0.82},{"River","Rainwater","Borehole","Vendor"}),LOOKUP(RAND(),{0,0.15,0.45,0.72},{"River","Rainwater","Borehole","Vendor"}))),IF(D789&lt;15000,LOOKUP(RAND(),{0,0.4,0.7,0.92},{"River","Rainwater","Borehole","Vendor"}),IF(D789&lt;30000,LOOKUP(RAND(),{0,0.3,0.6,0.85},{"River","Rainwater","Borehole","Vendor"}),LOOKUP(RAND(),{0,0.2,0.5,0.75},{"River","Rainwater","Borehole","Vendor"}))))))</f>
        <v>Borehole</v>
      </c>
      <c r="F789">
        <f t="shared" ca="1" si="73"/>
        <v>64</v>
      </c>
      <c r="G789">
        <f t="shared" ca="1" si="74"/>
        <v>5.4</v>
      </c>
      <c r="H789">
        <f t="shared" ca="1" si="75"/>
        <v>4600</v>
      </c>
      <c r="I789">
        <f t="shared" ca="1" si="76"/>
        <v>0.4508334720295929</v>
      </c>
      <c r="J789">
        <v>1</v>
      </c>
    </row>
    <row r="790" spans="1:10" x14ac:dyDescent="0.3">
      <c r="A790" t="str">
        <f t="shared" si="77"/>
        <v>HH789</v>
      </c>
      <c r="B790" t="str">
        <f ca="1">LOOKUP(RAND(),{0,0.28,0.55,0.78},{"Oloitoktok A","Oloitoktok B","Kiserian","Namanga"})</f>
        <v>Oloitoktok B</v>
      </c>
      <c r="C790">
        <f ca="1">LOOKUP(RAND(),{0,0.02,0.09,0.2,0.35,0.52,0.68,0.81,0.91,0.97},{1,2,3,4,5,6,7,8,9,10})</f>
        <v>4</v>
      </c>
      <c r="D790">
        <f t="shared" ca="1" si="72"/>
        <v>34600</v>
      </c>
      <c r="E790" t="str">
        <f ca="1">IF(B790="Oloitoktok A",IF(D790&lt;15000,LOOKUP(RAND(),{0,0.45,0.75,0.92},{"River","Rainwater","Borehole","Vendor"}),IF(D790&lt;30000,LOOKUP(RAND(),{0,0.35,0.65,0.85},{"River","Rainwater","Borehole","Vendor"}),LOOKUP(RAND(),{0,0.25,0.5,0.75},{"River","Rainwater","Borehole","Vendor"}))),IF(B790="Oloitoktok B",IF(D790&lt;15000,LOOKUP(RAND(),{0,0.5,0.78,0.94},{"River","Rainwater","Borehole","Vendor"}),IF(D790&lt;30000,LOOKUP(RAND(),{0,0.4,0.68,0.87},{"River","Rainwater","Borehole","Vendor"}),LOOKUP(RAND(),{0,0.28,0.55,0.78},{"River","Rainwater","Borehole","Vendor"}))),IF(B790="Kiserian",IF(D790&lt;15000,LOOKUP(RAND(),{0,0.35,0.65,0.9},{"River","Rainwater","Borehole","Vendor"}),IF(D790&lt;30000,LOOKUP(RAND(),{0,0.25,0.55,0.82},{"River","Rainwater","Borehole","Vendor"}),LOOKUP(RAND(),{0,0.15,0.45,0.72},{"River","Rainwater","Borehole","Vendor"}))),IF(D790&lt;15000,LOOKUP(RAND(),{0,0.4,0.7,0.92},{"River","Rainwater","Borehole","Vendor"}),IF(D790&lt;30000,LOOKUP(RAND(),{0,0.3,0.6,0.85},{"River","Rainwater","Borehole","Vendor"}),LOOKUP(RAND(),{0,0.2,0.5,0.75},{"River","Rainwater","Borehole","Vendor"}))))))</f>
        <v>River</v>
      </c>
      <c r="F790">
        <f t="shared" ca="1" si="73"/>
        <v>76</v>
      </c>
      <c r="G790">
        <f t="shared" ca="1" si="74"/>
        <v>11.4</v>
      </c>
      <c r="H790">
        <f t="shared" ca="1" si="75"/>
        <v>8800</v>
      </c>
      <c r="I790">
        <f t="shared" ca="1" si="76"/>
        <v>0.73817166199517192</v>
      </c>
      <c r="J790">
        <v>1</v>
      </c>
    </row>
    <row r="791" spans="1:10" x14ac:dyDescent="0.3">
      <c r="A791" t="str">
        <f t="shared" si="77"/>
        <v>HH790</v>
      </c>
      <c r="B791" t="str">
        <f ca="1">LOOKUP(RAND(),{0,0.28,0.55,0.78},{"Oloitoktok A","Oloitoktok B","Kiserian","Namanga"})</f>
        <v>Namanga</v>
      </c>
      <c r="C791">
        <f ca="1">LOOKUP(RAND(),{0,0.02,0.09,0.2,0.35,0.52,0.68,0.81,0.91,0.97},{1,2,3,4,5,6,7,8,9,10})</f>
        <v>3</v>
      </c>
      <c r="D791">
        <f t="shared" ca="1" si="72"/>
        <v>46100</v>
      </c>
      <c r="E791" t="str">
        <f ca="1">IF(B791="Oloitoktok A",IF(D791&lt;15000,LOOKUP(RAND(),{0,0.45,0.75,0.92},{"River","Rainwater","Borehole","Vendor"}),IF(D791&lt;30000,LOOKUP(RAND(),{0,0.35,0.65,0.85},{"River","Rainwater","Borehole","Vendor"}),LOOKUP(RAND(),{0,0.25,0.5,0.75},{"River","Rainwater","Borehole","Vendor"}))),IF(B791="Oloitoktok B",IF(D791&lt;15000,LOOKUP(RAND(),{0,0.5,0.78,0.94},{"River","Rainwater","Borehole","Vendor"}),IF(D791&lt;30000,LOOKUP(RAND(),{0,0.4,0.68,0.87},{"River","Rainwater","Borehole","Vendor"}),LOOKUP(RAND(),{0,0.28,0.55,0.78},{"River","Rainwater","Borehole","Vendor"}))),IF(B791="Kiserian",IF(D791&lt;15000,LOOKUP(RAND(),{0,0.35,0.65,0.9},{"River","Rainwater","Borehole","Vendor"}),IF(D791&lt;30000,LOOKUP(RAND(),{0,0.25,0.55,0.82},{"River","Rainwater","Borehole","Vendor"}),LOOKUP(RAND(),{0,0.15,0.45,0.72},{"River","Rainwater","Borehole","Vendor"}))),IF(D791&lt;15000,LOOKUP(RAND(),{0,0.4,0.7,0.92},{"River","Rainwater","Borehole","Vendor"}),IF(D791&lt;30000,LOOKUP(RAND(),{0,0.3,0.6,0.85},{"River","Rainwater","Borehole","Vendor"}),LOOKUP(RAND(),{0,0.2,0.5,0.75},{"River","Rainwater","Borehole","Vendor"}))))))</f>
        <v>Rainwater</v>
      </c>
      <c r="F791">
        <f t="shared" ca="1" si="73"/>
        <v>19</v>
      </c>
      <c r="G791">
        <f t="shared" ca="1" si="74"/>
        <v>2.8</v>
      </c>
      <c r="H791">
        <f t="shared" ca="1" si="75"/>
        <v>1100</v>
      </c>
      <c r="I791">
        <f t="shared" ca="1" si="76"/>
        <v>2.0117179640901761E-2</v>
      </c>
      <c r="J791">
        <v>1</v>
      </c>
    </row>
    <row r="792" spans="1:10" x14ac:dyDescent="0.3">
      <c r="A792" t="str">
        <f t="shared" si="77"/>
        <v>HH791</v>
      </c>
      <c r="B792" t="str">
        <f ca="1">LOOKUP(RAND(),{0,0.28,0.55,0.78},{"Oloitoktok A","Oloitoktok B","Kiserian","Namanga"})</f>
        <v>Oloitoktok B</v>
      </c>
      <c r="C792">
        <f ca="1">LOOKUP(RAND(),{0,0.02,0.09,0.2,0.35,0.52,0.68,0.81,0.91,0.97},{1,2,3,4,5,6,7,8,9,10})</f>
        <v>6</v>
      </c>
      <c r="D792">
        <f t="shared" ca="1" si="72"/>
        <v>43600</v>
      </c>
      <c r="E792" t="str">
        <f ca="1">IF(B792="Oloitoktok A",IF(D792&lt;15000,LOOKUP(RAND(),{0,0.45,0.75,0.92},{"River","Rainwater","Borehole","Vendor"}),IF(D792&lt;30000,LOOKUP(RAND(),{0,0.35,0.65,0.85},{"River","Rainwater","Borehole","Vendor"}),LOOKUP(RAND(),{0,0.25,0.5,0.75},{"River","Rainwater","Borehole","Vendor"}))),IF(B792="Oloitoktok B",IF(D792&lt;15000,LOOKUP(RAND(),{0,0.5,0.78,0.94},{"River","Rainwater","Borehole","Vendor"}),IF(D792&lt;30000,LOOKUP(RAND(),{0,0.4,0.68,0.87},{"River","Rainwater","Borehole","Vendor"}),LOOKUP(RAND(),{0,0.28,0.55,0.78},{"River","Rainwater","Borehole","Vendor"}))),IF(B792="Kiserian",IF(D792&lt;15000,LOOKUP(RAND(),{0,0.35,0.65,0.9},{"River","Rainwater","Borehole","Vendor"}),IF(D792&lt;30000,LOOKUP(RAND(),{0,0.25,0.55,0.82},{"River","Rainwater","Borehole","Vendor"}),LOOKUP(RAND(),{0,0.15,0.45,0.72},{"River","Rainwater","Borehole","Vendor"}))),IF(D792&lt;15000,LOOKUP(RAND(),{0,0.4,0.7,0.92},{"River","Rainwater","Borehole","Vendor"}),IF(D792&lt;30000,LOOKUP(RAND(),{0,0.3,0.6,0.85},{"River","Rainwater","Borehole","Vendor"}),LOOKUP(RAND(),{0,0.2,0.5,0.75},{"River","Rainwater","Borehole","Vendor"}))))))</f>
        <v>Rainwater</v>
      </c>
      <c r="F792">
        <f t="shared" ca="1" si="73"/>
        <v>49</v>
      </c>
      <c r="G792">
        <f t="shared" ca="1" si="74"/>
        <v>6.7</v>
      </c>
      <c r="H792">
        <f t="shared" ca="1" si="75"/>
        <v>8400</v>
      </c>
      <c r="I792">
        <f t="shared" ca="1" si="76"/>
        <v>0.91996332014985371</v>
      </c>
      <c r="J792">
        <v>1</v>
      </c>
    </row>
    <row r="793" spans="1:10" x14ac:dyDescent="0.3">
      <c r="A793" t="str">
        <f t="shared" si="77"/>
        <v>HH792</v>
      </c>
      <c r="B793" t="str">
        <f ca="1">LOOKUP(RAND(),{0,0.28,0.55,0.78},{"Oloitoktok A","Oloitoktok B","Kiserian","Namanga"})</f>
        <v>Namanga</v>
      </c>
      <c r="C793">
        <f ca="1">LOOKUP(RAND(),{0,0.02,0.09,0.2,0.35,0.52,0.68,0.81,0.91,0.97},{1,2,3,4,5,6,7,8,9,10})</f>
        <v>5</v>
      </c>
      <c r="D793">
        <f t="shared" ca="1" si="72"/>
        <v>24000</v>
      </c>
      <c r="E793" t="str">
        <f ca="1">IF(B793="Oloitoktok A",IF(D793&lt;15000,LOOKUP(RAND(),{0,0.45,0.75,0.92},{"River","Rainwater","Borehole","Vendor"}),IF(D793&lt;30000,LOOKUP(RAND(),{0,0.35,0.65,0.85},{"River","Rainwater","Borehole","Vendor"}),LOOKUP(RAND(),{0,0.25,0.5,0.75},{"River","Rainwater","Borehole","Vendor"}))),IF(B793="Oloitoktok B",IF(D793&lt;15000,LOOKUP(RAND(),{0,0.5,0.78,0.94},{"River","Rainwater","Borehole","Vendor"}),IF(D793&lt;30000,LOOKUP(RAND(),{0,0.4,0.68,0.87},{"River","Rainwater","Borehole","Vendor"}),LOOKUP(RAND(),{0,0.28,0.55,0.78},{"River","Rainwater","Borehole","Vendor"}))),IF(B793="Kiserian",IF(D793&lt;15000,LOOKUP(RAND(),{0,0.35,0.65,0.9},{"River","Rainwater","Borehole","Vendor"}),IF(D793&lt;30000,LOOKUP(RAND(),{0,0.25,0.55,0.82},{"River","Rainwater","Borehole","Vendor"}),LOOKUP(RAND(),{0,0.15,0.45,0.72},{"River","Rainwater","Borehole","Vendor"}))),IF(D793&lt;15000,LOOKUP(RAND(),{0,0.4,0.7,0.92},{"River","Rainwater","Borehole","Vendor"}),IF(D793&lt;30000,LOOKUP(RAND(),{0,0.3,0.6,0.85},{"River","Rainwater","Borehole","Vendor"}),LOOKUP(RAND(),{0,0.2,0.5,0.75},{"River","Rainwater","Borehole","Vendor"}))))))</f>
        <v>Borehole</v>
      </c>
      <c r="F793">
        <f t="shared" ca="1" si="73"/>
        <v>23</v>
      </c>
      <c r="G793">
        <f t="shared" ca="1" si="74"/>
        <v>4.5</v>
      </c>
      <c r="H793">
        <f t="shared" ca="1" si="75"/>
        <v>3500</v>
      </c>
      <c r="I793">
        <f t="shared" ca="1" si="76"/>
        <v>0.42365014683452962</v>
      </c>
      <c r="J793">
        <v>1</v>
      </c>
    </row>
    <row r="794" spans="1:10" x14ac:dyDescent="0.3">
      <c r="A794" t="str">
        <f t="shared" si="77"/>
        <v>HH793</v>
      </c>
      <c r="B794" t="str">
        <f ca="1">LOOKUP(RAND(),{0,0.28,0.55,0.78},{"Oloitoktok A","Oloitoktok B","Kiserian","Namanga"})</f>
        <v>Oloitoktok B</v>
      </c>
      <c r="C794">
        <f ca="1">LOOKUP(RAND(),{0,0.02,0.09,0.2,0.35,0.52,0.68,0.81,0.91,0.97},{1,2,3,4,5,6,7,8,9,10})</f>
        <v>6</v>
      </c>
      <c r="D794">
        <f t="shared" ca="1" si="72"/>
        <v>21400</v>
      </c>
      <c r="E794" t="str">
        <f ca="1">IF(B794="Oloitoktok A",IF(D794&lt;15000,LOOKUP(RAND(),{0,0.45,0.75,0.92},{"River","Rainwater","Borehole","Vendor"}),IF(D794&lt;30000,LOOKUP(RAND(),{0,0.35,0.65,0.85},{"River","Rainwater","Borehole","Vendor"}),LOOKUP(RAND(),{0,0.25,0.5,0.75},{"River","Rainwater","Borehole","Vendor"}))),IF(B794="Oloitoktok B",IF(D794&lt;15000,LOOKUP(RAND(),{0,0.5,0.78,0.94},{"River","Rainwater","Borehole","Vendor"}),IF(D794&lt;30000,LOOKUP(RAND(),{0,0.4,0.68,0.87},{"River","Rainwater","Borehole","Vendor"}),LOOKUP(RAND(),{0,0.28,0.55,0.78},{"River","Rainwater","Borehole","Vendor"}))),IF(B794="Kiserian",IF(D794&lt;15000,LOOKUP(RAND(),{0,0.35,0.65,0.9},{"River","Rainwater","Borehole","Vendor"}),IF(D794&lt;30000,LOOKUP(RAND(),{0,0.25,0.55,0.82},{"River","Rainwater","Borehole","Vendor"}),LOOKUP(RAND(),{0,0.15,0.45,0.72},{"River","Rainwater","Borehole","Vendor"}))),IF(D794&lt;15000,LOOKUP(RAND(),{0,0.4,0.7,0.92},{"River","Rainwater","Borehole","Vendor"}),IF(D794&lt;30000,LOOKUP(RAND(),{0,0.3,0.6,0.85},{"River","Rainwater","Borehole","Vendor"}),LOOKUP(RAND(),{0,0.2,0.5,0.75},{"River","Rainwater","Borehole","Vendor"}))))))</f>
        <v>River</v>
      </c>
      <c r="F794">
        <f t="shared" ca="1" si="73"/>
        <v>70</v>
      </c>
      <c r="G794">
        <f t="shared" ca="1" si="74"/>
        <v>11.2</v>
      </c>
      <c r="H794">
        <f t="shared" ca="1" si="75"/>
        <v>11400</v>
      </c>
      <c r="I794">
        <f t="shared" ca="1" si="76"/>
        <v>3.4558370738028588E-2</v>
      </c>
      <c r="J794">
        <v>1</v>
      </c>
    </row>
    <row r="795" spans="1:10" x14ac:dyDescent="0.3">
      <c r="A795" t="str">
        <f t="shared" si="77"/>
        <v>HH794</v>
      </c>
      <c r="B795" t="str">
        <f ca="1">LOOKUP(RAND(),{0,0.28,0.55,0.78},{"Oloitoktok A","Oloitoktok B","Kiserian","Namanga"})</f>
        <v>Oloitoktok B</v>
      </c>
      <c r="C795">
        <f ca="1">LOOKUP(RAND(),{0,0.02,0.09,0.2,0.35,0.52,0.68,0.81,0.91,0.97},{1,2,3,4,5,6,7,8,9,10})</f>
        <v>4</v>
      </c>
      <c r="D795">
        <f t="shared" ca="1" si="72"/>
        <v>18200</v>
      </c>
      <c r="E795" t="str">
        <f ca="1">IF(B795="Oloitoktok A",IF(D795&lt;15000,LOOKUP(RAND(),{0,0.45,0.75,0.92},{"River","Rainwater","Borehole","Vendor"}),IF(D795&lt;30000,LOOKUP(RAND(),{0,0.35,0.65,0.85},{"River","Rainwater","Borehole","Vendor"}),LOOKUP(RAND(),{0,0.25,0.5,0.75},{"River","Rainwater","Borehole","Vendor"}))),IF(B795="Oloitoktok B",IF(D795&lt;15000,LOOKUP(RAND(),{0,0.5,0.78,0.94},{"River","Rainwater","Borehole","Vendor"}),IF(D795&lt;30000,LOOKUP(RAND(),{0,0.4,0.68,0.87},{"River","Rainwater","Borehole","Vendor"}),LOOKUP(RAND(),{0,0.28,0.55,0.78},{"River","Rainwater","Borehole","Vendor"}))),IF(B795="Kiserian",IF(D795&lt;15000,LOOKUP(RAND(),{0,0.35,0.65,0.9},{"River","Rainwater","Borehole","Vendor"}),IF(D795&lt;30000,LOOKUP(RAND(),{0,0.25,0.55,0.82},{"River","Rainwater","Borehole","Vendor"}),LOOKUP(RAND(),{0,0.15,0.45,0.72},{"River","Rainwater","Borehole","Vendor"}))),IF(D795&lt;15000,LOOKUP(RAND(),{0,0.4,0.7,0.92},{"River","Rainwater","Borehole","Vendor"}),IF(D795&lt;30000,LOOKUP(RAND(),{0,0.3,0.6,0.85},{"River","Rainwater","Borehole","Vendor"}),LOOKUP(RAND(),{0,0.2,0.5,0.75},{"River","Rainwater","Borehole","Vendor"}))))))</f>
        <v>River</v>
      </c>
      <c r="F795">
        <f t="shared" ca="1" si="73"/>
        <v>84</v>
      </c>
      <c r="G795">
        <f t="shared" ca="1" si="74"/>
        <v>8.6</v>
      </c>
      <c r="H795">
        <f t="shared" ca="1" si="75"/>
        <v>7000</v>
      </c>
      <c r="I795">
        <f t="shared" ca="1" si="76"/>
        <v>0.17726682090070234</v>
      </c>
      <c r="J795">
        <v>1</v>
      </c>
    </row>
    <row r="796" spans="1:10" x14ac:dyDescent="0.3">
      <c r="A796" t="str">
        <f t="shared" si="77"/>
        <v>HH795</v>
      </c>
      <c r="B796" t="str">
        <f ca="1">LOOKUP(RAND(),{0,0.28,0.55,0.78},{"Oloitoktok A","Oloitoktok B","Kiserian","Namanga"})</f>
        <v>Kiserian</v>
      </c>
      <c r="C796">
        <f ca="1">LOOKUP(RAND(),{0,0.02,0.09,0.2,0.35,0.52,0.68,0.81,0.91,0.97},{1,2,3,4,5,6,7,8,9,10})</f>
        <v>5</v>
      </c>
      <c r="D796">
        <f t="shared" ca="1" si="72"/>
        <v>59700</v>
      </c>
      <c r="E796" t="str">
        <f ca="1">IF(B796="Oloitoktok A",IF(D796&lt;15000,LOOKUP(RAND(),{0,0.45,0.75,0.92},{"River","Rainwater","Borehole","Vendor"}),IF(D796&lt;30000,LOOKUP(RAND(),{0,0.35,0.65,0.85},{"River","Rainwater","Borehole","Vendor"}),LOOKUP(RAND(),{0,0.25,0.5,0.75},{"River","Rainwater","Borehole","Vendor"}))),IF(B796="Oloitoktok B",IF(D796&lt;15000,LOOKUP(RAND(),{0,0.5,0.78,0.94},{"River","Rainwater","Borehole","Vendor"}),IF(D796&lt;30000,LOOKUP(RAND(),{0,0.4,0.68,0.87},{"River","Rainwater","Borehole","Vendor"}),LOOKUP(RAND(),{0,0.28,0.55,0.78},{"River","Rainwater","Borehole","Vendor"}))),IF(B796="Kiserian",IF(D796&lt;15000,LOOKUP(RAND(),{0,0.35,0.65,0.9},{"River","Rainwater","Borehole","Vendor"}),IF(D796&lt;30000,LOOKUP(RAND(),{0,0.25,0.55,0.82},{"River","Rainwater","Borehole","Vendor"}),LOOKUP(RAND(),{0,0.15,0.45,0.72},{"River","Rainwater","Borehole","Vendor"}))),IF(D796&lt;15000,LOOKUP(RAND(),{0,0.4,0.7,0.92},{"River","Rainwater","Borehole","Vendor"}),IF(D796&lt;30000,LOOKUP(RAND(),{0,0.3,0.6,0.85},{"River","Rainwater","Borehole","Vendor"}),LOOKUP(RAND(),{0,0.2,0.5,0.75},{"River","Rainwater","Borehole","Vendor"}))))))</f>
        <v>Borehole</v>
      </c>
      <c r="F796">
        <f t="shared" ca="1" si="73"/>
        <v>31</v>
      </c>
      <c r="G796">
        <f t="shared" ca="1" si="74"/>
        <v>4.5</v>
      </c>
      <c r="H796">
        <f t="shared" ca="1" si="75"/>
        <v>5700</v>
      </c>
      <c r="I796">
        <f t="shared" ca="1" si="76"/>
        <v>0.34185767983058413</v>
      </c>
      <c r="J796">
        <v>1</v>
      </c>
    </row>
    <row r="797" spans="1:10" x14ac:dyDescent="0.3">
      <c r="A797" t="str">
        <f t="shared" si="77"/>
        <v>HH796</v>
      </c>
      <c r="B797" t="str">
        <f ca="1">LOOKUP(RAND(),{0,0.28,0.55,0.78},{"Oloitoktok A","Oloitoktok B","Kiserian","Namanga"})</f>
        <v>Oloitoktok A</v>
      </c>
      <c r="C797">
        <f ca="1">LOOKUP(RAND(),{0,0.02,0.09,0.2,0.35,0.52,0.68,0.81,0.91,0.97},{1,2,3,4,5,6,7,8,9,10})</f>
        <v>6</v>
      </c>
      <c r="D797">
        <f t="shared" ca="1" si="72"/>
        <v>57800</v>
      </c>
      <c r="E797" t="str">
        <f ca="1">IF(B797="Oloitoktok A",IF(D797&lt;15000,LOOKUP(RAND(),{0,0.45,0.75,0.92},{"River","Rainwater","Borehole","Vendor"}),IF(D797&lt;30000,LOOKUP(RAND(),{0,0.35,0.65,0.85},{"River","Rainwater","Borehole","Vendor"}),LOOKUP(RAND(),{0,0.25,0.5,0.75},{"River","Rainwater","Borehole","Vendor"}))),IF(B797="Oloitoktok B",IF(D797&lt;15000,LOOKUP(RAND(),{0,0.5,0.78,0.94},{"River","Rainwater","Borehole","Vendor"}),IF(D797&lt;30000,LOOKUP(RAND(),{0,0.4,0.68,0.87},{"River","Rainwater","Borehole","Vendor"}),LOOKUP(RAND(),{0,0.28,0.55,0.78},{"River","Rainwater","Borehole","Vendor"}))),IF(B797="Kiserian",IF(D797&lt;15000,LOOKUP(RAND(),{0,0.35,0.65,0.9},{"River","Rainwater","Borehole","Vendor"}),IF(D797&lt;30000,LOOKUP(RAND(),{0,0.25,0.55,0.82},{"River","Rainwater","Borehole","Vendor"}),LOOKUP(RAND(),{0,0.15,0.45,0.72},{"River","Rainwater","Borehole","Vendor"}))),IF(D797&lt;15000,LOOKUP(RAND(),{0,0.4,0.7,0.92},{"River","Rainwater","Borehole","Vendor"}),IF(D797&lt;30000,LOOKUP(RAND(),{0,0.3,0.6,0.85},{"River","Rainwater","Borehole","Vendor"}),LOOKUP(RAND(),{0,0.2,0.5,0.75},{"River","Rainwater","Borehole","Vendor"}))))))</f>
        <v>Rainwater</v>
      </c>
      <c r="F797">
        <f t="shared" ca="1" si="73"/>
        <v>63</v>
      </c>
      <c r="G797">
        <f t="shared" ca="1" si="74"/>
        <v>5</v>
      </c>
      <c r="H797">
        <f t="shared" ca="1" si="75"/>
        <v>8400</v>
      </c>
      <c r="I797">
        <f t="shared" ca="1" si="76"/>
        <v>0.67447241911126665</v>
      </c>
      <c r="J797">
        <v>1</v>
      </c>
    </row>
    <row r="798" spans="1:10" x14ac:dyDescent="0.3">
      <c r="A798" t="str">
        <f t="shared" si="77"/>
        <v>HH797</v>
      </c>
      <c r="B798" t="str">
        <f ca="1">LOOKUP(RAND(),{0,0.28,0.55,0.78},{"Oloitoktok A","Oloitoktok B","Kiserian","Namanga"})</f>
        <v>Oloitoktok A</v>
      </c>
      <c r="C798">
        <f ca="1">LOOKUP(RAND(),{0,0.02,0.09,0.2,0.35,0.52,0.68,0.81,0.91,0.97},{1,2,3,4,5,6,7,8,9,10})</f>
        <v>5</v>
      </c>
      <c r="D798">
        <f t="shared" ca="1" si="72"/>
        <v>35300</v>
      </c>
      <c r="E798" t="str">
        <f ca="1">IF(B798="Oloitoktok A",IF(D798&lt;15000,LOOKUP(RAND(),{0,0.45,0.75,0.92},{"River","Rainwater","Borehole","Vendor"}),IF(D798&lt;30000,LOOKUP(RAND(),{0,0.35,0.65,0.85},{"River","Rainwater","Borehole","Vendor"}),LOOKUP(RAND(),{0,0.25,0.5,0.75},{"River","Rainwater","Borehole","Vendor"}))),IF(B798="Oloitoktok B",IF(D798&lt;15000,LOOKUP(RAND(),{0,0.5,0.78,0.94},{"River","Rainwater","Borehole","Vendor"}),IF(D798&lt;30000,LOOKUP(RAND(),{0,0.4,0.68,0.87},{"River","Rainwater","Borehole","Vendor"}),LOOKUP(RAND(),{0,0.28,0.55,0.78},{"River","Rainwater","Borehole","Vendor"}))),IF(B798="Kiserian",IF(D798&lt;15000,LOOKUP(RAND(),{0,0.35,0.65,0.9},{"River","Rainwater","Borehole","Vendor"}),IF(D798&lt;30000,LOOKUP(RAND(),{0,0.25,0.55,0.82},{"River","Rainwater","Borehole","Vendor"}),LOOKUP(RAND(),{0,0.15,0.45,0.72},{"River","Rainwater","Borehole","Vendor"}))),IF(D798&lt;15000,LOOKUP(RAND(),{0,0.4,0.7,0.92},{"River","Rainwater","Borehole","Vendor"}),IF(D798&lt;30000,LOOKUP(RAND(),{0,0.3,0.6,0.85},{"River","Rainwater","Borehole","Vendor"}),LOOKUP(RAND(),{0,0.2,0.5,0.75},{"River","Rainwater","Borehole","Vendor"}))))))</f>
        <v>Vendor</v>
      </c>
      <c r="F798">
        <f t="shared" ca="1" si="73"/>
        <v>30</v>
      </c>
      <c r="G798">
        <f t="shared" ca="1" si="74"/>
        <v>1.2</v>
      </c>
      <c r="H798">
        <f t="shared" ca="1" si="75"/>
        <v>900</v>
      </c>
      <c r="I798">
        <f t="shared" ca="1" si="76"/>
        <v>0.70490663273103371</v>
      </c>
      <c r="J798">
        <v>1</v>
      </c>
    </row>
    <row r="799" spans="1:10" x14ac:dyDescent="0.3">
      <c r="A799" t="str">
        <f t="shared" si="77"/>
        <v>HH798</v>
      </c>
      <c r="B799" t="str">
        <f ca="1">LOOKUP(RAND(),{0,0.28,0.55,0.78},{"Oloitoktok A","Oloitoktok B","Kiserian","Namanga"})</f>
        <v>Kiserian</v>
      </c>
      <c r="C799">
        <f ca="1">LOOKUP(RAND(),{0,0.02,0.09,0.2,0.35,0.52,0.68,0.81,0.91,0.97},{1,2,3,4,5,6,7,8,9,10})</f>
        <v>4</v>
      </c>
      <c r="D799">
        <f t="shared" ca="1" si="72"/>
        <v>31800</v>
      </c>
      <c r="E799" t="str">
        <f ca="1">IF(B799="Oloitoktok A",IF(D799&lt;15000,LOOKUP(RAND(),{0,0.45,0.75,0.92},{"River","Rainwater","Borehole","Vendor"}),IF(D799&lt;30000,LOOKUP(RAND(),{0,0.35,0.65,0.85},{"River","Rainwater","Borehole","Vendor"}),LOOKUP(RAND(),{0,0.25,0.5,0.75},{"River","Rainwater","Borehole","Vendor"}))),IF(B799="Oloitoktok B",IF(D799&lt;15000,LOOKUP(RAND(),{0,0.5,0.78,0.94},{"River","Rainwater","Borehole","Vendor"}),IF(D799&lt;30000,LOOKUP(RAND(),{0,0.4,0.68,0.87},{"River","Rainwater","Borehole","Vendor"}),LOOKUP(RAND(),{0,0.28,0.55,0.78},{"River","Rainwater","Borehole","Vendor"}))),IF(B799="Kiserian",IF(D799&lt;15000,LOOKUP(RAND(),{0,0.35,0.65,0.9},{"River","Rainwater","Borehole","Vendor"}),IF(D799&lt;30000,LOOKUP(RAND(),{0,0.25,0.55,0.82},{"River","Rainwater","Borehole","Vendor"}),LOOKUP(RAND(),{0,0.15,0.45,0.72},{"River","Rainwater","Borehole","Vendor"}))),IF(D799&lt;15000,LOOKUP(RAND(),{0,0.4,0.7,0.92},{"River","Rainwater","Borehole","Vendor"}),IF(D799&lt;30000,LOOKUP(RAND(),{0,0.3,0.6,0.85},{"River","Rainwater","Borehole","Vendor"}),LOOKUP(RAND(),{0,0.2,0.5,0.75},{"River","Rainwater","Borehole","Vendor"}))))))</f>
        <v>Rainwater</v>
      </c>
      <c r="F799">
        <f t="shared" ca="1" si="73"/>
        <v>45</v>
      </c>
      <c r="G799">
        <f t="shared" ca="1" si="74"/>
        <v>9.6</v>
      </c>
      <c r="H799">
        <f t="shared" ca="1" si="75"/>
        <v>4200</v>
      </c>
      <c r="I799">
        <f t="shared" ca="1" si="76"/>
        <v>0.91510624079379033</v>
      </c>
      <c r="J799">
        <v>1</v>
      </c>
    </row>
    <row r="800" spans="1:10" x14ac:dyDescent="0.3">
      <c r="A800" t="str">
        <f t="shared" si="77"/>
        <v>HH799</v>
      </c>
      <c r="B800" t="str">
        <f ca="1">LOOKUP(RAND(),{0,0.28,0.55,0.78},{"Oloitoktok A","Oloitoktok B","Kiserian","Namanga"})</f>
        <v>Kiserian</v>
      </c>
      <c r="C800">
        <f ca="1">LOOKUP(RAND(),{0,0.02,0.09,0.2,0.35,0.52,0.68,0.81,0.91,0.97},{1,2,3,4,5,6,7,8,9,10})</f>
        <v>3</v>
      </c>
      <c r="D800">
        <f t="shared" ca="1" si="72"/>
        <v>26600</v>
      </c>
      <c r="E800" t="str">
        <f ca="1">IF(B800="Oloitoktok A",IF(D800&lt;15000,LOOKUP(RAND(),{0,0.45,0.75,0.92},{"River","Rainwater","Borehole","Vendor"}),IF(D800&lt;30000,LOOKUP(RAND(),{0,0.35,0.65,0.85},{"River","Rainwater","Borehole","Vendor"}),LOOKUP(RAND(),{0,0.25,0.5,0.75},{"River","Rainwater","Borehole","Vendor"}))),IF(B800="Oloitoktok B",IF(D800&lt;15000,LOOKUP(RAND(),{0,0.5,0.78,0.94},{"River","Rainwater","Borehole","Vendor"}),IF(D800&lt;30000,LOOKUP(RAND(),{0,0.4,0.68,0.87},{"River","Rainwater","Borehole","Vendor"}),LOOKUP(RAND(),{0,0.28,0.55,0.78},{"River","Rainwater","Borehole","Vendor"}))),IF(B800="Kiserian",IF(D800&lt;15000,LOOKUP(RAND(),{0,0.35,0.65,0.9},{"River","Rainwater","Borehole","Vendor"}),IF(D800&lt;30000,LOOKUP(RAND(),{0,0.25,0.55,0.82},{"River","Rainwater","Borehole","Vendor"}),LOOKUP(RAND(),{0,0.15,0.45,0.72},{"River","Rainwater","Borehole","Vendor"}))),IF(D800&lt;15000,LOOKUP(RAND(),{0,0.4,0.7,0.92},{"River","Rainwater","Borehole","Vendor"}),IF(D800&lt;30000,LOOKUP(RAND(),{0,0.3,0.6,0.85},{"River","Rainwater","Borehole","Vendor"}),LOOKUP(RAND(),{0,0.2,0.5,0.75},{"River","Rainwater","Borehole","Vendor"}))))))</f>
        <v>River</v>
      </c>
      <c r="F800">
        <f t="shared" ca="1" si="73"/>
        <v>109</v>
      </c>
      <c r="G800">
        <f t="shared" ca="1" si="74"/>
        <v>3.6</v>
      </c>
      <c r="H800">
        <f t="shared" ca="1" si="75"/>
        <v>4300</v>
      </c>
      <c r="I800">
        <f t="shared" ca="1" si="76"/>
        <v>7.9492174508201452E-2</v>
      </c>
      <c r="J800">
        <v>1</v>
      </c>
    </row>
    <row r="801" spans="1:10" x14ac:dyDescent="0.3">
      <c r="A801" t="str">
        <f t="shared" si="77"/>
        <v>HH800</v>
      </c>
      <c r="B801" t="str">
        <f ca="1">LOOKUP(RAND(),{0,0.28,0.55,0.78},{"Oloitoktok A","Oloitoktok B","Kiserian","Namanga"})</f>
        <v>Oloitoktok B</v>
      </c>
      <c r="C801">
        <f ca="1">LOOKUP(RAND(),{0,0.02,0.09,0.2,0.35,0.52,0.68,0.81,0.91,0.97},{1,2,3,4,5,6,7,8,9,10})</f>
        <v>2</v>
      </c>
      <c r="D801">
        <f t="shared" ca="1" si="72"/>
        <v>12600</v>
      </c>
      <c r="E801" t="str">
        <f ca="1">IF(B801="Oloitoktok A",IF(D801&lt;15000,LOOKUP(RAND(),{0,0.45,0.75,0.92},{"River","Rainwater","Borehole","Vendor"}),IF(D801&lt;30000,LOOKUP(RAND(),{0,0.35,0.65,0.85},{"River","Rainwater","Borehole","Vendor"}),LOOKUP(RAND(),{0,0.25,0.5,0.75},{"River","Rainwater","Borehole","Vendor"}))),IF(B801="Oloitoktok B",IF(D801&lt;15000,LOOKUP(RAND(),{0,0.5,0.78,0.94},{"River","Rainwater","Borehole","Vendor"}),IF(D801&lt;30000,LOOKUP(RAND(),{0,0.4,0.68,0.87},{"River","Rainwater","Borehole","Vendor"}),LOOKUP(RAND(),{0,0.28,0.55,0.78},{"River","Rainwater","Borehole","Vendor"}))),IF(B801="Kiserian",IF(D801&lt;15000,LOOKUP(RAND(),{0,0.35,0.65,0.9},{"River","Rainwater","Borehole","Vendor"}),IF(D801&lt;30000,LOOKUP(RAND(),{0,0.25,0.55,0.82},{"River","Rainwater","Borehole","Vendor"}),LOOKUP(RAND(),{0,0.15,0.45,0.72},{"River","Rainwater","Borehole","Vendor"}))),IF(D801&lt;15000,LOOKUP(RAND(),{0,0.4,0.7,0.92},{"River","Rainwater","Borehole","Vendor"}),IF(D801&lt;30000,LOOKUP(RAND(),{0,0.3,0.6,0.85},{"River","Rainwater","Borehole","Vendor"}),LOOKUP(RAND(),{0,0.2,0.5,0.75},{"River","Rainwater","Borehole","Vendor"}))))))</f>
        <v>River</v>
      </c>
      <c r="F801">
        <f t="shared" ca="1" si="73"/>
        <v>119</v>
      </c>
      <c r="G801">
        <f t="shared" ca="1" si="74"/>
        <v>13.2</v>
      </c>
      <c r="H801">
        <f t="shared" ca="1" si="75"/>
        <v>2700</v>
      </c>
      <c r="I801">
        <f t="shared" ca="1" si="76"/>
        <v>0.16165803189152572</v>
      </c>
      <c r="J801">
        <v>1</v>
      </c>
    </row>
    <row r="802" spans="1:10" x14ac:dyDescent="0.3">
      <c r="A802" t="str">
        <f t="shared" si="77"/>
        <v>HH801</v>
      </c>
      <c r="B802" t="str">
        <f ca="1">LOOKUP(RAND(),{0,0.28,0.55,0.78},{"Oloitoktok A","Oloitoktok B","Kiserian","Namanga"})</f>
        <v>Namanga</v>
      </c>
      <c r="C802">
        <f ca="1">LOOKUP(RAND(),{0,0.02,0.09,0.2,0.35,0.52,0.68,0.81,0.91,0.97},{1,2,3,4,5,6,7,8,9,10})</f>
        <v>6</v>
      </c>
      <c r="D802">
        <f t="shared" ca="1" si="72"/>
        <v>41800</v>
      </c>
      <c r="E802" t="str">
        <f ca="1">IF(B802="Oloitoktok A",IF(D802&lt;15000,LOOKUP(RAND(),{0,0.45,0.75,0.92},{"River","Rainwater","Borehole","Vendor"}),IF(D802&lt;30000,LOOKUP(RAND(),{0,0.35,0.65,0.85},{"River","Rainwater","Borehole","Vendor"}),LOOKUP(RAND(),{0,0.25,0.5,0.75},{"River","Rainwater","Borehole","Vendor"}))),IF(B802="Oloitoktok B",IF(D802&lt;15000,LOOKUP(RAND(),{0,0.5,0.78,0.94},{"River","Rainwater","Borehole","Vendor"}),IF(D802&lt;30000,LOOKUP(RAND(),{0,0.4,0.68,0.87},{"River","Rainwater","Borehole","Vendor"}),LOOKUP(RAND(),{0,0.28,0.55,0.78},{"River","Rainwater","Borehole","Vendor"}))),IF(B802="Kiserian",IF(D802&lt;15000,LOOKUP(RAND(),{0,0.35,0.65,0.9},{"River","Rainwater","Borehole","Vendor"}),IF(D802&lt;30000,LOOKUP(RAND(),{0,0.25,0.55,0.82},{"River","Rainwater","Borehole","Vendor"}),LOOKUP(RAND(),{0,0.15,0.45,0.72},{"River","Rainwater","Borehole","Vendor"}))),IF(D802&lt;15000,LOOKUP(RAND(),{0,0.4,0.7,0.92},{"River","Rainwater","Borehole","Vendor"}),IF(D802&lt;30000,LOOKUP(RAND(),{0,0.3,0.6,0.85},{"River","Rainwater","Borehole","Vendor"}),LOOKUP(RAND(),{0,0.2,0.5,0.75},{"River","Rainwater","Borehole","Vendor"}))))))</f>
        <v>Rainwater</v>
      </c>
      <c r="F802">
        <f t="shared" ca="1" si="73"/>
        <v>20</v>
      </c>
      <c r="G802">
        <f t="shared" ca="1" si="74"/>
        <v>2.9</v>
      </c>
      <c r="H802">
        <f t="shared" ca="1" si="75"/>
        <v>10000</v>
      </c>
      <c r="I802">
        <f t="shared" ca="1" si="76"/>
        <v>0.62707487722585042</v>
      </c>
      <c r="J802">
        <v>1</v>
      </c>
    </row>
    <row r="803" spans="1:10" x14ac:dyDescent="0.3">
      <c r="A803" t="str">
        <f t="shared" si="77"/>
        <v>HH802</v>
      </c>
      <c r="B803" t="str">
        <f ca="1">LOOKUP(RAND(),{0,0.28,0.55,0.78},{"Oloitoktok A","Oloitoktok B","Kiserian","Namanga"})</f>
        <v>Oloitoktok A</v>
      </c>
      <c r="C803">
        <f ca="1">LOOKUP(RAND(),{0,0.02,0.09,0.2,0.35,0.52,0.68,0.81,0.91,0.97},{1,2,3,4,5,6,7,8,9,10})</f>
        <v>1</v>
      </c>
      <c r="D803">
        <f t="shared" ca="1" si="72"/>
        <v>33300</v>
      </c>
      <c r="E803" t="str">
        <f ca="1">IF(B803="Oloitoktok A",IF(D803&lt;15000,LOOKUP(RAND(),{0,0.45,0.75,0.92},{"River","Rainwater","Borehole","Vendor"}),IF(D803&lt;30000,LOOKUP(RAND(),{0,0.35,0.65,0.85},{"River","Rainwater","Borehole","Vendor"}),LOOKUP(RAND(),{0,0.25,0.5,0.75},{"River","Rainwater","Borehole","Vendor"}))),IF(B803="Oloitoktok B",IF(D803&lt;15000,LOOKUP(RAND(),{0,0.5,0.78,0.94},{"River","Rainwater","Borehole","Vendor"}),IF(D803&lt;30000,LOOKUP(RAND(),{0,0.4,0.68,0.87},{"River","Rainwater","Borehole","Vendor"}),LOOKUP(RAND(),{0,0.28,0.55,0.78},{"River","Rainwater","Borehole","Vendor"}))),IF(B803="Kiserian",IF(D803&lt;15000,LOOKUP(RAND(),{0,0.35,0.65,0.9},{"River","Rainwater","Borehole","Vendor"}),IF(D803&lt;30000,LOOKUP(RAND(),{0,0.25,0.55,0.82},{"River","Rainwater","Borehole","Vendor"}),LOOKUP(RAND(),{0,0.15,0.45,0.72},{"River","Rainwater","Borehole","Vendor"}))),IF(D803&lt;15000,LOOKUP(RAND(),{0,0.4,0.7,0.92},{"River","Rainwater","Borehole","Vendor"}),IF(D803&lt;30000,LOOKUP(RAND(),{0,0.3,0.6,0.85},{"River","Rainwater","Borehole","Vendor"}),LOOKUP(RAND(),{0,0.2,0.5,0.75},{"River","Rainwater","Borehole","Vendor"}))))))</f>
        <v>Borehole</v>
      </c>
      <c r="F803">
        <f t="shared" ca="1" si="73"/>
        <v>30</v>
      </c>
      <c r="G803">
        <f t="shared" ca="1" si="74"/>
        <v>9.1999999999999993</v>
      </c>
      <c r="H803">
        <f t="shared" ca="1" si="75"/>
        <v>0</v>
      </c>
      <c r="I803">
        <f t="shared" ca="1" si="76"/>
        <v>0.69241649494743096</v>
      </c>
      <c r="J803">
        <v>1</v>
      </c>
    </row>
    <row r="804" spans="1:10" x14ac:dyDescent="0.3">
      <c r="A804" t="str">
        <f t="shared" si="77"/>
        <v>HH803</v>
      </c>
      <c r="B804" t="str">
        <f ca="1">LOOKUP(RAND(),{0,0.28,0.55,0.78},{"Oloitoktok A","Oloitoktok B","Kiserian","Namanga"})</f>
        <v>Oloitoktok B</v>
      </c>
      <c r="C804">
        <f ca="1">LOOKUP(RAND(),{0,0.02,0.09,0.2,0.35,0.52,0.68,0.81,0.91,0.97},{1,2,3,4,5,6,7,8,9,10})</f>
        <v>3</v>
      </c>
      <c r="D804">
        <f t="shared" ca="1" si="72"/>
        <v>17400</v>
      </c>
      <c r="E804" t="str">
        <f ca="1">IF(B804="Oloitoktok A",IF(D804&lt;15000,LOOKUP(RAND(),{0,0.45,0.75,0.92},{"River","Rainwater","Borehole","Vendor"}),IF(D804&lt;30000,LOOKUP(RAND(),{0,0.35,0.65,0.85},{"River","Rainwater","Borehole","Vendor"}),LOOKUP(RAND(),{0,0.25,0.5,0.75},{"River","Rainwater","Borehole","Vendor"}))),IF(B804="Oloitoktok B",IF(D804&lt;15000,LOOKUP(RAND(),{0,0.5,0.78,0.94},{"River","Rainwater","Borehole","Vendor"}),IF(D804&lt;30000,LOOKUP(RAND(),{0,0.4,0.68,0.87},{"River","Rainwater","Borehole","Vendor"}),LOOKUP(RAND(),{0,0.28,0.55,0.78},{"River","Rainwater","Borehole","Vendor"}))),IF(B804="Kiserian",IF(D804&lt;15000,LOOKUP(RAND(),{0,0.35,0.65,0.9},{"River","Rainwater","Borehole","Vendor"}),IF(D804&lt;30000,LOOKUP(RAND(),{0,0.25,0.55,0.82},{"River","Rainwater","Borehole","Vendor"}),LOOKUP(RAND(),{0,0.15,0.45,0.72},{"River","Rainwater","Borehole","Vendor"}))),IF(D804&lt;15000,LOOKUP(RAND(),{0,0.4,0.7,0.92},{"River","Rainwater","Borehole","Vendor"}),IF(D804&lt;30000,LOOKUP(RAND(),{0,0.3,0.6,0.85},{"River","Rainwater","Borehole","Vendor"}),LOOKUP(RAND(),{0,0.2,0.5,0.75},{"River","Rainwater","Borehole","Vendor"}))))))</f>
        <v>River</v>
      </c>
      <c r="F804">
        <f t="shared" ca="1" si="73"/>
        <v>60</v>
      </c>
      <c r="G804">
        <f t="shared" ca="1" si="74"/>
        <v>6.3</v>
      </c>
      <c r="H804">
        <f t="shared" ca="1" si="75"/>
        <v>3900</v>
      </c>
      <c r="I804">
        <f t="shared" ca="1" si="76"/>
        <v>0.9557547083318132</v>
      </c>
      <c r="J804">
        <v>1</v>
      </c>
    </row>
    <row r="805" spans="1:10" x14ac:dyDescent="0.3">
      <c r="A805" t="str">
        <f t="shared" si="77"/>
        <v>HH804</v>
      </c>
      <c r="B805" t="str">
        <f ca="1">LOOKUP(RAND(),{0,0.28,0.55,0.78},{"Oloitoktok A","Oloitoktok B","Kiserian","Namanga"})</f>
        <v>Oloitoktok A</v>
      </c>
      <c r="C805">
        <f ca="1">LOOKUP(RAND(),{0,0.02,0.09,0.2,0.35,0.52,0.68,0.81,0.91,0.97},{1,2,3,4,5,6,7,8,9,10})</f>
        <v>4</v>
      </c>
      <c r="D805">
        <f t="shared" ca="1" si="72"/>
        <v>44700</v>
      </c>
      <c r="E805" t="str">
        <f ca="1">IF(B805="Oloitoktok A",IF(D805&lt;15000,LOOKUP(RAND(),{0,0.45,0.75,0.92},{"River","Rainwater","Borehole","Vendor"}),IF(D805&lt;30000,LOOKUP(RAND(),{0,0.35,0.65,0.85},{"River","Rainwater","Borehole","Vendor"}),LOOKUP(RAND(),{0,0.25,0.5,0.75},{"River","Rainwater","Borehole","Vendor"}))),IF(B805="Oloitoktok B",IF(D805&lt;15000,LOOKUP(RAND(),{0,0.5,0.78,0.94},{"River","Rainwater","Borehole","Vendor"}),IF(D805&lt;30000,LOOKUP(RAND(),{0,0.4,0.68,0.87},{"River","Rainwater","Borehole","Vendor"}),LOOKUP(RAND(),{0,0.28,0.55,0.78},{"River","Rainwater","Borehole","Vendor"}))),IF(B805="Kiserian",IF(D805&lt;15000,LOOKUP(RAND(),{0,0.35,0.65,0.9},{"River","Rainwater","Borehole","Vendor"}),IF(D805&lt;30000,LOOKUP(RAND(),{0,0.25,0.55,0.82},{"River","Rainwater","Borehole","Vendor"}),LOOKUP(RAND(),{0,0.15,0.45,0.72},{"River","Rainwater","Borehole","Vendor"}))),IF(D805&lt;15000,LOOKUP(RAND(),{0,0.4,0.7,0.92},{"River","Rainwater","Borehole","Vendor"}),IF(D805&lt;30000,LOOKUP(RAND(),{0,0.3,0.6,0.85},{"River","Rainwater","Borehole","Vendor"}),LOOKUP(RAND(),{0,0.2,0.5,0.75},{"River","Rainwater","Borehole","Vendor"}))))))</f>
        <v>Borehole</v>
      </c>
      <c r="F805">
        <f t="shared" ca="1" si="73"/>
        <v>44</v>
      </c>
      <c r="G805">
        <f t="shared" ca="1" si="74"/>
        <v>11.9</v>
      </c>
      <c r="H805">
        <f t="shared" ca="1" si="75"/>
        <v>6900</v>
      </c>
      <c r="I805">
        <f t="shared" ca="1" si="76"/>
        <v>0.79820297293203768</v>
      </c>
      <c r="J805">
        <v>1</v>
      </c>
    </row>
    <row r="806" spans="1:10" x14ac:dyDescent="0.3">
      <c r="A806" t="str">
        <f t="shared" si="77"/>
        <v>HH805</v>
      </c>
      <c r="B806" t="str">
        <f ca="1">LOOKUP(RAND(),{0,0.28,0.55,0.78},{"Oloitoktok A","Oloitoktok B","Kiserian","Namanga"})</f>
        <v>Oloitoktok B</v>
      </c>
      <c r="C806">
        <f ca="1">LOOKUP(RAND(),{0,0.02,0.09,0.2,0.35,0.52,0.68,0.81,0.91,0.97},{1,2,3,4,5,6,7,8,9,10})</f>
        <v>5</v>
      </c>
      <c r="D806">
        <f t="shared" ca="1" si="72"/>
        <v>35400</v>
      </c>
      <c r="E806" t="str">
        <f ca="1">IF(B806="Oloitoktok A",IF(D806&lt;15000,LOOKUP(RAND(),{0,0.45,0.75,0.92},{"River","Rainwater","Borehole","Vendor"}),IF(D806&lt;30000,LOOKUP(RAND(),{0,0.35,0.65,0.85},{"River","Rainwater","Borehole","Vendor"}),LOOKUP(RAND(),{0,0.25,0.5,0.75},{"River","Rainwater","Borehole","Vendor"}))),IF(B806="Oloitoktok B",IF(D806&lt;15000,LOOKUP(RAND(),{0,0.5,0.78,0.94},{"River","Rainwater","Borehole","Vendor"}),IF(D806&lt;30000,LOOKUP(RAND(),{0,0.4,0.68,0.87},{"River","Rainwater","Borehole","Vendor"}),LOOKUP(RAND(),{0,0.28,0.55,0.78},{"River","Rainwater","Borehole","Vendor"}))),IF(B806="Kiserian",IF(D806&lt;15000,LOOKUP(RAND(),{0,0.35,0.65,0.9},{"River","Rainwater","Borehole","Vendor"}),IF(D806&lt;30000,LOOKUP(RAND(),{0,0.25,0.55,0.82},{"River","Rainwater","Borehole","Vendor"}),LOOKUP(RAND(),{0,0.15,0.45,0.72},{"River","Rainwater","Borehole","Vendor"}))),IF(D806&lt;15000,LOOKUP(RAND(),{0,0.4,0.7,0.92},{"River","Rainwater","Borehole","Vendor"}),IF(D806&lt;30000,LOOKUP(RAND(),{0,0.3,0.6,0.85},{"River","Rainwater","Borehole","Vendor"}),LOOKUP(RAND(),{0,0.2,0.5,0.75},{"River","Rainwater","Borehole","Vendor"}))))))</f>
        <v>Vendor</v>
      </c>
      <c r="F806">
        <f t="shared" ca="1" si="73"/>
        <v>45</v>
      </c>
      <c r="G806">
        <f t="shared" ca="1" si="74"/>
        <v>8.6</v>
      </c>
      <c r="H806">
        <f t="shared" ca="1" si="75"/>
        <v>0</v>
      </c>
      <c r="I806">
        <f t="shared" ca="1" si="76"/>
        <v>0.49048454096224448</v>
      </c>
      <c r="J806">
        <v>1</v>
      </c>
    </row>
    <row r="807" spans="1:10" x14ac:dyDescent="0.3">
      <c r="A807" t="str">
        <f t="shared" si="77"/>
        <v>HH806</v>
      </c>
      <c r="B807" t="str">
        <f ca="1">LOOKUP(RAND(),{0,0.28,0.55,0.78},{"Oloitoktok A","Oloitoktok B","Kiserian","Namanga"})</f>
        <v>Oloitoktok B</v>
      </c>
      <c r="C807">
        <f ca="1">LOOKUP(RAND(),{0,0.02,0.09,0.2,0.35,0.52,0.68,0.81,0.91,0.97},{1,2,3,4,5,6,7,8,9,10})</f>
        <v>2</v>
      </c>
      <c r="D807">
        <f t="shared" ca="1" si="72"/>
        <v>27300</v>
      </c>
      <c r="E807" t="str">
        <f ca="1">IF(B807="Oloitoktok A",IF(D807&lt;15000,LOOKUP(RAND(),{0,0.45,0.75,0.92},{"River","Rainwater","Borehole","Vendor"}),IF(D807&lt;30000,LOOKUP(RAND(),{0,0.35,0.65,0.85},{"River","Rainwater","Borehole","Vendor"}),LOOKUP(RAND(),{0,0.25,0.5,0.75},{"River","Rainwater","Borehole","Vendor"}))),IF(B807="Oloitoktok B",IF(D807&lt;15000,LOOKUP(RAND(),{0,0.5,0.78,0.94},{"River","Rainwater","Borehole","Vendor"}),IF(D807&lt;30000,LOOKUP(RAND(),{0,0.4,0.68,0.87},{"River","Rainwater","Borehole","Vendor"}),LOOKUP(RAND(),{0,0.28,0.55,0.78},{"River","Rainwater","Borehole","Vendor"}))),IF(B807="Kiserian",IF(D807&lt;15000,LOOKUP(RAND(),{0,0.35,0.65,0.9},{"River","Rainwater","Borehole","Vendor"}),IF(D807&lt;30000,LOOKUP(RAND(),{0,0.25,0.55,0.82},{"River","Rainwater","Borehole","Vendor"}),LOOKUP(RAND(),{0,0.15,0.45,0.72},{"River","Rainwater","Borehole","Vendor"}))),IF(D807&lt;15000,LOOKUP(RAND(),{0,0.4,0.7,0.92},{"River","Rainwater","Borehole","Vendor"}),IF(D807&lt;30000,LOOKUP(RAND(),{0,0.3,0.6,0.85},{"River","Rainwater","Borehole","Vendor"}),LOOKUP(RAND(),{0,0.2,0.5,0.75},{"River","Rainwater","Borehole","Vendor"}))))))</f>
        <v>River</v>
      </c>
      <c r="F807">
        <f t="shared" ca="1" si="73"/>
        <v>101</v>
      </c>
      <c r="G807">
        <f t="shared" ca="1" si="74"/>
        <v>4.2</v>
      </c>
      <c r="H807">
        <f t="shared" ca="1" si="75"/>
        <v>4600</v>
      </c>
      <c r="I807">
        <f t="shared" ca="1" si="76"/>
        <v>0.21590030140138039</v>
      </c>
      <c r="J807">
        <v>1</v>
      </c>
    </row>
    <row r="808" spans="1:10" x14ac:dyDescent="0.3">
      <c r="A808" t="str">
        <f t="shared" si="77"/>
        <v>HH807</v>
      </c>
      <c r="B808" t="str">
        <f ca="1">LOOKUP(RAND(),{0,0.28,0.55,0.78},{"Oloitoktok A","Oloitoktok B","Kiserian","Namanga"})</f>
        <v>Kiserian</v>
      </c>
      <c r="C808">
        <f ca="1">LOOKUP(RAND(),{0,0.02,0.09,0.2,0.35,0.52,0.68,0.81,0.91,0.97},{1,2,3,4,5,6,7,8,9,10})</f>
        <v>6</v>
      </c>
      <c r="D808">
        <f t="shared" ca="1" si="72"/>
        <v>34400</v>
      </c>
      <c r="E808" t="str">
        <f ca="1">IF(B808="Oloitoktok A",IF(D808&lt;15000,LOOKUP(RAND(),{0,0.45,0.75,0.92},{"River","Rainwater","Borehole","Vendor"}),IF(D808&lt;30000,LOOKUP(RAND(),{0,0.35,0.65,0.85},{"River","Rainwater","Borehole","Vendor"}),LOOKUP(RAND(),{0,0.25,0.5,0.75},{"River","Rainwater","Borehole","Vendor"}))),IF(B808="Oloitoktok B",IF(D808&lt;15000,LOOKUP(RAND(),{0,0.5,0.78,0.94},{"River","Rainwater","Borehole","Vendor"}),IF(D808&lt;30000,LOOKUP(RAND(),{0,0.4,0.68,0.87},{"River","Rainwater","Borehole","Vendor"}),LOOKUP(RAND(),{0,0.28,0.55,0.78},{"River","Rainwater","Borehole","Vendor"}))),IF(B808="Kiserian",IF(D808&lt;15000,LOOKUP(RAND(),{0,0.35,0.65,0.9},{"River","Rainwater","Borehole","Vendor"}),IF(D808&lt;30000,LOOKUP(RAND(),{0,0.25,0.55,0.82},{"River","Rainwater","Borehole","Vendor"}),LOOKUP(RAND(),{0,0.15,0.45,0.72},{"River","Rainwater","Borehole","Vendor"}))),IF(D808&lt;15000,LOOKUP(RAND(),{0,0.4,0.7,0.92},{"River","Rainwater","Borehole","Vendor"}),IF(D808&lt;30000,LOOKUP(RAND(),{0,0.3,0.6,0.85},{"River","Rainwater","Borehole","Vendor"}),LOOKUP(RAND(),{0,0.2,0.5,0.75},{"River","Rainwater","Borehole","Vendor"}))))))</f>
        <v>Rainwater</v>
      </c>
      <c r="F808">
        <f t="shared" ca="1" si="73"/>
        <v>50</v>
      </c>
      <c r="G808">
        <f t="shared" ca="1" si="74"/>
        <v>9.5</v>
      </c>
      <c r="H808">
        <f t="shared" ca="1" si="75"/>
        <v>6600</v>
      </c>
      <c r="I808">
        <f t="shared" ca="1" si="76"/>
        <v>0.98091880820374344</v>
      </c>
      <c r="J808">
        <v>1</v>
      </c>
    </row>
    <row r="809" spans="1:10" x14ac:dyDescent="0.3">
      <c r="A809" t="str">
        <f t="shared" si="77"/>
        <v>HH808</v>
      </c>
      <c r="B809" t="str">
        <f ca="1">LOOKUP(RAND(),{0,0.28,0.55,0.78},{"Oloitoktok A","Oloitoktok B","Kiserian","Namanga"})</f>
        <v>Oloitoktok A</v>
      </c>
      <c r="C809">
        <f ca="1">LOOKUP(RAND(),{0,0.02,0.09,0.2,0.35,0.52,0.68,0.81,0.91,0.97},{1,2,3,4,5,6,7,8,9,10})</f>
        <v>2</v>
      </c>
      <c r="D809">
        <f t="shared" ca="1" si="72"/>
        <v>35400</v>
      </c>
      <c r="E809" t="str">
        <f ca="1">IF(B809="Oloitoktok A",IF(D809&lt;15000,LOOKUP(RAND(),{0,0.45,0.75,0.92},{"River","Rainwater","Borehole","Vendor"}),IF(D809&lt;30000,LOOKUP(RAND(),{0,0.35,0.65,0.85},{"River","Rainwater","Borehole","Vendor"}),LOOKUP(RAND(),{0,0.25,0.5,0.75},{"River","Rainwater","Borehole","Vendor"}))),IF(B809="Oloitoktok B",IF(D809&lt;15000,LOOKUP(RAND(),{0,0.5,0.78,0.94},{"River","Rainwater","Borehole","Vendor"}),IF(D809&lt;30000,LOOKUP(RAND(),{0,0.4,0.68,0.87},{"River","Rainwater","Borehole","Vendor"}),LOOKUP(RAND(),{0,0.28,0.55,0.78},{"River","Rainwater","Borehole","Vendor"}))),IF(B809="Kiserian",IF(D809&lt;15000,LOOKUP(RAND(),{0,0.35,0.65,0.9},{"River","Rainwater","Borehole","Vendor"}),IF(D809&lt;30000,LOOKUP(RAND(),{0,0.25,0.55,0.82},{"River","Rainwater","Borehole","Vendor"}),LOOKUP(RAND(),{0,0.15,0.45,0.72},{"River","Rainwater","Borehole","Vendor"}))),IF(D809&lt;15000,LOOKUP(RAND(),{0,0.4,0.7,0.92},{"River","Rainwater","Borehole","Vendor"}),IF(D809&lt;30000,LOOKUP(RAND(),{0,0.3,0.6,0.85},{"River","Rainwater","Borehole","Vendor"}),LOOKUP(RAND(),{0,0.2,0.5,0.75},{"River","Rainwater","Borehole","Vendor"}))))))</f>
        <v>River</v>
      </c>
      <c r="F809">
        <f t="shared" ca="1" si="73"/>
        <v>87</v>
      </c>
      <c r="G809">
        <f t="shared" ca="1" si="74"/>
        <v>9.9</v>
      </c>
      <c r="H809">
        <f t="shared" ca="1" si="75"/>
        <v>10600</v>
      </c>
      <c r="I809">
        <f t="shared" ca="1" si="76"/>
        <v>1.4545893594405279E-2</v>
      </c>
      <c r="J809">
        <v>1</v>
      </c>
    </row>
    <row r="810" spans="1:10" x14ac:dyDescent="0.3">
      <c r="A810" t="str">
        <f t="shared" si="77"/>
        <v>HH809</v>
      </c>
      <c r="B810" t="str">
        <f ca="1">LOOKUP(RAND(),{0,0.28,0.55,0.78},{"Oloitoktok A","Oloitoktok B","Kiserian","Namanga"})</f>
        <v>Namanga</v>
      </c>
      <c r="C810">
        <f ca="1">LOOKUP(RAND(),{0,0.02,0.09,0.2,0.35,0.52,0.68,0.81,0.91,0.97},{1,2,3,4,5,6,7,8,9,10})</f>
        <v>1</v>
      </c>
      <c r="D810">
        <f t="shared" ca="1" si="72"/>
        <v>43700</v>
      </c>
      <c r="E810" t="str">
        <f ca="1">IF(B810="Oloitoktok A",IF(D810&lt;15000,LOOKUP(RAND(),{0,0.45,0.75,0.92},{"River","Rainwater","Borehole","Vendor"}),IF(D810&lt;30000,LOOKUP(RAND(),{0,0.35,0.65,0.85},{"River","Rainwater","Borehole","Vendor"}),LOOKUP(RAND(),{0,0.25,0.5,0.75},{"River","Rainwater","Borehole","Vendor"}))),IF(B810="Oloitoktok B",IF(D810&lt;15000,LOOKUP(RAND(),{0,0.5,0.78,0.94},{"River","Rainwater","Borehole","Vendor"}),IF(D810&lt;30000,LOOKUP(RAND(),{0,0.4,0.68,0.87},{"River","Rainwater","Borehole","Vendor"}),LOOKUP(RAND(),{0,0.28,0.55,0.78},{"River","Rainwater","Borehole","Vendor"}))),IF(B810="Kiserian",IF(D810&lt;15000,LOOKUP(RAND(),{0,0.35,0.65,0.9},{"River","Rainwater","Borehole","Vendor"}),IF(D810&lt;30000,LOOKUP(RAND(),{0,0.25,0.55,0.82},{"River","Rainwater","Borehole","Vendor"}),LOOKUP(RAND(),{0,0.15,0.45,0.72},{"River","Rainwater","Borehole","Vendor"}))),IF(D810&lt;15000,LOOKUP(RAND(),{0,0.4,0.7,0.92},{"River","Rainwater","Borehole","Vendor"}),IF(D810&lt;30000,LOOKUP(RAND(),{0,0.3,0.6,0.85},{"River","Rainwater","Borehole","Vendor"}),LOOKUP(RAND(),{0,0.2,0.5,0.75},{"River","Rainwater","Borehole","Vendor"}))))))</f>
        <v>Rainwater</v>
      </c>
      <c r="F810">
        <f t="shared" ca="1" si="73"/>
        <v>19</v>
      </c>
      <c r="G810">
        <f t="shared" ca="1" si="74"/>
        <v>11.4</v>
      </c>
      <c r="H810">
        <f t="shared" ca="1" si="75"/>
        <v>11500</v>
      </c>
      <c r="I810">
        <f t="shared" ca="1" si="76"/>
        <v>0.59218198736187255</v>
      </c>
      <c r="J810">
        <v>1</v>
      </c>
    </row>
    <row r="811" spans="1:10" x14ac:dyDescent="0.3">
      <c r="A811" t="str">
        <f t="shared" si="77"/>
        <v>HH810</v>
      </c>
      <c r="B811" t="str">
        <f ca="1">LOOKUP(RAND(),{0,0.28,0.55,0.78},{"Oloitoktok A","Oloitoktok B","Kiserian","Namanga"})</f>
        <v>Kiserian</v>
      </c>
      <c r="C811">
        <f ca="1">LOOKUP(RAND(),{0,0.02,0.09,0.2,0.35,0.52,0.68,0.81,0.91,0.97},{1,2,3,4,5,6,7,8,9,10})</f>
        <v>5</v>
      </c>
      <c r="D811">
        <f t="shared" ca="1" si="72"/>
        <v>28000</v>
      </c>
      <c r="E811" t="str">
        <f ca="1">IF(B811="Oloitoktok A",IF(D811&lt;15000,LOOKUP(RAND(),{0,0.45,0.75,0.92},{"River","Rainwater","Borehole","Vendor"}),IF(D811&lt;30000,LOOKUP(RAND(),{0,0.35,0.65,0.85},{"River","Rainwater","Borehole","Vendor"}),LOOKUP(RAND(),{0,0.25,0.5,0.75},{"River","Rainwater","Borehole","Vendor"}))),IF(B811="Oloitoktok B",IF(D811&lt;15000,LOOKUP(RAND(),{0,0.5,0.78,0.94},{"River","Rainwater","Borehole","Vendor"}),IF(D811&lt;30000,LOOKUP(RAND(),{0,0.4,0.68,0.87},{"River","Rainwater","Borehole","Vendor"}),LOOKUP(RAND(),{0,0.28,0.55,0.78},{"River","Rainwater","Borehole","Vendor"}))),IF(B811="Kiserian",IF(D811&lt;15000,LOOKUP(RAND(),{0,0.35,0.65,0.9},{"River","Rainwater","Borehole","Vendor"}),IF(D811&lt;30000,LOOKUP(RAND(),{0,0.25,0.55,0.82},{"River","Rainwater","Borehole","Vendor"}),LOOKUP(RAND(),{0,0.15,0.45,0.72},{"River","Rainwater","Borehole","Vendor"}))),IF(D811&lt;15000,LOOKUP(RAND(),{0,0.4,0.7,0.92},{"River","Rainwater","Borehole","Vendor"}),IF(D811&lt;30000,LOOKUP(RAND(),{0,0.3,0.6,0.85},{"River","Rainwater","Borehole","Vendor"}),LOOKUP(RAND(),{0,0.2,0.5,0.75},{"River","Rainwater","Borehole","Vendor"}))))))</f>
        <v>River</v>
      </c>
      <c r="F811">
        <f t="shared" ca="1" si="73"/>
        <v>70</v>
      </c>
      <c r="G811">
        <f t="shared" ca="1" si="74"/>
        <v>6.5</v>
      </c>
      <c r="H811">
        <f t="shared" ca="1" si="75"/>
        <v>12200</v>
      </c>
      <c r="I811">
        <f t="shared" ca="1" si="76"/>
        <v>0.95833770586009126</v>
      </c>
      <c r="J811">
        <v>1</v>
      </c>
    </row>
    <row r="812" spans="1:10" x14ac:dyDescent="0.3">
      <c r="A812" t="str">
        <f t="shared" si="77"/>
        <v>HH811</v>
      </c>
      <c r="B812" t="str">
        <f ca="1">LOOKUP(RAND(),{0,0.28,0.55,0.78},{"Oloitoktok A","Oloitoktok B","Kiserian","Namanga"})</f>
        <v>Oloitoktok B</v>
      </c>
      <c r="C812">
        <f ca="1">LOOKUP(RAND(),{0,0.02,0.09,0.2,0.35,0.52,0.68,0.81,0.91,0.97},{1,2,3,4,5,6,7,8,9,10})</f>
        <v>4</v>
      </c>
      <c r="D812">
        <f t="shared" ca="1" si="72"/>
        <v>22000</v>
      </c>
      <c r="E812" t="str">
        <f ca="1">IF(B812="Oloitoktok A",IF(D812&lt;15000,LOOKUP(RAND(),{0,0.45,0.75,0.92},{"River","Rainwater","Borehole","Vendor"}),IF(D812&lt;30000,LOOKUP(RAND(),{0,0.35,0.65,0.85},{"River","Rainwater","Borehole","Vendor"}),LOOKUP(RAND(),{0,0.25,0.5,0.75},{"River","Rainwater","Borehole","Vendor"}))),IF(B812="Oloitoktok B",IF(D812&lt;15000,LOOKUP(RAND(),{0,0.5,0.78,0.94},{"River","Rainwater","Borehole","Vendor"}),IF(D812&lt;30000,LOOKUP(RAND(),{0,0.4,0.68,0.87},{"River","Rainwater","Borehole","Vendor"}),LOOKUP(RAND(),{0,0.28,0.55,0.78},{"River","Rainwater","Borehole","Vendor"}))),IF(B812="Kiserian",IF(D812&lt;15000,LOOKUP(RAND(),{0,0.35,0.65,0.9},{"River","Rainwater","Borehole","Vendor"}),IF(D812&lt;30000,LOOKUP(RAND(),{0,0.25,0.55,0.82},{"River","Rainwater","Borehole","Vendor"}),LOOKUP(RAND(),{0,0.15,0.45,0.72},{"River","Rainwater","Borehole","Vendor"}))),IF(D812&lt;15000,LOOKUP(RAND(),{0,0.4,0.7,0.92},{"River","Rainwater","Borehole","Vendor"}),IF(D812&lt;30000,LOOKUP(RAND(),{0,0.3,0.6,0.85},{"River","Rainwater","Borehole","Vendor"}),LOOKUP(RAND(),{0,0.2,0.5,0.75},{"River","Rainwater","Borehole","Vendor"}))))))</f>
        <v>Vendor</v>
      </c>
      <c r="F812">
        <f t="shared" ca="1" si="73"/>
        <v>10</v>
      </c>
      <c r="G812">
        <f t="shared" ca="1" si="74"/>
        <v>3.5</v>
      </c>
      <c r="H812">
        <f t="shared" ca="1" si="75"/>
        <v>1000</v>
      </c>
      <c r="I812">
        <f t="shared" ca="1" si="76"/>
        <v>0.47906711070169394</v>
      </c>
      <c r="J812">
        <v>1</v>
      </c>
    </row>
    <row r="813" spans="1:10" x14ac:dyDescent="0.3">
      <c r="A813" t="str">
        <f t="shared" si="77"/>
        <v>HH812</v>
      </c>
      <c r="B813" t="str">
        <f ca="1">LOOKUP(RAND(),{0,0.28,0.55,0.78},{"Oloitoktok A","Oloitoktok B","Kiserian","Namanga"})</f>
        <v>Namanga</v>
      </c>
      <c r="C813">
        <f ca="1">LOOKUP(RAND(),{0,0.02,0.09,0.2,0.35,0.52,0.68,0.81,0.91,0.97},{1,2,3,4,5,6,7,8,9,10})</f>
        <v>5</v>
      </c>
      <c r="D813">
        <f t="shared" ca="1" si="72"/>
        <v>37400</v>
      </c>
      <c r="E813" t="str">
        <f ca="1">IF(B813="Oloitoktok A",IF(D813&lt;15000,LOOKUP(RAND(),{0,0.45,0.75,0.92},{"River","Rainwater","Borehole","Vendor"}),IF(D813&lt;30000,LOOKUP(RAND(),{0,0.35,0.65,0.85},{"River","Rainwater","Borehole","Vendor"}),LOOKUP(RAND(),{0,0.25,0.5,0.75},{"River","Rainwater","Borehole","Vendor"}))),IF(B813="Oloitoktok B",IF(D813&lt;15000,LOOKUP(RAND(),{0,0.5,0.78,0.94},{"River","Rainwater","Borehole","Vendor"}),IF(D813&lt;30000,LOOKUP(RAND(),{0,0.4,0.68,0.87},{"River","Rainwater","Borehole","Vendor"}),LOOKUP(RAND(),{0,0.28,0.55,0.78},{"River","Rainwater","Borehole","Vendor"}))),IF(B813="Kiserian",IF(D813&lt;15000,LOOKUP(RAND(),{0,0.35,0.65,0.9},{"River","Rainwater","Borehole","Vendor"}),IF(D813&lt;30000,LOOKUP(RAND(),{0,0.25,0.55,0.82},{"River","Rainwater","Borehole","Vendor"}),LOOKUP(RAND(),{0,0.15,0.45,0.72},{"River","Rainwater","Borehole","Vendor"}))),IF(D813&lt;15000,LOOKUP(RAND(),{0,0.4,0.7,0.92},{"River","Rainwater","Borehole","Vendor"}),IF(D813&lt;30000,LOOKUP(RAND(),{0,0.3,0.6,0.85},{"River","Rainwater","Borehole","Vendor"}),LOOKUP(RAND(),{0,0.2,0.5,0.75},{"River","Rainwater","Borehole","Vendor"}))))))</f>
        <v>Vendor</v>
      </c>
      <c r="F813">
        <f t="shared" ca="1" si="73"/>
        <v>36</v>
      </c>
      <c r="G813">
        <f t="shared" ca="1" si="74"/>
        <v>4.5999999999999996</v>
      </c>
      <c r="H813">
        <f t="shared" ca="1" si="75"/>
        <v>2700</v>
      </c>
      <c r="I813">
        <f t="shared" ca="1" si="76"/>
        <v>0.32575049994404304</v>
      </c>
      <c r="J813">
        <v>1</v>
      </c>
    </row>
    <row r="814" spans="1:10" x14ac:dyDescent="0.3">
      <c r="A814" t="str">
        <f t="shared" si="77"/>
        <v>HH813</v>
      </c>
      <c r="B814" t="str">
        <f ca="1">LOOKUP(RAND(),{0,0.28,0.55,0.78},{"Oloitoktok A","Oloitoktok B","Kiserian","Namanga"})</f>
        <v>Namanga</v>
      </c>
      <c r="C814">
        <f ca="1">LOOKUP(RAND(),{0,0.02,0.09,0.2,0.35,0.52,0.68,0.81,0.91,0.97},{1,2,3,4,5,6,7,8,9,10})</f>
        <v>3</v>
      </c>
      <c r="D814">
        <f t="shared" ca="1" si="72"/>
        <v>26400</v>
      </c>
      <c r="E814" t="str">
        <f ca="1">IF(B814="Oloitoktok A",IF(D814&lt;15000,LOOKUP(RAND(),{0,0.45,0.75,0.92},{"River","Rainwater","Borehole","Vendor"}),IF(D814&lt;30000,LOOKUP(RAND(),{0,0.35,0.65,0.85},{"River","Rainwater","Borehole","Vendor"}),LOOKUP(RAND(),{0,0.25,0.5,0.75},{"River","Rainwater","Borehole","Vendor"}))),IF(B814="Oloitoktok B",IF(D814&lt;15000,LOOKUP(RAND(),{0,0.5,0.78,0.94},{"River","Rainwater","Borehole","Vendor"}),IF(D814&lt;30000,LOOKUP(RAND(),{0,0.4,0.68,0.87},{"River","Rainwater","Borehole","Vendor"}),LOOKUP(RAND(),{0,0.28,0.55,0.78},{"River","Rainwater","Borehole","Vendor"}))),IF(B814="Kiserian",IF(D814&lt;15000,LOOKUP(RAND(),{0,0.35,0.65,0.9},{"River","Rainwater","Borehole","Vendor"}),IF(D814&lt;30000,LOOKUP(RAND(),{0,0.25,0.55,0.82},{"River","Rainwater","Borehole","Vendor"}),LOOKUP(RAND(),{0,0.15,0.45,0.72},{"River","Rainwater","Borehole","Vendor"}))),IF(D814&lt;15000,LOOKUP(RAND(),{0,0.4,0.7,0.92},{"River","Rainwater","Borehole","Vendor"}),IF(D814&lt;30000,LOOKUP(RAND(),{0,0.3,0.6,0.85},{"River","Rainwater","Borehole","Vendor"}),LOOKUP(RAND(),{0,0.2,0.5,0.75},{"River","Rainwater","Borehole","Vendor"}))))))</f>
        <v>River</v>
      </c>
      <c r="F814">
        <f t="shared" ca="1" si="73"/>
        <v>76</v>
      </c>
      <c r="G814">
        <f t="shared" ca="1" si="74"/>
        <v>9</v>
      </c>
      <c r="H814">
        <f t="shared" ca="1" si="75"/>
        <v>2100</v>
      </c>
      <c r="I814">
        <f t="shared" ca="1" si="76"/>
        <v>0.52455284211956088</v>
      </c>
      <c r="J814">
        <v>1</v>
      </c>
    </row>
    <row r="815" spans="1:10" x14ac:dyDescent="0.3">
      <c r="A815" t="str">
        <f t="shared" si="77"/>
        <v>HH814</v>
      </c>
      <c r="B815" t="str">
        <f ca="1">LOOKUP(RAND(),{0,0.28,0.55,0.78},{"Oloitoktok A","Oloitoktok B","Kiserian","Namanga"})</f>
        <v>Oloitoktok B</v>
      </c>
      <c r="C815">
        <f ca="1">LOOKUP(RAND(),{0,0.02,0.09,0.2,0.35,0.52,0.68,0.81,0.91,0.97},{1,2,3,4,5,6,7,8,9,10})</f>
        <v>5</v>
      </c>
      <c r="D815">
        <f t="shared" ca="1" si="72"/>
        <v>22700</v>
      </c>
      <c r="E815" t="str">
        <f ca="1">IF(B815="Oloitoktok A",IF(D815&lt;15000,LOOKUP(RAND(),{0,0.45,0.75,0.92},{"River","Rainwater","Borehole","Vendor"}),IF(D815&lt;30000,LOOKUP(RAND(),{0,0.35,0.65,0.85},{"River","Rainwater","Borehole","Vendor"}),LOOKUP(RAND(),{0,0.25,0.5,0.75},{"River","Rainwater","Borehole","Vendor"}))),IF(B815="Oloitoktok B",IF(D815&lt;15000,LOOKUP(RAND(),{0,0.5,0.78,0.94},{"River","Rainwater","Borehole","Vendor"}),IF(D815&lt;30000,LOOKUP(RAND(),{0,0.4,0.68,0.87},{"River","Rainwater","Borehole","Vendor"}),LOOKUP(RAND(),{0,0.28,0.55,0.78},{"River","Rainwater","Borehole","Vendor"}))),IF(B815="Kiserian",IF(D815&lt;15000,LOOKUP(RAND(),{0,0.35,0.65,0.9},{"River","Rainwater","Borehole","Vendor"}),IF(D815&lt;30000,LOOKUP(RAND(),{0,0.25,0.55,0.82},{"River","Rainwater","Borehole","Vendor"}),LOOKUP(RAND(),{0,0.15,0.45,0.72},{"River","Rainwater","Borehole","Vendor"}))),IF(D815&lt;15000,LOOKUP(RAND(),{0,0.4,0.7,0.92},{"River","Rainwater","Borehole","Vendor"}),IF(D815&lt;30000,LOOKUP(RAND(),{0,0.3,0.6,0.85},{"River","Rainwater","Borehole","Vendor"}),LOOKUP(RAND(),{0,0.2,0.5,0.75},{"River","Rainwater","Borehole","Vendor"}))))))</f>
        <v>River</v>
      </c>
      <c r="F815">
        <f t="shared" ca="1" si="73"/>
        <v>102</v>
      </c>
      <c r="G815">
        <f t="shared" ca="1" si="74"/>
        <v>0.7</v>
      </c>
      <c r="H815">
        <f t="shared" ca="1" si="75"/>
        <v>5000</v>
      </c>
      <c r="I815">
        <f t="shared" ca="1" si="76"/>
        <v>0.55958977656481856</v>
      </c>
      <c r="J815">
        <v>1</v>
      </c>
    </row>
    <row r="816" spans="1:10" x14ac:dyDescent="0.3">
      <c r="A816" t="str">
        <f t="shared" si="77"/>
        <v>HH815</v>
      </c>
      <c r="B816" t="str">
        <f ca="1">LOOKUP(RAND(),{0,0.28,0.55,0.78},{"Oloitoktok A","Oloitoktok B","Kiserian","Namanga"})</f>
        <v>Kiserian</v>
      </c>
      <c r="C816">
        <f ca="1">LOOKUP(RAND(),{0,0.02,0.09,0.2,0.35,0.52,0.68,0.81,0.91,0.97},{1,2,3,4,5,6,7,8,9,10})</f>
        <v>7</v>
      </c>
      <c r="D816">
        <f t="shared" ca="1" si="72"/>
        <v>41700</v>
      </c>
      <c r="E816" t="str">
        <f ca="1">IF(B816="Oloitoktok A",IF(D816&lt;15000,LOOKUP(RAND(),{0,0.45,0.75,0.92},{"River","Rainwater","Borehole","Vendor"}),IF(D816&lt;30000,LOOKUP(RAND(),{0,0.35,0.65,0.85},{"River","Rainwater","Borehole","Vendor"}),LOOKUP(RAND(),{0,0.25,0.5,0.75},{"River","Rainwater","Borehole","Vendor"}))),IF(B816="Oloitoktok B",IF(D816&lt;15000,LOOKUP(RAND(),{0,0.5,0.78,0.94},{"River","Rainwater","Borehole","Vendor"}),IF(D816&lt;30000,LOOKUP(RAND(),{0,0.4,0.68,0.87},{"River","Rainwater","Borehole","Vendor"}),LOOKUP(RAND(),{0,0.28,0.55,0.78},{"River","Rainwater","Borehole","Vendor"}))),IF(B816="Kiserian",IF(D816&lt;15000,LOOKUP(RAND(),{0,0.35,0.65,0.9},{"River","Rainwater","Borehole","Vendor"}),IF(D816&lt;30000,LOOKUP(RAND(),{0,0.25,0.55,0.82},{"River","Rainwater","Borehole","Vendor"}),LOOKUP(RAND(),{0,0.15,0.45,0.72},{"River","Rainwater","Borehole","Vendor"}))),IF(D816&lt;15000,LOOKUP(RAND(),{0,0.4,0.7,0.92},{"River","Rainwater","Borehole","Vendor"}),IF(D816&lt;30000,LOOKUP(RAND(),{0,0.3,0.6,0.85},{"River","Rainwater","Borehole","Vendor"}),LOOKUP(RAND(),{0,0.2,0.5,0.75},{"River","Rainwater","Borehole","Vendor"}))))))</f>
        <v>Rainwater</v>
      </c>
      <c r="F816">
        <f t="shared" ca="1" si="73"/>
        <v>60</v>
      </c>
      <c r="G816">
        <f t="shared" ca="1" si="74"/>
        <v>4.7</v>
      </c>
      <c r="H816">
        <f t="shared" ca="1" si="75"/>
        <v>7600</v>
      </c>
      <c r="I816">
        <f t="shared" ca="1" si="76"/>
        <v>9.9603504433571022E-2</v>
      </c>
      <c r="J816">
        <v>1</v>
      </c>
    </row>
    <row r="817" spans="1:10" x14ac:dyDescent="0.3">
      <c r="A817" t="str">
        <f t="shared" si="77"/>
        <v>HH816</v>
      </c>
      <c r="B817" t="str">
        <f ca="1">LOOKUP(RAND(),{0,0.28,0.55,0.78},{"Oloitoktok A","Oloitoktok B","Kiserian","Namanga"})</f>
        <v>Oloitoktok A</v>
      </c>
      <c r="C817">
        <f ca="1">LOOKUP(RAND(),{0,0.02,0.09,0.2,0.35,0.52,0.68,0.81,0.91,0.97},{1,2,3,4,5,6,7,8,9,10})</f>
        <v>4</v>
      </c>
      <c r="D817">
        <f t="shared" ca="1" si="72"/>
        <v>11400</v>
      </c>
      <c r="E817" t="str">
        <f ca="1">IF(B817="Oloitoktok A",IF(D817&lt;15000,LOOKUP(RAND(),{0,0.45,0.75,0.92},{"River","Rainwater","Borehole","Vendor"}),IF(D817&lt;30000,LOOKUP(RAND(),{0,0.35,0.65,0.85},{"River","Rainwater","Borehole","Vendor"}),LOOKUP(RAND(),{0,0.25,0.5,0.75},{"River","Rainwater","Borehole","Vendor"}))),IF(B817="Oloitoktok B",IF(D817&lt;15000,LOOKUP(RAND(),{0,0.5,0.78,0.94},{"River","Rainwater","Borehole","Vendor"}),IF(D817&lt;30000,LOOKUP(RAND(),{0,0.4,0.68,0.87},{"River","Rainwater","Borehole","Vendor"}),LOOKUP(RAND(),{0,0.28,0.55,0.78},{"River","Rainwater","Borehole","Vendor"}))),IF(B817="Kiserian",IF(D817&lt;15000,LOOKUP(RAND(),{0,0.35,0.65,0.9},{"River","Rainwater","Borehole","Vendor"}),IF(D817&lt;30000,LOOKUP(RAND(),{0,0.25,0.55,0.82},{"River","Rainwater","Borehole","Vendor"}),LOOKUP(RAND(),{0,0.15,0.45,0.72},{"River","Rainwater","Borehole","Vendor"}))),IF(D817&lt;15000,LOOKUP(RAND(),{0,0.4,0.7,0.92},{"River","Rainwater","Borehole","Vendor"}),IF(D817&lt;30000,LOOKUP(RAND(),{0,0.3,0.6,0.85},{"River","Rainwater","Borehole","Vendor"}),LOOKUP(RAND(),{0,0.2,0.5,0.75},{"River","Rainwater","Borehole","Vendor"}))))))</f>
        <v>Vendor</v>
      </c>
      <c r="F817">
        <f t="shared" ca="1" si="73"/>
        <v>28</v>
      </c>
      <c r="G817">
        <f t="shared" ca="1" si="74"/>
        <v>8.6999999999999993</v>
      </c>
      <c r="H817">
        <f t="shared" ca="1" si="75"/>
        <v>7100</v>
      </c>
      <c r="I817">
        <f t="shared" ca="1" si="76"/>
        <v>0.43509525772931568</v>
      </c>
      <c r="J817">
        <v>1</v>
      </c>
    </row>
    <row r="818" spans="1:10" x14ac:dyDescent="0.3">
      <c r="A818" t="str">
        <f t="shared" si="77"/>
        <v>HH817</v>
      </c>
      <c r="B818" t="str">
        <f ca="1">LOOKUP(RAND(),{0,0.28,0.55,0.78},{"Oloitoktok A","Oloitoktok B","Kiserian","Namanga"})</f>
        <v>Oloitoktok A</v>
      </c>
      <c r="C818">
        <f ca="1">LOOKUP(RAND(),{0,0.02,0.09,0.2,0.35,0.52,0.68,0.81,0.91,0.97},{1,2,3,4,5,6,7,8,9,10})</f>
        <v>6</v>
      </c>
      <c r="D818">
        <f t="shared" ca="1" si="72"/>
        <v>71800</v>
      </c>
      <c r="E818" t="str">
        <f ca="1">IF(B818="Oloitoktok A",IF(D818&lt;15000,LOOKUP(RAND(),{0,0.45,0.75,0.92},{"River","Rainwater","Borehole","Vendor"}),IF(D818&lt;30000,LOOKUP(RAND(),{0,0.35,0.65,0.85},{"River","Rainwater","Borehole","Vendor"}),LOOKUP(RAND(),{0,0.25,0.5,0.75},{"River","Rainwater","Borehole","Vendor"}))),IF(B818="Oloitoktok B",IF(D818&lt;15000,LOOKUP(RAND(),{0,0.5,0.78,0.94},{"River","Rainwater","Borehole","Vendor"}),IF(D818&lt;30000,LOOKUP(RAND(),{0,0.4,0.68,0.87},{"River","Rainwater","Borehole","Vendor"}),LOOKUP(RAND(),{0,0.28,0.55,0.78},{"River","Rainwater","Borehole","Vendor"}))),IF(B818="Kiserian",IF(D818&lt;15000,LOOKUP(RAND(),{0,0.35,0.65,0.9},{"River","Rainwater","Borehole","Vendor"}),IF(D818&lt;30000,LOOKUP(RAND(),{0,0.25,0.55,0.82},{"River","Rainwater","Borehole","Vendor"}),LOOKUP(RAND(),{0,0.15,0.45,0.72},{"River","Rainwater","Borehole","Vendor"}))),IF(D818&lt;15000,LOOKUP(RAND(),{0,0.4,0.7,0.92},{"River","Rainwater","Borehole","Vendor"}),IF(D818&lt;30000,LOOKUP(RAND(),{0,0.3,0.6,0.85},{"River","Rainwater","Borehole","Vendor"}),LOOKUP(RAND(),{0,0.2,0.5,0.75},{"River","Rainwater","Borehole","Vendor"}))))))</f>
        <v>River</v>
      </c>
      <c r="F818">
        <f t="shared" ca="1" si="73"/>
        <v>90</v>
      </c>
      <c r="G818">
        <f t="shared" ca="1" si="74"/>
        <v>11.8</v>
      </c>
      <c r="H818">
        <f t="shared" ca="1" si="75"/>
        <v>4300</v>
      </c>
      <c r="I818">
        <f t="shared" ca="1" si="76"/>
        <v>0.98860729930785662</v>
      </c>
      <c r="J818">
        <v>1</v>
      </c>
    </row>
    <row r="819" spans="1:10" x14ac:dyDescent="0.3">
      <c r="A819" t="str">
        <f t="shared" si="77"/>
        <v>HH818</v>
      </c>
      <c r="B819" t="str">
        <f ca="1">LOOKUP(RAND(),{0,0.28,0.55,0.78},{"Oloitoktok A","Oloitoktok B","Kiserian","Namanga"})</f>
        <v>Kiserian</v>
      </c>
      <c r="C819">
        <f ca="1">LOOKUP(RAND(),{0,0.02,0.09,0.2,0.35,0.52,0.68,0.81,0.91,0.97},{1,2,3,4,5,6,7,8,9,10})</f>
        <v>4</v>
      </c>
      <c r="D819">
        <f t="shared" ca="1" si="72"/>
        <v>22200</v>
      </c>
      <c r="E819" t="str">
        <f ca="1">IF(B819="Oloitoktok A",IF(D819&lt;15000,LOOKUP(RAND(),{0,0.45,0.75,0.92},{"River","Rainwater","Borehole","Vendor"}),IF(D819&lt;30000,LOOKUP(RAND(),{0,0.35,0.65,0.85},{"River","Rainwater","Borehole","Vendor"}),LOOKUP(RAND(),{0,0.25,0.5,0.75},{"River","Rainwater","Borehole","Vendor"}))),IF(B819="Oloitoktok B",IF(D819&lt;15000,LOOKUP(RAND(),{0,0.5,0.78,0.94},{"River","Rainwater","Borehole","Vendor"}),IF(D819&lt;30000,LOOKUP(RAND(),{0,0.4,0.68,0.87},{"River","Rainwater","Borehole","Vendor"}),LOOKUP(RAND(),{0,0.28,0.55,0.78},{"River","Rainwater","Borehole","Vendor"}))),IF(B819="Kiserian",IF(D819&lt;15000,LOOKUP(RAND(),{0,0.35,0.65,0.9},{"River","Rainwater","Borehole","Vendor"}),IF(D819&lt;30000,LOOKUP(RAND(),{0,0.25,0.55,0.82},{"River","Rainwater","Borehole","Vendor"}),LOOKUP(RAND(),{0,0.15,0.45,0.72},{"River","Rainwater","Borehole","Vendor"}))),IF(D819&lt;15000,LOOKUP(RAND(),{0,0.4,0.7,0.92},{"River","Rainwater","Borehole","Vendor"}),IF(D819&lt;30000,LOOKUP(RAND(),{0,0.3,0.6,0.85},{"River","Rainwater","Borehole","Vendor"}),LOOKUP(RAND(),{0,0.2,0.5,0.75},{"River","Rainwater","Borehole","Vendor"}))))))</f>
        <v>River</v>
      </c>
      <c r="F819">
        <f t="shared" ca="1" si="73"/>
        <v>76</v>
      </c>
      <c r="G819">
        <f t="shared" ca="1" si="74"/>
        <v>9.3000000000000007</v>
      </c>
      <c r="H819">
        <f t="shared" ca="1" si="75"/>
        <v>6300</v>
      </c>
      <c r="I819">
        <f t="shared" ca="1" si="76"/>
        <v>0.87938319315333657</v>
      </c>
      <c r="J819">
        <v>1</v>
      </c>
    </row>
    <row r="820" spans="1:10" x14ac:dyDescent="0.3">
      <c r="A820" t="str">
        <f t="shared" si="77"/>
        <v>HH819</v>
      </c>
      <c r="B820" t="str">
        <f ca="1">LOOKUP(RAND(),{0,0.28,0.55,0.78},{"Oloitoktok A","Oloitoktok B","Kiserian","Namanga"})</f>
        <v>Kiserian</v>
      </c>
      <c r="C820">
        <f ca="1">LOOKUP(RAND(),{0,0.02,0.09,0.2,0.35,0.52,0.68,0.81,0.91,0.97},{1,2,3,4,5,6,7,8,9,10})</f>
        <v>6</v>
      </c>
      <c r="D820">
        <f t="shared" ca="1" si="72"/>
        <v>75400</v>
      </c>
      <c r="E820" t="str">
        <f ca="1">IF(B820="Oloitoktok A",IF(D820&lt;15000,LOOKUP(RAND(),{0,0.45,0.75,0.92},{"River","Rainwater","Borehole","Vendor"}),IF(D820&lt;30000,LOOKUP(RAND(),{0,0.35,0.65,0.85},{"River","Rainwater","Borehole","Vendor"}),LOOKUP(RAND(),{0,0.25,0.5,0.75},{"River","Rainwater","Borehole","Vendor"}))),IF(B820="Oloitoktok B",IF(D820&lt;15000,LOOKUP(RAND(),{0,0.5,0.78,0.94},{"River","Rainwater","Borehole","Vendor"}),IF(D820&lt;30000,LOOKUP(RAND(),{0,0.4,0.68,0.87},{"River","Rainwater","Borehole","Vendor"}),LOOKUP(RAND(),{0,0.28,0.55,0.78},{"River","Rainwater","Borehole","Vendor"}))),IF(B820="Kiserian",IF(D820&lt;15000,LOOKUP(RAND(),{0,0.35,0.65,0.9},{"River","Rainwater","Borehole","Vendor"}),IF(D820&lt;30000,LOOKUP(RAND(),{0,0.25,0.55,0.82},{"River","Rainwater","Borehole","Vendor"}),LOOKUP(RAND(),{0,0.15,0.45,0.72},{"River","Rainwater","Borehole","Vendor"}))),IF(D820&lt;15000,LOOKUP(RAND(),{0,0.4,0.7,0.92},{"River","Rainwater","Borehole","Vendor"}),IF(D820&lt;30000,LOOKUP(RAND(),{0,0.3,0.6,0.85},{"River","Rainwater","Borehole","Vendor"}),LOOKUP(RAND(),{0,0.2,0.5,0.75},{"River","Rainwater","Borehole","Vendor"}))))))</f>
        <v>Rainwater</v>
      </c>
      <c r="F820">
        <f t="shared" ca="1" si="73"/>
        <v>68</v>
      </c>
      <c r="G820">
        <f t="shared" ca="1" si="74"/>
        <v>7.8</v>
      </c>
      <c r="H820">
        <f t="shared" ca="1" si="75"/>
        <v>5100</v>
      </c>
      <c r="I820">
        <f t="shared" ca="1" si="76"/>
        <v>0.92467121765040738</v>
      </c>
      <c r="J820">
        <v>1</v>
      </c>
    </row>
    <row r="821" spans="1:10" x14ac:dyDescent="0.3">
      <c r="A821" t="str">
        <f t="shared" si="77"/>
        <v>HH820</v>
      </c>
      <c r="B821" t="str">
        <f ca="1">LOOKUP(RAND(),{0,0.28,0.55,0.78},{"Oloitoktok A","Oloitoktok B","Kiserian","Namanga"})</f>
        <v>Oloitoktok A</v>
      </c>
      <c r="C821">
        <f ca="1">LOOKUP(RAND(),{0,0.02,0.09,0.2,0.35,0.52,0.68,0.81,0.91,0.97},{1,2,3,4,5,6,7,8,9,10})</f>
        <v>6</v>
      </c>
      <c r="D821">
        <f t="shared" ca="1" si="72"/>
        <v>59400</v>
      </c>
      <c r="E821" t="str">
        <f ca="1">IF(B821="Oloitoktok A",IF(D821&lt;15000,LOOKUP(RAND(),{0,0.45,0.75,0.92},{"River","Rainwater","Borehole","Vendor"}),IF(D821&lt;30000,LOOKUP(RAND(),{0,0.35,0.65,0.85},{"River","Rainwater","Borehole","Vendor"}),LOOKUP(RAND(),{0,0.25,0.5,0.75},{"River","Rainwater","Borehole","Vendor"}))),IF(B821="Oloitoktok B",IF(D821&lt;15000,LOOKUP(RAND(),{0,0.5,0.78,0.94},{"River","Rainwater","Borehole","Vendor"}),IF(D821&lt;30000,LOOKUP(RAND(),{0,0.4,0.68,0.87},{"River","Rainwater","Borehole","Vendor"}),LOOKUP(RAND(),{0,0.28,0.55,0.78},{"River","Rainwater","Borehole","Vendor"}))),IF(B821="Kiserian",IF(D821&lt;15000,LOOKUP(RAND(),{0,0.35,0.65,0.9},{"River","Rainwater","Borehole","Vendor"}),IF(D821&lt;30000,LOOKUP(RAND(),{0,0.25,0.55,0.82},{"River","Rainwater","Borehole","Vendor"}),LOOKUP(RAND(),{0,0.15,0.45,0.72},{"River","Rainwater","Borehole","Vendor"}))),IF(D821&lt;15000,LOOKUP(RAND(),{0,0.4,0.7,0.92},{"River","Rainwater","Borehole","Vendor"}),IF(D821&lt;30000,LOOKUP(RAND(),{0,0.3,0.6,0.85},{"River","Rainwater","Borehole","Vendor"}),LOOKUP(RAND(),{0,0.2,0.5,0.75},{"River","Rainwater","Borehole","Vendor"}))))))</f>
        <v>Rainwater</v>
      </c>
      <c r="F821">
        <f t="shared" ca="1" si="73"/>
        <v>34</v>
      </c>
      <c r="G821">
        <f t="shared" ca="1" si="74"/>
        <v>6</v>
      </c>
      <c r="H821">
        <f t="shared" ca="1" si="75"/>
        <v>5500</v>
      </c>
      <c r="I821">
        <f t="shared" ca="1" si="76"/>
        <v>0.10038802359721988</v>
      </c>
      <c r="J821">
        <v>1</v>
      </c>
    </row>
    <row r="822" spans="1:10" x14ac:dyDescent="0.3">
      <c r="A822" t="str">
        <f t="shared" si="77"/>
        <v>HH821</v>
      </c>
      <c r="B822" t="str">
        <f ca="1">LOOKUP(RAND(),{0,0.28,0.55,0.78},{"Oloitoktok A","Oloitoktok B","Kiserian","Namanga"})</f>
        <v>Kiserian</v>
      </c>
      <c r="C822">
        <f ca="1">LOOKUP(RAND(),{0,0.02,0.09,0.2,0.35,0.52,0.68,0.81,0.91,0.97},{1,2,3,4,5,6,7,8,9,10})</f>
        <v>7</v>
      </c>
      <c r="D822">
        <f t="shared" ca="1" si="72"/>
        <v>33100</v>
      </c>
      <c r="E822" t="str">
        <f ca="1">IF(B822="Oloitoktok A",IF(D822&lt;15000,LOOKUP(RAND(),{0,0.45,0.75,0.92},{"River","Rainwater","Borehole","Vendor"}),IF(D822&lt;30000,LOOKUP(RAND(),{0,0.35,0.65,0.85},{"River","Rainwater","Borehole","Vendor"}),LOOKUP(RAND(),{0,0.25,0.5,0.75},{"River","Rainwater","Borehole","Vendor"}))),IF(B822="Oloitoktok B",IF(D822&lt;15000,LOOKUP(RAND(),{0,0.5,0.78,0.94},{"River","Rainwater","Borehole","Vendor"}),IF(D822&lt;30000,LOOKUP(RAND(),{0,0.4,0.68,0.87},{"River","Rainwater","Borehole","Vendor"}),LOOKUP(RAND(),{0,0.28,0.55,0.78},{"River","Rainwater","Borehole","Vendor"}))),IF(B822="Kiserian",IF(D822&lt;15000,LOOKUP(RAND(),{0,0.35,0.65,0.9},{"River","Rainwater","Borehole","Vendor"}),IF(D822&lt;30000,LOOKUP(RAND(),{0,0.25,0.55,0.82},{"River","Rainwater","Borehole","Vendor"}),LOOKUP(RAND(),{0,0.15,0.45,0.72},{"River","Rainwater","Borehole","Vendor"}))),IF(D822&lt;15000,LOOKUP(RAND(),{0,0.4,0.7,0.92},{"River","Rainwater","Borehole","Vendor"}),IF(D822&lt;30000,LOOKUP(RAND(),{0,0.3,0.6,0.85},{"River","Rainwater","Borehole","Vendor"}),LOOKUP(RAND(),{0,0.2,0.5,0.75},{"River","Rainwater","Borehole","Vendor"}))))))</f>
        <v>Rainwater</v>
      </c>
      <c r="F822">
        <f t="shared" ca="1" si="73"/>
        <v>34</v>
      </c>
      <c r="G822">
        <f t="shared" ca="1" si="74"/>
        <v>6.9</v>
      </c>
      <c r="H822">
        <f t="shared" ca="1" si="75"/>
        <v>3900</v>
      </c>
      <c r="I822">
        <f t="shared" ca="1" si="76"/>
        <v>0.38838116333167672</v>
      </c>
      <c r="J822">
        <v>1</v>
      </c>
    </row>
    <row r="823" spans="1:10" x14ac:dyDescent="0.3">
      <c r="A823" t="str">
        <f t="shared" si="77"/>
        <v>HH822</v>
      </c>
      <c r="B823" t="str">
        <f ca="1">LOOKUP(RAND(),{0,0.28,0.55,0.78},{"Oloitoktok A","Oloitoktok B","Kiserian","Namanga"})</f>
        <v>Kiserian</v>
      </c>
      <c r="C823">
        <f ca="1">LOOKUP(RAND(),{0,0.02,0.09,0.2,0.35,0.52,0.68,0.81,0.91,0.97},{1,2,3,4,5,6,7,8,9,10})</f>
        <v>3</v>
      </c>
      <c r="D823">
        <f t="shared" ca="1" si="72"/>
        <v>39300</v>
      </c>
      <c r="E823" t="str">
        <f ca="1">IF(B823="Oloitoktok A",IF(D823&lt;15000,LOOKUP(RAND(),{0,0.45,0.75,0.92},{"River","Rainwater","Borehole","Vendor"}),IF(D823&lt;30000,LOOKUP(RAND(),{0,0.35,0.65,0.85},{"River","Rainwater","Borehole","Vendor"}),LOOKUP(RAND(),{0,0.25,0.5,0.75},{"River","Rainwater","Borehole","Vendor"}))),IF(B823="Oloitoktok B",IF(D823&lt;15000,LOOKUP(RAND(),{0,0.5,0.78,0.94},{"River","Rainwater","Borehole","Vendor"}),IF(D823&lt;30000,LOOKUP(RAND(),{0,0.4,0.68,0.87},{"River","Rainwater","Borehole","Vendor"}),LOOKUP(RAND(),{0,0.28,0.55,0.78},{"River","Rainwater","Borehole","Vendor"}))),IF(B823="Kiserian",IF(D823&lt;15000,LOOKUP(RAND(),{0,0.35,0.65,0.9},{"River","Rainwater","Borehole","Vendor"}),IF(D823&lt;30000,LOOKUP(RAND(),{0,0.25,0.55,0.82},{"River","Rainwater","Borehole","Vendor"}),LOOKUP(RAND(),{0,0.15,0.45,0.72},{"River","Rainwater","Borehole","Vendor"}))),IF(D823&lt;15000,LOOKUP(RAND(),{0,0.4,0.7,0.92},{"River","Rainwater","Borehole","Vendor"}),IF(D823&lt;30000,LOOKUP(RAND(),{0,0.3,0.6,0.85},{"River","Rainwater","Borehole","Vendor"}),LOOKUP(RAND(),{0,0.2,0.5,0.75},{"River","Rainwater","Borehole","Vendor"}))))))</f>
        <v>Rainwater</v>
      </c>
      <c r="F823">
        <f t="shared" ca="1" si="73"/>
        <v>18</v>
      </c>
      <c r="G823">
        <f t="shared" ca="1" si="74"/>
        <v>9.4</v>
      </c>
      <c r="H823">
        <f t="shared" ca="1" si="75"/>
        <v>4700</v>
      </c>
      <c r="I823">
        <f t="shared" ca="1" si="76"/>
        <v>0.30597924451033121</v>
      </c>
      <c r="J823">
        <v>1</v>
      </c>
    </row>
    <row r="824" spans="1:10" x14ac:dyDescent="0.3">
      <c r="A824" t="str">
        <f t="shared" si="77"/>
        <v>HH823</v>
      </c>
      <c r="B824" t="str">
        <f ca="1">LOOKUP(RAND(),{0,0.28,0.55,0.78},{"Oloitoktok A","Oloitoktok B","Kiserian","Namanga"})</f>
        <v>Kiserian</v>
      </c>
      <c r="C824">
        <f ca="1">LOOKUP(RAND(),{0,0.02,0.09,0.2,0.35,0.52,0.68,0.81,0.91,0.97},{1,2,3,4,5,6,7,8,9,10})</f>
        <v>7</v>
      </c>
      <c r="D824">
        <f t="shared" ca="1" si="72"/>
        <v>53200</v>
      </c>
      <c r="E824" t="str">
        <f ca="1">IF(B824="Oloitoktok A",IF(D824&lt;15000,LOOKUP(RAND(),{0,0.45,0.75,0.92},{"River","Rainwater","Borehole","Vendor"}),IF(D824&lt;30000,LOOKUP(RAND(),{0,0.35,0.65,0.85},{"River","Rainwater","Borehole","Vendor"}),LOOKUP(RAND(),{0,0.25,0.5,0.75},{"River","Rainwater","Borehole","Vendor"}))),IF(B824="Oloitoktok B",IF(D824&lt;15000,LOOKUP(RAND(),{0,0.5,0.78,0.94},{"River","Rainwater","Borehole","Vendor"}),IF(D824&lt;30000,LOOKUP(RAND(),{0,0.4,0.68,0.87},{"River","Rainwater","Borehole","Vendor"}),LOOKUP(RAND(),{0,0.28,0.55,0.78},{"River","Rainwater","Borehole","Vendor"}))),IF(B824="Kiserian",IF(D824&lt;15000,LOOKUP(RAND(),{0,0.35,0.65,0.9},{"River","Rainwater","Borehole","Vendor"}),IF(D824&lt;30000,LOOKUP(RAND(),{0,0.25,0.55,0.82},{"River","Rainwater","Borehole","Vendor"}),LOOKUP(RAND(),{0,0.15,0.45,0.72},{"River","Rainwater","Borehole","Vendor"}))),IF(D824&lt;15000,LOOKUP(RAND(),{0,0.4,0.7,0.92},{"River","Rainwater","Borehole","Vendor"}),IF(D824&lt;30000,LOOKUP(RAND(),{0,0.3,0.6,0.85},{"River","Rainwater","Borehole","Vendor"}),LOOKUP(RAND(),{0,0.2,0.5,0.75},{"River","Rainwater","Borehole","Vendor"}))))))</f>
        <v>Rainwater</v>
      </c>
      <c r="F824">
        <f t="shared" ca="1" si="73"/>
        <v>70</v>
      </c>
      <c r="G824">
        <f t="shared" ca="1" si="74"/>
        <v>1.8</v>
      </c>
      <c r="H824">
        <f t="shared" ca="1" si="75"/>
        <v>2600</v>
      </c>
      <c r="I824">
        <f t="shared" ca="1" si="76"/>
        <v>0.23603063730905849</v>
      </c>
      <c r="J824">
        <v>1</v>
      </c>
    </row>
    <row r="825" spans="1:10" x14ac:dyDescent="0.3">
      <c r="A825" t="str">
        <f t="shared" si="77"/>
        <v>HH824</v>
      </c>
      <c r="B825" t="str">
        <f ca="1">LOOKUP(RAND(),{0,0.28,0.55,0.78},{"Oloitoktok A","Oloitoktok B","Kiserian","Namanga"})</f>
        <v>Oloitoktok A</v>
      </c>
      <c r="C825">
        <f ca="1">LOOKUP(RAND(),{0,0.02,0.09,0.2,0.35,0.52,0.68,0.81,0.91,0.97},{1,2,3,4,5,6,7,8,9,10})</f>
        <v>7</v>
      </c>
      <c r="D825">
        <f t="shared" ca="1" si="72"/>
        <v>96400</v>
      </c>
      <c r="E825" t="str">
        <f ca="1">IF(B825="Oloitoktok A",IF(D825&lt;15000,LOOKUP(RAND(),{0,0.45,0.75,0.92},{"River","Rainwater","Borehole","Vendor"}),IF(D825&lt;30000,LOOKUP(RAND(),{0,0.35,0.65,0.85},{"River","Rainwater","Borehole","Vendor"}),LOOKUP(RAND(),{0,0.25,0.5,0.75},{"River","Rainwater","Borehole","Vendor"}))),IF(B825="Oloitoktok B",IF(D825&lt;15000,LOOKUP(RAND(),{0,0.5,0.78,0.94},{"River","Rainwater","Borehole","Vendor"}),IF(D825&lt;30000,LOOKUP(RAND(),{0,0.4,0.68,0.87},{"River","Rainwater","Borehole","Vendor"}),LOOKUP(RAND(),{0,0.28,0.55,0.78},{"River","Rainwater","Borehole","Vendor"}))),IF(B825="Kiserian",IF(D825&lt;15000,LOOKUP(RAND(),{0,0.35,0.65,0.9},{"River","Rainwater","Borehole","Vendor"}),IF(D825&lt;30000,LOOKUP(RAND(),{0,0.25,0.55,0.82},{"River","Rainwater","Borehole","Vendor"}),LOOKUP(RAND(),{0,0.15,0.45,0.72},{"River","Rainwater","Borehole","Vendor"}))),IF(D825&lt;15000,LOOKUP(RAND(),{0,0.4,0.7,0.92},{"River","Rainwater","Borehole","Vendor"}),IF(D825&lt;30000,LOOKUP(RAND(),{0,0.3,0.6,0.85},{"River","Rainwater","Borehole","Vendor"}),LOOKUP(RAND(),{0,0.2,0.5,0.75},{"River","Rainwater","Borehole","Vendor"}))))))</f>
        <v>Vendor</v>
      </c>
      <c r="F825">
        <f t="shared" ca="1" si="73"/>
        <v>22</v>
      </c>
      <c r="G825">
        <f t="shared" ca="1" si="74"/>
        <v>2.5</v>
      </c>
      <c r="H825">
        <f t="shared" ca="1" si="75"/>
        <v>6400</v>
      </c>
      <c r="I825">
        <f t="shared" ca="1" si="76"/>
        <v>0.25553696240452906</v>
      </c>
      <c r="J825">
        <v>1</v>
      </c>
    </row>
    <row r="826" spans="1:10" x14ac:dyDescent="0.3">
      <c r="A826" t="str">
        <f t="shared" si="77"/>
        <v>HH825</v>
      </c>
      <c r="B826" t="str">
        <f ca="1">LOOKUP(RAND(),{0,0.28,0.55,0.78},{"Oloitoktok A","Oloitoktok B","Kiserian","Namanga"})</f>
        <v>Oloitoktok B</v>
      </c>
      <c r="C826">
        <f ca="1">LOOKUP(RAND(),{0,0.02,0.09,0.2,0.35,0.52,0.68,0.81,0.91,0.97},{1,2,3,4,5,6,7,8,9,10})</f>
        <v>4</v>
      </c>
      <c r="D826">
        <f t="shared" ca="1" si="72"/>
        <v>36100</v>
      </c>
      <c r="E826" t="str">
        <f ca="1">IF(B826="Oloitoktok A",IF(D826&lt;15000,LOOKUP(RAND(),{0,0.45,0.75,0.92},{"River","Rainwater","Borehole","Vendor"}),IF(D826&lt;30000,LOOKUP(RAND(),{0,0.35,0.65,0.85},{"River","Rainwater","Borehole","Vendor"}),LOOKUP(RAND(),{0,0.25,0.5,0.75},{"River","Rainwater","Borehole","Vendor"}))),IF(B826="Oloitoktok B",IF(D826&lt;15000,LOOKUP(RAND(),{0,0.5,0.78,0.94},{"River","Rainwater","Borehole","Vendor"}),IF(D826&lt;30000,LOOKUP(RAND(),{0,0.4,0.68,0.87},{"River","Rainwater","Borehole","Vendor"}),LOOKUP(RAND(),{0,0.28,0.55,0.78},{"River","Rainwater","Borehole","Vendor"}))),IF(B826="Kiserian",IF(D826&lt;15000,LOOKUP(RAND(),{0,0.35,0.65,0.9},{"River","Rainwater","Borehole","Vendor"}),IF(D826&lt;30000,LOOKUP(RAND(),{0,0.25,0.55,0.82},{"River","Rainwater","Borehole","Vendor"}),LOOKUP(RAND(),{0,0.15,0.45,0.72},{"River","Rainwater","Borehole","Vendor"}))),IF(D826&lt;15000,LOOKUP(RAND(),{0,0.4,0.7,0.92},{"River","Rainwater","Borehole","Vendor"}),IF(D826&lt;30000,LOOKUP(RAND(),{0,0.3,0.6,0.85},{"River","Rainwater","Borehole","Vendor"}),LOOKUP(RAND(),{0,0.2,0.5,0.75},{"River","Rainwater","Borehole","Vendor"}))))))</f>
        <v>Vendor</v>
      </c>
      <c r="F826">
        <f t="shared" ca="1" si="73"/>
        <v>45</v>
      </c>
      <c r="G826">
        <f t="shared" ca="1" si="74"/>
        <v>13.4</v>
      </c>
      <c r="H826">
        <f t="shared" ca="1" si="75"/>
        <v>6800</v>
      </c>
      <c r="I826">
        <f t="shared" ca="1" si="76"/>
        <v>0.9654515201023669</v>
      </c>
      <c r="J826">
        <v>1</v>
      </c>
    </row>
    <row r="827" spans="1:10" x14ac:dyDescent="0.3">
      <c r="A827" t="str">
        <f t="shared" si="77"/>
        <v>HH826</v>
      </c>
      <c r="B827" t="str">
        <f ca="1">LOOKUP(RAND(),{0,0.28,0.55,0.78},{"Oloitoktok A","Oloitoktok B","Kiserian","Namanga"})</f>
        <v>Kiserian</v>
      </c>
      <c r="C827">
        <f ca="1">LOOKUP(RAND(),{0,0.02,0.09,0.2,0.35,0.52,0.68,0.81,0.91,0.97},{1,2,3,4,5,6,7,8,9,10})</f>
        <v>7</v>
      </c>
      <c r="D827">
        <f t="shared" ca="1" si="72"/>
        <v>67800</v>
      </c>
      <c r="E827" t="str">
        <f ca="1">IF(B827="Oloitoktok A",IF(D827&lt;15000,LOOKUP(RAND(),{0,0.45,0.75,0.92},{"River","Rainwater","Borehole","Vendor"}),IF(D827&lt;30000,LOOKUP(RAND(),{0,0.35,0.65,0.85},{"River","Rainwater","Borehole","Vendor"}),LOOKUP(RAND(),{0,0.25,0.5,0.75},{"River","Rainwater","Borehole","Vendor"}))),IF(B827="Oloitoktok B",IF(D827&lt;15000,LOOKUP(RAND(),{0,0.5,0.78,0.94},{"River","Rainwater","Borehole","Vendor"}),IF(D827&lt;30000,LOOKUP(RAND(),{0,0.4,0.68,0.87},{"River","Rainwater","Borehole","Vendor"}),LOOKUP(RAND(),{0,0.28,0.55,0.78},{"River","Rainwater","Borehole","Vendor"}))),IF(B827="Kiserian",IF(D827&lt;15000,LOOKUP(RAND(),{0,0.35,0.65,0.9},{"River","Rainwater","Borehole","Vendor"}),IF(D827&lt;30000,LOOKUP(RAND(),{0,0.25,0.55,0.82},{"River","Rainwater","Borehole","Vendor"}),LOOKUP(RAND(),{0,0.15,0.45,0.72},{"River","Rainwater","Borehole","Vendor"}))),IF(D827&lt;15000,LOOKUP(RAND(),{0,0.4,0.7,0.92},{"River","Rainwater","Borehole","Vendor"}),IF(D827&lt;30000,LOOKUP(RAND(),{0,0.3,0.6,0.85},{"River","Rainwater","Borehole","Vendor"}),LOOKUP(RAND(),{0,0.2,0.5,0.75},{"River","Rainwater","Borehole","Vendor"}))))))</f>
        <v>Vendor</v>
      </c>
      <c r="F827">
        <f t="shared" ca="1" si="73"/>
        <v>53</v>
      </c>
      <c r="G827">
        <f t="shared" ca="1" si="74"/>
        <v>2.2000000000000002</v>
      </c>
      <c r="H827">
        <f t="shared" ca="1" si="75"/>
        <v>6400</v>
      </c>
      <c r="I827">
        <f t="shared" ca="1" si="76"/>
        <v>0.29887603508397553</v>
      </c>
      <c r="J827">
        <v>1</v>
      </c>
    </row>
    <row r="828" spans="1:10" x14ac:dyDescent="0.3">
      <c r="A828" t="str">
        <f t="shared" si="77"/>
        <v>HH827</v>
      </c>
      <c r="B828" t="str">
        <f ca="1">LOOKUP(RAND(),{0,0.28,0.55,0.78},{"Oloitoktok A","Oloitoktok B","Kiserian","Namanga"})</f>
        <v>Oloitoktok A</v>
      </c>
      <c r="C828">
        <f ca="1">LOOKUP(RAND(),{0,0.02,0.09,0.2,0.35,0.52,0.68,0.81,0.91,0.97},{1,2,3,4,5,6,7,8,9,10})</f>
        <v>5</v>
      </c>
      <c r="D828">
        <f t="shared" ca="1" si="72"/>
        <v>21600</v>
      </c>
      <c r="E828" t="str">
        <f ca="1">IF(B828="Oloitoktok A",IF(D828&lt;15000,LOOKUP(RAND(),{0,0.45,0.75,0.92},{"River","Rainwater","Borehole","Vendor"}),IF(D828&lt;30000,LOOKUP(RAND(),{0,0.35,0.65,0.85},{"River","Rainwater","Borehole","Vendor"}),LOOKUP(RAND(),{0,0.25,0.5,0.75},{"River","Rainwater","Borehole","Vendor"}))),IF(B828="Oloitoktok B",IF(D828&lt;15000,LOOKUP(RAND(),{0,0.5,0.78,0.94},{"River","Rainwater","Borehole","Vendor"}),IF(D828&lt;30000,LOOKUP(RAND(),{0,0.4,0.68,0.87},{"River","Rainwater","Borehole","Vendor"}),LOOKUP(RAND(),{0,0.28,0.55,0.78},{"River","Rainwater","Borehole","Vendor"}))),IF(B828="Kiserian",IF(D828&lt;15000,LOOKUP(RAND(),{0,0.35,0.65,0.9},{"River","Rainwater","Borehole","Vendor"}),IF(D828&lt;30000,LOOKUP(RAND(),{0,0.25,0.55,0.82},{"River","Rainwater","Borehole","Vendor"}),LOOKUP(RAND(),{0,0.15,0.45,0.72},{"River","Rainwater","Borehole","Vendor"}))),IF(D828&lt;15000,LOOKUP(RAND(),{0,0.4,0.7,0.92},{"River","Rainwater","Borehole","Vendor"}),IF(D828&lt;30000,LOOKUP(RAND(),{0,0.3,0.6,0.85},{"River","Rainwater","Borehole","Vendor"}),LOOKUP(RAND(),{0,0.2,0.5,0.75},{"River","Rainwater","Borehole","Vendor"}))))))</f>
        <v>River</v>
      </c>
      <c r="F828">
        <f t="shared" ca="1" si="73"/>
        <v>112</v>
      </c>
      <c r="G828">
        <f t="shared" ca="1" si="74"/>
        <v>0.8</v>
      </c>
      <c r="H828">
        <f t="shared" ca="1" si="75"/>
        <v>8600</v>
      </c>
      <c r="I828">
        <f t="shared" ca="1" si="76"/>
        <v>6.8201213843903541E-2</v>
      </c>
      <c r="J828">
        <v>1</v>
      </c>
    </row>
    <row r="829" spans="1:10" x14ac:dyDescent="0.3">
      <c r="A829" t="str">
        <f t="shared" si="77"/>
        <v>HH828</v>
      </c>
      <c r="B829" t="str">
        <f ca="1">LOOKUP(RAND(),{0,0.28,0.55,0.78},{"Oloitoktok A","Oloitoktok B","Kiserian","Namanga"})</f>
        <v>Kiserian</v>
      </c>
      <c r="C829">
        <f ca="1">LOOKUP(RAND(),{0,0.02,0.09,0.2,0.35,0.52,0.68,0.81,0.91,0.97},{1,2,3,4,5,6,7,8,9,10})</f>
        <v>8</v>
      </c>
      <c r="D829">
        <f t="shared" ca="1" si="72"/>
        <v>22900</v>
      </c>
      <c r="E829" t="str">
        <f ca="1">IF(B829="Oloitoktok A",IF(D829&lt;15000,LOOKUP(RAND(),{0,0.45,0.75,0.92},{"River","Rainwater","Borehole","Vendor"}),IF(D829&lt;30000,LOOKUP(RAND(),{0,0.35,0.65,0.85},{"River","Rainwater","Borehole","Vendor"}),LOOKUP(RAND(),{0,0.25,0.5,0.75},{"River","Rainwater","Borehole","Vendor"}))),IF(B829="Oloitoktok B",IF(D829&lt;15000,LOOKUP(RAND(),{0,0.5,0.78,0.94},{"River","Rainwater","Borehole","Vendor"}),IF(D829&lt;30000,LOOKUP(RAND(),{0,0.4,0.68,0.87},{"River","Rainwater","Borehole","Vendor"}),LOOKUP(RAND(),{0,0.28,0.55,0.78},{"River","Rainwater","Borehole","Vendor"}))),IF(B829="Kiserian",IF(D829&lt;15000,LOOKUP(RAND(),{0,0.35,0.65,0.9},{"River","Rainwater","Borehole","Vendor"}),IF(D829&lt;30000,LOOKUP(RAND(),{0,0.25,0.55,0.82},{"River","Rainwater","Borehole","Vendor"}),LOOKUP(RAND(),{0,0.15,0.45,0.72},{"River","Rainwater","Borehole","Vendor"}))),IF(D829&lt;15000,LOOKUP(RAND(),{0,0.4,0.7,0.92},{"River","Rainwater","Borehole","Vendor"}),IF(D829&lt;30000,LOOKUP(RAND(),{0,0.3,0.6,0.85},{"River","Rainwater","Borehole","Vendor"}),LOOKUP(RAND(),{0,0.2,0.5,0.75},{"River","Rainwater","Borehole","Vendor"}))))))</f>
        <v>River</v>
      </c>
      <c r="F829">
        <f t="shared" ca="1" si="73"/>
        <v>116</v>
      </c>
      <c r="G829">
        <f t="shared" ca="1" si="74"/>
        <v>2.2999999999999998</v>
      </c>
      <c r="H829">
        <f t="shared" ca="1" si="75"/>
        <v>2300</v>
      </c>
      <c r="I829">
        <f t="shared" ca="1" si="76"/>
        <v>0.66131607816439553</v>
      </c>
      <c r="J829">
        <v>1</v>
      </c>
    </row>
    <row r="830" spans="1:10" x14ac:dyDescent="0.3">
      <c r="A830" t="str">
        <f t="shared" si="77"/>
        <v>HH829</v>
      </c>
      <c r="B830" t="str">
        <f ca="1">LOOKUP(RAND(),{0,0.28,0.55,0.78},{"Oloitoktok A","Oloitoktok B","Kiserian","Namanga"})</f>
        <v>Oloitoktok B</v>
      </c>
      <c r="C830">
        <f ca="1">LOOKUP(RAND(),{0,0.02,0.09,0.2,0.35,0.52,0.68,0.81,0.91,0.97},{1,2,3,4,5,6,7,8,9,10})</f>
        <v>8</v>
      </c>
      <c r="D830">
        <f t="shared" ca="1" si="72"/>
        <v>28300</v>
      </c>
      <c r="E830" t="str">
        <f ca="1">IF(B830="Oloitoktok A",IF(D830&lt;15000,LOOKUP(RAND(),{0,0.45,0.75,0.92},{"River","Rainwater","Borehole","Vendor"}),IF(D830&lt;30000,LOOKUP(RAND(),{0,0.35,0.65,0.85},{"River","Rainwater","Borehole","Vendor"}),LOOKUP(RAND(),{0,0.25,0.5,0.75},{"River","Rainwater","Borehole","Vendor"}))),IF(B830="Oloitoktok B",IF(D830&lt;15000,LOOKUP(RAND(),{0,0.5,0.78,0.94},{"River","Rainwater","Borehole","Vendor"}),IF(D830&lt;30000,LOOKUP(RAND(),{0,0.4,0.68,0.87},{"River","Rainwater","Borehole","Vendor"}),LOOKUP(RAND(),{0,0.28,0.55,0.78},{"River","Rainwater","Borehole","Vendor"}))),IF(B830="Kiserian",IF(D830&lt;15000,LOOKUP(RAND(),{0,0.35,0.65,0.9},{"River","Rainwater","Borehole","Vendor"}),IF(D830&lt;30000,LOOKUP(RAND(),{0,0.25,0.55,0.82},{"River","Rainwater","Borehole","Vendor"}),LOOKUP(RAND(),{0,0.15,0.45,0.72},{"River","Rainwater","Borehole","Vendor"}))),IF(D830&lt;15000,LOOKUP(RAND(),{0,0.4,0.7,0.92},{"River","Rainwater","Borehole","Vendor"}),IF(D830&lt;30000,LOOKUP(RAND(),{0,0.3,0.6,0.85},{"River","Rainwater","Borehole","Vendor"}),LOOKUP(RAND(),{0,0.2,0.5,0.75},{"River","Rainwater","Borehole","Vendor"}))))))</f>
        <v>Rainwater</v>
      </c>
      <c r="F830">
        <f t="shared" ca="1" si="73"/>
        <v>26</v>
      </c>
      <c r="G830">
        <f t="shared" ca="1" si="74"/>
        <v>9.5</v>
      </c>
      <c r="H830">
        <f t="shared" ca="1" si="75"/>
        <v>7800</v>
      </c>
      <c r="I830">
        <f t="shared" ca="1" si="76"/>
        <v>0.25672789734613033</v>
      </c>
      <c r="J830">
        <v>1</v>
      </c>
    </row>
    <row r="831" spans="1:10" x14ac:dyDescent="0.3">
      <c r="A831" t="str">
        <f t="shared" si="77"/>
        <v>HH830</v>
      </c>
      <c r="B831" t="str">
        <f ca="1">LOOKUP(RAND(),{0,0.28,0.55,0.78},{"Oloitoktok A","Oloitoktok B","Kiserian","Namanga"})</f>
        <v>Namanga</v>
      </c>
      <c r="C831">
        <f ca="1">LOOKUP(RAND(),{0,0.02,0.09,0.2,0.35,0.52,0.68,0.81,0.91,0.97},{1,2,3,4,5,6,7,8,9,10})</f>
        <v>6</v>
      </c>
      <c r="D831">
        <f t="shared" ca="1" si="72"/>
        <v>59400</v>
      </c>
      <c r="E831" t="str">
        <f ca="1">IF(B831="Oloitoktok A",IF(D831&lt;15000,LOOKUP(RAND(),{0,0.45,0.75,0.92},{"River","Rainwater","Borehole","Vendor"}),IF(D831&lt;30000,LOOKUP(RAND(),{0,0.35,0.65,0.85},{"River","Rainwater","Borehole","Vendor"}),LOOKUP(RAND(),{0,0.25,0.5,0.75},{"River","Rainwater","Borehole","Vendor"}))),IF(B831="Oloitoktok B",IF(D831&lt;15000,LOOKUP(RAND(),{0,0.5,0.78,0.94},{"River","Rainwater","Borehole","Vendor"}),IF(D831&lt;30000,LOOKUP(RAND(),{0,0.4,0.68,0.87},{"River","Rainwater","Borehole","Vendor"}),LOOKUP(RAND(),{0,0.28,0.55,0.78},{"River","Rainwater","Borehole","Vendor"}))),IF(B831="Kiserian",IF(D831&lt;15000,LOOKUP(RAND(),{0,0.35,0.65,0.9},{"River","Rainwater","Borehole","Vendor"}),IF(D831&lt;30000,LOOKUP(RAND(),{0,0.25,0.55,0.82},{"River","Rainwater","Borehole","Vendor"}),LOOKUP(RAND(),{0,0.15,0.45,0.72},{"River","Rainwater","Borehole","Vendor"}))),IF(D831&lt;15000,LOOKUP(RAND(),{0,0.4,0.7,0.92},{"River","Rainwater","Borehole","Vendor"}),IF(D831&lt;30000,LOOKUP(RAND(),{0,0.3,0.6,0.85},{"River","Rainwater","Borehole","Vendor"}),LOOKUP(RAND(),{0,0.2,0.5,0.75},{"River","Rainwater","Borehole","Vendor"}))))))</f>
        <v>Vendor</v>
      </c>
      <c r="F831">
        <f t="shared" ca="1" si="73"/>
        <v>46</v>
      </c>
      <c r="G831">
        <f t="shared" ca="1" si="74"/>
        <v>0.8</v>
      </c>
      <c r="H831">
        <f t="shared" ca="1" si="75"/>
        <v>1900</v>
      </c>
      <c r="I831">
        <f t="shared" ca="1" si="76"/>
        <v>0.64812864947355087</v>
      </c>
      <c r="J831">
        <v>1</v>
      </c>
    </row>
    <row r="832" spans="1:10" x14ac:dyDescent="0.3">
      <c r="A832" t="str">
        <f t="shared" si="77"/>
        <v>HH831</v>
      </c>
      <c r="B832" t="str">
        <f ca="1">LOOKUP(RAND(),{0,0.28,0.55,0.78},{"Oloitoktok A","Oloitoktok B","Kiserian","Namanga"})</f>
        <v>Oloitoktok B</v>
      </c>
      <c r="C832">
        <f ca="1">LOOKUP(RAND(),{0,0.02,0.09,0.2,0.35,0.52,0.68,0.81,0.91,0.97},{1,2,3,4,5,6,7,8,9,10})</f>
        <v>3</v>
      </c>
      <c r="D832">
        <f t="shared" ca="1" si="72"/>
        <v>48800</v>
      </c>
      <c r="E832" t="str">
        <f ca="1">IF(B832="Oloitoktok A",IF(D832&lt;15000,LOOKUP(RAND(),{0,0.45,0.75,0.92},{"River","Rainwater","Borehole","Vendor"}),IF(D832&lt;30000,LOOKUP(RAND(),{0,0.35,0.65,0.85},{"River","Rainwater","Borehole","Vendor"}),LOOKUP(RAND(),{0,0.25,0.5,0.75},{"River","Rainwater","Borehole","Vendor"}))),IF(B832="Oloitoktok B",IF(D832&lt;15000,LOOKUP(RAND(),{0,0.5,0.78,0.94},{"River","Rainwater","Borehole","Vendor"}),IF(D832&lt;30000,LOOKUP(RAND(),{0,0.4,0.68,0.87},{"River","Rainwater","Borehole","Vendor"}),LOOKUP(RAND(),{0,0.28,0.55,0.78},{"River","Rainwater","Borehole","Vendor"}))),IF(B832="Kiserian",IF(D832&lt;15000,LOOKUP(RAND(),{0,0.35,0.65,0.9},{"River","Rainwater","Borehole","Vendor"}),IF(D832&lt;30000,LOOKUP(RAND(),{0,0.25,0.55,0.82},{"River","Rainwater","Borehole","Vendor"}),LOOKUP(RAND(),{0,0.15,0.45,0.72},{"River","Rainwater","Borehole","Vendor"}))),IF(D832&lt;15000,LOOKUP(RAND(),{0,0.4,0.7,0.92},{"River","Rainwater","Borehole","Vendor"}),IF(D832&lt;30000,LOOKUP(RAND(),{0,0.3,0.6,0.85},{"River","Rainwater","Borehole","Vendor"}),LOOKUP(RAND(),{0,0.2,0.5,0.75},{"River","Rainwater","Borehole","Vendor"}))))))</f>
        <v>Vendor</v>
      </c>
      <c r="F832">
        <f t="shared" ca="1" si="73"/>
        <v>52</v>
      </c>
      <c r="G832">
        <f t="shared" ca="1" si="74"/>
        <v>4.5999999999999996</v>
      </c>
      <c r="H832">
        <f t="shared" ca="1" si="75"/>
        <v>900</v>
      </c>
      <c r="I832">
        <f t="shared" ca="1" si="76"/>
        <v>0.7119343061235025</v>
      </c>
      <c r="J832">
        <v>1</v>
      </c>
    </row>
    <row r="833" spans="1:10" x14ac:dyDescent="0.3">
      <c r="A833" t="str">
        <f t="shared" si="77"/>
        <v>HH832</v>
      </c>
      <c r="B833" t="str">
        <f ca="1">LOOKUP(RAND(),{0,0.28,0.55,0.78},{"Oloitoktok A","Oloitoktok B","Kiserian","Namanga"})</f>
        <v>Oloitoktok A</v>
      </c>
      <c r="C833">
        <f ca="1">LOOKUP(RAND(),{0,0.02,0.09,0.2,0.35,0.52,0.68,0.81,0.91,0.97},{1,2,3,4,5,6,7,8,9,10})</f>
        <v>7</v>
      </c>
      <c r="D833">
        <f t="shared" ca="1" si="72"/>
        <v>16900</v>
      </c>
      <c r="E833" t="str">
        <f ca="1">IF(B833="Oloitoktok A",IF(D833&lt;15000,LOOKUP(RAND(),{0,0.45,0.75,0.92},{"River","Rainwater","Borehole","Vendor"}),IF(D833&lt;30000,LOOKUP(RAND(),{0,0.35,0.65,0.85},{"River","Rainwater","Borehole","Vendor"}),LOOKUP(RAND(),{0,0.25,0.5,0.75},{"River","Rainwater","Borehole","Vendor"}))),IF(B833="Oloitoktok B",IF(D833&lt;15000,LOOKUP(RAND(),{0,0.5,0.78,0.94},{"River","Rainwater","Borehole","Vendor"}),IF(D833&lt;30000,LOOKUP(RAND(),{0,0.4,0.68,0.87},{"River","Rainwater","Borehole","Vendor"}),LOOKUP(RAND(),{0,0.28,0.55,0.78},{"River","Rainwater","Borehole","Vendor"}))),IF(B833="Kiserian",IF(D833&lt;15000,LOOKUP(RAND(),{0,0.35,0.65,0.9},{"River","Rainwater","Borehole","Vendor"}),IF(D833&lt;30000,LOOKUP(RAND(),{0,0.25,0.55,0.82},{"River","Rainwater","Borehole","Vendor"}),LOOKUP(RAND(),{0,0.15,0.45,0.72},{"River","Rainwater","Borehole","Vendor"}))),IF(D833&lt;15000,LOOKUP(RAND(),{0,0.4,0.7,0.92},{"River","Rainwater","Borehole","Vendor"}),IF(D833&lt;30000,LOOKUP(RAND(),{0,0.3,0.6,0.85},{"River","Rainwater","Borehole","Vendor"}),LOOKUP(RAND(),{0,0.2,0.5,0.75},{"River","Rainwater","Borehole","Vendor"}))))))</f>
        <v>River</v>
      </c>
      <c r="F833">
        <f t="shared" ca="1" si="73"/>
        <v>57</v>
      </c>
      <c r="G833">
        <f t="shared" ca="1" si="74"/>
        <v>8.4</v>
      </c>
      <c r="H833">
        <f t="shared" ca="1" si="75"/>
        <v>100</v>
      </c>
      <c r="I833">
        <f t="shared" ca="1" si="76"/>
        <v>0.36494452420659862</v>
      </c>
      <c r="J833">
        <v>1</v>
      </c>
    </row>
    <row r="834" spans="1:10" x14ac:dyDescent="0.3">
      <c r="A834" t="str">
        <f t="shared" si="77"/>
        <v>HH833</v>
      </c>
      <c r="B834" t="str">
        <f ca="1">LOOKUP(RAND(),{0,0.28,0.55,0.78},{"Oloitoktok A","Oloitoktok B","Kiserian","Namanga"})</f>
        <v>Oloitoktok B</v>
      </c>
      <c r="C834">
        <f ca="1">LOOKUP(RAND(),{0,0.02,0.09,0.2,0.35,0.52,0.68,0.81,0.91,0.97},{1,2,3,4,5,6,7,8,9,10})</f>
        <v>7</v>
      </c>
      <c r="D834">
        <f t="shared" ref="D834:D897" ca="1" si="78">MAX(5000,MIN(150000,ROUND(_xlfn.LOGNORM.INV(RAND(),LN(28000+1500*C834),0.55),-2)))</f>
        <v>44400</v>
      </c>
      <c r="E834" t="str">
        <f ca="1">IF(B834="Oloitoktok A",IF(D834&lt;15000,LOOKUP(RAND(),{0,0.45,0.75,0.92},{"River","Rainwater","Borehole","Vendor"}),IF(D834&lt;30000,LOOKUP(RAND(),{0,0.35,0.65,0.85},{"River","Rainwater","Borehole","Vendor"}),LOOKUP(RAND(),{0,0.25,0.5,0.75},{"River","Rainwater","Borehole","Vendor"}))),IF(B834="Oloitoktok B",IF(D834&lt;15000,LOOKUP(RAND(),{0,0.5,0.78,0.94},{"River","Rainwater","Borehole","Vendor"}),IF(D834&lt;30000,LOOKUP(RAND(),{0,0.4,0.68,0.87},{"River","Rainwater","Borehole","Vendor"}),LOOKUP(RAND(),{0,0.28,0.55,0.78},{"River","Rainwater","Borehole","Vendor"}))),IF(B834="Kiserian",IF(D834&lt;15000,LOOKUP(RAND(),{0,0.35,0.65,0.9},{"River","Rainwater","Borehole","Vendor"}),IF(D834&lt;30000,LOOKUP(RAND(),{0,0.25,0.55,0.82},{"River","Rainwater","Borehole","Vendor"}),LOOKUP(RAND(),{0,0.15,0.45,0.72},{"River","Rainwater","Borehole","Vendor"}))),IF(D834&lt;15000,LOOKUP(RAND(),{0,0.4,0.7,0.92},{"River","Rainwater","Borehole","Vendor"}),IF(D834&lt;30000,LOOKUP(RAND(),{0,0.3,0.6,0.85},{"River","Rainwater","Borehole","Vendor"}),LOOKUP(RAND(),{0,0.2,0.5,0.75},{"River","Rainwater","Borehole","Vendor"}))))))</f>
        <v>Borehole</v>
      </c>
      <c r="F834">
        <f t="shared" ref="F834:F897" ca="1" si="79">IF(E834="River",RANDBETWEEN(45,120),IF(E834="Rainwater",RANDBETWEEN(15,70),IF(E834="Borehole",RANDBETWEEN(20,75),RANDBETWEEN(10,60))))</f>
        <v>22</v>
      </c>
      <c r="G834">
        <f t="shared" ref="G834:G897" ca="1" si="80">IF(B834="Oloitoktok A",ROUND(RANDBETWEEN(5,150)/10,1),IF(B834="Oloitoktok B",ROUND(RANDBETWEEN(4,140)/10,1),IF(B834="Kiserian",ROUND(RANDBETWEEN(2,100)/10,1),ROUND(RANDBETWEEN(3,120)/10,1))))</f>
        <v>1</v>
      </c>
      <c r="H834">
        <f t="shared" ref="H834:H897" ca="1" si="81">MAX(0,ROUND((1500+(C834*250)+(D834*0.025)+(F834*8)+(G834*120)+IF(E834="River",1200,IF(E834="Rainwater",700,IF(E834="Borehole",400,200)))+_xlfn.NORM.INV(RAND(),0,3500)),-2))</f>
        <v>700</v>
      </c>
      <c r="I834">
        <f t="shared" ref="I834:I897" ca="1" si="82">RAND()</f>
        <v>0.24920491615840745</v>
      </c>
      <c r="J834">
        <v>1</v>
      </c>
    </row>
    <row r="835" spans="1:10" x14ac:dyDescent="0.3">
      <c r="A835" t="str">
        <f t="shared" ref="A835:A898" si="83">"HH"&amp;TEXT(ROW()-1,"000")</f>
        <v>HH834</v>
      </c>
      <c r="B835" t="str">
        <f ca="1">LOOKUP(RAND(),{0,0.28,0.55,0.78},{"Oloitoktok A","Oloitoktok B","Kiserian","Namanga"})</f>
        <v>Kiserian</v>
      </c>
      <c r="C835">
        <f ca="1">LOOKUP(RAND(),{0,0.02,0.09,0.2,0.35,0.52,0.68,0.81,0.91,0.97},{1,2,3,4,5,6,7,8,9,10})</f>
        <v>5</v>
      </c>
      <c r="D835">
        <f t="shared" ca="1" si="78"/>
        <v>57300</v>
      </c>
      <c r="E835" t="str">
        <f ca="1">IF(B835="Oloitoktok A",IF(D835&lt;15000,LOOKUP(RAND(),{0,0.45,0.75,0.92},{"River","Rainwater","Borehole","Vendor"}),IF(D835&lt;30000,LOOKUP(RAND(),{0,0.35,0.65,0.85},{"River","Rainwater","Borehole","Vendor"}),LOOKUP(RAND(),{0,0.25,0.5,0.75},{"River","Rainwater","Borehole","Vendor"}))),IF(B835="Oloitoktok B",IF(D835&lt;15000,LOOKUP(RAND(),{0,0.5,0.78,0.94},{"River","Rainwater","Borehole","Vendor"}),IF(D835&lt;30000,LOOKUP(RAND(),{0,0.4,0.68,0.87},{"River","Rainwater","Borehole","Vendor"}),LOOKUP(RAND(),{0,0.28,0.55,0.78},{"River","Rainwater","Borehole","Vendor"}))),IF(B835="Kiserian",IF(D835&lt;15000,LOOKUP(RAND(),{0,0.35,0.65,0.9},{"River","Rainwater","Borehole","Vendor"}),IF(D835&lt;30000,LOOKUP(RAND(),{0,0.25,0.55,0.82},{"River","Rainwater","Borehole","Vendor"}),LOOKUP(RAND(),{0,0.15,0.45,0.72},{"River","Rainwater","Borehole","Vendor"}))),IF(D835&lt;15000,LOOKUP(RAND(),{0,0.4,0.7,0.92},{"River","Rainwater","Borehole","Vendor"}),IF(D835&lt;30000,LOOKUP(RAND(),{0,0.3,0.6,0.85},{"River","Rainwater","Borehole","Vendor"}),LOOKUP(RAND(),{0,0.2,0.5,0.75},{"River","Rainwater","Borehole","Vendor"}))))))</f>
        <v>Borehole</v>
      </c>
      <c r="F835">
        <f t="shared" ca="1" si="79"/>
        <v>23</v>
      </c>
      <c r="G835">
        <f t="shared" ca="1" si="80"/>
        <v>4.5999999999999996</v>
      </c>
      <c r="H835">
        <f t="shared" ca="1" si="81"/>
        <v>3300</v>
      </c>
      <c r="I835">
        <f t="shared" ca="1" si="82"/>
        <v>0.13633688076408301</v>
      </c>
      <c r="J835">
        <v>1</v>
      </c>
    </row>
    <row r="836" spans="1:10" x14ac:dyDescent="0.3">
      <c r="A836" t="str">
        <f t="shared" si="83"/>
        <v>HH835</v>
      </c>
      <c r="B836" t="str">
        <f ca="1">LOOKUP(RAND(),{0,0.28,0.55,0.78},{"Oloitoktok A","Oloitoktok B","Kiserian","Namanga"})</f>
        <v>Oloitoktok A</v>
      </c>
      <c r="C836">
        <f ca="1">LOOKUP(RAND(),{0,0.02,0.09,0.2,0.35,0.52,0.68,0.81,0.91,0.97},{1,2,3,4,5,6,7,8,9,10})</f>
        <v>5</v>
      </c>
      <c r="D836">
        <f t="shared" ca="1" si="78"/>
        <v>52900</v>
      </c>
      <c r="E836" t="str">
        <f ca="1">IF(B836="Oloitoktok A",IF(D836&lt;15000,LOOKUP(RAND(),{0,0.45,0.75,0.92},{"River","Rainwater","Borehole","Vendor"}),IF(D836&lt;30000,LOOKUP(RAND(),{0,0.35,0.65,0.85},{"River","Rainwater","Borehole","Vendor"}),LOOKUP(RAND(),{0,0.25,0.5,0.75},{"River","Rainwater","Borehole","Vendor"}))),IF(B836="Oloitoktok B",IF(D836&lt;15000,LOOKUP(RAND(),{0,0.5,0.78,0.94},{"River","Rainwater","Borehole","Vendor"}),IF(D836&lt;30000,LOOKUP(RAND(),{0,0.4,0.68,0.87},{"River","Rainwater","Borehole","Vendor"}),LOOKUP(RAND(),{0,0.28,0.55,0.78},{"River","Rainwater","Borehole","Vendor"}))),IF(B836="Kiserian",IF(D836&lt;15000,LOOKUP(RAND(),{0,0.35,0.65,0.9},{"River","Rainwater","Borehole","Vendor"}),IF(D836&lt;30000,LOOKUP(RAND(),{0,0.25,0.55,0.82},{"River","Rainwater","Borehole","Vendor"}),LOOKUP(RAND(),{0,0.15,0.45,0.72},{"River","Rainwater","Borehole","Vendor"}))),IF(D836&lt;15000,LOOKUP(RAND(),{0,0.4,0.7,0.92},{"River","Rainwater","Borehole","Vendor"}),IF(D836&lt;30000,LOOKUP(RAND(),{0,0.3,0.6,0.85},{"River","Rainwater","Borehole","Vendor"}),LOOKUP(RAND(),{0,0.2,0.5,0.75},{"River","Rainwater","Borehole","Vendor"}))))))</f>
        <v>Vendor</v>
      </c>
      <c r="F836">
        <f t="shared" ca="1" si="79"/>
        <v>25</v>
      </c>
      <c r="G836">
        <f t="shared" ca="1" si="80"/>
        <v>13.1</v>
      </c>
      <c r="H836">
        <f t="shared" ca="1" si="81"/>
        <v>6600</v>
      </c>
      <c r="I836">
        <f t="shared" ca="1" si="82"/>
        <v>0.4289607729332604</v>
      </c>
      <c r="J836">
        <v>1</v>
      </c>
    </row>
    <row r="837" spans="1:10" x14ac:dyDescent="0.3">
      <c r="A837" t="str">
        <f t="shared" si="83"/>
        <v>HH836</v>
      </c>
      <c r="B837" t="str">
        <f ca="1">LOOKUP(RAND(),{0,0.28,0.55,0.78},{"Oloitoktok A","Oloitoktok B","Kiserian","Namanga"})</f>
        <v>Oloitoktok A</v>
      </c>
      <c r="C837">
        <f ca="1">LOOKUP(RAND(),{0,0.02,0.09,0.2,0.35,0.52,0.68,0.81,0.91,0.97},{1,2,3,4,5,6,7,8,9,10})</f>
        <v>2</v>
      </c>
      <c r="D837">
        <f t="shared" ca="1" si="78"/>
        <v>15900</v>
      </c>
      <c r="E837" t="str">
        <f ca="1">IF(B837="Oloitoktok A",IF(D837&lt;15000,LOOKUP(RAND(),{0,0.45,0.75,0.92},{"River","Rainwater","Borehole","Vendor"}),IF(D837&lt;30000,LOOKUP(RAND(),{0,0.35,0.65,0.85},{"River","Rainwater","Borehole","Vendor"}),LOOKUP(RAND(),{0,0.25,0.5,0.75},{"River","Rainwater","Borehole","Vendor"}))),IF(B837="Oloitoktok B",IF(D837&lt;15000,LOOKUP(RAND(),{0,0.5,0.78,0.94},{"River","Rainwater","Borehole","Vendor"}),IF(D837&lt;30000,LOOKUP(RAND(),{0,0.4,0.68,0.87},{"River","Rainwater","Borehole","Vendor"}),LOOKUP(RAND(),{0,0.28,0.55,0.78},{"River","Rainwater","Borehole","Vendor"}))),IF(B837="Kiserian",IF(D837&lt;15000,LOOKUP(RAND(),{0,0.35,0.65,0.9},{"River","Rainwater","Borehole","Vendor"}),IF(D837&lt;30000,LOOKUP(RAND(),{0,0.25,0.55,0.82},{"River","Rainwater","Borehole","Vendor"}),LOOKUP(RAND(),{0,0.15,0.45,0.72},{"River","Rainwater","Borehole","Vendor"}))),IF(D837&lt;15000,LOOKUP(RAND(),{0,0.4,0.7,0.92},{"River","Rainwater","Borehole","Vendor"}),IF(D837&lt;30000,LOOKUP(RAND(),{0,0.3,0.6,0.85},{"River","Rainwater","Borehole","Vendor"}),LOOKUP(RAND(),{0,0.2,0.5,0.75},{"River","Rainwater","Borehole","Vendor"}))))))</f>
        <v>River</v>
      </c>
      <c r="F837">
        <f t="shared" ca="1" si="79"/>
        <v>102</v>
      </c>
      <c r="G837">
        <f t="shared" ca="1" si="80"/>
        <v>4.4000000000000004</v>
      </c>
      <c r="H837">
        <f t="shared" ca="1" si="81"/>
        <v>8600</v>
      </c>
      <c r="I837">
        <f t="shared" ca="1" si="82"/>
        <v>0.66400668163320531</v>
      </c>
      <c r="J837">
        <v>1</v>
      </c>
    </row>
    <row r="838" spans="1:10" x14ac:dyDescent="0.3">
      <c r="A838" t="str">
        <f t="shared" si="83"/>
        <v>HH837</v>
      </c>
      <c r="B838" t="str">
        <f ca="1">LOOKUP(RAND(),{0,0.28,0.55,0.78},{"Oloitoktok A","Oloitoktok B","Kiserian","Namanga"})</f>
        <v>Oloitoktok A</v>
      </c>
      <c r="C838">
        <f ca="1">LOOKUP(RAND(),{0,0.02,0.09,0.2,0.35,0.52,0.68,0.81,0.91,0.97},{1,2,3,4,5,6,7,8,9,10})</f>
        <v>4</v>
      </c>
      <c r="D838">
        <f t="shared" ca="1" si="78"/>
        <v>31200</v>
      </c>
      <c r="E838" t="str">
        <f ca="1">IF(B838="Oloitoktok A",IF(D838&lt;15000,LOOKUP(RAND(),{0,0.45,0.75,0.92},{"River","Rainwater","Borehole","Vendor"}),IF(D838&lt;30000,LOOKUP(RAND(),{0,0.35,0.65,0.85},{"River","Rainwater","Borehole","Vendor"}),LOOKUP(RAND(),{0,0.25,0.5,0.75},{"River","Rainwater","Borehole","Vendor"}))),IF(B838="Oloitoktok B",IF(D838&lt;15000,LOOKUP(RAND(),{0,0.5,0.78,0.94},{"River","Rainwater","Borehole","Vendor"}),IF(D838&lt;30000,LOOKUP(RAND(),{0,0.4,0.68,0.87},{"River","Rainwater","Borehole","Vendor"}),LOOKUP(RAND(),{0,0.28,0.55,0.78},{"River","Rainwater","Borehole","Vendor"}))),IF(B838="Kiserian",IF(D838&lt;15000,LOOKUP(RAND(),{0,0.35,0.65,0.9},{"River","Rainwater","Borehole","Vendor"}),IF(D838&lt;30000,LOOKUP(RAND(),{0,0.25,0.55,0.82},{"River","Rainwater","Borehole","Vendor"}),LOOKUP(RAND(),{0,0.15,0.45,0.72},{"River","Rainwater","Borehole","Vendor"}))),IF(D838&lt;15000,LOOKUP(RAND(),{0,0.4,0.7,0.92},{"River","Rainwater","Borehole","Vendor"}),IF(D838&lt;30000,LOOKUP(RAND(),{0,0.3,0.6,0.85},{"River","Rainwater","Borehole","Vendor"}),LOOKUP(RAND(),{0,0.2,0.5,0.75},{"River","Rainwater","Borehole","Vendor"}))))))</f>
        <v>Borehole</v>
      </c>
      <c r="F838">
        <f t="shared" ca="1" si="79"/>
        <v>50</v>
      </c>
      <c r="G838">
        <f t="shared" ca="1" si="80"/>
        <v>5.9</v>
      </c>
      <c r="H838">
        <f t="shared" ca="1" si="81"/>
        <v>3500</v>
      </c>
      <c r="I838">
        <f t="shared" ca="1" si="82"/>
        <v>0.57677443241483661</v>
      </c>
      <c r="J838">
        <v>1</v>
      </c>
    </row>
    <row r="839" spans="1:10" x14ac:dyDescent="0.3">
      <c r="A839" t="str">
        <f t="shared" si="83"/>
        <v>HH838</v>
      </c>
      <c r="B839" t="str">
        <f ca="1">LOOKUP(RAND(),{0,0.28,0.55,0.78},{"Oloitoktok A","Oloitoktok B","Kiserian","Namanga"})</f>
        <v>Namanga</v>
      </c>
      <c r="C839">
        <f ca="1">LOOKUP(RAND(),{0,0.02,0.09,0.2,0.35,0.52,0.68,0.81,0.91,0.97},{1,2,3,4,5,6,7,8,9,10})</f>
        <v>7</v>
      </c>
      <c r="D839">
        <f t="shared" ca="1" si="78"/>
        <v>16200</v>
      </c>
      <c r="E839" t="str">
        <f ca="1">IF(B839="Oloitoktok A",IF(D839&lt;15000,LOOKUP(RAND(),{0,0.45,0.75,0.92},{"River","Rainwater","Borehole","Vendor"}),IF(D839&lt;30000,LOOKUP(RAND(),{0,0.35,0.65,0.85},{"River","Rainwater","Borehole","Vendor"}),LOOKUP(RAND(),{0,0.25,0.5,0.75},{"River","Rainwater","Borehole","Vendor"}))),IF(B839="Oloitoktok B",IF(D839&lt;15000,LOOKUP(RAND(),{0,0.5,0.78,0.94},{"River","Rainwater","Borehole","Vendor"}),IF(D839&lt;30000,LOOKUP(RAND(),{0,0.4,0.68,0.87},{"River","Rainwater","Borehole","Vendor"}),LOOKUP(RAND(),{0,0.28,0.55,0.78},{"River","Rainwater","Borehole","Vendor"}))),IF(B839="Kiserian",IF(D839&lt;15000,LOOKUP(RAND(),{0,0.35,0.65,0.9},{"River","Rainwater","Borehole","Vendor"}),IF(D839&lt;30000,LOOKUP(RAND(),{0,0.25,0.55,0.82},{"River","Rainwater","Borehole","Vendor"}),LOOKUP(RAND(),{0,0.15,0.45,0.72},{"River","Rainwater","Borehole","Vendor"}))),IF(D839&lt;15000,LOOKUP(RAND(),{0,0.4,0.7,0.92},{"River","Rainwater","Borehole","Vendor"}),IF(D839&lt;30000,LOOKUP(RAND(),{0,0.3,0.6,0.85},{"River","Rainwater","Borehole","Vendor"}),LOOKUP(RAND(),{0,0.2,0.5,0.75},{"River","Rainwater","Borehole","Vendor"}))))))</f>
        <v>Vendor</v>
      </c>
      <c r="F839">
        <f t="shared" ca="1" si="79"/>
        <v>52</v>
      </c>
      <c r="G839">
        <f t="shared" ca="1" si="80"/>
        <v>10.4</v>
      </c>
      <c r="H839">
        <f t="shared" ca="1" si="81"/>
        <v>4200</v>
      </c>
      <c r="I839">
        <f t="shared" ca="1" si="82"/>
        <v>0.83000793789606564</v>
      </c>
      <c r="J839">
        <v>1</v>
      </c>
    </row>
    <row r="840" spans="1:10" x14ac:dyDescent="0.3">
      <c r="A840" t="str">
        <f t="shared" si="83"/>
        <v>HH839</v>
      </c>
      <c r="B840" t="str">
        <f ca="1">LOOKUP(RAND(),{0,0.28,0.55,0.78},{"Oloitoktok A","Oloitoktok B","Kiserian","Namanga"})</f>
        <v>Oloitoktok B</v>
      </c>
      <c r="C840">
        <f ca="1">LOOKUP(RAND(),{0,0.02,0.09,0.2,0.35,0.52,0.68,0.81,0.91,0.97},{1,2,3,4,5,6,7,8,9,10})</f>
        <v>10</v>
      </c>
      <c r="D840">
        <f t="shared" ca="1" si="78"/>
        <v>26600</v>
      </c>
      <c r="E840" t="str">
        <f ca="1">IF(B840="Oloitoktok A",IF(D840&lt;15000,LOOKUP(RAND(),{0,0.45,0.75,0.92},{"River","Rainwater","Borehole","Vendor"}),IF(D840&lt;30000,LOOKUP(RAND(),{0,0.35,0.65,0.85},{"River","Rainwater","Borehole","Vendor"}),LOOKUP(RAND(),{0,0.25,0.5,0.75},{"River","Rainwater","Borehole","Vendor"}))),IF(B840="Oloitoktok B",IF(D840&lt;15000,LOOKUP(RAND(),{0,0.5,0.78,0.94},{"River","Rainwater","Borehole","Vendor"}),IF(D840&lt;30000,LOOKUP(RAND(),{0,0.4,0.68,0.87},{"River","Rainwater","Borehole","Vendor"}),LOOKUP(RAND(),{0,0.28,0.55,0.78},{"River","Rainwater","Borehole","Vendor"}))),IF(B840="Kiserian",IF(D840&lt;15000,LOOKUP(RAND(),{0,0.35,0.65,0.9},{"River","Rainwater","Borehole","Vendor"}),IF(D840&lt;30000,LOOKUP(RAND(),{0,0.25,0.55,0.82},{"River","Rainwater","Borehole","Vendor"}),LOOKUP(RAND(),{0,0.15,0.45,0.72},{"River","Rainwater","Borehole","Vendor"}))),IF(D840&lt;15000,LOOKUP(RAND(),{0,0.4,0.7,0.92},{"River","Rainwater","Borehole","Vendor"}),IF(D840&lt;30000,LOOKUP(RAND(),{0,0.3,0.6,0.85},{"River","Rainwater","Borehole","Vendor"}),LOOKUP(RAND(),{0,0.2,0.5,0.75},{"River","Rainwater","Borehole","Vendor"}))))))</f>
        <v>Borehole</v>
      </c>
      <c r="F840">
        <f t="shared" ca="1" si="79"/>
        <v>34</v>
      </c>
      <c r="G840">
        <f t="shared" ca="1" si="80"/>
        <v>9.8000000000000007</v>
      </c>
      <c r="H840">
        <f t="shared" ca="1" si="81"/>
        <v>11700</v>
      </c>
      <c r="I840">
        <f t="shared" ca="1" si="82"/>
        <v>0.1633349098188398</v>
      </c>
      <c r="J840">
        <v>1</v>
      </c>
    </row>
    <row r="841" spans="1:10" x14ac:dyDescent="0.3">
      <c r="A841" t="str">
        <f t="shared" si="83"/>
        <v>HH840</v>
      </c>
      <c r="B841" t="str">
        <f ca="1">LOOKUP(RAND(),{0,0.28,0.55,0.78},{"Oloitoktok A","Oloitoktok B","Kiserian","Namanga"})</f>
        <v>Kiserian</v>
      </c>
      <c r="C841">
        <f ca="1">LOOKUP(RAND(),{0,0.02,0.09,0.2,0.35,0.52,0.68,0.81,0.91,0.97},{1,2,3,4,5,6,7,8,9,10})</f>
        <v>3</v>
      </c>
      <c r="D841">
        <f t="shared" ca="1" si="78"/>
        <v>31300</v>
      </c>
      <c r="E841" t="str">
        <f ca="1">IF(B841="Oloitoktok A",IF(D841&lt;15000,LOOKUP(RAND(),{0,0.45,0.75,0.92},{"River","Rainwater","Borehole","Vendor"}),IF(D841&lt;30000,LOOKUP(RAND(),{0,0.35,0.65,0.85},{"River","Rainwater","Borehole","Vendor"}),LOOKUP(RAND(),{0,0.25,0.5,0.75},{"River","Rainwater","Borehole","Vendor"}))),IF(B841="Oloitoktok B",IF(D841&lt;15000,LOOKUP(RAND(),{0,0.5,0.78,0.94},{"River","Rainwater","Borehole","Vendor"}),IF(D841&lt;30000,LOOKUP(RAND(),{0,0.4,0.68,0.87},{"River","Rainwater","Borehole","Vendor"}),LOOKUP(RAND(),{0,0.28,0.55,0.78},{"River","Rainwater","Borehole","Vendor"}))),IF(B841="Kiserian",IF(D841&lt;15000,LOOKUP(RAND(),{0,0.35,0.65,0.9},{"River","Rainwater","Borehole","Vendor"}),IF(D841&lt;30000,LOOKUP(RAND(),{0,0.25,0.55,0.82},{"River","Rainwater","Borehole","Vendor"}),LOOKUP(RAND(),{0,0.15,0.45,0.72},{"River","Rainwater","Borehole","Vendor"}))),IF(D841&lt;15000,LOOKUP(RAND(),{0,0.4,0.7,0.92},{"River","Rainwater","Borehole","Vendor"}),IF(D841&lt;30000,LOOKUP(RAND(),{0,0.3,0.6,0.85},{"River","Rainwater","Borehole","Vendor"}),LOOKUP(RAND(),{0,0.2,0.5,0.75},{"River","Rainwater","Borehole","Vendor"}))))))</f>
        <v>Vendor</v>
      </c>
      <c r="F841">
        <f t="shared" ca="1" si="79"/>
        <v>31</v>
      </c>
      <c r="G841">
        <f t="shared" ca="1" si="80"/>
        <v>1.2</v>
      </c>
      <c r="H841">
        <f t="shared" ca="1" si="81"/>
        <v>600</v>
      </c>
      <c r="I841">
        <f t="shared" ca="1" si="82"/>
        <v>0.22976140527972655</v>
      </c>
      <c r="J841">
        <v>1</v>
      </c>
    </row>
    <row r="842" spans="1:10" x14ac:dyDescent="0.3">
      <c r="A842" t="str">
        <f t="shared" si="83"/>
        <v>HH841</v>
      </c>
      <c r="B842" t="str">
        <f ca="1">LOOKUP(RAND(),{0,0.28,0.55,0.78},{"Oloitoktok A","Oloitoktok B","Kiserian","Namanga"})</f>
        <v>Namanga</v>
      </c>
      <c r="C842">
        <f ca="1">LOOKUP(RAND(),{0,0.02,0.09,0.2,0.35,0.52,0.68,0.81,0.91,0.97},{1,2,3,4,5,6,7,8,9,10})</f>
        <v>6</v>
      </c>
      <c r="D842">
        <f t="shared" ca="1" si="78"/>
        <v>54200</v>
      </c>
      <c r="E842" t="str">
        <f ca="1">IF(B842="Oloitoktok A",IF(D842&lt;15000,LOOKUP(RAND(),{0,0.45,0.75,0.92},{"River","Rainwater","Borehole","Vendor"}),IF(D842&lt;30000,LOOKUP(RAND(),{0,0.35,0.65,0.85},{"River","Rainwater","Borehole","Vendor"}),LOOKUP(RAND(),{0,0.25,0.5,0.75},{"River","Rainwater","Borehole","Vendor"}))),IF(B842="Oloitoktok B",IF(D842&lt;15000,LOOKUP(RAND(),{0,0.5,0.78,0.94},{"River","Rainwater","Borehole","Vendor"}),IF(D842&lt;30000,LOOKUP(RAND(),{0,0.4,0.68,0.87},{"River","Rainwater","Borehole","Vendor"}),LOOKUP(RAND(),{0,0.28,0.55,0.78},{"River","Rainwater","Borehole","Vendor"}))),IF(B842="Kiserian",IF(D842&lt;15000,LOOKUP(RAND(),{0,0.35,0.65,0.9},{"River","Rainwater","Borehole","Vendor"}),IF(D842&lt;30000,LOOKUP(RAND(),{0,0.25,0.55,0.82},{"River","Rainwater","Borehole","Vendor"}),LOOKUP(RAND(),{0,0.15,0.45,0.72},{"River","Rainwater","Borehole","Vendor"}))),IF(D842&lt;15000,LOOKUP(RAND(),{0,0.4,0.7,0.92},{"River","Rainwater","Borehole","Vendor"}),IF(D842&lt;30000,LOOKUP(RAND(),{0,0.3,0.6,0.85},{"River","Rainwater","Borehole","Vendor"}),LOOKUP(RAND(),{0,0.2,0.5,0.75},{"River","Rainwater","Borehole","Vendor"}))))))</f>
        <v>River</v>
      </c>
      <c r="F842">
        <f t="shared" ca="1" si="79"/>
        <v>78</v>
      </c>
      <c r="G842">
        <f t="shared" ca="1" si="80"/>
        <v>10.8</v>
      </c>
      <c r="H842">
        <f t="shared" ca="1" si="81"/>
        <v>6600</v>
      </c>
      <c r="I842">
        <f t="shared" ca="1" si="82"/>
        <v>0.30622219951765539</v>
      </c>
      <c r="J842">
        <v>1</v>
      </c>
    </row>
    <row r="843" spans="1:10" x14ac:dyDescent="0.3">
      <c r="A843" t="str">
        <f t="shared" si="83"/>
        <v>HH842</v>
      </c>
      <c r="B843" t="str">
        <f ca="1">LOOKUP(RAND(),{0,0.28,0.55,0.78},{"Oloitoktok A","Oloitoktok B","Kiserian","Namanga"})</f>
        <v>Kiserian</v>
      </c>
      <c r="C843">
        <f ca="1">LOOKUP(RAND(),{0,0.02,0.09,0.2,0.35,0.52,0.68,0.81,0.91,0.97},{1,2,3,4,5,6,7,8,9,10})</f>
        <v>6</v>
      </c>
      <c r="D843">
        <f t="shared" ca="1" si="78"/>
        <v>63400</v>
      </c>
      <c r="E843" t="str">
        <f ca="1">IF(B843="Oloitoktok A",IF(D843&lt;15000,LOOKUP(RAND(),{0,0.45,0.75,0.92},{"River","Rainwater","Borehole","Vendor"}),IF(D843&lt;30000,LOOKUP(RAND(),{0,0.35,0.65,0.85},{"River","Rainwater","Borehole","Vendor"}),LOOKUP(RAND(),{0,0.25,0.5,0.75},{"River","Rainwater","Borehole","Vendor"}))),IF(B843="Oloitoktok B",IF(D843&lt;15000,LOOKUP(RAND(),{0,0.5,0.78,0.94},{"River","Rainwater","Borehole","Vendor"}),IF(D843&lt;30000,LOOKUP(RAND(),{0,0.4,0.68,0.87},{"River","Rainwater","Borehole","Vendor"}),LOOKUP(RAND(),{0,0.28,0.55,0.78},{"River","Rainwater","Borehole","Vendor"}))),IF(B843="Kiserian",IF(D843&lt;15000,LOOKUP(RAND(),{0,0.35,0.65,0.9},{"River","Rainwater","Borehole","Vendor"}),IF(D843&lt;30000,LOOKUP(RAND(),{0,0.25,0.55,0.82},{"River","Rainwater","Borehole","Vendor"}),LOOKUP(RAND(),{0,0.15,0.45,0.72},{"River","Rainwater","Borehole","Vendor"}))),IF(D843&lt;15000,LOOKUP(RAND(),{0,0.4,0.7,0.92},{"River","Rainwater","Borehole","Vendor"}),IF(D843&lt;30000,LOOKUP(RAND(),{0,0.3,0.6,0.85},{"River","Rainwater","Borehole","Vendor"}),LOOKUP(RAND(),{0,0.2,0.5,0.75},{"River","Rainwater","Borehole","Vendor"}))))))</f>
        <v>Vendor</v>
      </c>
      <c r="F843">
        <f t="shared" ca="1" si="79"/>
        <v>37</v>
      </c>
      <c r="G843">
        <f t="shared" ca="1" si="80"/>
        <v>8.8000000000000007</v>
      </c>
      <c r="H843">
        <f t="shared" ca="1" si="81"/>
        <v>6100</v>
      </c>
      <c r="I843">
        <f t="shared" ca="1" si="82"/>
        <v>0.92232816453103827</v>
      </c>
      <c r="J843">
        <v>1</v>
      </c>
    </row>
    <row r="844" spans="1:10" x14ac:dyDescent="0.3">
      <c r="A844" t="str">
        <f t="shared" si="83"/>
        <v>HH843</v>
      </c>
      <c r="B844" t="str">
        <f ca="1">LOOKUP(RAND(),{0,0.28,0.55,0.78},{"Oloitoktok A","Oloitoktok B","Kiserian","Namanga"})</f>
        <v>Namanga</v>
      </c>
      <c r="C844">
        <f ca="1">LOOKUP(RAND(),{0,0.02,0.09,0.2,0.35,0.52,0.68,0.81,0.91,0.97},{1,2,3,4,5,6,7,8,9,10})</f>
        <v>5</v>
      </c>
      <c r="D844">
        <f t="shared" ca="1" si="78"/>
        <v>40500</v>
      </c>
      <c r="E844" t="str">
        <f ca="1">IF(B844="Oloitoktok A",IF(D844&lt;15000,LOOKUP(RAND(),{0,0.45,0.75,0.92},{"River","Rainwater","Borehole","Vendor"}),IF(D844&lt;30000,LOOKUP(RAND(),{0,0.35,0.65,0.85},{"River","Rainwater","Borehole","Vendor"}),LOOKUP(RAND(),{0,0.25,0.5,0.75},{"River","Rainwater","Borehole","Vendor"}))),IF(B844="Oloitoktok B",IF(D844&lt;15000,LOOKUP(RAND(),{0,0.5,0.78,0.94},{"River","Rainwater","Borehole","Vendor"}),IF(D844&lt;30000,LOOKUP(RAND(),{0,0.4,0.68,0.87},{"River","Rainwater","Borehole","Vendor"}),LOOKUP(RAND(),{0,0.28,0.55,0.78},{"River","Rainwater","Borehole","Vendor"}))),IF(B844="Kiserian",IF(D844&lt;15000,LOOKUP(RAND(),{0,0.35,0.65,0.9},{"River","Rainwater","Borehole","Vendor"}),IF(D844&lt;30000,LOOKUP(RAND(),{0,0.25,0.55,0.82},{"River","Rainwater","Borehole","Vendor"}),LOOKUP(RAND(),{0,0.15,0.45,0.72},{"River","Rainwater","Borehole","Vendor"}))),IF(D844&lt;15000,LOOKUP(RAND(),{0,0.4,0.7,0.92},{"River","Rainwater","Borehole","Vendor"}),IF(D844&lt;30000,LOOKUP(RAND(),{0,0.3,0.6,0.85},{"River","Rainwater","Borehole","Vendor"}),LOOKUP(RAND(),{0,0.2,0.5,0.75},{"River","Rainwater","Borehole","Vendor"}))))))</f>
        <v>Rainwater</v>
      </c>
      <c r="F844">
        <f t="shared" ca="1" si="79"/>
        <v>24</v>
      </c>
      <c r="G844">
        <f t="shared" ca="1" si="80"/>
        <v>5.9</v>
      </c>
      <c r="H844">
        <f t="shared" ca="1" si="81"/>
        <v>6300</v>
      </c>
      <c r="I844">
        <f t="shared" ca="1" si="82"/>
        <v>0.43384637205573662</v>
      </c>
      <c r="J844">
        <v>1</v>
      </c>
    </row>
    <row r="845" spans="1:10" x14ac:dyDescent="0.3">
      <c r="A845" t="str">
        <f t="shared" si="83"/>
        <v>HH844</v>
      </c>
      <c r="B845" t="str">
        <f ca="1">LOOKUP(RAND(),{0,0.28,0.55,0.78},{"Oloitoktok A","Oloitoktok B","Kiserian","Namanga"})</f>
        <v>Oloitoktok A</v>
      </c>
      <c r="C845">
        <f ca="1">LOOKUP(RAND(),{0,0.02,0.09,0.2,0.35,0.52,0.68,0.81,0.91,0.97},{1,2,3,4,5,6,7,8,9,10})</f>
        <v>8</v>
      </c>
      <c r="D845">
        <f t="shared" ca="1" si="78"/>
        <v>26300</v>
      </c>
      <c r="E845" t="str">
        <f ca="1">IF(B845="Oloitoktok A",IF(D845&lt;15000,LOOKUP(RAND(),{0,0.45,0.75,0.92},{"River","Rainwater","Borehole","Vendor"}),IF(D845&lt;30000,LOOKUP(RAND(),{0,0.35,0.65,0.85},{"River","Rainwater","Borehole","Vendor"}),LOOKUP(RAND(),{0,0.25,0.5,0.75},{"River","Rainwater","Borehole","Vendor"}))),IF(B845="Oloitoktok B",IF(D845&lt;15000,LOOKUP(RAND(),{0,0.5,0.78,0.94},{"River","Rainwater","Borehole","Vendor"}),IF(D845&lt;30000,LOOKUP(RAND(),{0,0.4,0.68,0.87},{"River","Rainwater","Borehole","Vendor"}),LOOKUP(RAND(),{0,0.28,0.55,0.78},{"River","Rainwater","Borehole","Vendor"}))),IF(B845="Kiserian",IF(D845&lt;15000,LOOKUP(RAND(),{0,0.35,0.65,0.9},{"River","Rainwater","Borehole","Vendor"}),IF(D845&lt;30000,LOOKUP(RAND(),{0,0.25,0.55,0.82},{"River","Rainwater","Borehole","Vendor"}),LOOKUP(RAND(),{0,0.15,0.45,0.72},{"River","Rainwater","Borehole","Vendor"}))),IF(D845&lt;15000,LOOKUP(RAND(),{0,0.4,0.7,0.92},{"River","Rainwater","Borehole","Vendor"}),IF(D845&lt;30000,LOOKUP(RAND(),{0,0.3,0.6,0.85},{"River","Rainwater","Borehole","Vendor"}),LOOKUP(RAND(),{0,0.2,0.5,0.75},{"River","Rainwater","Borehole","Vendor"}))))))</f>
        <v>River</v>
      </c>
      <c r="F845">
        <f t="shared" ca="1" si="79"/>
        <v>94</v>
      </c>
      <c r="G845">
        <f t="shared" ca="1" si="80"/>
        <v>4.3</v>
      </c>
      <c r="H845">
        <f t="shared" ca="1" si="81"/>
        <v>1400</v>
      </c>
      <c r="I845">
        <f t="shared" ca="1" si="82"/>
        <v>0.33987672550634274</v>
      </c>
      <c r="J845">
        <v>1</v>
      </c>
    </row>
    <row r="846" spans="1:10" x14ac:dyDescent="0.3">
      <c r="A846" t="str">
        <f t="shared" si="83"/>
        <v>HH845</v>
      </c>
      <c r="B846" t="str">
        <f ca="1">LOOKUP(RAND(),{0,0.28,0.55,0.78},{"Oloitoktok A","Oloitoktok B","Kiserian","Namanga"})</f>
        <v>Kiserian</v>
      </c>
      <c r="C846">
        <f ca="1">LOOKUP(RAND(),{0,0.02,0.09,0.2,0.35,0.52,0.68,0.81,0.91,0.97},{1,2,3,4,5,6,7,8,9,10})</f>
        <v>5</v>
      </c>
      <c r="D846">
        <f t="shared" ca="1" si="78"/>
        <v>17300</v>
      </c>
      <c r="E846" t="str">
        <f ca="1">IF(B846="Oloitoktok A",IF(D846&lt;15000,LOOKUP(RAND(),{0,0.45,0.75,0.92},{"River","Rainwater","Borehole","Vendor"}),IF(D846&lt;30000,LOOKUP(RAND(),{0,0.35,0.65,0.85},{"River","Rainwater","Borehole","Vendor"}),LOOKUP(RAND(),{0,0.25,0.5,0.75},{"River","Rainwater","Borehole","Vendor"}))),IF(B846="Oloitoktok B",IF(D846&lt;15000,LOOKUP(RAND(),{0,0.5,0.78,0.94},{"River","Rainwater","Borehole","Vendor"}),IF(D846&lt;30000,LOOKUP(RAND(),{0,0.4,0.68,0.87},{"River","Rainwater","Borehole","Vendor"}),LOOKUP(RAND(),{0,0.28,0.55,0.78},{"River","Rainwater","Borehole","Vendor"}))),IF(B846="Kiserian",IF(D846&lt;15000,LOOKUP(RAND(),{0,0.35,0.65,0.9},{"River","Rainwater","Borehole","Vendor"}),IF(D846&lt;30000,LOOKUP(RAND(),{0,0.25,0.55,0.82},{"River","Rainwater","Borehole","Vendor"}),LOOKUP(RAND(),{0,0.15,0.45,0.72},{"River","Rainwater","Borehole","Vendor"}))),IF(D846&lt;15000,LOOKUP(RAND(),{0,0.4,0.7,0.92},{"River","Rainwater","Borehole","Vendor"}),IF(D846&lt;30000,LOOKUP(RAND(),{0,0.3,0.6,0.85},{"River","Rainwater","Borehole","Vendor"}),LOOKUP(RAND(),{0,0.2,0.5,0.75},{"River","Rainwater","Borehole","Vendor"}))))))</f>
        <v>Borehole</v>
      </c>
      <c r="F846">
        <f t="shared" ca="1" si="79"/>
        <v>37</v>
      </c>
      <c r="G846">
        <f t="shared" ca="1" si="80"/>
        <v>4.0999999999999996</v>
      </c>
      <c r="H846">
        <f t="shared" ca="1" si="81"/>
        <v>3500</v>
      </c>
      <c r="I846">
        <f t="shared" ca="1" si="82"/>
        <v>9.9171141131439655E-2</v>
      </c>
      <c r="J846">
        <v>1</v>
      </c>
    </row>
    <row r="847" spans="1:10" x14ac:dyDescent="0.3">
      <c r="A847" t="str">
        <f t="shared" si="83"/>
        <v>HH846</v>
      </c>
      <c r="B847" t="str">
        <f ca="1">LOOKUP(RAND(),{0,0.28,0.55,0.78},{"Oloitoktok A","Oloitoktok B","Kiserian","Namanga"})</f>
        <v>Oloitoktok B</v>
      </c>
      <c r="C847">
        <f ca="1">LOOKUP(RAND(),{0,0.02,0.09,0.2,0.35,0.52,0.68,0.81,0.91,0.97},{1,2,3,4,5,6,7,8,9,10})</f>
        <v>3</v>
      </c>
      <c r="D847">
        <f t="shared" ca="1" si="78"/>
        <v>41300</v>
      </c>
      <c r="E847" t="str">
        <f ca="1">IF(B847="Oloitoktok A",IF(D847&lt;15000,LOOKUP(RAND(),{0,0.45,0.75,0.92},{"River","Rainwater","Borehole","Vendor"}),IF(D847&lt;30000,LOOKUP(RAND(),{0,0.35,0.65,0.85},{"River","Rainwater","Borehole","Vendor"}),LOOKUP(RAND(),{0,0.25,0.5,0.75},{"River","Rainwater","Borehole","Vendor"}))),IF(B847="Oloitoktok B",IF(D847&lt;15000,LOOKUP(RAND(),{0,0.5,0.78,0.94},{"River","Rainwater","Borehole","Vendor"}),IF(D847&lt;30000,LOOKUP(RAND(),{0,0.4,0.68,0.87},{"River","Rainwater","Borehole","Vendor"}),LOOKUP(RAND(),{0,0.28,0.55,0.78},{"River","Rainwater","Borehole","Vendor"}))),IF(B847="Kiserian",IF(D847&lt;15000,LOOKUP(RAND(),{0,0.35,0.65,0.9},{"River","Rainwater","Borehole","Vendor"}),IF(D847&lt;30000,LOOKUP(RAND(),{0,0.25,0.55,0.82},{"River","Rainwater","Borehole","Vendor"}),LOOKUP(RAND(),{0,0.15,0.45,0.72},{"River","Rainwater","Borehole","Vendor"}))),IF(D847&lt;15000,LOOKUP(RAND(),{0,0.4,0.7,0.92},{"River","Rainwater","Borehole","Vendor"}),IF(D847&lt;30000,LOOKUP(RAND(),{0,0.3,0.6,0.85},{"River","Rainwater","Borehole","Vendor"}),LOOKUP(RAND(),{0,0.2,0.5,0.75},{"River","Rainwater","Borehole","Vendor"}))))))</f>
        <v>Vendor</v>
      </c>
      <c r="F847">
        <f t="shared" ca="1" si="79"/>
        <v>52</v>
      </c>
      <c r="G847">
        <f t="shared" ca="1" si="80"/>
        <v>11.6</v>
      </c>
      <c r="H847">
        <f t="shared" ca="1" si="81"/>
        <v>3800</v>
      </c>
      <c r="I847">
        <f t="shared" ca="1" si="82"/>
        <v>0.46895331254677297</v>
      </c>
      <c r="J847">
        <v>1</v>
      </c>
    </row>
    <row r="848" spans="1:10" x14ac:dyDescent="0.3">
      <c r="A848" t="str">
        <f t="shared" si="83"/>
        <v>HH847</v>
      </c>
      <c r="B848" t="str">
        <f ca="1">LOOKUP(RAND(),{0,0.28,0.55,0.78},{"Oloitoktok A","Oloitoktok B","Kiserian","Namanga"})</f>
        <v>Kiserian</v>
      </c>
      <c r="C848">
        <f ca="1">LOOKUP(RAND(),{0,0.02,0.09,0.2,0.35,0.52,0.68,0.81,0.91,0.97},{1,2,3,4,5,6,7,8,9,10})</f>
        <v>2</v>
      </c>
      <c r="D848">
        <f t="shared" ca="1" si="78"/>
        <v>12300</v>
      </c>
      <c r="E848" t="str">
        <f ca="1">IF(B848="Oloitoktok A",IF(D848&lt;15000,LOOKUP(RAND(),{0,0.45,0.75,0.92},{"River","Rainwater","Borehole","Vendor"}),IF(D848&lt;30000,LOOKUP(RAND(),{0,0.35,0.65,0.85},{"River","Rainwater","Borehole","Vendor"}),LOOKUP(RAND(),{0,0.25,0.5,0.75},{"River","Rainwater","Borehole","Vendor"}))),IF(B848="Oloitoktok B",IF(D848&lt;15000,LOOKUP(RAND(),{0,0.5,0.78,0.94},{"River","Rainwater","Borehole","Vendor"}),IF(D848&lt;30000,LOOKUP(RAND(),{0,0.4,0.68,0.87},{"River","Rainwater","Borehole","Vendor"}),LOOKUP(RAND(),{0,0.28,0.55,0.78},{"River","Rainwater","Borehole","Vendor"}))),IF(B848="Kiserian",IF(D848&lt;15000,LOOKUP(RAND(),{0,0.35,0.65,0.9},{"River","Rainwater","Borehole","Vendor"}),IF(D848&lt;30000,LOOKUP(RAND(),{0,0.25,0.55,0.82},{"River","Rainwater","Borehole","Vendor"}),LOOKUP(RAND(),{0,0.15,0.45,0.72},{"River","Rainwater","Borehole","Vendor"}))),IF(D848&lt;15000,LOOKUP(RAND(),{0,0.4,0.7,0.92},{"River","Rainwater","Borehole","Vendor"}),IF(D848&lt;30000,LOOKUP(RAND(),{0,0.3,0.6,0.85},{"River","Rainwater","Borehole","Vendor"}),LOOKUP(RAND(),{0,0.2,0.5,0.75},{"River","Rainwater","Borehole","Vendor"}))))))</f>
        <v>River</v>
      </c>
      <c r="F848">
        <f t="shared" ca="1" si="79"/>
        <v>56</v>
      </c>
      <c r="G848">
        <f t="shared" ca="1" si="80"/>
        <v>0.5</v>
      </c>
      <c r="H848">
        <f t="shared" ca="1" si="81"/>
        <v>8200</v>
      </c>
      <c r="I848">
        <f t="shared" ca="1" si="82"/>
        <v>0.62779794373260789</v>
      </c>
      <c r="J848">
        <v>1</v>
      </c>
    </row>
    <row r="849" spans="1:10" x14ac:dyDescent="0.3">
      <c r="A849" t="str">
        <f t="shared" si="83"/>
        <v>HH848</v>
      </c>
      <c r="B849" t="str">
        <f ca="1">LOOKUP(RAND(),{0,0.28,0.55,0.78},{"Oloitoktok A","Oloitoktok B","Kiserian","Namanga"})</f>
        <v>Kiserian</v>
      </c>
      <c r="C849">
        <f ca="1">LOOKUP(RAND(),{0,0.02,0.09,0.2,0.35,0.52,0.68,0.81,0.91,0.97},{1,2,3,4,5,6,7,8,9,10})</f>
        <v>8</v>
      </c>
      <c r="D849">
        <f t="shared" ca="1" si="78"/>
        <v>72800</v>
      </c>
      <c r="E849" t="str">
        <f ca="1">IF(B849="Oloitoktok A",IF(D849&lt;15000,LOOKUP(RAND(),{0,0.45,0.75,0.92},{"River","Rainwater","Borehole","Vendor"}),IF(D849&lt;30000,LOOKUP(RAND(),{0,0.35,0.65,0.85},{"River","Rainwater","Borehole","Vendor"}),LOOKUP(RAND(),{0,0.25,0.5,0.75},{"River","Rainwater","Borehole","Vendor"}))),IF(B849="Oloitoktok B",IF(D849&lt;15000,LOOKUP(RAND(),{0,0.5,0.78,0.94},{"River","Rainwater","Borehole","Vendor"}),IF(D849&lt;30000,LOOKUP(RAND(),{0,0.4,0.68,0.87},{"River","Rainwater","Borehole","Vendor"}),LOOKUP(RAND(),{0,0.28,0.55,0.78},{"River","Rainwater","Borehole","Vendor"}))),IF(B849="Kiserian",IF(D849&lt;15000,LOOKUP(RAND(),{0,0.35,0.65,0.9},{"River","Rainwater","Borehole","Vendor"}),IF(D849&lt;30000,LOOKUP(RAND(),{0,0.25,0.55,0.82},{"River","Rainwater","Borehole","Vendor"}),LOOKUP(RAND(),{0,0.15,0.45,0.72},{"River","Rainwater","Borehole","Vendor"}))),IF(D849&lt;15000,LOOKUP(RAND(),{0,0.4,0.7,0.92},{"River","Rainwater","Borehole","Vendor"}),IF(D849&lt;30000,LOOKUP(RAND(),{0,0.3,0.6,0.85},{"River","Rainwater","Borehole","Vendor"}),LOOKUP(RAND(),{0,0.2,0.5,0.75},{"River","Rainwater","Borehole","Vendor"}))))))</f>
        <v>Borehole</v>
      </c>
      <c r="F849">
        <f t="shared" ca="1" si="79"/>
        <v>26</v>
      </c>
      <c r="G849">
        <f t="shared" ca="1" si="80"/>
        <v>8.4</v>
      </c>
      <c r="H849">
        <f t="shared" ca="1" si="81"/>
        <v>7100</v>
      </c>
      <c r="I849">
        <f t="shared" ca="1" si="82"/>
        <v>0.41701546322724437</v>
      </c>
      <c r="J849">
        <v>1</v>
      </c>
    </row>
    <row r="850" spans="1:10" x14ac:dyDescent="0.3">
      <c r="A850" t="str">
        <f t="shared" si="83"/>
        <v>HH849</v>
      </c>
      <c r="B850" t="str">
        <f ca="1">LOOKUP(RAND(),{0,0.28,0.55,0.78},{"Oloitoktok A","Oloitoktok B","Kiserian","Namanga"})</f>
        <v>Oloitoktok A</v>
      </c>
      <c r="C850">
        <f ca="1">LOOKUP(RAND(),{0,0.02,0.09,0.2,0.35,0.52,0.68,0.81,0.91,0.97},{1,2,3,4,5,6,7,8,9,10})</f>
        <v>5</v>
      </c>
      <c r="D850">
        <f t="shared" ca="1" si="78"/>
        <v>38800</v>
      </c>
      <c r="E850" t="str">
        <f ca="1">IF(B850="Oloitoktok A",IF(D850&lt;15000,LOOKUP(RAND(),{0,0.45,0.75,0.92},{"River","Rainwater","Borehole","Vendor"}),IF(D850&lt;30000,LOOKUP(RAND(),{0,0.35,0.65,0.85},{"River","Rainwater","Borehole","Vendor"}),LOOKUP(RAND(),{0,0.25,0.5,0.75},{"River","Rainwater","Borehole","Vendor"}))),IF(B850="Oloitoktok B",IF(D850&lt;15000,LOOKUP(RAND(),{0,0.5,0.78,0.94},{"River","Rainwater","Borehole","Vendor"}),IF(D850&lt;30000,LOOKUP(RAND(),{0,0.4,0.68,0.87},{"River","Rainwater","Borehole","Vendor"}),LOOKUP(RAND(),{0,0.28,0.55,0.78},{"River","Rainwater","Borehole","Vendor"}))),IF(B850="Kiserian",IF(D850&lt;15000,LOOKUP(RAND(),{0,0.35,0.65,0.9},{"River","Rainwater","Borehole","Vendor"}),IF(D850&lt;30000,LOOKUP(RAND(),{0,0.25,0.55,0.82},{"River","Rainwater","Borehole","Vendor"}),LOOKUP(RAND(),{0,0.15,0.45,0.72},{"River","Rainwater","Borehole","Vendor"}))),IF(D850&lt;15000,LOOKUP(RAND(),{0,0.4,0.7,0.92},{"River","Rainwater","Borehole","Vendor"}),IF(D850&lt;30000,LOOKUP(RAND(),{0,0.3,0.6,0.85},{"River","Rainwater","Borehole","Vendor"}),LOOKUP(RAND(),{0,0.2,0.5,0.75},{"River","Rainwater","Borehole","Vendor"}))))))</f>
        <v>Vendor</v>
      </c>
      <c r="F850">
        <f t="shared" ca="1" si="79"/>
        <v>39</v>
      </c>
      <c r="G850">
        <f t="shared" ca="1" si="80"/>
        <v>12.5</v>
      </c>
      <c r="H850">
        <f t="shared" ca="1" si="81"/>
        <v>5300</v>
      </c>
      <c r="I850">
        <f t="shared" ca="1" si="82"/>
        <v>0.64433550788680505</v>
      </c>
      <c r="J850">
        <v>1</v>
      </c>
    </row>
    <row r="851" spans="1:10" x14ac:dyDescent="0.3">
      <c r="A851" t="str">
        <f t="shared" si="83"/>
        <v>HH850</v>
      </c>
      <c r="B851" t="str">
        <f ca="1">LOOKUP(RAND(),{0,0.28,0.55,0.78},{"Oloitoktok A","Oloitoktok B","Kiserian","Namanga"})</f>
        <v>Kiserian</v>
      </c>
      <c r="C851">
        <f ca="1">LOOKUP(RAND(),{0,0.02,0.09,0.2,0.35,0.52,0.68,0.81,0.91,0.97},{1,2,3,4,5,6,7,8,9,10})</f>
        <v>6</v>
      </c>
      <c r="D851">
        <f t="shared" ca="1" si="78"/>
        <v>20300</v>
      </c>
      <c r="E851" t="str">
        <f ca="1">IF(B851="Oloitoktok A",IF(D851&lt;15000,LOOKUP(RAND(),{0,0.45,0.75,0.92},{"River","Rainwater","Borehole","Vendor"}),IF(D851&lt;30000,LOOKUP(RAND(),{0,0.35,0.65,0.85},{"River","Rainwater","Borehole","Vendor"}),LOOKUP(RAND(),{0,0.25,0.5,0.75},{"River","Rainwater","Borehole","Vendor"}))),IF(B851="Oloitoktok B",IF(D851&lt;15000,LOOKUP(RAND(),{0,0.5,0.78,0.94},{"River","Rainwater","Borehole","Vendor"}),IF(D851&lt;30000,LOOKUP(RAND(),{0,0.4,0.68,0.87},{"River","Rainwater","Borehole","Vendor"}),LOOKUP(RAND(),{0,0.28,0.55,0.78},{"River","Rainwater","Borehole","Vendor"}))),IF(B851="Kiserian",IF(D851&lt;15000,LOOKUP(RAND(),{0,0.35,0.65,0.9},{"River","Rainwater","Borehole","Vendor"}),IF(D851&lt;30000,LOOKUP(RAND(),{0,0.25,0.55,0.82},{"River","Rainwater","Borehole","Vendor"}),LOOKUP(RAND(),{0,0.15,0.45,0.72},{"River","Rainwater","Borehole","Vendor"}))),IF(D851&lt;15000,LOOKUP(RAND(),{0,0.4,0.7,0.92},{"River","Rainwater","Borehole","Vendor"}),IF(D851&lt;30000,LOOKUP(RAND(),{0,0.3,0.6,0.85},{"River","Rainwater","Borehole","Vendor"}),LOOKUP(RAND(),{0,0.2,0.5,0.75},{"River","Rainwater","Borehole","Vendor"}))))))</f>
        <v>River</v>
      </c>
      <c r="F851">
        <f t="shared" ca="1" si="79"/>
        <v>84</v>
      </c>
      <c r="G851">
        <f t="shared" ca="1" si="80"/>
        <v>7.1</v>
      </c>
      <c r="H851">
        <f t="shared" ca="1" si="81"/>
        <v>11100</v>
      </c>
      <c r="I851">
        <f t="shared" ca="1" si="82"/>
        <v>0.7859538078259698</v>
      </c>
      <c r="J851">
        <v>1</v>
      </c>
    </row>
    <row r="852" spans="1:10" x14ac:dyDescent="0.3">
      <c r="A852" t="str">
        <f t="shared" si="83"/>
        <v>HH851</v>
      </c>
      <c r="B852" t="str">
        <f ca="1">LOOKUP(RAND(),{0,0.28,0.55,0.78},{"Oloitoktok A","Oloitoktok B","Kiserian","Namanga"})</f>
        <v>Oloitoktok B</v>
      </c>
      <c r="C852">
        <f ca="1">LOOKUP(RAND(),{0,0.02,0.09,0.2,0.35,0.52,0.68,0.81,0.91,0.97},{1,2,3,4,5,6,7,8,9,10})</f>
        <v>7</v>
      </c>
      <c r="D852">
        <f t="shared" ca="1" si="78"/>
        <v>31100</v>
      </c>
      <c r="E852" t="str">
        <f ca="1">IF(B852="Oloitoktok A",IF(D852&lt;15000,LOOKUP(RAND(),{0,0.45,0.75,0.92},{"River","Rainwater","Borehole","Vendor"}),IF(D852&lt;30000,LOOKUP(RAND(),{0,0.35,0.65,0.85},{"River","Rainwater","Borehole","Vendor"}),LOOKUP(RAND(),{0,0.25,0.5,0.75},{"River","Rainwater","Borehole","Vendor"}))),IF(B852="Oloitoktok B",IF(D852&lt;15000,LOOKUP(RAND(),{0,0.5,0.78,0.94},{"River","Rainwater","Borehole","Vendor"}),IF(D852&lt;30000,LOOKUP(RAND(),{0,0.4,0.68,0.87},{"River","Rainwater","Borehole","Vendor"}),LOOKUP(RAND(),{0,0.28,0.55,0.78},{"River","Rainwater","Borehole","Vendor"}))),IF(B852="Kiserian",IF(D852&lt;15000,LOOKUP(RAND(),{0,0.35,0.65,0.9},{"River","Rainwater","Borehole","Vendor"}),IF(D852&lt;30000,LOOKUP(RAND(),{0,0.25,0.55,0.82},{"River","Rainwater","Borehole","Vendor"}),LOOKUP(RAND(),{0,0.15,0.45,0.72},{"River","Rainwater","Borehole","Vendor"}))),IF(D852&lt;15000,LOOKUP(RAND(),{0,0.4,0.7,0.92},{"River","Rainwater","Borehole","Vendor"}),IF(D852&lt;30000,LOOKUP(RAND(),{0,0.3,0.6,0.85},{"River","Rainwater","Borehole","Vendor"}),LOOKUP(RAND(),{0,0.2,0.5,0.75},{"River","Rainwater","Borehole","Vendor"}))))))</f>
        <v>Rainwater</v>
      </c>
      <c r="F852">
        <f t="shared" ca="1" si="79"/>
        <v>21</v>
      </c>
      <c r="G852">
        <f t="shared" ca="1" si="80"/>
        <v>4.8</v>
      </c>
      <c r="H852">
        <f t="shared" ca="1" si="81"/>
        <v>10700</v>
      </c>
      <c r="I852">
        <f t="shared" ca="1" si="82"/>
        <v>2.3977764451603489E-2</v>
      </c>
      <c r="J852">
        <v>1</v>
      </c>
    </row>
    <row r="853" spans="1:10" x14ac:dyDescent="0.3">
      <c r="A853" t="str">
        <f t="shared" si="83"/>
        <v>HH852</v>
      </c>
      <c r="B853" t="str">
        <f ca="1">LOOKUP(RAND(),{0,0.28,0.55,0.78},{"Oloitoktok A","Oloitoktok B","Kiserian","Namanga"})</f>
        <v>Oloitoktok A</v>
      </c>
      <c r="C853">
        <f ca="1">LOOKUP(RAND(),{0,0.02,0.09,0.2,0.35,0.52,0.68,0.81,0.91,0.97},{1,2,3,4,5,6,7,8,9,10})</f>
        <v>1</v>
      </c>
      <c r="D853">
        <f t="shared" ca="1" si="78"/>
        <v>29200</v>
      </c>
      <c r="E853" t="str">
        <f ca="1">IF(B853="Oloitoktok A",IF(D853&lt;15000,LOOKUP(RAND(),{0,0.45,0.75,0.92},{"River","Rainwater","Borehole","Vendor"}),IF(D853&lt;30000,LOOKUP(RAND(),{0,0.35,0.65,0.85},{"River","Rainwater","Borehole","Vendor"}),LOOKUP(RAND(),{0,0.25,0.5,0.75},{"River","Rainwater","Borehole","Vendor"}))),IF(B853="Oloitoktok B",IF(D853&lt;15000,LOOKUP(RAND(),{0,0.5,0.78,0.94},{"River","Rainwater","Borehole","Vendor"}),IF(D853&lt;30000,LOOKUP(RAND(),{0,0.4,0.68,0.87},{"River","Rainwater","Borehole","Vendor"}),LOOKUP(RAND(),{0,0.28,0.55,0.78},{"River","Rainwater","Borehole","Vendor"}))),IF(B853="Kiserian",IF(D853&lt;15000,LOOKUP(RAND(),{0,0.35,0.65,0.9},{"River","Rainwater","Borehole","Vendor"}),IF(D853&lt;30000,LOOKUP(RAND(),{0,0.25,0.55,0.82},{"River","Rainwater","Borehole","Vendor"}),LOOKUP(RAND(),{0,0.15,0.45,0.72},{"River","Rainwater","Borehole","Vendor"}))),IF(D853&lt;15000,LOOKUP(RAND(),{0,0.4,0.7,0.92},{"River","Rainwater","Borehole","Vendor"}),IF(D853&lt;30000,LOOKUP(RAND(),{0,0.3,0.6,0.85},{"River","Rainwater","Borehole","Vendor"}),LOOKUP(RAND(),{0,0.2,0.5,0.75},{"River","Rainwater","Borehole","Vendor"}))))))</f>
        <v>River</v>
      </c>
      <c r="F853">
        <f t="shared" ca="1" si="79"/>
        <v>88</v>
      </c>
      <c r="G853">
        <f t="shared" ca="1" si="80"/>
        <v>7.7</v>
      </c>
      <c r="H853">
        <f t="shared" ca="1" si="81"/>
        <v>3800</v>
      </c>
      <c r="I853">
        <f t="shared" ca="1" si="82"/>
        <v>0.61652422629907166</v>
      </c>
      <c r="J853">
        <v>1</v>
      </c>
    </row>
    <row r="854" spans="1:10" x14ac:dyDescent="0.3">
      <c r="A854" t="str">
        <f t="shared" si="83"/>
        <v>HH853</v>
      </c>
      <c r="B854" t="str">
        <f ca="1">LOOKUP(RAND(),{0,0.28,0.55,0.78},{"Oloitoktok A","Oloitoktok B","Kiserian","Namanga"})</f>
        <v>Namanga</v>
      </c>
      <c r="C854">
        <f ca="1">LOOKUP(RAND(),{0,0.02,0.09,0.2,0.35,0.52,0.68,0.81,0.91,0.97},{1,2,3,4,5,6,7,8,9,10})</f>
        <v>4</v>
      </c>
      <c r="D854">
        <f t="shared" ca="1" si="78"/>
        <v>24300</v>
      </c>
      <c r="E854" t="str">
        <f ca="1">IF(B854="Oloitoktok A",IF(D854&lt;15000,LOOKUP(RAND(),{0,0.45,0.75,0.92},{"River","Rainwater","Borehole","Vendor"}),IF(D854&lt;30000,LOOKUP(RAND(),{0,0.35,0.65,0.85},{"River","Rainwater","Borehole","Vendor"}),LOOKUP(RAND(),{0,0.25,0.5,0.75},{"River","Rainwater","Borehole","Vendor"}))),IF(B854="Oloitoktok B",IF(D854&lt;15000,LOOKUP(RAND(),{0,0.5,0.78,0.94},{"River","Rainwater","Borehole","Vendor"}),IF(D854&lt;30000,LOOKUP(RAND(),{0,0.4,0.68,0.87},{"River","Rainwater","Borehole","Vendor"}),LOOKUP(RAND(),{0,0.28,0.55,0.78},{"River","Rainwater","Borehole","Vendor"}))),IF(B854="Kiserian",IF(D854&lt;15000,LOOKUP(RAND(),{0,0.35,0.65,0.9},{"River","Rainwater","Borehole","Vendor"}),IF(D854&lt;30000,LOOKUP(RAND(),{0,0.25,0.55,0.82},{"River","Rainwater","Borehole","Vendor"}),LOOKUP(RAND(),{0,0.15,0.45,0.72},{"River","Rainwater","Borehole","Vendor"}))),IF(D854&lt;15000,LOOKUP(RAND(),{0,0.4,0.7,0.92},{"River","Rainwater","Borehole","Vendor"}),IF(D854&lt;30000,LOOKUP(RAND(),{0,0.3,0.6,0.85},{"River","Rainwater","Borehole","Vendor"}),LOOKUP(RAND(),{0,0.2,0.5,0.75},{"River","Rainwater","Borehole","Vendor"}))))))</f>
        <v>River</v>
      </c>
      <c r="F854">
        <f t="shared" ca="1" si="79"/>
        <v>109</v>
      </c>
      <c r="G854">
        <f t="shared" ca="1" si="80"/>
        <v>0.8</v>
      </c>
      <c r="H854">
        <f t="shared" ca="1" si="81"/>
        <v>5800</v>
      </c>
      <c r="I854">
        <f t="shared" ca="1" si="82"/>
        <v>0.25464885556654793</v>
      </c>
      <c r="J854">
        <v>1</v>
      </c>
    </row>
    <row r="855" spans="1:10" x14ac:dyDescent="0.3">
      <c r="A855" t="str">
        <f t="shared" si="83"/>
        <v>HH854</v>
      </c>
      <c r="B855" t="str">
        <f ca="1">LOOKUP(RAND(),{0,0.28,0.55,0.78},{"Oloitoktok A","Oloitoktok B","Kiserian","Namanga"})</f>
        <v>Oloitoktok A</v>
      </c>
      <c r="C855">
        <f ca="1">LOOKUP(RAND(),{0,0.02,0.09,0.2,0.35,0.52,0.68,0.81,0.91,0.97},{1,2,3,4,5,6,7,8,9,10})</f>
        <v>5</v>
      </c>
      <c r="D855">
        <f t="shared" ca="1" si="78"/>
        <v>81300</v>
      </c>
      <c r="E855" t="str">
        <f ca="1">IF(B855="Oloitoktok A",IF(D855&lt;15000,LOOKUP(RAND(),{0,0.45,0.75,0.92},{"River","Rainwater","Borehole","Vendor"}),IF(D855&lt;30000,LOOKUP(RAND(),{0,0.35,0.65,0.85},{"River","Rainwater","Borehole","Vendor"}),LOOKUP(RAND(),{0,0.25,0.5,0.75},{"River","Rainwater","Borehole","Vendor"}))),IF(B855="Oloitoktok B",IF(D855&lt;15000,LOOKUP(RAND(),{0,0.5,0.78,0.94},{"River","Rainwater","Borehole","Vendor"}),IF(D855&lt;30000,LOOKUP(RAND(),{0,0.4,0.68,0.87},{"River","Rainwater","Borehole","Vendor"}),LOOKUP(RAND(),{0,0.28,0.55,0.78},{"River","Rainwater","Borehole","Vendor"}))),IF(B855="Kiserian",IF(D855&lt;15000,LOOKUP(RAND(),{0,0.35,0.65,0.9},{"River","Rainwater","Borehole","Vendor"}),IF(D855&lt;30000,LOOKUP(RAND(),{0,0.25,0.55,0.82},{"River","Rainwater","Borehole","Vendor"}),LOOKUP(RAND(),{0,0.15,0.45,0.72},{"River","Rainwater","Borehole","Vendor"}))),IF(D855&lt;15000,LOOKUP(RAND(),{0,0.4,0.7,0.92},{"River","Rainwater","Borehole","Vendor"}),IF(D855&lt;30000,LOOKUP(RAND(),{0,0.3,0.6,0.85},{"River","Rainwater","Borehole","Vendor"}),LOOKUP(RAND(),{0,0.2,0.5,0.75},{"River","Rainwater","Borehole","Vendor"}))))))</f>
        <v>Rainwater</v>
      </c>
      <c r="F855">
        <f t="shared" ca="1" si="79"/>
        <v>63</v>
      </c>
      <c r="G855">
        <f t="shared" ca="1" si="80"/>
        <v>11.3</v>
      </c>
      <c r="H855">
        <f t="shared" ca="1" si="81"/>
        <v>18300</v>
      </c>
      <c r="I855">
        <f t="shared" ca="1" si="82"/>
        <v>0.72942951721576466</v>
      </c>
      <c r="J855">
        <v>1</v>
      </c>
    </row>
    <row r="856" spans="1:10" x14ac:dyDescent="0.3">
      <c r="A856" t="str">
        <f t="shared" si="83"/>
        <v>HH855</v>
      </c>
      <c r="B856" t="str">
        <f ca="1">LOOKUP(RAND(),{0,0.28,0.55,0.78},{"Oloitoktok A","Oloitoktok B","Kiserian","Namanga"})</f>
        <v>Oloitoktok A</v>
      </c>
      <c r="C856">
        <f ca="1">LOOKUP(RAND(),{0,0.02,0.09,0.2,0.35,0.52,0.68,0.81,0.91,0.97},{1,2,3,4,5,6,7,8,9,10})</f>
        <v>9</v>
      </c>
      <c r="D856">
        <f t="shared" ca="1" si="78"/>
        <v>43400</v>
      </c>
      <c r="E856" t="str">
        <f ca="1">IF(B856="Oloitoktok A",IF(D856&lt;15000,LOOKUP(RAND(),{0,0.45,0.75,0.92},{"River","Rainwater","Borehole","Vendor"}),IF(D856&lt;30000,LOOKUP(RAND(),{0,0.35,0.65,0.85},{"River","Rainwater","Borehole","Vendor"}),LOOKUP(RAND(),{0,0.25,0.5,0.75},{"River","Rainwater","Borehole","Vendor"}))),IF(B856="Oloitoktok B",IF(D856&lt;15000,LOOKUP(RAND(),{0,0.5,0.78,0.94},{"River","Rainwater","Borehole","Vendor"}),IF(D856&lt;30000,LOOKUP(RAND(),{0,0.4,0.68,0.87},{"River","Rainwater","Borehole","Vendor"}),LOOKUP(RAND(),{0,0.28,0.55,0.78},{"River","Rainwater","Borehole","Vendor"}))),IF(B856="Kiserian",IF(D856&lt;15000,LOOKUP(RAND(),{0,0.35,0.65,0.9},{"River","Rainwater","Borehole","Vendor"}),IF(D856&lt;30000,LOOKUP(RAND(),{0,0.25,0.55,0.82},{"River","Rainwater","Borehole","Vendor"}),LOOKUP(RAND(),{0,0.15,0.45,0.72},{"River","Rainwater","Borehole","Vendor"}))),IF(D856&lt;15000,LOOKUP(RAND(),{0,0.4,0.7,0.92},{"River","Rainwater","Borehole","Vendor"}),IF(D856&lt;30000,LOOKUP(RAND(),{0,0.3,0.6,0.85},{"River","Rainwater","Borehole","Vendor"}),LOOKUP(RAND(),{0,0.2,0.5,0.75},{"River","Rainwater","Borehole","Vendor"}))))))</f>
        <v>Vendor</v>
      </c>
      <c r="F856">
        <f t="shared" ca="1" si="79"/>
        <v>33</v>
      </c>
      <c r="G856">
        <f t="shared" ca="1" si="80"/>
        <v>13.5</v>
      </c>
      <c r="H856">
        <f t="shared" ca="1" si="81"/>
        <v>2300</v>
      </c>
      <c r="I856">
        <f t="shared" ca="1" si="82"/>
        <v>0.58173071240082974</v>
      </c>
      <c r="J856">
        <v>1</v>
      </c>
    </row>
    <row r="857" spans="1:10" x14ac:dyDescent="0.3">
      <c r="A857" t="str">
        <f t="shared" si="83"/>
        <v>HH856</v>
      </c>
      <c r="B857" t="str">
        <f ca="1">LOOKUP(RAND(),{0,0.28,0.55,0.78},{"Oloitoktok A","Oloitoktok B","Kiserian","Namanga"})</f>
        <v>Oloitoktok A</v>
      </c>
      <c r="C857">
        <f ca="1">LOOKUP(RAND(),{0,0.02,0.09,0.2,0.35,0.52,0.68,0.81,0.91,0.97},{1,2,3,4,5,6,7,8,9,10})</f>
        <v>8</v>
      </c>
      <c r="D857">
        <f t="shared" ca="1" si="78"/>
        <v>21700</v>
      </c>
      <c r="E857" t="str">
        <f ca="1">IF(B857="Oloitoktok A",IF(D857&lt;15000,LOOKUP(RAND(),{0,0.45,0.75,0.92},{"River","Rainwater","Borehole","Vendor"}),IF(D857&lt;30000,LOOKUP(RAND(),{0,0.35,0.65,0.85},{"River","Rainwater","Borehole","Vendor"}),LOOKUP(RAND(),{0,0.25,0.5,0.75},{"River","Rainwater","Borehole","Vendor"}))),IF(B857="Oloitoktok B",IF(D857&lt;15000,LOOKUP(RAND(),{0,0.5,0.78,0.94},{"River","Rainwater","Borehole","Vendor"}),IF(D857&lt;30000,LOOKUP(RAND(),{0,0.4,0.68,0.87},{"River","Rainwater","Borehole","Vendor"}),LOOKUP(RAND(),{0,0.28,0.55,0.78},{"River","Rainwater","Borehole","Vendor"}))),IF(B857="Kiserian",IF(D857&lt;15000,LOOKUP(RAND(),{0,0.35,0.65,0.9},{"River","Rainwater","Borehole","Vendor"}),IF(D857&lt;30000,LOOKUP(RAND(),{0,0.25,0.55,0.82},{"River","Rainwater","Borehole","Vendor"}),LOOKUP(RAND(),{0,0.15,0.45,0.72},{"River","Rainwater","Borehole","Vendor"}))),IF(D857&lt;15000,LOOKUP(RAND(),{0,0.4,0.7,0.92},{"River","Rainwater","Borehole","Vendor"}),IF(D857&lt;30000,LOOKUP(RAND(),{0,0.3,0.6,0.85},{"River","Rainwater","Borehole","Vendor"}),LOOKUP(RAND(),{0,0.2,0.5,0.75},{"River","Rainwater","Borehole","Vendor"}))))))</f>
        <v>River</v>
      </c>
      <c r="F857">
        <f t="shared" ca="1" si="79"/>
        <v>87</v>
      </c>
      <c r="G857">
        <f t="shared" ca="1" si="80"/>
        <v>13.7</v>
      </c>
      <c r="H857">
        <f t="shared" ca="1" si="81"/>
        <v>6300</v>
      </c>
      <c r="I857">
        <f t="shared" ca="1" si="82"/>
        <v>0.93601851309788553</v>
      </c>
      <c r="J857">
        <v>1</v>
      </c>
    </row>
    <row r="858" spans="1:10" x14ac:dyDescent="0.3">
      <c r="A858" t="str">
        <f t="shared" si="83"/>
        <v>HH857</v>
      </c>
      <c r="B858" t="str">
        <f ca="1">LOOKUP(RAND(),{0,0.28,0.55,0.78},{"Oloitoktok A","Oloitoktok B","Kiserian","Namanga"})</f>
        <v>Kiserian</v>
      </c>
      <c r="C858">
        <f ca="1">LOOKUP(RAND(),{0,0.02,0.09,0.2,0.35,0.52,0.68,0.81,0.91,0.97},{1,2,3,4,5,6,7,8,9,10})</f>
        <v>6</v>
      </c>
      <c r="D858">
        <f t="shared" ca="1" si="78"/>
        <v>22800</v>
      </c>
      <c r="E858" t="str">
        <f ca="1">IF(B858="Oloitoktok A",IF(D858&lt;15000,LOOKUP(RAND(),{0,0.45,0.75,0.92},{"River","Rainwater","Borehole","Vendor"}),IF(D858&lt;30000,LOOKUP(RAND(),{0,0.35,0.65,0.85},{"River","Rainwater","Borehole","Vendor"}),LOOKUP(RAND(),{0,0.25,0.5,0.75},{"River","Rainwater","Borehole","Vendor"}))),IF(B858="Oloitoktok B",IF(D858&lt;15000,LOOKUP(RAND(),{0,0.5,0.78,0.94},{"River","Rainwater","Borehole","Vendor"}),IF(D858&lt;30000,LOOKUP(RAND(),{0,0.4,0.68,0.87},{"River","Rainwater","Borehole","Vendor"}),LOOKUP(RAND(),{0,0.28,0.55,0.78},{"River","Rainwater","Borehole","Vendor"}))),IF(B858="Kiserian",IF(D858&lt;15000,LOOKUP(RAND(),{0,0.35,0.65,0.9},{"River","Rainwater","Borehole","Vendor"}),IF(D858&lt;30000,LOOKUP(RAND(),{0,0.25,0.55,0.82},{"River","Rainwater","Borehole","Vendor"}),LOOKUP(RAND(),{0,0.15,0.45,0.72},{"River","Rainwater","Borehole","Vendor"}))),IF(D858&lt;15000,LOOKUP(RAND(),{0,0.4,0.7,0.92},{"River","Rainwater","Borehole","Vendor"}),IF(D858&lt;30000,LOOKUP(RAND(),{0,0.3,0.6,0.85},{"River","Rainwater","Borehole","Vendor"}),LOOKUP(RAND(),{0,0.2,0.5,0.75},{"River","Rainwater","Borehole","Vendor"}))))))</f>
        <v>Borehole</v>
      </c>
      <c r="F858">
        <f t="shared" ca="1" si="79"/>
        <v>57</v>
      </c>
      <c r="G858">
        <f t="shared" ca="1" si="80"/>
        <v>4.7</v>
      </c>
      <c r="H858">
        <f t="shared" ca="1" si="81"/>
        <v>1200</v>
      </c>
      <c r="I858">
        <f t="shared" ca="1" si="82"/>
        <v>0.31861649899399525</v>
      </c>
      <c r="J858">
        <v>1</v>
      </c>
    </row>
    <row r="859" spans="1:10" x14ac:dyDescent="0.3">
      <c r="A859" t="str">
        <f t="shared" si="83"/>
        <v>HH858</v>
      </c>
      <c r="B859" t="str">
        <f ca="1">LOOKUP(RAND(),{0,0.28,0.55,0.78},{"Oloitoktok A","Oloitoktok B","Kiserian","Namanga"})</f>
        <v>Oloitoktok B</v>
      </c>
      <c r="C859">
        <f ca="1">LOOKUP(RAND(),{0,0.02,0.09,0.2,0.35,0.52,0.68,0.81,0.91,0.97},{1,2,3,4,5,6,7,8,9,10})</f>
        <v>7</v>
      </c>
      <c r="D859">
        <f t="shared" ca="1" si="78"/>
        <v>30600</v>
      </c>
      <c r="E859" t="str">
        <f ca="1">IF(B859="Oloitoktok A",IF(D859&lt;15000,LOOKUP(RAND(),{0,0.45,0.75,0.92},{"River","Rainwater","Borehole","Vendor"}),IF(D859&lt;30000,LOOKUP(RAND(),{0,0.35,0.65,0.85},{"River","Rainwater","Borehole","Vendor"}),LOOKUP(RAND(),{0,0.25,0.5,0.75},{"River","Rainwater","Borehole","Vendor"}))),IF(B859="Oloitoktok B",IF(D859&lt;15000,LOOKUP(RAND(),{0,0.5,0.78,0.94},{"River","Rainwater","Borehole","Vendor"}),IF(D859&lt;30000,LOOKUP(RAND(),{0,0.4,0.68,0.87},{"River","Rainwater","Borehole","Vendor"}),LOOKUP(RAND(),{0,0.28,0.55,0.78},{"River","Rainwater","Borehole","Vendor"}))),IF(B859="Kiserian",IF(D859&lt;15000,LOOKUP(RAND(),{0,0.35,0.65,0.9},{"River","Rainwater","Borehole","Vendor"}),IF(D859&lt;30000,LOOKUP(RAND(),{0,0.25,0.55,0.82},{"River","Rainwater","Borehole","Vendor"}),LOOKUP(RAND(),{0,0.15,0.45,0.72},{"River","Rainwater","Borehole","Vendor"}))),IF(D859&lt;15000,LOOKUP(RAND(),{0,0.4,0.7,0.92},{"River","Rainwater","Borehole","Vendor"}),IF(D859&lt;30000,LOOKUP(RAND(),{0,0.3,0.6,0.85},{"River","Rainwater","Borehole","Vendor"}),LOOKUP(RAND(),{0,0.2,0.5,0.75},{"River","Rainwater","Borehole","Vendor"}))))))</f>
        <v>Rainwater</v>
      </c>
      <c r="F859">
        <f t="shared" ca="1" si="79"/>
        <v>67</v>
      </c>
      <c r="G859">
        <f t="shared" ca="1" si="80"/>
        <v>0.4</v>
      </c>
      <c r="H859">
        <f t="shared" ca="1" si="81"/>
        <v>8400</v>
      </c>
      <c r="I859">
        <f t="shared" ca="1" si="82"/>
        <v>0.56657647629975416</v>
      </c>
      <c r="J859">
        <v>1</v>
      </c>
    </row>
    <row r="860" spans="1:10" x14ac:dyDescent="0.3">
      <c r="A860" t="str">
        <f t="shared" si="83"/>
        <v>HH859</v>
      </c>
      <c r="B860" t="str">
        <f ca="1">LOOKUP(RAND(),{0,0.28,0.55,0.78},{"Oloitoktok A","Oloitoktok B","Kiserian","Namanga"})</f>
        <v>Namanga</v>
      </c>
      <c r="C860">
        <f ca="1">LOOKUP(RAND(),{0,0.02,0.09,0.2,0.35,0.52,0.68,0.81,0.91,0.97},{1,2,3,4,5,6,7,8,9,10})</f>
        <v>4</v>
      </c>
      <c r="D860">
        <f t="shared" ca="1" si="78"/>
        <v>36700</v>
      </c>
      <c r="E860" t="str">
        <f ca="1">IF(B860="Oloitoktok A",IF(D860&lt;15000,LOOKUP(RAND(),{0,0.45,0.75,0.92},{"River","Rainwater","Borehole","Vendor"}),IF(D860&lt;30000,LOOKUP(RAND(),{0,0.35,0.65,0.85},{"River","Rainwater","Borehole","Vendor"}),LOOKUP(RAND(),{0,0.25,0.5,0.75},{"River","Rainwater","Borehole","Vendor"}))),IF(B860="Oloitoktok B",IF(D860&lt;15000,LOOKUP(RAND(),{0,0.5,0.78,0.94},{"River","Rainwater","Borehole","Vendor"}),IF(D860&lt;30000,LOOKUP(RAND(),{0,0.4,0.68,0.87},{"River","Rainwater","Borehole","Vendor"}),LOOKUP(RAND(),{0,0.28,0.55,0.78},{"River","Rainwater","Borehole","Vendor"}))),IF(B860="Kiserian",IF(D860&lt;15000,LOOKUP(RAND(),{0,0.35,0.65,0.9},{"River","Rainwater","Borehole","Vendor"}),IF(D860&lt;30000,LOOKUP(RAND(),{0,0.25,0.55,0.82},{"River","Rainwater","Borehole","Vendor"}),LOOKUP(RAND(),{0,0.15,0.45,0.72},{"River","Rainwater","Borehole","Vendor"}))),IF(D860&lt;15000,LOOKUP(RAND(),{0,0.4,0.7,0.92},{"River","Rainwater","Borehole","Vendor"}),IF(D860&lt;30000,LOOKUP(RAND(),{0,0.3,0.6,0.85},{"River","Rainwater","Borehole","Vendor"}),LOOKUP(RAND(),{0,0.2,0.5,0.75},{"River","Rainwater","Borehole","Vendor"}))))))</f>
        <v>Borehole</v>
      </c>
      <c r="F860">
        <f t="shared" ca="1" si="79"/>
        <v>54</v>
      </c>
      <c r="G860">
        <f t="shared" ca="1" si="80"/>
        <v>2</v>
      </c>
      <c r="H860">
        <f t="shared" ca="1" si="81"/>
        <v>5300</v>
      </c>
      <c r="I860">
        <f t="shared" ca="1" si="82"/>
        <v>0.14679682424671203</v>
      </c>
      <c r="J860">
        <v>1</v>
      </c>
    </row>
    <row r="861" spans="1:10" x14ac:dyDescent="0.3">
      <c r="A861" t="str">
        <f t="shared" si="83"/>
        <v>HH860</v>
      </c>
      <c r="B861" t="str">
        <f ca="1">LOOKUP(RAND(),{0,0.28,0.55,0.78},{"Oloitoktok A","Oloitoktok B","Kiserian","Namanga"})</f>
        <v>Oloitoktok A</v>
      </c>
      <c r="C861">
        <f ca="1">LOOKUP(RAND(),{0,0.02,0.09,0.2,0.35,0.52,0.68,0.81,0.91,0.97},{1,2,3,4,5,6,7,8,9,10})</f>
        <v>3</v>
      </c>
      <c r="D861">
        <f t="shared" ca="1" si="78"/>
        <v>60300</v>
      </c>
      <c r="E861" t="str">
        <f ca="1">IF(B861="Oloitoktok A",IF(D861&lt;15000,LOOKUP(RAND(),{0,0.45,0.75,0.92},{"River","Rainwater","Borehole","Vendor"}),IF(D861&lt;30000,LOOKUP(RAND(),{0,0.35,0.65,0.85},{"River","Rainwater","Borehole","Vendor"}),LOOKUP(RAND(),{0,0.25,0.5,0.75},{"River","Rainwater","Borehole","Vendor"}))),IF(B861="Oloitoktok B",IF(D861&lt;15000,LOOKUP(RAND(),{0,0.5,0.78,0.94},{"River","Rainwater","Borehole","Vendor"}),IF(D861&lt;30000,LOOKUP(RAND(),{0,0.4,0.68,0.87},{"River","Rainwater","Borehole","Vendor"}),LOOKUP(RAND(),{0,0.28,0.55,0.78},{"River","Rainwater","Borehole","Vendor"}))),IF(B861="Kiserian",IF(D861&lt;15000,LOOKUP(RAND(),{0,0.35,0.65,0.9},{"River","Rainwater","Borehole","Vendor"}),IF(D861&lt;30000,LOOKUP(RAND(),{0,0.25,0.55,0.82},{"River","Rainwater","Borehole","Vendor"}),LOOKUP(RAND(),{0,0.15,0.45,0.72},{"River","Rainwater","Borehole","Vendor"}))),IF(D861&lt;15000,LOOKUP(RAND(),{0,0.4,0.7,0.92},{"River","Rainwater","Borehole","Vendor"}),IF(D861&lt;30000,LOOKUP(RAND(),{0,0.3,0.6,0.85},{"River","Rainwater","Borehole","Vendor"}),LOOKUP(RAND(),{0,0.2,0.5,0.75},{"River","Rainwater","Borehole","Vendor"}))))))</f>
        <v>Rainwater</v>
      </c>
      <c r="F861">
        <f t="shared" ca="1" si="79"/>
        <v>32</v>
      </c>
      <c r="G861">
        <f t="shared" ca="1" si="80"/>
        <v>10.1</v>
      </c>
      <c r="H861">
        <f t="shared" ca="1" si="81"/>
        <v>7400</v>
      </c>
      <c r="I861">
        <f t="shared" ca="1" si="82"/>
        <v>0.82089306175351551</v>
      </c>
      <c r="J861">
        <v>1</v>
      </c>
    </row>
    <row r="862" spans="1:10" x14ac:dyDescent="0.3">
      <c r="A862" t="str">
        <f t="shared" si="83"/>
        <v>HH861</v>
      </c>
      <c r="B862" t="str">
        <f ca="1">LOOKUP(RAND(),{0,0.28,0.55,0.78},{"Oloitoktok A","Oloitoktok B","Kiserian","Namanga"})</f>
        <v>Oloitoktok B</v>
      </c>
      <c r="C862">
        <f ca="1">LOOKUP(RAND(),{0,0.02,0.09,0.2,0.35,0.52,0.68,0.81,0.91,0.97},{1,2,3,4,5,6,7,8,9,10})</f>
        <v>2</v>
      </c>
      <c r="D862">
        <f t="shared" ca="1" si="78"/>
        <v>26900</v>
      </c>
      <c r="E862" t="str">
        <f ca="1">IF(B862="Oloitoktok A",IF(D862&lt;15000,LOOKUP(RAND(),{0,0.45,0.75,0.92},{"River","Rainwater","Borehole","Vendor"}),IF(D862&lt;30000,LOOKUP(RAND(),{0,0.35,0.65,0.85},{"River","Rainwater","Borehole","Vendor"}),LOOKUP(RAND(),{0,0.25,0.5,0.75},{"River","Rainwater","Borehole","Vendor"}))),IF(B862="Oloitoktok B",IF(D862&lt;15000,LOOKUP(RAND(),{0,0.5,0.78,0.94},{"River","Rainwater","Borehole","Vendor"}),IF(D862&lt;30000,LOOKUP(RAND(),{0,0.4,0.68,0.87},{"River","Rainwater","Borehole","Vendor"}),LOOKUP(RAND(),{0,0.28,0.55,0.78},{"River","Rainwater","Borehole","Vendor"}))),IF(B862="Kiserian",IF(D862&lt;15000,LOOKUP(RAND(),{0,0.35,0.65,0.9},{"River","Rainwater","Borehole","Vendor"}),IF(D862&lt;30000,LOOKUP(RAND(),{0,0.25,0.55,0.82},{"River","Rainwater","Borehole","Vendor"}),LOOKUP(RAND(),{0,0.15,0.45,0.72},{"River","Rainwater","Borehole","Vendor"}))),IF(D862&lt;15000,LOOKUP(RAND(),{0,0.4,0.7,0.92},{"River","Rainwater","Borehole","Vendor"}),IF(D862&lt;30000,LOOKUP(RAND(),{0,0.3,0.6,0.85},{"River","Rainwater","Borehole","Vendor"}),LOOKUP(RAND(),{0,0.2,0.5,0.75},{"River","Rainwater","Borehole","Vendor"}))))))</f>
        <v>Rainwater</v>
      </c>
      <c r="F862">
        <f t="shared" ca="1" si="79"/>
        <v>70</v>
      </c>
      <c r="G862">
        <f t="shared" ca="1" si="80"/>
        <v>13.6</v>
      </c>
      <c r="H862">
        <f t="shared" ca="1" si="81"/>
        <v>11100</v>
      </c>
      <c r="I862">
        <f t="shared" ca="1" si="82"/>
        <v>0.5574612422858336</v>
      </c>
      <c r="J862">
        <v>1</v>
      </c>
    </row>
    <row r="863" spans="1:10" x14ac:dyDescent="0.3">
      <c r="A863" t="str">
        <f t="shared" si="83"/>
        <v>HH862</v>
      </c>
      <c r="B863" t="str">
        <f ca="1">LOOKUP(RAND(),{0,0.28,0.55,0.78},{"Oloitoktok A","Oloitoktok B","Kiserian","Namanga"})</f>
        <v>Kiserian</v>
      </c>
      <c r="C863">
        <f ca="1">LOOKUP(RAND(),{0,0.02,0.09,0.2,0.35,0.52,0.68,0.81,0.91,0.97},{1,2,3,4,5,6,7,8,9,10})</f>
        <v>8</v>
      </c>
      <c r="D863">
        <f t="shared" ca="1" si="78"/>
        <v>41600</v>
      </c>
      <c r="E863" t="str">
        <f ca="1">IF(B863="Oloitoktok A",IF(D863&lt;15000,LOOKUP(RAND(),{0,0.45,0.75,0.92},{"River","Rainwater","Borehole","Vendor"}),IF(D863&lt;30000,LOOKUP(RAND(),{0,0.35,0.65,0.85},{"River","Rainwater","Borehole","Vendor"}),LOOKUP(RAND(),{0,0.25,0.5,0.75},{"River","Rainwater","Borehole","Vendor"}))),IF(B863="Oloitoktok B",IF(D863&lt;15000,LOOKUP(RAND(),{0,0.5,0.78,0.94},{"River","Rainwater","Borehole","Vendor"}),IF(D863&lt;30000,LOOKUP(RAND(),{0,0.4,0.68,0.87},{"River","Rainwater","Borehole","Vendor"}),LOOKUP(RAND(),{0,0.28,0.55,0.78},{"River","Rainwater","Borehole","Vendor"}))),IF(B863="Kiserian",IF(D863&lt;15000,LOOKUP(RAND(),{0,0.35,0.65,0.9},{"River","Rainwater","Borehole","Vendor"}),IF(D863&lt;30000,LOOKUP(RAND(),{0,0.25,0.55,0.82},{"River","Rainwater","Borehole","Vendor"}),LOOKUP(RAND(),{0,0.15,0.45,0.72},{"River","Rainwater","Borehole","Vendor"}))),IF(D863&lt;15000,LOOKUP(RAND(),{0,0.4,0.7,0.92},{"River","Rainwater","Borehole","Vendor"}),IF(D863&lt;30000,LOOKUP(RAND(),{0,0.3,0.6,0.85},{"River","Rainwater","Borehole","Vendor"}),LOOKUP(RAND(),{0,0.2,0.5,0.75},{"River","Rainwater","Borehole","Vendor"}))))))</f>
        <v>River</v>
      </c>
      <c r="F863">
        <f t="shared" ca="1" si="79"/>
        <v>105</v>
      </c>
      <c r="G863">
        <f t="shared" ca="1" si="80"/>
        <v>2.7</v>
      </c>
      <c r="H863">
        <f t="shared" ca="1" si="81"/>
        <v>5000</v>
      </c>
      <c r="I863">
        <f t="shared" ca="1" si="82"/>
        <v>0.46223408134667987</v>
      </c>
      <c r="J863">
        <v>1</v>
      </c>
    </row>
    <row r="864" spans="1:10" x14ac:dyDescent="0.3">
      <c r="A864" t="str">
        <f t="shared" si="83"/>
        <v>HH863</v>
      </c>
      <c r="B864" t="str">
        <f ca="1">LOOKUP(RAND(),{0,0.28,0.55,0.78},{"Oloitoktok A","Oloitoktok B","Kiserian","Namanga"})</f>
        <v>Kiserian</v>
      </c>
      <c r="C864">
        <f ca="1">LOOKUP(RAND(),{0,0.02,0.09,0.2,0.35,0.52,0.68,0.81,0.91,0.97},{1,2,3,4,5,6,7,8,9,10})</f>
        <v>9</v>
      </c>
      <c r="D864">
        <f t="shared" ca="1" si="78"/>
        <v>14000</v>
      </c>
      <c r="E864" t="str">
        <f ca="1">IF(B864="Oloitoktok A",IF(D864&lt;15000,LOOKUP(RAND(),{0,0.45,0.75,0.92},{"River","Rainwater","Borehole","Vendor"}),IF(D864&lt;30000,LOOKUP(RAND(),{0,0.35,0.65,0.85},{"River","Rainwater","Borehole","Vendor"}),LOOKUP(RAND(),{0,0.25,0.5,0.75},{"River","Rainwater","Borehole","Vendor"}))),IF(B864="Oloitoktok B",IF(D864&lt;15000,LOOKUP(RAND(),{0,0.5,0.78,0.94},{"River","Rainwater","Borehole","Vendor"}),IF(D864&lt;30000,LOOKUP(RAND(),{0,0.4,0.68,0.87},{"River","Rainwater","Borehole","Vendor"}),LOOKUP(RAND(),{0,0.28,0.55,0.78},{"River","Rainwater","Borehole","Vendor"}))),IF(B864="Kiserian",IF(D864&lt;15000,LOOKUP(RAND(),{0,0.35,0.65,0.9},{"River","Rainwater","Borehole","Vendor"}),IF(D864&lt;30000,LOOKUP(RAND(),{0,0.25,0.55,0.82},{"River","Rainwater","Borehole","Vendor"}),LOOKUP(RAND(),{0,0.15,0.45,0.72},{"River","Rainwater","Borehole","Vendor"}))),IF(D864&lt;15000,LOOKUP(RAND(),{0,0.4,0.7,0.92},{"River","Rainwater","Borehole","Vendor"}),IF(D864&lt;30000,LOOKUP(RAND(),{0,0.3,0.6,0.85},{"River","Rainwater","Borehole","Vendor"}),LOOKUP(RAND(),{0,0.2,0.5,0.75},{"River","Rainwater","Borehole","Vendor"}))))))</f>
        <v>River</v>
      </c>
      <c r="F864">
        <f t="shared" ca="1" si="79"/>
        <v>80</v>
      </c>
      <c r="G864">
        <f t="shared" ca="1" si="80"/>
        <v>4</v>
      </c>
      <c r="H864">
        <f t="shared" ca="1" si="81"/>
        <v>500</v>
      </c>
      <c r="I864">
        <f t="shared" ca="1" si="82"/>
        <v>0.75817009704875926</v>
      </c>
      <c r="J864">
        <v>1</v>
      </c>
    </row>
    <row r="865" spans="1:10" x14ac:dyDescent="0.3">
      <c r="A865" t="str">
        <f t="shared" si="83"/>
        <v>HH864</v>
      </c>
      <c r="B865" t="str">
        <f ca="1">LOOKUP(RAND(),{0,0.28,0.55,0.78},{"Oloitoktok A","Oloitoktok B","Kiserian","Namanga"})</f>
        <v>Namanga</v>
      </c>
      <c r="C865">
        <f ca="1">LOOKUP(RAND(),{0,0.02,0.09,0.2,0.35,0.52,0.68,0.81,0.91,0.97},{1,2,3,4,5,6,7,8,9,10})</f>
        <v>9</v>
      </c>
      <c r="D865">
        <f t="shared" ca="1" si="78"/>
        <v>33900</v>
      </c>
      <c r="E865" t="str">
        <f ca="1">IF(B865="Oloitoktok A",IF(D865&lt;15000,LOOKUP(RAND(),{0,0.45,0.75,0.92},{"River","Rainwater","Borehole","Vendor"}),IF(D865&lt;30000,LOOKUP(RAND(),{0,0.35,0.65,0.85},{"River","Rainwater","Borehole","Vendor"}),LOOKUP(RAND(),{0,0.25,0.5,0.75},{"River","Rainwater","Borehole","Vendor"}))),IF(B865="Oloitoktok B",IF(D865&lt;15000,LOOKUP(RAND(),{0,0.5,0.78,0.94},{"River","Rainwater","Borehole","Vendor"}),IF(D865&lt;30000,LOOKUP(RAND(),{0,0.4,0.68,0.87},{"River","Rainwater","Borehole","Vendor"}),LOOKUP(RAND(),{0,0.28,0.55,0.78},{"River","Rainwater","Borehole","Vendor"}))),IF(B865="Kiserian",IF(D865&lt;15000,LOOKUP(RAND(),{0,0.35,0.65,0.9},{"River","Rainwater","Borehole","Vendor"}),IF(D865&lt;30000,LOOKUP(RAND(),{0,0.25,0.55,0.82},{"River","Rainwater","Borehole","Vendor"}),LOOKUP(RAND(),{0,0.15,0.45,0.72},{"River","Rainwater","Borehole","Vendor"}))),IF(D865&lt;15000,LOOKUP(RAND(),{0,0.4,0.7,0.92},{"River","Rainwater","Borehole","Vendor"}),IF(D865&lt;30000,LOOKUP(RAND(),{0,0.3,0.6,0.85},{"River","Rainwater","Borehole","Vendor"}),LOOKUP(RAND(),{0,0.2,0.5,0.75},{"River","Rainwater","Borehole","Vendor"}))))))</f>
        <v>Rainwater</v>
      </c>
      <c r="F865">
        <f t="shared" ca="1" si="79"/>
        <v>55</v>
      </c>
      <c r="G865">
        <f t="shared" ca="1" si="80"/>
        <v>8.1</v>
      </c>
      <c r="H865">
        <f t="shared" ca="1" si="81"/>
        <v>11100</v>
      </c>
      <c r="I865">
        <f t="shared" ca="1" si="82"/>
        <v>0.14328082613241033</v>
      </c>
      <c r="J865">
        <v>1</v>
      </c>
    </row>
    <row r="866" spans="1:10" x14ac:dyDescent="0.3">
      <c r="A866" t="str">
        <f t="shared" si="83"/>
        <v>HH865</v>
      </c>
      <c r="B866" t="str">
        <f ca="1">LOOKUP(RAND(),{0,0.28,0.55,0.78},{"Oloitoktok A","Oloitoktok B","Kiserian","Namanga"})</f>
        <v>Kiserian</v>
      </c>
      <c r="C866">
        <f ca="1">LOOKUP(RAND(),{0,0.02,0.09,0.2,0.35,0.52,0.68,0.81,0.91,0.97},{1,2,3,4,5,6,7,8,9,10})</f>
        <v>2</v>
      </c>
      <c r="D866">
        <f t="shared" ca="1" si="78"/>
        <v>62200</v>
      </c>
      <c r="E866" t="str">
        <f ca="1">IF(B866="Oloitoktok A",IF(D866&lt;15000,LOOKUP(RAND(),{0,0.45,0.75,0.92},{"River","Rainwater","Borehole","Vendor"}),IF(D866&lt;30000,LOOKUP(RAND(),{0,0.35,0.65,0.85},{"River","Rainwater","Borehole","Vendor"}),LOOKUP(RAND(),{0,0.25,0.5,0.75},{"River","Rainwater","Borehole","Vendor"}))),IF(B866="Oloitoktok B",IF(D866&lt;15000,LOOKUP(RAND(),{0,0.5,0.78,0.94},{"River","Rainwater","Borehole","Vendor"}),IF(D866&lt;30000,LOOKUP(RAND(),{0,0.4,0.68,0.87},{"River","Rainwater","Borehole","Vendor"}),LOOKUP(RAND(),{0,0.28,0.55,0.78},{"River","Rainwater","Borehole","Vendor"}))),IF(B866="Kiserian",IF(D866&lt;15000,LOOKUP(RAND(),{0,0.35,0.65,0.9},{"River","Rainwater","Borehole","Vendor"}),IF(D866&lt;30000,LOOKUP(RAND(),{0,0.25,0.55,0.82},{"River","Rainwater","Borehole","Vendor"}),LOOKUP(RAND(),{0,0.15,0.45,0.72},{"River","Rainwater","Borehole","Vendor"}))),IF(D866&lt;15000,LOOKUP(RAND(),{0,0.4,0.7,0.92},{"River","Rainwater","Borehole","Vendor"}),IF(D866&lt;30000,LOOKUP(RAND(),{0,0.3,0.6,0.85},{"River","Rainwater","Borehole","Vendor"}),LOOKUP(RAND(),{0,0.2,0.5,0.75},{"River","Rainwater","Borehole","Vendor"}))))))</f>
        <v>Borehole</v>
      </c>
      <c r="F866">
        <f t="shared" ca="1" si="79"/>
        <v>26</v>
      </c>
      <c r="G866">
        <f t="shared" ca="1" si="80"/>
        <v>6.6</v>
      </c>
      <c r="H866">
        <f t="shared" ca="1" si="81"/>
        <v>10100</v>
      </c>
      <c r="I866">
        <f t="shared" ca="1" si="82"/>
        <v>0.97137013654004567</v>
      </c>
      <c r="J866">
        <v>1</v>
      </c>
    </row>
    <row r="867" spans="1:10" x14ac:dyDescent="0.3">
      <c r="A867" t="str">
        <f t="shared" si="83"/>
        <v>HH866</v>
      </c>
      <c r="B867" t="str">
        <f ca="1">LOOKUP(RAND(),{0,0.28,0.55,0.78},{"Oloitoktok A","Oloitoktok B","Kiserian","Namanga"})</f>
        <v>Kiserian</v>
      </c>
      <c r="C867">
        <f ca="1">LOOKUP(RAND(),{0,0.02,0.09,0.2,0.35,0.52,0.68,0.81,0.91,0.97},{1,2,3,4,5,6,7,8,9,10})</f>
        <v>4</v>
      </c>
      <c r="D867">
        <f t="shared" ca="1" si="78"/>
        <v>41500</v>
      </c>
      <c r="E867" t="str">
        <f ca="1">IF(B867="Oloitoktok A",IF(D867&lt;15000,LOOKUP(RAND(),{0,0.45,0.75,0.92},{"River","Rainwater","Borehole","Vendor"}),IF(D867&lt;30000,LOOKUP(RAND(),{0,0.35,0.65,0.85},{"River","Rainwater","Borehole","Vendor"}),LOOKUP(RAND(),{0,0.25,0.5,0.75},{"River","Rainwater","Borehole","Vendor"}))),IF(B867="Oloitoktok B",IF(D867&lt;15000,LOOKUP(RAND(),{0,0.5,0.78,0.94},{"River","Rainwater","Borehole","Vendor"}),IF(D867&lt;30000,LOOKUP(RAND(),{0,0.4,0.68,0.87},{"River","Rainwater","Borehole","Vendor"}),LOOKUP(RAND(),{0,0.28,0.55,0.78},{"River","Rainwater","Borehole","Vendor"}))),IF(B867="Kiserian",IF(D867&lt;15000,LOOKUP(RAND(),{0,0.35,0.65,0.9},{"River","Rainwater","Borehole","Vendor"}),IF(D867&lt;30000,LOOKUP(RAND(),{0,0.25,0.55,0.82},{"River","Rainwater","Borehole","Vendor"}),LOOKUP(RAND(),{0,0.15,0.45,0.72},{"River","Rainwater","Borehole","Vendor"}))),IF(D867&lt;15000,LOOKUP(RAND(),{0,0.4,0.7,0.92},{"River","Rainwater","Borehole","Vendor"}),IF(D867&lt;30000,LOOKUP(RAND(),{0,0.3,0.6,0.85},{"River","Rainwater","Borehole","Vendor"}),LOOKUP(RAND(),{0,0.2,0.5,0.75},{"River","Rainwater","Borehole","Vendor"}))))))</f>
        <v>River</v>
      </c>
      <c r="F867">
        <f t="shared" ca="1" si="79"/>
        <v>120</v>
      </c>
      <c r="G867">
        <f t="shared" ca="1" si="80"/>
        <v>6.5</v>
      </c>
      <c r="H867">
        <f t="shared" ca="1" si="81"/>
        <v>2800</v>
      </c>
      <c r="I867">
        <f t="shared" ca="1" si="82"/>
        <v>0.39696346955274064</v>
      </c>
      <c r="J867">
        <v>1</v>
      </c>
    </row>
    <row r="868" spans="1:10" x14ac:dyDescent="0.3">
      <c r="A868" t="str">
        <f t="shared" si="83"/>
        <v>HH867</v>
      </c>
      <c r="B868" t="str">
        <f ca="1">LOOKUP(RAND(),{0,0.28,0.55,0.78},{"Oloitoktok A","Oloitoktok B","Kiserian","Namanga"})</f>
        <v>Oloitoktok B</v>
      </c>
      <c r="C868">
        <f ca="1">LOOKUP(RAND(),{0,0.02,0.09,0.2,0.35,0.52,0.68,0.81,0.91,0.97},{1,2,3,4,5,6,7,8,9,10})</f>
        <v>10</v>
      </c>
      <c r="D868">
        <f t="shared" ca="1" si="78"/>
        <v>16700</v>
      </c>
      <c r="E868" t="str">
        <f ca="1">IF(B868="Oloitoktok A",IF(D868&lt;15000,LOOKUP(RAND(),{0,0.45,0.75,0.92},{"River","Rainwater","Borehole","Vendor"}),IF(D868&lt;30000,LOOKUP(RAND(),{0,0.35,0.65,0.85},{"River","Rainwater","Borehole","Vendor"}),LOOKUP(RAND(),{0,0.25,0.5,0.75},{"River","Rainwater","Borehole","Vendor"}))),IF(B868="Oloitoktok B",IF(D868&lt;15000,LOOKUP(RAND(),{0,0.5,0.78,0.94},{"River","Rainwater","Borehole","Vendor"}),IF(D868&lt;30000,LOOKUP(RAND(),{0,0.4,0.68,0.87},{"River","Rainwater","Borehole","Vendor"}),LOOKUP(RAND(),{0,0.28,0.55,0.78},{"River","Rainwater","Borehole","Vendor"}))),IF(B868="Kiserian",IF(D868&lt;15000,LOOKUP(RAND(),{0,0.35,0.65,0.9},{"River","Rainwater","Borehole","Vendor"}),IF(D868&lt;30000,LOOKUP(RAND(),{0,0.25,0.55,0.82},{"River","Rainwater","Borehole","Vendor"}),LOOKUP(RAND(),{0,0.15,0.45,0.72},{"River","Rainwater","Borehole","Vendor"}))),IF(D868&lt;15000,LOOKUP(RAND(),{0,0.4,0.7,0.92},{"River","Rainwater","Borehole","Vendor"}),IF(D868&lt;30000,LOOKUP(RAND(),{0,0.3,0.6,0.85},{"River","Rainwater","Borehole","Vendor"}),LOOKUP(RAND(),{0,0.2,0.5,0.75},{"River","Rainwater","Borehole","Vendor"}))))))</f>
        <v>River</v>
      </c>
      <c r="F868">
        <f t="shared" ca="1" si="79"/>
        <v>115</v>
      </c>
      <c r="G868">
        <f t="shared" ca="1" si="80"/>
        <v>7.1</v>
      </c>
      <c r="H868">
        <f t="shared" ca="1" si="81"/>
        <v>7700</v>
      </c>
      <c r="I868">
        <f t="shared" ca="1" si="82"/>
        <v>0.22902416998716812</v>
      </c>
      <c r="J868">
        <v>1</v>
      </c>
    </row>
    <row r="869" spans="1:10" x14ac:dyDescent="0.3">
      <c r="A869" t="str">
        <f t="shared" si="83"/>
        <v>HH868</v>
      </c>
      <c r="B869" t="str">
        <f ca="1">LOOKUP(RAND(),{0,0.28,0.55,0.78},{"Oloitoktok A","Oloitoktok B","Kiserian","Namanga"})</f>
        <v>Oloitoktok B</v>
      </c>
      <c r="C869">
        <f ca="1">LOOKUP(RAND(),{0,0.02,0.09,0.2,0.35,0.52,0.68,0.81,0.91,0.97},{1,2,3,4,5,6,7,8,9,10})</f>
        <v>6</v>
      </c>
      <c r="D869">
        <f t="shared" ca="1" si="78"/>
        <v>33500</v>
      </c>
      <c r="E869" t="str">
        <f ca="1">IF(B869="Oloitoktok A",IF(D869&lt;15000,LOOKUP(RAND(),{0,0.45,0.75,0.92},{"River","Rainwater","Borehole","Vendor"}),IF(D869&lt;30000,LOOKUP(RAND(),{0,0.35,0.65,0.85},{"River","Rainwater","Borehole","Vendor"}),LOOKUP(RAND(),{0,0.25,0.5,0.75},{"River","Rainwater","Borehole","Vendor"}))),IF(B869="Oloitoktok B",IF(D869&lt;15000,LOOKUP(RAND(),{0,0.5,0.78,0.94},{"River","Rainwater","Borehole","Vendor"}),IF(D869&lt;30000,LOOKUP(RAND(),{0,0.4,0.68,0.87},{"River","Rainwater","Borehole","Vendor"}),LOOKUP(RAND(),{0,0.28,0.55,0.78},{"River","Rainwater","Borehole","Vendor"}))),IF(B869="Kiserian",IF(D869&lt;15000,LOOKUP(RAND(),{0,0.35,0.65,0.9},{"River","Rainwater","Borehole","Vendor"}),IF(D869&lt;30000,LOOKUP(RAND(),{0,0.25,0.55,0.82},{"River","Rainwater","Borehole","Vendor"}),LOOKUP(RAND(),{0,0.15,0.45,0.72},{"River","Rainwater","Borehole","Vendor"}))),IF(D869&lt;15000,LOOKUP(RAND(),{0,0.4,0.7,0.92},{"River","Rainwater","Borehole","Vendor"}),IF(D869&lt;30000,LOOKUP(RAND(),{0,0.3,0.6,0.85},{"River","Rainwater","Borehole","Vendor"}),LOOKUP(RAND(),{0,0.2,0.5,0.75},{"River","Rainwater","Borehole","Vendor"}))))))</f>
        <v>River</v>
      </c>
      <c r="F869">
        <f t="shared" ca="1" si="79"/>
        <v>64</v>
      </c>
      <c r="G869">
        <f t="shared" ca="1" si="80"/>
        <v>11.6</v>
      </c>
      <c r="H869">
        <f t="shared" ca="1" si="81"/>
        <v>5000</v>
      </c>
      <c r="I869">
        <f t="shared" ca="1" si="82"/>
        <v>0.35160068872804406</v>
      </c>
      <c r="J869">
        <v>1</v>
      </c>
    </row>
    <row r="870" spans="1:10" x14ac:dyDescent="0.3">
      <c r="A870" t="str">
        <f t="shared" si="83"/>
        <v>HH869</v>
      </c>
      <c r="B870" t="str">
        <f ca="1">LOOKUP(RAND(),{0,0.28,0.55,0.78},{"Oloitoktok A","Oloitoktok B","Kiserian","Namanga"})</f>
        <v>Oloitoktok B</v>
      </c>
      <c r="C870">
        <f ca="1">LOOKUP(RAND(),{0,0.02,0.09,0.2,0.35,0.52,0.68,0.81,0.91,0.97},{1,2,3,4,5,6,7,8,9,10})</f>
        <v>2</v>
      </c>
      <c r="D870">
        <f t="shared" ca="1" si="78"/>
        <v>21000</v>
      </c>
      <c r="E870" t="str">
        <f ca="1">IF(B870="Oloitoktok A",IF(D870&lt;15000,LOOKUP(RAND(),{0,0.45,0.75,0.92},{"River","Rainwater","Borehole","Vendor"}),IF(D870&lt;30000,LOOKUP(RAND(),{0,0.35,0.65,0.85},{"River","Rainwater","Borehole","Vendor"}),LOOKUP(RAND(),{0,0.25,0.5,0.75},{"River","Rainwater","Borehole","Vendor"}))),IF(B870="Oloitoktok B",IF(D870&lt;15000,LOOKUP(RAND(),{0,0.5,0.78,0.94},{"River","Rainwater","Borehole","Vendor"}),IF(D870&lt;30000,LOOKUP(RAND(),{0,0.4,0.68,0.87},{"River","Rainwater","Borehole","Vendor"}),LOOKUP(RAND(),{0,0.28,0.55,0.78},{"River","Rainwater","Borehole","Vendor"}))),IF(B870="Kiserian",IF(D870&lt;15000,LOOKUP(RAND(),{0,0.35,0.65,0.9},{"River","Rainwater","Borehole","Vendor"}),IF(D870&lt;30000,LOOKUP(RAND(),{0,0.25,0.55,0.82},{"River","Rainwater","Borehole","Vendor"}),LOOKUP(RAND(),{0,0.15,0.45,0.72},{"River","Rainwater","Borehole","Vendor"}))),IF(D870&lt;15000,LOOKUP(RAND(),{0,0.4,0.7,0.92},{"River","Rainwater","Borehole","Vendor"}),IF(D870&lt;30000,LOOKUP(RAND(),{0,0.3,0.6,0.85},{"River","Rainwater","Borehole","Vendor"}),LOOKUP(RAND(),{0,0.2,0.5,0.75},{"River","Rainwater","Borehole","Vendor"}))))))</f>
        <v>River</v>
      </c>
      <c r="F870">
        <f t="shared" ca="1" si="79"/>
        <v>76</v>
      </c>
      <c r="G870">
        <f t="shared" ca="1" si="80"/>
        <v>11.8</v>
      </c>
      <c r="H870">
        <f t="shared" ca="1" si="81"/>
        <v>3800</v>
      </c>
      <c r="I870">
        <f t="shared" ca="1" si="82"/>
        <v>0.69317047259672637</v>
      </c>
      <c r="J870">
        <v>1</v>
      </c>
    </row>
    <row r="871" spans="1:10" x14ac:dyDescent="0.3">
      <c r="A871" t="str">
        <f t="shared" si="83"/>
        <v>HH870</v>
      </c>
      <c r="B871" t="str">
        <f ca="1">LOOKUP(RAND(),{0,0.28,0.55,0.78},{"Oloitoktok A","Oloitoktok B","Kiserian","Namanga"})</f>
        <v>Oloitoktok A</v>
      </c>
      <c r="C871">
        <f ca="1">LOOKUP(RAND(),{0,0.02,0.09,0.2,0.35,0.52,0.68,0.81,0.91,0.97},{1,2,3,4,5,6,7,8,9,10})</f>
        <v>7</v>
      </c>
      <c r="D871">
        <f t="shared" ca="1" si="78"/>
        <v>45500</v>
      </c>
      <c r="E871" t="str">
        <f ca="1">IF(B871="Oloitoktok A",IF(D871&lt;15000,LOOKUP(RAND(),{0,0.45,0.75,0.92},{"River","Rainwater","Borehole","Vendor"}),IF(D871&lt;30000,LOOKUP(RAND(),{0,0.35,0.65,0.85},{"River","Rainwater","Borehole","Vendor"}),LOOKUP(RAND(),{0,0.25,0.5,0.75},{"River","Rainwater","Borehole","Vendor"}))),IF(B871="Oloitoktok B",IF(D871&lt;15000,LOOKUP(RAND(),{0,0.5,0.78,0.94},{"River","Rainwater","Borehole","Vendor"}),IF(D871&lt;30000,LOOKUP(RAND(),{0,0.4,0.68,0.87},{"River","Rainwater","Borehole","Vendor"}),LOOKUP(RAND(),{0,0.28,0.55,0.78},{"River","Rainwater","Borehole","Vendor"}))),IF(B871="Kiserian",IF(D871&lt;15000,LOOKUP(RAND(),{0,0.35,0.65,0.9},{"River","Rainwater","Borehole","Vendor"}),IF(D871&lt;30000,LOOKUP(RAND(),{0,0.25,0.55,0.82},{"River","Rainwater","Borehole","Vendor"}),LOOKUP(RAND(),{0,0.15,0.45,0.72},{"River","Rainwater","Borehole","Vendor"}))),IF(D871&lt;15000,LOOKUP(RAND(),{0,0.4,0.7,0.92},{"River","Rainwater","Borehole","Vendor"}),IF(D871&lt;30000,LOOKUP(RAND(),{0,0.3,0.6,0.85},{"River","Rainwater","Borehole","Vendor"}),LOOKUP(RAND(),{0,0.2,0.5,0.75},{"River","Rainwater","Borehole","Vendor"}))))))</f>
        <v>Borehole</v>
      </c>
      <c r="F871">
        <f t="shared" ca="1" si="79"/>
        <v>42</v>
      </c>
      <c r="G871">
        <f t="shared" ca="1" si="80"/>
        <v>1.7</v>
      </c>
      <c r="H871">
        <f t="shared" ca="1" si="81"/>
        <v>3400</v>
      </c>
      <c r="I871">
        <f t="shared" ca="1" si="82"/>
        <v>0.32584082600766373</v>
      </c>
      <c r="J871">
        <v>1</v>
      </c>
    </row>
    <row r="872" spans="1:10" x14ac:dyDescent="0.3">
      <c r="A872" t="str">
        <f t="shared" si="83"/>
        <v>HH871</v>
      </c>
      <c r="B872" t="str">
        <f ca="1">LOOKUP(RAND(),{0,0.28,0.55,0.78},{"Oloitoktok A","Oloitoktok B","Kiserian","Namanga"})</f>
        <v>Oloitoktok A</v>
      </c>
      <c r="C872">
        <f ca="1">LOOKUP(RAND(),{0,0.02,0.09,0.2,0.35,0.52,0.68,0.81,0.91,0.97},{1,2,3,4,5,6,7,8,9,10})</f>
        <v>7</v>
      </c>
      <c r="D872">
        <f t="shared" ca="1" si="78"/>
        <v>31900</v>
      </c>
      <c r="E872" t="str">
        <f ca="1">IF(B872="Oloitoktok A",IF(D872&lt;15000,LOOKUP(RAND(),{0,0.45,0.75,0.92},{"River","Rainwater","Borehole","Vendor"}),IF(D872&lt;30000,LOOKUP(RAND(),{0,0.35,0.65,0.85},{"River","Rainwater","Borehole","Vendor"}),LOOKUP(RAND(),{0,0.25,0.5,0.75},{"River","Rainwater","Borehole","Vendor"}))),IF(B872="Oloitoktok B",IF(D872&lt;15000,LOOKUP(RAND(),{0,0.5,0.78,0.94},{"River","Rainwater","Borehole","Vendor"}),IF(D872&lt;30000,LOOKUP(RAND(),{0,0.4,0.68,0.87},{"River","Rainwater","Borehole","Vendor"}),LOOKUP(RAND(),{0,0.28,0.55,0.78},{"River","Rainwater","Borehole","Vendor"}))),IF(B872="Kiserian",IF(D872&lt;15000,LOOKUP(RAND(),{0,0.35,0.65,0.9},{"River","Rainwater","Borehole","Vendor"}),IF(D872&lt;30000,LOOKUP(RAND(),{0,0.25,0.55,0.82},{"River","Rainwater","Borehole","Vendor"}),LOOKUP(RAND(),{0,0.15,0.45,0.72},{"River","Rainwater","Borehole","Vendor"}))),IF(D872&lt;15000,LOOKUP(RAND(),{0,0.4,0.7,0.92},{"River","Rainwater","Borehole","Vendor"}),IF(D872&lt;30000,LOOKUP(RAND(),{0,0.3,0.6,0.85},{"River","Rainwater","Borehole","Vendor"}),LOOKUP(RAND(),{0,0.2,0.5,0.75},{"River","Rainwater","Borehole","Vendor"}))))))</f>
        <v>River</v>
      </c>
      <c r="F872">
        <f t="shared" ca="1" si="79"/>
        <v>49</v>
      </c>
      <c r="G872">
        <f t="shared" ca="1" si="80"/>
        <v>13.6</v>
      </c>
      <c r="H872">
        <f t="shared" ca="1" si="81"/>
        <v>7900</v>
      </c>
      <c r="I872">
        <f t="shared" ca="1" si="82"/>
        <v>0.60320881234546486</v>
      </c>
      <c r="J872">
        <v>1</v>
      </c>
    </row>
    <row r="873" spans="1:10" x14ac:dyDescent="0.3">
      <c r="A873" t="str">
        <f t="shared" si="83"/>
        <v>HH872</v>
      </c>
      <c r="B873" t="str">
        <f ca="1">LOOKUP(RAND(),{0,0.28,0.55,0.78},{"Oloitoktok A","Oloitoktok B","Kiserian","Namanga"})</f>
        <v>Namanga</v>
      </c>
      <c r="C873">
        <f ca="1">LOOKUP(RAND(),{0,0.02,0.09,0.2,0.35,0.52,0.68,0.81,0.91,0.97},{1,2,3,4,5,6,7,8,9,10})</f>
        <v>7</v>
      </c>
      <c r="D873">
        <f t="shared" ca="1" si="78"/>
        <v>28200</v>
      </c>
      <c r="E873" t="str">
        <f ca="1">IF(B873="Oloitoktok A",IF(D873&lt;15000,LOOKUP(RAND(),{0,0.45,0.75,0.92},{"River","Rainwater","Borehole","Vendor"}),IF(D873&lt;30000,LOOKUP(RAND(),{0,0.35,0.65,0.85},{"River","Rainwater","Borehole","Vendor"}),LOOKUP(RAND(),{0,0.25,0.5,0.75},{"River","Rainwater","Borehole","Vendor"}))),IF(B873="Oloitoktok B",IF(D873&lt;15000,LOOKUP(RAND(),{0,0.5,0.78,0.94},{"River","Rainwater","Borehole","Vendor"}),IF(D873&lt;30000,LOOKUP(RAND(),{0,0.4,0.68,0.87},{"River","Rainwater","Borehole","Vendor"}),LOOKUP(RAND(),{0,0.28,0.55,0.78},{"River","Rainwater","Borehole","Vendor"}))),IF(B873="Kiserian",IF(D873&lt;15000,LOOKUP(RAND(),{0,0.35,0.65,0.9},{"River","Rainwater","Borehole","Vendor"}),IF(D873&lt;30000,LOOKUP(RAND(),{0,0.25,0.55,0.82},{"River","Rainwater","Borehole","Vendor"}),LOOKUP(RAND(),{0,0.15,0.45,0.72},{"River","Rainwater","Borehole","Vendor"}))),IF(D873&lt;15000,LOOKUP(RAND(),{0,0.4,0.7,0.92},{"River","Rainwater","Borehole","Vendor"}),IF(D873&lt;30000,LOOKUP(RAND(),{0,0.3,0.6,0.85},{"River","Rainwater","Borehole","Vendor"}),LOOKUP(RAND(),{0,0.2,0.5,0.75},{"River","Rainwater","Borehole","Vendor"}))))))</f>
        <v>Borehole</v>
      </c>
      <c r="F873">
        <f t="shared" ca="1" si="79"/>
        <v>21</v>
      </c>
      <c r="G873">
        <f t="shared" ca="1" si="80"/>
        <v>1.4</v>
      </c>
      <c r="H873">
        <f t="shared" ca="1" si="81"/>
        <v>1800</v>
      </c>
      <c r="I873">
        <f t="shared" ca="1" si="82"/>
        <v>0.56509810868558419</v>
      </c>
      <c r="J873">
        <v>1</v>
      </c>
    </row>
    <row r="874" spans="1:10" x14ac:dyDescent="0.3">
      <c r="A874" t="str">
        <f t="shared" si="83"/>
        <v>HH873</v>
      </c>
      <c r="B874" t="str">
        <f ca="1">LOOKUP(RAND(),{0,0.28,0.55,0.78},{"Oloitoktok A","Oloitoktok B","Kiserian","Namanga"})</f>
        <v>Oloitoktok A</v>
      </c>
      <c r="C874">
        <f ca="1">LOOKUP(RAND(),{0,0.02,0.09,0.2,0.35,0.52,0.68,0.81,0.91,0.97},{1,2,3,4,5,6,7,8,9,10})</f>
        <v>6</v>
      </c>
      <c r="D874">
        <f t="shared" ca="1" si="78"/>
        <v>10800</v>
      </c>
      <c r="E874" t="str">
        <f ca="1">IF(B874="Oloitoktok A",IF(D874&lt;15000,LOOKUP(RAND(),{0,0.45,0.75,0.92},{"River","Rainwater","Borehole","Vendor"}),IF(D874&lt;30000,LOOKUP(RAND(),{0,0.35,0.65,0.85},{"River","Rainwater","Borehole","Vendor"}),LOOKUP(RAND(),{0,0.25,0.5,0.75},{"River","Rainwater","Borehole","Vendor"}))),IF(B874="Oloitoktok B",IF(D874&lt;15000,LOOKUP(RAND(),{0,0.5,0.78,0.94},{"River","Rainwater","Borehole","Vendor"}),IF(D874&lt;30000,LOOKUP(RAND(),{0,0.4,0.68,0.87},{"River","Rainwater","Borehole","Vendor"}),LOOKUP(RAND(),{0,0.28,0.55,0.78},{"River","Rainwater","Borehole","Vendor"}))),IF(B874="Kiserian",IF(D874&lt;15000,LOOKUP(RAND(),{0,0.35,0.65,0.9},{"River","Rainwater","Borehole","Vendor"}),IF(D874&lt;30000,LOOKUP(RAND(),{0,0.25,0.55,0.82},{"River","Rainwater","Borehole","Vendor"}),LOOKUP(RAND(),{0,0.15,0.45,0.72},{"River","Rainwater","Borehole","Vendor"}))),IF(D874&lt;15000,LOOKUP(RAND(),{0,0.4,0.7,0.92},{"River","Rainwater","Borehole","Vendor"}),IF(D874&lt;30000,LOOKUP(RAND(),{0,0.3,0.6,0.85},{"River","Rainwater","Borehole","Vendor"}),LOOKUP(RAND(),{0,0.2,0.5,0.75},{"River","Rainwater","Borehole","Vendor"}))))))</f>
        <v>River</v>
      </c>
      <c r="F874">
        <f t="shared" ca="1" si="79"/>
        <v>78</v>
      </c>
      <c r="G874">
        <f t="shared" ca="1" si="80"/>
        <v>5.8</v>
      </c>
      <c r="H874">
        <f t="shared" ca="1" si="81"/>
        <v>8300</v>
      </c>
      <c r="I874">
        <f t="shared" ca="1" si="82"/>
        <v>7.7764828894579474E-2</v>
      </c>
      <c r="J874">
        <v>1</v>
      </c>
    </row>
    <row r="875" spans="1:10" x14ac:dyDescent="0.3">
      <c r="A875" t="str">
        <f t="shared" si="83"/>
        <v>HH874</v>
      </c>
      <c r="B875" t="str">
        <f ca="1">LOOKUP(RAND(),{0,0.28,0.55,0.78},{"Oloitoktok A","Oloitoktok B","Kiserian","Namanga"})</f>
        <v>Oloitoktok B</v>
      </c>
      <c r="C875">
        <f ca="1">LOOKUP(RAND(),{0,0.02,0.09,0.2,0.35,0.52,0.68,0.81,0.91,0.97},{1,2,3,4,5,6,7,8,9,10})</f>
        <v>5</v>
      </c>
      <c r="D875">
        <f t="shared" ca="1" si="78"/>
        <v>93500</v>
      </c>
      <c r="E875" t="str">
        <f ca="1">IF(B875="Oloitoktok A",IF(D875&lt;15000,LOOKUP(RAND(),{0,0.45,0.75,0.92},{"River","Rainwater","Borehole","Vendor"}),IF(D875&lt;30000,LOOKUP(RAND(),{0,0.35,0.65,0.85},{"River","Rainwater","Borehole","Vendor"}),LOOKUP(RAND(),{0,0.25,0.5,0.75},{"River","Rainwater","Borehole","Vendor"}))),IF(B875="Oloitoktok B",IF(D875&lt;15000,LOOKUP(RAND(),{0,0.5,0.78,0.94},{"River","Rainwater","Borehole","Vendor"}),IF(D875&lt;30000,LOOKUP(RAND(),{0,0.4,0.68,0.87},{"River","Rainwater","Borehole","Vendor"}),LOOKUP(RAND(),{0,0.28,0.55,0.78},{"River","Rainwater","Borehole","Vendor"}))),IF(B875="Kiserian",IF(D875&lt;15000,LOOKUP(RAND(),{0,0.35,0.65,0.9},{"River","Rainwater","Borehole","Vendor"}),IF(D875&lt;30000,LOOKUP(RAND(),{0,0.25,0.55,0.82},{"River","Rainwater","Borehole","Vendor"}),LOOKUP(RAND(),{0,0.15,0.45,0.72},{"River","Rainwater","Borehole","Vendor"}))),IF(D875&lt;15000,LOOKUP(RAND(),{0,0.4,0.7,0.92},{"River","Rainwater","Borehole","Vendor"}),IF(D875&lt;30000,LOOKUP(RAND(),{0,0.3,0.6,0.85},{"River","Rainwater","Borehole","Vendor"}),LOOKUP(RAND(),{0,0.2,0.5,0.75},{"River","Rainwater","Borehole","Vendor"}))))))</f>
        <v>River</v>
      </c>
      <c r="F875">
        <f t="shared" ca="1" si="79"/>
        <v>87</v>
      </c>
      <c r="G875">
        <f t="shared" ca="1" si="80"/>
        <v>6.9</v>
      </c>
      <c r="H875">
        <f t="shared" ca="1" si="81"/>
        <v>5600</v>
      </c>
      <c r="I875">
        <f t="shared" ca="1" si="82"/>
        <v>0.14750307601425861</v>
      </c>
      <c r="J875">
        <v>1</v>
      </c>
    </row>
    <row r="876" spans="1:10" x14ac:dyDescent="0.3">
      <c r="A876" t="str">
        <f t="shared" si="83"/>
        <v>HH875</v>
      </c>
      <c r="B876" t="str">
        <f ca="1">LOOKUP(RAND(),{0,0.28,0.55,0.78},{"Oloitoktok A","Oloitoktok B","Kiserian","Namanga"})</f>
        <v>Namanga</v>
      </c>
      <c r="C876">
        <f ca="1">LOOKUP(RAND(),{0,0.02,0.09,0.2,0.35,0.52,0.68,0.81,0.91,0.97},{1,2,3,4,5,6,7,8,9,10})</f>
        <v>10</v>
      </c>
      <c r="D876">
        <f t="shared" ca="1" si="78"/>
        <v>79700</v>
      </c>
      <c r="E876" t="str">
        <f ca="1">IF(B876="Oloitoktok A",IF(D876&lt;15000,LOOKUP(RAND(),{0,0.45,0.75,0.92},{"River","Rainwater","Borehole","Vendor"}),IF(D876&lt;30000,LOOKUP(RAND(),{0,0.35,0.65,0.85},{"River","Rainwater","Borehole","Vendor"}),LOOKUP(RAND(),{0,0.25,0.5,0.75},{"River","Rainwater","Borehole","Vendor"}))),IF(B876="Oloitoktok B",IF(D876&lt;15000,LOOKUP(RAND(),{0,0.5,0.78,0.94},{"River","Rainwater","Borehole","Vendor"}),IF(D876&lt;30000,LOOKUP(RAND(),{0,0.4,0.68,0.87},{"River","Rainwater","Borehole","Vendor"}),LOOKUP(RAND(),{0,0.28,0.55,0.78},{"River","Rainwater","Borehole","Vendor"}))),IF(B876="Kiserian",IF(D876&lt;15000,LOOKUP(RAND(),{0,0.35,0.65,0.9},{"River","Rainwater","Borehole","Vendor"}),IF(D876&lt;30000,LOOKUP(RAND(),{0,0.25,0.55,0.82},{"River","Rainwater","Borehole","Vendor"}),LOOKUP(RAND(),{0,0.15,0.45,0.72},{"River","Rainwater","Borehole","Vendor"}))),IF(D876&lt;15000,LOOKUP(RAND(),{0,0.4,0.7,0.92},{"River","Rainwater","Borehole","Vendor"}),IF(D876&lt;30000,LOOKUP(RAND(),{0,0.3,0.6,0.85},{"River","Rainwater","Borehole","Vendor"}),LOOKUP(RAND(),{0,0.2,0.5,0.75},{"River","Rainwater","Borehole","Vendor"}))))))</f>
        <v>Borehole</v>
      </c>
      <c r="F876">
        <f t="shared" ca="1" si="79"/>
        <v>66</v>
      </c>
      <c r="G876">
        <f t="shared" ca="1" si="80"/>
        <v>1.3</v>
      </c>
      <c r="H876">
        <f t="shared" ca="1" si="81"/>
        <v>6300</v>
      </c>
      <c r="I876">
        <f t="shared" ca="1" si="82"/>
        <v>0.54771736079477884</v>
      </c>
      <c r="J876">
        <v>1</v>
      </c>
    </row>
    <row r="877" spans="1:10" x14ac:dyDescent="0.3">
      <c r="A877" t="str">
        <f t="shared" si="83"/>
        <v>HH876</v>
      </c>
      <c r="B877" t="str">
        <f ca="1">LOOKUP(RAND(),{0,0.28,0.55,0.78},{"Oloitoktok A","Oloitoktok B","Kiserian","Namanga"})</f>
        <v>Kiserian</v>
      </c>
      <c r="C877">
        <f ca="1">LOOKUP(RAND(),{0,0.02,0.09,0.2,0.35,0.52,0.68,0.81,0.91,0.97},{1,2,3,4,5,6,7,8,9,10})</f>
        <v>7</v>
      </c>
      <c r="D877">
        <f t="shared" ca="1" si="78"/>
        <v>35600</v>
      </c>
      <c r="E877" t="str">
        <f ca="1">IF(B877="Oloitoktok A",IF(D877&lt;15000,LOOKUP(RAND(),{0,0.45,0.75,0.92},{"River","Rainwater","Borehole","Vendor"}),IF(D877&lt;30000,LOOKUP(RAND(),{0,0.35,0.65,0.85},{"River","Rainwater","Borehole","Vendor"}),LOOKUP(RAND(),{0,0.25,0.5,0.75},{"River","Rainwater","Borehole","Vendor"}))),IF(B877="Oloitoktok B",IF(D877&lt;15000,LOOKUP(RAND(),{0,0.5,0.78,0.94},{"River","Rainwater","Borehole","Vendor"}),IF(D877&lt;30000,LOOKUP(RAND(),{0,0.4,0.68,0.87},{"River","Rainwater","Borehole","Vendor"}),LOOKUP(RAND(),{0,0.28,0.55,0.78},{"River","Rainwater","Borehole","Vendor"}))),IF(B877="Kiserian",IF(D877&lt;15000,LOOKUP(RAND(),{0,0.35,0.65,0.9},{"River","Rainwater","Borehole","Vendor"}),IF(D877&lt;30000,LOOKUP(RAND(),{0,0.25,0.55,0.82},{"River","Rainwater","Borehole","Vendor"}),LOOKUP(RAND(),{0,0.15,0.45,0.72},{"River","Rainwater","Borehole","Vendor"}))),IF(D877&lt;15000,LOOKUP(RAND(),{0,0.4,0.7,0.92},{"River","Rainwater","Borehole","Vendor"}),IF(D877&lt;30000,LOOKUP(RAND(),{0,0.3,0.6,0.85},{"River","Rainwater","Borehole","Vendor"}),LOOKUP(RAND(),{0,0.2,0.5,0.75},{"River","Rainwater","Borehole","Vendor"}))))))</f>
        <v>Borehole</v>
      </c>
      <c r="F877">
        <f t="shared" ca="1" si="79"/>
        <v>43</v>
      </c>
      <c r="G877">
        <f t="shared" ca="1" si="80"/>
        <v>9.3000000000000007</v>
      </c>
      <c r="H877">
        <f t="shared" ca="1" si="81"/>
        <v>5100</v>
      </c>
      <c r="I877">
        <f t="shared" ca="1" si="82"/>
        <v>0.83492206179666562</v>
      </c>
      <c r="J877">
        <v>1</v>
      </c>
    </row>
    <row r="878" spans="1:10" x14ac:dyDescent="0.3">
      <c r="A878" t="str">
        <f t="shared" si="83"/>
        <v>HH877</v>
      </c>
      <c r="B878" t="str">
        <f ca="1">LOOKUP(RAND(),{0,0.28,0.55,0.78},{"Oloitoktok A","Oloitoktok B","Kiserian","Namanga"})</f>
        <v>Kiserian</v>
      </c>
      <c r="C878">
        <f ca="1">LOOKUP(RAND(),{0,0.02,0.09,0.2,0.35,0.52,0.68,0.81,0.91,0.97},{1,2,3,4,5,6,7,8,9,10})</f>
        <v>3</v>
      </c>
      <c r="D878">
        <f t="shared" ca="1" si="78"/>
        <v>43200</v>
      </c>
      <c r="E878" t="str">
        <f ca="1">IF(B878="Oloitoktok A",IF(D878&lt;15000,LOOKUP(RAND(),{0,0.45,0.75,0.92},{"River","Rainwater","Borehole","Vendor"}),IF(D878&lt;30000,LOOKUP(RAND(),{0,0.35,0.65,0.85},{"River","Rainwater","Borehole","Vendor"}),LOOKUP(RAND(),{0,0.25,0.5,0.75},{"River","Rainwater","Borehole","Vendor"}))),IF(B878="Oloitoktok B",IF(D878&lt;15000,LOOKUP(RAND(),{0,0.5,0.78,0.94},{"River","Rainwater","Borehole","Vendor"}),IF(D878&lt;30000,LOOKUP(RAND(),{0,0.4,0.68,0.87},{"River","Rainwater","Borehole","Vendor"}),LOOKUP(RAND(),{0,0.28,0.55,0.78},{"River","Rainwater","Borehole","Vendor"}))),IF(B878="Kiserian",IF(D878&lt;15000,LOOKUP(RAND(),{0,0.35,0.65,0.9},{"River","Rainwater","Borehole","Vendor"}),IF(D878&lt;30000,LOOKUP(RAND(),{0,0.25,0.55,0.82},{"River","Rainwater","Borehole","Vendor"}),LOOKUP(RAND(),{0,0.15,0.45,0.72},{"River","Rainwater","Borehole","Vendor"}))),IF(D878&lt;15000,LOOKUP(RAND(),{0,0.4,0.7,0.92},{"River","Rainwater","Borehole","Vendor"}),IF(D878&lt;30000,LOOKUP(RAND(),{0,0.3,0.6,0.85},{"River","Rainwater","Borehole","Vendor"}),LOOKUP(RAND(),{0,0.2,0.5,0.75},{"River","Rainwater","Borehole","Vendor"}))))))</f>
        <v>Borehole</v>
      </c>
      <c r="F878">
        <f t="shared" ca="1" si="79"/>
        <v>37</v>
      </c>
      <c r="G878">
        <f t="shared" ca="1" si="80"/>
        <v>8.1</v>
      </c>
      <c r="H878">
        <f t="shared" ca="1" si="81"/>
        <v>8900</v>
      </c>
      <c r="I878">
        <f t="shared" ca="1" si="82"/>
        <v>0.43252854369563321</v>
      </c>
      <c r="J878">
        <v>1</v>
      </c>
    </row>
    <row r="879" spans="1:10" x14ac:dyDescent="0.3">
      <c r="A879" t="str">
        <f t="shared" si="83"/>
        <v>HH878</v>
      </c>
      <c r="B879" t="str">
        <f ca="1">LOOKUP(RAND(),{0,0.28,0.55,0.78},{"Oloitoktok A","Oloitoktok B","Kiserian","Namanga"})</f>
        <v>Oloitoktok B</v>
      </c>
      <c r="C879">
        <f ca="1">LOOKUP(RAND(),{0,0.02,0.09,0.2,0.35,0.52,0.68,0.81,0.91,0.97},{1,2,3,4,5,6,7,8,9,10})</f>
        <v>4</v>
      </c>
      <c r="D879">
        <f t="shared" ca="1" si="78"/>
        <v>12500</v>
      </c>
      <c r="E879" t="str">
        <f ca="1">IF(B879="Oloitoktok A",IF(D879&lt;15000,LOOKUP(RAND(),{0,0.45,0.75,0.92},{"River","Rainwater","Borehole","Vendor"}),IF(D879&lt;30000,LOOKUP(RAND(),{0,0.35,0.65,0.85},{"River","Rainwater","Borehole","Vendor"}),LOOKUP(RAND(),{0,0.25,0.5,0.75},{"River","Rainwater","Borehole","Vendor"}))),IF(B879="Oloitoktok B",IF(D879&lt;15000,LOOKUP(RAND(),{0,0.5,0.78,0.94},{"River","Rainwater","Borehole","Vendor"}),IF(D879&lt;30000,LOOKUP(RAND(),{0,0.4,0.68,0.87},{"River","Rainwater","Borehole","Vendor"}),LOOKUP(RAND(),{0,0.28,0.55,0.78},{"River","Rainwater","Borehole","Vendor"}))),IF(B879="Kiserian",IF(D879&lt;15000,LOOKUP(RAND(),{0,0.35,0.65,0.9},{"River","Rainwater","Borehole","Vendor"}),IF(D879&lt;30000,LOOKUP(RAND(),{0,0.25,0.55,0.82},{"River","Rainwater","Borehole","Vendor"}),LOOKUP(RAND(),{0,0.15,0.45,0.72},{"River","Rainwater","Borehole","Vendor"}))),IF(D879&lt;15000,LOOKUP(RAND(),{0,0.4,0.7,0.92},{"River","Rainwater","Borehole","Vendor"}),IF(D879&lt;30000,LOOKUP(RAND(),{0,0.3,0.6,0.85},{"River","Rainwater","Borehole","Vendor"}),LOOKUP(RAND(),{0,0.2,0.5,0.75},{"River","Rainwater","Borehole","Vendor"}))))))</f>
        <v>River</v>
      </c>
      <c r="F879">
        <f t="shared" ca="1" si="79"/>
        <v>75</v>
      </c>
      <c r="G879">
        <f t="shared" ca="1" si="80"/>
        <v>0.4</v>
      </c>
      <c r="H879">
        <f t="shared" ca="1" si="81"/>
        <v>3300</v>
      </c>
      <c r="I879">
        <f t="shared" ca="1" si="82"/>
        <v>0.38849010712292775</v>
      </c>
      <c r="J879">
        <v>1</v>
      </c>
    </row>
    <row r="880" spans="1:10" x14ac:dyDescent="0.3">
      <c r="A880" t="str">
        <f t="shared" si="83"/>
        <v>HH879</v>
      </c>
      <c r="B880" t="str">
        <f ca="1">LOOKUP(RAND(),{0,0.28,0.55,0.78},{"Oloitoktok A","Oloitoktok B","Kiserian","Namanga"})</f>
        <v>Oloitoktok A</v>
      </c>
      <c r="C880">
        <f ca="1">LOOKUP(RAND(),{0,0.02,0.09,0.2,0.35,0.52,0.68,0.81,0.91,0.97},{1,2,3,4,5,6,7,8,9,10})</f>
        <v>5</v>
      </c>
      <c r="D880">
        <f t="shared" ca="1" si="78"/>
        <v>44700</v>
      </c>
      <c r="E880" t="str">
        <f ca="1">IF(B880="Oloitoktok A",IF(D880&lt;15000,LOOKUP(RAND(),{0,0.45,0.75,0.92},{"River","Rainwater","Borehole","Vendor"}),IF(D880&lt;30000,LOOKUP(RAND(),{0,0.35,0.65,0.85},{"River","Rainwater","Borehole","Vendor"}),LOOKUP(RAND(),{0,0.25,0.5,0.75},{"River","Rainwater","Borehole","Vendor"}))),IF(B880="Oloitoktok B",IF(D880&lt;15000,LOOKUP(RAND(),{0,0.5,0.78,0.94},{"River","Rainwater","Borehole","Vendor"}),IF(D880&lt;30000,LOOKUP(RAND(),{0,0.4,0.68,0.87},{"River","Rainwater","Borehole","Vendor"}),LOOKUP(RAND(),{0,0.28,0.55,0.78},{"River","Rainwater","Borehole","Vendor"}))),IF(B880="Kiserian",IF(D880&lt;15000,LOOKUP(RAND(),{0,0.35,0.65,0.9},{"River","Rainwater","Borehole","Vendor"}),IF(D880&lt;30000,LOOKUP(RAND(),{0,0.25,0.55,0.82},{"River","Rainwater","Borehole","Vendor"}),LOOKUP(RAND(),{0,0.15,0.45,0.72},{"River","Rainwater","Borehole","Vendor"}))),IF(D880&lt;15000,LOOKUP(RAND(),{0,0.4,0.7,0.92},{"River","Rainwater","Borehole","Vendor"}),IF(D880&lt;30000,LOOKUP(RAND(),{0,0.3,0.6,0.85},{"River","Rainwater","Borehole","Vendor"}),LOOKUP(RAND(),{0,0.2,0.5,0.75},{"River","Rainwater","Borehole","Vendor"}))))))</f>
        <v>Borehole</v>
      </c>
      <c r="F880">
        <f t="shared" ca="1" si="79"/>
        <v>64</v>
      </c>
      <c r="G880">
        <f t="shared" ca="1" si="80"/>
        <v>15</v>
      </c>
      <c r="H880">
        <f t="shared" ca="1" si="81"/>
        <v>6800</v>
      </c>
      <c r="I880">
        <f t="shared" ca="1" si="82"/>
        <v>0.4052714683816554</v>
      </c>
      <c r="J880">
        <v>1</v>
      </c>
    </row>
    <row r="881" spans="1:10" x14ac:dyDescent="0.3">
      <c r="A881" t="str">
        <f t="shared" si="83"/>
        <v>HH880</v>
      </c>
      <c r="B881" t="str">
        <f ca="1">LOOKUP(RAND(),{0,0.28,0.55,0.78},{"Oloitoktok A","Oloitoktok B","Kiserian","Namanga"})</f>
        <v>Namanga</v>
      </c>
      <c r="C881">
        <f ca="1">LOOKUP(RAND(),{0,0.02,0.09,0.2,0.35,0.52,0.68,0.81,0.91,0.97},{1,2,3,4,5,6,7,8,9,10})</f>
        <v>4</v>
      </c>
      <c r="D881">
        <f t="shared" ca="1" si="78"/>
        <v>11400</v>
      </c>
      <c r="E881" t="str">
        <f ca="1">IF(B881="Oloitoktok A",IF(D881&lt;15000,LOOKUP(RAND(),{0,0.45,0.75,0.92},{"River","Rainwater","Borehole","Vendor"}),IF(D881&lt;30000,LOOKUP(RAND(),{0,0.35,0.65,0.85},{"River","Rainwater","Borehole","Vendor"}),LOOKUP(RAND(),{0,0.25,0.5,0.75},{"River","Rainwater","Borehole","Vendor"}))),IF(B881="Oloitoktok B",IF(D881&lt;15000,LOOKUP(RAND(),{0,0.5,0.78,0.94},{"River","Rainwater","Borehole","Vendor"}),IF(D881&lt;30000,LOOKUP(RAND(),{0,0.4,0.68,0.87},{"River","Rainwater","Borehole","Vendor"}),LOOKUP(RAND(),{0,0.28,0.55,0.78},{"River","Rainwater","Borehole","Vendor"}))),IF(B881="Kiserian",IF(D881&lt;15000,LOOKUP(RAND(),{0,0.35,0.65,0.9},{"River","Rainwater","Borehole","Vendor"}),IF(D881&lt;30000,LOOKUP(RAND(),{0,0.25,0.55,0.82},{"River","Rainwater","Borehole","Vendor"}),LOOKUP(RAND(),{0,0.15,0.45,0.72},{"River","Rainwater","Borehole","Vendor"}))),IF(D881&lt;15000,LOOKUP(RAND(),{0,0.4,0.7,0.92},{"River","Rainwater","Borehole","Vendor"}),IF(D881&lt;30000,LOOKUP(RAND(),{0,0.3,0.6,0.85},{"River","Rainwater","Borehole","Vendor"}),LOOKUP(RAND(),{0,0.2,0.5,0.75},{"River","Rainwater","Borehole","Vendor"}))))))</f>
        <v>Borehole</v>
      </c>
      <c r="F881">
        <f t="shared" ca="1" si="79"/>
        <v>63</v>
      </c>
      <c r="G881">
        <f t="shared" ca="1" si="80"/>
        <v>8.8000000000000007</v>
      </c>
      <c r="H881">
        <f t="shared" ca="1" si="81"/>
        <v>1900</v>
      </c>
      <c r="I881">
        <f t="shared" ca="1" si="82"/>
        <v>0.2876163090955155</v>
      </c>
      <c r="J881">
        <v>1</v>
      </c>
    </row>
    <row r="882" spans="1:10" x14ac:dyDescent="0.3">
      <c r="A882" t="str">
        <f t="shared" si="83"/>
        <v>HH881</v>
      </c>
      <c r="B882" t="str">
        <f ca="1">LOOKUP(RAND(),{0,0.28,0.55,0.78},{"Oloitoktok A","Oloitoktok B","Kiserian","Namanga"})</f>
        <v>Namanga</v>
      </c>
      <c r="C882">
        <f ca="1">LOOKUP(RAND(),{0,0.02,0.09,0.2,0.35,0.52,0.68,0.81,0.91,0.97},{1,2,3,4,5,6,7,8,9,10})</f>
        <v>2</v>
      </c>
      <c r="D882">
        <f t="shared" ca="1" si="78"/>
        <v>49700</v>
      </c>
      <c r="E882" t="str">
        <f ca="1">IF(B882="Oloitoktok A",IF(D882&lt;15000,LOOKUP(RAND(),{0,0.45,0.75,0.92},{"River","Rainwater","Borehole","Vendor"}),IF(D882&lt;30000,LOOKUP(RAND(),{0,0.35,0.65,0.85},{"River","Rainwater","Borehole","Vendor"}),LOOKUP(RAND(),{0,0.25,0.5,0.75},{"River","Rainwater","Borehole","Vendor"}))),IF(B882="Oloitoktok B",IF(D882&lt;15000,LOOKUP(RAND(),{0,0.5,0.78,0.94},{"River","Rainwater","Borehole","Vendor"}),IF(D882&lt;30000,LOOKUP(RAND(),{0,0.4,0.68,0.87},{"River","Rainwater","Borehole","Vendor"}),LOOKUP(RAND(),{0,0.28,0.55,0.78},{"River","Rainwater","Borehole","Vendor"}))),IF(B882="Kiserian",IF(D882&lt;15000,LOOKUP(RAND(),{0,0.35,0.65,0.9},{"River","Rainwater","Borehole","Vendor"}),IF(D882&lt;30000,LOOKUP(RAND(),{0,0.25,0.55,0.82},{"River","Rainwater","Borehole","Vendor"}),LOOKUP(RAND(),{0,0.15,0.45,0.72},{"River","Rainwater","Borehole","Vendor"}))),IF(D882&lt;15000,LOOKUP(RAND(),{0,0.4,0.7,0.92},{"River","Rainwater","Borehole","Vendor"}),IF(D882&lt;30000,LOOKUP(RAND(),{0,0.3,0.6,0.85},{"River","Rainwater","Borehole","Vendor"}),LOOKUP(RAND(),{0,0.2,0.5,0.75},{"River","Rainwater","Borehole","Vendor"}))))))</f>
        <v>River</v>
      </c>
      <c r="F882">
        <f t="shared" ca="1" si="79"/>
        <v>49</v>
      </c>
      <c r="G882">
        <f t="shared" ca="1" si="80"/>
        <v>1.8</v>
      </c>
      <c r="H882">
        <f t="shared" ca="1" si="81"/>
        <v>4700</v>
      </c>
      <c r="I882">
        <f t="shared" ca="1" si="82"/>
        <v>0.91205365854647213</v>
      </c>
      <c r="J882">
        <v>1</v>
      </c>
    </row>
    <row r="883" spans="1:10" x14ac:dyDescent="0.3">
      <c r="A883" t="str">
        <f t="shared" si="83"/>
        <v>HH882</v>
      </c>
      <c r="B883" t="str">
        <f ca="1">LOOKUP(RAND(),{0,0.28,0.55,0.78},{"Oloitoktok A","Oloitoktok B","Kiserian","Namanga"})</f>
        <v>Kiserian</v>
      </c>
      <c r="C883">
        <f ca="1">LOOKUP(RAND(),{0,0.02,0.09,0.2,0.35,0.52,0.68,0.81,0.91,0.97},{1,2,3,4,5,6,7,8,9,10})</f>
        <v>4</v>
      </c>
      <c r="D883">
        <f t="shared" ca="1" si="78"/>
        <v>35100</v>
      </c>
      <c r="E883" t="str">
        <f ca="1">IF(B883="Oloitoktok A",IF(D883&lt;15000,LOOKUP(RAND(),{0,0.45,0.75,0.92},{"River","Rainwater","Borehole","Vendor"}),IF(D883&lt;30000,LOOKUP(RAND(),{0,0.35,0.65,0.85},{"River","Rainwater","Borehole","Vendor"}),LOOKUP(RAND(),{0,0.25,0.5,0.75},{"River","Rainwater","Borehole","Vendor"}))),IF(B883="Oloitoktok B",IF(D883&lt;15000,LOOKUP(RAND(),{0,0.5,0.78,0.94},{"River","Rainwater","Borehole","Vendor"}),IF(D883&lt;30000,LOOKUP(RAND(),{0,0.4,0.68,0.87},{"River","Rainwater","Borehole","Vendor"}),LOOKUP(RAND(),{0,0.28,0.55,0.78},{"River","Rainwater","Borehole","Vendor"}))),IF(B883="Kiserian",IF(D883&lt;15000,LOOKUP(RAND(),{0,0.35,0.65,0.9},{"River","Rainwater","Borehole","Vendor"}),IF(D883&lt;30000,LOOKUP(RAND(),{0,0.25,0.55,0.82},{"River","Rainwater","Borehole","Vendor"}),LOOKUP(RAND(),{0,0.15,0.45,0.72},{"River","Rainwater","Borehole","Vendor"}))),IF(D883&lt;15000,LOOKUP(RAND(),{0,0.4,0.7,0.92},{"River","Rainwater","Borehole","Vendor"}),IF(D883&lt;30000,LOOKUP(RAND(),{0,0.3,0.6,0.85},{"River","Rainwater","Borehole","Vendor"}),LOOKUP(RAND(),{0,0.2,0.5,0.75},{"River","Rainwater","Borehole","Vendor"}))))))</f>
        <v>Borehole</v>
      </c>
      <c r="F883">
        <f t="shared" ca="1" si="79"/>
        <v>26</v>
      </c>
      <c r="G883">
        <f t="shared" ca="1" si="80"/>
        <v>7.9</v>
      </c>
      <c r="H883">
        <f t="shared" ca="1" si="81"/>
        <v>1600</v>
      </c>
      <c r="I883">
        <f t="shared" ca="1" si="82"/>
        <v>0.55479600826950326</v>
      </c>
      <c r="J883">
        <v>1</v>
      </c>
    </row>
    <row r="884" spans="1:10" x14ac:dyDescent="0.3">
      <c r="A884" t="str">
        <f t="shared" si="83"/>
        <v>HH883</v>
      </c>
      <c r="B884" t="str">
        <f ca="1">LOOKUP(RAND(),{0,0.28,0.55,0.78},{"Oloitoktok A","Oloitoktok B","Kiserian","Namanga"})</f>
        <v>Oloitoktok B</v>
      </c>
      <c r="C884">
        <f ca="1">LOOKUP(RAND(),{0,0.02,0.09,0.2,0.35,0.52,0.68,0.81,0.91,0.97},{1,2,3,4,5,6,7,8,9,10})</f>
        <v>4</v>
      </c>
      <c r="D884">
        <f t="shared" ca="1" si="78"/>
        <v>28800</v>
      </c>
      <c r="E884" t="str">
        <f ca="1">IF(B884="Oloitoktok A",IF(D884&lt;15000,LOOKUP(RAND(),{0,0.45,0.75,0.92},{"River","Rainwater","Borehole","Vendor"}),IF(D884&lt;30000,LOOKUP(RAND(),{0,0.35,0.65,0.85},{"River","Rainwater","Borehole","Vendor"}),LOOKUP(RAND(),{0,0.25,0.5,0.75},{"River","Rainwater","Borehole","Vendor"}))),IF(B884="Oloitoktok B",IF(D884&lt;15000,LOOKUP(RAND(),{0,0.5,0.78,0.94},{"River","Rainwater","Borehole","Vendor"}),IF(D884&lt;30000,LOOKUP(RAND(),{0,0.4,0.68,0.87},{"River","Rainwater","Borehole","Vendor"}),LOOKUP(RAND(),{0,0.28,0.55,0.78},{"River","Rainwater","Borehole","Vendor"}))),IF(B884="Kiserian",IF(D884&lt;15000,LOOKUP(RAND(),{0,0.35,0.65,0.9},{"River","Rainwater","Borehole","Vendor"}),IF(D884&lt;30000,LOOKUP(RAND(),{0,0.25,0.55,0.82},{"River","Rainwater","Borehole","Vendor"}),LOOKUP(RAND(),{0,0.15,0.45,0.72},{"River","Rainwater","Borehole","Vendor"}))),IF(D884&lt;15000,LOOKUP(RAND(),{0,0.4,0.7,0.92},{"River","Rainwater","Borehole","Vendor"}),IF(D884&lt;30000,LOOKUP(RAND(),{0,0.3,0.6,0.85},{"River","Rainwater","Borehole","Vendor"}),LOOKUP(RAND(),{0,0.2,0.5,0.75},{"River","Rainwater","Borehole","Vendor"}))))))</f>
        <v>Vendor</v>
      </c>
      <c r="F884">
        <f t="shared" ca="1" si="79"/>
        <v>22</v>
      </c>
      <c r="G884">
        <f t="shared" ca="1" si="80"/>
        <v>13</v>
      </c>
      <c r="H884">
        <f t="shared" ca="1" si="81"/>
        <v>8400</v>
      </c>
      <c r="I884">
        <f t="shared" ca="1" si="82"/>
        <v>0.13651590071337016</v>
      </c>
      <c r="J884">
        <v>1</v>
      </c>
    </row>
    <row r="885" spans="1:10" x14ac:dyDescent="0.3">
      <c r="A885" t="str">
        <f t="shared" si="83"/>
        <v>HH884</v>
      </c>
      <c r="B885" t="str">
        <f ca="1">LOOKUP(RAND(),{0,0.28,0.55,0.78},{"Oloitoktok A","Oloitoktok B","Kiserian","Namanga"})</f>
        <v>Kiserian</v>
      </c>
      <c r="C885">
        <f ca="1">LOOKUP(RAND(),{0,0.02,0.09,0.2,0.35,0.52,0.68,0.81,0.91,0.97},{1,2,3,4,5,6,7,8,9,10})</f>
        <v>1</v>
      </c>
      <c r="D885">
        <f t="shared" ca="1" si="78"/>
        <v>17400</v>
      </c>
      <c r="E885" t="str">
        <f ca="1">IF(B885="Oloitoktok A",IF(D885&lt;15000,LOOKUP(RAND(),{0,0.45,0.75,0.92},{"River","Rainwater","Borehole","Vendor"}),IF(D885&lt;30000,LOOKUP(RAND(),{0,0.35,0.65,0.85},{"River","Rainwater","Borehole","Vendor"}),LOOKUP(RAND(),{0,0.25,0.5,0.75},{"River","Rainwater","Borehole","Vendor"}))),IF(B885="Oloitoktok B",IF(D885&lt;15000,LOOKUP(RAND(),{0,0.5,0.78,0.94},{"River","Rainwater","Borehole","Vendor"}),IF(D885&lt;30000,LOOKUP(RAND(),{0,0.4,0.68,0.87},{"River","Rainwater","Borehole","Vendor"}),LOOKUP(RAND(),{0,0.28,0.55,0.78},{"River","Rainwater","Borehole","Vendor"}))),IF(B885="Kiserian",IF(D885&lt;15000,LOOKUP(RAND(),{0,0.35,0.65,0.9},{"River","Rainwater","Borehole","Vendor"}),IF(D885&lt;30000,LOOKUP(RAND(),{0,0.25,0.55,0.82},{"River","Rainwater","Borehole","Vendor"}),LOOKUP(RAND(),{0,0.15,0.45,0.72},{"River","Rainwater","Borehole","Vendor"}))),IF(D885&lt;15000,LOOKUP(RAND(),{0,0.4,0.7,0.92},{"River","Rainwater","Borehole","Vendor"}),IF(D885&lt;30000,LOOKUP(RAND(),{0,0.3,0.6,0.85},{"River","Rainwater","Borehole","Vendor"}),LOOKUP(RAND(),{0,0.2,0.5,0.75},{"River","Rainwater","Borehole","Vendor"}))))))</f>
        <v>Rainwater</v>
      </c>
      <c r="F885">
        <f t="shared" ca="1" si="79"/>
        <v>52</v>
      </c>
      <c r="G885">
        <f t="shared" ca="1" si="80"/>
        <v>2.9</v>
      </c>
      <c r="H885">
        <f t="shared" ca="1" si="81"/>
        <v>2900</v>
      </c>
      <c r="I885">
        <f t="shared" ca="1" si="82"/>
        <v>0.9968039977721006</v>
      </c>
      <c r="J885">
        <v>1</v>
      </c>
    </row>
    <row r="886" spans="1:10" x14ac:dyDescent="0.3">
      <c r="A886" t="str">
        <f t="shared" si="83"/>
        <v>HH885</v>
      </c>
      <c r="B886" t="str">
        <f ca="1">LOOKUP(RAND(),{0,0.28,0.55,0.78},{"Oloitoktok A","Oloitoktok B","Kiserian","Namanga"})</f>
        <v>Kiserian</v>
      </c>
      <c r="C886">
        <f ca="1">LOOKUP(RAND(),{0,0.02,0.09,0.2,0.35,0.52,0.68,0.81,0.91,0.97},{1,2,3,4,5,6,7,8,9,10})</f>
        <v>7</v>
      </c>
      <c r="D886">
        <f t="shared" ca="1" si="78"/>
        <v>30200</v>
      </c>
      <c r="E886" t="str">
        <f ca="1">IF(B886="Oloitoktok A",IF(D886&lt;15000,LOOKUP(RAND(),{0,0.45,0.75,0.92},{"River","Rainwater","Borehole","Vendor"}),IF(D886&lt;30000,LOOKUP(RAND(),{0,0.35,0.65,0.85},{"River","Rainwater","Borehole","Vendor"}),LOOKUP(RAND(),{0,0.25,0.5,0.75},{"River","Rainwater","Borehole","Vendor"}))),IF(B886="Oloitoktok B",IF(D886&lt;15000,LOOKUP(RAND(),{0,0.5,0.78,0.94},{"River","Rainwater","Borehole","Vendor"}),IF(D886&lt;30000,LOOKUP(RAND(),{0,0.4,0.68,0.87},{"River","Rainwater","Borehole","Vendor"}),LOOKUP(RAND(),{0,0.28,0.55,0.78},{"River","Rainwater","Borehole","Vendor"}))),IF(B886="Kiserian",IF(D886&lt;15000,LOOKUP(RAND(),{0,0.35,0.65,0.9},{"River","Rainwater","Borehole","Vendor"}),IF(D886&lt;30000,LOOKUP(RAND(),{0,0.25,0.55,0.82},{"River","Rainwater","Borehole","Vendor"}),LOOKUP(RAND(),{0,0.15,0.45,0.72},{"River","Rainwater","Borehole","Vendor"}))),IF(D886&lt;15000,LOOKUP(RAND(),{0,0.4,0.7,0.92},{"River","Rainwater","Borehole","Vendor"}),IF(D886&lt;30000,LOOKUP(RAND(),{0,0.3,0.6,0.85},{"River","Rainwater","Borehole","Vendor"}),LOOKUP(RAND(),{0,0.2,0.5,0.75},{"River","Rainwater","Borehole","Vendor"}))))))</f>
        <v>Borehole</v>
      </c>
      <c r="F886">
        <f t="shared" ca="1" si="79"/>
        <v>29</v>
      </c>
      <c r="G886">
        <f t="shared" ca="1" si="80"/>
        <v>8.8000000000000007</v>
      </c>
      <c r="H886">
        <f t="shared" ca="1" si="81"/>
        <v>5400</v>
      </c>
      <c r="I886">
        <f t="shared" ca="1" si="82"/>
        <v>0.45371436739766402</v>
      </c>
      <c r="J886">
        <v>1</v>
      </c>
    </row>
    <row r="887" spans="1:10" x14ac:dyDescent="0.3">
      <c r="A887" t="str">
        <f t="shared" si="83"/>
        <v>HH886</v>
      </c>
      <c r="B887" t="str">
        <f ca="1">LOOKUP(RAND(),{0,0.28,0.55,0.78},{"Oloitoktok A","Oloitoktok B","Kiserian","Namanga"})</f>
        <v>Kiserian</v>
      </c>
      <c r="C887">
        <f ca="1">LOOKUP(RAND(),{0,0.02,0.09,0.2,0.35,0.52,0.68,0.81,0.91,0.97},{1,2,3,4,5,6,7,8,9,10})</f>
        <v>7</v>
      </c>
      <c r="D887">
        <f t="shared" ca="1" si="78"/>
        <v>15000</v>
      </c>
      <c r="E887" t="str">
        <f ca="1">IF(B887="Oloitoktok A",IF(D887&lt;15000,LOOKUP(RAND(),{0,0.45,0.75,0.92},{"River","Rainwater","Borehole","Vendor"}),IF(D887&lt;30000,LOOKUP(RAND(),{0,0.35,0.65,0.85},{"River","Rainwater","Borehole","Vendor"}),LOOKUP(RAND(),{0,0.25,0.5,0.75},{"River","Rainwater","Borehole","Vendor"}))),IF(B887="Oloitoktok B",IF(D887&lt;15000,LOOKUP(RAND(),{0,0.5,0.78,0.94},{"River","Rainwater","Borehole","Vendor"}),IF(D887&lt;30000,LOOKUP(RAND(),{0,0.4,0.68,0.87},{"River","Rainwater","Borehole","Vendor"}),LOOKUP(RAND(),{0,0.28,0.55,0.78},{"River","Rainwater","Borehole","Vendor"}))),IF(B887="Kiserian",IF(D887&lt;15000,LOOKUP(RAND(),{0,0.35,0.65,0.9},{"River","Rainwater","Borehole","Vendor"}),IF(D887&lt;30000,LOOKUP(RAND(),{0,0.25,0.55,0.82},{"River","Rainwater","Borehole","Vendor"}),LOOKUP(RAND(),{0,0.15,0.45,0.72},{"River","Rainwater","Borehole","Vendor"}))),IF(D887&lt;15000,LOOKUP(RAND(),{0,0.4,0.7,0.92},{"River","Rainwater","Borehole","Vendor"}),IF(D887&lt;30000,LOOKUP(RAND(),{0,0.3,0.6,0.85},{"River","Rainwater","Borehole","Vendor"}),LOOKUP(RAND(),{0,0.2,0.5,0.75},{"River","Rainwater","Borehole","Vendor"}))))))</f>
        <v>Rainwater</v>
      </c>
      <c r="F887">
        <f t="shared" ca="1" si="79"/>
        <v>22</v>
      </c>
      <c r="G887">
        <f t="shared" ca="1" si="80"/>
        <v>1.6</v>
      </c>
      <c r="H887">
        <f t="shared" ca="1" si="81"/>
        <v>6600</v>
      </c>
      <c r="I887">
        <f t="shared" ca="1" si="82"/>
        <v>0.59334203212506065</v>
      </c>
      <c r="J887">
        <v>1</v>
      </c>
    </row>
    <row r="888" spans="1:10" x14ac:dyDescent="0.3">
      <c r="A888" t="str">
        <f t="shared" si="83"/>
        <v>HH887</v>
      </c>
      <c r="B888" t="str">
        <f ca="1">LOOKUP(RAND(),{0,0.28,0.55,0.78},{"Oloitoktok A","Oloitoktok B","Kiserian","Namanga"})</f>
        <v>Oloitoktok B</v>
      </c>
      <c r="C888">
        <f ca="1">LOOKUP(RAND(),{0,0.02,0.09,0.2,0.35,0.52,0.68,0.81,0.91,0.97},{1,2,3,4,5,6,7,8,9,10})</f>
        <v>8</v>
      </c>
      <c r="D888">
        <f t="shared" ca="1" si="78"/>
        <v>40500</v>
      </c>
      <c r="E888" t="str">
        <f ca="1">IF(B888="Oloitoktok A",IF(D888&lt;15000,LOOKUP(RAND(),{0,0.45,0.75,0.92},{"River","Rainwater","Borehole","Vendor"}),IF(D888&lt;30000,LOOKUP(RAND(),{0,0.35,0.65,0.85},{"River","Rainwater","Borehole","Vendor"}),LOOKUP(RAND(),{0,0.25,0.5,0.75},{"River","Rainwater","Borehole","Vendor"}))),IF(B888="Oloitoktok B",IF(D888&lt;15000,LOOKUP(RAND(),{0,0.5,0.78,0.94},{"River","Rainwater","Borehole","Vendor"}),IF(D888&lt;30000,LOOKUP(RAND(),{0,0.4,0.68,0.87},{"River","Rainwater","Borehole","Vendor"}),LOOKUP(RAND(),{0,0.28,0.55,0.78},{"River","Rainwater","Borehole","Vendor"}))),IF(B888="Kiserian",IF(D888&lt;15000,LOOKUP(RAND(),{0,0.35,0.65,0.9},{"River","Rainwater","Borehole","Vendor"}),IF(D888&lt;30000,LOOKUP(RAND(),{0,0.25,0.55,0.82},{"River","Rainwater","Borehole","Vendor"}),LOOKUP(RAND(),{0,0.15,0.45,0.72},{"River","Rainwater","Borehole","Vendor"}))),IF(D888&lt;15000,LOOKUP(RAND(),{0,0.4,0.7,0.92},{"River","Rainwater","Borehole","Vendor"}),IF(D888&lt;30000,LOOKUP(RAND(),{0,0.3,0.6,0.85},{"River","Rainwater","Borehole","Vendor"}),LOOKUP(RAND(),{0,0.2,0.5,0.75},{"River","Rainwater","Borehole","Vendor"}))))))</f>
        <v>River</v>
      </c>
      <c r="F888">
        <f t="shared" ca="1" si="79"/>
        <v>104</v>
      </c>
      <c r="G888">
        <f t="shared" ca="1" si="80"/>
        <v>12.4</v>
      </c>
      <c r="H888">
        <f t="shared" ca="1" si="81"/>
        <v>6700</v>
      </c>
      <c r="I888">
        <f t="shared" ca="1" si="82"/>
        <v>0.78944772553502252</v>
      </c>
      <c r="J888">
        <v>1</v>
      </c>
    </row>
    <row r="889" spans="1:10" x14ac:dyDescent="0.3">
      <c r="A889" t="str">
        <f t="shared" si="83"/>
        <v>HH888</v>
      </c>
      <c r="B889" t="str">
        <f ca="1">LOOKUP(RAND(),{0,0.28,0.55,0.78},{"Oloitoktok A","Oloitoktok B","Kiserian","Namanga"})</f>
        <v>Kiserian</v>
      </c>
      <c r="C889">
        <f ca="1">LOOKUP(RAND(),{0,0.02,0.09,0.2,0.35,0.52,0.68,0.81,0.91,0.97},{1,2,3,4,5,6,7,8,9,10})</f>
        <v>9</v>
      </c>
      <c r="D889">
        <f t="shared" ca="1" si="78"/>
        <v>59700</v>
      </c>
      <c r="E889" t="str">
        <f ca="1">IF(B889="Oloitoktok A",IF(D889&lt;15000,LOOKUP(RAND(),{0,0.45,0.75,0.92},{"River","Rainwater","Borehole","Vendor"}),IF(D889&lt;30000,LOOKUP(RAND(),{0,0.35,0.65,0.85},{"River","Rainwater","Borehole","Vendor"}),LOOKUP(RAND(),{0,0.25,0.5,0.75},{"River","Rainwater","Borehole","Vendor"}))),IF(B889="Oloitoktok B",IF(D889&lt;15000,LOOKUP(RAND(),{0,0.5,0.78,0.94},{"River","Rainwater","Borehole","Vendor"}),IF(D889&lt;30000,LOOKUP(RAND(),{0,0.4,0.68,0.87},{"River","Rainwater","Borehole","Vendor"}),LOOKUP(RAND(),{0,0.28,0.55,0.78},{"River","Rainwater","Borehole","Vendor"}))),IF(B889="Kiserian",IF(D889&lt;15000,LOOKUP(RAND(),{0,0.35,0.65,0.9},{"River","Rainwater","Borehole","Vendor"}),IF(D889&lt;30000,LOOKUP(RAND(),{0,0.25,0.55,0.82},{"River","Rainwater","Borehole","Vendor"}),LOOKUP(RAND(),{0,0.15,0.45,0.72},{"River","Rainwater","Borehole","Vendor"}))),IF(D889&lt;15000,LOOKUP(RAND(),{0,0.4,0.7,0.92},{"River","Rainwater","Borehole","Vendor"}),IF(D889&lt;30000,LOOKUP(RAND(),{0,0.3,0.6,0.85},{"River","Rainwater","Borehole","Vendor"}),LOOKUP(RAND(),{0,0.2,0.5,0.75},{"River","Rainwater","Borehole","Vendor"}))))))</f>
        <v>Rainwater</v>
      </c>
      <c r="F889">
        <f t="shared" ca="1" si="79"/>
        <v>64</v>
      </c>
      <c r="G889">
        <f t="shared" ca="1" si="80"/>
        <v>9.4</v>
      </c>
      <c r="H889">
        <f t="shared" ca="1" si="81"/>
        <v>5700</v>
      </c>
      <c r="I889">
        <f t="shared" ca="1" si="82"/>
        <v>0.96020933447106749</v>
      </c>
      <c r="J889">
        <v>1</v>
      </c>
    </row>
    <row r="890" spans="1:10" x14ac:dyDescent="0.3">
      <c r="A890" t="str">
        <f t="shared" si="83"/>
        <v>HH889</v>
      </c>
      <c r="B890" t="str">
        <f ca="1">LOOKUP(RAND(),{0,0.28,0.55,0.78},{"Oloitoktok A","Oloitoktok B","Kiserian","Namanga"})</f>
        <v>Namanga</v>
      </c>
      <c r="C890">
        <f ca="1">LOOKUP(RAND(),{0,0.02,0.09,0.2,0.35,0.52,0.68,0.81,0.91,0.97},{1,2,3,4,5,6,7,8,9,10})</f>
        <v>6</v>
      </c>
      <c r="D890">
        <f t="shared" ca="1" si="78"/>
        <v>55600</v>
      </c>
      <c r="E890" t="str">
        <f ca="1">IF(B890="Oloitoktok A",IF(D890&lt;15000,LOOKUP(RAND(),{0,0.45,0.75,0.92},{"River","Rainwater","Borehole","Vendor"}),IF(D890&lt;30000,LOOKUP(RAND(),{0,0.35,0.65,0.85},{"River","Rainwater","Borehole","Vendor"}),LOOKUP(RAND(),{0,0.25,0.5,0.75},{"River","Rainwater","Borehole","Vendor"}))),IF(B890="Oloitoktok B",IF(D890&lt;15000,LOOKUP(RAND(),{0,0.5,0.78,0.94},{"River","Rainwater","Borehole","Vendor"}),IF(D890&lt;30000,LOOKUP(RAND(),{0,0.4,0.68,0.87},{"River","Rainwater","Borehole","Vendor"}),LOOKUP(RAND(),{0,0.28,0.55,0.78},{"River","Rainwater","Borehole","Vendor"}))),IF(B890="Kiserian",IF(D890&lt;15000,LOOKUP(RAND(),{0,0.35,0.65,0.9},{"River","Rainwater","Borehole","Vendor"}),IF(D890&lt;30000,LOOKUP(RAND(),{0,0.25,0.55,0.82},{"River","Rainwater","Borehole","Vendor"}),LOOKUP(RAND(),{0,0.15,0.45,0.72},{"River","Rainwater","Borehole","Vendor"}))),IF(D890&lt;15000,LOOKUP(RAND(),{0,0.4,0.7,0.92},{"River","Rainwater","Borehole","Vendor"}),IF(D890&lt;30000,LOOKUP(RAND(),{0,0.3,0.6,0.85},{"River","Rainwater","Borehole","Vendor"}),LOOKUP(RAND(),{0,0.2,0.5,0.75},{"River","Rainwater","Borehole","Vendor"}))))))</f>
        <v>Rainwater</v>
      </c>
      <c r="F890">
        <f t="shared" ca="1" si="79"/>
        <v>29</v>
      </c>
      <c r="G890">
        <f t="shared" ca="1" si="80"/>
        <v>5.6</v>
      </c>
      <c r="H890">
        <f t="shared" ca="1" si="81"/>
        <v>5000</v>
      </c>
      <c r="I890">
        <f t="shared" ca="1" si="82"/>
        <v>0.73095223525528397</v>
      </c>
      <c r="J890">
        <v>1</v>
      </c>
    </row>
    <row r="891" spans="1:10" x14ac:dyDescent="0.3">
      <c r="A891" t="str">
        <f t="shared" si="83"/>
        <v>HH890</v>
      </c>
      <c r="B891" t="str">
        <f ca="1">LOOKUP(RAND(),{0,0.28,0.55,0.78},{"Oloitoktok A","Oloitoktok B","Kiserian","Namanga"})</f>
        <v>Oloitoktok B</v>
      </c>
      <c r="C891">
        <f ca="1">LOOKUP(RAND(),{0,0.02,0.09,0.2,0.35,0.52,0.68,0.81,0.91,0.97},{1,2,3,4,5,6,7,8,9,10})</f>
        <v>5</v>
      </c>
      <c r="D891">
        <f t="shared" ca="1" si="78"/>
        <v>22000</v>
      </c>
      <c r="E891" t="str">
        <f ca="1">IF(B891="Oloitoktok A",IF(D891&lt;15000,LOOKUP(RAND(),{0,0.45,0.75,0.92},{"River","Rainwater","Borehole","Vendor"}),IF(D891&lt;30000,LOOKUP(RAND(),{0,0.35,0.65,0.85},{"River","Rainwater","Borehole","Vendor"}),LOOKUP(RAND(),{0,0.25,0.5,0.75},{"River","Rainwater","Borehole","Vendor"}))),IF(B891="Oloitoktok B",IF(D891&lt;15000,LOOKUP(RAND(),{0,0.5,0.78,0.94},{"River","Rainwater","Borehole","Vendor"}),IF(D891&lt;30000,LOOKUP(RAND(),{0,0.4,0.68,0.87},{"River","Rainwater","Borehole","Vendor"}),LOOKUP(RAND(),{0,0.28,0.55,0.78},{"River","Rainwater","Borehole","Vendor"}))),IF(B891="Kiserian",IF(D891&lt;15000,LOOKUP(RAND(),{0,0.35,0.65,0.9},{"River","Rainwater","Borehole","Vendor"}),IF(D891&lt;30000,LOOKUP(RAND(),{0,0.25,0.55,0.82},{"River","Rainwater","Borehole","Vendor"}),LOOKUP(RAND(),{0,0.15,0.45,0.72},{"River","Rainwater","Borehole","Vendor"}))),IF(D891&lt;15000,LOOKUP(RAND(),{0,0.4,0.7,0.92},{"River","Rainwater","Borehole","Vendor"}),IF(D891&lt;30000,LOOKUP(RAND(),{0,0.3,0.6,0.85},{"River","Rainwater","Borehole","Vendor"}),LOOKUP(RAND(),{0,0.2,0.5,0.75},{"River","Rainwater","Borehole","Vendor"}))))))</f>
        <v>Rainwater</v>
      </c>
      <c r="F891">
        <f t="shared" ca="1" si="79"/>
        <v>17</v>
      </c>
      <c r="G891">
        <f t="shared" ca="1" si="80"/>
        <v>5</v>
      </c>
      <c r="H891">
        <f t="shared" ca="1" si="81"/>
        <v>13000</v>
      </c>
      <c r="I891">
        <f t="shared" ca="1" si="82"/>
        <v>0.20838090431002909</v>
      </c>
      <c r="J891">
        <v>1</v>
      </c>
    </row>
    <row r="892" spans="1:10" x14ac:dyDescent="0.3">
      <c r="A892" t="str">
        <f t="shared" si="83"/>
        <v>HH891</v>
      </c>
      <c r="B892" t="str">
        <f ca="1">LOOKUP(RAND(),{0,0.28,0.55,0.78},{"Oloitoktok A","Oloitoktok B","Kiserian","Namanga"})</f>
        <v>Namanga</v>
      </c>
      <c r="C892">
        <f ca="1">LOOKUP(RAND(),{0,0.02,0.09,0.2,0.35,0.52,0.68,0.81,0.91,0.97},{1,2,3,4,5,6,7,8,9,10})</f>
        <v>7</v>
      </c>
      <c r="D892">
        <f t="shared" ca="1" si="78"/>
        <v>15700</v>
      </c>
      <c r="E892" t="str">
        <f ca="1">IF(B892="Oloitoktok A",IF(D892&lt;15000,LOOKUP(RAND(),{0,0.45,0.75,0.92},{"River","Rainwater","Borehole","Vendor"}),IF(D892&lt;30000,LOOKUP(RAND(),{0,0.35,0.65,0.85},{"River","Rainwater","Borehole","Vendor"}),LOOKUP(RAND(),{0,0.25,0.5,0.75},{"River","Rainwater","Borehole","Vendor"}))),IF(B892="Oloitoktok B",IF(D892&lt;15000,LOOKUP(RAND(),{0,0.5,0.78,0.94},{"River","Rainwater","Borehole","Vendor"}),IF(D892&lt;30000,LOOKUP(RAND(),{0,0.4,0.68,0.87},{"River","Rainwater","Borehole","Vendor"}),LOOKUP(RAND(),{0,0.28,0.55,0.78},{"River","Rainwater","Borehole","Vendor"}))),IF(B892="Kiserian",IF(D892&lt;15000,LOOKUP(RAND(),{0,0.35,0.65,0.9},{"River","Rainwater","Borehole","Vendor"}),IF(D892&lt;30000,LOOKUP(RAND(),{0,0.25,0.55,0.82},{"River","Rainwater","Borehole","Vendor"}),LOOKUP(RAND(),{0,0.15,0.45,0.72},{"River","Rainwater","Borehole","Vendor"}))),IF(D892&lt;15000,LOOKUP(RAND(),{0,0.4,0.7,0.92},{"River","Rainwater","Borehole","Vendor"}),IF(D892&lt;30000,LOOKUP(RAND(),{0,0.3,0.6,0.85},{"River","Rainwater","Borehole","Vendor"}),LOOKUP(RAND(),{0,0.2,0.5,0.75},{"River","Rainwater","Borehole","Vendor"}))))))</f>
        <v>River</v>
      </c>
      <c r="F892">
        <f t="shared" ca="1" si="79"/>
        <v>59</v>
      </c>
      <c r="G892">
        <f t="shared" ca="1" si="80"/>
        <v>1.3</v>
      </c>
      <c r="H892">
        <f t="shared" ca="1" si="81"/>
        <v>3500</v>
      </c>
      <c r="I892">
        <f t="shared" ca="1" si="82"/>
        <v>0.78278791483021093</v>
      </c>
      <c r="J892">
        <v>1</v>
      </c>
    </row>
    <row r="893" spans="1:10" x14ac:dyDescent="0.3">
      <c r="A893" t="str">
        <f t="shared" si="83"/>
        <v>HH892</v>
      </c>
      <c r="B893" t="str">
        <f ca="1">LOOKUP(RAND(),{0,0.28,0.55,0.78},{"Oloitoktok A","Oloitoktok B","Kiserian","Namanga"})</f>
        <v>Kiserian</v>
      </c>
      <c r="C893">
        <f ca="1">LOOKUP(RAND(),{0,0.02,0.09,0.2,0.35,0.52,0.68,0.81,0.91,0.97},{1,2,3,4,5,6,7,8,9,10})</f>
        <v>7</v>
      </c>
      <c r="D893">
        <f t="shared" ca="1" si="78"/>
        <v>44800</v>
      </c>
      <c r="E893" t="str">
        <f ca="1">IF(B893="Oloitoktok A",IF(D893&lt;15000,LOOKUP(RAND(),{0,0.45,0.75,0.92},{"River","Rainwater","Borehole","Vendor"}),IF(D893&lt;30000,LOOKUP(RAND(),{0,0.35,0.65,0.85},{"River","Rainwater","Borehole","Vendor"}),LOOKUP(RAND(),{0,0.25,0.5,0.75},{"River","Rainwater","Borehole","Vendor"}))),IF(B893="Oloitoktok B",IF(D893&lt;15000,LOOKUP(RAND(),{0,0.5,0.78,0.94},{"River","Rainwater","Borehole","Vendor"}),IF(D893&lt;30000,LOOKUP(RAND(),{0,0.4,0.68,0.87},{"River","Rainwater","Borehole","Vendor"}),LOOKUP(RAND(),{0,0.28,0.55,0.78},{"River","Rainwater","Borehole","Vendor"}))),IF(B893="Kiserian",IF(D893&lt;15000,LOOKUP(RAND(),{0,0.35,0.65,0.9},{"River","Rainwater","Borehole","Vendor"}),IF(D893&lt;30000,LOOKUP(RAND(),{0,0.25,0.55,0.82},{"River","Rainwater","Borehole","Vendor"}),LOOKUP(RAND(),{0,0.15,0.45,0.72},{"River","Rainwater","Borehole","Vendor"}))),IF(D893&lt;15000,LOOKUP(RAND(),{0,0.4,0.7,0.92},{"River","Rainwater","Borehole","Vendor"}),IF(D893&lt;30000,LOOKUP(RAND(),{0,0.3,0.6,0.85},{"River","Rainwater","Borehole","Vendor"}),LOOKUP(RAND(),{0,0.2,0.5,0.75},{"River","Rainwater","Borehole","Vendor"}))))))</f>
        <v>Rainwater</v>
      </c>
      <c r="F893">
        <f t="shared" ca="1" si="79"/>
        <v>20</v>
      </c>
      <c r="G893">
        <f t="shared" ca="1" si="80"/>
        <v>7.8</v>
      </c>
      <c r="H893">
        <f t="shared" ca="1" si="81"/>
        <v>3000</v>
      </c>
      <c r="I893">
        <f t="shared" ca="1" si="82"/>
        <v>0.46515986273455379</v>
      </c>
      <c r="J893">
        <v>1</v>
      </c>
    </row>
    <row r="894" spans="1:10" x14ac:dyDescent="0.3">
      <c r="A894" t="str">
        <f t="shared" si="83"/>
        <v>HH893</v>
      </c>
      <c r="B894" t="str">
        <f ca="1">LOOKUP(RAND(),{0,0.28,0.55,0.78},{"Oloitoktok A","Oloitoktok B","Kiserian","Namanga"})</f>
        <v>Oloitoktok B</v>
      </c>
      <c r="C894">
        <f ca="1">LOOKUP(RAND(),{0,0.02,0.09,0.2,0.35,0.52,0.68,0.81,0.91,0.97},{1,2,3,4,5,6,7,8,9,10})</f>
        <v>6</v>
      </c>
      <c r="D894">
        <f t="shared" ca="1" si="78"/>
        <v>15100</v>
      </c>
      <c r="E894" t="str">
        <f ca="1">IF(B894="Oloitoktok A",IF(D894&lt;15000,LOOKUP(RAND(),{0,0.45,0.75,0.92},{"River","Rainwater","Borehole","Vendor"}),IF(D894&lt;30000,LOOKUP(RAND(),{0,0.35,0.65,0.85},{"River","Rainwater","Borehole","Vendor"}),LOOKUP(RAND(),{0,0.25,0.5,0.75},{"River","Rainwater","Borehole","Vendor"}))),IF(B894="Oloitoktok B",IF(D894&lt;15000,LOOKUP(RAND(),{0,0.5,0.78,0.94},{"River","Rainwater","Borehole","Vendor"}),IF(D894&lt;30000,LOOKUP(RAND(),{0,0.4,0.68,0.87},{"River","Rainwater","Borehole","Vendor"}),LOOKUP(RAND(),{0,0.28,0.55,0.78},{"River","Rainwater","Borehole","Vendor"}))),IF(B894="Kiserian",IF(D894&lt;15000,LOOKUP(RAND(),{0,0.35,0.65,0.9},{"River","Rainwater","Borehole","Vendor"}),IF(D894&lt;30000,LOOKUP(RAND(),{0,0.25,0.55,0.82},{"River","Rainwater","Borehole","Vendor"}),LOOKUP(RAND(),{0,0.15,0.45,0.72},{"River","Rainwater","Borehole","Vendor"}))),IF(D894&lt;15000,LOOKUP(RAND(),{0,0.4,0.7,0.92},{"River","Rainwater","Borehole","Vendor"}),IF(D894&lt;30000,LOOKUP(RAND(),{0,0.3,0.6,0.85},{"River","Rainwater","Borehole","Vendor"}),LOOKUP(RAND(),{0,0.2,0.5,0.75},{"River","Rainwater","Borehole","Vendor"}))))))</f>
        <v>River</v>
      </c>
      <c r="F894">
        <f t="shared" ca="1" si="79"/>
        <v>49</v>
      </c>
      <c r="G894">
        <f t="shared" ca="1" si="80"/>
        <v>2.8</v>
      </c>
      <c r="H894">
        <f t="shared" ca="1" si="81"/>
        <v>5300</v>
      </c>
      <c r="I894">
        <f t="shared" ca="1" si="82"/>
        <v>0.65567752249239697</v>
      </c>
      <c r="J894">
        <v>1</v>
      </c>
    </row>
    <row r="895" spans="1:10" x14ac:dyDescent="0.3">
      <c r="A895" t="str">
        <f t="shared" si="83"/>
        <v>HH894</v>
      </c>
      <c r="B895" t="str">
        <f ca="1">LOOKUP(RAND(),{0,0.28,0.55,0.78},{"Oloitoktok A","Oloitoktok B","Kiserian","Namanga"})</f>
        <v>Namanga</v>
      </c>
      <c r="C895">
        <f ca="1">LOOKUP(RAND(),{0,0.02,0.09,0.2,0.35,0.52,0.68,0.81,0.91,0.97},{1,2,3,4,5,6,7,8,9,10})</f>
        <v>4</v>
      </c>
      <c r="D895">
        <f t="shared" ca="1" si="78"/>
        <v>23500</v>
      </c>
      <c r="E895" t="str">
        <f ca="1">IF(B895="Oloitoktok A",IF(D895&lt;15000,LOOKUP(RAND(),{0,0.45,0.75,0.92},{"River","Rainwater","Borehole","Vendor"}),IF(D895&lt;30000,LOOKUP(RAND(),{0,0.35,0.65,0.85},{"River","Rainwater","Borehole","Vendor"}),LOOKUP(RAND(),{0,0.25,0.5,0.75},{"River","Rainwater","Borehole","Vendor"}))),IF(B895="Oloitoktok B",IF(D895&lt;15000,LOOKUP(RAND(),{0,0.5,0.78,0.94},{"River","Rainwater","Borehole","Vendor"}),IF(D895&lt;30000,LOOKUP(RAND(),{0,0.4,0.68,0.87},{"River","Rainwater","Borehole","Vendor"}),LOOKUP(RAND(),{0,0.28,0.55,0.78},{"River","Rainwater","Borehole","Vendor"}))),IF(B895="Kiserian",IF(D895&lt;15000,LOOKUP(RAND(),{0,0.35,0.65,0.9},{"River","Rainwater","Borehole","Vendor"}),IF(D895&lt;30000,LOOKUP(RAND(),{0,0.25,0.55,0.82},{"River","Rainwater","Borehole","Vendor"}),LOOKUP(RAND(),{0,0.15,0.45,0.72},{"River","Rainwater","Borehole","Vendor"}))),IF(D895&lt;15000,LOOKUP(RAND(),{0,0.4,0.7,0.92},{"River","Rainwater","Borehole","Vendor"}),IF(D895&lt;30000,LOOKUP(RAND(),{0,0.3,0.6,0.85},{"River","Rainwater","Borehole","Vendor"}),LOOKUP(RAND(),{0,0.2,0.5,0.75},{"River","Rainwater","Borehole","Vendor"}))))))</f>
        <v>Rainwater</v>
      </c>
      <c r="F895">
        <f t="shared" ca="1" si="79"/>
        <v>39</v>
      </c>
      <c r="G895">
        <f t="shared" ca="1" si="80"/>
        <v>4.3</v>
      </c>
      <c r="H895">
        <f t="shared" ca="1" si="81"/>
        <v>600</v>
      </c>
      <c r="I895">
        <f t="shared" ca="1" si="82"/>
        <v>8.1805496289346302E-2</v>
      </c>
      <c r="J895">
        <v>1</v>
      </c>
    </row>
    <row r="896" spans="1:10" x14ac:dyDescent="0.3">
      <c r="A896" t="str">
        <f t="shared" si="83"/>
        <v>HH895</v>
      </c>
      <c r="B896" t="str">
        <f ca="1">LOOKUP(RAND(),{0,0.28,0.55,0.78},{"Oloitoktok A","Oloitoktok B","Kiserian","Namanga"})</f>
        <v>Namanga</v>
      </c>
      <c r="C896">
        <f ca="1">LOOKUP(RAND(),{0,0.02,0.09,0.2,0.35,0.52,0.68,0.81,0.91,0.97},{1,2,3,4,5,6,7,8,9,10})</f>
        <v>5</v>
      </c>
      <c r="D896">
        <f t="shared" ca="1" si="78"/>
        <v>16200</v>
      </c>
      <c r="E896" t="str">
        <f ca="1">IF(B896="Oloitoktok A",IF(D896&lt;15000,LOOKUP(RAND(),{0,0.45,0.75,0.92},{"River","Rainwater","Borehole","Vendor"}),IF(D896&lt;30000,LOOKUP(RAND(),{0,0.35,0.65,0.85},{"River","Rainwater","Borehole","Vendor"}),LOOKUP(RAND(),{0,0.25,0.5,0.75},{"River","Rainwater","Borehole","Vendor"}))),IF(B896="Oloitoktok B",IF(D896&lt;15000,LOOKUP(RAND(),{0,0.5,0.78,0.94},{"River","Rainwater","Borehole","Vendor"}),IF(D896&lt;30000,LOOKUP(RAND(),{0,0.4,0.68,0.87},{"River","Rainwater","Borehole","Vendor"}),LOOKUP(RAND(),{0,0.28,0.55,0.78},{"River","Rainwater","Borehole","Vendor"}))),IF(B896="Kiserian",IF(D896&lt;15000,LOOKUP(RAND(),{0,0.35,0.65,0.9},{"River","Rainwater","Borehole","Vendor"}),IF(D896&lt;30000,LOOKUP(RAND(),{0,0.25,0.55,0.82},{"River","Rainwater","Borehole","Vendor"}),LOOKUP(RAND(),{0,0.15,0.45,0.72},{"River","Rainwater","Borehole","Vendor"}))),IF(D896&lt;15000,LOOKUP(RAND(),{0,0.4,0.7,0.92},{"River","Rainwater","Borehole","Vendor"}),IF(D896&lt;30000,LOOKUP(RAND(),{0,0.3,0.6,0.85},{"River","Rainwater","Borehole","Vendor"}),LOOKUP(RAND(),{0,0.2,0.5,0.75},{"River","Rainwater","Borehole","Vendor"}))))))</f>
        <v>Rainwater</v>
      </c>
      <c r="F896">
        <f t="shared" ca="1" si="79"/>
        <v>22</v>
      </c>
      <c r="G896">
        <f t="shared" ca="1" si="80"/>
        <v>7.3</v>
      </c>
      <c r="H896">
        <f t="shared" ca="1" si="81"/>
        <v>900</v>
      </c>
      <c r="I896">
        <f t="shared" ca="1" si="82"/>
        <v>3.4372847999960432E-2</v>
      </c>
      <c r="J896">
        <v>1</v>
      </c>
    </row>
    <row r="897" spans="1:10" x14ac:dyDescent="0.3">
      <c r="A897" t="str">
        <f t="shared" si="83"/>
        <v>HH896</v>
      </c>
      <c r="B897" t="str">
        <f ca="1">LOOKUP(RAND(),{0,0.28,0.55,0.78},{"Oloitoktok A","Oloitoktok B","Kiserian","Namanga"})</f>
        <v>Oloitoktok B</v>
      </c>
      <c r="C897">
        <f ca="1">LOOKUP(RAND(),{0,0.02,0.09,0.2,0.35,0.52,0.68,0.81,0.91,0.97},{1,2,3,4,5,6,7,8,9,10})</f>
        <v>8</v>
      </c>
      <c r="D897">
        <f t="shared" ca="1" si="78"/>
        <v>28800</v>
      </c>
      <c r="E897" t="str">
        <f ca="1">IF(B897="Oloitoktok A",IF(D897&lt;15000,LOOKUP(RAND(),{0,0.45,0.75,0.92},{"River","Rainwater","Borehole","Vendor"}),IF(D897&lt;30000,LOOKUP(RAND(),{0,0.35,0.65,0.85},{"River","Rainwater","Borehole","Vendor"}),LOOKUP(RAND(),{0,0.25,0.5,0.75},{"River","Rainwater","Borehole","Vendor"}))),IF(B897="Oloitoktok B",IF(D897&lt;15000,LOOKUP(RAND(),{0,0.5,0.78,0.94},{"River","Rainwater","Borehole","Vendor"}),IF(D897&lt;30000,LOOKUP(RAND(),{0,0.4,0.68,0.87},{"River","Rainwater","Borehole","Vendor"}),LOOKUP(RAND(),{0,0.28,0.55,0.78},{"River","Rainwater","Borehole","Vendor"}))),IF(B897="Kiserian",IF(D897&lt;15000,LOOKUP(RAND(),{0,0.35,0.65,0.9},{"River","Rainwater","Borehole","Vendor"}),IF(D897&lt;30000,LOOKUP(RAND(),{0,0.25,0.55,0.82},{"River","Rainwater","Borehole","Vendor"}),LOOKUP(RAND(),{0,0.15,0.45,0.72},{"River","Rainwater","Borehole","Vendor"}))),IF(D897&lt;15000,LOOKUP(RAND(),{0,0.4,0.7,0.92},{"River","Rainwater","Borehole","Vendor"}),IF(D897&lt;30000,LOOKUP(RAND(),{0,0.3,0.6,0.85},{"River","Rainwater","Borehole","Vendor"}),LOOKUP(RAND(),{0,0.2,0.5,0.75},{"River","Rainwater","Borehole","Vendor"}))))))</f>
        <v>River</v>
      </c>
      <c r="F897">
        <f t="shared" ca="1" si="79"/>
        <v>66</v>
      </c>
      <c r="G897">
        <f t="shared" ca="1" si="80"/>
        <v>10.1</v>
      </c>
      <c r="H897">
        <f t="shared" ca="1" si="81"/>
        <v>8400</v>
      </c>
      <c r="I897">
        <f t="shared" ca="1" si="82"/>
        <v>0.22422239487133222</v>
      </c>
      <c r="J897">
        <v>1</v>
      </c>
    </row>
    <row r="898" spans="1:10" x14ac:dyDescent="0.3">
      <c r="A898" t="str">
        <f t="shared" si="83"/>
        <v>HH897</v>
      </c>
      <c r="B898" t="str">
        <f ca="1">LOOKUP(RAND(),{0,0.28,0.55,0.78},{"Oloitoktok A","Oloitoktok B","Kiserian","Namanga"})</f>
        <v>Namanga</v>
      </c>
      <c r="C898">
        <f ca="1">LOOKUP(RAND(),{0,0.02,0.09,0.2,0.35,0.52,0.68,0.81,0.91,0.97},{1,2,3,4,5,6,7,8,9,10})</f>
        <v>6</v>
      </c>
      <c r="D898">
        <f t="shared" ref="D898:D961" ca="1" si="84">MAX(5000,MIN(150000,ROUND(_xlfn.LOGNORM.INV(RAND(),LN(28000+1500*C898),0.55),-2)))</f>
        <v>65200</v>
      </c>
      <c r="E898" t="str">
        <f ca="1">IF(B898="Oloitoktok A",IF(D898&lt;15000,LOOKUP(RAND(),{0,0.45,0.75,0.92},{"River","Rainwater","Borehole","Vendor"}),IF(D898&lt;30000,LOOKUP(RAND(),{0,0.35,0.65,0.85},{"River","Rainwater","Borehole","Vendor"}),LOOKUP(RAND(),{0,0.25,0.5,0.75},{"River","Rainwater","Borehole","Vendor"}))),IF(B898="Oloitoktok B",IF(D898&lt;15000,LOOKUP(RAND(),{0,0.5,0.78,0.94},{"River","Rainwater","Borehole","Vendor"}),IF(D898&lt;30000,LOOKUP(RAND(),{0,0.4,0.68,0.87},{"River","Rainwater","Borehole","Vendor"}),LOOKUP(RAND(),{0,0.28,0.55,0.78},{"River","Rainwater","Borehole","Vendor"}))),IF(B898="Kiserian",IF(D898&lt;15000,LOOKUP(RAND(),{0,0.35,0.65,0.9},{"River","Rainwater","Borehole","Vendor"}),IF(D898&lt;30000,LOOKUP(RAND(),{0,0.25,0.55,0.82},{"River","Rainwater","Borehole","Vendor"}),LOOKUP(RAND(),{0,0.15,0.45,0.72},{"River","Rainwater","Borehole","Vendor"}))),IF(D898&lt;15000,LOOKUP(RAND(),{0,0.4,0.7,0.92},{"River","Rainwater","Borehole","Vendor"}),IF(D898&lt;30000,LOOKUP(RAND(),{0,0.3,0.6,0.85},{"River","Rainwater","Borehole","Vendor"}),LOOKUP(RAND(),{0,0.2,0.5,0.75},{"River","Rainwater","Borehole","Vendor"}))))))</f>
        <v>Borehole</v>
      </c>
      <c r="F898">
        <f t="shared" ref="F898:F961" ca="1" si="85">IF(E898="River",RANDBETWEEN(45,120),IF(E898="Rainwater",RANDBETWEEN(15,70),IF(E898="Borehole",RANDBETWEEN(20,75),RANDBETWEEN(10,60))))</f>
        <v>41</v>
      </c>
      <c r="G898">
        <f t="shared" ref="G898:G961" ca="1" si="86">IF(B898="Oloitoktok A",ROUND(RANDBETWEEN(5,150)/10,1),IF(B898="Oloitoktok B",ROUND(RANDBETWEEN(4,140)/10,1),IF(B898="Kiserian",ROUND(RANDBETWEEN(2,100)/10,1),ROUND(RANDBETWEEN(3,120)/10,1))))</f>
        <v>0.8</v>
      </c>
      <c r="H898">
        <f t="shared" ref="H898:H961" ca="1" si="87">MAX(0,ROUND((1500+(C898*250)+(D898*0.025)+(F898*8)+(G898*120)+IF(E898="River",1200,IF(E898="Rainwater",700,IF(E898="Borehole",400,200)))+_xlfn.NORM.INV(RAND(),0,3500)),-2))</f>
        <v>10800</v>
      </c>
      <c r="I898">
        <f t="shared" ref="I898:I961" ca="1" si="88">RAND()</f>
        <v>0.30340691643893591</v>
      </c>
      <c r="J898">
        <v>1</v>
      </c>
    </row>
    <row r="899" spans="1:10" x14ac:dyDescent="0.3">
      <c r="A899" t="str">
        <f t="shared" ref="A899:A962" si="89">"HH"&amp;TEXT(ROW()-1,"000")</f>
        <v>HH898</v>
      </c>
      <c r="B899" t="str">
        <f ca="1">LOOKUP(RAND(),{0,0.28,0.55,0.78},{"Oloitoktok A","Oloitoktok B","Kiserian","Namanga"})</f>
        <v>Oloitoktok B</v>
      </c>
      <c r="C899">
        <f ca="1">LOOKUP(RAND(),{0,0.02,0.09,0.2,0.35,0.52,0.68,0.81,0.91,0.97},{1,2,3,4,5,6,7,8,9,10})</f>
        <v>5</v>
      </c>
      <c r="D899">
        <f t="shared" ca="1" si="84"/>
        <v>14800</v>
      </c>
      <c r="E899" t="str">
        <f ca="1">IF(B899="Oloitoktok A",IF(D899&lt;15000,LOOKUP(RAND(),{0,0.45,0.75,0.92},{"River","Rainwater","Borehole","Vendor"}),IF(D899&lt;30000,LOOKUP(RAND(),{0,0.35,0.65,0.85},{"River","Rainwater","Borehole","Vendor"}),LOOKUP(RAND(),{0,0.25,0.5,0.75},{"River","Rainwater","Borehole","Vendor"}))),IF(B899="Oloitoktok B",IF(D899&lt;15000,LOOKUP(RAND(),{0,0.5,0.78,0.94},{"River","Rainwater","Borehole","Vendor"}),IF(D899&lt;30000,LOOKUP(RAND(),{0,0.4,0.68,0.87},{"River","Rainwater","Borehole","Vendor"}),LOOKUP(RAND(),{0,0.28,0.55,0.78},{"River","Rainwater","Borehole","Vendor"}))),IF(B899="Kiserian",IF(D899&lt;15000,LOOKUP(RAND(),{0,0.35,0.65,0.9},{"River","Rainwater","Borehole","Vendor"}),IF(D899&lt;30000,LOOKUP(RAND(),{0,0.25,0.55,0.82},{"River","Rainwater","Borehole","Vendor"}),LOOKUP(RAND(),{0,0.15,0.45,0.72},{"River","Rainwater","Borehole","Vendor"}))),IF(D899&lt;15000,LOOKUP(RAND(),{0,0.4,0.7,0.92},{"River","Rainwater","Borehole","Vendor"}),IF(D899&lt;30000,LOOKUP(RAND(),{0,0.3,0.6,0.85},{"River","Rainwater","Borehole","Vendor"}),LOOKUP(RAND(),{0,0.2,0.5,0.75},{"River","Rainwater","Borehole","Vendor"}))))))</f>
        <v>River</v>
      </c>
      <c r="F899">
        <f t="shared" ca="1" si="85"/>
        <v>114</v>
      </c>
      <c r="G899">
        <f t="shared" ca="1" si="86"/>
        <v>7.1</v>
      </c>
      <c r="H899">
        <f t="shared" ca="1" si="87"/>
        <v>1700</v>
      </c>
      <c r="I899">
        <f t="shared" ca="1" si="88"/>
        <v>0.68452931251947302</v>
      </c>
      <c r="J899">
        <v>1</v>
      </c>
    </row>
    <row r="900" spans="1:10" x14ac:dyDescent="0.3">
      <c r="A900" t="str">
        <f t="shared" si="89"/>
        <v>HH899</v>
      </c>
      <c r="B900" t="str">
        <f ca="1">LOOKUP(RAND(),{0,0.28,0.55,0.78},{"Oloitoktok A","Oloitoktok B","Kiserian","Namanga"})</f>
        <v>Oloitoktok B</v>
      </c>
      <c r="C900">
        <f ca="1">LOOKUP(RAND(),{0,0.02,0.09,0.2,0.35,0.52,0.68,0.81,0.91,0.97},{1,2,3,4,5,6,7,8,9,10})</f>
        <v>4</v>
      </c>
      <c r="D900">
        <f t="shared" ca="1" si="84"/>
        <v>9900</v>
      </c>
      <c r="E900" t="str">
        <f ca="1">IF(B900="Oloitoktok A",IF(D900&lt;15000,LOOKUP(RAND(),{0,0.45,0.75,0.92},{"River","Rainwater","Borehole","Vendor"}),IF(D900&lt;30000,LOOKUP(RAND(),{0,0.35,0.65,0.85},{"River","Rainwater","Borehole","Vendor"}),LOOKUP(RAND(),{0,0.25,0.5,0.75},{"River","Rainwater","Borehole","Vendor"}))),IF(B900="Oloitoktok B",IF(D900&lt;15000,LOOKUP(RAND(),{0,0.5,0.78,0.94},{"River","Rainwater","Borehole","Vendor"}),IF(D900&lt;30000,LOOKUP(RAND(),{0,0.4,0.68,0.87},{"River","Rainwater","Borehole","Vendor"}),LOOKUP(RAND(),{0,0.28,0.55,0.78},{"River","Rainwater","Borehole","Vendor"}))),IF(B900="Kiserian",IF(D900&lt;15000,LOOKUP(RAND(),{0,0.35,0.65,0.9},{"River","Rainwater","Borehole","Vendor"}),IF(D900&lt;30000,LOOKUP(RAND(),{0,0.25,0.55,0.82},{"River","Rainwater","Borehole","Vendor"}),LOOKUP(RAND(),{0,0.15,0.45,0.72},{"River","Rainwater","Borehole","Vendor"}))),IF(D900&lt;15000,LOOKUP(RAND(),{0,0.4,0.7,0.92},{"River","Rainwater","Borehole","Vendor"}),IF(D900&lt;30000,LOOKUP(RAND(),{0,0.3,0.6,0.85},{"River","Rainwater","Borehole","Vendor"}),LOOKUP(RAND(),{0,0.2,0.5,0.75},{"River","Rainwater","Borehole","Vendor"}))))))</f>
        <v>Rainwater</v>
      </c>
      <c r="F900">
        <f t="shared" ca="1" si="85"/>
        <v>35</v>
      </c>
      <c r="G900">
        <f t="shared" ca="1" si="86"/>
        <v>9</v>
      </c>
      <c r="H900">
        <f t="shared" ca="1" si="87"/>
        <v>2300</v>
      </c>
      <c r="I900">
        <f t="shared" ca="1" si="88"/>
        <v>0.66025405648827162</v>
      </c>
      <c r="J900">
        <v>1</v>
      </c>
    </row>
    <row r="901" spans="1:10" x14ac:dyDescent="0.3">
      <c r="A901" t="str">
        <f t="shared" si="89"/>
        <v>HH900</v>
      </c>
      <c r="B901" t="str">
        <f ca="1">LOOKUP(RAND(),{0,0.28,0.55,0.78},{"Oloitoktok A","Oloitoktok B","Kiserian","Namanga"})</f>
        <v>Oloitoktok B</v>
      </c>
      <c r="C901">
        <f ca="1">LOOKUP(RAND(),{0,0.02,0.09,0.2,0.35,0.52,0.68,0.81,0.91,0.97},{1,2,3,4,5,6,7,8,9,10})</f>
        <v>6</v>
      </c>
      <c r="D901">
        <f t="shared" ca="1" si="84"/>
        <v>59700</v>
      </c>
      <c r="E901" t="str">
        <f ca="1">IF(B901="Oloitoktok A",IF(D901&lt;15000,LOOKUP(RAND(),{0,0.45,0.75,0.92},{"River","Rainwater","Borehole","Vendor"}),IF(D901&lt;30000,LOOKUP(RAND(),{0,0.35,0.65,0.85},{"River","Rainwater","Borehole","Vendor"}),LOOKUP(RAND(),{0,0.25,0.5,0.75},{"River","Rainwater","Borehole","Vendor"}))),IF(B901="Oloitoktok B",IF(D901&lt;15000,LOOKUP(RAND(),{0,0.5,0.78,0.94},{"River","Rainwater","Borehole","Vendor"}),IF(D901&lt;30000,LOOKUP(RAND(),{0,0.4,0.68,0.87},{"River","Rainwater","Borehole","Vendor"}),LOOKUP(RAND(),{0,0.28,0.55,0.78},{"River","Rainwater","Borehole","Vendor"}))),IF(B901="Kiserian",IF(D901&lt;15000,LOOKUP(RAND(),{0,0.35,0.65,0.9},{"River","Rainwater","Borehole","Vendor"}),IF(D901&lt;30000,LOOKUP(RAND(),{0,0.25,0.55,0.82},{"River","Rainwater","Borehole","Vendor"}),LOOKUP(RAND(),{0,0.15,0.45,0.72},{"River","Rainwater","Borehole","Vendor"}))),IF(D901&lt;15000,LOOKUP(RAND(),{0,0.4,0.7,0.92},{"River","Rainwater","Borehole","Vendor"}),IF(D901&lt;30000,LOOKUP(RAND(),{0,0.3,0.6,0.85},{"River","Rainwater","Borehole","Vendor"}),LOOKUP(RAND(),{0,0.2,0.5,0.75},{"River","Rainwater","Borehole","Vendor"}))))))</f>
        <v>Rainwater</v>
      </c>
      <c r="F901">
        <f t="shared" ca="1" si="85"/>
        <v>50</v>
      </c>
      <c r="G901">
        <f t="shared" ca="1" si="86"/>
        <v>1.9</v>
      </c>
      <c r="H901">
        <f t="shared" ca="1" si="87"/>
        <v>0</v>
      </c>
      <c r="I901">
        <f t="shared" ca="1" si="88"/>
        <v>0.83149512513365709</v>
      </c>
      <c r="J901">
        <v>1</v>
      </c>
    </row>
    <row r="902" spans="1:10" x14ac:dyDescent="0.3">
      <c r="A902" t="str">
        <f t="shared" si="89"/>
        <v>HH901</v>
      </c>
      <c r="B902" t="str">
        <f ca="1">LOOKUP(RAND(),{0,0.28,0.55,0.78},{"Oloitoktok A","Oloitoktok B","Kiserian","Namanga"})</f>
        <v>Oloitoktok B</v>
      </c>
      <c r="C902">
        <f ca="1">LOOKUP(RAND(),{0,0.02,0.09,0.2,0.35,0.52,0.68,0.81,0.91,0.97},{1,2,3,4,5,6,7,8,9,10})</f>
        <v>3</v>
      </c>
      <c r="D902">
        <f t="shared" ca="1" si="84"/>
        <v>19100</v>
      </c>
      <c r="E902" t="str">
        <f ca="1">IF(B902="Oloitoktok A",IF(D902&lt;15000,LOOKUP(RAND(),{0,0.45,0.75,0.92},{"River","Rainwater","Borehole","Vendor"}),IF(D902&lt;30000,LOOKUP(RAND(),{0,0.35,0.65,0.85},{"River","Rainwater","Borehole","Vendor"}),LOOKUP(RAND(),{0,0.25,0.5,0.75},{"River","Rainwater","Borehole","Vendor"}))),IF(B902="Oloitoktok B",IF(D902&lt;15000,LOOKUP(RAND(),{0,0.5,0.78,0.94},{"River","Rainwater","Borehole","Vendor"}),IF(D902&lt;30000,LOOKUP(RAND(),{0,0.4,0.68,0.87},{"River","Rainwater","Borehole","Vendor"}),LOOKUP(RAND(),{0,0.28,0.55,0.78},{"River","Rainwater","Borehole","Vendor"}))),IF(B902="Kiserian",IF(D902&lt;15000,LOOKUP(RAND(),{0,0.35,0.65,0.9},{"River","Rainwater","Borehole","Vendor"}),IF(D902&lt;30000,LOOKUP(RAND(),{0,0.25,0.55,0.82},{"River","Rainwater","Borehole","Vendor"}),LOOKUP(RAND(),{0,0.15,0.45,0.72},{"River","Rainwater","Borehole","Vendor"}))),IF(D902&lt;15000,LOOKUP(RAND(),{0,0.4,0.7,0.92},{"River","Rainwater","Borehole","Vendor"}),IF(D902&lt;30000,LOOKUP(RAND(),{0,0.3,0.6,0.85},{"River","Rainwater","Borehole","Vendor"}),LOOKUP(RAND(),{0,0.2,0.5,0.75},{"River","Rainwater","Borehole","Vendor"}))))))</f>
        <v>Borehole</v>
      </c>
      <c r="F902">
        <f t="shared" ca="1" si="85"/>
        <v>39</v>
      </c>
      <c r="G902">
        <f t="shared" ca="1" si="86"/>
        <v>13</v>
      </c>
      <c r="H902">
        <f t="shared" ca="1" si="87"/>
        <v>3800</v>
      </c>
      <c r="I902">
        <f t="shared" ca="1" si="88"/>
        <v>0.91801891384304457</v>
      </c>
      <c r="J902">
        <v>1</v>
      </c>
    </row>
    <row r="903" spans="1:10" x14ac:dyDescent="0.3">
      <c r="A903" t="str">
        <f t="shared" si="89"/>
        <v>HH902</v>
      </c>
      <c r="B903" t="str">
        <f ca="1">LOOKUP(RAND(),{0,0.28,0.55,0.78},{"Oloitoktok A","Oloitoktok B","Kiserian","Namanga"})</f>
        <v>Namanga</v>
      </c>
      <c r="C903">
        <f ca="1">LOOKUP(RAND(),{0,0.02,0.09,0.2,0.35,0.52,0.68,0.81,0.91,0.97},{1,2,3,4,5,6,7,8,9,10})</f>
        <v>5</v>
      </c>
      <c r="D903">
        <f t="shared" ca="1" si="84"/>
        <v>46100</v>
      </c>
      <c r="E903" t="str">
        <f ca="1">IF(B903="Oloitoktok A",IF(D903&lt;15000,LOOKUP(RAND(),{0,0.45,0.75,0.92},{"River","Rainwater","Borehole","Vendor"}),IF(D903&lt;30000,LOOKUP(RAND(),{0,0.35,0.65,0.85},{"River","Rainwater","Borehole","Vendor"}),LOOKUP(RAND(),{0,0.25,0.5,0.75},{"River","Rainwater","Borehole","Vendor"}))),IF(B903="Oloitoktok B",IF(D903&lt;15000,LOOKUP(RAND(),{0,0.5,0.78,0.94},{"River","Rainwater","Borehole","Vendor"}),IF(D903&lt;30000,LOOKUP(RAND(),{0,0.4,0.68,0.87},{"River","Rainwater","Borehole","Vendor"}),LOOKUP(RAND(),{0,0.28,0.55,0.78},{"River","Rainwater","Borehole","Vendor"}))),IF(B903="Kiserian",IF(D903&lt;15000,LOOKUP(RAND(),{0,0.35,0.65,0.9},{"River","Rainwater","Borehole","Vendor"}),IF(D903&lt;30000,LOOKUP(RAND(),{0,0.25,0.55,0.82},{"River","Rainwater","Borehole","Vendor"}),LOOKUP(RAND(),{0,0.15,0.45,0.72},{"River","Rainwater","Borehole","Vendor"}))),IF(D903&lt;15000,LOOKUP(RAND(),{0,0.4,0.7,0.92},{"River","Rainwater","Borehole","Vendor"}),IF(D903&lt;30000,LOOKUP(RAND(),{0,0.3,0.6,0.85},{"River","Rainwater","Borehole","Vendor"}),LOOKUP(RAND(),{0,0.2,0.5,0.75},{"River","Rainwater","Borehole","Vendor"}))))))</f>
        <v>Rainwater</v>
      </c>
      <c r="F903">
        <f t="shared" ca="1" si="85"/>
        <v>45</v>
      </c>
      <c r="G903">
        <f t="shared" ca="1" si="86"/>
        <v>8.1999999999999993</v>
      </c>
      <c r="H903">
        <f t="shared" ca="1" si="87"/>
        <v>7300</v>
      </c>
      <c r="I903">
        <f t="shared" ca="1" si="88"/>
        <v>0.51834970124634749</v>
      </c>
      <c r="J903">
        <v>1</v>
      </c>
    </row>
    <row r="904" spans="1:10" x14ac:dyDescent="0.3">
      <c r="A904" t="str">
        <f t="shared" si="89"/>
        <v>HH903</v>
      </c>
      <c r="B904" t="str">
        <f ca="1">LOOKUP(RAND(),{0,0.28,0.55,0.78},{"Oloitoktok A","Oloitoktok B","Kiserian","Namanga"})</f>
        <v>Oloitoktok B</v>
      </c>
      <c r="C904">
        <f ca="1">LOOKUP(RAND(),{0,0.02,0.09,0.2,0.35,0.52,0.68,0.81,0.91,0.97},{1,2,3,4,5,6,7,8,9,10})</f>
        <v>3</v>
      </c>
      <c r="D904">
        <f t="shared" ca="1" si="84"/>
        <v>38400</v>
      </c>
      <c r="E904" t="str">
        <f ca="1">IF(B904="Oloitoktok A",IF(D904&lt;15000,LOOKUP(RAND(),{0,0.45,0.75,0.92},{"River","Rainwater","Borehole","Vendor"}),IF(D904&lt;30000,LOOKUP(RAND(),{0,0.35,0.65,0.85},{"River","Rainwater","Borehole","Vendor"}),LOOKUP(RAND(),{0,0.25,0.5,0.75},{"River","Rainwater","Borehole","Vendor"}))),IF(B904="Oloitoktok B",IF(D904&lt;15000,LOOKUP(RAND(),{0,0.5,0.78,0.94},{"River","Rainwater","Borehole","Vendor"}),IF(D904&lt;30000,LOOKUP(RAND(),{0,0.4,0.68,0.87},{"River","Rainwater","Borehole","Vendor"}),LOOKUP(RAND(),{0,0.28,0.55,0.78},{"River","Rainwater","Borehole","Vendor"}))),IF(B904="Kiserian",IF(D904&lt;15000,LOOKUP(RAND(),{0,0.35,0.65,0.9},{"River","Rainwater","Borehole","Vendor"}),IF(D904&lt;30000,LOOKUP(RAND(),{0,0.25,0.55,0.82},{"River","Rainwater","Borehole","Vendor"}),LOOKUP(RAND(),{0,0.15,0.45,0.72},{"River","Rainwater","Borehole","Vendor"}))),IF(D904&lt;15000,LOOKUP(RAND(),{0,0.4,0.7,0.92},{"River","Rainwater","Borehole","Vendor"}),IF(D904&lt;30000,LOOKUP(RAND(),{0,0.3,0.6,0.85},{"River","Rainwater","Borehole","Vendor"}),LOOKUP(RAND(),{0,0.2,0.5,0.75},{"River","Rainwater","Borehole","Vendor"}))))))</f>
        <v>River</v>
      </c>
      <c r="F904">
        <f t="shared" ca="1" si="85"/>
        <v>62</v>
      </c>
      <c r="G904">
        <f t="shared" ca="1" si="86"/>
        <v>5.6</v>
      </c>
      <c r="H904">
        <f t="shared" ca="1" si="87"/>
        <v>6100</v>
      </c>
      <c r="I904">
        <f t="shared" ca="1" si="88"/>
        <v>3.2468956439303809E-2</v>
      </c>
      <c r="J904">
        <v>1</v>
      </c>
    </row>
    <row r="905" spans="1:10" x14ac:dyDescent="0.3">
      <c r="A905" t="str">
        <f t="shared" si="89"/>
        <v>HH904</v>
      </c>
      <c r="B905" t="str">
        <f ca="1">LOOKUP(RAND(),{0,0.28,0.55,0.78},{"Oloitoktok A","Oloitoktok B","Kiserian","Namanga"})</f>
        <v>Oloitoktok B</v>
      </c>
      <c r="C905">
        <f ca="1">LOOKUP(RAND(),{0,0.02,0.09,0.2,0.35,0.52,0.68,0.81,0.91,0.97},{1,2,3,4,5,6,7,8,9,10})</f>
        <v>8</v>
      </c>
      <c r="D905">
        <f t="shared" ca="1" si="84"/>
        <v>31900</v>
      </c>
      <c r="E905" t="str">
        <f ca="1">IF(B905="Oloitoktok A",IF(D905&lt;15000,LOOKUP(RAND(),{0,0.45,0.75,0.92},{"River","Rainwater","Borehole","Vendor"}),IF(D905&lt;30000,LOOKUP(RAND(),{0,0.35,0.65,0.85},{"River","Rainwater","Borehole","Vendor"}),LOOKUP(RAND(),{0,0.25,0.5,0.75},{"River","Rainwater","Borehole","Vendor"}))),IF(B905="Oloitoktok B",IF(D905&lt;15000,LOOKUP(RAND(),{0,0.5,0.78,0.94},{"River","Rainwater","Borehole","Vendor"}),IF(D905&lt;30000,LOOKUP(RAND(),{0,0.4,0.68,0.87},{"River","Rainwater","Borehole","Vendor"}),LOOKUP(RAND(),{0,0.28,0.55,0.78},{"River","Rainwater","Borehole","Vendor"}))),IF(B905="Kiserian",IF(D905&lt;15000,LOOKUP(RAND(),{0,0.35,0.65,0.9},{"River","Rainwater","Borehole","Vendor"}),IF(D905&lt;30000,LOOKUP(RAND(),{0,0.25,0.55,0.82},{"River","Rainwater","Borehole","Vendor"}),LOOKUP(RAND(),{0,0.15,0.45,0.72},{"River","Rainwater","Borehole","Vendor"}))),IF(D905&lt;15000,LOOKUP(RAND(),{0,0.4,0.7,0.92},{"River","Rainwater","Borehole","Vendor"}),IF(D905&lt;30000,LOOKUP(RAND(),{0,0.3,0.6,0.85},{"River","Rainwater","Borehole","Vendor"}),LOOKUP(RAND(),{0,0.2,0.5,0.75},{"River","Rainwater","Borehole","Vendor"}))))))</f>
        <v>River</v>
      </c>
      <c r="F905">
        <f t="shared" ca="1" si="85"/>
        <v>52</v>
      </c>
      <c r="G905">
        <f t="shared" ca="1" si="86"/>
        <v>13.4</v>
      </c>
      <c r="H905">
        <f t="shared" ca="1" si="87"/>
        <v>9300</v>
      </c>
      <c r="I905">
        <f t="shared" ca="1" si="88"/>
        <v>0.51347773703417909</v>
      </c>
      <c r="J905">
        <v>1</v>
      </c>
    </row>
    <row r="906" spans="1:10" x14ac:dyDescent="0.3">
      <c r="A906" t="str">
        <f t="shared" si="89"/>
        <v>HH905</v>
      </c>
      <c r="B906" t="str">
        <f ca="1">LOOKUP(RAND(),{0,0.28,0.55,0.78},{"Oloitoktok A","Oloitoktok B","Kiserian","Namanga"})</f>
        <v>Oloitoktok B</v>
      </c>
      <c r="C906">
        <f ca="1">LOOKUP(RAND(),{0,0.02,0.09,0.2,0.35,0.52,0.68,0.81,0.91,0.97},{1,2,3,4,5,6,7,8,9,10})</f>
        <v>4</v>
      </c>
      <c r="D906">
        <f t="shared" ca="1" si="84"/>
        <v>76700</v>
      </c>
      <c r="E906" t="str">
        <f ca="1">IF(B906="Oloitoktok A",IF(D906&lt;15000,LOOKUP(RAND(),{0,0.45,0.75,0.92},{"River","Rainwater","Borehole","Vendor"}),IF(D906&lt;30000,LOOKUP(RAND(),{0,0.35,0.65,0.85},{"River","Rainwater","Borehole","Vendor"}),LOOKUP(RAND(),{0,0.25,0.5,0.75},{"River","Rainwater","Borehole","Vendor"}))),IF(B906="Oloitoktok B",IF(D906&lt;15000,LOOKUP(RAND(),{0,0.5,0.78,0.94},{"River","Rainwater","Borehole","Vendor"}),IF(D906&lt;30000,LOOKUP(RAND(),{0,0.4,0.68,0.87},{"River","Rainwater","Borehole","Vendor"}),LOOKUP(RAND(),{0,0.28,0.55,0.78},{"River","Rainwater","Borehole","Vendor"}))),IF(B906="Kiserian",IF(D906&lt;15000,LOOKUP(RAND(),{0,0.35,0.65,0.9},{"River","Rainwater","Borehole","Vendor"}),IF(D906&lt;30000,LOOKUP(RAND(),{0,0.25,0.55,0.82},{"River","Rainwater","Borehole","Vendor"}),LOOKUP(RAND(),{0,0.15,0.45,0.72},{"River","Rainwater","Borehole","Vendor"}))),IF(D906&lt;15000,LOOKUP(RAND(),{0,0.4,0.7,0.92},{"River","Rainwater","Borehole","Vendor"}),IF(D906&lt;30000,LOOKUP(RAND(),{0,0.3,0.6,0.85},{"River","Rainwater","Borehole","Vendor"}),LOOKUP(RAND(),{0,0.2,0.5,0.75},{"River","Rainwater","Borehole","Vendor"}))))))</f>
        <v>Borehole</v>
      </c>
      <c r="F906">
        <f t="shared" ca="1" si="85"/>
        <v>38</v>
      </c>
      <c r="G906">
        <f t="shared" ca="1" si="86"/>
        <v>12.6</v>
      </c>
      <c r="H906">
        <f t="shared" ca="1" si="87"/>
        <v>5800</v>
      </c>
      <c r="I906">
        <f t="shared" ca="1" si="88"/>
        <v>0.57958237424490378</v>
      </c>
      <c r="J906">
        <v>1</v>
      </c>
    </row>
    <row r="907" spans="1:10" x14ac:dyDescent="0.3">
      <c r="A907" t="str">
        <f t="shared" si="89"/>
        <v>HH906</v>
      </c>
      <c r="B907" t="str">
        <f ca="1">LOOKUP(RAND(),{0,0.28,0.55,0.78},{"Oloitoktok A","Oloitoktok B","Kiserian","Namanga"})</f>
        <v>Kiserian</v>
      </c>
      <c r="C907">
        <f ca="1">LOOKUP(RAND(),{0,0.02,0.09,0.2,0.35,0.52,0.68,0.81,0.91,0.97},{1,2,3,4,5,6,7,8,9,10})</f>
        <v>2</v>
      </c>
      <c r="D907">
        <f t="shared" ca="1" si="84"/>
        <v>30900</v>
      </c>
      <c r="E907" t="str">
        <f ca="1">IF(B907="Oloitoktok A",IF(D907&lt;15000,LOOKUP(RAND(),{0,0.45,0.75,0.92},{"River","Rainwater","Borehole","Vendor"}),IF(D907&lt;30000,LOOKUP(RAND(),{0,0.35,0.65,0.85},{"River","Rainwater","Borehole","Vendor"}),LOOKUP(RAND(),{0,0.25,0.5,0.75},{"River","Rainwater","Borehole","Vendor"}))),IF(B907="Oloitoktok B",IF(D907&lt;15000,LOOKUP(RAND(),{0,0.5,0.78,0.94},{"River","Rainwater","Borehole","Vendor"}),IF(D907&lt;30000,LOOKUP(RAND(),{0,0.4,0.68,0.87},{"River","Rainwater","Borehole","Vendor"}),LOOKUP(RAND(),{0,0.28,0.55,0.78},{"River","Rainwater","Borehole","Vendor"}))),IF(B907="Kiserian",IF(D907&lt;15000,LOOKUP(RAND(),{0,0.35,0.65,0.9},{"River","Rainwater","Borehole","Vendor"}),IF(D907&lt;30000,LOOKUP(RAND(),{0,0.25,0.55,0.82},{"River","Rainwater","Borehole","Vendor"}),LOOKUP(RAND(),{0,0.15,0.45,0.72},{"River","Rainwater","Borehole","Vendor"}))),IF(D907&lt;15000,LOOKUP(RAND(),{0,0.4,0.7,0.92},{"River","Rainwater","Borehole","Vendor"}),IF(D907&lt;30000,LOOKUP(RAND(),{0,0.3,0.6,0.85},{"River","Rainwater","Borehole","Vendor"}),LOOKUP(RAND(),{0,0.2,0.5,0.75},{"River","Rainwater","Borehole","Vendor"}))))))</f>
        <v>Vendor</v>
      </c>
      <c r="F907">
        <f t="shared" ca="1" si="85"/>
        <v>26</v>
      </c>
      <c r="G907">
        <f t="shared" ca="1" si="86"/>
        <v>7.7</v>
      </c>
      <c r="H907">
        <f t="shared" ca="1" si="87"/>
        <v>7300</v>
      </c>
      <c r="I907">
        <f t="shared" ca="1" si="88"/>
        <v>0.11107719343701239</v>
      </c>
      <c r="J907">
        <v>1</v>
      </c>
    </row>
    <row r="908" spans="1:10" x14ac:dyDescent="0.3">
      <c r="A908" t="str">
        <f t="shared" si="89"/>
        <v>HH907</v>
      </c>
      <c r="B908" t="str">
        <f ca="1">LOOKUP(RAND(),{0,0.28,0.55,0.78},{"Oloitoktok A","Oloitoktok B","Kiserian","Namanga"})</f>
        <v>Oloitoktok A</v>
      </c>
      <c r="C908">
        <f ca="1">LOOKUP(RAND(),{0,0.02,0.09,0.2,0.35,0.52,0.68,0.81,0.91,0.97},{1,2,3,4,5,6,7,8,9,10})</f>
        <v>6</v>
      </c>
      <c r="D908">
        <f t="shared" ca="1" si="84"/>
        <v>38200</v>
      </c>
      <c r="E908" t="str">
        <f ca="1">IF(B908="Oloitoktok A",IF(D908&lt;15000,LOOKUP(RAND(),{0,0.45,0.75,0.92},{"River","Rainwater","Borehole","Vendor"}),IF(D908&lt;30000,LOOKUP(RAND(),{0,0.35,0.65,0.85},{"River","Rainwater","Borehole","Vendor"}),LOOKUP(RAND(),{0,0.25,0.5,0.75},{"River","Rainwater","Borehole","Vendor"}))),IF(B908="Oloitoktok B",IF(D908&lt;15000,LOOKUP(RAND(),{0,0.5,0.78,0.94},{"River","Rainwater","Borehole","Vendor"}),IF(D908&lt;30000,LOOKUP(RAND(),{0,0.4,0.68,0.87},{"River","Rainwater","Borehole","Vendor"}),LOOKUP(RAND(),{0,0.28,0.55,0.78},{"River","Rainwater","Borehole","Vendor"}))),IF(B908="Kiserian",IF(D908&lt;15000,LOOKUP(RAND(),{0,0.35,0.65,0.9},{"River","Rainwater","Borehole","Vendor"}),IF(D908&lt;30000,LOOKUP(RAND(),{0,0.25,0.55,0.82},{"River","Rainwater","Borehole","Vendor"}),LOOKUP(RAND(),{0,0.15,0.45,0.72},{"River","Rainwater","Borehole","Vendor"}))),IF(D908&lt;15000,LOOKUP(RAND(),{0,0.4,0.7,0.92},{"River","Rainwater","Borehole","Vendor"}),IF(D908&lt;30000,LOOKUP(RAND(),{0,0.3,0.6,0.85},{"River","Rainwater","Borehole","Vendor"}),LOOKUP(RAND(),{0,0.2,0.5,0.75},{"River","Rainwater","Borehole","Vendor"}))))))</f>
        <v>Borehole</v>
      </c>
      <c r="F908">
        <f t="shared" ca="1" si="85"/>
        <v>35</v>
      </c>
      <c r="G908">
        <f t="shared" ca="1" si="86"/>
        <v>12.4</v>
      </c>
      <c r="H908">
        <f t="shared" ca="1" si="87"/>
        <v>1100</v>
      </c>
      <c r="I908">
        <f t="shared" ca="1" si="88"/>
        <v>0.29806158029288432</v>
      </c>
      <c r="J908">
        <v>1</v>
      </c>
    </row>
    <row r="909" spans="1:10" x14ac:dyDescent="0.3">
      <c r="A909" t="str">
        <f t="shared" si="89"/>
        <v>HH908</v>
      </c>
      <c r="B909" t="str">
        <f ca="1">LOOKUP(RAND(),{0,0.28,0.55,0.78},{"Oloitoktok A","Oloitoktok B","Kiserian","Namanga"})</f>
        <v>Oloitoktok A</v>
      </c>
      <c r="C909">
        <f ca="1">LOOKUP(RAND(),{0,0.02,0.09,0.2,0.35,0.52,0.68,0.81,0.91,0.97},{1,2,3,4,5,6,7,8,9,10})</f>
        <v>2</v>
      </c>
      <c r="D909">
        <f t="shared" ca="1" si="84"/>
        <v>34600</v>
      </c>
      <c r="E909" t="str">
        <f ca="1">IF(B909="Oloitoktok A",IF(D909&lt;15000,LOOKUP(RAND(),{0,0.45,0.75,0.92},{"River","Rainwater","Borehole","Vendor"}),IF(D909&lt;30000,LOOKUP(RAND(),{0,0.35,0.65,0.85},{"River","Rainwater","Borehole","Vendor"}),LOOKUP(RAND(),{0,0.25,0.5,0.75},{"River","Rainwater","Borehole","Vendor"}))),IF(B909="Oloitoktok B",IF(D909&lt;15000,LOOKUP(RAND(),{0,0.5,0.78,0.94},{"River","Rainwater","Borehole","Vendor"}),IF(D909&lt;30000,LOOKUP(RAND(),{0,0.4,0.68,0.87},{"River","Rainwater","Borehole","Vendor"}),LOOKUP(RAND(),{0,0.28,0.55,0.78},{"River","Rainwater","Borehole","Vendor"}))),IF(B909="Kiserian",IF(D909&lt;15000,LOOKUP(RAND(),{0,0.35,0.65,0.9},{"River","Rainwater","Borehole","Vendor"}),IF(D909&lt;30000,LOOKUP(RAND(),{0,0.25,0.55,0.82},{"River","Rainwater","Borehole","Vendor"}),LOOKUP(RAND(),{0,0.15,0.45,0.72},{"River","Rainwater","Borehole","Vendor"}))),IF(D909&lt;15000,LOOKUP(RAND(),{0,0.4,0.7,0.92},{"River","Rainwater","Borehole","Vendor"}),IF(D909&lt;30000,LOOKUP(RAND(),{0,0.3,0.6,0.85},{"River","Rainwater","Borehole","Vendor"}),LOOKUP(RAND(),{0,0.2,0.5,0.75},{"River","Rainwater","Borehole","Vendor"}))))))</f>
        <v>River</v>
      </c>
      <c r="F909">
        <f t="shared" ca="1" si="85"/>
        <v>89</v>
      </c>
      <c r="G909">
        <f t="shared" ca="1" si="86"/>
        <v>12.8</v>
      </c>
      <c r="H909">
        <f t="shared" ca="1" si="87"/>
        <v>6900</v>
      </c>
      <c r="I909">
        <f t="shared" ca="1" si="88"/>
        <v>0.2151679918152708</v>
      </c>
      <c r="J909">
        <v>1</v>
      </c>
    </row>
    <row r="910" spans="1:10" x14ac:dyDescent="0.3">
      <c r="A910" t="str">
        <f t="shared" si="89"/>
        <v>HH909</v>
      </c>
      <c r="B910" t="str">
        <f ca="1">LOOKUP(RAND(),{0,0.28,0.55,0.78},{"Oloitoktok A","Oloitoktok B","Kiserian","Namanga"})</f>
        <v>Oloitoktok B</v>
      </c>
      <c r="C910">
        <f ca="1">LOOKUP(RAND(),{0,0.02,0.09,0.2,0.35,0.52,0.68,0.81,0.91,0.97},{1,2,3,4,5,6,7,8,9,10})</f>
        <v>2</v>
      </c>
      <c r="D910">
        <f t="shared" ca="1" si="84"/>
        <v>39200</v>
      </c>
      <c r="E910" t="str">
        <f ca="1">IF(B910="Oloitoktok A",IF(D910&lt;15000,LOOKUP(RAND(),{0,0.45,0.75,0.92},{"River","Rainwater","Borehole","Vendor"}),IF(D910&lt;30000,LOOKUP(RAND(),{0,0.35,0.65,0.85},{"River","Rainwater","Borehole","Vendor"}),LOOKUP(RAND(),{0,0.25,0.5,0.75},{"River","Rainwater","Borehole","Vendor"}))),IF(B910="Oloitoktok B",IF(D910&lt;15000,LOOKUP(RAND(),{0,0.5,0.78,0.94},{"River","Rainwater","Borehole","Vendor"}),IF(D910&lt;30000,LOOKUP(RAND(),{0,0.4,0.68,0.87},{"River","Rainwater","Borehole","Vendor"}),LOOKUP(RAND(),{0,0.28,0.55,0.78},{"River","Rainwater","Borehole","Vendor"}))),IF(B910="Kiserian",IF(D910&lt;15000,LOOKUP(RAND(),{0,0.35,0.65,0.9},{"River","Rainwater","Borehole","Vendor"}),IF(D910&lt;30000,LOOKUP(RAND(),{0,0.25,0.55,0.82},{"River","Rainwater","Borehole","Vendor"}),LOOKUP(RAND(),{0,0.15,0.45,0.72},{"River","Rainwater","Borehole","Vendor"}))),IF(D910&lt;15000,LOOKUP(RAND(),{0,0.4,0.7,0.92},{"River","Rainwater","Borehole","Vendor"}),IF(D910&lt;30000,LOOKUP(RAND(),{0,0.3,0.6,0.85},{"River","Rainwater","Borehole","Vendor"}),LOOKUP(RAND(),{0,0.2,0.5,0.75},{"River","Rainwater","Borehole","Vendor"}))))))</f>
        <v>Borehole</v>
      </c>
      <c r="F910">
        <f t="shared" ca="1" si="85"/>
        <v>46</v>
      </c>
      <c r="G910">
        <f t="shared" ca="1" si="86"/>
        <v>7.5</v>
      </c>
      <c r="H910">
        <f t="shared" ca="1" si="87"/>
        <v>13900</v>
      </c>
      <c r="I910">
        <f t="shared" ca="1" si="88"/>
        <v>0.60071124598586079</v>
      </c>
      <c r="J910">
        <v>1</v>
      </c>
    </row>
    <row r="911" spans="1:10" x14ac:dyDescent="0.3">
      <c r="A911" t="str">
        <f t="shared" si="89"/>
        <v>HH910</v>
      </c>
      <c r="B911" t="str">
        <f ca="1">LOOKUP(RAND(),{0,0.28,0.55,0.78},{"Oloitoktok A","Oloitoktok B","Kiserian","Namanga"})</f>
        <v>Kiserian</v>
      </c>
      <c r="C911">
        <f ca="1">LOOKUP(RAND(),{0,0.02,0.09,0.2,0.35,0.52,0.68,0.81,0.91,0.97},{1,2,3,4,5,6,7,8,9,10})</f>
        <v>5</v>
      </c>
      <c r="D911">
        <f t="shared" ca="1" si="84"/>
        <v>131400</v>
      </c>
      <c r="E911" t="str">
        <f ca="1">IF(B911="Oloitoktok A",IF(D911&lt;15000,LOOKUP(RAND(),{0,0.45,0.75,0.92},{"River","Rainwater","Borehole","Vendor"}),IF(D911&lt;30000,LOOKUP(RAND(),{0,0.35,0.65,0.85},{"River","Rainwater","Borehole","Vendor"}),LOOKUP(RAND(),{0,0.25,0.5,0.75},{"River","Rainwater","Borehole","Vendor"}))),IF(B911="Oloitoktok B",IF(D911&lt;15000,LOOKUP(RAND(),{0,0.5,0.78,0.94},{"River","Rainwater","Borehole","Vendor"}),IF(D911&lt;30000,LOOKUP(RAND(),{0,0.4,0.68,0.87},{"River","Rainwater","Borehole","Vendor"}),LOOKUP(RAND(),{0,0.28,0.55,0.78},{"River","Rainwater","Borehole","Vendor"}))),IF(B911="Kiserian",IF(D911&lt;15000,LOOKUP(RAND(),{0,0.35,0.65,0.9},{"River","Rainwater","Borehole","Vendor"}),IF(D911&lt;30000,LOOKUP(RAND(),{0,0.25,0.55,0.82},{"River","Rainwater","Borehole","Vendor"}),LOOKUP(RAND(),{0,0.15,0.45,0.72},{"River","Rainwater","Borehole","Vendor"}))),IF(D911&lt;15000,LOOKUP(RAND(),{0,0.4,0.7,0.92},{"River","Rainwater","Borehole","Vendor"}),IF(D911&lt;30000,LOOKUP(RAND(),{0,0.3,0.6,0.85},{"River","Rainwater","Borehole","Vendor"}),LOOKUP(RAND(),{0,0.2,0.5,0.75},{"River","Rainwater","Borehole","Vendor"}))))))</f>
        <v>River</v>
      </c>
      <c r="F911">
        <f t="shared" ca="1" si="85"/>
        <v>54</v>
      </c>
      <c r="G911">
        <f t="shared" ca="1" si="86"/>
        <v>9.3000000000000007</v>
      </c>
      <c r="H911">
        <f t="shared" ca="1" si="87"/>
        <v>5600</v>
      </c>
      <c r="I911">
        <f t="shared" ca="1" si="88"/>
        <v>0.75653544696979447</v>
      </c>
      <c r="J911">
        <v>1</v>
      </c>
    </row>
    <row r="912" spans="1:10" x14ac:dyDescent="0.3">
      <c r="A912" t="str">
        <f t="shared" si="89"/>
        <v>HH911</v>
      </c>
      <c r="B912" t="str">
        <f ca="1">LOOKUP(RAND(),{0,0.28,0.55,0.78},{"Oloitoktok A","Oloitoktok B","Kiserian","Namanga"})</f>
        <v>Kiserian</v>
      </c>
      <c r="C912">
        <f ca="1">LOOKUP(RAND(),{0,0.02,0.09,0.2,0.35,0.52,0.68,0.81,0.91,0.97},{1,2,3,4,5,6,7,8,9,10})</f>
        <v>3</v>
      </c>
      <c r="D912">
        <f t="shared" ca="1" si="84"/>
        <v>21700</v>
      </c>
      <c r="E912" t="str">
        <f ca="1">IF(B912="Oloitoktok A",IF(D912&lt;15000,LOOKUP(RAND(),{0,0.45,0.75,0.92},{"River","Rainwater","Borehole","Vendor"}),IF(D912&lt;30000,LOOKUP(RAND(),{0,0.35,0.65,0.85},{"River","Rainwater","Borehole","Vendor"}),LOOKUP(RAND(),{0,0.25,0.5,0.75},{"River","Rainwater","Borehole","Vendor"}))),IF(B912="Oloitoktok B",IF(D912&lt;15000,LOOKUP(RAND(),{0,0.5,0.78,0.94},{"River","Rainwater","Borehole","Vendor"}),IF(D912&lt;30000,LOOKUP(RAND(),{0,0.4,0.68,0.87},{"River","Rainwater","Borehole","Vendor"}),LOOKUP(RAND(),{0,0.28,0.55,0.78},{"River","Rainwater","Borehole","Vendor"}))),IF(B912="Kiserian",IF(D912&lt;15000,LOOKUP(RAND(),{0,0.35,0.65,0.9},{"River","Rainwater","Borehole","Vendor"}),IF(D912&lt;30000,LOOKUP(RAND(),{0,0.25,0.55,0.82},{"River","Rainwater","Borehole","Vendor"}),LOOKUP(RAND(),{0,0.15,0.45,0.72},{"River","Rainwater","Borehole","Vendor"}))),IF(D912&lt;15000,LOOKUP(RAND(),{0,0.4,0.7,0.92},{"River","Rainwater","Borehole","Vendor"}),IF(D912&lt;30000,LOOKUP(RAND(),{0,0.3,0.6,0.85},{"River","Rainwater","Borehole","Vendor"}),LOOKUP(RAND(),{0,0.2,0.5,0.75},{"River","Rainwater","Borehole","Vendor"}))))))</f>
        <v>River</v>
      </c>
      <c r="F912">
        <f t="shared" ca="1" si="85"/>
        <v>51</v>
      </c>
      <c r="G912">
        <f t="shared" ca="1" si="86"/>
        <v>1.4</v>
      </c>
      <c r="H912">
        <f t="shared" ca="1" si="87"/>
        <v>9800</v>
      </c>
      <c r="I912">
        <f t="shared" ca="1" si="88"/>
        <v>0.60884084729839472</v>
      </c>
      <c r="J912">
        <v>1</v>
      </c>
    </row>
    <row r="913" spans="1:10" x14ac:dyDescent="0.3">
      <c r="A913" t="str">
        <f t="shared" si="89"/>
        <v>HH912</v>
      </c>
      <c r="B913" t="str">
        <f ca="1">LOOKUP(RAND(),{0,0.28,0.55,0.78},{"Oloitoktok A","Oloitoktok B","Kiserian","Namanga"})</f>
        <v>Oloitoktok B</v>
      </c>
      <c r="C913">
        <f ca="1">LOOKUP(RAND(),{0,0.02,0.09,0.2,0.35,0.52,0.68,0.81,0.91,0.97},{1,2,3,4,5,6,7,8,9,10})</f>
        <v>9</v>
      </c>
      <c r="D913">
        <f t="shared" ca="1" si="84"/>
        <v>30300</v>
      </c>
      <c r="E913" t="str">
        <f ca="1">IF(B913="Oloitoktok A",IF(D913&lt;15000,LOOKUP(RAND(),{0,0.45,0.75,0.92},{"River","Rainwater","Borehole","Vendor"}),IF(D913&lt;30000,LOOKUP(RAND(),{0,0.35,0.65,0.85},{"River","Rainwater","Borehole","Vendor"}),LOOKUP(RAND(),{0,0.25,0.5,0.75},{"River","Rainwater","Borehole","Vendor"}))),IF(B913="Oloitoktok B",IF(D913&lt;15000,LOOKUP(RAND(),{0,0.5,0.78,0.94},{"River","Rainwater","Borehole","Vendor"}),IF(D913&lt;30000,LOOKUP(RAND(),{0,0.4,0.68,0.87},{"River","Rainwater","Borehole","Vendor"}),LOOKUP(RAND(),{0,0.28,0.55,0.78},{"River","Rainwater","Borehole","Vendor"}))),IF(B913="Kiserian",IF(D913&lt;15000,LOOKUP(RAND(),{0,0.35,0.65,0.9},{"River","Rainwater","Borehole","Vendor"}),IF(D913&lt;30000,LOOKUP(RAND(),{0,0.25,0.55,0.82},{"River","Rainwater","Borehole","Vendor"}),LOOKUP(RAND(),{0,0.15,0.45,0.72},{"River","Rainwater","Borehole","Vendor"}))),IF(D913&lt;15000,LOOKUP(RAND(),{0,0.4,0.7,0.92},{"River","Rainwater","Borehole","Vendor"}),IF(D913&lt;30000,LOOKUP(RAND(),{0,0.3,0.6,0.85},{"River","Rainwater","Borehole","Vendor"}),LOOKUP(RAND(),{0,0.2,0.5,0.75},{"River","Rainwater","Borehole","Vendor"}))))))</f>
        <v>Borehole</v>
      </c>
      <c r="F913">
        <f t="shared" ca="1" si="85"/>
        <v>42</v>
      </c>
      <c r="G913">
        <f t="shared" ca="1" si="86"/>
        <v>12.6</v>
      </c>
      <c r="H913">
        <f t="shared" ca="1" si="87"/>
        <v>6600</v>
      </c>
      <c r="I913">
        <f t="shared" ca="1" si="88"/>
        <v>0.44708084692349326</v>
      </c>
      <c r="J913">
        <v>1</v>
      </c>
    </row>
    <row r="914" spans="1:10" x14ac:dyDescent="0.3">
      <c r="A914" t="str">
        <f t="shared" si="89"/>
        <v>HH913</v>
      </c>
      <c r="B914" t="str">
        <f ca="1">LOOKUP(RAND(),{0,0.28,0.55,0.78},{"Oloitoktok A","Oloitoktok B","Kiserian","Namanga"})</f>
        <v>Namanga</v>
      </c>
      <c r="C914">
        <f ca="1">LOOKUP(RAND(),{0,0.02,0.09,0.2,0.35,0.52,0.68,0.81,0.91,0.97},{1,2,3,4,5,6,7,8,9,10})</f>
        <v>8</v>
      </c>
      <c r="D914">
        <f t="shared" ca="1" si="84"/>
        <v>70700</v>
      </c>
      <c r="E914" t="str">
        <f ca="1">IF(B914="Oloitoktok A",IF(D914&lt;15000,LOOKUP(RAND(),{0,0.45,0.75,0.92},{"River","Rainwater","Borehole","Vendor"}),IF(D914&lt;30000,LOOKUP(RAND(),{0,0.35,0.65,0.85},{"River","Rainwater","Borehole","Vendor"}),LOOKUP(RAND(),{0,0.25,0.5,0.75},{"River","Rainwater","Borehole","Vendor"}))),IF(B914="Oloitoktok B",IF(D914&lt;15000,LOOKUP(RAND(),{0,0.5,0.78,0.94},{"River","Rainwater","Borehole","Vendor"}),IF(D914&lt;30000,LOOKUP(RAND(),{0,0.4,0.68,0.87},{"River","Rainwater","Borehole","Vendor"}),LOOKUP(RAND(),{0,0.28,0.55,0.78},{"River","Rainwater","Borehole","Vendor"}))),IF(B914="Kiserian",IF(D914&lt;15000,LOOKUP(RAND(),{0,0.35,0.65,0.9},{"River","Rainwater","Borehole","Vendor"}),IF(D914&lt;30000,LOOKUP(RAND(),{0,0.25,0.55,0.82},{"River","Rainwater","Borehole","Vendor"}),LOOKUP(RAND(),{0,0.15,0.45,0.72},{"River","Rainwater","Borehole","Vendor"}))),IF(D914&lt;15000,LOOKUP(RAND(),{0,0.4,0.7,0.92},{"River","Rainwater","Borehole","Vendor"}),IF(D914&lt;30000,LOOKUP(RAND(),{0,0.3,0.6,0.85},{"River","Rainwater","Borehole","Vendor"}),LOOKUP(RAND(),{0,0.2,0.5,0.75},{"River","Rainwater","Borehole","Vendor"}))))))</f>
        <v>River</v>
      </c>
      <c r="F914">
        <f t="shared" ca="1" si="85"/>
        <v>48</v>
      </c>
      <c r="G914">
        <f t="shared" ca="1" si="86"/>
        <v>0.6</v>
      </c>
      <c r="H914">
        <f t="shared" ca="1" si="87"/>
        <v>0</v>
      </c>
      <c r="I914">
        <f t="shared" ca="1" si="88"/>
        <v>0.7149964022510068</v>
      </c>
      <c r="J914">
        <v>1</v>
      </c>
    </row>
    <row r="915" spans="1:10" x14ac:dyDescent="0.3">
      <c r="A915" t="str">
        <f t="shared" si="89"/>
        <v>HH914</v>
      </c>
      <c r="B915" t="str">
        <f ca="1">LOOKUP(RAND(),{0,0.28,0.55,0.78},{"Oloitoktok A","Oloitoktok B","Kiserian","Namanga"})</f>
        <v>Oloitoktok B</v>
      </c>
      <c r="C915">
        <f ca="1">LOOKUP(RAND(),{0,0.02,0.09,0.2,0.35,0.52,0.68,0.81,0.91,0.97},{1,2,3,4,5,6,7,8,9,10})</f>
        <v>5</v>
      </c>
      <c r="D915">
        <f t="shared" ca="1" si="84"/>
        <v>46800</v>
      </c>
      <c r="E915" t="str">
        <f ca="1">IF(B915="Oloitoktok A",IF(D915&lt;15000,LOOKUP(RAND(),{0,0.45,0.75,0.92},{"River","Rainwater","Borehole","Vendor"}),IF(D915&lt;30000,LOOKUP(RAND(),{0,0.35,0.65,0.85},{"River","Rainwater","Borehole","Vendor"}),LOOKUP(RAND(),{0,0.25,0.5,0.75},{"River","Rainwater","Borehole","Vendor"}))),IF(B915="Oloitoktok B",IF(D915&lt;15000,LOOKUP(RAND(),{0,0.5,0.78,0.94},{"River","Rainwater","Borehole","Vendor"}),IF(D915&lt;30000,LOOKUP(RAND(),{0,0.4,0.68,0.87},{"River","Rainwater","Borehole","Vendor"}),LOOKUP(RAND(),{0,0.28,0.55,0.78},{"River","Rainwater","Borehole","Vendor"}))),IF(B915="Kiserian",IF(D915&lt;15000,LOOKUP(RAND(),{0,0.35,0.65,0.9},{"River","Rainwater","Borehole","Vendor"}),IF(D915&lt;30000,LOOKUP(RAND(),{0,0.25,0.55,0.82},{"River","Rainwater","Borehole","Vendor"}),LOOKUP(RAND(),{0,0.15,0.45,0.72},{"River","Rainwater","Borehole","Vendor"}))),IF(D915&lt;15000,LOOKUP(RAND(),{0,0.4,0.7,0.92},{"River","Rainwater","Borehole","Vendor"}),IF(D915&lt;30000,LOOKUP(RAND(),{0,0.3,0.6,0.85},{"River","Rainwater","Borehole","Vendor"}),LOOKUP(RAND(),{0,0.2,0.5,0.75},{"River","Rainwater","Borehole","Vendor"}))))))</f>
        <v>River</v>
      </c>
      <c r="F915">
        <f t="shared" ca="1" si="85"/>
        <v>92</v>
      </c>
      <c r="G915">
        <f t="shared" ca="1" si="86"/>
        <v>12.2</v>
      </c>
      <c r="H915">
        <f t="shared" ca="1" si="87"/>
        <v>4400</v>
      </c>
      <c r="I915">
        <f t="shared" ca="1" si="88"/>
        <v>0.5405855668982017</v>
      </c>
      <c r="J915">
        <v>1</v>
      </c>
    </row>
    <row r="916" spans="1:10" x14ac:dyDescent="0.3">
      <c r="A916" t="str">
        <f t="shared" si="89"/>
        <v>HH915</v>
      </c>
      <c r="B916" t="str">
        <f ca="1">LOOKUP(RAND(),{0,0.28,0.55,0.78},{"Oloitoktok A","Oloitoktok B","Kiserian","Namanga"})</f>
        <v>Kiserian</v>
      </c>
      <c r="C916">
        <f ca="1">LOOKUP(RAND(),{0,0.02,0.09,0.2,0.35,0.52,0.68,0.81,0.91,0.97},{1,2,3,4,5,6,7,8,9,10})</f>
        <v>7</v>
      </c>
      <c r="D916">
        <f t="shared" ca="1" si="84"/>
        <v>22400</v>
      </c>
      <c r="E916" t="str">
        <f ca="1">IF(B916="Oloitoktok A",IF(D916&lt;15000,LOOKUP(RAND(),{0,0.45,0.75,0.92},{"River","Rainwater","Borehole","Vendor"}),IF(D916&lt;30000,LOOKUP(RAND(),{0,0.35,0.65,0.85},{"River","Rainwater","Borehole","Vendor"}),LOOKUP(RAND(),{0,0.25,0.5,0.75},{"River","Rainwater","Borehole","Vendor"}))),IF(B916="Oloitoktok B",IF(D916&lt;15000,LOOKUP(RAND(),{0,0.5,0.78,0.94},{"River","Rainwater","Borehole","Vendor"}),IF(D916&lt;30000,LOOKUP(RAND(),{0,0.4,0.68,0.87},{"River","Rainwater","Borehole","Vendor"}),LOOKUP(RAND(),{0,0.28,0.55,0.78},{"River","Rainwater","Borehole","Vendor"}))),IF(B916="Kiserian",IF(D916&lt;15000,LOOKUP(RAND(),{0,0.35,0.65,0.9},{"River","Rainwater","Borehole","Vendor"}),IF(D916&lt;30000,LOOKUP(RAND(),{0,0.25,0.55,0.82},{"River","Rainwater","Borehole","Vendor"}),LOOKUP(RAND(),{0,0.15,0.45,0.72},{"River","Rainwater","Borehole","Vendor"}))),IF(D916&lt;15000,LOOKUP(RAND(),{0,0.4,0.7,0.92},{"River","Rainwater","Borehole","Vendor"}),IF(D916&lt;30000,LOOKUP(RAND(),{0,0.3,0.6,0.85},{"River","Rainwater","Borehole","Vendor"}),LOOKUP(RAND(),{0,0.2,0.5,0.75},{"River","Rainwater","Borehole","Vendor"}))))))</f>
        <v>Rainwater</v>
      </c>
      <c r="F916">
        <f t="shared" ca="1" si="85"/>
        <v>33</v>
      </c>
      <c r="G916">
        <f t="shared" ca="1" si="86"/>
        <v>1.5</v>
      </c>
      <c r="H916">
        <f t="shared" ca="1" si="87"/>
        <v>2800</v>
      </c>
      <c r="I916">
        <f t="shared" ca="1" si="88"/>
        <v>0.12037808924719684</v>
      </c>
      <c r="J916">
        <v>1</v>
      </c>
    </row>
    <row r="917" spans="1:10" x14ac:dyDescent="0.3">
      <c r="A917" t="str">
        <f t="shared" si="89"/>
        <v>HH916</v>
      </c>
      <c r="B917" t="str">
        <f ca="1">LOOKUP(RAND(),{0,0.28,0.55,0.78},{"Oloitoktok A","Oloitoktok B","Kiserian","Namanga"})</f>
        <v>Oloitoktok B</v>
      </c>
      <c r="C917">
        <f ca="1">LOOKUP(RAND(),{0,0.02,0.09,0.2,0.35,0.52,0.68,0.81,0.91,0.97},{1,2,3,4,5,6,7,8,9,10})</f>
        <v>6</v>
      </c>
      <c r="D917">
        <f t="shared" ca="1" si="84"/>
        <v>47400</v>
      </c>
      <c r="E917" t="str">
        <f ca="1">IF(B917="Oloitoktok A",IF(D917&lt;15000,LOOKUP(RAND(),{0,0.45,0.75,0.92},{"River","Rainwater","Borehole","Vendor"}),IF(D917&lt;30000,LOOKUP(RAND(),{0,0.35,0.65,0.85},{"River","Rainwater","Borehole","Vendor"}),LOOKUP(RAND(),{0,0.25,0.5,0.75},{"River","Rainwater","Borehole","Vendor"}))),IF(B917="Oloitoktok B",IF(D917&lt;15000,LOOKUP(RAND(),{0,0.5,0.78,0.94},{"River","Rainwater","Borehole","Vendor"}),IF(D917&lt;30000,LOOKUP(RAND(),{0,0.4,0.68,0.87},{"River","Rainwater","Borehole","Vendor"}),LOOKUP(RAND(),{0,0.28,0.55,0.78},{"River","Rainwater","Borehole","Vendor"}))),IF(B917="Kiserian",IF(D917&lt;15000,LOOKUP(RAND(),{0,0.35,0.65,0.9},{"River","Rainwater","Borehole","Vendor"}),IF(D917&lt;30000,LOOKUP(RAND(),{0,0.25,0.55,0.82},{"River","Rainwater","Borehole","Vendor"}),LOOKUP(RAND(),{0,0.15,0.45,0.72},{"River","Rainwater","Borehole","Vendor"}))),IF(D917&lt;15000,LOOKUP(RAND(),{0,0.4,0.7,0.92},{"River","Rainwater","Borehole","Vendor"}),IF(D917&lt;30000,LOOKUP(RAND(),{0,0.3,0.6,0.85},{"River","Rainwater","Borehole","Vendor"}),LOOKUP(RAND(),{0,0.2,0.5,0.75},{"River","Rainwater","Borehole","Vendor"}))))))</f>
        <v>Borehole</v>
      </c>
      <c r="F917">
        <f t="shared" ca="1" si="85"/>
        <v>62</v>
      </c>
      <c r="G917">
        <f t="shared" ca="1" si="86"/>
        <v>3.8</v>
      </c>
      <c r="H917">
        <f t="shared" ca="1" si="87"/>
        <v>6700</v>
      </c>
      <c r="I917">
        <f t="shared" ca="1" si="88"/>
        <v>0.75734803510602811</v>
      </c>
      <c r="J917">
        <v>1</v>
      </c>
    </row>
    <row r="918" spans="1:10" x14ac:dyDescent="0.3">
      <c r="A918" t="str">
        <f t="shared" si="89"/>
        <v>HH917</v>
      </c>
      <c r="B918" t="str">
        <f ca="1">LOOKUP(RAND(),{0,0.28,0.55,0.78},{"Oloitoktok A","Oloitoktok B","Kiserian","Namanga"})</f>
        <v>Oloitoktok B</v>
      </c>
      <c r="C918">
        <f ca="1">LOOKUP(RAND(),{0,0.02,0.09,0.2,0.35,0.52,0.68,0.81,0.91,0.97},{1,2,3,4,5,6,7,8,9,10})</f>
        <v>2</v>
      </c>
      <c r="D918">
        <f t="shared" ca="1" si="84"/>
        <v>42400</v>
      </c>
      <c r="E918" t="str">
        <f ca="1">IF(B918="Oloitoktok A",IF(D918&lt;15000,LOOKUP(RAND(),{0,0.45,0.75,0.92},{"River","Rainwater","Borehole","Vendor"}),IF(D918&lt;30000,LOOKUP(RAND(),{0,0.35,0.65,0.85},{"River","Rainwater","Borehole","Vendor"}),LOOKUP(RAND(),{0,0.25,0.5,0.75},{"River","Rainwater","Borehole","Vendor"}))),IF(B918="Oloitoktok B",IF(D918&lt;15000,LOOKUP(RAND(),{0,0.5,0.78,0.94},{"River","Rainwater","Borehole","Vendor"}),IF(D918&lt;30000,LOOKUP(RAND(),{0,0.4,0.68,0.87},{"River","Rainwater","Borehole","Vendor"}),LOOKUP(RAND(),{0,0.28,0.55,0.78},{"River","Rainwater","Borehole","Vendor"}))),IF(B918="Kiserian",IF(D918&lt;15000,LOOKUP(RAND(),{0,0.35,0.65,0.9},{"River","Rainwater","Borehole","Vendor"}),IF(D918&lt;30000,LOOKUP(RAND(),{0,0.25,0.55,0.82},{"River","Rainwater","Borehole","Vendor"}),LOOKUP(RAND(),{0,0.15,0.45,0.72},{"River","Rainwater","Borehole","Vendor"}))),IF(D918&lt;15000,LOOKUP(RAND(),{0,0.4,0.7,0.92},{"River","Rainwater","Borehole","Vendor"}),IF(D918&lt;30000,LOOKUP(RAND(),{0,0.3,0.6,0.85},{"River","Rainwater","Borehole","Vendor"}),LOOKUP(RAND(),{0,0.2,0.5,0.75},{"River","Rainwater","Borehole","Vendor"}))))))</f>
        <v>River</v>
      </c>
      <c r="F918">
        <f t="shared" ca="1" si="85"/>
        <v>99</v>
      </c>
      <c r="G918">
        <f t="shared" ca="1" si="86"/>
        <v>13</v>
      </c>
      <c r="H918">
        <f t="shared" ca="1" si="87"/>
        <v>0</v>
      </c>
      <c r="I918">
        <f t="shared" ca="1" si="88"/>
        <v>0.94681002874997067</v>
      </c>
      <c r="J918">
        <v>1</v>
      </c>
    </row>
    <row r="919" spans="1:10" x14ac:dyDescent="0.3">
      <c r="A919" t="str">
        <f t="shared" si="89"/>
        <v>HH918</v>
      </c>
      <c r="B919" t="str">
        <f ca="1">LOOKUP(RAND(),{0,0.28,0.55,0.78},{"Oloitoktok A","Oloitoktok B","Kiserian","Namanga"})</f>
        <v>Kiserian</v>
      </c>
      <c r="C919">
        <f ca="1">LOOKUP(RAND(),{0,0.02,0.09,0.2,0.35,0.52,0.68,0.81,0.91,0.97},{1,2,3,4,5,6,7,8,9,10})</f>
        <v>6</v>
      </c>
      <c r="D919">
        <f t="shared" ca="1" si="84"/>
        <v>61900</v>
      </c>
      <c r="E919" t="str">
        <f ca="1">IF(B919="Oloitoktok A",IF(D919&lt;15000,LOOKUP(RAND(),{0,0.45,0.75,0.92},{"River","Rainwater","Borehole","Vendor"}),IF(D919&lt;30000,LOOKUP(RAND(),{0,0.35,0.65,0.85},{"River","Rainwater","Borehole","Vendor"}),LOOKUP(RAND(),{0,0.25,0.5,0.75},{"River","Rainwater","Borehole","Vendor"}))),IF(B919="Oloitoktok B",IF(D919&lt;15000,LOOKUP(RAND(),{0,0.5,0.78,0.94},{"River","Rainwater","Borehole","Vendor"}),IF(D919&lt;30000,LOOKUP(RAND(),{0,0.4,0.68,0.87},{"River","Rainwater","Borehole","Vendor"}),LOOKUP(RAND(),{0,0.28,0.55,0.78},{"River","Rainwater","Borehole","Vendor"}))),IF(B919="Kiserian",IF(D919&lt;15000,LOOKUP(RAND(),{0,0.35,0.65,0.9},{"River","Rainwater","Borehole","Vendor"}),IF(D919&lt;30000,LOOKUP(RAND(),{0,0.25,0.55,0.82},{"River","Rainwater","Borehole","Vendor"}),LOOKUP(RAND(),{0,0.15,0.45,0.72},{"River","Rainwater","Borehole","Vendor"}))),IF(D919&lt;15000,LOOKUP(RAND(),{0,0.4,0.7,0.92},{"River","Rainwater","Borehole","Vendor"}),IF(D919&lt;30000,LOOKUP(RAND(),{0,0.3,0.6,0.85},{"River","Rainwater","Borehole","Vendor"}),LOOKUP(RAND(),{0,0.2,0.5,0.75},{"River","Rainwater","Borehole","Vendor"}))))))</f>
        <v>Vendor</v>
      </c>
      <c r="F919">
        <f t="shared" ca="1" si="85"/>
        <v>24</v>
      </c>
      <c r="G919">
        <f t="shared" ca="1" si="86"/>
        <v>4.7</v>
      </c>
      <c r="H919">
        <f t="shared" ca="1" si="87"/>
        <v>4800</v>
      </c>
      <c r="I919">
        <f t="shared" ca="1" si="88"/>
        <v>0.65791003695360717</v>
      </c>
      <c r="J919">
        <v>1</v>
      </c>
    </row>
    <row r="920" spans="1:10" x14ac:dyDescent="0.3">
      <c r="A920" t="str">
        <f t="shared" si="89"/>
        <v>HH919</v>
      </c>
      <c r="B920" t="str">
        <f ca="1">LOOKUP(RAND(),{0,0.28,0.55,0.78},{"Oloitoktok A","Oloitoktok B","Kiserian","Namanga"})</f>
        <v>Oloitoktok A</v>
      </c>
      <c r="C920">
        <f ca="1">LOOKUP(RAND(),{0,0.02,0.09,0.2,0.35,0.52,0.68,0.81,0.91,0.97},{1,2,3,4,5,6,7,8,9,10})</f>
        <v>9</v>
      </c>
      <c r="D920">
        <f t="shared" ca="1" si="84"/>
        <v>27500</v>
      </c>
      <c r="E920" t="str">
        <f ca="1">IF(B920="Oloitoktok A",IF(D920&lt;15000,LOOKUP(RAND(),{0,0.45,0.75,0.92},{"River","Rainwater","Borehole","Vendor"}),IF(D920&lt;30000,LOOKUP(RAND(),{0,0.35,0.65,0.85},{"River","Rainwater","Borehole","Vendor"}),LOOKUP(RAND(),{0,0.25,0.5,0.75},{"River","Rainwater","Borehole","Vendor"}))),IF(B920="Oloitoktok B",IF(D920&lt;15000,LOOKUP(RAND(),{0,0.5,0.78,0.94},{"River","Rainwater","Borehole","Vendor"}),IF(D920&lt;30000,LOOKUP(RAND(),{0,0.4,0.68,0.87},{"River","Rainwater","Borehole","Vendor"}),LOOKUP(RAND(),{0,0.28,0.55,0.78},{"River","Rainwater","Borehole","Vendor"}))),IF(B920="Kiserian",IF(D920&lt;15000,LOOKUP(RAND(),{0,0.35,0.65,0.9},{"River","Rainwater","Borehole","Vendor"}),IF(D920&lt;30000,LOOKUP(RAND(),{0,0.25,0.55,0.82},{"River","Rainwater","Borehole","Vendor"}),LOOKUP(RAND(),{0,0.15,0.45,0.72},{"River","Rainwater","Borehole","Vendor"}))),IF(D920&lt;15000,LOOKUP(RAND(),{0,0.4,0.7,0.92},{"River","Rainwater","Borehole","Vendor"}),IF(D920&lt;30000,LOOKUP(RAND(),{0,0.3,0.6,0.85},{"River","Rainwater","Borehole","Vendor"}),LOOKUP(RAND(),{0,0.2,0.5,0.75},{"River","Rainwater","Borehole","Vendor"}))))))</f>
        <v>River</v>
      </c>
      <c r="F920">
        <f t="shared" ca="1" si="85"/>
        <v>113</v>
      </c>
      <c r="G920">
        <f t="shared" ca="1" si="86"/>
        <v>3.8</v>
      </c>
      <c r="H920">
        <f t="shared" ca="1" si="87"/>
        <v>3100</v>
      </c>
      <c r="I920">
        <f t="shared" ca="1" si="88"/>
        <v>0.98384293438689396</v>
      </c>
      <c r="J920">
        <v>1</v>
      </c>
    </row>
    <row r="921" spans="1:10" x14ac:dyDescent="0.3">
      <c r="A921" t="str">
        <f t="shared" si="89"/>
        <v>HH920</v>
      </c>
      <c r="B921" t="str">
        <f ca="1">LOOKUP(RAND(),{0,0.28,0.55,0.78},{"Oloitoktok A","Oloitoktok B","Kiserian","Namanga"})</f>
        <v>Kiserian</v>
      </c>
      <c r="C921">
        <f ca="1">LOOKUP(RAND(),{0,0.02,0.09,0.2,0.35,0.52,0.68,0.81,0.91,0.97},{1,2,3,4,5,6,7,8,9,10})</f>
        <v>5</v>
      </c>
      <c r="D921">
        <f t="shared" ca="1" si="84"/>
        <v>30600</v>
      </c>
      <c r="E921" t="str">
        <f ca="1">IF(B921="Oloitoktok A",IF(D921&lt;15000,LOOKUP(RAND(),{0,0.45,0.75,0.92},{"River","Rainwater","Borehole","Vendor"}),IF(D921&lt;30000,LOOKUP(RAND(),{0,0.35,0.65,0.85},{"River","Rainwater","Borehole","Vendor"}),LOOKUP(RAND(),{0,0.25,0.5,0.75},{"River","Rainwater","Borehole","Vendor"}))),IF(B921="Oloitoktok B",IF(D921&lt;15000,LOOKUP(RAND(),{0,0.5,0.78,0.94},{"River","Rainwater","Borehole","Vendor"}),IF(D921&lt;30000,LOOKUP(RAND(),{0,0.4,0.68,0.87},{"River","Rainwater","Borehole","Vendor"}),LOOKUP(RAND(),{0,0.28,0.55,0.78},{"River","Rainwater","Borehole","Vendor"}))),IF(B921="Kiserian",IF(D921&lt;15000,LOOKUP(RAND(),{0,0.35,0.65,0.9},{"River","Rainwater","Borehole","Vendor"}),IF(D921&lt;30000,LOOKUP(RAND(),{0,0.25,0.55,0.82},{"River","Rainwater","Borehole","Vendor"}),LOOKUP(RAND(),{0,0.15,0.45,0.72},{"River","Rainwater","Borehole","Vendor"}))),IF(D921&lt;15000,LOOKUP(RAND(),{0,0.4,0.7,0.92},{"River","Rainwater","Borehole","Vendor"}),IF(D921&lt;30000,LOOKUP(RAND(),{0,0.3,0.6,0.85},{"River","Rainwater","Borehole","Vendor"}),LOOKUP(RAND(),{0,0.2,0.5,0.75},{"River","Rainwater","Borehole","Vendor"}))))))</f>
        <v>Vendor</v>
      </c>
      <c r="F921">
        <f t="shared" ca="1" si="85"/>
        <v>40</v>
      </c>
      <c r="G921">
        <f t="shared" ca="1" si="86"/>
        <v>9.1</v>
      </c>
      <c r="H921">
        <f t="shared" ca="1" si="87"/>
        <v>5000</v>
      </c>
      <c r="I921">
        <f t="shared" ca="1" si="88"/>
        <v>0.79398314759169142</v>
      </c>
      <c r="J921">
        <v>1</v>
      </c>
    </row>
    <row r="922" spans="1:10" x14ac:dyDescent="0.3">
      <c r="A922" t="str">
        <f t="shared" si="89"/>
        <v>HH921</v>
      </c>
      <c r="B922" t="str">
        <f ca="1">LOOKUP(RAND(),{0,0.28,0.55,0.78},{"Oloitoktok A","Oloitoktok B","Kiserian","Namanga"})</f>
        <v>Oloitoktok B</v>
      </c>
      <c r="C922">
        <f ca="1">LOOKUP(RAND(),{0,0.02,0.09,0.2,0.35,0.52,0.68,0.81,0.91,0.97},{1,2,3,4,5,6,7,8,9,10})</f>
        <v>5</v>
      </c>
      <c r="D922">
        <f t="shared" ca="1" si="84"/>
        <v>47900</v>
      </c>
      <c r="E922" t="str">
        <f ca="1">IF(B922="Oloitoktok A",IF(D922&lt;15000,LOOKUP(RAND(),{0,0.45,0.75,0.92},{"River","Rainwater","Borehole","Vendor"}),IF(D922&lt;30000,LOOKUP(RAND(),{0,0.35,0.65,0.85},{"River","Rainwater","Borehole","Vendor"}),LOOKUP(RAND(),{0,0.25,0.5,0.75},{"River","Rainwater","Borehole","Vendor"}))),IF(B922="Oloitoktok B",IF(D922&lt;15000,LOOKUP(RAND(),{0,0.5,0.78,0.94},{"River","Rainwater","Borehole","Vendor"}),IF(D922&lt;30000,LOOKUP(RAND(),{0,0.4,0.68,0.87},{"River","Rainwater","Borehole","Vendor"}),LOOKUP(RAND(),{0,0.28,0.55,0.78},{"River","Rainwater","Borehole","Vendor"}))),IF(B922="Kiserian",IF(D922&lt;15000,LOOKUP(RAND(),{0,0.35,0.65,0.9},{"River","Rainwater","Borehole","Vendor"}),IF(D922&lt;30000,LOOKUP(RAND(),{0,0.25,0.55,0.82},{"River","Rainwater","Borehole","Vendor"}),LOOKUP(RAND(),{0,0.15,0.45,0.72},{"River","Rainwater","Borehole","Vendor"}))),IF(D922&lt;15000,LOOKUP(RAND(),{0,0.4,0.7,0.92},{"River","Rainwater","Borehole","Vendor"}),IF(D922&lt;30000,LOOKUP(RAND(),{0,0.3,0.6,0.85},{"River","Rainwater","Borehole","Vendor"}),LOOKUP(RAND(),{0,0.2,0.5,0.75},{"River","Rainwater","Borehole","Vendor"}))))))</f>
        <v>Vendor</v>
      </c>
      <c r="F922">
        <f t="shared" ca="1" si="85"/>
        <v>27</v>
      </c>
      <c r="G922">
        <f t="shared" ca="1" si="86"/>
        <v>7.3</v>
      </c>
      <c r="H922">
        <f t="shared" ca="1" si="87"/>
        <v>3100</v>
      </c>
      <c r="I922">
        <f t="shared" ca="1" si="88"/>
        <v>0.45751293146331784</v>
      </c>
      <c r="J922">
        <v>1</v>
      </c>
    </row>
    <row r="923" spans="1:10" x14ac:dyDescent="0.3">
      <c r="A923" t="str">
        <f t="shared" si="89"/>
        <v>HH922</v>
      </c>
      <c r="B923" t="str">
        <f ca="1">LOOKUP(RAND(),{0,0.28,0.55,0.78},{"Oloitoktok A","Oloitoktok B","Kiserian","Namanga"})</f>
        <v>Oloitoktok A</v>
      </c>
      <c r="C923">
        <f ca="1">LOOKUP(RAND(),{0,0.02,0.09,0.2,0.35,0.52,0.68,0.81,0.91,0.97},{1,2,3,4,5,6,7,8,9,10})</f>
        <v>4</v>
      </c>
      <c r="D923">
        <f t="shared" ca="1" si="84"/>
        <v>39600</v>
      </c>
      <c r="E923" t="str">
        <f ca="1">IF(B923="Oloitoktok A",IF(D923&lt;15000,LOOKUP(RAND(),{0,0.45,0.75,0.92},{"River","Rainwater","Borehole","Vendor"}),IF(D923&lt;30000,LOOKUP(RAND(),{0,0.35,0.65,0.85},{"River","Rainwater","Borehole","Vendor"}),LOOKUP(RAND(),{0,0.25,0.5,0.75},{"River","Rainwater","Borehole","Vendor"}))),IF(B923="Oloitoktok B",IF(D923&lt;15000,LOOKUP(RAND(),{0,0.5,0.78,0.94},{"River","Rainwater","Borehole","Vendor"}),IF(D923&lt;30000,LOOKUP(RAND(),{0,0.4,0.68,0.87},{"River","Rainwater","Borehole","Vendor"}),LOOKUP(RAND(),{0,0.28,0.55,0.78},{"River","Rainwater","Borehole","Vendor"}))),IF(B923="Kiserian",IF(D923&lt;15000,LOOKUP(RAND(),{0,0.35,0.65,0.9},{"River","Rainwater","Borehole","Vendor"}),IF(D923&lt;30000,LOOKUP(RAND(),{0,0.25,0.55,0.82},{"River","Rainwater","Borehole","Vendor"}),LOOKUP(RAND(),{0,0.15,0.45,0.72},{"River","Rainwater","Borehole","Vendor"}))),IF(D923&lt;15000,LOOKUP(RAND(),{0,0.4,0.7,0.92},{"River","Rainwater","Borehole","Vendor"}),IF(D923&lt;30000,LOOKUP(RAND(),{0,0.3,0.6,0.85},{"River","Rainwater","Borehole","Vendor"}),LOOKUP(RAND(),{0,0.2,0.5,0.75},{"River","Rainwater","Borehole","Vendor"}))))))</f>
        <v>Vendor</v>
      </c>
      <c r="F923">
        <f t="shared" ca="1" si="85"/>
        <v>38</v>
      </c>
      <c r="G923">
        <f t="shared" ca="1" si="86"/>
        <v>13.8</v>
      </c>
      <c r="H923">
        <f t="shared" ca="1" si="87"/>
        <v>200</v>
      </c>
      <c r="I923">
        <f t="shared" ca="1" si="88"/>
        <v>0.23865676679328429</v>
      </c>
      <c r="J923">
        <v>1</v>
      </c>
    </row>
    <row r="924" spans="1:10" x14ac:dyDescent="0.3">
      <c r="A924" t="str">
        <f t="shared" si="89"/>
        <v>HH923</v>
      </c>
      <c r="B924" t="str">
        <f ca="1">LOOKUP(RAND(),{0,0.28,0.55,0.78},{"Oloitoktok A","Oloitoktok B","Kiserian","Namanga"})</f>
        <v>Namanga</v>
      </c>
      <c r="C924">
        <f ca="1">LOOKUP(RAND(),{0,0.02,0.09,0.2,0.35,0.52,0.68,0.81,0.91,0.97},{1,2,3,4,5,6,7,8,9,10})</f>
        <v>6</v>
      </c>
      <c r="D924">
        <f t="shared" ca="1" si="84"/>
        <v>50100</v>
      </c>
      <c r="E924" t="str">
        <f ca="1">IF(B924="Oloitoktok A",IF(D924&lt;15000,LOOKUP(RAND(),{0,0.45,0.75,0.92},{"River","Rainwater","Borehole","Vendor"}),IF(D924&lt;30000,LOOKUP(RAND(),{0,0.35,0.65,0.85},{"River","Rainwater","Borehole","Vendor"}),LOOKUP(RAND(),{0,0.25,0.5,0.75},{"River","Rainwater","Borehole","Vendor"}))),IF(B924="Oloitoktok B",IF(D924&lt;15000,LOOKUP(RAND(),{0,0.5,0.78,0.94},{"River","Rainwater","Borehole","Vendor"}),IF(D924&lt;30000,LOOKUP(RAND(),{0,0.4,0.68,0.87},{"River","Rainwater","Borehole","Vendor"}),LOOKUP(RAND(),{0,0.28,0.55,0.78},{"River","Rainwater","Borehole","Vendor"}))),IF(B924="Kiserian",IF(D924&lt;15000,LOOKUP(RAND(),{0,0.35,0.65,0.9},{"River","Rainwater","Borehole","Vendor"}),IF(D924&lt;30000,LOOKUP(RAND(),{0,0.25,0.55,0.82},{"River","Rainwater","Borehole","Vendor"}),LOOKUP(RAND(),{0,0.15,0.45,0.72},{"River","Rainwater","Borehole","Vendor"}))),IF(D924&lt;15000,LOOKUP(RAND(),{0,0.4,0.7,0.92},{"River","Rainwater","Borehole","Vendor"}),IF(D924&lt;30000,LOOKUP(RAND(),{0,0.3,0.6,0.85},{"River","Rainwater","Borehole","Vendor"}),LOOKUP(RAND(),{0,0.2,0.5,0.75},{"River","Rainwater","Borehole","Vendor"}))))))</f>
        <v>Rainwater</v>
      </c>
      <c r="F924">
        <f t="shared" ca="1" si="85"/>
        <v>18</v>
      </c>
      <c r="G924">
        <f t="shared" ca="1" si="86"/>
        <v>11.8</v>
      </c>
      <c r="H924">
        <f t="shared" ca="1" si="87"/>
        <v>8600</v>
      </c>
      <c r="I924">
        <f t="shared" ca="1" si="88"/>
        <v>0.27493659537478621</v>
      </c>
      <c r="J924">
        <v>1</v>
      </c>
    </row>
    <row r="925" spans="1:10" x14ac:dyDescent="0.3">
      <c r="A925" t="str">
        <f t="shared" si="89"/>
        <v>HH924</v>
      </c>
      <c r="B925" t="str">
        <f ca="1">LOOKUP(RAND(),{0,0.28,0.55,0.78},{"Oloitoktok A","Oloitoktok B","Kiserian","Namanga"})</f>
        <v>Kiserian</v>
      </c>
      <c r="C925">
        <f ca="1">LOOKUP(RAND(),{0,0.02,0.09,0.2,0.35,0.52,0.68,0.81,0.91,0.97},{1,2,3,4,5,6,7,8,9,10})</f>
        <v>5</v>
      </c>
      <c r="D925">
        <f t="shared" ca="1" si="84"/>
        <v>11800</v>
      </c>
      <c r="E925" t="str">
        <f ca="1">IF(B925="Oloitoktok A",IF(D925&lt;15000,LOOKUP(RAND(),{0,0.45,0.75,0.92},{"River","Rainwater","Borehole","Vendor"}),IF(D925&lt;30000,LOOKUP(RAND(),{0,0.35,0.65,0.85},{"River","Rainwater","Borehole","Vendor"}),LOOKUP(RAND(),{0,0.25,0.5,0.75},{"River","Rainwater","Borehole","Vendor"}))),IF(B925="Oloitoktok B",IF(D925&lt;15000,LOOKUP(RAND(),{0,0.5,0.78,0.94},{"River","Rainwater","Borehole","Vendor"}),IF(D925&lt;30000,LOOKUP(RAND(),{0,0.4,0.68,0.87},{"River","Rainwater","Borehole","Vendor"}),LOOKUP(RAND(),{0,0.28,0.55,0.78},{"River","Rainwater","Borehole","Vendor"}))),IF(B925="Kiserian",IF(D925&lt;15000,LOOKUP(RAND(),{0,0.35,0.65,0.9},{"River","Rainwater","Borehole","Vendor"}),IF(D925&lt;30000,LOOKUP(RAND(),{0,0.25,0.55,0.82},{"River","Rainwater","Borehole","Vendor"}),LOOKUP(RAND(),{0,0.15,0.45,0.72},{"River","Rainwater","Borehole","Vendor"}))),IF(D925&lt;15000,LOOKUP(RAND(),{0,0.4,0.7,0.92},{"River","Rainwater","Borehole","Vendor"}),IF(D925&lt;30000,LOOKUP(RAND(),{0,0.3,0.6,0.85},{"River","Rainwater","Borehole","Vendor"}),LOOKUP(RAND(),{0,0.2,0.5,0.75},{"River","Rainwater","Borehole","Vendor"}))))))</f>
        <v>River</v>
      </c>
      <c r="F925">
        <f t="shared" ca="1" si="85"/>
        <v>98</v>
      </c>
      <c r="G925">
        <f t="shared" ca="1" si="86"/>
        <v>9.6999999999999993</v>
      </c>
      <c r="H925">
        <f t="shared" ca="1" si="87"/>
        <v>5500</v>
      </c>
      <c r="I925">
        <f t="shared" ca="1" si="88"/>
        <v>0.88673949995162904</v>
      </c>
      <c r="J925">
        <v>1</v>
      </c>
    </row>
    <row r="926" spans="1:10" x14ac:dyDescent="0.3">
      <c r="A926" t="str">
        <f t="shared" si="89"/>
        <v>HH925</v>
      </c>
      <c r="B926" t="str">
        <f ca="1">LOOKUP(RAND(),{0,0.28,0.55,0.78},{"Oloitoktok A","Oloitoktok B","Kiserian","Namanga"})</f>
        <v>Oloitoktok B</v>
      </c>
      <c r="C926">
        <f ca="1">LOOKUP(RAND(),{0,0.02,0.09,0.2,0.35,0.52,0.68,0.81,0.91,0.97},{1,2,3,4,5,6,7,8,9,10})</f>
        <v>10</v>
      </c>
      <c r="D926">
        <f t="shared" ca="1" si="84"/>
        <v>33500</v>
      </c>
      <c r="E926" t="str">
        <f ca="1">IF(B926="Oloitoktok A",IF(D926&lt;15000,LOOKUP(RAND(),{0,0.45,0.75,0.92},{"River","Rainwater","Borehole","Vendor"}),IF(D926&lt;30000,LOOKUP(RAND(),{0,0.35,0.65,0.85},{"River","Rainwater","Borehole","Vendor"}),LOOKUP(RAND(),{0,0.25,0.5,0.75},{"River","Rainwater","Borehole","Vendor"}))),IF(B926="Oloitoktok B",IF(D926&lt;15000,LOOKUP(RAND(),{0,0.5,0.78,0.94},{"River","Rainwater","Borehole","Vendor"}),IF(D926&lt;30000,LOOKUP(RAND(),{0,0.4,0.68,0.87},{"River","Rainwater","Borehole","Vendor"}),LOOKUP(RAND(),{0,0.28,0.55,0.78},{"River","Rainwater","Borehole","Vendor"}))),IF(B926="Kiserian",IF(D926&lt;15000,LOOKUP(RAND(),{0,0.35,0.65,0.9},{"River","Rainwater","Borehole","Vendor"}),IF(D926&lt;30000,LOOKUP(RAND(),{0,0.25,0.55,0.82},{"River","Rainwater","Borehole","Vendor"}),LOOKUP(RAND(),{0,0.15,0.45,0.72},{"River","Rainwater","Borehole","Vendor"}))),IF(D926&lt;15000,LOOKUP(RAND(),{0,0.4,0.7,0.92},{"River","Rainwater","Borehole","Vendor"}),IF(D926&lt;30000,LOOKUP(RAND(),{0,0.3,0.6,0.85},{"River","Rainwater","Borehole","Vendor"}),LOOKUP(RAND(),{0,0.2,0.5,0.75},{"River","Rainwater","Borehole","Vendor"}))))))</f>
        <v>River</v>
      </c>
      <c r="F926">
        <f t="shared" ca="1" si="85"/>
        <v>110</v>
      </c>
      <c r="G926">
        <f t="shared" ca="1" si="86"/>
        <v>5.5</v>
      </c>
      <c r="H926">
        <f t="shared" ca="1" si="87"/>
        <v>11600</v>
      </c>
      <c r="I926">
        <f t="shared" ca="1" si="88"/>
        <v>0.70664914254719158</v>
      </c>
      <c r="J926">
        <v>1</v>
      </c>
    </row>
    <row r="927" spans="1:10" x14ac:dyDescent="0.3">
      <c r="A927" t="str">
        <f t="shared" si="89"/>
        <v>HH926</v>
      </c>
      <c r="B927" t="str">
        <f ca="1">LOOKUP(RAND(),{0,0.28,0.55,0.78},{"Oloitoktok A","Oloitoktok B","Kiserian","Namanga"})</f>
        <v>Namanga</v>
      </c>
      <c r="C927">
        <f ca="1">LOOKUP(RAND(),{0,0.02,0.09,0.2,0.35,0.52,0.68,0.81,0.91,0.97},{1,2,3,4,5,6,7,8,9,10})</f>
        <v>7</v>
      </c>
      <c r="D927">
        <f t="shared" ca="1" si="84"/>
        <v>39600</v>
      </c>
      <c r="E927" t="str">
        <f ca="1">IF(B927="Oloitoktok A",IF(D927&lt;15000,LOOKUP(RAND(),{0,0.45,0.75,0.92},{"River","Rainwater","Borehole","Vendor"}),IF(D927&lt;30000,LOOKUP(RAND(),{0,0.35,0.65,0.85},{"River","Rainwater","Borehole","Vendor"}),LOOKUP(RAND(),{0,0.25,0.5,0.75},{"River","Rainwater","Borehole","Vendor"}))),IF(B927="Oloitoktok B",IF(D927&lt;15000,LOOKUP(RAND(),{0,0.5,0.78,0.94},{"River","Rainwater","Borehole","Vendor"}),IF(D927&lt;30000,LOOKUP(RAND(),{0,0.4,0.68,0.87},{"River","Rainwater","Borehole","Vendor"}),LOOKUP(RAND(),{0,0.28,0.55,0.78},{"River","Rainwater","Borehole","Vendor"}))),IF(B927="Kiserian",IF(D927&lt;15000,LOOKUP(RAND(),{0,0.35,0.65,0.9},{"River","Rainwater","Borehole","Vendor"}),IF(D927&lt;30000,LOOKUP(RAND(),{0,0.25,0.55,0.82},{"River","Rainwater","Borehole","Vendor"}),LOOKUP(RAND(),{0,0.15,0.45,0.72},{"River","Rainwater","Borehole","Vendor"}))),IF(D927&lt;15000,LOOKUP(RAND(),{0,0.4,0.7,0.92},{"River","Rainwater","Borehole","Vendor"}),IF(D927&lt;30000,LOOKUP(RAND(),{0,0.3,0.6,0.85},{"River","Rainwater","Borehole","Vendor"}),LOOKUP(RAND(),{0,0.2,0.5,0.75},{"River","Rainwater","Borehole","Vendor"}))))))</f>
        <v>Vendor</v>
      </c>
      <c r="F927">
        <f t="shared" ca="1" si="85"/>
        <v>17</v>
      </c>
      <c r="G927">
        <f t="shared" ca="1" si="86"/>
        <v>0.5</v>
      </c>
      <c r="H927">
        <f t="shared" ca="1" si="87"/>
        <v>4900</v>
      </c>
      <c r="I927">
        <f t="shared" ca="1" si="88"/>
        <v>0.38222128234789765</v>
      </c>
      <c r="J927">
        <v>1</v>
      </c>
    </row>
    <row r="928" spans="1:10" x14ac:dyDescent="0.3">
      <c r="A928" t="str">
        <f t="shared" si="89"/>
        <v>HH927</v>
      </c>
      <c r="B928" t="str">
        <f ca="1">LOOKUP(RAND(),{0,0.28,0.55,0.78},{"Oloitoktok A","Oloitoktok B","Kiserian","Namanga"})</f>
        <v>Namanga</v>
      </c>
      <c r="C928">
        <f ca="1">LOOKUP(RAND(),{0,0.02,0.09,0.2,0.35,0.52,0.68,0.81,0.91,0.97},{1,2,3,4,5,6,7,8,9,10})</f>
        <v>5</v>
      </c>
      <c r="D928">
        <f t="shared" ca="1" si="84"/>
        <v>43500</v>
      </c>
      <c r="E928" t="str">
        <f ca="1">IF(B928="Oloitoktok A",IF(D928&lt;15000,LOOKUP(RAND(),{0,0.45,0.75,0.92},{"River","Rainwater","Borehole","Vendor"}),IF(D928&lt;30000,LOOKUP(RAND(),{0,0.35,0.65,0.85},{"River","Rainwater","Borehole","Vendor"}),LOOKUP(RAND(),{0,0.25,0.5,0.75},{"River","Rainwater","Borehole","Vendor"}))),IF(B928="Oloitoktok B",IF(D928&lt;15000,LOOKUP(RAND(),{0,0.5,0.78,0.94},{"River","Rainwater","Borehole","Vendor"}),IF(D928&lt;30000,LOOKUP(RAND(),{0,0.4,0.68,0.87},{"River","Rainwater","Borehole","Vendor"}),LOOKUP(RAND(),{0,0.28,0.55,0.78},{"River","Rainwater","Borehole","Vendor"}))),IF(B928="Kiserian",IF(D928&lt;15000,LOOKUP(RAND(),{0,0.35,0.65,0.9},{"River","Rainwater","Borehole","Vendor"}),IF(D928&lt;30000,LOOKUP(RAND(),{0,0.25,0.55,0.82},{"River","Rainwater","Borehole","Vendor"}),LOOKUP(RAND(),{0,0.15,0.45,0.72},{"River","Rainwater","Borehole","Vendor"}))),IF(D928&lt;15000,LOOKUP(RAND(),{0,0.4,0.7,0.92},{"River","Rainwater","Borehole","Vendor"}),IF(D928&lt;30000,LOOKUP(RAND(),{0,0.3,0.6,0.85},{"River","Rainwater","Borehole","Vendor"}),LOOKUP(RAND(),{0,0.2,0.5,0.75},{"River","Rainwater","Borehole","Vendor"}))))))</f>
        <v>Borehole</v>
      </c>
      <c r="F928">
        <f t="shared" ca="1" si="85"/>
        <v>32</v>
      </c>
      <c r="G928">
        <f t="shared" ca="1" si="86"/>
        <v>6.8</v>
      </c>
      <c r="H928">
        <f t="shared" ca="1" si="87"/>
        <v>3100</v>
      </c>
      <c r="I928">
        <f t="shared" ca="1" si="88"/>
        <v>0.564796299816959</v>
      </c>
      <c r="J928">
        <v>1</v>
      </c>
    </row>
    <row r="929" spans="1:10" x14ac:dyDescent="0.3">
      <c r="A929" t="str">
        <f t="shared" si="89"/>
        <v>HH928</v>
      </c>
      <c r="B929" t="str">
        <f ca="1">LOOKUP(RAND(),{0,0.28,0.55,0.78},{"Oloitoktok A","Oloitoktok B","Kiserian","Namanga"})</f>
        <v>Oloitoktok A</v>
      </c>
      <c r="C929">
        <f ca="1">LOOKUP(RAND(),{0,0.02,0.09,0.2,0.35,0.52,0.68,0.81,0.91,0.97},{1,2,3,4,5,6,7,8,9,10})</f>
        <v>6</v>
      </c>
      <c r="D929">
        <f t="shared" ca="1" si="84"/>
        <v>43600</v>
      </c>
      <c r="E929" t="str">
        <f ca="1">IF(B929="Oloitoktok A",IF(D929&lt;15000,LOOKUP(RAND(),{0,0.45,0.75,0.92},{"River","Rainwater","Borehole","Vendor"}),IF(D929&lt;30000,LOOKUP(RAND(),{0,0.35,0.65,0.85},{"River","Rainwater","Borehole","Vendor"}),LOOKUP(RAND(),{0,0.25,0.5,0.75},{"River","Rainwater","Borehole","Vendor"}))),IF(B929="Oloitoktok B",IF(D929&lt;15000,LOOKUP(RAND(),{0,0.5,0.78,0.94},{"River","Rainwater","Borehole","Vendor"}),IF(D929&lt;30000,LOOKUP(RAND(),{0,0.4,0.68,0.87},{"River","Rainwater","Borehole","Vendor"}),LOOKUP(RAND(),{0,0.28,0.55,0.78},{"River","Rainwater","Borehole","Vendor"}))),IF(B929="Kiserian",IF(D929&lt;15000,LOOKUP(RAND(),{0,0.35,0.65,0.9},{"River","Rainwater","Borehole","Vendor"}),IF(D929&lt;30000,LOOKUP(RAND(),{0,0.25,0.55,0.82},{"River","Rainwater","Borehole","Vendor"}),LOOKUP(RAND(),{0,0.15,0.45,0.72},{"River","Rainwater","Borehole","Vendor"}))),IF(D929&lt;15000,LOOKUP(RAND(),{0,0.4,0.7,0.92},{"River","Rainwater","Borehole","Vendor"}),IF(D929&lt;30000,LOOKUP(RAND(),{0,0.3,0.6,0.85},{"River","Rainwater","Borehole","Vendor"}),LOOKUP(RAND(),{0,0.2,0.5,0.75},{"River","Rainwater","Borehole","Vendor"}))))))</f>
        <v>Rainwater</v>
      </c>
      <c r="F929">
        <f t="shared" ca="1" si="85"/>
        <v>23</v>
      </c>
      <c r="G929">
        <f t="shared" ca="1" si="86"/>
        <v>0.9</v>
      </c>
      <c r="H929">
        <f t="shared" ca="1" si="87"/>
        <v>1400</v>
      </c>
      <c r="I929">
        <f t="shared" ca="1" si="88"/>
        <v>0.87547217876179773</v>
      </c>
      <c r="J929">
        <v>1</v>
      </c>
    </row>
    <row r="930" spans="1:10" x14ac:dyDescent="0.3">
      <c r="A930" t="str">
        <f t="shared" si="89"/>
        <v>HH929</v>
      </c>
      <c r="B930" t="str">
        <f ca="1">LOOKUP(RAND(),{0,0.28,0.55,0.78},{"Oloitoktok A","Oloitoktok B","Kiserian","Namanga"})</f>
        <v>Namanga</v>
      </c>
      <c r="C930">
        <f ca="1">LOOKUP(RAND(),{0,0.02,0.09,0.2,0.35,0.52,0.68,0.81,0.91,0.97},{1,2,3,4,5,6,7,8,9,10})</f>
        <v>7</v>
      </c>
      <c r="D930">
        <f t="shared" ca="1" si="84"/>
        <v>81700</v>
      </c>
      <c r="E930" t="str">
        <f ca="1">IF(B930="Oloitoktok A",IF(D930&lt;15000,LOOKUP(RAND(),{0,0.45,0.75,0.92},{"River","Rainwater","Borehole","Vendor"}),IF(D930&lt;30000,LOOKUP(RAND(),{0,0.35,0.65,0.85},{"River","Rainwater","Borehole","Vendor"}),LOOKUP(RAND(),{0,0.25,0.5,0.75},{"River","Rainwater","Borehole","Vendor"}))),IF(B930="Oloitoktok B",IF(D930&lt;15000,LOOKUP(RAND(),{0,0.5,0.78,0.94},{"River","Rainwater","Borehole","Vendor"}),IF(D930&lt;30000,LOOKUP(RAND(),{0,0.4,0.68,0.87},{"River","Rainwater","Borehole","Vendor"}),LOOKUP(RAND(),{0,0.28,0.55,0.78},{"River","Rainwater","Borehole","Vendor"}))),IF(B930="Kiserian",IF(D930&lt;15000,LOOKUP(RAND(),{0,0.35,0.65,0.9},{"River","Rainwater","Borehole","Vendor"}),IF(D930&lt;30000,LOOKUP(RAND(),{0,0.25,0.55,0.82},{"River","Rainwater","Borehole","Vendor"}),LOOKUP(RAND(),{0,0.15,0.45,0.72},{"River","Rainwater","Borehole","Vendor"}))),IF(D930&lt;15000,LOOKUP(RAND(),{0,0.4,0.7,0.92},{"River","Rainwater","Borehole","Vendor"}),IF(D930&lt;30000,LOOKUP(RAND(),{0,0.3,0.6,0.85},{"River","Rainwater","Borehole","Vendor"}),LOOKUP(RAND(),{0,0.2,0.5,0.75},{"River","Rainwater","Borehole","Vendor"}))))))</f>
        <v>Rainwater</v>
      </c>
      <c r="F930">
        <f t="shared" ca="1" si="85"/>
        <v>24</v>
      </c>
      <c r="G930">
        <f t="shared" ca="1" si="86"/>
        <v>3.2</v>
      </c>
      <c r="H930">
        <f t="shared" ca="1" si="87"/>
        <v>4500</v>
      </c>
      <c r="I930">
        <f t="shared" ca="1" si="88"/>
        <v>0.91210105537576236</v>
      </c>
      <c r="J930">
        <v>1</v>
      </c>
    </row>
    <row r="931" spans="1:10" x14ac:dyDescent="0.3">
      <c r="A931" t="str">
        <f t="shared" si="89"/>
        <v>HH930</v>
      </c>
      <c r="B931" t="str">
        <f ca="1">LOOKUP(RAND(),{0,0.28,0.55,0.78},{"Oloitoktok A","Oloitoktok B","Kiserian","Namanga"})</f>
        <v>Oloitoktok B</v>
      </c>
      <c r="C931">
        <f ca="1">LOOKUP(RAND(),{0,0.02,0.09,0.2,0.35,0.52,0.68,0.81,0.91,0.97},{1,2,3,4,5,6,7,8,9,10})</f>
        <v>2</v>
      </c>
      <c r="D931">
        <f t="shared" ca="1" si="84"/>
        <v>62600</v>
      </c>
      <c r="E931" t="str">
        <f ca="1">IF(B931="Oloitoktok A",IF(D931&lt;15000,LOOKUP(RAND(),{0,0.45,0.75,0.92},{"River","Rainwater","Borehole","Vendor"}),IF(D931&lt;30000,LOOKUP(RAND(),{0,0.35,0.65,0.85},{"River","Rainwater","Borehole","Vendor"}),LOOKUP(RAND(),{0,0.25,0.5,0.75},{"River","Rainwater","Borehole","Vendor"}))),IF(B931="Oloitoktok B",IF(D931&lt;15000,LOOKUP(RAND(),{0,0.5,0.78,0.94},{"River","Rainwater","Borehole","Vendor"}),IF(D931&lt;30000,LOOKUP(RAND(),{0,0.4,0.68,0.87},{"River","Rainwater","Borehole","Vendor"}),LOOKUP(RAND(),{0,0.28,0.55,0.78},{"River","Rainwater","Borehole","Vendor"}))),IF(B931="Kiserian",IF(D931&lt;15000,LOOKUP(RAND(),{0,0.35,0.65,0.9},{"River","Rainwater","Borehole","Vendor"}),IF(D931&lt;30000,LOOKUP(RAND(),{0,0.25,0.55,0.82},{"River","Rainwater","Borehole","Vendor"}),LOOKUP(RAND(),{0,0.15,0.45,0.72},{"River","Rainwater","Borehole","Vendor"}))),IF(D931&lt;15000,LOOKUP(RAND(),{0,0.4,0.7,0.92},{"River","Rainwater","Borehole","Vendor"}),IF(D931&lt;30000,LOOKUP(RAND(),{0,0.3,0.6,0.85},{"River","Rainwater","Borehole","Vendor"}),LOOKUP(RAND(),{0,0.2,0.5,0.75},{"River","Rainwater","Borehole","Vendor"}))))))</f>
        <v>River</v>
      </c>
      <c r="F931">
        <f t="shared" ca="1" si="85"/>
        <v>110</v>
      </c>
      <c r="G931">
        <f t="shared" ca="1" si="86"/>
        <v>1</v>
      </c>
      <c r="H931">
        <f t="shared" ca="1" si="87"/>
        <v>6400</v>
      </c>
      <c r="I931">
        <f t="shared" ca="1" si="88"/>
        <v>0.66486087037848851</v>
      </c>
      <c r="J931">
        <v>1</v>
      </c>
    </row>
    <row r="932" spans="1:10" x14ac:dyDescent="0.3">
      <c r="A932" t="str">
        <f t="shared" si="89"/>
        <v>HH931</v>
      </c>
      <c r="B932" t="str">
        <f ca="1">LOOKUP(RAND(),{0,0.28,0.55,0.78},{"Oloitoktok A","Oloitoktok B","Kiserian","Namanga"})</f>
        <v>Oloitoktok A</v>
      </c>
      <c r="C932">
        <f ca="1">LOOKUP(RAND(),{0,0.02,0.09,0.2,0.35,0.52,0.68,0.81,0.91,0.97},{1,2,3,4,5,6,7,8,9,10})</f>
        <v>10</v>
      </c>
      <c r="D932">
        <f t="shared" ca="1" si="84"/>
        <v>31600</v>
      </c>
      <c r="E932" t="str">
        <f ca="1">IF(B932="Oloitoktok A",IF(D932&lt;15000,LOOKUP(RAND(),{0,0.45,0.75,0.92},{"River","Rainwater","Borehole","Vendor"}),IF(D932&lt;30000,LOOKUP(RAND(),{0,0.35,0.65,0.85},{"River","Rainwater","Borehole","Vendor"}),LOOKUP(RAND(),{0,0.25,0.5,0.75},{"River","Rainwater","Borehole","Vendor"}))),IF(B932="Oloitoktok B",IF(D932&lt;15000,LOOKUP(RAND(),{0,0.5,0.78,0.94},{"River","Rainwater","Borehole","Vendor"}),IF(D932&lt;30000,LOOKUP(RAND(),{0,0.4,0.68,0.87},{"River","Rainwater","Borehole","Vendor"}),LOOKUP(RAND(),{0,0.28,0.55,0.78},{"River","Rainwater","Borehole","Vendor"}))),IF(B932="Kiserian",IF(D932&lt;15000,LOOKUP(RAND(),{0,0.35,0.65,0.9},{"River","Rainwater","Borehole","Vendor"}),IF(D932&lt;30000,LOOKUP(RAND(),{0,0.25,0.55,0.82},{"River","Rainwater","Borehole","Vendor"}),LOOKUP(RAND(),{0,0.15,0.45,0.72},{"River","Rainwater","Borehole","Vendor"}))),IF(D932&lt;15000,LOOKUP(RAND(),{0,0.4,0.7,0.92},{"River","Rainwater","Borehole","Vendor"}),IF(D932&lt;30000,LOOKUP(RAND(),{0,0.3,0.6,0.85},{"River","Rainwater","Borehole","Vendor"}),LOOKUP(RAND(),{0,0.2,0.5,0.75},{"River","Rainwater","Borehole","Vendor"}))))))</f>
        <v>Rainwater</v>
      </c>
      <c r="F932">
        <f t="shared" ca="1" si="85"/>
        <v>55</v>
      </c>
      <c r="G932">
        <f t="shared" ca="1" si="86"/>
        <v>6.3</v>
      </c>
      <c r="H932">
        <f t="shared" ca="1" si="87"/>
        <v>2000</v>
      </c>
      <c r="I932">
        <f t="shared" ca="1" si="88"/>
        <v>0.43536319948239199</v>
      </c>
      <c r="J932">
        <v>1</v>
      </c>
    </row>
    <row r="933" spans="1:10" x14ac:dyDescent="0.3">
      <c r="A933" t="str">
        <f t="shared" si="89"/>
        <v>HH932</v>
      </c>
      <c r="B933" t="str">
        <f ca="1">LOOKUP(RAND(),{0,0.28,0.55,0.78},{"Oloitoktok A","Oloitoktok B","Kiserian","Namanga"})</f>
        <v>Namanga</v>
      </c>
      <c r="C933">
        <f ca="1">LOOKUP(RAND(),{0,0.02,0.09,0.2,0.35,0.52,0.68,0.81,0.91,0.97},{1,2,3,4,5,6,7,8,9,10})</f>
        <v>4</v>
      </c>
      <c r="D933">
        <f t="shared" ca="1" si="84"/>
        <v>24000</v>
      </c>
      <c r="E933" t="str">
        <f ca="1">IF(B933="Oloitoktok A",IF(D933&lt;15000,LOOKUP(RAND(),{0,0.45,0.75,0.92},{"River","Rainwater","Borehole","Vendor"}),IF(D933&lt;30000,LOOKUP(RAND(),{0,0.35,0.65,0.85},{"River","Rainwater","Borehole","Vendor"}),LOOKUP(RAND(),{0,0.25,0.5,0.75},{"River","Rainwater","Borehole","Vendor"}))),IF(B933="Oloitoktok B",IF(D933&lt;15000,LOOKUP(RAND(),{0,0.5,0.78,0.94},{"River","Rainwater","Borehole","Vendor"}),IF(D933&lt;30000,LOOKUP(RAND(),{0,0.4,0.68,0.87},{"River","Rainwater","Borehole","Vendor"}),LOOKUP(RAND(),{0,0.28,0.55,0.78},{"River","Rainwater","Borehole","Vendor"}))),IF(B933="Kiserian",IF(D933&lt;15000,LOOKUP(RAND(),{0,0.35,0.65,0.9},{"River","Rainwater","Borehole","Vendor"}),IF(D933&lt;30000,LOOKUP(RAND(),{0,0.25,0.55,0.82},{"River","Rainwater","Borehole","Vendor"}),LOOKUP(RAND(),{0,0.15,0.45,0.72},{"River","Rainwater","Borehole","Vendor"}))),IF(D933&lt;15000,LOOKUP(RAND(),{0,0.4,0.7,0.92},{"River","Rainwater","Borehole","Vendor"}),IF(D933&lt;30000,LOOKUP(RAND(),{0,0.3,0.6,0.85},{"River","Rainwater","Borehole","Vendor"}),LOOKUP(RAND(),{0,0.2,0.5,0.75},{"River","Rainwater","Borehole","Vendor"}))))))</f>
        <v>River</v>
      </c>
      <c r="F933">
        <f t="shared" ca="1" si="85"/>
        <v>91</v>
      </c>
      <c r="G933">
        <f t="shared" ca="1" si="86"/>
        <v>6.2</v>
      </c>
      <c r="H933">
        <f t="shared" ca="1" si="87"/>
        <v>5400</v>
      </c>
      <c r="I933">
        <f t="shared" ca="1" si="88"/>
        <v>0.40684651415517326</v>
      </c>
      <c r="J933">
        <v>1</v>
      </c>
    </row>
    <row r="934" spans="1:10" x14ac:dyDescent="0.3">
      <c r="A934" t="str">
        <f t="shared" si="89"/>
        <v>HH933</v>
      </c>
      <c r="B934" t="str">
        <f ca="1">LOOKUP(RAND(),{0,0.28,0.55,0.78},{"Oloitoktok A","Oloitoktok B","Kiserian","Namanga"})</f>
        <v>Oloitoktok A</v>
      </c>
      <c r="C934">
        <f ca="1">LOOKUP(RAND(),{0,0.02,0.09,0.2,0.35,0.52,0.68,0.81,0.91,0.97},{1,2,3,4,5,6,7,8,9,10})</f>
        <v>5</v>
      </c>
      <c r="D934">
        <f t="shared" ca="1" si="84"/>
        <v>53400</v>
      </c>
      <c r="E934" t="str">
        <f ca="1">IF(B934="Oloitoktok A",IF(D934&lt;15000,LOOKUP(RAND(),{0,0.45,0.75,0.92},{"River","Rainwater","Borehole","Vendor"}),IF(D934&lt;30000,LOOKUP(RAND(),{0,0.35,0.65,0.85},{"River","Rainwater","Borehole","Vendor"}),LOOKUP(RAND(),{0,0.25,0.5,0.75},{"River","Rainwater","Borehole","Vendor"}))),IF(B934="Oloitoktok B",IF(D934&lt;15000,LOOKUP(RAND(),{0,0.5,0.78,0.94},{"River","Rainwater","Borehole","Vendor"}),IF(D934&lt;30000,LOOKUP(RAND(),{0,0.4,0.68,0.87},{"River","Rainwater","Borehole","Vendor"}),LOOKUP(RAND(),{0,0.28,0.55,0.78},{"River","Rainwater","Borehole","Vendor"}))),IF(B934="Kiserian",IF(D934&lt;15000,LOOKUP(RAND(),{0,0.35,0.65,0.9},{"River","Rainwater","Borehole","Vendor"}),IF(D934&lt;30000,LOOKUP(RAND(),{0,0.25,0.55,0.82},{"River","Rainwater","Borehole","Vendor"}),LOOKUP(RAND(),{0,0.15,0.45,0.72},{"River","Rainwater","Borehole","Vendor"}))),IF(D934&lt;15000,LOOKUP(RAND(),{0,0.4,0.7,0.92},{"River","Rainwater","Borehole","Vendor"}),IF(D934&lt;30000,LOOKUP(RAND(),{0,0.3,0.6,0.85},{"River","Rainwater","Borehole","Vendor"}),LOOKUP(RAND(),{0,0.2,0.5,0.75},{"River","Rainwater","Borehole","Vendor"}))))))</f>
        <v>Vendor</v>
      </c>
      <c r="F934">
        <f t="shared" ca="1" si="85"/>
        <v>18</v>
      </c>
      <c r="G934">
        <f t="shared" ca="1" si="86"/>
        <v>12.2</v>
      </c>
      <c r="H934">
        <f t="shared" ca="1" si="87"/>
        <v>2000</v>
      </c>
      <c r="I934">
        <f t="shared" ca="1" si="88"/>
        <v>0.35036950961494051</v>
      </c>
      <c r="J934">
        <v>1</v>
      </c>
    </row>
    <row r="935" spans="1:10" x14ac:dyDescent="0.3">
      <c r="A935" t="str">
        <f t="shared" si="89"/>
        <v>HH934</v>
      </c>
      <c r="B935" t="str">
        <f ca="1">LOOKUP(RAND(),{0,0.28,0.55,0.78},{"Oloitoktok A","Oloitoktok B","Kiserian","Namanga"})</f>
        <v>Oloitoktok B</v>
      </c>
      <c r="C935">
        <f ca="1">LOOKUP(RAND(),{0,0.02,0.09,0.2,0.35,0.52,0.68,0.81,0.91,0.97},{1,2,3,4,5,6,7,8,9,10})</f>
        <v>6</v>
      </c>
      <c r="D935">
        <f t="shared" ca="1" si="84"/>
        <v>29800</v>
      </c>
      <c r="E935" t="str">
        <f ca="1">IF(B935="Oloitoktok A",IF(D935&lt;15000,LOOKUP(RAND(),{0,0.45,0.75,0.92},{"River","Rainwater","Borehole","Vendor"}),IF(D935&lt;30000,LOOKUP(RAND(),{0,0.35,0.65,0.85},{"River","Rainwater","Borehole","Vendor"}),LOOKUP(RAND(),{0,0.25,0.5,0.75},{"River","Rainwater","Borehole","Vendor"}))),IF(B935="Oloitoktok B",IF(D935&lt;15000,LOOKUP(RAND(),{0,0.5,0.78,0.94},{"River","Rainwater","Borehole","Vendor"}),IF(D935&lt;30000,LOOKUP(RAND(),{0,0.4,0.68,0.87},{"River","Rainwater","Borehole","Vendor"}),LOOKUP(RAND(),{0,0.28,0.55,0.78},{"River","Rainwater","Borehole","Vendor"}))),IF(B935="Kiserian",IF(D935&lt;15000,LOOKUP(RAND(),{0,0.35,0.65,0.9},{"River","Rainwater","Borehole","Vendor"}),IF(D935&lt;30000,LOOKUP(RAND(),{0,0.25,0.55,0.82},{"River","Rainwater","Borehole","Vendor"}),LOOKUP(RAND(),{0,0.15,0.45,0.72},{"River","Rainwater","Borehole","Vendor"}))),IF(D935&lt;15000,LOOKUP(RAND(),{0,0.4,0.7,0.92},{"River","Rainwater","Borehole","Vendor"}),IF(D935&lt;30000,LOOKUP(RAND(),{0,0.3,0.6,0.85},{"River","Rainwater","Borehole","Vendor"}),LOOKUP(RAND(),{0,0.2,0.5,0.75},{"River","Rainwater","Borehole","Vendor"}))))))</f>
        <v>River</v>
      </c>
      <c r="F935">
        <f t="shared" ca="1" si="85"/>
        <v>73</v>
      </c>
      <c r="G935">
        <f t="shared" ca="1" si="86"/>
        <v>13</v>
      </c>
      <c r="H935">
        <f t="shared" ca="1" si="87"/>
        <v>7900</v>
      </c>
      <c r="I935">
        <f t="shared" ca="1" si="88"/>
        <v>0.29736780524579121</v>
      </c>
      <c r="J935">
        <v>1</v>
      </c>
    </row>
    <row r="936" spans="1:10" x14ac:dyDescent="0.3">
      <c r="A936" t="str">
        <f t="shared" si="89"/>
        <v>HH935</v>
      </c>
      <c r="B936" t="str">
        <f ca="1">LOOKUP(RAND(),{0,0.28,0.55,0.78},{"Oloitoktok A","Oloitoktok B","Kiserian","Namanga"})</f>
        <v>Oloitoktok B</v>
      </c>
      <c r="C936">
        <f ca="1">LOOKUP(RAND(),{0,0.02,0.09,0.2,0.35,0.52,0.68,0.81,0.91,0.97},{1,2,3,4,5,6,7,8,9,10})</f>
        <v>8</v>
      </c>
      <c r="D936">
        <f t="shared" ca="1" si="84"/>
        <v>42100</v>
      </c>
      <c r="E936" t="str">
        <f ca="1">IF(B936="Oloitoktok A",IF(D936&lt;15000,LOOKUP(RAND(),{0,0.45,0.75,0.92},{"River","Rainwater","Borehole","Vendor"}),IF(D936&lt;30000,LOOKUP(RAND(),{0,0.35,0.65,0.85},{"River","Rainwater","Borehole","Vendor"}),LOOKUP(RAND(),{0,0.25,0.5,0.75},{"River","Rainwater","Borehole","Vendor"}))),IF(B936="Oloitoktok B",IF(D936&lt;15000,LOOKUP(RAND(),{0,0.5,0.78,0.94},{"River","Rainwater","Borehole","Vendor"}),IF(D936&lt;30000,LOOKUP(RAND(),{0,0.4,0.68,0.87},{"River","Rainwater","Borehole","Vendor"}),LOOKUP(RAND(),{0,0.28,0.55,0.78},{"River","Rainwater","Borehole","Vendor"}))),IF(B936="Kiserian",IF(D936&lt;15000,LOOKUP(RAND(),{0,0.35,0.65,0.9},{"River","Rainwater","Borehole","Vendor"}),IF(D936&lt;30000,LOOKUP(RAND(),{0,0.25,0.55,0.82},{"River","Rainwater","Borehole","Vendor"}),LOOKUP(RAND(),{0,0.15,0.45,0.72},{"River","Rainwater","Borehole","Vendor"}))),IF(D936&lt;15000,LOOKUP(RAND(),{0,0.4,0.7,0.92},{"River","Rainwater","Borehole","Vendor"}),IF(D936&lt;30000,LOOKUP(RAND(),{0,0.3,0.6,0.85},{"River","Rainwater","Borehole","Vendor"}),LOOKUP(RAND(),{0,0.2,0.5,0.75},{"River","Rainwater","Borehole","Vendor"}))))))</f>
        <v>Rainwater</v>
      </c>
      <c r="F936">
        <f t="shared" ca="1" si="85"/>
        <v>43</v>
      </c>
      <c r="G936">
        <f t="shared" ca="1" si="86"/>
        <v>5.6</v>
      </c>
      <c r="H936">
        <f t="shared" ca="1" si="87"/>
        <v>6000</v>
      </c>
      <c r="I936">
        <f t="shared" ca="1" si="88"/>
        <v>0.96141175224217168</v>
      </c>
      <c r="J936">
        <v>1</v>
      </c>
    </row>
    <row r="937" spans="1:10" x14ac:dyDescent="0.3">
      <c r="A937" t="str">
        <f t="shared" si="89"/>
        <v>HH936</v>
      </c>
      <c r="B937" t="str">
        <f ca="1">LOOKUP(RAND(),{0,0.28,0.55,0.78},{"Oloitoktok A","Oloitoktok B","Kiserian","Namanga"})</f>
        <v>Oloitoktok B</v>
      </c>
      <c r="C937">
        <f ca="1">LOOKUP(RAND(),{0,0.02,0.09,0.2,0.35,0.52,0.68,0.81,0.91,0.97},{1,2,3,4,5,6,7,8,9,10})</f>
        <v>5</v>
      </c>
      <c r="D937">
        <f t="shared" ca="1" si="84"/>
        <v>29500</v>
      </c>
      <c r="E937" t="str">
        <f ca="1">IF(B937="Oloitoktok A",IF(D937&lt;15000,LOOKUP(RAND(),{0,0.45,0.75,0.92},{"River","Rainwater","Borehole","Vendor"}),IF(D937&lt;30000,LOOKUP(RAND(),{0,0.35,0.65,0.85},{"River","Rainwater","Borehole","Vendor"}),LOOKUP(RAND(),{0,0.25,0.5,0.75},{"River","Rainwater","Borehole","Vendor"}))),IF(B937="Oloitoktok B",IF(D937&lt;15000,LOOKUP(RAND(),{0,0.5,0.78,0.94},{"River","Rainwater","Borehole","Vendor"}),IF(D937&lt;30000,LOOKUP(RAND(),{0,0.4,0.68,0.87},{"River","Rainwater","Borehole","Vendor"}),LOOKUP(RAND(),{0,0.28,0.55,0.78},{"River","Rainwater","Borehole","Vendor"}))),IF(B937="Kiserian",IF(D937&lt;15000,LOOKUP(RAND(),{0,0.35,0.65,0.9},{"River","Rainwater","Borehole","Vendor"}),IF(D937&lt;30000,LOOKUP(RAND(),{0,0.25,0.55,0.82},{"River","Rainwater","Borehole","Vendor"}),LOOKUP(RAND(),{0,0.15,0.45,0.72},{"River","Rainwater","Borehole","Vendor"}))),IF(D937&lt;15000,LOOKUP(RAND(),{0,0.4,0.7,0.92},{"River","Rainwater","Borehole","Vendor"}),IF(D937&lt;30000,LOOKUP(RAND(),{0,0.3,0.6,0.85},{"River","Rainwater","Borehole","Vendor"}),LOOKUP(RAND(),{0,0.2,0.5,0.75},{"River","Rainwater","Borehole","Vendor"}))))))</f>
        <v>Borehole</v>
      </c>
      <c r="F937">
        <f t="shared" ca="1" si="85"/>
        <v>62</v>
      </c>
      <c r="G937">
        <f t="shared" ca="1" si="86"/>
        <v>14</v>
      </c>
      <c r="H937">
        <f t="shared" ca="1" si="87"/>
        <v>6200</v>
      </c>
      <c r="I937">
        <f t="shared" ca="1" si="88"/>
        <v>0.11363205448510738</v>
      </c>
      <c r="J937">
        <v>1</v>
      </c>
    </row>
    <row r="938" spans="1:10" x14ac:dyDescent="0.3">
      <c r="A938" t="str">
        <f t="shared" si="89"/>
        <v>HH937</v>
      </c>
      <c r="B938" t="str">
        <f ca="1">LOOKUP(RAND(),{0,0.28,0.55,0.78},{"Oloitoktok A","Oloitoktok B","Kiserian","Namanga"})</f>
        <v>Oloitoktok A</v>
      </c>
      <c r="C938">
        <f ca="1">LOOKUP(RAND(),{0,0.02,0.09,0.2,0.35,0.52,0.68,0.81,0.91,0.97},{1,2,3,4,5,6,7,8,9,10})</f>
        <v>4</v>
      </c>
      <c r="D938">
        <f t="shared" ca="1" si="84"/>
        <v>33000</v>
      </c>
      <c r="E938" t="str">
        <f ca="1">IF(B938="Oloitoktok A",IF(D938&lt;15000,LOOKUP(RAND(),{0,0.45,0.75,0.92},{"River","Rainwater","Borehole","Vendor"}),IF(D938&lt;30000,LOOKUP(RAND(),{0,0.35,0.65,0.85},{"River","Rainwater","Borehole","Vendor"}),LOOKUP(RAND(),{0,0.25,0.5,0.75},{"River","Rainwater","Borehole","Vendor"}))),IF(B938="Oloitoktok B",IF(D938&lt;15000,LOOKUP(RAND(),{0,0.5,0.78,0.94},{"River","Rainwater","Borehole","Vendor"}),IF(D938&lt;30000,LOOKUP(RAND(),{0,0.4,0.68,0.87},{"River","Rainwater","Borehole","Vendor"}),LOOKUP(RAND(),{0,0.28,0.55,0.78},{"River","Rainwater","Borehole","Vendor"}))),IF(B938="Kiserian",IF(D938&lt;15000,LOOKUP(RAND(),{0,0.35,0.65,0.9},{"River","Rainwater","Borehole","Vendor"}),IF(D938&lt;30000,LOOKUP(RAND(),{0,0.25,0.55,0.82},{"River","Rainwater","Borehole","Vendor"}),LOOKUP(RAND(),{0,0.15,0.45,0.72},{"River","Rainwater","Borehole","Vendor"}))),IF(D938&lt;15000,LOOKUP(RAND(),{0,0.4,0.7,0.92},{"River","Rainwater","Borehole","Vendor"}),IF(D938&lt;30000,LOOKUP(RAND(),{0,0.3,0.6,0.85},{"River","Rainwater","Borehole","Vendor"}),LOOKUP(RAND(),{0,0.2,0.5,0.75},{"River","Rainwater","Borehole","Vendor"}))))))</f>
        <v>Rainwater</v>
      </c>
      <c r="F938">
        <f t="shared" ca="1" si="85"/>
        <v>59</v>
      </c>
      <c r="G938">
        <f t="shared" ca="1" si="86"/>
        <v>13</v>
      </c>
      <c r="H938">
        <f t="shared" ca="1" si="87"/>
        <v>7400</v>
      </c>
      <c r="I938">
        <f t="shared" ca="1" si="88"/>
        <v>0.62335915285083154</v>
      </c>
      <c r="J938">
        <v>1</v>
      </c>
    </row>
    <row r="939" spans="1:10" x14ac:dyDescent="0.3">
      <c r="A939" t="str">
        <f t="shared" si="89"/>
        <v>HH938</v>
      </c>
      <c r="B939" t="str">
        <f ca="1">LOOKUP(RAND(),{0,0.28,0.55,0.78},{"Oloitoktok A","Oloitoktok B","Kiserian","Namanga"})</f>
        <v>Namanga</v>
      </c>
      <c r="C939">
        <f ca="1">LOOKUP(RAND(),{0,0.02,0.09,0.2,0.35,0.52,0.68,0.81,0.91,0.97},{1,2,3,4,5,6,7,8,9,10})</f>
        <v>5</v>
      </c>
      <c r="D939">
        <f t="shared" ca="1" si="84"/>
        <v>74700</v>
      </c>
      <c r="E939" t="str">
        <f ca="1">IF(B939="Oloitoktok A",IF(D939&lt;15000,LOOKUP(RAND(),{0,0.45,0.75,0.92},{"River","Rainwater","Borehole","Vendor"}),IF(D939&lt;30000,LOOKUP(RAND(),{0,0.35,0.65,0.85},{"River","Rainwater","Borehole","Vendor"}),LOOKUP(RAND(),{0,0.25,0.5,0.75},{"River","Rainwater","Borehole","Vendor"}))),IF(B939="Oloitoktok B",IF(D939&lt;15000,LOOKUP(RAND(),{0,0.5,0.78,0.94},{"River","Rainwater","Borehole","Vendor"}),IF(D939&lt;30000,LOOKUP(RAND(),{0,0.4,0.68,0.87},{"River","Rainwater","Borehole","Vendor"}),LOOKUP(RAND(),{0,0.28,0.55,0.78},{"River","Rainwater","Borehole","Vendor"}))),IF(B939="Kiserian",IF(D939&lt;15000,LOOKUP(RAND(),{0,0.35,0.65,0.9},{"River","Rainwater","Borehole","Vendor"}),IF(D939&lt;30000,LOOKUP(RAND(),{0,0.25,0.55,0.82},{"River","Rainwater","Borehole","Vendor"}),LOOKUP(RAND(),{0,0.15,0.45,0.72},{"River","Rainwater","Borehole","Vendor"}))),IF(D939&lt;15000,LOOKUP(RAND(),{0,0.4,0.7,0.92},{"River","Rainwater","Borehole","Vendor"}),IF(D939&lt;30000,LOOKUP(RAND(),{0,0.3,0.6,0.85},{"River","Rainwater","Borehole","Vendor"}),LOOKUP(RAND(),{0,0.2,0.5,0.75},{"River","Rainwater","Borehole","Vendor"}))))))</f>
        <v>Rainwater</v>
      </c>
      <c r="F939">
        <f t="shared" ca="1" si="85"/>
        <v>33</v>
      </c>
      <c r="G939">
        <f t="shared" ca="1" si="86"/>
        <v>3.4</v>
      </c>
      <c r="H939">
        <f t="shared" ca="1" si="87"/>
        <v>6600</v>
      </c>
      <c r="I939">
        <f t="shared" ca="1" si="88"/>
        <v>0.39862238036732967</v>
      </c>
      <c r="J939">
        <v>1</v>
      </c>
    </row>
    <row r="940" spans="1:10" x14ac:dyDescent="0.3">
      <c r="A940" t="str">
        <f t="shared" si="89"/>
        <v>HH939</v>
      </c>
      <c r="B940" t="str">
        <f ca="1">LOOKUP(RAND(),{0,0.28,0.55,0.78},{"Oloitoktok A","Oloitoktok B","Kiserian","Namanga"})</f>
        <v>Oloitoktok A</v>
      </c>
      <c r="C940">
        <f ca="1">LOOKUP(RAND(),{0,0.02,0.09,0.2,0.35,0.52,0.68,0.81,0.91,0.97},{1,2,3,4,5,6,7,8,9,10})</f>
        <v>5</v>
      </c>
      <c r="D940">
        <f t="shared" ca="1" si="84"/>
        <v>24600</v>
      </c>
      <c r="E940" t="str">
        <f ca="1">IF(B940="Oloitoktok A",IF(D940&lt;15000,LOOKUP(RAND(),{0,0.45,0.75,0.92},{"River","Rainwater","Borehole","Vendor"}),IF(D940&lt;30000,LOOKUP(RAND(),{0,0.35,0.65,0.85},{"River","Rainwater","Borehole","Vendor"}),LOOKUP(RAND(),{0,0.25,0.5,0.75},{"River","Rainwater","Borehole","Vendor"}))),IF(B940="Oloitoktok B",IF(D940&lt;15000,LOOKUP(RAND(),{0,0.5,0.78,0.94},{"River","Rainwater","Borehole","Vendor"}),IF(D940&lt;30000,LOOKUP(RAND(),{0,0.4,0.68,0.87},{"River","Rainwater","Borehole","Vendor"}),LOOKUP(RAND(),{0,0.28,0.55,0.78},{"River","Rainwater","Borehole","Vendor"}))),IF(B940="Kiserian",IF(D940&lt;15000,LOOKUP(RAND(),{0,0.35,0.65,0.9},{"River","Rainwater","Borehole","Vendor"}),IF(D940&lt;30000,LOOKUP(RAND(),{0,0.25,0.55,0.82},{"River","Rainwater","Borehole","Vendor"}),LOOKUP(RAND(),{0,0.15,0.45,0.72},{"River","Rainwater","Borehole","Vendor"}))),IF(D940&lt;15000,LOOKUP(RAND(),{0,0.4,0.7,0.92},{"River","Rainwater","Borehole","Vendor"}),IF(D940&lt;30000,LOOKUP(RAND(),{0,0.3,0.6,0.85},{"River","Rainwater","Borehole","Vendor"}),LOOKUP(RAND(),{0,0.2,0.5,0.75},{"River","Rainwater","Borehole","Vendor"}))))))</f>
        <v>River</v>
      </c>
      <c r="F940">
        <f t="shared" ca="1" si="85"/>
        <v>112</v>
      </c>
      <c r="G940">
        <f t="shared" ca="1" si="86"/>
        <v>12.2</v>
      </c>
      <c r="H940">
        <f t="shared" ca="1" si="87"/>
        <v>9700</v>
      </c>
      <c r="I940">
        <f t="shared" ca="1" si="88"/>
        <v>0.90704386561832695</v>
      </c>
      <c r="J940">
        <v>1</v>
      </c>
    </row>
    <row r="941" spans="1:10" x14ac:dyDescent="0.3">
      <c r="A941" t="str">
        <f t="shared" si="89"/>
        <v>HH940</v>
      </c>
      <c r="B941" t="str">
        <f ca="1">LOOKUP(RAND(),{0,0.28,0.55,0.78},{"Oloitoktok A","Oloitoktok B","Kiserian","Namanga"})</f>
        <v>Oloitoktok B</v>
      </c>
      <c r="C941">
        <f ca="1">LOOKUP(RAND(),{0,0.02,0.09,0.2,0.35,0.52,0.68,0.81,0.91,0.97},{1,2,3,4,5,6,7,8,9,10})</f>
        <v>6</v>
      </c>
      <c r="D941">
        <f t="shared" ca="1" si="84"/>
        <v>52100</v>
      </c>
      <c r="E941" t="str">
        <f ca="1">IF(B941="Oloitoktok A",IF(D941&lt;15000,LOOKUP(RAND(),{0,0.45,0.75,0.92},{"River","Rainwater","Borehole","Vendor"}),IF(D941&lt;30000,LOOKUP(RAND(),{0,0.35,0.65,0.85},{"River","Rainwater","Borehole","Vendor"}),LOOKUP(RAND(),{0,0.25,0.5,0.75},{"River","Rainwater","Borehole","Vendor"}))),IF(B941="Oloitoktok B",IF(D941&lt;15000,LOOKUP(RAND(),{0,0.5,0.78,0.94},{"River","Rainwater","Borehole","Vendor"}),IF(D941&lt;30000,LOOKUP(RAND(),{0,0.4,0.68,0.87},{"River","Rainwater","Borehole","Vendor"}),LOOKUP(RAND(),{0,0.28,0.55,0.78},{"River","Rainwater","Borehole","Vendor"}))),IF(B941="Kiserian",IF(D941&lt;15000,LOOKUP(RAND(),{0,0.35,0.65,0.9},{"River","Rainwater","Borehole","Vendor"}),IF(D941&lt;30000,LOOKUP(RAND(),{0,0.25,0.55,0.82},{"River","Rainwater","Borehole","Vendor"}),LOOKUP(RAND(),{0,0.15,0.45,0.72},{"River","Rainwater","Borehole","Vendor"}))),IF(D941&lt;15000,LOOKUP(RAND(),{0,0.4,0.7,0.92},{"River","Rainwater","Borehole","Vendor"}),IF(D941&lt;30000,LOOKUP(RAND(),{0,0.3,0.6,0.85},{"River","Rainwater","Borehole","Vendor"}),LOOKUP(RAND(),{0,0.2,0.5,0.75},{"River","Rainwater","Borehole","Vendor"}))))))</f>
        <v>Borehole</v>
      </c>
      <c r="F941">
        <f t="shared" ca="1" si="85"/>
        <v>57</v>
      </c>
      <c r="G941">
        <f t="shared" ca="1" si="86"/>
        <v>13.2</v>
      </c>
      <c r="H941">
        <f t="shared" ca="1" si="87"/>
        <v>16000</v>
      </c>
      <c r="I941">
        <f t="shared" ca="1" si="88"/>
        <v>0.94205980497960062</v>
      </c>
      <c r="J941">
        <v>1</v>
      </c>
    </row>
    <row r="942" spans="1:10" x14ac:dyDescent="0.3">
      <c r="A942" t="str">
        <f t="shared" si="89"/>
        <v>HH941</v>
      </c>
      <c r="B942" t="str">
        <f ca="1">LOOKUP(RAND(),{0,0.28,0.55,0.78},{"Oloitoktok A","Oloitoktok B","Kiserian","Namanga"})</f>
        <v>Oloitoktok B</v>
      </c>
      <c r="C942">
        <f ca="1">LOOKUP(RAND(),{0,0.02,0.09,0.2,0.35,0.52,0.68,0.81,0.91,0.97},{1,2,3,4,5,6,7,8,9,10})</f>
        <v>10</v>
      </c>
      <c r="D942">
        <f t="shared" ca="1" si="84"/>
        <v>35100</v>
      </c>
      <c r="E942" t="str">
        <f ca="1">IF(B942="Oloitoktok A",IF(D942&lt;15000,LOOKUP(RAND(),{0,0.45,0.75,0.92},{"River","Rainwater","Borehole","Vendor"}),IF(D942&lt;30000,LOOKUP(RAND(),{0,0.35,0.65,0.85},{"River","Rainwater","Borehole","Vendor"}),LOOKUP(RAND(),{0,0.25,0.5,0.75},{"River","Rainwater","Borehole","Vendor"}))),IF(B942="Oloitoktok B",IF(D942&lt;15000,LOOKUP(RAND(),{0,0.5,0.78,0.94},{"River","Rainwater","Borehole","Vendor"}),IF(D942&lt;30000,LOOKUP(RAND(),{0,0.4,0.68,0.87},{"River","Rainwater","Borehole","Vendor"}),LOOKUP(RAND(),{0,0.28,0.55,0.78},{"River","Rainwater","Borehole","Vendor"}))),IF(B942="Kiserian",IF(D942&lt;15000,LOOKUP(RAND(),{0,0.35,0.65,0.9},{"River","Rainwater","Borehole","Vendor"}),IF(D942&lt;30000,LOOKUP(RAND(),{0,0.25,0.55,0.82},{"River","Rainwater","Borehole","Vendor"}),LOOKUP(RAND(),{0,0.15,0.45,0.72},{"River","Rainwater","Borehole","Vendor"}))),IF(D942&lt;15000,LOOKUP(RAND(),{0,0.4,0.7,0.92},{"River","Rainwater","Borehole","Vendor"}),IF(D942&lt;30000,LOOKUP(RAND(),{0,0.3,0.6,0.85},{"River","Rainwater","Borehole","Vendor"}),LOOKUP(RAND(),{0,0.2,0.5,0.75},{"River","Rainwater","Borehole","Vendor"}))))))</f>
        <v>Rainwater</v>
      </c>
      <c r="F942">
        <f t="shared" ca="1" si="85"/>
        <v>16</v>
      </c>
      <c r="G942">
        <f t="shared" ca="1" si="86"/>
        <v>5.8</v>
      </c>
      <c r="H942">
        <f t="shared" ca="1" si="87"/>
        <v>5100</v>
      </c>
      <c r="I942">
        <f t="shared" ca="1" si="88"/>
        <v>0.3611749250184022</v>
      </c>
      <c r="J942">
        <v>1</v>
      </c>
    </row>
    <row r="943" spans="1:10" x14ac:dyDescent="0.3">
      <c r="A943" t="str">
        <f t="shared" si="89"/>
        <v>HH942</v>
      </c>
      <c r="B943" t="str">
        <f ca="1">LOOKUP(RAND(),{0,0.28,0.55,0.78},{"Oloitoktok A","Oloitoktok B","Kiserian","Namanga"})</f>
        <v>Kiserian</v>
      </c>
      <c r="C943">
        <f ca="1">LOOKUP(RAND(),{0,0.02,0.09,0.2,0.35,0.52,0.68,0.81,0.91,0.97},{1,2,3,4,5,6,7,8,9,10})</f>
        <v>5</v>
      </c>
      <c r="D943">
        <f t="shared" ca="1" si="84"/>
        <v>30700</v>
      </c>
      <c r="E943" t="str">
        <f ca="1">IF(B943="Oloitoktok A",IF(D943&lt;15000,LOOKUP(RAND(),{0,0.45,0.75,0.92},{"River","Rainwater","Borehole","Vendor"}),IF(D943&lt;30000,LOOKUP(RAND(),{0,0.35,0.65,0.85},{"River","Rainwater","Borehole","Vendor"}),LOOKUP(RAND(),{0,0.25,0.5,0.75},{"River","Rainwater","Borehole","Vendor"}))),IF(B943="Oloitoktok B",IF(D943&lt;15000,LOOKUP(RAND(),{0,0.5,0.78,0.94},{"River","Rainwater","Borehole","Vendor"}),IF(D943&lt;30000,LOOKUP(RAND(),{0,0.4,0.68,0.87},{"River","Rainwater","Borehole","Vendor"}),LOOKUP(RAND(),{0,0.28,0.55,0.78},{"River","Rainwater","Borehole","Vendor"}))),IF(B943="Kiserian",IF(D943&lt;15000,LOOKUP(RAND(),{0,0.35,0.65,0.9},{"River","Rainwater","Borehole","Vendor"}),IF(D943&lt;30000,LOOKUP(RAND(),{0,0.25,0.55,0.82},{"River","Rainwater","Borehole","Vendor"}),LOOKUP(RAND(),{0,0.15,0.45,0.72},{"River","Rainwater","Borehole","Vendor"}))),IF(D943&lt;15000,LOOKUP(RAND(),{0,0.4,0.7,0.92},{"River","Rainwater","Borehole","Vendor"}),IF(D943&lt;30000,LOOKUP(RAND(),{0,0.3,0.6,0.85},{"River","Rainwater","Borehole","Vendor"}),LOOKUP(RAND(),{0,0.2,0.5,0.75},{"River","Rainwater","Borehole","Vendor"}))))))</f>
        <v>Vendor</v>
      </c>
      <c r="F943">
        <f t="shared" ca="1" si="85"/>
        <v>38</v>
      </c>
      <c r="G943">
        <f t="shared" ca="1" si="86"/>
        <v>5.2</v>
      </c>
      <c r="H943">
        <f t="shared" ca="1" si="87"/>
        <v>2400</v>
      </c>
      <c r="I943">
        <f t="shared" ca="1" si="88"/>
        <v>0.93309331532131956</v>
      </c>
      <c r="J943">
        <v>1</v>
      </c>
    </row>
    <row r="944" spans="1:10" x14ac:dyDescent="0.3">
      <c r="A944" t="str">
        <f t="shared" si="89"/>
        <v>HH943</v>
      </c>
      <c r="B944" t="str">
        <f ca="1">LOOKUP(RAND(),{0,0.28,0.55,0.78},{"Oloitoktok A","Oloitoktok B","Kiserian","Namanga"})</f>
        <v>Namanga</v>
      </c>
      <c r="C944">
        <f ca="1">LOOKUP(RAND(),{0,0.02,0.09,0.2,0.35,0.52,0.68,0.81,0.91,0.97},{1,2,3,4,5,6,7,8,9,10})</f>
        <v>6</v>
      </c>
      <c r="D944">
        <f t="shared" ca="1" si="84"/>
        <v>48000</v>
      </c>
      <c r="E944" t="str">
        <f ca="1">IF(B944="Oloitoktok A",IF(D944&lt;15000,LOOKUP(RAND(),{0,0.45,0.75,0.92},{"River","Rainwater","Borehole","Vendor"}),IF(D944&lt;30000,LOOKUP(RAND(),{0,0.35,0.65,0.85},{"River","Rainwater","Borehole","Vendor"}),LOOKUP(RAND(),{0,0.25,0.5,0.75},{"River","Rainwater","Borehole","Vendor"}))),IF(B944="Oloitoktok B",IF(D944&lt;15000,LOOKUP(RAND(),{0,0.5,0.78,0.94},{"River","Rainwater","Borehole","Vendor"}),IF(D944&lt;30000,LOOKUP(RAND(),{0,0.4,0.68,0.87},{"River","Rainwater","Borehole","Vendor"}),LOOKUP(RAND(),{0,0.28,0.55,0.78},{"River","Rainwater","Borehole","Vendor"}))),IF(B944="Kiserian",IF(D944&lt;15000,LOOKUP(RAND(),{0,0.35,0.65,0.9},{"River","Rainwater","Borehole","Vendor"}),IF(D944&lt;30000,LOOKUP(RAND(),{0,0.25,0.55,0.82},{"River","Rainwater","Borehole","Vendor"}),LOOKUP(RAND(),{0,0.15,0.45,0.72},{"River","Rainwater","Borehole","Vendor"}))),IF(D944&lt;15000,LOOKUP(RAND(),{0,0.4,0.7,0.92},{"River","Rainwater","Borehole","Vendor"}),IF(D944&lt;30000,LOOKUP(RAND(),{0,0.3,0.6,0.85},{"River","Rainwater","Borehole","Vendor"}),LOOKUP(RAND(),{0,0.2,0.5,0.75},{"River","Rainwater","Borehole","Vendor"}))))))</f>
        <v>Rainwater</v>
      </c>
      <c r="F944">
        <f t="shared" ca="1" si="85"/>
        <v>70</v>
      </c>
      <c r="G944">
        <f t="shared" ca="1" si="86"/>
        <v>10.8</v>
      </c>
      <c r="H944">
        <f t="shared" ca="1" si="87"/>
        <v>2100</v>
      </c>
      <c r="I944">
        <f t="shared" ca="1" si="88"/>
        <v>0.42662189085743163</v>
      </c>
      <c r="J944">
        <v>1</v>
      </c>
    </row>
    <row r="945" spans="1:10" x14ac:dyDescent="0.3">
      <c r="A945" t="str">
        <f t="shared" si="89"/>
        <v>HH944</v>
      </c>
      <c r="B945" t="str">
        <f ca="1">LOOKUP(RAND(),{0,0.28,0.55,0.78},{"Oloitoktok A","Oloitoktok B","Kiserian","Namanga"})</f>
        <v>Oloitoktok B</v>
      </c>
      <c r="C945">
        <f ca="1">LOOKUP(RAND(),{0,0.02,0.09,0.2,0.35,0.52,0.68,0.81,0.91,0.97},{1,2,3,4,5,6,7,8,9,10})</f>
        <v>8</v>
      </c>
      <c r="D945">
        <f t="shared" ca="1" si="84"/>
        <v>37400</v>
      </c>
      <c r="E945" t="str">
        <f ca="1">IF(B945="Oloitoktok A",IF(D945&lt;15000,LOOKUP(RAND(),{0,0.45,0.75,0.92},{"River","Rainwater","Borehole","Vendor"}),IF(D945&lt;30000,LOOKUP(RAND(),{0,0.35,0.65,0.85},{"River","Rainwater","Borehole","Vendor"}),LOOKUP(RAND(),{0,0.25,0.5,0.75},{"River","Rainwater","Borehole","Vendor"}))),IF(B945="Oloitoktok B",IF(D945&lt;15000,LOOKUP(RAND(),{0,0.5,0.78,0.94},{"River","Rainwater","Borehole","Vendor"}),IF(D945&lt;30000,LOOKUP(RAND(),{0,0.4,0.68,0.87},{"River","Rainwater","Borehole","Vendor"}),LOOKUP(RAND(),{0,0.28,0.55,0.78},{"River","Rainwater","Borehole","Vendor"}))),IF(B945="Kiserian",IF(D945&lt;15000,LOOKUP(RAND(),{0,0.35,0.65,0.9},{"River","Rainwater","Borehole","Vendor"}),IF(D945&lt;30000,LOOKUP(RAND(),{0,0.25,0.55,0.82},{"River","Rainwater","Borehole","Vendor"}),LOOKUP(RAND(),{0,0.15,0.45,0.72},{"River","Rainwater","Borehole","Vendor"}))),IF(D945&lt;15000,LOOKUP(RAND(),{0,0.4,0.7,0.92},{"River","Rainwater","Borehole","Vendor"}),IF(D945&lt;30000,LOOKUP(RAND(),{0,0.3,0.6,0.85},{"River","Rainwater","Borehole","Vendor"}),LOOKUP(RAND(),{0,0.2,0.5,0.75},{"River","Rainwater","Borehole","Vendor"}))))))</f>
        <v>Vendor</v>
      </c>
      <c r="F945">
        <f t="shared" ca="1" si="85"/>
        <v>60</v>
      </c>
      <c r="G945">
        <f t="shared" ca="1" si="86"/>
        <v>11.1</v>
      </c>
      <c r="H945">
        <f t="shared" ca="1" si="87"/>
        <v>4900</v>
      </c>
      <c r="I945">
        <f t="shared" ca="1" si="88"/>
        <v>0.69737500798367058</v>
      </c>
      <c r="J945">
        <v>1</v>
      </c>
    </row>
    <row r="946" spans="1:10" x14ac:dyDescent="0.3">
      <c r="A946" t="str">
        <f t="shared" si="89"/>
        <v>HH945</v>
      </c>
      <c r="B946" t="str">
        <f ca="1">LOOKUP(RAND(),{0,0.28,0.55,0.78},{"Oloitoktok A","Oloitoktok B","Kiserian","Namanga"})</f>
        <v>Namanga</v>
      </c>
      <c r="C946">
        <f ca="1">LOOKUP(RAND(),{0,0.02,0.09,0.2,0.35,0.52,0.68,0.81,0.91,0.97},{1,2,3,4,5,6,7,8,9,10})</f>
        <v>5</v>
      </c>
      <c r="D946">
        <f t="shared" ca="1" si="84"/>
        <v>26100</v>
      </c>
      <c r="E946" t="str">
        <f ca="1">IF(B946="Oloitoktok A",IF(D946&lt;15000,LOOKUP(RAND(),{0,0.45,0.75,0.92},{"River","Rainwater","Borehole","Vendor"}),IF(D946&lt;30000,LOOKUP(RAND(),{0,0.35,0.65,0.85},{"River","Rainwater","Borehole","Vendor"}),LOOKUP(RAND(),{0,0.25,0.5,0.75},{"River","Rainwater","Borehole","Vendor"}))),IF(B946="Oloitoktok B",IF(D946&lt;15000,LOOKUP(RAND(),{0,0.5,0.78,0.94},{"River","Rainwater","Borehole","Vendor"}),IF(D946&lt;30000,LOOKUP(RAND(),{0,0.4,0.68,0.87},{"River","Rainwater","Borehole","Vendor"}),LOOKUP(RAND(),{0,0.28,0.55,0.78},{"River","Rainwater","Borehole","Vendor"}))),IF(B946="Kiserian",IF(D946&lt;15000,LOOKUP(RAND(),{0,0.35,0.65,0.9},{"River","Rainwater","Borehole","Vendor"}),IF(D946&lt;30000,LOOKUP(RAND(),{0,0.25,0.55,0.82},{"River","Rainwater","Borehole","Vendor"}),LOOKUP(RAND(),{0,0.15,0.45,0.72},{"River","Rainwater","Borehole","Vendor"}))),IF(D946&lt;15000,LOOKUP(RAND(),{0,0.4,0.7,0.92},{"River","Rainwater","Borehole","Vendor"}),IF(D946&lt;30000,LOOKUP(RAND(),{0,0.3,0.6,0.85},{"River","Rainwater","Borehole","Vendor"}),LOOKUP(RAND(),{0,0.2,0.5,0.75},{"River","Rainwater","Borehole","Vendor"}))))))</f>
        <v>Rainwater</v>
      </c>
      <c r="F946">
        <f t="shared" ca="1" si="85"/>
        <v>46</v>
      </c>
      <c r="G946">
        <f t="shared" ca="1" si="86"/>
        <v>2.1</v>
      </c>
      <c r="H946">
        <f t="shared" ca="1" si="87"/>
        <v>4800</v>
      </c>
      <c r="I946">
        <f t="shared" ca="1" si="88"/>
        <v>0.78957154726225953</v>
      </c>
      <c r="J946">
        <v>1</v>
      </c>
    </row>
    <row r="947" spans="1:10" x14ac:dyDescent="0.3">
      <c r="A947" t="str">
        <f t="shared" si="89"/>
        <v>HH946</v>
      </c>
      <c r="B947" t="str">
        <f ca="1">LOOKUP(RAND(),{0,0.28,0.55,0.78},{"Oloitoktok A","Oloitoktok B","Kiserian","Namanga"})</f>
        <v>Namanga</v>
      </c>
      <c r="C947">
        <f ca="1">LOOKUP(RAND(),{0,0.02,0.09,0.2,0.35,0.52,0.68,0.81,0.91,0.97},{1,2,3,4,5,6,7,8,9,10})</f>
        <v>6</v>
      </c>
      <c r="D947">
        <f t="shared" ca="1" si="84"/>
        <v>58400</v>
      </c>
      <c r="E947" t="str">
        <f ca="1">IF(B947="Oloitoktok A",IF(D947&lt;15000,LOOKUP(RAND(),{0,0.45,0.75,0.92},{"River","Rainwater","Borehole","Vendor"}),IF(D947&lt;30000,LOOKUP(RAND(),{0,0.35,0.65,0.85},{"River","Rainwater","Borehole","Vendor"}),LOOKUP(RAND(),{0,0.25,0.5,0.75},{"River","Rainwater","Borehole","Vendor"}))),IF(B947="Oloitoktok B",IF(D947&lt;15000,LOOKUP(RAND(),{0,0.5,0.78,0.94},{"River","Rainwater","Borehole","Vendor"}),IF(D947&lt;30000,LOOKUP(RAND(),{0,0.4,0.68,0.87},{"River","Rainwater","Borehole","Vendor"}),LOOKUP(RAND(),{0,0.28,0.55,0.78},{"River","Rainwater","Borehole","Vendor"}))),IF(B947="Kiserian",IF(D947&lt;15000,LOOKUP(RAND(),{0,0.35,0.65,0.9},{"River","Rainwater","Borehole","Vendor"}),IF(D947&lt;30000,LOOKUP(RAND(),{0,0.25,0.55,0.82},{"River","Rainwater","Borehole","Vendor"}),LOOKUP(RAND(),{0,0.15,0.45,0.72},{"River","Rainwater","Borehole","Vendor"}))),IF(D947&lt;15000,LOOKUP(RAND(),{0,0.4,0.7,0.92},{"River","Rainwater","Borehole","Vendor"}),IF(D947&lt;30000,LOOKUP(RAND(),{0,0.3,0.6,0.85},{"River","Rainwater","Borehole","Vendor"}),LOOKUP(RAND(),{0,0.2,0.5,0.75},{"River","Rainwater","Borehole","Vendor"}))))))</f>
        <v>River</v>
      </c>
      <c r="F947">
        <f t="shared" ca="1" si="85"/>
        <v>116</v>
      </c>
      <c r="G947">
        <f t="shared" ca="1" si="86"/>
        <v>9.3000000000000007</v>
      </c>
      <c r="H947">
        <f t="shared" ca="1" si="87"/>
        <v>9500</v>
      </c>
      <c r="I947">
        <f t="shared" ca="1" si="88"/>
        <v>0.44708801036217161</v>
      </c>
      <c r="J947">
        <v>1</v>
      </c>
    </row>
    <row r="948" spans="1:10" x14ac:dyDescent="0.3">
      <c r="A948" t="str">
        <f t="shared" si="89"/>
        <v>HH947</v>
      </c>
      <c r="B948" t="str">
        <f ca="1">LOOKUP(RAND(),{0,0.28,0.55,0.78},{"Oloitoktok A","Oloitoktok B","Kiserian","Namanga"})</f>
        <v>Oloitoktok A</v>
      </c>
      <c r="C948">
        <f ca="1">LOOKUP(RAND(),{0,0.02,0.09,0.2,0.35,0.52,0.68,0.81,0.91,0.97},{1,2,3,4,5,6,7,8,9,10})</f>
        <v>5</v>
      </c>
      <c r="D948">
        <f t="shared" ca="1" si="84"/>
        <v>89700</v>
      </c>
      <c r="E948" t="str">
        <f ca="1">IF(B948="Oloitoktok A",IF(D948&lt;15000,LOOKUP(RAND(),{0,0.45,0.75,0.92},{"River","Rainwater","Borehole","Vendor"}),IF(D948&lt;30000,LOOKUP(RAND(),{0,0.35,0.65,0.85},{"River","Rainwater","Borehole","Vendor"}),LOOKUP(RAND(),{0,0.25,0.5,0.75},{"River","Rainwater","Borehole","Vendor"}))),IF(B948="Oloitoktok B",IF(D948&lt;15000,LOOKUP(RAND(),{0,0.5,0.78,0.94},{"River","Rainwater","Borehole","Vendor"}),IF(D948&lt;30000,LOOKUP(RAND(),{0,0.4,0.68,0.87},{"River","Rainwater","Borehole","Vendor"}),LOOKUP(RAND(),{0,0.28,0.55,0.78},{"River","Rainwater","Borehole","Vendor"}))),IF(B948="Kiserian",IF(D948&lt;15000,LOOKUP(RAND(),{0,0.35,0.65,0.9},{"River","Rainwater","Borehole","Vendor"}),IF(D948&lt;30000,LOOKUP(RAND(),{0,0.25,0.55,0.82},{"River","Rainwater","Borehole","Vendor"}),LOOKUP(RAND(),{0,0.15,0.45,0.72},{"River","Rainwater","Borehole","Vendor"}))),IF(D948&lt;15000,LOOKUP(RAND(),{0,0.4,0.7,0.92},{"River","Rainwater","Borehole","Vendor"}),IF(D948&lt;30000,LOOKUP(RAND(),{0,0.3,0.6,0.85},{"River","Rainwater","Borehole","Vendor"}),LOOKUP(RAND(),{0,0.2,0.5,0.75},{"River","Rainwater","Borehole","Vendor"}))))))</f>
        <v>Borehole</v>
      </c>
      <c r="F948">
        <f t="shared" ca="1" si="85"/>
        <v>56</v>
      </c>
      <c r="G948">
        <f t="shared" ca="1" si="86"/>
        <v>6.6</v>
      </c>
      <c r="H948">
        <f t="shared" ca="1" si="87"/>
        <v>2700</v>
      </c>
      <c r="I948">
        <f t="shared" ca="1" si="88"/>
        <v>0.28445041551708306</v>
      </c>
      <c r="J948">
        <v>1</v>
      </c>
    </row>
    <row r="949" spans="1:10" x14ac:dyDescent="0.3">
      <c r="A949" t="str">
        <f t="shared" si="89"/>
        <v>HH948</v>
      </c>
      <c r="B949" t="str">
        <f ca="1">LOOKUP(RAND(),{0,0.28,0.55,0.78},{"Oloitoktok A","Oloitoktok B","Kiserian","Namanga"})</f>
        <v>Oloitoktok B</v>
      </c>
      <c r="C949">
        <f ca="1">LOOKUP(RAND(),{0,0.02,0.09,0.2,0.35,0.52,0.68,0.81,0.91,0.97},{1,2,3,4,5,6,7,8,9,10})</f>
        <v>5</v>
      </c>
      <c r="D949">
        <f t="shared" ca="1" si="84"/>
        <v>69200</v>
      </c>
      <c r="E949" t="str">
        <f ca="1">IF(B949="Oloitoktok A",IF(D949&lt;15000,LOOKUP(RAND(),{0,0.45,0.75,0.92},{"River","Rainwater","Borehole","Vendor"}),IF(D949&lt;30000,LOOKUP(RAND(),{0,0.35,0.65,0.85},{"River","Rainwater","Borehole","Vendor"}),LOOKUP(RAND(),{0,0.25,0.5,0.75},{"River","Rainwater","Borehole","Vendor"}))),IF(B949="Oloitoktok B",IF(D949&lt;15000,LOOKUP(RAND(),{0,0.5,0.78,0.94},{"River","Rainwater","Borehole","Vendor"}),IF(D949&lt;30000,LOOKUP(RAND(),{0,0.4,0.68,0.87},{"River","Rainwater","Borehole","Vendor"}),LOOKUP(RAND(),{0,0.28,0.55,0.78},{"River","Rainwater","Borehole","Vendor"}))),IF(B949="Kiserian",IF(D949&lt;15000,LOOKUP(RAND(),{0,0.35,0.65,0.9},{"River","Rainwater","Borehole","Vendor"}),IF(D949&lt;30000,LOOKUP(RAND(),{0,0.25,0.55,0.82},{"River","Rainwater","Borehole","Vendor"}),LOOKUP(RAND(),{0,0.15,0.45,0.72},{"River","Rainwater","Borehole","Vendor"}))),IF(D949&lt;15000,LOOKUP(RAND(),{0,0.4,0.7,0.92},{"River","Rainwater","Borehole","Vendor"}),IF(D949&lt;30000,LOOKUP(RAND(),{0,0.3,0.6,0.85},{"River","Rainwater","Borehole","Vendor"}),LOOKUP(RAND(),{0,0.2,0.5,0.75},{"River","Rainwater","Borehole","Vendor"}))))))</f>
        <v>Vendor</v>
      </c>
      <c r="F949">
        <f t="shared" ca="1" si="85"/>
        <v>56</v>
      </c>
      <c r="G949">
        <f t="shared" ca="1" si="86"/>
        <v>8.8000000000000007</v>
      </c>
      <c r="H949">
        <f t="shared" ca="1" si="87"/>
        <v>7200</v>
      </c>
      <c r="I949">
        <f t="shared" ca="1" si="88"/>
        <v>0.11537981766891636</v>
      </c>
      <c r="J949">
        <v>1</v>
      </c>
    </row>
    <row r="950" spans="1:10" x14ac:dyDescent="0.3">
      <c r="A950" t="str">
        <f t="shared" si="89"/>
        <v>HH949</v>
      </c>
      <c r="B950" t="str">
        <f ca="1">LOOKUP(RAND(),{0,0.28,0.55,0.78},{"Oloitoktok A","Oloitoktok B","Kiserian","Namanga"})</f>
        <v>Oloitoktok A</v>
      </c>
      <c r="C950">
        <f ca="1">LOOKUP(RAND(),{0,0.02,0.09,0.2,0.35,0.52,0.68,0.81,0.91,0.97},{1,2,3,4,5,6,7,8,9,10})</f>
        <v>7</v>
      </c>
      <c r="D950">
        <f t="shared" ca="1" si="84"/>
        <v>27200</v>
      </c>
      <c r="E950" t="str">
        <f ca="1">IF(B950="Oloitoktok A",IF(D950&lt;15000,LOOKUP(RAND(),{0,0.45,0.75,0.92},{"River","Rainwater","Borehole","Vendor"}),IF(D950&lt;30000,LOOKUP(RAND(),{0,0.35,0.65,0.85},{"River","Rainwater","Borehole","Vendor"}),LOOKUP(RAND(),{0,0.25,0.5,0.75},{"River","Rainwater","Borehole","Vendor"}))),IF(B950="Oloitoktok B",IF(D950&lt;15000,LOOKUP(RAND(),{0,0.5,0.78,0.94},{"River","Rainwater","Borehole","Vendor"}),IF(D950&lt;30000,LOOKUP(RAND(),{0,0.4,0.68,0.87},{"River","Rainwater","Borehole","Vendor"}),LOOKUP(RAND(),{0,0.28,0.55,0.78},{"River","Rainwater","Borehole","Vendor"}))),IF(B950="Kiserian",IF(D950&lt;15000,LOOKUP(RAND(),{0,0.35,0.65,0.9},{"River","Rainwater","Borehole","Vendor"}),IF(D950&lt;30000,LOOKUP(RAND(),{0,0.25,0.55,0.82},{"River","Rainwater","Borehole","Vendor"}),LOOKUP(RAND(),{0,0.15,0.45,0.72},{"River","Rainwater","Borehole","Vendor"}))),IF(D950&lt;15000,LOOKUP(RAND(),{0,0.4,0.7,0.92},{"River","Rainwater","Borehole","Vendor"}),IF(D950&lt;30000,LOOKUP(RAND(),{0,0.3,0.6,0.85},{"River","Rainwater","Borehole","Vendor"}),LOOKUP(RAND(),{0,0.2,0.5,0.75},{"River","Rainwater","Borehole","Vendor"}))))))</f>
        <v>Rainwater</v>
      </c>
      <c r="F950">
        <f t="shared" ca="1" si="85"/>
        <v>64</v>
      </c>
      <c r="G950">
        <f t="shared" ca="1" si="86"/>
        <v>0.7</v>
      </c>
      <c r="H950">
        <f t="shared" ca="1" si="87"/>
        <v>0</v>
      </c>
      <c r="I950">
        <f t="shared" ca="1" si="88"/>
        <v>0.77432750686160556</v>
      </c>
      <c r="J950">
        <v>1</v>
      </c>
    </row>
    <row r="951" spans="1:10" x14ac:dyDescent="0.3">
      <c r="A951" t="str">
        <f t="shared" si="89"/>
        <v>HH950</v>
      </c>
      <c r="B951" t="str">
        <f ca="1">LOOKUP(RAND(),{0,0.28,0.55,0.78},{"Oloitoktok A","Oloitoktok B","Kiserian","Namanga"})</f>
        <v>Namanga</v>
      </c>
      <c r="C951">
        <f ca="1">LOOKUP(RAND(),{0,0.02,0.09,0.2,0.35,0.52,0.68,0.81,0.91,0.97},{1,2,3,4,5,6,7,8,9,10})</f>
        <v>5</v>
      </c>
      <c r="D951">
        <f t="shared" ca="1" si="84"/>
        <v>25500</v>
      </c>
      <c r="E951" t="str">
        <f ca="1">IF(B951="Oloitoktok A",IF(D951&lt;15000,LOOKUP(RAND(),{0,0.45,0.75,0.92},{"River","Rainwater","Borehole","Vendor"}),IF(D951&lt;30000,LOOKUP(RAND(),{0,0.35,0.65,0.85},{"River","Rainwater","Borehole","Vendor"}),LOOKUP(RAND(),{0,0.25,0.5,0.75},{"River","Rainwater","Borehole","Vendor"}))),IF(B951="Oloitoktok B",IF(D951&lt;15000,LOOKUP(RAND(),{0,0.5,0.78,0.94},{"River","Rainwater","Borehole","Vendor"}),IF(D951&lt;30000,LOOKUP(RAND(),{0,0.4,0.68,0.87},{"River","Rainwater","Borehole","Vendor"}),LOOKUP(RAND(),{0,0.28,0.55,0.78},{"River","Rainwater","Borehole","Vendor"}))),IF(B951="Kiserian",IF(D951&lt;15000,LOOKUP(RAND(),{0,0.35,0.65,0.9},{"River","Rainwater","Borehole","Vendor"}),IF(D951&lt;30000,LOOKUP(RAND(),{0,0.25,0.55,0.82},{"River","Rainwater","Borehole","Vendor"}),LOOKUP(RAND(),{0,0.15,0.45,0.72},{"River","Rainwater","Borehole","Vendor"}))),IF(D951&lt;15000,LOOKUP(RAND(),{0,0.4,0.7,0.92},{"River","Rainwater","Borehole","Vendor"}),IF(D951&lt;30000,LOOKUP(RAND(),{0,0.3,0.6,0.85},{"River","Rainwater","Borehole","Vendor"}),LOOKUP(RAND(),{0,0.2,0.5,0.75},{"River","Rainwater","Borehole","Vendor"}))))))</f>
        <v>River</v>
      </c>
      <c r="F951">
        <f t="shared" ca="1" si="85"/>
        <v>67</v>
      </c>
      <c r="G951">
        <f t="shared" ca="1" si="86"/>
        <v>1.9</v>
      </c>
      <c r="H951">
        <f t="shared" ca="1" si="87"/>
        <v>8100</v>
      </c>
      <c r="I951">
        <f t="shared" ca="1" si="88"/>
        <v>0.68304489136302859</v>
      </c>
      <c r="J951">
        <v>1</v>
      </c>
    </row>
    <row r="952" spans="1:10" x14ac:dyDescent="0.3">
      <c r="A952" t="str">
        <f t="shared" si="89"/>
        <v>HH951</v>
      </c>
      <c r="B952" t="str">
        <f ca="1">LOOKUP(RAND(),{0,0.28,0.55,0.78},{"Oloitoktok A","Oloitoktok B","Kiserian","Namanga"})</f>
        <v>Oloitoktok B</v>
      </c>
      <c r="C952">
        <f ca="1">LOOKUP(RAND(),{0,0.02,0.09,0.2,0.35,0.52,0.68,0.81,0.91,0.97},{1,2,3,4,5,6,7,8,9,10})</f>
        <v>8</v>
      </c>
      <c r="D952">
        <f t="shared" ca="1" si="84"/>
        <v>20200</v>
      </c>
      <c r="E952" t="str">
        <f ca="1">IF(B952="Oloitoktok A",IF(D952&lt;15000,LOOKUP(RAND(),{0,0.45,0.75,0.92},{"River","Rainwater","Borehole","Vendor"}),IF(D952&lt;30000,LOOKUP(RAND(),{0,0.35,0.65,0.85},{"River","Rainwater","Borehole","Vendor"}),LOOKUP(RAND(),{0,0.25,0.5,0.75},{"River","Rainwater","Borehole","Vendor"}))),IF(B952="Oloitoktok B",IF(D952&lt;15000,LOOKUP(RAND(),{0,0.5,0.78,0.94},{"River","Rainwater","Borehole","Vendor"}),IF(D952&lt;30000,LOOKUP(RAND(),{0,0.4,0.68,0.87},{"River","Rainwater","Borehole","Vendor"}),LOOKUP(RAND(),{0,0.28,0.55,0.78},{"River","Rainwater","Borehole","Vendor"}))),IF(B952="Kiserian",IF(D952&lt;15000,LOOKUP(RAND(),{0,0.35,0.65,0.9},{"River","Rainwater","Borehole","Vendor"}),IF(D952&lt;30000,LOOKUP(RAND(),{0,0.25,0.55,0.82},{"River","Rainwater","Borehole","Vendor"}),LOOKUP(RAND(),{0,0.15,0.45,0.72},{"River","Rainwater","Borehole","Vendor"}))),IF(D952&lt;15000,LOOKUP(RAND(),{0,0.4,0.7,0.92},{"River","Rainwater","Borehole","Vendor"}),IF(D952&lt;30000,LOOKUP(RAND(),{0,0.3,0.6,0.85},{"River","Rainwater","Borehole","Vendor"}),LOOKUP(RAND(),{0,0.2,0.5,0.75},{"River","Rainwater","Borehole","Vendor"}))))))</f>
        <v>Rainwater</v>
      </c>
      <c r="F952">
        <f t="shared" ca="1" si="85"/>
        <v>15</v>
      </c>
      <c r="G952">
        <f t="shared" ca="1" si="86"/>
        <v>13.8</v>
      </c>
      <c r="H952">
        <f t="shared" ca="1" si="87"/>
        <v>11300</v>
      </c>
      <c r="I952">
        <f t="shared" ca="1" si="88"/>
        <v>9.1070284012431335E-2</v>
      </c>
      <c r="J952">
        <v>1</v>
      </c>
    </row>
    <row r="953" spans="1:10" x14ac:dyDescent="0.3">
      <c r="A953" t="str">
        <f t="shared" si="89"/>
        <v>HH952</v>
      </c>
      <c r="B953" t="str">
        <f ca="1">LOOKUP(RAND(),{0,0.28,0.55,0.78},{"Oloitoktok A","Oloitoktok B","Kiserian","Namanga"})</f>
        <v>Oloitoktok B</v>
      </c>
      <c r="C953">
        <f ca="1">LOOKUP(RAND(),{0,0.02,0.09,0.2,0.35,0.52,0.68,0.81,0.91,0.97},{1,2,3,4,5,6,7,8,9,10})</f>
        <v>6</v>
      </c>
      <c r="D953">
        <f t="shared" ca="1" si="84"/>
        <v>26600</v>
      </c>
      <c r="E953" t="str">
        <f ca="1">IF(B953="Oloitoktok A",IF(D953&lt;15000,LOOKUP(RAND(),{0,0.45,0.75,0.92},{"River","Rainwater","Borehole","Vendor"}),IF(D953&lt;30000,LOOKUP(RAND(),{0,0.35,0.65,0.85},{"River","Rainwater","Borehole","Vendor"}),LOOKUP(RAND(),{0,0.25,0.5,0.75},{"River","Rainwater","Borehole","Vendor"}))),IF(B953="Oloitoktok B",IF(D953&lt;15000,LOOKUP(RAND(),{0,0.5,0.78,0.94},{"River","Rainwater","Borehole","Vendor"}),IF(D953&lt;30000,LOOKUP(RAND(),{0,0.4,0.68,0.87},{"River","Rainwater","Borehole","Vendor"}),LOOKUP(RAND(),{0,0.28,0.55,0.78},{"River","Rainwater","Borehole","Vendor"}))),IF(B953="Kiserian",IF(D953&lt;15000,LOOKUP(RAND(),{0,0.35,0.65,0.9},{"River","Rainwater","Borehole","Vendor"}),IF(D953&lt;30000,LOOKUP(RAND(),{0,0.25,0.55,0.82},{"River","Rainwater","Borehole","Vendor"}),LOOKUP(RAND(),{0,0.15,0.45,0.72},{"River","Rainwater","Borehole","Vendor"}))),IF(D953&lt;15000,LOOKUP(RAND(),{0,0.4,0.7,0.92},{"River","Rainwater","Borehole","Vendor"}),IF(D953&lt;30000,LOOKUP(RAND(),{0,0.3,0.6,0.85},{"River","Rainwater","Borehole","Vendor"}),LOOKUP(RAND(),{0,0.2,0.5,0.75},{"River","Rainwater","Borehole","Vendor"}))))))</f>
        <v>River</v>
      </c>
      <c r="F953">
        <f t="shared" ca="1" si="85"/>
        <v>54</v>
      </c>
      <c r="G953">
        <f t="shared" ca="1" si="86"/>
        <v>2.2000000000000002</v>
      </c>
      <c r="H953">
        <f t="shared" ca="1" si="87"/>
        <v>7700</v>
      </c>
      <c r="I953">
        <f t="shared" ca="1" si="88"/>
        <v>0.96728919663850677</v>
      </c>
      <c r="J953">
        <v>1</v>
      </c>
    </row>
    <row r="954" spans="1:10" x14ac:dyDescent="0.3">
      <c r="A954" t="str">
        <f t="shared" si="89"/>
        <v>HH953</v>
      </c>
      <c r="B954" t="str">
        <f ca="1">LOOKUP(RAND(),{0,0.28,0.55,0.78},{"Oloitoktok A","Oloitoktok B","Kiserian","Namanga"})</f>
        <v>Oloitoktok B</v>
      </c>
      <c r="C954">
        <f ca="1">LOOKUP(RAND(),{0,0.02,0.09,0.2,0.35,0.52,0.68,0.81,0.91,0.97},{1,2,3,4,5,6,7,8,9,10})</f>
        <v>5</v>
      </c>
      <c r="D954">
        <f t="shared" ca="1" si="84"/>
        <v>17700</v>
      </c>
      <c r="E954" t="str">
        <f ca="1">IF(B954="Oloitoktok A",IF(D954&lt;15000,LOOKUP(RAND(),{0,0.45,0.75,0.92},{"River","Rainwater","Borehole","Vendor"}),IF(D954&lt;30000,LOOKUP(RAND(),{0,0.35,0.65,0.85},{"River","Rainwater","Borehole","Vendor"}),LOOKUP(RAND(),{0,0.25,0.5,0.75},{"River","Rainwater","Borehole","Vendor"}))),IF(B954="Oloitoktok B",IF(D954&lt;15000,LOOKUP(RAND(),{0,0.5,0.78,0.94},{"River","Rainwater","Borehole","Vendor"}),IF(D954&lt;30000,LOOKUP(RAND(),{0,0.4,0.68,0.87},{"River","Rainwater","Borehole","Vendor"}),LOOKUP(RAND(),{0,0.28,0.55,0.78},{"River","Rainwater","Borehole","Vendor"}))),IF(B954="Kiserian",IF(D954&lt;15000,LOOKUP(RAND(),{0,0.35,0.65,0.9},{"River","Rainwater","Borehole","Vendor"}),IF(D954&lt;30000,LOOKUP(RAND(),{0,0.25,0.55,0.82},{"River","Rainwater","Borehole","Vendor"}),LOOKUP(RAND(),{0,0.15,0.45,0.72},{"River","Rainwater","Borehole","Vendor"}))),IF(D954&lt;15000,LOOKUP(RAND(),{0,0.4,0.7,0.92},{"River","Rainwater","Borehole","Vendor"}),IF(D954&lt;30000,LOOKUP(RAND(),{0,0.3,0.6,0.85},{"River","Rainwater","Borehole","Vendor"}),LOOKUP(RAND(),{0,0.2,0.5,0.75},{"River","Rainwater","Borehole","Vendor"}))))))</f>
        <v>Rainwater</v>
      </c>
      <c r="F954">
        <f t="shared" ca="1" si="85"/>
        <v>54</v>
      </c>
      <c r="G954">
        <f t="shared" ca="1" si="86"/>
        <v>1.6</v>
      </c>
      <c r="H954">
        <f t="shared" ca="1" si="87"/>
        <v>400</v>
      </c>
      <c r="I954">
        <f t="shared" ca="1" si="88"/>
        <v>0.32939753534926175</v>
      </c>
      <c r="J954">
        <v>1</v>
      </c>
    </row>
    <row r="955" spans="1:10" x14ac:dyDescent="0.3">
      <c r="A955" t="str">
        <f t="shared" si="89"/>
        <v>HH954</v>
      </c>
      <c r="B955" t="str">
        <f ca="1">LOOKUP(RAND(),{0,0.28,0.55,0.78},{"Oloitoktok A","Oloitoktok B","Kiserian","Namanga"})</f>
        <v>Oloitoktok A</v>
      </c>
      <c r="C955">
        <f ca="1">LOOKUP(RAND(),{0,0.02,0.09,0.2,0.35,0.52,0.68,0.81,0.91,0.97},{1,2,3,4,5,6,7,8,9,10})</f>
        <v>7</v>
      </c>
      <c r="D955">
        <f t="shared" ca="1" si="84"/>
        <v>76400</v>
      </c>
      <c r="E955" t="str">
        <f ca="1">IF(B955="Oloitoktok A",IF(D955&lt;15000,LOOKUP(RAND(),{0,0.45,0.75,0.92},{"River","Rainwater","Borehole","Vendor"}),IF(D955&lt;30000,LOOKUP(RAND(),{0,0.35,0.65,0.85},{"River","Rainwater","Borehole","Vendor"}),LOOKUP(RAND(),{0,0.25,0.5,0.75},{"River","Rainwater","Borehole","Vendor"}))),IF(B955="Oloitoktok B",IF(D955&lt;15000,LOOKUP(RAND(),{0,0.5,0.78,0.94},{"River","Rainwater","Borehole","Vendor"}),IF(D955&lt;30000,LOOKUP(RAND(),{0,0.4,0.68,0.87},{"River","Rainwater","Borehole","Vendor"}),LOOKUP(RAND(),{0,0.28,0.55,0.78},{"River","Rainwater","Borehole","Vendor"}))),IF(B955="Kiserian",IF(D955&lt;15000,LOOKUP(RAND(),{0,0.35,0.65,0.9},{"River","Rainwater","Borehole","Vendor"}),IF(D955&lt;30000,LOOKUP(RAND(),{0,0.25,0.55,0.82},{"River","Rainwater","Borehole","Vendor"}),LOOKUP(RAND(),{0,0.15,0.45,0.72},{"River","Rainwater","Borehole","Vendor"}))),IF(D955&lt;15000,LOOKUP(RAND(),{0,0.4,0.7,0.92},{"River","Rainwater","Borehole","Vendor"}),IF(D955&lt;30000,LOOKUP(RAND(),{0,0.3,0.6,0.85},{"River","Rainwater","Borehole","Vendor"}),LOOKUP(RAND(),{0,0.2,0.5,0.75},{"River","Rainwater","Borehole","Vendor"}))))))</f>
        <v>Rainwater</v>
      </c>
      <c r="F955">
        <f t="shared" ca="1" si="85"/>
        <v>54</v>
      </c>
      <c r="G955">
        <f t="shared" ca="1" si="86"/>
        <v>13.6</v>
      </c>
      <c r="H955">
        <f t="shared" ca="1" si="87"/>
        <v>12800</v>
      </c>
      <c r="I955">
        <f t="shared" ca="1" si="88"/>
        <v>0.34029570005770315</v>
      </c>
      <c r="J955">
        <v>1</v>
      </c>
    </row>
    <row r="956" spans="1:10" x14ac:dyDescent="0.3">
      <c r="A956" t="str">
        <f t="shared" si="89"/>
        <v>HH955</v>
      </c>
      <c r="B956" t="str">
        <f ca="1">LOOKUP(RAND(),{0,0.28,0.55,0.78},{"Oloitoktok A","Oloitoktok B","Kiserian","Namanga"})</f>
        <v>Kiserian</v>
      </c>
      <c r="C956">
        <f ca="1">LOOKUP(RAND(),{0,0.02,0.09,0.2,0.35,0.52,0.68,0.81,0.91,0.97},{1,2,3,4,5,6,7,8,9,10})</f>
        <v>10</v>
      </c>
      <c r="D956">
        <f t="shared" ca="1" si="84"/>
        <v>22000</v>
      </c>
      <c r="E956" t="str">
        <f ca="1">IF(B956="Oloitoktok A",IF(D956&lt;15000,LOOKUP(RAND(),{0,0.45,0.75,0.92},{"River","Rainwater","Borehole","Vendor"}),IF(D956&lt;30000,LOOKUP(RAND(),{0,0.35,0.65,0.85},{"River","Rainwater","Borehole","Vendor"}),LOOKUP(RAND(),{0,0.25,0.5,0.75},{"River","Rainwater","Borehole","Vendor"}))),IF(B956="Oloitoktok B",IF(D956&lt;15000,LOOKUP(RAND(),{0,0.5,0.78,0.94},{"River","Rainwater","Borehole","Vendor"}),IF(D956&lt;30000,LOOKUP(RAND(),{0,0.4,0.68,0.87},{"River","Rainwater","Borehole","Vendor"}),LOOKUP(RAND(),{0,0.28,0.55,0.78},{"River","Rainwater","Borehole","Vendor"}))),IF(B956="Kiserian",IF(D956&lt;15000,LOOKUP(RAND(),{0,0.35,0.65,0.9},{"River","Rainwater","Borehole","Vendor"}),IF(D956&lt;30000,LOOKUP(RAND(),{0,0.25,0.55,0.82},{"River","Rainwater","Borehole","Vendor"}),LOOKUP(RAND(),{0,0.15,0.45,0.72},{"River","Rainwater","Borehole","Vendor"}))),IF(D956&lt;15000,LOOKUP(RAND(),{0,0.4,0.7,0.92},{"River","Rainwater","Borehole","Vendor"}),IF(D956&lt;30000,LOOKUP(RAND(),{0,0.3,0.6,0.85},{"River","Rainwater","Borehole","Vendor"}),LOOKUP(RAND(),{0,0.2,0.5,0.75},{"River","Rainwater","Borehole","Vendor"}))))))</f>
        <v>Borehole</v>
      </c>
      <c r="F956">
        <f t="shared" ca="1" si="85"/>
        <v>72</v>
      </c>
      <c r="G956">
        <f t="shared" ca="1" si="86"/>
        <v>1.8</v>
      </c>
      <c r="H956">
        <f t="shared" ca="1" si="87"/>
        <v>3200</v>
      </c>
      <c r="I956">
        <f t="shared" ca="1" si="88"/>
        <v>0.33132473277212093</v>
      </c>
      <c r="J956">
        <v>1</v>
      </c>
    </row>
    <row r="957" spans="1:10" x14ac:dyDescent="0.3">
      <c r="A957" t="str">
        <f t="shared" si="89"/>
        <v>HH956</v>
      </c>
      <c r="B957" t="str">
        <f ca="1">LOOKUP(RAND(),{0,0.28,0.55,0.78},{"Oloitoktok A","Oloitoktok B","Kiserian","Namanga"})</f>
        <v>Oloitoktok B</v>
      </c>
      <c r="C957">
        <f ca="1">LOOKUP(RAND(),{0,0.02,0.09,0.2,0.35,0.52,0.68,0.81,0.91,0.97},{1,2,3,4,5,6,7,8,9,10})</f>
        <v>5</v>
      </c>
      <c r="D957">
        <f t="shared" ca="1" si="84"/>
        <v>38600</v>
      </c>
      <c r="E957" t="str">
        <f ca="1">IF(B957="Oloitoktok A",IF(D957&lt;15000,LOOKUP(RAND(),{0,0.45,0.75,0.92},{"River","Rainwater","Borehole","Vendor"}),IF(D957&lt;30000,LOOKUP(RAND(),{0,0.35,0.65,0.85},{"River","Rainwater","Borehole","Vendor"}),LOOKUP(RAND(),{0,0.25,0.5,0.75},{"River","Rainwater","Borehole","Vendor"}))),IF(B957="Oloitoktok B",IF(D957&lt;15000,LOOKUP(RAND(),{0,0.5,0.78,0.94},{"River","Rainwater","Borehole","Vendor"}),IF(D957&lt;30000,LOOKUP(RAND(),{0,0.4,0.68,0.87},{"River","Rainwater","Borehole","Vendor"}),LOOKUP(RAND(),{0,0.28,0.55,0.78},{"River","Rainwater","Borehole","Vendor"}))),IF(B957="Kiserian",IF(D957&lt;15000,LOOKUP(RAND(),{0,0.35,0.65,0.9},{"River","Rainwater","Borehole","Vendor"}),IF(D957&lt;30000,LOOKUP(RAND(),{0,0.25,0.55,0.82},{"River","Rainwater","Borehole","Vendor"}),LOOKUP(RAND(),{0,0.15,0.45,0.72},{"River","Rainwater","Borehole","Vendor"}))),IF(D957&lt;15000,LOOKUP(RAND(),{0,0.4,0.7,0.92},{"River","Rainwater","Borehole","Vendor"}),IF(D957&lt;30000,LOOKUP(RAND(),{0,0.3,0.6,0.85},{"River","Rainwater","Borehole","Vendor"}),LOOKUP(RAND(),{0,0.2,0.5,0.75},{"River","Rainwater","Borehole","Vendor"}))))))</f>
        <v>Vendor</v>
      </c>
      <c r="F957">
        <f t="shared" ca="1" si="85"/>
        <v>40</v>
      </c>
      <c r="G957">
        <f t="shared" ca="1" si="86"/>
        <v>10.5</v>
      </c>
      <c r="H957">
        <f t="shared" ca="1" si="87"/>
        <v>4200</v>
      </c>
      <c r="I957">
        <f t="shared" ca="1" si="88"/>
        <v>0.99043480211406321</v>
      </c>
      <c r="J957">
        <v>1</v>
      </c>
    </row>
    <row r="958" spans="1:10" x14ac:dyDescent="0.3">
      <c r="A958" t="str">
        <f t="shared" si="89"/>
        <v>HH957</v>
      </c>
      <c r="B958" t="str">
        <f ca="1">LOOKUP(RAND(),{0,0.28,0.55,0.78},{"Oloitoktok A","Oloitoktok B","Kiserian","Namanga"})</f>
        <v>Kiserian</v>
      </c>
      <c r="C958">
        <f ca="1">LOOKUP(RAND(),{0,0.02,0.09,0.2,0.35,0.52,0.68,0.81,0.91,0.97},{1,2,3,4,5,6,7,8,9,10})</f>
        <v>4</v>
      </c>
      <c r="D958">
        <f t="shared" ca="1" si="84"/>
        <v>87100</v>
      </c>
      <c r="E958" t="str">
        <f ca="1">IF(B958="Oloitoktok A",IF(D958&lt;15000,LOOKUP(RAND(),{0,0.45,0.75,0.92},{"River","Rainwater","Borehole","Vendor"}),IF(D958&lt;30000,LOOKUP(RAND(),{0,0.35,0.65,0.85},{"River","Rainwater","Borehole","Vendor"}),LOOKUP(RAND(),{0,0.25,0.5,0.75},{"River","Rainwater","Borehole","Vendor"}))),IF(B958="Oloitoktok B",IF(D958&lt;15000,LOOKUP(RAND(),{0,0.5,0.78,0.94},{"River","Rainwater","Borehole","Vendor"}),IF(D958&lt;30000,LOOKUP(RAND(),{0,0.4,0.68,0.87},{"River","Rainwater","Borehole","Vendor"}),LOOKUP(RAND(),{0,0.28,0.55,0.78},{"River","Rainwater","Borehole","Vendor"}))),IF(B958="Kiserian",IF(D958&lt;15000,LOOKUP(RAND(),{0,0.35,0.65,0.9},{"River","Rainwater","Borehole","Vendor"}),IF(D958&lt;30000,LOOKUP(RAND(),{0,0.25,0.55,0.82},{"River","Rainwater","Borehole","Vendor"}),LOOKUP(RAND(),{0,0.15,0.45,0.72},{"River","Rainwater","Borehole","Vendor"}))),IF(D958&lt;15000,LOOKUP(RAND(),{0,0.4,0.7,0.92},{"River","Rainwater","Borehole","Vendor"}),IF(D958&lt;30000,LOOKUP(RAND(),{0,0.3,0.6,0.85},{"River","Rainwater","Borehole","Vendor"}),LOOKUP(RAND(),{0,0.2,0.5,0.75},{"River","Rainwater","Borehole","Vendor"}))))))</f>
        <v>Rainwater</v>
      </c>
      <c r="F958">
        <f t="shared" ca="1" si="85"/>
        <v>44</v>
      </c>
      <c r="G958">
        <f t="shared" ca="1" si="86"/>
        <v>2.4</v>
      </c>
      <c r="H958">
        <f t="shared" ca="1" si="87"/>
        <v>5400</v>
      </c>
      <c r="I958">
        <f t="shared" ca="1" si="88"/>
        <v>9.489067506013471E-2</v>
      </c>
      <c r="J958">
        <v>1</v>
      </c>
    </row>
    <row r="959" spans="1:10" x14ac:dyDescent="0.3">
      <c r="A959" t="str">
        <f t="shared" si="89"/>
        <v>HH958</v>
      </c>
      <c r="B959" t="str">
        <f ca="1">LOOKUP(RAND(),{0,0.28,0.55,0.78},{"Oloitoktok A","Oloitoktok B","Kiserian","Namanga"})</f>
        <v>Kiserian</v>
      </c>
      <c r="C959">
        <f ca="1">LOOKUP(RAND(),{0,0.02,0.09,0.2,0.35,0.52,0.68,0.81,0.91,0.97},{1,2,3,4,5,6,7,8,9,10})</f>
        <v>4</v>
      </c>
      <c r="D959">
        <f t="shared" ca="1" si="84"/>
        <v>33000</v>
      </c>
      <c r="E959" t="str">
        <f ca="1">IF(B959="Oloitoktok A",IF(D959&lt;15000,LOOKUP(RAND(),{0,0.45,0.75,0.92},{"River","Rainwater","Borehole","Vendor"}),IF(D959&lt;30000,LOOKUP(RAND(),{0,0.35,0.65,0.85},{"River","Rainwater","Borehole","Vendor"}),LOOKUP(RAND(),{0,0.25,0.5,0.75},{"River","Rainwater","Borehole","Vendor"}))),IF(B959="Oloitoktok B",IF(D959&lt;15000,LOOKUP(RAND(),{0,0.5,0.78,0.94},{"River","Rainwater","Borehole","Vendor"}),IF(D959&lt;30000,LOOKUP(RAND(),{0,0.4,0.68,0.87},{"River","Rainwater","Borehole","Vendor"}),LOOKUP(RAND(),{0,0.28,0.55,0.78},{"River","Rainwater","Borehole","Vendor"}))),IF(B959="Kiserian",IF(D959&lt;15000,LOOKUP(RAND(),{0,0.35,0.65,0.9},{"River","Rainwater","Borehole","Vendor"}),IF(D959&lt;30000,LOOKUP(RAND(),{0,0.25,0.55,0.82},{"River","Rainwater","Borehole","Vendor"}),LOOKUP(RAND(),{0,0.15,0.45,0.72},{"River","Rainwater","Borehole","Vendor"}))),IF(D959&lt;15000,LOOKUP(RAND(),{0,0.4,0.7,0.92},{"River","Rainwater","Borehole","Vendor"}),IF(D959&lt;30000,LOOKUP(RAND(),{0,0.3,0.6,0.85},{"River","Rainwater","Borehole","Vendor"}),LOOKUP(RAND(),{0,0.2,0.5,0.75},{"River","Rainwater","Borehole","Vendor"}))))))</f>
        <v>Vendor</v>
      </c>
      <c r="F959">
        <f t="shared" ca="1" si="85"/>
        <v>23</v>
      </c>
      <c r="G959">
        <f t="shared" ca="1" si="86"/>
        <v>3.8</v>
      </c>
      <c r="H959">
        <f t="shared" ca="1" si="87"/>
        <v>8600</v>
      </c>
      <c r="I959">
        <f t="shared" ca="1" si="88"/>
        <v>0.82521267026649792</v>
      </c>
      <c r="J959">
        <v>1</v>
      </c>
    </row>
    <row r="960" spans="1:10" x14ac:dyDescent="0.3">
      <c r="A960" t="str">
        <f t="shared" si="89"/>
        <v>HH959</v>
      </c>
      <c r="B960" t="str">
        <f ca="1">LOOKUP(RAND(),{0,0.28,0.55,0.78},{"Oloitoktok A","Oloitoktok B","Kiserian","Namanga"})</f>
        <v>Namanga</v>
      </c>
      <c r="C960">
        <f ca="1">LOOKUP(RAND(),{0,0.02,0.09,0.2,0.35,0.52,0.68,0.81,0.91,0.97},{1,2,3,4,5,6,7,8,9,10})</f>
        <v>3</v>
      </c>
      <c r="D960">
        <f t="shared" ca="1" si="84"/>
        <v>21400</v>
      </c>
      <c r="E960" t="str">
        <f ca="1">IF(B960="Oloitoktok A",IF(D960&lt;15000,LOOKUP(RAND(),{0,0.45,0.75,0.92},{"River","Rainwater","Borehole","Vendor"}),IF(D960&lt;30000,LOOKUP(RAND(),{0,0.35,0.65,0.85},{"River","Rainwater","Borehole","Vendor"}),LOOKUP(RAND(),{0,0.25,0.5,0.75},{"River","Rainwater","Borehole","Vendor"}))),IF(B960="Oloitoktok B",IF(D960&lt;15000,LOOKUP(RAND(),{0,0.5,0.78,0.94},{"River","Rainwater","Borehole","Vendor"}),IF(D960&lt;30000,LOOKUP(RAND(),{0,0.4,0.68,0.87},{"River","Rainwater","Borehole","Vendor"}),LOOKUP(RAND(),{0,0.28,0.55,0.78},{"River","Rainwater","Borehole","Vendor"}))),IF(B960="Kiserian",IF(D960&lt;15000,LOOKUP(RAND(),{0,0.35,0.65,0.9},{"River","Rainwater","Borehole","Vendor"}),IF(D960&lt;30000,LOOKUP(RAND(),{0,0.25,0.55,0.82},{"River","Rainwater","Borehole","Vendor"}),LOOKUP(RAND(),{0,0.15,0.45,0.72},{"River","Rainwater","Borehole","Vendor"}))),IF(D960&lt;15000,LOOKUP(RAND(),{0,0.4,0.7,0.92},{"River","Rainwater","Borehole","Vendor"}),IF(D960&lt;30000,LOOKUP(RAND(),{0,0.3,0.6,0.85},{"River","Rainwater","Borehole","Vendor"}),LOOKUP(RAND(),{0,0.2,0.5,0.75},{"River","Rainwater","Borehole","Vendor"}))))))</f>
        <v>Rainwater</v>
      </c>
      <c r="F960">
        <f t="shared" ca="1" si="85"/>
        <v>65</v>
      </c>
      <c r="G960">
        <f t="shared" ca="1" si="86"/>
        <v>5</v>
      </c>
      <c r="H960">
        <f t="shared" ca="1" si="87"/>
        <v>1000</v>
      </c>
      <c r="I960">
        <f t="shared" ca="1" si="88"/>
        <v>0.8231604133387701</v>
      </c>
      <c r="J960">
        <v>1</v>
      </c>
    </row>
    <row r="961" spans="1:10" x14ac:dyDescent="0.3">
      <c r="A961" t="str">
        <f t="shared" si="89"/>
        <v>HH960</v>
      </c>
      <c r="B961" t="str">
        <f ca="1">LOOKUP(RAND(),{0,0.28,0.55,0.78},{"Oloitoktok A","Oloitoktok B","Kiserian","Namanga"})</f>
        <v>Namanga</v>
      </c>
      <c r="C961">
        <f ca="1">LOOKUP(RAND(),{0,0.02,0.09,0.2,0.35,0.52,0.68,0.81,0.91,0.97},{1,2,3,4,5,6,7,8,9,10})</f>
        <v>7</v>
      </c>
      <c r="D961">
        <f t="shared" ca="1" si="84"/>
        <v>78100</v>
      </c>
      <c r="E961" t="str">
        <f ca="1">IF(B961="Oloitoktok A",IF(D961&lt;15000,LOOKUP(RAND(),{0,0.45,0.75,0.92},{"River","Rainwater","Borehole","Vendor"}),IF(D961&lt;30000,LOOKUP(RAND(),{0,0.35,0.65,0.85},{"River","Rainwater","Borehole","Vendor"}),LOOKUP(RAND(),{0,0.25,0.5,0.75},{"River","Rainwater","Borehole","Vendor"}))),IF(B961="Oloitoktok B",IF(D961&lt;15000,LOOKUP(RAND(),{0,0.5,0.78,0.94},{"River","Rainwater","Borehole","Vendor"}),IF(D961&lt;30000,LOOKUP(RAND(),{0,0.4,0.68,0.87},{"River","Rainwater","Borehole","Vendor"}),LOOKUP(RAND(),{0,0.28,0.55,0.78},{"River","Rainwater","Borehole","Vendor"}))),IF(B961="Kiserian",IF(D961&lt;15000,LOOKUP(RAND(),{0,0.35,0.65,0.9},{"River","Rainwater","Borehole","Vendor"}),IF(D961&lt;30000,LOOKUP(RAND(),{0,0.25,0.55,0.82},{"River","Rainwater","Borehole","Vendor"}),LOOKUP(RAND(),{0,0.15,0.45,0.72},{"River","Rainwater","Borehole","Vendor"}))),IF(D961&lt;15000,LOOKUP(RAND(),{0,0.4,0.7,0.92},{"River","Rainwater","Borehole","Vendor"}),IF(D961&lt;30000,LOOKUP(RAND(),{0,0.3,0.6,0.85},{"River","Rainwater","Borehole","Vendor"}),LOOKUP(RAND(),{0,0.2,0.5,0.75},{"River","Rainwater","Borehole","Vendor"}))))))</f>
        <v>Vendor</v>
      </c>
      <c r="F961">
        <f t="shared" ca="1" si="85"/>
        <v>17</v>
      </c>
      <c r="G961">
        <f t="shared" ca="1" si="86"/>
        <v>11</v>
      </c>
      <c r="H961">
        <f t="shared" ca="1" si="87"/>
        <v>12200</v>
      </c>
      <c r="I961">
        <f t="shared" ca="1" si="88"/>
        <v>0.41411979627911122</v>
      </c>
      <c r="J961">
        <v>1</v>
      </c>
    </row>
    <row r="962" spans="1:10" x14ac:dyDescent="0.3">
      <c r="A962" t="str">
        <f t="shared" si="89"/>
        <v>HH961</v>
      </c>
      <c r="B962" t="str">
        <f ca="1">LOOKUP(RAND(),{0,0.28,0.55,0.78},{"Oloitoktok A","Oloitoktok B","Kiserian","Namanga"})</f>
        <v>Oloitoktok B</v>
      </c>
      <c r="C962">
        <f ca="1">LOOKUP(RAND(),{0,0.02,0.09,0.2,0.35,0.52,0.68,0.81,0.91,0.97},{1,2,3,4,5,6,7,8,9,10})</f>
        <v>7</v>
      </c>
      <c r="D962">
        <f t="shared" ref="D962:D1025" ca="1" si="90">MAX(5000,MIN(150000,ROUND(_xlfn.LOGNORM.INV(RAND(),LN(28000+1500*C962),0.55),-2)))</f>
        <v>20000</v>
      </c>
      <c r="E962" t="str">
        <f ca="1">IF(B962="Oloitoktok A",IF(D962&lt;15000,LOOKUP(RAND(),{0,0.45,0.75,0.92},{"River","Rainwater","Borehole","Vendor"}),IF(D962&lt;30000,LOOKUP(RAND(),{0,0.35,0.65,0.85},{"River","Rainwater","Borehole","Vendor"}),LOOKUP(RAND(),{0,0.25,0.5,0.75},{"River","Rainwater","Borehole","Vendor"}))),IF(B962="Oloitoktok B",IF(D962&lt;15000,LOOKUP(RAND(),{0,0.5,0.78,0.94},{"River","Rainwater","Borehole","Vendor"}),IF(D962&lt;30000,LOOKUP(RAND(),{0,0.4,0.68,0.87},{"River","Rainwater","Borehole","Vendor"}),LOOKUP(RAND(),{0,0.28,0.55,0.78},{"River","Rainwater","Borehole","Vendor"}))),IF(B962="Kiserian",IF(D962&lt;15000,LOOKUP(RAND(),{0,0.35,0.65,0.9},{"River","Rainwater","Borehole","Vendor"}),IF(D962&lt;30000,LOOKUP(RAND(),{0,0.25,0.55,0.82},{"River","Rainwater","Borehole","Vendor"}),LOOKUP(RAND(),{0,0.15,0.45,0.72},{"River","Rainwater","Borehole","Vendor"}))),IF(D962&lt;15000,LOOKUP(RAND(),{0,0.4,0.7,0.92},{"River","Rainwater","Borehole","Vendor"}),IF(D962&lt;30000,LOOKUP(RAND(),{0,0.3,0.6,0.85},{"River","Rainwater","Borehole","Vendor"}),LOOKUP(RAND(),{0,0.2,0.5,0.75},{"River","Rainwater","Borehole","Vendor"}))))))</f>
        <v>River</v>
      </c>
      <c r="F962">
        <f t="shared" ref="F962:F1025" ca="1" si="91">IF(E962="River",RANDBETWEEN(45,120),IF(E962="Rainwater",RANDBETWEEN(15,70),IF(E962="Borehole",RANDBETWEEN(20,75),RANDBETWEEN(10,60))))</f>
        <v>111</v>
      </c>
      <c r="G962">
        <f t="shared" ref="G962:G1025" ca="1" si="92">IF(B962="Oloitoktok A",ROUND(RANDBETWEEN(5,150)/10,1),IF(B962="Oloitoktok B",ROUND(RANDBETWEEN(4,140)/10,1),IF(B962="Kiserian",ROUND(RANDBETWEEN(2,100)/10,1),ROUND(RANDBETWEEN(3,120)/10,1))))</f>
        <v>5.6</v>
      </c>
      <c r="H962">
        <f t="shared" ref="H962:H1025" ca="1" si="93">MAX(0,ROUND((1500+(C962*250)+(D962*0.025)+(F962*8)+(G962*120)+IF(E962="River",1200,IF(E962="Rainwater",700,IF(E962="Borehole",400,200)))+_xlfn.NORM.INV(RAND(),0,3500)),-2))</f>
        <v>7500</v>
      </c>
      <c r="I962">
        <f t="shared" ref="I962:I1025" ca="1" si="94">RAND()</f>
        <v>0.93327788393203837</v>
      </c>
      <c r="J962">
        <v>1</v>
      </c>
    </row>
    <row r="963" spans="1:10" x14ac:dyDescent="0.3">
      <c r="A963" t="str">
        <f t="shared" ref="A963:A1026" si="95">"HH"&amp;TEXT(ROW()-1,"000")</f>
        <v>HH962</v>
      </c>
      <c r="B963" t="str">
        <f ca="1">LOOKUP(RAND(),{0,0.28,0.55,0.78},{"Oloitoktok A","Oloitoktok B","Kiserian","Namanga"})</f>
        <v>Kiserian</v>
      </c>
      <c r="C963">
        <f ca="1">LOOKUP(RAND(),{0,0.02,0.09,0.2,0.35,0.52,0.68,0.81,0.91,0.97},{1,2,3,4,5,6,7,8,9,10})</f>
        <v>6</v>
      </c>
      <c r="D963">
        <f t="shared" ca="1" si="90"/>
        <v>24000</v>
      </c>
      <c r="E963" t="str">
        <f ca="1">IF(B963="Oloitoktok A",IF(D963&lt;15000,LOOKUP(RAND(),{0,0.45,0.75,0.92},{"River","Rainwater","Borehole","Vendor"}),IF(D963&lt;30000,LOOKUP(RAND(),{0,0.35,0.65,0.85},{"River","Rainwater","Borehole","Vendor"}),LOOKUP(RAND(),{0,0.25,0.5,0.75},{"River","Rainwater","Borehole","Vendor"}))),IF(B963="Oloitoktok B",IF(D963&lt;15000,LOOKUP(RAND(),{0,0.5,0.78,0.94},{"River","Rainwater","Borehole","Vendor"}),IF(D963&lt;30000,LOOKUP(RAND(),{0,0.4,0.68,0.87},{"River","Rainwater","Borehole","Vendor"}),LOOKUP(RAND(),{0,0.28,0.55,0.78},{"River","Rainwater","Borehole","Vendor"}))),IF(B963="Kiserian",IF(D963&lt;15000,LOOKUP(RAND(),{0,0.35,0.65,0.9},{"River","Rainwater","Borehole","Vendor"}),IF(D963&lt;30000,LOOKUP(RAND(),{0,0.25,0.55,0.82},{"River","Rainwater","Borehole","Vendor"}),LOOKUP(RAND(),{0,0.15,0.45,0.72},{"River","Rainwater","Borehole","Vendor"}))),IF(D963&lt;15000,LOOKUP(RAND(),{0,0.4,0.7,0.92},{"River","Rainwater","Borehole","Vendor"}),IF(D963&lt;30000,LOOKUP(RAND(),{0,0.3,0.6,0.85},{"River","Rainwater","Borehole","Vendor"}),LOOKUP(RAND(),{0,0.2,0.5,0.75},{"River","Rainwater","Borehole","Vendor"}))))))</f>
        <v>Borehole</v>
      </c>
      <c r="F963">
        <f t="shared" ca="1" si="91"/>
        <v>46</v>
      </c>
      <c r="G963">
        <f t="shared" ca="1" si="92"/>
        <v>0.6</v>
      </c>
      <c r="H963">
        <f t="shared" ca="1" si="93"/>
        <v>1000</v>
      </c>
      <c r="I963">
        <f t="shared" ca="1" si="94"/>
        <v>0.86413067338424965</v>
      </c>
      <c r="J963">
        <v>1</v>
      </c>
    </row>
    <row r="964" spans="1:10" x14ac:dyDescent="0.3">
      <c r="A964" t="str">
        <f t="shared" si="95"/>
        <v>HH963</v>
      </c>
      <c r="B964" t="str">
        <f ca="1">LOOKUP(RAND(),{0,0.28,0.55,0.78},{"Oloitoktok A","Oloitoktok B","Kiserian","Namanga"})</f>
        <v>Oloitoktok B</v>
      </c>
      <c r="C964">
        <f ca="1">LOOKUP(RAND(),{0,0.02,0.09,0.2,0.35,0.52,0.68,0.81,0.91,0.97},{1,2,3,4,5,6,7,8,9,10})</f>
        <v>9</v>
      </c>
      <c r="D964">
        <f t="shared" ca="1" si="90"/>
        <v>42700</v>
      </c>
      <c r="E964" t="str">
        <f ca="1">IF(B964="Oloitoktok A",IF(D964&lt;15000,LOOKUP(RAND(),{0,0.45,0.75,0.92},{"River","Rainwater","Borehole","Vendor"}),IF(D964&lt;30000,LOOKUP(RAND(),{0,0.35,0.65,0.85},{"River","Rainwater","Borehole","Vendor"}),LOOKUP(RAND(),{0,0.25,0.5,0.75},{"River","Rainwater","Borehole","Vendor"}))),IF(B964="Oloitoktok B",IF(D964&lt;15000,LOOKUP(RAND(),{0,0.5,0.78,0.94},{"River","Rainwater","Borehole","Vendor"}),IF(D964&lt;30000,LOOKUP(RAND(),{0,0.4,0.68,0.87},{"River","Rainwater","Borehole","Vendor"}),LOOKUP(RAND(),{0,0.28,0.55,0.78},{"River","Rainwater","Borehole","Vendor"}))),IF(B964="Kiserian",IF(D964&lt;15000,LOOKUP(RAND(),{0,0.35,0.65,0.9},{"River","Rainwater","Borehole","Vendor"}),IF(D964&lt;30000,LOOKUP(RAND(),{0,0.25,0.55,0.82},{"River","Rainwater","Borehole","Vendor"}),LOOKUP(RAND(),{0,0.15,0.45,0.72},{"River","Rainwater","Borehole","Vendor"}))),IF(D964&lt;15000,LOOKUP(RAND(),{0,0.4,0.7,0.92},{"River","Rainwater","Borehole","Vendor"}),IF(D964&lt;30000,LOOKUP(RAND(),{0,0.3,0.6,0.85},{"River","Rainwater","Borehole","Vendor"}),LOOKUP(RAND(),{0,0.2,0.5,0.75},{"River","Rainwater","Borehole","Vendor"}))))))</f>
        <v>Vendor</v>
      </c>
      <c r="F964">
        <f t="shared" ca="1" si="91"/>
        <v>52</v>
      </c>
      <c r="G964">
        <f t="shared" ca="1" si="92"/>
        <v>11</v>
      </c>
      <c r="H964">
        <f t="shared" ca="1" si="93"/>
        <v>6300</v>
      </c>
      <c r="I964">
        <f t="shared" ca="1" si="94"/>
        <v>0.64102315461821269</v>
      </c>
      <c r="J964">
        <v>1</v>
      </c>
    </row>
    <row r="965" spans="1:10" x14ac:dyDescent="0.3">
      <c r="A965" t="str">
        <f t="shared" si="95"/>
        <v>HH964</v>
      </c>
      <c r="B965" t="str">
        <f ca="1">LOOKUP(RAND(),{0,0.28,0.55,0.78},{"Oloitoktok A","Oloitoktok B","Kiserian","Namanga"})</f>
        <v>Oloitoktok B</v>
      </c>
      <c r="C965">
        <f ca="1">LOOKUP(RAND(),{0,0.02,0.09,0.2,0.35,0.52,0.68,0.81,0.91,0.97},{1,2,3,4,5,6,7,8,9,10})</f>
        <v>2</v>
      </c>
      <c r="D965">
        <f t="shared" ca="1" si="90"/>
        <v>15600</v>
      </c>
      <c r="E965" t="str">
        <f ca="1">IF(B965="Oloitoktok A",IF(D965&lt;15000,LOOKUP(RAND(),{0,0.45,0.75,0.92},{"River","Rainwater","Borehole","Vendor"}),IF(D965&lt;30000,LOOKUP(RAND(),{0,0.35,0.65,0.85},{"River","Rainwater","Borehole","Vendor"}),LOOKUP(RAND(),{0,0.25,0.5,0.75},{"River","Rainwater","Borehole","Vendor"}))),IF(B965="Oloitoktok B",IF(D965&lt;15000,LOOKUP(RAND(),{0,0.5,0.78,0.94},{"River","Rainwater","Borehole","Vendor"}),IF(D965&lt;30000,LOOKUP(RAND(),{0,0.4,0.68,0.87},{"River","Rainwater","Borehole","Vendor"}),LOOKUP(RAND(),{0,0.28,0.55,0.78},{"River","Rainwater","Borehole","Vendor"}))),IF(B965="Kiserian",IF(D965&lt;15000,LOOKUP(RAND(),{0,0.35,0.65,0.9},{"River","Rainwater","Borehole","Vendor"}),IF(D965&lt;30000,LOOKUP(RAND(),{0,0.25,0.55,0.82},{"River","Rainwater","Borehole","Vendor"}),LOOKUP(RAND(),{0,0.15,0.45,0.72},{"River","Rainwater","Borehole","Vendor"}))),IF(D965&lt;15000,LOOKUP(RAND(),{0,0.4,0.7,0.92},{"River","Rainwater","Borehole","Vendor"}),IF(D965&lt;30000,LOOKUP(RAND(),{0,0.3,0.6,0.85},{"River","Rainwater","Borehole","Vendor"}),LOOKUP(RAND(),{0,0.2,0.5,0.75},{"River","Rainwater","Borehole","Vendor"}))))))</f>
        <v>River</v>
      </c>
      <c r="F965">
        <f t="shared" ca="1" si="91"/>
        <v>115</v>
      </c>
      <c r="G965">
        <f t="shared" ca="1" si="92"/>
        <v>11.9</v>
      </c>
      <c r="H965">
        <f t="shared" ca="1" si="93"/>
        <v>13700</v>
      </c>
      <c r="I965">
        <f t="shared" ca="1" si="94"/>
        <v>0.38090208875927434</v>
      </c>
      <c r="J965">
        <v>1</v>
      </c>
    </row>
    <row r="966" spans="1:10" x14ac:dyDescent="0.3">
      <c r="A966" t="str">
        <f t="shared" si="95"/>
        <v>HH965</v>
      </c>
      <c r="B966" t="str">
        <f ca="1">LOOKUP(RAND(),{0,0.28,0.55,0.78},{"Oloitoktok A","Oloitoktok B","Kiserian","Namanga"})</f>
        <v>Kiserian</v>
      </c>
      <c r="C966">
        <f ca="1">LOOKUP(RAND(),{0,0.02,0.09,0.2,0.35,0.52,0.68,0.81,0.91,0.97},{1,2,3,4,5,6,7,8,9,10})</f>
        <v>3</v>
      </c>
      <c r="D966">
        <f t="shared" ca="1" si="90"/>
        <v>32100</v>
      </c>
      <c r="E966" t="str">
        <f ca="1">IF(B966="Oloitoktok A",IF(D966&lt;15000,LOOKUP(RAND(),{0,0.45,0.75,0.92},{"River","Rainwater","Borehole","Vendor"}),IF(D966&lt;30000,LOOKUP(RAND(),{0,0.35,0.65,0.85},{"River","Rainwater","Borehole","Vendor"}),LOOKUP(RAND(),{0,0.25,0.5,0.75},{"River","Rainwater","Borehole","Vendor"}))),IF(B966="Oloitoktok B",IF(D966&lt;15000,LOOKUP(RAND(),{0,0.5,0.78,0.94},{"River","Rainwater","Borehole","Vendor"}),IF(D966&lt;30000,LOOKUP(RAND(),{0,0.4,0.68,0.87},{"River","Rainwater","Borehole","Vendor"}),LOOKUP(RAND(),{0,0.28,0.55,0.78},{"River","Rainwater","Borehole","Vendor"}))),IF(B966="Kiserian",IF(D966&lt;15000,LOOKUP(RAND(),{0,0.35,0.65,0.9},{"River","Rainwater","Borehole","Vendor"}),IF(D966&lt;30000,LOOKUP(RAND(),{0,0.25,0.55,0.82},{"River","Rainwater","Borehole","Vendor"}),LOOKUP(RAND(),{0,0.15,0.45,0.72},{"River","Rainwater","Borehole","Vendor"}))),IF(D966&lt;15000,LOOKUP(RAND(),{0,0.4,0.7,0.92},{"River","Rainwater","Borehole","Vendor"}),IF(D966&lt;30000,LOOKUP(RAND(),{0,0.3,0.6,0.85},{"River","Rainwater","Borehole","Vendor"}),LOOKUP(RAND(),{0,0.2,0.5,0.75},{"River","Rainwater","Borehole","Vendor"}))))))</f>
        <v>Vendor</v>
      </c>
      <c r="F966">
        <f t="shared" ca="1" si="91"/>
        <v>26</v>
      </c>
      <c r="G966">
        <f t="shared" ca="1" si="92"/>
        <v>6.8</v>
      </c>
      <c r="H966">
        <f t="shared" ca="1" si="93"/>
        <v>3500</v>
      </c>
      <c r="I966">
        <f t="shared" ca="1" si="94"/>
        <v>0.30358176900209832</v>
      </c>
      <c r="J966">
        <v>1</v>
      </c>
    </row>
    <row r="967" spans="1:10" x14ac:dyDescent="0.3">
      <c r="A967" t="str">
        <f t="shared" si="95"/>
        <v>HH966</v>
      </c>
      <c r="B967" t="str">
        <f ca="1">LOOKUP(RAND(),{0,0.28,0.55,0.78},{"Oloitoktok A","Oloitoktok B","Kiserian","Namanga"})</f>
        <v>Namanga</v>
      </c>
      <c r="C967">
        <f ca="1">LOOKUP(RAND(),{0,0.02,0.09,0.2,0.35,0.52,0.68,0.81,0.91,0.97},{1,2,3,4,5,6,7,8,9,10})</f>
        <v>3</v>
      </c>
      <c r="D967">
        <f t="shared" ca="1" si="90"/>
        <v>13800</v>
      </c>
      <c r="E967" t="str">
        <f ca="1">IF(B967="Oloitoktok A",IF(D967&lt;15000,LOOKUP(RAND(),{0,0.45,0.75,0.92},{"River","Rainwater","Borehole","Vendor"}),IF(D967&lt;30000,LOOKUP(RAND(),{0,0.35,0.65,0.85},{"River","Rainwater","Borehole","Vendor"}),LOOKUP(RAND(),{0,0.25,0.5,0.75},{"River","Rainwater","Borehole","Vendor"}))),IF(B967="Oloitoktok B",IF(D967&lt;15000,LOOKUP(RAND(),{0,0.5,0.78,0.94},{"River","Rainwater","Borehole","Vendor"}),IF(D967&lt;30000,LOOKUP(RAND(),{0,0.4,0.68,0.87},{"River","Rainwater","Borehole","Vendor"}),LOOKUP(RAND(),{0,0.28,0.55,0.78},{"River","Rainwater","Borehole","Vendor"}))),IF(B967="Kiserian",IF(D967&lt;15000,LOOKUP(RAND(),{0,0.35,0.65,0.9},{"River","Rainwater","Borehole","Vendor"}),IF(D967&lt;30000,LOOKUP(RAND(),{0,0.25,0.55,0.82},{"River","Rainwater","Borehole","Vendor"}),LOOKUP(RAND(),{0,0.15,0.45,0.72},{"River","Rainwater","Borehole","Vendor"}))),IF(D967&lt;15000,LOOKUP(RAND(),{0,0.4,0.7,0.92},{"River","Rainwater","Borehole","Vendor"}),IF(D967&lt;30000,LOOKUP(RAND(),{0,0.3,0.6,0.85},{"River","Rainwater","Borehole","Vendor"}),LOOKUP(RAND(),{0,0.2,0.5,0.75},{"River","Rainwater","Borehole","Vendor"}))))))</f>
        <v>Rainwater</v>
      </c>
      <c r="F967">
        <f t="shared" ca="1" si="91"/>
        <v>63</v>
      </c>
      <c r="G967">
        <f t="shared" ca="1" si="92"/>
        <v>6.2</v>
      </c>
      <c r="H967">
        <f t="shared" ca="1" si="93"/>
        <v>7500</v>
      </c>
      <c r="I967">
        <f t="shared" ca="1" si="94"/>
        <v>0.83627000716672517</v>
      </c>
      <c r="J967">
        <v>1</v>
      </c>
    </row>
    <row r="968" spans="1:10" x14ac:dyDescent="0.3">
      <c r="A968" t="str">
        <f t="shared" si="95"/>
        <v>HH967</v>
      </c>
      <c r="B968" t="str">
        <f ca="1">LOOKUP(RAND(),{0,0.28,0.55,0.78},{"Oloitoktok A","Oloitoktok B","Kiserian","Namanga"})</f>
        <v>Oloitoktok B</v>
      </c>
      <c r="C968">
        <f ca="1">LOOKUP(RAND(),{0,0.02,0.09,0.2,0.35,0.52,0.68,0.81,0.91,0.97},{1,2,3,4,5,6,7,8,9,10})</f>
        <v>3</v>
      </c>
      <c r="D968">
        <f t="shared" ca="1" si="90"/>
        <v>63000</v>
      </c>
      <c r="E968" t="str">
        <f ca="1">IF(B968="Oloitoktok A",IF(D968&lt;15000,LOOKUP(RAND(),{0,0.45,0.75,0.92},{"River","Rainwater","Borehole","Vendor"}),IF(D968&lt;30000,LOOKUP(RAND(),{0,0.35,0.65,0.85},{"River","Rainwater","Borehole","Vendor"}),LOOKUP(RAND(),{0,0.25,0.5,0.75},{"River","Rainwater","Borehole","Vendor"}))),IF(B968="Oloitoktok B",IF(D968&lt;15000,LOOKUP(RAND(),{0,0.5,0.78,0.94},{"River","Rainwater","Borehole","Vendor"}),IF(D968&lt;30000,LOOKUP(RAND(),{0,0.4,0.68,0.87},{"River","Rainwater","Borehole","Vendor"}),LOOKUP(RAND(),{0,0.28,0.55,0.78},{"River","Rainwater","Borehole","Vendor"}))),IF(B968="Kiserian",IF(D968&lt;15000,LOOKUP(RAND(),{0,0.35,0.65,0.9},{"River","Rainwater","Borehole","Vendor"}),IF(D968&lt;30000,LOOKUP(RAND(),{0,0.25,0.55,0.82},{"River","Rainwater","Borehole","Vendor"}),LOOKUP(RAND(),{0,0.15,0.45,0.72},{"River","Rainwater","Borehole","Vendor"}))),IF(D968&lt;15000,LOOKUP(RAND(),{0,0.4,0.7,0.92},{"River","Rainwater","Borehole","Vendor"}),IF(D968&lt;30000,LOOKUP(RAND(),{0,0.3,0.6,0.85},{"River","Rainwater","Borehole","Vendor"}),LOOKUP(RAND(),{0,0.2,0.5,0.75},{"River","Rainwater","Borehole","Vendor"}))))))</f>
        <v>River</v>
      </c>
      <c r="F968">
        <f t="shared" ca="1" si="91"/>
        <v>78</v>
      </c>
      <c r="G968">
        <f t="shared" ca="1" si="92"/>
        <v>8.5</v>
      </c>
      <c r="H968">
        <f t="shared" ca="1" si="93"/>
        <v>6500</v>
      </c>
      <c r="I968">
        <f t="shared" ca="1" si="94"/>
        <v>0.90451394038562938</v>
      </c>
      <c r="J968">
        <v>1</v>
      </c>
    </row>
    <row r="969" spans="1:10" x14ac:dyDescent="0.3">
      <c r="A969" t="str">
        <f t="shared" si="95"/>
        <v>HH968</v>
      </c>
      <c r="B969" t="str">
        <f ca="1">LOOKUP(RAND(),{0,0.28,0.55,0.78},{"Oloitoktok A","Oloitoktok B","Kiserian","Namanga"})</f>
        <v>Namanga</v>
      </c>
      <c r="C969">
        <f ca="1">LOOKUP(RAND(),{0,0.02,0.09,0.2,0.35,0.52,0.68,0.81,0.91,0.97},{1,2,3,4,5,6,7,8,9,10})</f>
        <v>3</v>
      </c>
      <c r="D969">
        <f t="shared" ca="1" si="90"/>
        <v>55700</v>
      </c>
      <c r="E969" t="str">
        <f ca="1">IF(B969="Oloitoktok A",IF(D969&lt;15000,LOOKUP(RAND(),{0,0.45,0.75,0.92},{"River","Rainwater","Borehole","Vendor"}),IF(D969&lt;30000,LOOKUP(RAND(),{0,0.35,0.65,0.85},{"River","Rainwater","Borehole","Vendor"}),LOOKUP(RAND(),{0,0.25,0.5,0.75},{"River","Rainwater","Borehole","Vendor"}))),IF(B969="Oloitoktok B",IF(D969&lt;15000,LOOKUP(RAND(),{0,0.5,0.78,0.94},{"River","Rainwater","Borehole","Vendor"}),IF(D969&lt;30000,LOOKUP(RAND(),{0,0.4,0.68,0.87},{"River","Rainwater","Borehole","Vendor"}),LOOKUP(RAND(),{0,0.28,0.55,0.78},{"River","Rainwater","Borehole","Vendor"}))),IF(B969="Kiserian",IF(D969&lt;15000,LOOKUP(RAND(),{0,0.35,0.65,0.9},{"River","Rainwater","Borehole","Vendor"}),IF(D969&lt;30000,LOOKUP(RAND(),{0,0.25,0.55,0.82},{"River","Rainwater","Borehole","Vendor"}),LOOKUP(RAND(),{0,0.15,0.45,0.72},{"River","Rainwater","Borehole","Vendor"}))),IF(D969&lt;15000,LOOKUP(RAND(),{0,0.4,0.7,0.92},{"River","Rainwater","Borehole","Vendor"}),IF(D969&lt;30000,LOOKUP(RAND(),{0,0.3,0.6,0.85},{"River","Rainwater","Borehole","Vendor"}),LOOKUP(RAND(),{0,0.2,0.5,0.75},{"River","Rainwater","Borehole","Vendor"}))))))</f>
        <v>Borehole</v>
      </c>
      <c r="F969">
        <f t="shared" ca="1" si="91"/>
        <v>34</v>
      </c>
      <c r="G969">
        <f t="shared" ca="1" si="92"/>
        <v>1.8</v>
      </c>
      <c r="H969">
        <f t="shared" ca="1" si="93"/>
        <v>2400</v>
      </c>
      <c r="I969">
        <f t="shared" ca="1" si="94"/>
        <v>0.3906704579841328</v>
      </c>
      <c r="J969">
        <v>1</v>
      </c>
    </row>
    <row r="970" spans="1:10" x14ac:dyDescent="0.3">
      <c r="A970" t="str">
        <f t="shared" si="95"/>
        <v>HH969</v>
      </c>
      <c r="B970" t="str">
        <f ca="1">LOOKUP(RAND(),{0,0.28,0.55,0.78},{"Oloitoktok A","Oloitoktok B","Kiserian","Namanga"})</f>
        <v>Oloitoktok A</v>
      </c>
      <c r="C970">
        <f ca="1">LOOKUP(RAND(),{0,0.02,0.09,0.2,0.35,0.52,0.68,0.81,0.91,0.97},{1,2,3,4,5,6,7,8,9,10})</f>
        <v>8</v>
      </c>
      <c r="D970">
        <f t="shared" ca="1" si="90"/>
        <v>44400</v>
      </c>
      <c r="E970" t="str">
        <f ca="1">IF(B970="Oloitoktok A",IF(D970&lt;15000,LOOKUP(RAND(),{0,0.45,0.75,0.92},{"River","Rainwater","Borehole","Vendor"}),IF(D970&lt;30000,LOOKUP(RAND(),{0,0.35,0.65,0.85},{"River","Rainwater","Borehole","Vendor"}),LOOKUP(RAND(),{0,0.25,0.5,0.75},{"River","Rainwater","Borehole","Vendor"}))),IF(B970="Oloitoktok B",IF(D970&lt;15000,LOOKUP(RAND(),{0,0.5,0.78,0.94},{"River","Rainwater","Borehole","Vendor"}),IF(D970&lt;30000,LOOKUP(RAND(),{0,0.4,0.68,0.87},{"River","Rainwater","Borehole","Vendor"}),LOOKUP(RAND(),{0,0.28,0.55,0.78},{"River","Rainwater","Borehole","Vendor"}))),IF(B970="Kiserian",IF(D970&lt;15000,LOOKUP(RAND(),{0,0.35,0.65,0.9},{"River","Rainwater","Borehole","Vendor"}),IF(D970&lt;30000,LOOKUP(RAND(),{0,0.25,0.55,0.82},{"River","Rainwater","Borehole","Vendor"}),LOOKUP(RAND(),{0,0.15,0.45,0.72},{"River","Rainwater","Borehole","Vendor"}))),IF(D970&lt;15000,LOOKUP(RAND(),{0,0.4,0.7,0.92},{"River","Rainwater","Borehole","Vendor"}),IF(D970&lt;30000,LOOKUP(RAND(),{0,0.3,0.6,0.85},{"River","Rainwater","Borehole","Vendor"}),LOOKUP(RAND(),{0,0.2,0.5,0.75},{"River","Rainwater","Borehole","Vendor"}))))))</f>
        <v>River</v>
      </c>
      <c r="F970">
        <f t="shared" ca="1" si="91"/>
        <v>115</v>
      </c>
      <c r="G970">
        <f t="shared" ca="1" si="92"/>
        <v>0.5</v>
      </c>
      <c r="H970">
        <f t="shared" ca="1" si="93"/>
        <v>10800</v>
      </c>
      <c r="I970">
        <f t="shared" ca="1" si="94"/>
        <v>0.57860468574756541</v>
      </c>
      <c r="J970">
        <v>1</v>
      </c>
    </row>
    <row r="971" spans="1:10" x14ac:dyDescent="0.3">
      <c r="A971" t="str">
        <f t="shared" si="95"/>
        <v>HH970</v>
      </c>
      <c r="B971" t="str">
        <f ca="1">LOOKUP(RAND(),{0,0.28,0.55,0.78},{"Oloitoktok A","Oloitoktok B","Kiserian","Namanga"})</f>
        <v>Oloitoktok A</v>
      </c>
      <c r="C971">
        <f ca="1">LOOKUP(RAND(),{0,0.02,0.09,0.2,0.35,0.52,0.68,0.81,0.91,0.97},{1,2,3,4,5,6,7,8,9,10})</f>
        <v>6</v>
      </c>
      <c r="D971">
        <f t="shared" ca="1" si="90"/>
        <v>60200</v>
      </c>
      <c r="E971" t="str">
        <f ca="1">IF(B971="Oloitoktok A",IF(D971&lt;15000,LOOKUP(RAND(),{0,0.45,0.75,0.92},{"River","Rainwater","Borehole","Vendor"}),IF(D971&lt;30000,LOOKUP(RAND(),{0,0.35,0.65,0.85},{"River","Rainwater","Borehole","Vendor"}),LOOKUP(RAND(),{0,0.25,0.5,0.75},{"River","Rainwater","Borehole","Vendor"}))),IF(B971="Oloitoktok B",IF(D971&lt;15000,LOOKUP(RAND(),{0,0.5,0.78,0.94},{"River","Rainwater","Borehole","Vendor"}),IF(D971&lt;30000,LOOKUP(RAND(),{0,0.4,0.68,0.87},{"River","Rainwater","Borehole","Vendor"}),LOOKUP(RAND(),{0,0.28,0.55,0.78},{"River","Rainwater","Borehole","Vendor"}))),IF(B971="Kiserian",IF(D971&lt;15000,LOOKUP(RAND(),{0,0.35,0.65,0.9},{"River","Rainwater","Borehole","Vendor"}),IF(D971&lt;30000,LOOKUP(RAND(),{0,0.25,0.55,0.82},{"River","Rainwater","Borehole","Vendor"}),LOOKUP(RAND(),{0,0.15,0.45,0.72},{"River","Rainwater","Borehole","Vendor"}))),IF(D971&lt;15000,LOOKUP(RAND(),{0,0.4,0.7,0.92},{"River","Rainwater","Borehole","Vendor"}),IF(D971&lt;30000,LOOKUP(RAND(),{0,0.3,0.6,0.85},{"River","Rainwater","Borehole","Vendor"}),LOOKUP(RAND(),{0,0.2,0.5,0.75},{"River","Rainwater","Borehole","Vendor"}))))))</f>
        <v>Rainwater</v>
      </c>
      <c r="F971">
        <f t="shared" ca="1" si="91"/>
        <v>46</v>
      </c>
      <c r="G971">
        <f t="shared" ca="1" si="92"/>
        <v>3.4</v>
      </c>
      <c r="H971">
        <f t="shared" ca="1" si="93"/>
        <v>10300</v>
      </c>
      <c r="I971">
        <f t="shared" ca="1" si="94"/>
        <v>0.52027195280096572</v>
      </c>
      <c r="J971">
        <v>1</v>
      </c>
    </row>
    <row r="972" spans="1:10" x14ac:dyDescent="0.3">
      <c r="A972" t="str">
        <f t="shared" si="95"/>
        <v>HH971</v>
      </c>
      <c r="B972" t="str">
        <f ca="1">LOOKUP(RAND(),{0,0.28,0.55,0.78},{"Oloitoktok A","Oloitoktok B","Kiserian","Namanga"})</f>
        <v>Namanga</v>
      </c>
      <c r="C972">
        <f ca="1">LOOKUP(RAND(),{0,0.02,0.09,0.2,0.35,0.52,0.68,0.81,0.91,0.97},{1,2,3,4,5,6,7,8,9,10})</f>
        <v>2</v>
      </c>
      <c r="D972">
        <f t="shared" ca="1" si="90"/>
        <v>38700</v>
      </c>
      <c r="E972" t="str">
        <f ca="1">IF(B972="Oloitoktok A",IF(D972&lt;15000,LOOKUP(RAND(),{0,0.45,0.75,0.92},{"River","Rainwater","Borehole","Vendor"}),IF(D972&lt;30000,LOOKUP(RAND(),{0,0.35,0.65,0.85},{"River","Rainwater","Borehole","Vendor"}),LOOKUP(RAND(),{0,0.25,0.5,0.75},{"River","Rainwater","Borehole","Vendor"}))),IF(B972="Oloitoktok B",IF(D972&lt;15000,LOOKUP(RAND(),{0,0.5,0.78,0.94},{"River","Rainwater","Borehole","Vendor"}),IF(D972&lt;30000,LOOKUP(RAND(),{0,0.4,0.68,0.87},{"River","Rainwater","Borehole","Vendor"}),LOOKUP(RAND(),{0,0.28,0.55,0.78},{"River","Rainwater","Borehole","Vendor"}))),IF(B972="Kiserian",IF(D972&lt;15000,LOOKUP(RAND(),{0,0.35,0.65,0.9},{"River","Rainwater","Borehole","Vendor"}),IF(D972&lt;30000,LOOKUP(RAND(),{0,0.25,0.55,0.82},{"River","Rainwater","Borehole","Vendor"}),LOOKUP(RAND(),{0,0.15,0.45,0.72},{"River","Rainwater","Borehole","Vendor"}))),IF(D972&lt;15000,LOOKUP(RAND(),{0,0.4,0.7,0.92},{"River","Rainwater","Borehole","Vendor"}),IF(D972&lt;30000,LOOKUP(RAND(),{0,0.3,0.6,0.85},{"River","Rainwater","Borehole","Vendor"}),LOOKUP(RAND(),{0,0.2,0.5,0.75},{"River","Rainwater","Borehole","Vendor"}))))))</f>
        <v>Borehole</v>
      </c>
      <c r="F972">
        <f t="shared" ca="1" si="91"/>
        <v>51</v>
      </c>
      <c r="G972">
        <f t="shared" ca="1" si="92"/>
        <v>9.6</v>
      </c>
      <c r="H972">
        <f t="shared" ca="1" si="93"/>
        <v>3100</v>
      </c>
      <c r="I972">
        <f t="shared" ca="1" si="94"/>
        <v>0.52822569653524132</v>
      </c>
      <c r="J972">
        <v>1</v>
      </c>
    </row>
    <row r="973" spans="1:10" x14ac:dyDescent="0.3">
      <c r="A973" t="str">
        <f t="shared" si="95"/>
        <v>HH972</v>
      </c>
      <c r="B973" t="str">
        <f ca="1">LOOKUP(RAND(),{0,0.28,0.55,0.78},{"Oloitoktok A","Oloitoktok B","Kiserian","Namanga"})</f>
        <v>Kiserian</v>
      </c>
      <c r="C973">
        <f ca="1">LOOKUP(RAND(),{0,0.02,0.09,0.2,0.35,0.52,0.68,0.81,0.91,0.97},{1,2,3,4,5,6,7,8,9,10})</f>
        <v>4</v>
      </c>
      <c r="D973">
        <f t="shared" ca="1" si="90"/>
        <v>49400</v>
      </c>
      <c r="E973" t="str">
        <f ca="1">IF(B973="Oloitoktok A",IF(D973&lt;15000,LOOKUP(RAND(),{0,0.45,0.75,0.92},{"River","Rainwater","Borehole","Vendor"}),IF(D973&lt;30000,LOOKUP(RAND(),{0,0.35,0.65,0.85},{"River","Rainwater","Borehole","Vendor"}),LOOKUP(RAND(),{0,0.25,0.5,0.75},{"River","Rainwater","Borehole","Vendor"}))),IF(B973="Oloitoktok B",IF(D973&lt;15000,LOOKUP(RAND(),{0,0.5,0.78,0.94},{"River","Rainwater","Borehole","Vendor"}),IF(D973&lt;30000,LOOKUP(RAND(),{0,0.4,0.68,0.87},{"River","Rainwater","Borehole","Vendor"}),LOOKUP(RAND(),{0,0.28,0.55,0.78},{"River","Rainwater","Borehole","Vendor"}))),IF(B973="Kiserian",IF(D973&lt;15000,LOOKUP(RAND(),{0,0.35,0.65,0.9},{"River","Rainwater","Borehole","Vendor"}),IF(D973&lt;30000,LOOKUP(RAND(),{0,0.25,0.55,0.82},{"River","Rainwater","Borehole","Vendor"}),LOOKUP(RAND(),{0,0.15,0.45,0.72},{"River","Rainwater","Borehole","Vendor"}))),IF(D973&lt;15000,LOOKUP(RAND(),{0,0.4,0.7,0.92},{"River","Rainwater","Borehole","Vendor"}),IF(D973&lt;30000,LOOKUP(RAND(),{0,0.3,0.6,0.85},{"River","Rainwater","Borehole","Vendor"}),LOOKUP(RAND(),{0,0.2,0.5,0.75},{"River","Rainwater","Borehole","Vendor"}))))))</f>
        <v>Rainwater</v>
      </c>
      <c r="F973">
        <f t="shared" ca="1" si="91"/>
        <v>53</v>
      </c>
      <c r="G973">
        <f t="shared" ca="1" si="92"/>
        <v>5.0999999999999996</v>
      </c>
      <c r="H973">
        <f t="shared" ca="1" si="93"/>
        <v>2200</v>
      </c>
      <c r="I973">
        <f t="shared" ca="1" si="94"/>
        <v>0.61235483953518999</v>
      </c>
      <c r="J973">
        <v>1</v>
      </c>
    </row>
    <row r="974" spans="1:10" x14ac:dyDescent="0.3">
      <c r="A974" t="str">
        <f t="shared" si="95"/>
        <v>HH973</v>
      </c>
      <c r="B974" t="str">
        <f ca="1">LOOKUP(RAND(),{0,0.28,0.55,0.78},{"Oloitoktok A","Oloitoktok B","Kiserian","Namanga"})</f>
        <v>Namanga</v>
      </c>
      <c r="C974">
        <f ca="1">LOOKUP(RAND(),{0,0.02,0.09,0.2,0.35,0.52,0.68,0.81,0.91,0.97},{1,2,3,4,5,6,7,8,9,10})</f>
        <v>7</v>
      </c>
      <c r="D974">
        <f t="shared" ca="1" si="90"/>
        <v>105200</v>
      </c>
      <c r="E974" t="str">
        <f ca="1">IF(B974="Oloitoktok A",IF(D974&lt;15000,LOOKUP(RAND(),{0,0.45,0.75,0.92},{"River","Rainwater","Borehole","Vendor"}),IF(D974&lt;30000,LOOKUP(RAND(),{0,0.35,0.65,0.85},{"River","Rainwater","Borehole","Vendor"}),LOOKUP(RAND(),{0,0.25,0.5,0.75},{"River","Rainwater","Borehole","Vendor"}))),IF(B974="Oloitoktok B",IF(D974&lt;15000,LOOKUP(RAND(),{0,0.5,0.78,0.94},{"River","Rainwater","Borehole","Vendor"}),IF(D974&lt;30000,LOOKUP(RAND(),{0,0.4,0.68,0.87},{"River","Rainwater","Borehole","Vendor"}),LOOKUP(RAND(),{0,0.28,0.55,0.78},{"River","Rainwater","Borehole","Vendor"}))),IF(B974="Kiserian",IF(D974&lt;15000,LOOKUP(RAND(),{0,0.35,0.65,0.9},{"River","Rainwater","Borehole","Vendor"}),IF(D974&lt;30000,LOOKUP(RAND(),{0,0.25,0.55,0.82},{"River","Rainwater","Borehole","Vendor"}),LOOKUP(RAND(),{0,0.15,0.45,0.72},{"River","Rainwater","Borehole","Vendor"}))),IF(D974&lt;15000,LOOKUP(RAND(),{0,0.4,0.7,0.92},{"River","Rainwater","Borehole","Vendor"}),IF(D974&lt;30000,LOOKUP(RAND(),{0,0.3,0.6,0.85},{"River","Rainwater","Borehole","Vendor"}),LOOKUP(RAND(),{0,0.2,0.5,0.75},{"River","Rainwater","Borehole","Vendor"}))))))</f>
        <v>Vendor</v>
      </c>
      <c r="F974">
        <f t="shared" ca="1" si="91"/>
        <v>24</v>
      </c>
      <c r="G974">
        <f t="shared" ca="1" si="92"/>
        <v>4.4000000000000004</v>
      </c>
      <c r="H974">
        <f t="shared" ca="1" si="93"/>
        <v>5300</v>
      </c>
      <c r="I974">
        <f t="shared" ca="1" si="94"/>
        <v>0.36113217387691354</v>
      </c>
      <c r="J974">
        <v>1</v>
      </c>
    </row>
    <row r="975" spans="1:10" x14ac:dyDescent="0.3">
      <c r="A975" t="str">
        <f t="shared" si="95"/>
        <v>HH974</v>
      </c>
      <c r="B975" t="str">
        <f ca="1">LOOKUP(RAND(),{0,0.28,0.55,0.78},{"Oloitoktok A","Oloitoktok B","Kiserian","Namanga"})</f>
        <v>Kiserian</v>
      </c>
      <c r="C975">
        <f ca="1">LOOKUP(RAND(),{0,0.02,0.09,0.2,0.35,0.52,0.68,0.81,0.91,0.97},{1,2,3,4,5,6,7,8,9,10})</f>
        <v>6</v>
      </c>
      <c r="D975">
        <f t="shared" ca="1" si="90"/>
        <v>47100</v>
      </c>
      <c r="E975" t="str">
        <f ca="1">IF(B975="Oloitoktok A",IF(D975&lt;15000,LOOKUP(RAND(),{0,0.45,0.75,0.92},{"River","Rainwater","Borehole","Vendor"}),IF(D975&lt;30000,LOOKUP(RAND(),{0,0.35,0.65,0.85},{"River","Rainwater","Borehole","Vendor"}),LOOKUP(RAND(),{0,0.25,0.5,0.75},{"River","Rainwater","Borehole","Vendor"}))),IF(B975="Oloitoktok B",IF(D975&lt;15000,LOOKUP(RAND(),{0,0.5,0.78,0.94},{"River","Rainwater","Borehole","Vendor"}),IF(D975&lt;30000,LOOKUP(RAND(),{0,0.4,0.68,0.87},{"River","Rainwater","Borehole","Vendor"}),LOOKUP(RAND(),{0,0.28,0.55,0.78},{"River","Rainwater","Borehole","Vendor"}))),IF(B975="Kiserian",IF(D975&lt;15000,LOOKUP(RAND(),{0,0.35,0.65,0.9},{"River","Rainwater","Borehole","Vendor"}),IF(D975&lt;30000,LOOKUP(RAND(),{0,0.25,0.55,0.82},{"River","Rainwater","Borehole","Vendor"}),LOOKUP(RAND(),{0,0.15,0.45,0.72},{"River","Rainwater","Borehole","Vendor"}))),IF(D975&lt;15000,LOOKUP(RAND(),{0,0.4,0.7,0.92},{"River","Rainwater","Borehole","Vendor"}),IF(D975&lt;30000,LOOKUP(RAND(),{0,0.3,0.6,0.85},{"River","Rainwater","Borehole","Vendor"}),LOOKUP(RAND(),{0,0.2,0.5,0.75},{"River","Rainwater","Borehole","Vendor"}))))))</f>
        <v>Rainwater</v>
      </c>
      <c r="F975">
        <f t="shared" ca="1" si="91"/>
        <v>42</v>
      </c>
      <c r="G975">
        <f t="shared" ca="1" si="92"/>
        <v>7.1</v>
      </c>
      <c r="H975">
        <f t="shared" ca="1" si="93"/>
        <v>900</v>
      </c>
      <c r="I975">
        <f t="shared" ca="1" si="94"/>
        <v>0.33839679812741552</v>
      </c>
      <c r="J975">
        <v>1</v>
      </c>
    </row>
    <row r="976" spans="1:10" x14ac:dyDescent="0.3">
      <c r="A976" t="str">
        <f t="shared" si="95"/>
        <v>HH975</v>
      </c>
      <c r="B976" t="str">
        <f ca="1">LOOKUP(RAND(),{0,0.28,0.55,0.78},{"Oloitoktok A","Oloitoktok B","Kiserian","Namanga"})</f>
        <v>Oloitoktok A</v>
      </c>
      <c r="C976">
        <f ca="1">LOOKUP(RAND(),{0,0.02,0.09,0.2,0.35,0.52,0.68,0.81,0.91,0.97},{1,2,3,4,5,6,7,8,9,10})</f>
        <v>3</v>
      </c>
      <c r="D976">
        <f t="shared" ca="1" si="90"/>
        <v>36400</v>
      </c>
      <c r="E976" t="str">
        <f ca="1">IF(B976="Oloitoktok A",IF(D976&lt;15000,LOOKUP(RAND(),{0,0.45,0.75,0.92},{"River","Rainwater","Borehole","Vendor"}),IF(D976&lt;30000,LOOKUP(RAND(),{0,0.35,0.65,0.85},{"River","Rainwater","Borehole","Vendor"}),LOOKUP(RAND(),{0,0.25,0.5,0.75},{"River","Rainwater","Borehole","Vendor"}))),IF(B976="Oloitoktok B",IF(D976&lt;15000,LOOKUP(RAND(),{0,0.5,0.78,0.94},{"River","Rainwater","Borehole","Vendor"}),IF(D976&lt;30000,LOOKUP(RAND(),{0,0.4,0.68,0.87},{"River","Rainwater","Borehole","Vendor"}),LOOKUP(RAND(),{0,0.28,0.55,0.78},{"River","Rainwater","Borehole","Vendor"}))),IF(B976="Kiserian",IF(D976&lt;15000,LOOKUP(RAND(),{0,0.35,0.65,0.9},{"River","Rainwater","Borehole","Vendor"}),IF(D976&lt;30000,LOOKUP(RAND(),{0,0.25,0.55,0.82},{"River","Rainwater","Borehole","Vendor"}),LOOKUP(RAND(),{0,0.15,0.45,0.72},{"River","Rainwater","Borehole","Vendor"}))),IF(D976&lt;15000,LOOKUP(RAND(),{0,0.4,0.7,0.92},{"River","Rainwater","Borehole","Vendor"}),IF(D976&lt;30000,LOOKUP(RAND(),{0,0.3,0.6,0.85},{"River","Rainwater","Borehole","Vendor"}),LOOKUP(RAND(),{0,0.2,0.5,0.75},{"River","Rainwater","Borehole","Vendor"}))))))</f>
        <v>Borehole</v>
      </c>
      <c r="F976">
        <f t="shared" ca="1" si="91"/>
        <v>20</v>
      </c>
      <c r="G976">
        <f t="shared" ca="1" si="92"/>
        <v>4.2</v>
      </c>
      <c r="H976">
        <f t="shared" ca="1" si="93"/>
        <v>2900</v>
      </c>
      <c r="I976">
        <f t="shared" ca="1" si="94"/>
        <v>0.53185313572378878</v>
      </c>
      <c r="J976">
        <v>1</v>
      </c>
    </row>
    <row r="977" spans="1:10" x14ac:dyDescent="0.3">
      <c r="A977" t="str">
        <f t="shared" si="95"/>
        <v>HH976</v>
      </c>
      <c r="B977" t="str">
        <f ca="1">LOOKUP(RAND(),{0,0.28,0.55,0.78},{"Oloitoktok A","Oloitoktok B","Kiserian","Namanga"})</f>
        <v>Oloitoktok B</v>
      </c>
      <c r="C977">
        <f ca="1">LOOKUP(RAND(),{0,0.02,0.09,0.2,0.35,0.52,0.68,0.81,0.91,0.97},{1,2,3,4,5,6,7,8,9,10})</f>
        <v>8</v>
      </c>
      <c r="D977">
        <f t="shared" ca="1" si="90"/>
        <v>49500</v>
      </c>
      <c r="E977" t="str">
        <f ca="1">IF(B977="Oloitoktok A",IF(D977&lt;15000,LOOKUP(RAND(),{0,0.45,0.75,0.92},{"River","Rainwater","Borehole","Vendor"}),IF(D977&lt;30000,LOOKUP(RAND(),{0,0.35,0.65,0.85},{"River","Rainwater","Borehole","Vendor"}),LOOKUP(RAND(),{0,0.25,0.5,0.75},{"River","Rainwater","Borehole","Vendor"}))),IF(B977="Oloitoktok B",IF(D977&lt;15000,LOOKUP(RAND(),{0,0.5,0.78,0.94},{"River","Rainwater","Borehole","Vendor"}),IF(D977&lt;30000,LOOKUP(RAND(),{0,0.4,0.68,0.87},{"River","Rainwater","Borehole","Vendor"}),LOOKUP(RAND(),{0,0.28,0.55,0.78},{"River","Rainwater","Borehole","Vendor"}))),IF(B977="Kiserian",IF(D977&lt;15000,LOOKUP(RAND(),{0,0.35,0.65,0.9},{"River","Rainwater","Borehole","Vendor"}),IF(D977&lt;30000,LOOKUP(RAND(),{0,0.25,0.55,0.82},{"River","Rainwater","Borehole","Vendor"}),LOOKUP(RAND(),{0,0.15,0.45,0.72},{"River","Rainwater","Borehole","Vendor"}))),IF(D977&lt;15000,LOOKUP(RAND(),{0,0.4,0.7,0.92},{"River","Rainwater","Borehole","Vendor"}),IF(D977&lt;30000,LOOKUP(RAND(),{0,0.3,0.6,0.85},{"River","Rainwater","Borehole","Vendor"}),LOOKUP(RAND(),{0,0.2,0.5,0.75},{"River","Rainwater","Borehole","Vendor"}))))))</f>
        <v>Borehole</v>
      </c>
      <c r="F977">
        <f t="shared" ca="1" si="91"/>
        <v>53</v>
      </c>
      <c r="G977">
        <f t="shared" ca="1" si="92"/>
        <v>4.2</v>
      </c>
      <c r="H977">
        <f t="shared" ca="1" si="93"/>
        <v>4900</v>
      </c>
      <c r="I977">
        <f t="shared" ca="1" si="94"/>
        <v>0.32327972879943301</v>
      </c>
      <c r="J977">
        <v>1</v>
      </c>
    </row>
    <row r="978" spans="1:10" x14ac:dyDescent="0.3">
      <c r="A978" t="str">
        <f t="shared" si="95"/>
        <v>HH977</v>
      </c>
      <c r="B978" t="str">
        <f ca="1">LOOKUP(RAND(),{0,0.28,0.55,0.78},{"Oloitoktok A","Oloitoktok B","Kiserian","Namanga"})</f>
        <v>Oloitoktok A</v>
      </c>
      <c r="C978">
        <f ca="1">LOOKUP(RAND(),{0,0.02,0.09,0.2,0.35,0.52,0.68,0.81,0.91,0.97},{1,2,3,4,5,6,7,8,9,10})</f>
        <v>5</v>
      </c>
      <c r="D978">
        <f t="shared" ca="1" si="90"/>
        <v>16800</v>
      </c>
      <c r="E978" t="str">
        <f ca="1">IF(B978="Oloitoktok A",IF(D978&lt;15000,LOOKUP(RAND(),{0,0.45,0.75,0.92},{"River","Rainwater","Borehole","Vendor"}),IF(D978&lt;30000,LOOKUP(RAND(),{0,0.35,0.65,0.85},{"River","Rainwater","Borehole","Vendor"}),LOOKUP(RAND(),{0,0.25,0.5,0.75},{"River","Rainwater","Borehole","Vendor"}))),IF(B978="Oloitoktok B",IF(D978&lt;15000,LOOKUP(RAND(),{0,0.5,0.78,0.94},{"River","Rainwater","Borehole","Vendor"}),IF(D978&lt;30000,LOOKUP(RAND(),{0,0.4,0.68,0.87},{"River","Rainwater","Borehole","Vendor"}),LOOKUP(RAND(),{0,0.28,0.55,0.78},{"River","Rainwater","Borehole","Vendor"}))),IF(B978="Kiserian",IF(D978&lt;15000,LOOKUP(RAND(),{0,0.35,0.65,0.9},{"River","Rainwater","Borehole","Vendor"}),IF(D978&lt;30000,LOOKUP(RAND(),{0,0.25,0.55,0.82},{"River","Rainwater","Borehole","Vendor"}),LOOKUP(RAND(),{0,0.15,0.45,0.72},{"River","Rainwater","Borehole","Vendor"}))),IF(D978&lt;15000,LOOKUP(RAND(),{0,0.4,0.7,0.92},{"River","Rainwater","Borehole","Vendor"}),IF(D978&lt;30000,LOOKUP(RAND(),{0,0.3,0.6,0.85},{"River","Rainwater","Borehole","Vendor"}),LOOKUP(RAND(),{0,0.2,0.5,0.75},{"River","Rainwater","Borehole","Vendor"}))))))</f>
        <v>River</v>
      </c>
      <c r="F978">
        <f t="shared" ca="1" si="91"/>
        <v>88</v>
      </c>
      <c r="G978">
        <f t="shared" ca="1" si="92"/>
        <v>5.0999999999999996</v>
      </c>
      <c r="H978">
        <f t="shared" ca="1" si="93"/>
        <v>0</v>
      </c>
      <c r="I978">
        <f t="shared" ca="1" si="94"/>
        <v>0.23809735732331128</v>
      </c>
      <c r="J978">
        <v>1</v>
      </c>
    </row>
    <row r="979" spans="1:10" x14ac:dyDescent="0.3">
      <c r="A979" t="str">
        <f t="shared" si="95"/>
        <v>HH978</v>
      </c>
      <c r="B979" t="str">
        <f ca="1">LOOKUP(RAND(),{0,0.28,0.55,0.78},{"Oloitoktok A","Oloitoktok B","Kiserian","Namanga"})</f>
        <v>Oloitoktok A</v>
      </c>
      <c r="C979">
        <f ca="1">LOOKUP(RAND(),{0,0.02,0.09,0.2,0.35,0.52,0.68,0.81,0.91,0.97},{1,2,3,4,5,6,7,8,9,10})</f>
        <v>6</v>
      </c>
      <c r="D979">
        <f t="shared" ca="1" si="90"/>
        <v>47800</v>
      </c>
      <c r="E979" t="str">
        <f ca="1">IF(B979="Oloitoktok A",IF(D979&lt;15000,LOOKUP(RAND(),{0,0.45,0.75,0.92},{"River","Rainwater","Borehole","Vendor"}),IF(D979&lt;30000,LOOKUP(RAND(),{0,0.35,0.65,0.85},{"River","Rainwater","Borehole","Vendor"}),LOOKUP(RAND(),{0,0.25,0.5,0.75},{"River","Rainwater","Borehole","Vendor"}))),IF(B979="Oloitoktok B",IF(D979&lt;15000,LOOKUP(RAND(),{0,0.5,0.78,0.94},{"River","Rainwater","Borehole","Vendor"}),IF(D979&lt;30000,LOOKUP(RAND(),{0,0.4,0.68,0.87},{"River","Rainwater","Borehole","Vendor"}),LOOKUP(RAND(),{0,0.28,0.55,0.78},{"River","Rainwater","Borehole","Vendor"}))),IF(B979="Kiserian",IF(D979&lt;15000,LOOKUP(RAND(),{0,0.35,0.65,0.9},{"River","Rainwater","Borehole","Vendor"}),IF(D979&lt;30000,LOOKUP(RAND(),{0,0.25,0.55,0.82},{"River","Rainwater","Borehole","Vendor"}),LOOKUP(RAND(),{0,0.15,0.45,0.72},{"River","Rainwater","Borehole","Vendor"}))),IF(D979&lt;15000,LOOKUP(RAND(),{0,0.4,0.7,0.92},{"River","Rainwater","Borehole","Vendor"}),IF(D979&lt;30000,LOOKUP(RAND(),{0,0.3,0.6,0.85},{"River","Rainwater","Borehole","Vendor"}),LOOKUP(RAND(),{0,0.2,0.5,0.75},{"River","Rainwater","Borehole","Vendor"}))))))</f>
        <v>Borehole</v>
      </c>
      <c r="F979">
        <f t="shared" ca="1" si="91"/>
        <v>43</v>
      </c>
      <c r="G979">
        <f t="shared" ca="1" si="92"/>
        <v>10.199999999999999</v>
      </c>
      <c r="H979">
        <f t="shared" ca="1" si="93"/>
        <v>1400</v>
      </c>
      <c r="I979">
        <f t="shared" ca="1" si="94"/>
        <v>0.47860459629237129</v>
      </c>
      <c r="J979">
        <v>1</v>
      </c>
    </row>
    <row r="980" spans="1:10" x14ac:dyDescent="0.3">
      <c r="A980" t="str">
        <f t="shared" si="95"/>
        <v>HH979</v>
      </c>
      <c r="B980" t="str">
        <f ca="1">LOOKUP(RAND(),{0,0.28,0.55,0.78},{"Oloitoktok A","Oloitoktok B","Kiserian","Namanga"})</f>
        <v>Namanga</v>
      </c>
      <c r="C980">
        <f ca="1">LOOKUP(RAND(),{0,0.02,0.09,0.2,0.35,0.52,0.68,0.81,0.91,0.97},{1,2,3,4,5,6,7,8,9,10})</f>
        <v>4</v>
      </c>
      <c r="D980">
        <f t="shared" ca="1" si="90"/>
        <v>37200</v>
      </c>
      <c r="E980" t="str">
        <f ca="1">IF(B980="Oloitoktok A",IF(D980&lt;15000,LOOKUP(RAND(),{0,0.45,0.75,0.92},{"River","Rainwater","Borehole","Vendor"}),IF(D980&lt;30000,LOOKUP(RAND(),{0,0.35,0.65,0.85},{"River","Rainwater","Borehole","Vendor"}),LOOKUP(RAND(),{0,0.25,0.5,0.75},{"River","Rainwater","Borehole","Vendor"}))),IF(B980="Oloitoktok B",IF(D980&lt;15000,LOOKUP(RAND(),{0,0.5,0.78,0.94},{"River","Rainwater","Borehole","Vendor"}),IF(D980&lt;30000,LOOKUP(RAND(),{0,0.4,0.68,0.87},{"River","Rainwater","Borehole","Vendor"}),LOOKUP(RAND(),{0,0.28,0.55,0.78},{"River","Rainwater","Borehole","Vendor"}))),IF(B980="Kiserian",IF(D980&lt;15000,LOOKUP(RAND(),{0,0.35,0.65,0.9},{"River","Rainwater","Borehole","Vendor"}),IF(D980&lt;30000,LOOKUP(RAND(),{0,0.25,0.55,0.82},{"River","Rainwater","Borehole","Vendor"}),LOOKUP(RAND(),{0,0.15,0.45,0.72},{"River","Rainwater","Borehole","Vendor"}))),IF(D980&lt;15000,LOOKUP(RAND(),{0,0.4,0.7,0.92},{"River","Rainwater","Borehole","Vendor"}),IF(D980&lt;30000,LOOKUP(RAND(),{0,0.3,0.6,0.85},{"River","Rainwater","Borehole","Vendor"}),LOOKUP(RAND(),{0,0.2,0.5,0.75},{"River","Rainwater","Borehole","Vendor"}))))))</f>
        <v>River</v>
      </c>
      <c r="F980">
        <f t="shared" ca="1" si="91"/>
        <v>59</v>
      </c>
      <c r="G980">
        <f t="shared" ca="1" si="92"/>
        <v>6.3</v>
      </c>
      <c r="H980">
        <f t="shared" ca="1" si="93"/>
        <v>7800</v>
      </c>
      <c r="I980">
        <f t="shared" ca="1" si="94"/>
        <v>0.74887341388510043</v>
      </c>
      <c r="J980">
        <v>1</v>
      </c>
    </row>
    <row r="981" spans="1:10" x14ac:dyDescent="0.3">
      <c r="A981" t="str">
        <f t="shared" si="95"/>
        <v>HH980</v>
      </c>
      <c r="B981" t="str">
        <f ca="1">LOOKUP(RAND(),{0,0.28,0.55,0.78},{"Oloitoktok A","Oloitoktok B","Kiserian","Namanga"})</f>
        <v>Kiserian</v>
      </c>
      <c r="C981">
        <f ca="1">LOOKUP(RAND(),{0,0.02,0.09,0.2,0.35,0.52,0.68,0.81,0.91,0.97},{1,2,3,4,5,6,7,8,9,10})</f>
        <v>6</v>
      </c>
      <c r="D981">
        <f t="shared" ca="1" si="90"/>
        <v>19900</v>
      </c>
      <c r="E981" t="str">
        <f ca="1">IF(B981="Oloitoktok A",IF(D981&lt;15000,LOOKUP(RAND(),{0,0.45,0.75,0.92},{"River","Rainwater","Borehole","Vendor"}),IF(D981&lt;30000,LOOKUP(RAND(),{0,0.35,0.65,0.85},{"River","Rainwater","Borehole","Vendor"}),LOOKUP(RAND(),{0,0.25,0.5,0.75},{"River","Rainwater","Borehole","Vendor"}))),IF(B981="Oloitoktok B",IF(D981&lt;15000,LOOKUP(RAND(),{0,0.5,0.78,0.94},{"River","Rainwater","Borehole","Vendor"}),IF(D981&lt;30000,LOOKUP(RAND(),{0,0.4,0.68,0.87},{"River","Rainwater","Borehole","Vendor"}),LOOKUP(RAND(),{0,0.28,0.55,0.78},{"River","Rainwater","Borehole","Vendor"}))),IF(B981="Kiserian",IF(D981&lt;15000,LOOKUP(RAND(),{0,0.35,0.65,0.9},{"River","Rainwater","Borehole","Vendor"}),IF(D981&lt;30000,LOOKUP(RAND(),{0,0.25,0.55,0.82},{"River","Rainwater","Borehole","Vendor"}),LOOKUP(RAND(),{0,0.15,0.45,0.72},{"River","Rainwater","Borehole","Vendor"}))),IF(D981&lt;15000,LOOKUP(RAND(),{0,0.4,0.7,0.92},{"River","Rainwater","Borehole","Vendor"}),IF(D981&lt;30000,LOOKUP(RAND(),{0,0.3,0.6,0.85},{"River","Rainwater","Borehole","Vendor"}),LOOKUP(RAND(),{0,0.2,0.5,0.75},{"River","Rainwater","Borehole","Vendor"}))))))</f>
        <v>Rainwater</v>
      </c>
      <c r="F981">
        <f t="shared" ca="1" si="91"/>
        <v>39</v>
      </c>
      <c r="G981">
        <f t="shared" ca="1" si="92"/>
        <v>9.1</v>
      </c>
      <c r="H981">
        <f t="shared" ca="1" si="93"/>
        <v>5600</v>
      </c>
      <c r="I981">
        <f t="shared" ca="1" si="94"/>
        <v>0.98345739477959715</v>
      </c>
      <c r="J981">
        <v>1</v>
      </c>
    </row>
    <row r="982" spans="1:10" x14ac:dyDescent="0.3">
      <c r="A982" t="str">
        <f t="shared" si="95"/>
        <v>HH981</v>
      </c>
      <c r="B982" t="str">
        <f ca="1">LOOKUP(RAND(),{0,0.28,0.55,0.78},{"Oloitoktok A","Oloitoktok B","Kiserian","Namanga"})</f>
        <v>Oloitoktok A</v>
      </c>
      <c r="C982">
        <f ca="1">LOOKUP(RAND(),{0,0.02,0.09,0.2,0.35,0.52,0.68,0.81,0.91,0.97},{1,2,3,4,5,6,7,8,9,10})</f>
        <v>7</v>
      </c>
      <c r="D982">
        <f t="shared" ca="1" si="90"/>
        <v>82500</v>
      </c>
      <c r="E982" t="str">
        <f ca="1">IF(B982="Oloitoktok A",IF(D982&lt;15000,LOOKUP(RAND(),{0,0.45,0.75,0.92},{"River","Rainwater","Borehole","Vendor"}),IF(D982&lt;30000,LOOKUP(RAND(),{0,0.35,0.65,0.85},{"River","Rainwater","Borehole","Vendor"}),LOOKUP(RAND(),{0,0.25,0.5,0.75},{"River","Rainwater","Borehole","Vendor"}))),IF(B982="Oloitoktok B",IF(D982&lt;15000,LOOKUP(RAND(),{0,0.5,0.78,0.94},{"River","Rainwater","Borehole","Vendor"}),IF(D982&lt;30000,LOOKUP(RAND(),{0,0.4,0.68,0.87},{"River","Rainwater","Borehole","Vendor"}),LOOKUP(RAND(),{0,0.28,0.55,0.78},{"River","Rainwater","Borehole","Vendor"}))),IF(B982="Kiserian",IF(D982&lt;15000,LOOKUP(RAND(),{0,0.35,0.65,0.9},{"River","Rainwater","Borehole","Vendor"}),IF(D982&lt;30000,LOOKUP(RAND(),{0,0.25,0.55,0.82},{"River","Rainwater","Borehole","Vendor"}),LOOKUP(RAND(),{0,0.15,0.45,0.72},{"River","Rainwater","Borehole","Vendor"}))),IF(D982&lt;15000,LOOKUP(RAND(),{0,0.4,0.7,0.92},{"River","Rainwater","Borehole","Vendor"}),IF(D982&lt;30000,LOOKUP(RAND(),{0,0.3,0.6,0.85},{"River","Rainwater","Borehole","Vendor"}),LOOKUP(RAND(),{0,0.2,0.5,0.75},{"River","Rainwater","Borehole","Vendor"}))))))</f>
        <v>River</v>
      </c>
      <c r="F982">
        <f t="shared" ca="1" si="91"/>
        <v>54</v>
      </c>
      <c r="G982">
        <f t="shared" ca="1" si="92"/>
        <v>9.5</v>
      </c>
      <c r="H982">
        <f t="shared" ca="1" si="93"/>
        <v>5000</v>
      </c>
      <c r="I982">
        <f t="shared" ca="1" si="94"/>
        <v>0.40263830552671498</v>
      </c>
      <c r="J982">
        <v>1</v>
      </c>
    </row>
    <row r="983" spans="1:10" x14ac:dyDescent="0.3">
      <c r="A983" t="str">
        <f t="shared" si="95"/>
        <v>HH982</v>
      </c>
      <c r="B983" t="str">
        <f ca="1">LOOKUP(RAND(),{0,0.28,0.55,0.78},{"Oloitoktok A","Oloitoktok B","Kiserian","Namanga"})</f>
        <v>Namanga</v>
      </c>
      <c r="C983">
        <f ca="1">LOOKUP(RAND(),{0,0.02,0.09,0.2,0.35,0.52,0.68,0.81,0.91,0.97},{1,2,3,4,5,6,7,8,9,10})</f>
        <v>5</v>
      </c>
      <c r="D983">
        <f t="shared" ca="1" si="90"/>
        <v>26600</v>
      </c>
      <c r="E983" t="str">
        <f ca="1">IF(B983="Oloitoktok A",IF(D983&lt;15000,LOOKUP(RAND(),{0,0.45,0.75,0.92},{"River","Rainwater","Borehole","Vendor"}),IF(D983&lt;30000,LOOKUP(RAND(),{0,0.35,0.65,0.85},{"River","Rainwater","Borehole","Vendor"}),LOOKUP(RAND(),{0,0.25,0.5,0.75},{"River","Rainwater","Borehole","Vendor"}))),IF(B983="Oloitoktok B",IF(D983&lt;15000,LOOKUP(RAND(),{0,0.5,0.78,0.94},{"River","Rainwater","Borehole","Vendor"}),IF(D983&lt;30000,LOOKUP(RAND(),{0,0.4,0.68,0.87},{"River","Rainwater","Borehole","Vendor"}),LOOKUP(RAND(),{0,0.28,0.55,0.78},{"River","Rainwater","Borehole","Vendor"}))),IF(B983="Kiserian",IF(D983&lt;15000,LOOKUP(RAND(),{0,0.35,0.65,0.9},{"River","Rainwater","Borehole","Vendor"}),IF(D983&lt;30000,LOOKUP(RAND(),{0,0.25,0.55,0.82},{"River","Rainwater","Borehole","Vendor"}),LOOKUP(RAND(),{0,0.15,0.45,0.72},{"River","Rainwater","Borehole","Vendor"}))),IF(D983&lt;15000,LOOKUP(RAND(),{0,0.4,0.7,0.92},{"River","Rainwater","Borehole","Vendor"}),IF(D983&lt;30000,LOOKUP(RAND(),{0,0.3,0.6,0.85},{"River","Rainwater","Borehole","Vendor"}),LOOKUP(RAND(),{0,0.2,0.5,0.75},{"River","Rainwater","Borehole","Vendor"}))))))</f>
        <v>River</v>
      </c>
      <c r="F983">
        <f t="shared" ca="1" si="91"/>
        <v>93</v>
      </c>
      <c r="G983">
        <f t="shared" ca="1" si="92"/>
        <v>2.5</v>
      </c>
      <c r="H983">
        <f t="shared" ca="1" si="93"/>
        <v>3900</v>
      </c>
      <c r="I983">
        <f t="shared" ca="1" si="94"/>
        <v>0.86271917934959064</v>
      </c>
      <c r="J983">
        <v>1</v>
      </c>
    </row>
    <row r="984" spans="1:10" x14ac:dyDescent="0.3">
      <c r="A984" t="str">
        <f t="shared" si="95"/>
        <v>HH983</v>
      </c>
      <c r="B984" t="str">
        <f ca="1">LOOKUP(RAND(),{0,0.28,0.55,0.78},{"Oloitoktok A","Oloitoktok B","Kiserian","Namanga"})</f>
        <v>Oloitoktok A</v>
      </c>
      <c r="C984">
        <f ca="1">LOOKUP(RAND(),{0,0.02,0.09,0.2,0.35,0.52,0.68,0.81,0.91,0.97},{1,2,3,4,5,6,7,8,9,10})</f>
        <v>5</v>
      </c>
      <c r="D984">
        <f t="shared" ca="1" si="90"/>
        <v>14500</v>
      </c>
      <c r="E984" t="str">
        <f ca="1">IF(B984="Oloitoktok A",IF(D984&lt;15000,LOOKUP(RAND(),{0,0.45,0.75,0.92},{"River","Rainwater","Borehole","Vendor"}),IF(D984&lt;30000,LOOKUP(RAND(),{0,0.35,0.65,0.85},{"River","Rainwater","Borehole","Vendor"}),LOOKUP(RAND(),{0,0.25,0.5,0.75},{"River","Rainwater","Borehole","Vendor"}))),IF(B984="Oloitoktok B",IF(D984&lt;15000,LOOKUP(RAND(),{0,0.5,0.78,0.94},{"River","Rainwater","Borehole","Vendor"}),IF(D984&lt;30000,LOOKUP(RAND(),{0,0.4,0.68,0.87},{"River","Rainwater","Borehole","Vendor"}),LOOKUP(RAND(),{0,0.28,0.55,0.78},{"River","Rainwater","Borehole","Vendor"}))),IF(B984="Kiserian",IF(D984&lt;15000,LOOKUP(RAND(),{0,0.35,0.65,0.9},{"River","Rainwater","Borehole","Vendor"}),IF(D984&lt;30000,LOOKUP(RAND(),{0,0.25,0.55,0.82},{"River","Rainwater","Borehole","Vendor"}),LOOKUP(RAND(),{0,0.15,0.45,0.72},{"River","Rainwater","Borehole","Vendor"}))),IF(D984&lt;15000,LOOKUP(RAND(),{0,0.4,0.7,0.92},{"River","Rainwater","Borehole","Vendor"}),IF(D984&lt;30000,LOOKUP(RAND(),{0,0.3,0.6,0.85},{"River","Rainwater","Borehole","Vendor"}),LOOKUP(RAND(),{0,0.2,0.5,0.75},{"River","Rainwater","Borehole","Vendor"}))))))</f>
        <v>River</v>
      </c>
      <c r="F984">
        <f t="shared" ca="1" si="91"/>
        <v>89</v>
      </c>
      <c r="G984">
        <f t="shared" ca="1" si="92"/>
        <v>14.4</v>
      </c>
      <c r="H984">
        <f t="shared" ca="1" si="93"/>
        <v>900</v>
      </c>
      <c r="I984">
        <f t="shared" ca="1" si="94"/>
        <v>0.66422952356430798</v>
      </c>
      <c r="J984">
        <v>1</v>
      </c>
    </row>
    <row r="985" spans="1:10" x14ac:dyDescent="0.3">
      <c r="A985" t="str">
        <f t="shared" si="95"/>
        <v>HH984</v>
      </c>
      <c r="B985" t="str">
        <f ca="1">LOOKUP(RAND(),{0,0.28,0.55,0.78},{"Oloitoktok A","Oloitoktok B","Kiserian","Namanga"})</f>
        <v>Kiserian</v>
      </c>
      <c r="C985">
        <f ca="1">LOOKUP(RAND(),{0,0.02,0.09,0.2,0.35,0.52,0.68,0.81,0.91,0.97},{1,2,3,4,5,6,7,8,9,10})</f>
        <v>6</v>
      </c>
      <c r="D985">
        <f t="shared" ca="1" si="90"/>
        <v>51300</v>
      </c>
      <c r="E985" t="str">
        <f ca="1">IF(B985="Oloitoktok A",IF(D985&lt;15000,LOOKUP(RAND(),{0,0.45,0.75,0.92},{"River","Rainwater","Borehole","Vendor"}),IF(D985&lt;30000,LOOKUP(RAND(),{0,0.35,0.65,0.85},{"River","Rainwater","Borehole","Vendor"}),LOOKUP(RAND(),{0,0.25,0.5,0.75},{"River","Rainwater","Borehole","Vendor"}))),IF(B985="Oloitoktok B",IF(D985&lt;15000,LOOKUP(RAND(),{0,0.5,0.78,0.94},{"River","Rainwater","Borehole","Vendor"}),IF(D985&lt;30000,LOOKUP(RAND(),{0,0.4,0.68,0.87},{"River","Rainwater","Borehole","Vendor"}),LOOKUP(RAND(),{0,0.28,0.55,0.78},{"River","Rainwater","Borehole","Vendor"}))),IF(B985="Kiserian",IF(D985&lt;15000,LOOKUP(RAND(),{0,0.35,0.65,0.9},{"River","Rainwater","Borehole","Vendor"}),IF(D985&lt;30000,LOOKUP(RAND(),{0,0.25,0.55,0.82},{"River","Rainwater","Borehole","Vendor"}),LOOKUP(RAND(),{0,0.15,0.45,0.72},{"River","Rainwater","Borehole","Vendor"}))),IF(D985&lt;15000,LOOKUP(RAND(),{0,0.4,0.7,0.92},{"River","Rainwater","Borehole","Vendor"}),IF(D985&lt;30000,LOOKUP(RAND(),{0,0.3,0.6,0.85},{"River","Rainwater","Borehole","Vendor"}),LOOKUP(RAND(),{0,0.2,0.5,0.75},{"River","Rainwater","Borehole","Vendor"}))))))</f>
        <v>Borehole</v>
      </c>
      <c r="F985">
        <f t="shared" ca="1" si="91"/>
        <v>44</v>
      </c>
      <c r="G985">
        <f t="shared" ca="1" si="92"/>
        <v>5.6</v>
      </c>
      <c r="H985">
        <f t="shared" ca="1" si="93"/>
        <v>7200</v>
      </c>
      <c r="I985">
        <f t="shared" ca="1" si="94"/>
        <v>0.62301688208826989</v>
      </c>
      <c r="J985">
        <v>1</v>
      </c>
    </row>
    <row r="986" spans="1:10" x14ac:dyDescent="0.3">
      <c r="A986" t="str">
        <f t="shared" si="95"/>
        <v>HH985</v>
      </c>
      <c r="B986" t="str">
        <f ca="1">LOOKUP(RAND(),{0,0.28,0.55,0.78},{"Oloitoktok A","Oloitoktok B","Kiserian","Namanga"})</f>
        <v>Namanga</v>
      </c>
      <c r="C986">
        <f ca="1">LOOKUP(RAND(),{0,0.02,0.09,0.2,0.35,0.52,0.68,0.81,0.91,0.97},{1,2,3,4,5,6,7,8,9,10})</f>
        <v>3</v>
      </c>
      <c r="D986">
        <f t="shared" ca="1" si="90"/>
        <v>55600</v>
      </c>
      <c r="E986" t="str">
        <f ca="1">IF(B986="Oloitoktok A",IF(D986&lt;15000,LOOKUP(RAND(),{0,0.45,0.75,0.92},{"River","Rainwater","Borehole","Vendor"}),IF(D986&lt;30000,LOOKUP(RAND(),{0,0.35,0.65,0.85},{"River","Rainwater","Borehole","Vendor"}),LOOKUP(RAND(),{0,0.25,0.5,0.75},{"River","Rainwater","Borehole","Vendor"}))),IF(B986="Oloitoktok B",IF(D986&lt;15000,LOOKUP(RAND(),{0,0.5,0.78,0.94},{"River","Rainwater","Borehole","Vendor"}),IF(D986&lt;30000,LOOKUP(RAND(),{0,0.4,0.68,0.87},{"River","Rainwater","Borehole","Vendor"}),LOOKUP(RAND(),{0,0.28,0.55,0.78},{"River","Rainwater","Borehole","Vendor"}))),IF(B986="Kiserian",IF(D986&lt;15000,LOOKUP(RAND(),{0,0.35,0.65,0.9},{"River","Rainwater","Borehole","Vendor"}),IF(D986&lt;30000,LOOKUP(RAND(),{0,0.25,0.55,0.82},{"River","Rainwater","Borehole","Vendor"}),LOOKUP(RAND(),{0,0.15,0.45,0.72},{"River","Rainwater","Borehole","Vendor"}))),IF(D986&lt;15000,LOOKUP(RAND(),{0,0.4,0.7,0.92},{"River","Rainwater","Borehole","Vendor"}),IF(D986&lt;30000,LOOKUP(RAND(),{0,0.3,0.6,0.85},{"River","Rainwater","Borehole","Vendor"}),LOOKUP(RAND(),{0,0.2,0.5,0.75},{"River","Rainwater","Borehole","Vendor"}))))))</f>
        <v>Rainwater</v>
      </c>
      <c r="F986">
        <f t="shared" ca="1" si="91"/>
        <v>48</v>
      </c>
      <c r="G986">
        <f t="shared" ca="1" si="92"/>
        <v>0.9</v>
      </c>
      <c r="H986">
        <f t="shared" ca="1" si="93"/>
        <v>4100</v>
      </c>
      <c r="I986">
        <f t="shared" ca="1" si="94"/>
        <v>0.76405762635047869</v>
      </c>
      <c r="J986">
        <v>1</v>
      </c>
    </row>
    <row r="987" spans="1:10" x14ac:dyDescent="0.3">
      <c r="A987" t="str">
        <f t="shared" si="95"/>
        <v>HH986</v>
      </c>
      <c r="B987" t="str">
        <f ca="1">LOOKUP(RAND(),{0,0.28,0.55,0.78},{"Oloitoktok A","Oloitoktok B","Kiserian","Namanga"})</f>
        <v>Oloitoktok B</v>
      </c>
      <c r="C987">
        <f ca="1">LOOKUP(RAND(),{0,0.02,0.09,0.2,0.35,0.52,0.68,0.81,0.91,0.97},{1,2,3,4,5,6,7,8,9,10})</f>
        <v>3</v>
      </c>
      <c r="D987">
        <f t="shared" ca="1" si="90"/>
        <v>65400</v>
      </c>
      <c r="E987" t="str">
        <f ca="1">IF(B987="Oloitoktok A",IF(D987&lt;15000,LOOKUP(RAND(),{0,0.45,0.75,0.92},{"River","Rainwater","Borehole","Vendor"}),IF(D987&lt;30000,LOOKUP(RAND(),{0,0.35,0.65,0.85},{"River","Rainwater","Borehole","Vendor"}),LOOKUP(RAND(),{0,0.25,0.5,0.75},{"River","Rainwater","Borehole","Vendor"}))),IF(B987="Oloitoktok B",IF(D987&lt;15000,LOOKUP(RAND(),{0,0.5,0.78,0.94},{"River","Rainwater","Borehole","Vendor"}),IF(D987&lt;30000,LOOKUP(RAND(),{0,0.4,0.68,0.87},{"River","Rainwater","Borehole","Vendor"}),LOOKUP(RAND(),{0,0.28,0.55,0.78},{"River","Rainwater","Borehole","Vendor"}))),IF(B987="Kiserian",IF(D987&lt;15000,LOOKUP(RAND(),{0,0.35,0.65,0.9},{"River","Rainwater","Borehole","Vendor"}),IF(D987&lt;30000,LOOKUP(RAND(),{0,0.25,0.55,0.82},{"River","Rainwater","Borehole","Vendor"}),LOOKUP(RAND(),{0,0.15,0.45,0.72},{"River","Rainwater","Borehole","Vendor"}))),IF(D987&lt;15000,LOOKUP(RAND(),{0,0.4,0.7,0.92},{"River","Rainwater","Borehole","Vendor"}),IF(D987&lt;30000,LOOKUP(RAND(),{0,0.3,0.6,0.85},{"River","Rainwater","Borehole","Vendor"}),LOOKUP(RAND(),{0,0.2,0.5,0.75},{"River","Rainwater","Borehole","Vendor"}))))))</f>
        <v>River</v>
      </c>
      <c r="F987">
        <f t="shared" ca="1" si="91"/>
        <v>76</v>
      </c>
      <c r="G987">
        <f t="shared" ca="1" si="92"/>
        <v>0.7</v>
      </c>
      <c r="H987">
        <f t="shared" ca="1" si="93"/>
        <v>10800</v>
      </c>
      <c r="I987">
        <f t="shared" ca="1" si="94"/>
        <v>0.82011031293807968</v>
      </c>
      <c r="J987">
        <v>1</v>
      </c>
    </row>
    <row r="988" spans="1:10" x14ac:dyDescent="0.3">
      <c r="A988" t="str">
        <f t="shared" si="95"/>
        <v>HH987</v>
      </c>
      <c r="B988" t="str">
        <f ca="1">LOOKUP(RAND(),{0,0.28,0.55,0.78},{"Oloitoktok A","Oloitoktok B","Kiserian","Namanga"})</f>
        <v>Oloitoktok A</v>
      </c>
      <c r="C988">
        <f ca="1">LOOKUP(RAND(),{0,0.02,0.09,0.2,0.35,0.52,0.68,0.81,0.91,0.97},{1,2,3,4,5,6,7,8,9,10})</f>
        <v>4</v>
      </c>
      <c r="D988">
        <f t="shared" ca="1" si="90"/>
        <v>26100</v>
      </c>
      <c r="E988" t="str">
        <f ca="1">IF(B988="Oloitoktok A",IF(D988&lt;15000,LOOKUP(RAND(),{0,0.45,0.75,0.92},{"River","Rainwater","Borehole","Vendor"}),IF(D988&lt;30000,LOOKUP(RAND(),{0,0.35,0.65,0.85},{"River","Rainwater","Borehole","Vendor"}),LOOKUP(RAND(),{0,0.25,0.5,0.75},{"River","Rainwater","Borehole","Vendor"}))),IF(B988="Oloitoktok B",IF(D988&lt;15000,LOOKUP(RAND(),{0,0.5,0.78,0.94},{"River","Rainwater","Borehole","Vendor"}),IF(D988&lt;30000,LOOKUP(RAND(),{0,0.4,0.68,0.87},{"River","Rainwater","Borehole","Vendor"}),LOOKUP(RAND(),{0,0.28,0.55,0.78},{"River","Rainwater","Borehole","Vendor"}))),IF(B988="Kiserian",IF(D988&lt;15000,LOOKUP(RAND(),{0,0.35,0.65,0.9},{"River","Rainwater","Borehole","Vendor"}),IF(D988&lt;30000,LOOKUP(RAND(),{0,0.25,0.55,0.82},{"River","Rainwater","Borehole","Vendor"}),LOOKUP(RAND(),{0,0.15,0.45,0.72},{"River","Rainwater","Borehole","Vendor"}))),IF(D988&lt;15000,LOOKUP(RAND(),{0,0.4,0.7,0.92},{"River","Rainwater","Borehole","Vendor"}),IF(D988&lt;30000,LOOKUP(RAND(),{0,0.3,0.6,0.85},{"River","Rainwater","Borehole","Vendor"}),LOOKUP(RAND(),{0,0.2,0.5,0.75},{"River","Rainwater","Borehole","Vendor"}))))))</f>
        <v>Rainwater</v>
      </c>
      <c r="F988">
        <f t="shared" ca="1" si="91"/>
        <v>21</v>
      </c>
      <c r="G988">
        <f t="shared" ca="1" si="92"/>
        <v>13.4</v>
      </c>
      <c r="H988">
        <f t="shared" ca="1" si="93"/>
        <v>7900</v>
      </c>
      <c r="I988">
        <f t="shared" ca="1" si="94"/>
        <v>0.92112419653127464</v>
      </c>
      <c r="J988">
        <v>1</v>
      </c>
    </row>
    <row r="989" spans="1:10" x14ac:dyDescent="0.3">
      <c r="A989" t="str">
        <f t="shared" si="95"/>
        <v>HH988</v>
      </c>
      <c r="B989" t="str">
        <f ca="1">LOOKUP(RAND(),{0,0.28,0.55,0.78},{"Oloitoktok A","Oloitoktok B","Kiserian","Namanga"})</f>
        <v>Oloitoktok A</v>
      </c>
      <c r="C989">
        <f ca="1">LOOKUP(RAND(),{0,0.02,0.09,0.2,0.35,0.52,0.68,0.81,0.91,0.97},{1,2,3,4,5,6,7,8,9,10})</f>
        <v>2</v>
      </c>
      <c r="D989">
        <f t="shared" ca="1" si="90"/>
        <v>16400</v>
      </c>
      <c r="E989" t="str">
        <f ca="1">IF(B989="Oloitoktok A",IF(D989&lt;15000,LOOKUP(RAND(),{0,0.45,0.75,0.92},{"River","Rainwater","Borehole","Vendor"}),IF(D989&lt;30000,LOOKUP(RAND(),{0,0.35,0.65,0.85},{"River","Rainwater","Borehole","Vendor"}),LOOKUP(RAND(),{0,0.25,0.5,0.75},{"River","Rainwater","Borehole","Vendor"}))),IF(B989="Oloitoktok B",IF(D989&lt;15000,LOOKUP(RAND(),{0,0.5,0.78,0.94},{"River","Rainwater","Borehole","Vendor"}),IF(D989&lt;30000,LOOKUP(RAND(),{0,0.4,0.68,0.87},{"River","Rainwater","Borehole","Vendor"}),LOOKUP(RAND(),{0,0.28,0.55,0.78},{"River","Rainwater","Borehole","Vendor"}))),IF(B989="Kiserian",IF(D989&lt;15000,LOOKUP(RAND(),{0,0.35,0.65,0.9},{"River","Rainwater","Borehole","Vendor"}),IF(D989&lt;30000,LOOKUP(RAND(),{0,0.25,0.55,0.82},{"River","Rainwater","Borehole","Vendor"}),LOOKUP(RAND(),{0,0.15,0.45,0.72},{"River","Rainwater","Borehole","Vendor"}))),IF(D989&lt;15000,LOOKUP(RAND(),{0,0.4,0.7,0.92},{"River","Rainwater","Borehole","Vendor"}),IF(D989&lt;30000,LOOKUP(RAND(),{0,0.3,0.6,0.85},{"River","Rainwater","Borehole","Vendor"}),LOOKUP(RAND(),{0,0.2,0.5,0.75},{"River","Rainwater","Borehole","Vendor"}))))))</f>
        <v>Borehole</v>
      </c>
      <c r="F989">
        <f t="shared" ca="1" si="91"/>
        <v>51</v>
      </c>
      <c r="G989">
        <f t="shared" ca="1" si="92"/>
        <v>2.5</v>
      </c>
      <c r="H989">
        <f t="shared" ca="1" si="93"/>
        <v>5800</v>
      </c>
      <c r="I989">
        <f t="shared" ca="1" si="94"/>
        <v>0.30103318496508247</v>
      </c>
      <c r="J989">
        <v>1</v>
      </c>
    </row>
    <row r="990" spans="1:10" x14ac:dyDescent="0.3">
      <c r="A990" t="str">
        <f t="shared" si="95"/>
        <v>HH989</v>
      </c>
      <c r="B990" t="str">
        <f ca="1">LOOKUP(RAND(),{0,0.28,0.55,0.78},{"Oloitoktok A","Oloitoktok B","Kiserian","Namanga"})</f>
        <v>Namanga</v>
      </c>
      <c r="C990">
        <f ca="1">LOOKUP(RAND(),{0,0.02,0.09,0.2,0.35,0.52,0.68,0.81,0.91,0.97},{1,2,3,4,5,6,7,8,9,10})</f>
        <v>2</v>
      </c>
      <c r="D990">
        <f t="shared" ca="1" si="90"/>
        <v>14400</v>
      </c>
      <c r="E990" t="str">
        <f ca="1">IF(B990="Oloitoktok A",IF(D990&lt;15000,LOOKUP(RAND(),{0,0.45,0.75,0.92},{"River","Rainwater","Borehole","Vendor"}),IF(D990&lt;30000,LOOKUP(RAND(),{0,0.35,0.65,0.85},{"River","Rainwater","Borehole","Vendor"}),LOOKUP(RAND(),{0,0.25,0.5,0.75},{"River","Rainwater","Borehole","Vendor"}))),IF(B990="Oloitoktok B",IF(D990&lt;15000,LOOKUP(RAND(),{0,0.5,0.78,0.94},{"River","Rainwater","Borehole","Vendor"}),IF(D990&lt;30000,LOOKUP(RAND(),{0,0.4,0.68,0.87},{"River","Rainwater","Borehole","Vendor"}),LOOKUP(RAND(),{0,0.28,0.55,0.78},{"River","Rainwater","Borehole","Vendor"}))),IF(B990="Kiserian",IF(D990&lt;15000,LOOKUP(RAND(),{0,0.35,0.65,0.9},{"River","Rainwater","Borehole","Vendor"}),IF(D990&lt;30000,LOOKUP(RAND(),{0,0.25,0.55,0.82},{"River","Rainwater","Borehole","Vendor"}),LOOKUP(RAND(),{0,0.15,0.45,0.72},{"River","Rainwater","Borehole","Vendor"}))),IF(D990&lt;15000,LOOKUP(RAND(),{0,0.4,0.7,0.92},{"River","Rainwater","Borehole","Vendor"}),IF(D990&lt;30000,LOOKUP(RAND(),{0,0.3,0.6,0.85},{"River","Rainwater","Borehole","Vendor"}),LOOKUP(RAND(),{0,0.2,0.5,0.75},{"River","Rainwater","Borehole","Vendor"}))))))</f>
        <v>River</v>
      </c>
      <c r="F990">
        <f t="shared" ca="1" si="91"/>
        <v>52</v>
      </c>
      <c r="G990">
        <f t="shared" ca="1" si="92"/>
        <v>7.1</v>
      </c>
      <c r="H990">
        <f t="shared" ca="1" si="93"/>
        <v>6600</v>
      </c>
      <c r="I990">
        <f t="shared" ca="1" si="94"/>
        <v>0.85293528478898772</v>
      </c>
      <c r="J990">
        <v>1</v>
      </c>
    </row>
    <row r="991" spans="1:10" x14ac:dyDescent="0.3">
      <c r="A991" t="str">
        <f t="shared" si="95"/>
        <v>HH990</v>
      </c>
      <c r="B991" t="str">
        <f ca="1">LOOKUP(RAND(),{0,0.28,0.55,0.78},{"Oloitoktok A","Oloitoktok B","Kiserian","Namanga"})</f>
        <v>Oloitoktok B</v>
      </c>
      <c r="C991">
        <f ca="1">LOOKUP(RAND(),{0,0.02,0.09,0.2,0.35,0.52,0.68,0.81,0.91,0.97},{1,2,3,4,5,6,7,8,9,10})</f>
        <v>5</v>
      </c>
      <c r="D991">
        <f t="shared" ca="1" si="90"/>
        <v>19400</v>
      </c>
      <c r="E991" t="str">
        <f ca="1">IF(B991="Oloitoktok A",IF(D991&lt;15000,LOOKUP(RAND(),{0,0.45,0.75,0.92},{"River","Rainwater","Borehole","Vendor"}),IF(D991&lt;30000,LOOKUP(RAND(),{0,0.35,0.65,0.85},{"River","Rainwater","Borehole","Vendor"}),LOOKUP(RAND(),{0,0.25,0.5,0.75},{"River","Rainwater","Borehole","Vendor"}))),IF(B991="Oloitoktok B",IF(D991&lt;15000,LOOKUP(RAND(),{0,0.5,0.78,0.94},{"River","Rainwater","Borehole","Vendor"}),IF(D991&lt;30000,LOOKUP(RAND(),{0,0.4,0.68,0.87},{"River","Rainwater","Borehole","Vendor"}),LOOKUP(RAND(),{0,0.28,0.55,0.78},{"River","Rainwater","Borehole","Vendor"}))),IF(B991="Kiserian",IF(D991&lt;15000,LOOKUP(RAND(),{0,0.35,0.65,0.9},{"River","Rainwater","Borehole","Vendor"}),IF(D991&lt;30000,LOOKUP(RAND(),{0,0.25,0.55,0.82},{"River","Rainwater","Borehole","Vendor"}),LOOKUP(RAND(),{0,0.15,0.45,0.72},{"River","Rainwater","Borehole","Vendor"}))),IF(D991&lt;15000,LOOKUP(RAND(),{0,0.4,0.7,0.92},{"River","Rainwater","Borehole","Vendor"}),IF(D991&lt;30000,LOOKUP(RAND(),{0,0.3,0.6,0.85},{"River","Rainwater","Borehole","Vendor"}),LOOKUP(RAND(),{0,0.2,0.5,0.75},{"River","Rainwater","Borehole","Vendor"}))))))</f>
        <v>Vendor</v>
      </c>
      <c r="F991">
        <f t="shared" ca="1" si="91"/>
        <v>35</v>
      </c>
      <c r="G991">
        <f t="shared" ca="1" si="92"/>
        <v>12.4</v>
      </c>
      <c r="H991">
        <f t="shared" ca="1" si="93"/>
        <v>6900</v>
      </c>
      <c r="I991">
        <f t="shared" ca="1" si="94"/>
        <v>0.71199853440509564</v>
      </c>
      <c r="J991">
        <v>1</v>
      </c>
    </row>
    <row r="992" spans="1:10" x14ac:dyDescent="0.3">
      <c r="A992" t="str">
        <f t="shared" si="95"/>
        <v>HH991</v>
      </c>
      <c r="B992" t="str">
        <f ca="1">LOOKUP(RAND(),{0,0.28,0.55,0.78},{"Oloitoktok A","Oloitoktok B","Kiserian","Namanga"})</f>
        <v>Oloitoktok B</v>
      </c>
      <c r="C992">
        <f ca="1">LOOKUP(RAND(),{0,0.02,0.09,0.2,0.35,0.52,0.68,0.81,0.91,0.97},{1,2,3,4,5,6,7,8,9,10})</f>
        <v>2</v>
      </c>
      <c r="D992">
        <f t="shared" ca="1" si="90"/>
        <v>33600</v>
      </c>
      <c r="E992" t="str">
        <f ca="1">IF(B992="Oloitoktok A",IF(D992&lt;15000,LOOKUP(RAND(),{0,0.45,0.75,0.92},{"River","Rainwater","Borehole","Vendor"}),IF(D992&lt;30000,LOOKUP(RAND(),{0,0.35,0.65,0.85},{"River","Rainwater","Borehole","Vendor"}),LOOKUP(RAND(),{0,0.25,0.5,0.75},{"River","Rainwater","Borehole","Vendor"}))),IF(B992="Oloitoktok B",IF(D992&lt;15000,LOOKUP(RAND(),{0,0.5,0.78,0.94},{"River","Rainwater","Borehole","Vendor"}),IF(D992&lt;30000,LOOKUP(RAND(),{0,0.4,0.68,0.87},{"River","Rainwater","Borehole","Vendor"}),LOOKUP(RAND(),{0,0.28,0.55,0.78},{"River","Rainwater","Borehole","Vendor"}))),IF(B992="Kiserian",IF(D992&lt;15000,LOOKUP(RAND(),{0,0.35,0.65,0.9},{"River","Rainwater","Borehole","Vendor"}),IF(D992&lt;30000,LOOKUP(RAND(),{0,0.25,0.55,0.82},{"River","Rainwater","Borehole","Vendor"}),LOOKUP(RAND(),{0,0.15,0.45,0.72},{"River","Rainwater","Borehole","Vendor"}))),IF(D992&lt;15000,LOOKUP(RAND(),{0,0.4,0.7,0.92},{"River","Rainwater","Borehole","Vendor"}),IF(D992&lt;30000,LOOKUP(RAND(),{0,0.3,0.6,0.85},{"River","Rainwater","Borehole","Vendor"}),LOOKUP(RAND(),{0,0.2,0.5,0.75},{"River","Rainwater","Borehole","Vendor"}))))))</f>
        <v>River</v>
      </c>
      <c r="F992">
        <f t="shared" ca="1" si="91"/>
        <v>88</v>
      </c>
      <c r="G992">
        <f t="shared" ca="1" si="92"/>
        <v>3.4</v>
      </c>
      <c r="H992">
        <f t="shared" ca="1" si="93"/>
        <v>2700</v>
      </c>
      <c r="I992">
        <f t="shared" ca="1" si="94"/>
        <v>0.98258010913115823</v>
      </c>
      <c r="J992">
        <v>1</v>
      </c>
    </row>
    <row r="993" spans="1:10" x14ac:dyDescent="0.3">
      <c r="A993" t="str">
        <f t="shared" si="95"/>
        <v>HH992</v>
      </c>
      <c r="B993" t="str">
        <f ca="1">LOOKUP(RAND(),{0,0.28,0.55,0.78},{"Oloitoktok A","Oloitoktok B","Kiserian","Namanga"})</f>
        <v>Kiserian</v>
      </c>
      <c r="C993">
        <f ca="1">LOOKUP(RAND(),{0,0.02,0.09,0.2,0.35,0.52,0.68,0.81,0.91,0.97},{1,2,3,4,5,6,7,8,9,10})</f>
        <v>6</v>
      </c>
      <c r="D993">
        <f t="shared" ca="1" si="90"/>
        <v>30700</v>
      </c>
      <c r="E993" t="str">
        <f ca="1">IF(B993="Oloitoktok A",IF(D993&lt;15000,LOOKUP(RAND(),{0,0.45,0.75,0.92},{"River","Rainwater","Borehole","Vendor"}),IF(D993&lt;30000,LOOKUP(RAND(),{0,0.35,0.65,0.85},{"River","Rainwater","Borehole","Vendor"}),LOOKUP(RAND(),{0,0.25,0.5,0.75},{"River","Rainwater","Borehole","Vendor"}))),IF(B993="Oloitoktok B",IF(D993&lt;15000,LOOKUP(RAND(),{0,0.5,0.78,0.94},{"River","Rainwater","Borehole","Vendor"}),IF(D993&lt;30000,LOOKUP(RAND(),{0,0.4,0.68,0.87},{"River","Rainwater","Borehole","Vendor"}),LOOKUP(RAND(),{0,0.28,0.55,0.78},{"River","Rainwater","Borehole","Vendor"}))),IF(B993="Kiserian",IF(D993&lt;15000,LOOKUP(RAND(),{0,0.35,0.65,0.9},{"River","Rainwater","Borehole","Vendor"}),IF(D993&lt;30000,LOOKUP(RAND(),{0,0.25,0.55,0.82},{"River","Rainwater","Borehole","Vendor"}),LOOKUP(RAND(),{0,0.15,0.45,0.72},{"River","Rainwater","Borehole","Vendor"}))),IF(D993&lt;15000,LOOKUP(RAND(),{0,0.4,0.7,0.92},{"River","Rainwater","Borehole","Vendor"}),IF(D993&lt;30000,LOOKUP(RAND(),{0,0.3,0.6,0.85},{"River","Rainwater","Borehole","Vendor"}),LOOKUP(RAND(),{0,0.2,0.5,0.75},{"River","Rainwater","Borehole","Vendor"}))))))</f>
        <v>Borehole</v>
      </c>
      <c r="F993">
        <f t="shared" ca="1" si="91"/>
        <v>55</v>
      </c>
      <c r="G993">
        <f t="shared" ca="1" si="92"/>
        <v>7.7</v>
      </c>
      <c r="H993">
        <f t="shared" ca="1" si="93"/>
        <v>5100</v>
      </c>
      <c r="I993">
        <f t="shared" ca="1" si="94"/>
        <v>0.17227196047988802</v>
      </c>
      <c r="J993">
        <v>1</v>
      </c>
    </row>
    <row r="994" spans="1:10" x14ac:dyDescent="0.3">
      <c r="A994" t="str">
        <f t="shared" si="95"/>
        <v>HH993</v>
      </c>
      <c r="B994" t="str">
        <f ca="1">LOOKUP(RAND(),{0,0.28,0.55,0.78},{"Oloitoktok A","Oloitoktok B","Kiserian","Namanga"})</f>
        <v>Oloitoktok B</v>
      </c>
      <c r="C994">
        <f ca="1">LOOKUP(RAND(),{0,0.02,0.09,0.2,0.35,0.52,0.68,0.81,0.91,0.97},{1,2,3,4,5,6,7,8,9,10})</f>
        <v>6</v>
      </c>
      <c r="D994">
        <f t="shared" ca="1" si="90"/>
        <v>16000</v>
      </c>
      <c r="E994" t="str">
        <f ca="1">IF(B994="Oloitoktok A",IF(D994&lt;15000,LOOKUP(RAND(),{0,0.45,0.75,0.92},{"River","Rainwater","Borehole","Vendor"}),IF(D994&lt;30000,LOOKUP(RAND(),{0,0.35,0.65,0.85},{"River","Rainwater","Borehole","Vendor"}),LOOKUP(RAND(),{0,0.25,0.5,0.75},{"River","Rainwater","Borehole","Vendor"}))),IF(B994="Oloitoktok B",IF(D994&lt;15000,LOOKUP(RAND(),{0,0.5,0.78,0.94},{"River","Rainwater","Borehole","Vendor"}),IF(D994&lt;30000,LOOKUP(RAND(),{0,0.4,0.68,0.87},{"River","Rainwater","Borehole","Vendor"}),LOOKUP(RAND(),{0,0.28,0.55,0.78},{"River","Rainwater","Borehole","Vendor"}))),IF(B994="Kiserian",IF(D994&lt;15000,LOOKUP(RAND(),{0,0.35,0.65,0.9},{"River","Rainwater","Borehole","Vendor"}),IF(D994&lt;30000,LOOKUP(RAND(),{0,0.25,0.55,0.82},{"River","Rainwater","Borehole","Vendor"}),LOOKUP(RAND(),{0,0.15,0.45,0.72},{"River","Rainwater","Borehole","Vendor"}))),IF(D994&lt;15000,LOOKUP(RAND(),{0,0.4,0.7,0.92},{"River","Rainwater","Borehole","Vendor"}),IF(D994&lt;30000,LOOKUP(RAND(),{0,0.3,0.6,0.85},{"River","Rainwater","Borehole","Vendor"}),LOOKUP(RAND(),{0,0.2,0.5,0.75},{"River","Rainwater","Borehole","Vendor"}))))))</f>
        <v>Borehole</v>
      </c>
      <c r="F994">
        <f t="shared" ca="1" si="91"/>
        <v>24</v>
      </c>
      <c r="G994">
        <f t="shared" ca="1" si="92"/>
        <v>4.9000000000000004</v>
      </c>
      <c r="H994">
        <f t="shared" ca="1" si="93"/>
        <v>3200</v>
      </c>
      <c r="I994">
        <f t="shared" ca="1" si="94"/>
        <v>0.81248676971095091</v>
      </c>
      <c r="J994">
        <v>1</v>
      </c>
    </row>
    <row r="995" spans="1:10" x14ac:dyDescent="0.3">
      <c r="A995" t="str">
        <f t="shared" si="95"/>
        <v>HH994</v>
      </c>
      <c r="B995" t="str">
        <f ca="1">LOOKUP(RAND(),{0,0.28,0.55,0.78},{"Oloitoktok A","Oloitoktok B","Kiserian","Namanga"})</f>
        <v>Oloitoktok A</v>
      </c>
      <c r="C995">
        <f ca="1">LOOKUP(RAND(),{0,0.02,0.09,0.2,0.35,0.52,0.68,0.81,0.91,0.97},{1,2,3,4,5,6,7,8,9,10})</f>
        <v>8</v>
      </c>
      <c r="D995">
        <f t="shared" ca="1" si="90"/>
        <v>46800</v>
      </c>
      <c r="E995" t="str">
        <f ca="1">IF(B995="Oloitoktok A",IF(D995&lt;15000,LOOKUP(RAND(),{0,0.45,0.75,0.92},{"River","Rainwater","Borehole","Vendor"}),IF(D995&lt;30000,LOOKUP(RAND(),{0,0.35,0.65,0.85},{"River","Rainwater","Borehole","Vendor"}),LOOKUP(RAND(),{0,0.25,0.5,0.75},{"River","Rainwater","Borehole","Vendor"}))),IF(B995="Oloitoktok B",IF(D995&lt;15000,LOOKUP(RAND(),{0,0.5,0.78,0.94},{"River","Rainwater","Borehole","Vendor"}),IF(D995&lt;30000,LOOKUP(RAND(),{0,0.4,0.68,0.87},{"River","Rainwater","Borehole","Vendor"}),LOOKUP(RAND(),{0,0.28,0.55,0.78},{"River","Rainwater","Borehole","Vendor"}))),IF(B995="Kiserian",IF(D995&lt;15000,LOOKUP(RAND(),{0,0.35,0.65,0.9},{"River","Rainwater","Borehole","Vendor"}),IF(D995&lt;30000,LOOKUP(RAND(),{0,0.25,0.55,0.82},{"River","Rainwater","Borehole","Vendor"}),LOOKUP(RAND(),{0,0.15,0.45,0.72},{"River","Rainwater","Borehole","Vendor"}))),IF(D995&lt;15000,LOOKUP(RAND(),{0,0.4,0.7,0.92},{"River","Rainwater","Borehole","Vendor"}),IF(D995&lt;30000,LOOKUP(RAND(),{0,0.3,0.6,0.85},{"River","Rainwater","Borehole","Vendor"}),LOOKUP(RAND(),{0,0.2,0.5,0.75},{"River","Rainwater","Borehole","Vendor"}))))))</f>
        <v>Borehole</v>
      </c>
      <c r="F995">
        <f t="shared" ca="1" si="91"/>
        <v>58</v>
      </c>
      <c r="G995">
        <f t="shared" ca="1" si="92"/>
        <v>2.8</v>
      </c>
      <c r="H995">
        <f t="shared" ca="1" si="93"/>
        <v>11200</v>
      </c>
      <c r="I995">
        <f t="shared" ca="1" si="94"/>
        <v>0.14667500927112287</v>
      </c>
      <c r="J995">
        <v>1</v>
      </c>
    </row>
    <row r="996" spans="1:10" x14ac:dyDescent="0.3">
      <c r="A996" t="str">
        <f t="shared" si="95"/>
        <v>HH995</v>
      </c>
      <c r="B996" t="str">
        <f ca="1">LOOKUP(RAND(),{0,0.28,0.55,0.78},{"Oloitoktok A","Oloitoktok B","Kiserian","Namanga"})</f>
        <v>Kiserian</v>
      </c>
      <c r="C996">
        <f ca="1">LOOKUP(RAND(),{0,0.02,0.09,0.2,0.35,0.52,0.68,0.81,0.91,0.97},{1,2,3,4,5,6,7,8,9,10})</f>
        <v>9</v>
      </c>
      <c r="D996">
        <f t="shared" ca="1" si="90"/>
        <v>42800</v>
      </c>
      <c r="E996" t="str">
        <f ca="1">IF(B996="Oloitoktok A",IF(D996&lt;15000,LOOKUP(RAND(),{0,0.45,0.75,0.92},{"River","Rainwater","Borehole","Vendor"}),IF(D996&lt;30000,LOOKUP(RAND(),{0,0.35,0.65,0.85},{"River","Rainwater","Borehole","Vendor"}),LOOKUP(RAND(),{0,0.25,0.5,0.75},{"River","Rainwater","Borehole","Vendor"}))),IF(B996="Oloitoktok B",IF(D996&lt;15000,LOOKUP(RAND(),{0,0.5,0.78,0.94},{"River","Rainwater","Borehole","Vendor"}),IF(D996&lt;30000,LOOKUP(RAND(),{0,0.4,0.68,0.87},{"River","Rainwater","Borehole","Vendor"}),LOOKUP(RAND(),{0,0.28,0.55,0.78},{"River","Rainwater","Borehole","Vendor"}))),IF(B996="Kiserian",IF(D996&lt;15000,LOOKUP(RAND(),{0,0.35,0.65,0.9},{"River","Rainwater","Borehole","Vendor"}),IF(D996&lt;30000,LOOKUP(RAND(),{0,0.25,0.55,0.82},{"River","Rainwater","Borehole","Vendor"}),LOOKUP(RAND(),{0,0.15,0.45,0.72},{"River","Rainwater","Borehole","Vendor"}))),IF(D996&lt;15000,LOOKUP(RAND(),{0,0.4,0.7,0.92},{"River","Rainwater","Borehole","Vendor"}),IF(D996&lt;30000,LOOKUP(RAND(),{0,0.3,0.6,0.85},{"River","Rainwater","Borehole","Vendor"}),LOOKUP(RAND(),{0,0.2,0.5,0.75},{"River","Rainwater","Borehole","Vendor"}))))))</f>
        <v>Vendor</v>
      </c>
      <c r="F996">
        <f t="shared" ca="1" si="91"/>
        <v>26</v>
      </c>
      <c r="G996">
        <f t="shared" ca="1" si="92"/>
        <v>2.4</v>
      </c>
      <c r="H996">
        <f t="shared" ca="1" si="93"/>
        <v>7400</v>
      </c>
      <c r="I996">
        <f t="shared" ca="1" si="94"/>
        <v>0.36800210131986211</v>
      </c>
      <c r="J996">
        <v>1</v>
      </c>
    </row>
    <row r="997" spans="1:10" x14ac:dyDescent="0.3">
      <c r="A997" t="str">
        <f t="shared" si="95"/>
        <v>HH996</v>
      </c>
      <c r="B997" t="str">
        <f ca="1">LOOKUP(RAND(),{0,0.28,0.55,0.78},{"Oloitoktok A","Oloitoktok B","Kiserian","Namanga"})</f>
        <v>Oloitoktok B</v>
      </c>
      <c r="C997">
        <f ca="1">LOOKUP(RAND(),{0,0.02,0.09,0.2,0.35,0.52,0.68,0.81,0.91,0.97},{1,2,3,4,5,6,7,8,9,10})</f>
        <v>7</v>
      </c>
      <c r="D997">
        <f t="shared" ca="1" si="90"/>
        <v>14300</v>
      </c>
      <c r="E997" t="str">
        <f ca="1">IF(B997="Oloitoktok A",IF(D997&lt;15000,LOOKUP(RAND(),{0,0.45,0.75,0.92},{"River","Rainwater","Borehole","Vendor"}),IF(D997&lt;30000,LOOKUP(RAND(),{0,0.35,0.65,0.85},{"River","Rainwater","Borehole","Vendor"}),LOOKUP(RAND(),{0,0.25,0.5,0.75},{"River","Rainwater","Borehole","Vendor"}))),IF(B997="Oloitoktok B",IF(D997&lt;15000,LOOKUP(RAND(),{0,0.5,0.78,0.94},{"River","Rainwater","Borehole","Vendor"}),IF(D997&lt;30000,LOOKUP(RAND(),{0,0.4,0.68,0.87},{"River","Rainwater","Borehole","Vendor"}),LOOKUP(RAND(),{0,0.28,0.55,0.78},{"River","Rainwater","Borehole","Vendor"}))),IF(B997="Kiserian",IF(D997&lt;15000,LOOKUP(RAND(),{0,0.35,0.65,0.9},{"River","Rainwater","Borehole","Vendor"}),IF(D997&lt;30000,LOOKUP(RAND(),{0,0.25,0.55,0.82},{"River","Rainwater","Borehole","Vendor"}),LOOKUP(RAND(),{0,0.15,0.45,0.72},{"River","Rainwater","Borehole","Vendor"}))),IF(D997&lt;15000,LOOKUP(RAND(),{0,0.4,0.7,0.92},{"River","Rainwater","Borehole","Vendor"}),IF(D997&lt;30000,LOOKUP(RAND(),{0,0.3,0.6,0.85},{"River","Rainwater","Borehole","Vendor"}),LOOKUP(RAND(),{0,0.2,0.5,0.75},{"River","Rainwater","Borehole","Vendor"}))))))</f>
        <v>Rainwater</v>
      </c>
      <c r="F997">
        <f t="shared" ca="1" si="91"/>
        <v>62</v>
      </c>
      <c r="G997">
        <f t="shared" ca="1" si="92"/>
        <v>6.1</v>
      </c>
      <c r="H997">
        <f t="shared" ca="1" si="93"/>
        <v>1500</v>
      </c>
      <c r="I997">
        <f t="shared" ca="1" si="94"/>
        <v>0.59095900346617136</v>
      </c>
      <c r="J997">
        <v>1</v>
      </c>
    </row>
    <row r="998" spans="1:10" x14ac:dyDescent="0.3">
      <c r="A998" t="str">
        <f t="shared" si="95"/>
        <v>HH997</v>
      </c>
      <c r="B998" t="str">
        <f ca="1">LOOKUP(RAND(),{0,0.28,0.55,0.78},{"Oloitoktok A","Oloitoktok B","Kiserian","Namanga"})</f>
        <v>Kiserian</v>
      </c>
      <c r="C998">
        <f ca="1">LOOKUP(RAND(),{0,0.02,0.09,0.2,0.35,0.52,0.68,0.81,0.91,0.97},{1,2,3,4,5,6,7,8,9,10})</f>
        <v>6</v>
      </c>
      <c r="D998">
        <f t="shared" ca="1" si="90"/>
        <v>62500</v>
      </c>
      <c r="E998" t="str">
        <f ca="1">IF(B998="Oloitoktok A",IF(D998&lt;15000,LOOKUP(RAND(),{0,0.45,0.75,0.92},{"River","Rainwater","Borehole","Vendor"}),IF(D998&lt;30000,LOOKUP(RAND(),{0,0.35,0.65,0.85},{"River","Rainwater","Borehole","Vendor"}),LOOKUP(RAND(),{0,0.25,0.5,0.75},{"River","Rainwater","Borehole","Vendor"}))),IF(B998="Oloitoktok B",IF(D998&lt;15000,LOOKUP(RAND(),{0,0.5,0.78,0.94},{"River","Rainwater","Borehole","Vendor"}),IF(D998&lt;30000,LOOKUP(RAND(),{0,0.4,0.68,0.87},{"River","Rainwater","Borehole","Vendor"}),LOOKUP(RAND(),{0,0.28,0.55,0.78},{"River","Rainwater","Borehole","Vendor"}))),IF(B998="Kiserian",IF(D998&lt;15000,LOOKUP(RAND(),{0,0.35,0.65,0.9},{"River","Rainwater","Borehole","Vendor"}),IF(D998&lt;30000,LOOKUP(RAND(),{0,0.25,0.55,0.82},{"River","Rainwater","Borehole","Vendor"}),LOOKUP(RAND(),{0,0.15,0.45,0.72},{"River","Rainwater","Borehole","Vendor"}))),IF(D998&lt;15000,LOOKUP(RAND(),{0,0.4,0.7,0.92},{"River","Rainwater","Borehole","Vendor"}),IF(D998&lt;30000,LOOKUP(RAND(),{0,0.3,0.6,0.85},{"River","Rainwater","Borehole","Vendor"}),LOOKUP(RAND(),{0,0.2,0.5,0.75},{"River","Rainwater","Borehole","Vendor"}))))))</f>
        <v>Rainwater</v>
      </c>
      <c r="F998">
        <f t="shared" ca="1" si="91"/>
        <v>59</v>
      </c>
      <c r="G998">
        <f t="shared" ca="1" si="92"/>
        <v>8.1</v>
      </c>
      <c r="H998">
        <f t="shared" ca="1" si="93"/>
        <v>5000</v>
      </c>
      <c r="I998">
        <f t="shared" ca="1" si="94"/>
        <v>0.77788998130805165</v>
      </c>
      <c r="J998">
        <v>1</v>
      </c>
    </row>
    <row r="999" spans="1:10" x14ac:dyDescent="0.3">
      <c r="A999" t="str">
        <f t="shared" si="95"/>
        <v>HH998</v>
      </c>
      <c r="B999" t="str">
        <f ca="1">LOOKUP(RAND(),{0,0.28,0.55,0.78},{"Oloitoktok A","Oloitoktok B","Kiserian","Namanga"})</f>
        <v>Kiserian</v>
      </c>
      <c r="C999">
        <f ca="1">LOOKUP(RAND(),{0,0.02,0.09,0.2,0.35,0.52,0.68,0.81,0.91,0.97},{1,2,3,4,5,6,7,8,9,10})</f>
        <v>3</v>
      </c>
      <c r="D999">
        <f t="shared" ca="1" si="90"/>
        <v>73100</v>
      </c>
      <c r="E999" t="str">
        <f ca="1">IF(B999="Oloitoktok A",IF(D999&lt;15000,LOOKUP(RAND(),{0,0.45,0.75,0.92},{"River","Rainwater","Borehole","Vendor"}),IF(D999&lt;30000,LOOKUP(RAND(),{0,0.35,0.65,0.85},{"River","Rainwater","Borehole","Vendor"}),LOOKUP(RAND(),{0,0.25,0.5,0.75},{"River","Rainwater","Borehole","Vendor"}))),IF(B999="Oloitoktok B",IF(D999&lt;15000,LOOKUP(RAND(),{0,0.5,0.78,0.94},{"River","Rainwater","Borehole","Vendor"}),IF(D999&lt;30000,LOOKUP(RAND(),{0,0.4,0.68,0.87},{"River","Rainwater","Borehole","Vendor"}),LOOKUP(RAND(),{0,0.28,0.55,0.78},{"River","Rainwater","Borehole","Vendor"}))),IF(B999="Kiserian",IF(D999&lt;15000,LOOKUP(RAND(),{0,0.35,0.65,0.9},{"River","Rainwater","Borehole","Vendor"}),IF(D999&lt;30000,LOOKUP(RAND(),{0,0.25,0.55,0.82},{"River","Rainwater","Borehole","Vendor"}),LOOKUP(RAND(),{0,0.15,0.45,0.72},{"River","Rainwater","Borehole","Vendor"}))),IF(D999&lt;15000,LOOKUP(RAND(),{0,0.4,0.7,0.92},{"River","Rainwater","Borehole","Vendor"}),IF(D999&lt;30000,LOOKUP(RAND(),{0,0.3,0.6,0.85},{"River","Rainwater","Borehole","Vendor"}),LOOKUP(RAND(),{0,0.2,0.5,0.75},{"River","Rainwater","Borehole","Vendor"}))))))</f>
        <v>Borehole</v>
      </c>
      <c r="F999">
        <f t="shared" ca="1" si="91"/>
        <v>62</v>
      </c>
      <c r="G999">
        <f t="shared" ca="1" si="92"/>
        <v>5.8</v>
      </c>
      <c r="H999">
        <f t="shared" ca="1" si="93"/>
        <v>12000</v>
      </c>
      <c r="I999">
        <f t="shared" ca="1" si="94"/>
        <v>0.38399007071709979</v>
      </c>
      <c r="J999">
        <v>1</v>
      </c>
    </row>
    <row r="1000" spans="1:10" x14ac:dyDescent="0.3">
      <c r="A1000" t="str">
        <f t="shared" si="95"/>
        <v>HH999</v>
      </c>
      <c r="B1000" t="str">
        <f ca="1">LOOKUP(RAND(),{0,0.28,0.55,0.78},{"Oloitoktok A","Oloitoktok B","Kiserian","Namanga"})</f>
        <v>Kiserian</v>
      </c>
      <c r="C1000">
        <f ca="1">LOOKUP(RAND(),{0,0.02,0.09,0.2,0.35,0.52,0.68,0.81,0.91,0.97},{1,2,3,4,5,6,7,8,9,10})</f>
        <v>5</v>
      </c>
      <c r="D1000">
        <f t="shared" ca="1" si="90"/>
        <v>17600</v>
      </c>
      <c r="E1000" t="str">
        <f ca="1">IF(B1000="Oloitoktok A",IF(D1000&lt;15000,LOOKUP(RAND(),{0,0.45,0.75,0.92},{"River","Rainwater","Borehole","Vendor"}),IF(D1000&lt;30000,LOOKUP(RAND(),{0,0.35,0.65,0.85},{"River","Rainwater","Borehole","Vendor"}),LOOKUP(RAND(),{0,0.25,0.5,0.75},{"River","Rainwater","Borehole","Vendor"}))),IF(B1000="Oloitoktok B",IF(D1000&lt;15000,LOOKUP(RAND(),{0,0.5,0.78,0.94},{"River","Rainwater","Borehole","Vendor"}),IF(D1000&lt;30000,LOOKUP(RAND(),{0,0.4,0.68,0.87},{"River","Rainwater","Borehole","Vendor"}),LOOKUP(RAND(),{0,0.28,0.55,0.78},{"River","Rainwater","Borehole","Vendor"}))),IF(B1000="Kiserian",IF(D1000&lt;15000,LOOKUP(RAND(),{0,0.35,0.65,0.9},{"River","Rainwater","Borehole","Vendor"}),IF(D1000&lt;30000,LOOKUP(RAND(),{0,0.25,0.55,0.82},{"River","Rainwater","Borehole","Vendor"}),LOOKUP(RAND(),{0,0.15,0.45,0.72},{"River","Rainwater","Borehole","Vendor"}))),IF(D1000&lt;15000,LOOKUP(RAND(),{0,0.4,0.7,0.92},{"River","Rainwater","Borehole","Vendor"}),IF(D1000&lt;30000,LOOKUP(RAND(),{0,0.3,0.6,0.85},{"River","Rainwater","Borehole","Vendor"}),LOOKUP(RAND(),{0,0.2,0.5,0.75},{"River","Rainwater","Borehole","Vendor"}))))))</f>
        <v>Rainwater</v>
      </c>
      <c r="F1000">
        <f t="shared" ca="1" si="91"/>
        <v>66</v>
      </c>
      <c r="G1000">
        <f t="shared" ca="1" si="92"/>
        <v>0.8</v>
      </c>
      <c r="H1000">
        <f t="shared" ca="1" si="93"/>
        <v>1200</v>
      </c>
      <c r="I1000">
        <f t="shared" ca="1" si="94"/>
        <v>0.18510878214399007</v>
      </c>
      <c r="J1000">
        <v>1</v>
      </c>
    </row>
    <row r="1001" spans="1:10" x14ac:dyDescent="0.3">
      <c r="A1001" t="str">
        <f t="shared" si="95"/>
        <v>HH1000</v>
      </c>
      <c r="B1001" t="str">
        <f ca="1">LOOKUP(RAND(),{0,0.28,0.55,0.78},{"Oloitoktok A","Oloitoktok B","Kiserian","Namanga"})</f>
        <v>Oloitoktok B</v>
      </c>
      <c r="C1001">
        <f ca="1">LOOKUP(RAND(),{0,0.02,0.09,0.2,0.35,0.52,0.68,0.81,0.91,0.97},{1,2,3,4,5,6,7,8,9,10})</f>
        <v>7</v>
      </c>
      <c r="D1001">
        <f t="shared" ca="1" si="90"/>
        <v>19800</v>
      </c>
      <c r="E1001" t="str">
        <f ca="1">IF(B1001="Oloitoktok A",IF(D1001&lt;15000,LOOKUP(RAND(),{0,0.45,0.75,0.92},{"River","Rainwater","Borehole","Vendor"}),IF(D1001&lt;30000,LOOKUP(RAND(),{0,0.35,0.65,0.85},{"River","Rainwater","Borehole","Vendor"}),LOOKUP(RAND(),{0,0.25,0.5,0.75},{"River","Rainwater","Borehole","Vendor"}))),IF(B1001="Oloitoktok B",IF(D1001&lt;15000,LOOKUP(RAND(),{0,0.5,0.78,0.94},{"River","Rainwater","Borehole","Vendor"}),IF(D1001&lt;30000,LOOKUP(RAND(),{0,0.4,0.68,0.87},{"River","Rainwater","Borehole","Vendor"}),LOOKUP(RAND(),{0,0.28,0.55,0.78},{"River","Rainwater","Borehole","Vendor"}))),IF(B1001="Kiserian",IF(D1001&lt;15000,LOOKUP(RAND(),{0,0.35,0.65,0.9},{"River","Rainwater","Borehole","Vendor"}),IF(D1001&lt;30000,LOOKUP(RAND(),{0,0.25,0.55,0.82},{"River","Rainwater","Borehole","Vendor"}),LOOKUP(RAND(),{0,0.15,0.45,0.72},{"River","Rainwater","Borehole","Vendor"}))),IF(D1001&lt;15000,LOOKUP(RAND(),{0,0.4,0.7,0.92},{"River","Rainwater","Borehole","Vendor"}),IF(D1001&lt;30000,LOOKUP(RAND(),{0,0.3,0.6,0.85},{"River","Rainwater","Borehole","Vendor"}),LOOKUP(RAND(),{0,0.2,0.5,0.75},{"River","Rainwater","Borehole","Vendor"}))))))</f>
        <v>Borehole</v>
      </c>
      <c r="F1001">
        <f t="shared" ca="1" si="91"/>
        <v>72</v>
      </c>
      <c r="G1001">
        <f t="shared" ca="1" si="92"/>
        <v>6.9</v>
      </c>
      <c r="H1001">
        <f t="shared" ca="1" si="93"/>
        <v>2500</v>
      </c>
      <c r="I1001">
        <f t="shared" ca="1" si="94"/>
        <v>0.86124850787091756</v>
      </c>
      <c r="J1001">
        <v>1</v>
      </c>
    </row>
    <row r="1002" spans="1:10" x14ac:dyDescent="0.3">
      <c r="A1002" t="str">
        <f t="shared" si="95"/>
        <v>HH1001</v>
      </c>
      <c r="B1002" t="str">
        <f ca="1">LOOKUP(RAND(),{0,0.28,0.55,0.78},{"Oloitoktok A","Oloitoktok B","Kiserian","Namanga"})</f>
        <v>Oloitoktok B</v>
      </c>
      <c r="C1002">
        <f ca="1">LOOKUP(RAND(),{0,0.02,0.09,0.2,0.35,0.52,0.68,0.81,0.91,0.97},{1,2,3,4,5,6,7,8,9,10})</f>
        <v>6</v>
      </c>
      <c r="D1002">
        <f t="shared" ca="1" si="90"/>
        <v>38800</v>
      </c>
      <c r="E1002" t="str">
        <f ca="1">IF(B1002="Oloitoktok A",IF(D1002&lt;15000,LOOKUP(RAND(),{0,0.45,0.75,0.92},{"River","Rainwater","Borehole","Vendor"}),IF(D1002&lt;30000,LOOKUP(RAND(),{0,0.35,0.65,0.85},{"River","Rainwater","Borehole","Vendor"}),LOOKUP(RAND(),{0,0.25,0.5,0.75},{"River","Rainwater","Borehole","Vendor"}))),IF(B1002="Oloitoktok B",IF(D1002&lt;15000,LOOKUP(RAND(),{0,0.5,0.78,0.94},{"River","Rainwater","Borehole","Vendor"}),IF(D1002&lt;30000,LOOKUP(RAND(),{0,0.4,0.68,0.87},{"River","Rainwater","Borehole","Vendor"}),LOOKUP(RAND(),{0,0.28,0.55,0.78},{"River","Rainwater","Borehole","Vendor"}))),IF(B1002="Kiserian",IF(D1002&lt;15000,LOOKUP(RAND(),{0,0.35,0.65,0.9},{"River","Rainwater","Borehole","Vendor"}),IF(D1002&lt;30000,LOOKUP(RAND(),{0,0.25,0.55,0.82},{"River","Rainwater","Borehole","Vendor"}),LOOKUP(RAND(),{0,0.15,0.45,0.72},{"River","Rainwater","Borehole","Vendor"}))),IF(D1002&lt;15000,LOOKUP(RAND(),{0,0.4,0.7,0.92},{"River","Rainwater","Borehole","Vendor"}),IF(D1002&lt;30000,LOOKUP(RAND(),{0,0.3,0.6,0.85},{"River","Rainwater","Borehole","Vendor"}),LOOKUP(RAND(),{0,0.2,0.5,0.75},{"River","Rainwater","Borehole","Vendor"}))))))</f>
        <v>Rainwater</v>
      </c>
      <c r="F1002">
        <f t="shared" ca="1" si="91"/>
        <v>18</v>
      </c>
      <c r="G1002">
        <f t="shared" ca="1" si="92"/>
        <v>12.1</v>
      </c>
      <c r="H1002">
        <f t="shared" ca="1" si="93"/>
        <v>2600</v>
      </c>
      <c r="I1002">
        <f t="shared" ca="1" si="94"/>
        <v>0.85246134618266711</v>
      </c>
      <c r="J1002">
        <v>1</v>
      </c>
    </row>
    <row r="1003" spans="1:10" x14ac:dyDescent="0.3">
      <c r="A1003" t="str">
        <f t="shared" si="95"/>
        <v>HH1002</v>
      </c>
      <c r="B1003" t="str">
        <f ca="1">LOOKUP(RAND(),{0,0.28,0.55,0.78},{"Oloitoktok A","Oloitoktok B","Kiserian","Namanga"})</f>
        <v>Oloitoktok B</v>
      </c>
      <c r="C1003">
        <f ca="1">LOOKUP(RAND(),{0,0.02,0.09,0.2,0.35,0.52,0.68,0.81,0.91,0.97},{1,2,3,4,5,6,7,8,9,10})</f>
        <v>8</v>
      </c>
      <c r="D1003">
        <f t="shared" ca="1" si="90"/>
        <v>27100</v>
      </c>
      <c r="E1003" t="str">
        <f ca="1">IF(B1003="Oloitoktok A",IF(D1003&lt;15000,LOOKUP(RAND(),{0,0.45,0.75,0.92},{"River","Rainwater","Borehole","Vendor"}),IF(D1003&lt;30000,LOOKUP(RAND(),{0,0.35,0.65,0.85},{"River","Rainwater","Borehole","Vendor"}),LOOKUP(RAND(),{0,0.25,0.5,0.75},{"River","Rainwater","Borehole","Vendor"}))),IF(B1003="Oloitoktok B",IF(D1003&lt;15000,LOOKUP(RAND(),{0,0.5,0.78,0.94},{"River","Rainwater","Borehole","Vendor"}),IF(D1003&lt;30000,LOOKUP(RAND(),{0,0.4,0.68,0.87},{"River","Rainwater","Borehole","Vendor"}),LOOKUP(RAND(),{0,0.28,0.55,0.78},{"River","Rainwater","Borehole","Vendor"}))),IF(B1003="Kiserian",IF(D1003&lt;15000,LOOKUP(RAND(),{0,0.35,0.65,0.9},{"River","Rainwater","Borehole","Vendor"}),IF(D1003&lt;30000,LOOKUP(RAND(),{0,0.25,0.55,0.82},{"River","Rainwater","Borehole","Vendor"}),LOOKUP(RAND(),{0,0.15,0.45,0.72},{"River","Rainwater","Borehole","Vendor"}))),IF(D1003&lt;15000,LOOKUP(RAND(),{0,0.4,0.7,0.92},{"River","Rainwater","Borehole","Vendor"}),IF(D1003&lt;30000,LOOKUP(RAND(),{0,0.3,0.6,0.85},{"River","Rainwater","Borehole","Vendor"}),LOOKUP(RAND(),{0,0.2,0.5,0.75},{"River","Rainwater","Borehole","Vendor"}))))))</f>
        <v>Borehole</v>
      </c>
      <c r="F1003">
        <f t="shared" ca="1" si="91"/>
        <v>20</v>
      </c>
      <c r="G1003">
        <f t="shared" ca="1" si="92"/>
        <v>10.9</v>
      </c>
      <c r="H1003">
        <f t="shared" ca="1" si="93"/>
        <v>6100</v>
      </c>
      <c r="I1003">
        <f t="shared" ca="1" si="94"/>
        <v>2.1500534228202639E-2</v>
      </c>
      <c r="J1003">
        <v>1</v>
      </c>
    </row>
    <row r="1004" spans="1:10" x14ac:dyDescent="0.3">
      <c r="A1004" t="str">
        <f t="shared" si="95"/>
        <v>HH1003</v>
      </c>
      <c r="B1004" t="str">
        <f ca="1">LOOKUP(RAND(),{0,0.28,0.55,0.78},{"Oloitoktok A","Oloitoktok B","Kiserian","Namanga"})</f>
        <v>Oloitoktok A</v>
      </c>
      <c r="C1004">
        <f ca="1">LOOKUP(RAND(),{0,0.02,0.09,0.2,0.35,0.52,0.68,0.81,0.91,0.97},{1,2,3,4,5,6,7,8,9,10})</f>
        <v>5</v>
      </c>
      <c r="D1004">
        <f t="shared" ca="1" si="90"/>
        <v>33300</v>
      </c>
      <c r="E1004" t="str">
        <f ca="1">IF(B1004="Oloitoktok A",IF(D1004&lt;15000,LOOKUP(RAND(),{0,0.45,0.75,0.92},{"River","Rainwater","Borehole","Vendor"}),IF(D1004&lt;30000,LOOKUP(RAND(),{0,0.35,0.65,0.85},{"River","Rainwater","Borehole","Vendor"}),LOOKUP(RAND(),{0,0.25,0.5,0.75},{"River","Rainwater","Borehole","Vendor"}))),IF(B1004="Oloitoktok B",IF(D1004&lt;15000,LOOKUP(RAND(),{0,0.5,0.78,0.94},{"River","Rainwater","Borehole","Vendor"}),IF(D1004&lt;30000,LOOKUP(RAND(),{0,0.4,0.68,0.87},{"River","Rainwater","Borehole","Vendor"}),LOOKUP(RAND(),{0,0.28,0.55,0.78},{"River","Rainwater","Borehole","Vendor"}))),IF(B1004="Kiserian",IF(D1004&lt;15000,LOOKUP(RAND(),{0,0.35,0.65,0.9},{"River","Rainwater","Borehole","Vendor"}),IF(D1004&lt;30000,LOOKUP(RAND(),{0,0.25,0.55,0.82},{"River","Rainwater","Borehole","Vendor"}),LOOKUP(RAND(),{0,0.15,0.45,0.72},{"River","Rainwater","Borehole","Vendor"}))),IF(D1004&lt;15000,LOOKUP(RAND(),{0,0.4,0.7,0.92},{"River","Rainwater","Borehole","Vendor"}),IF(D1004&lt;30000,LOOKUP(RAND(),{0,0.3,0.6,0.85},{"River","Rainwater","Borehole","Vendor"}),LOOKUP(RAND(),{0,0.2,0.5,0.75},{"River","Rainwater","Borehole","Vendor"}))))))</f>
        <v>River</v>
      </c>
      <c r="F1004">
        <f t="shared" ca="1" si="91"/>
        <v>71</v>
      </c>
      <c r="G1004">
        <f t="shared" ca="1" si="92"/>
        <v>7.7</v>
      </c>
      <c r="H1004">
        <f t="shared" ca="1" si="93"/>
        <v>7200</v>
      </c>
      <c r="I1004">
        <f t="shared" ca="1" si="94"/>
        <v>0.31764777623605267</v>
      </c>
      <c r="J1004">
        <v>1</v>
      </c>
    </row>
    <row r="1005" spans="1:10" x14ac:dyDescent="0.3">
      <c r="A1005" t="str">
        <f t="shared" si="95"/>
        <v>HH1004</v>
      </c>
      <c r="B1005" t="str">
        <f ca="1">LOOKUP(RAND(),{0,0.28,0.55,0.78},{"Oloitoktok A","Oloitoktok B","Kiserian","Namanga"})</f>
        <v>Kiserian</v>
      </c>
      <c r="C1005">
        <f ca="1">LOOKUP(RAND(),{0,0.02,0.09,0.2,0.35,0.52,0.68,0.81,0.91,0.97},{1,2,3,4,5,6,7,8,9,10})</f>
        <v>3</v>
      </c>
      <c r="D1005">
        <f t="shared" ca="1" si="90"/>
        <v>16900</v>
      </c>
      <c r="E1005" t="str">
        <f ca="1">IF(B1005="Oloitoktok A",IF(D1005&lt;15000,LOOKUP(RAND(),{0,0.45,0.75,0.92},{"River","Rainwater","Borehole","Vendor"}),IF(D1005&lt;30000,LOOKUP(RAND(),{0,0.35,0.65,0.85},{"River","Rainwater","Borehole","Vendor"}),LOOKUP(RAND(),{0,0.25,0.5,0.75},{"River","Rainwater","Borehole","Vendor"}))),IF(B1005="Oloitoktok B",IF(D1005&lt;15000,LOOKUP(RAND(),{0,0.5,0.78,0.94},{"River","Rainwater","Borehole","Vendor"}),IF(D1005&lt;30000,LOOKUP(RAND(),{0,0.4,0.68,0.87},{"River","Rainwater","Borehole","Vendor"}),LOOKUP(RAND(),{0,0.28,0.55,0.78},{"River","Rainwater","Borehole","Vendor"}))),IF(B1005="Kiserian",IF(D1005&lt;15000,LOOKUP(RAND(),{0,0.35,0.65,0.9},{"River","Rainwater","Borehole","Vendor"}),IF(D1005&lt;30000,LOOKUP(RAND(),{0,0.25,0.55,0.82},{"River","Rainwater","Borehole","Vendor"}),LOOKUP(RAND(),{0,0.15,0.45,0.72},{"River","Rainwater","Borehole","Vendor"}))),IF(D1005&lt;15000,LOOKUP(RAND(),{0,0.4,0.7,0.92},{"River","Rainwater","Borehole","Vendor"}),IF(D1005&lt;30000,LOOKUP(RAND(),{0,0.3,0.6,0.85},{"River","Rainwater","Borehole","Vendor"}),LOOKUP(RAND(),{0,0.2,0.5,0.75},{"River","Rainwater","Borehole","Vendor"}))))))</f>
        <v>Vendor</v>
      </c>
      <c r="F1005">
        <f t="shared" ca="1" si="91"/>
        <v>29</v>
      </c>
      <c r="G1005">
        <f t="shared" ca="1" si="92"/>
        <v>5.6</v>
      </c>
      <c r="H1005">
        <f t="shared" ca="1" si="93"/>
        <v>3300</v>
      </c>
      <c r="I1005">
        <f t="shared" ca="1" si="94"/>
        <v>0.23767561272220894</v>
      </c>
      <c r="J1005">
        <v>1</v>
      </c>
    </row>
    <row r="1006" spans="1:10" x14ac:dyDescent="0.3">
      <c r="A1006" t="str">
        <f t="shared" si="95"/>
        <v>HH1005</v>
      </c>
      <c r="B1006" t="str">
        <f ca="1">LOOKUP(RAND(),{0,0.28,0.55,0.78},{"Oloitoktok A","Oloitoktok B","Kiserian","Namanga"})</f>
        <v>Kiserian</v>
      </c>
      <c r="C1006">
        <f ca="1">LOOKUP(RAND(),{0,0.02,0.09,0.2,0.35,0.52,0.68,0.81,0.91,0.97},{1,2,3,4,5,6,7,8,9,10})</f>
        <v>5</v>
      </c>
      <c r="D1006">
        <f t="shared" ca="1" si="90"/>
        <v>49000</v>
      </c>
      <c r="E1006" t="str">
        <f ca="1">IF(B1006="Oloitoktok A",IF(D1006&lt;15000,LOOKUP(RAND(),{0,0.45,0.75,0.92},{"River","Rainwater","Borehole","Vendor"}),IF(D1006&lt;30000,LOOKUP(RAND(),{0,0.35,0.65,0.85},{"River","Rainwater","Borehole","Vendor"}),LOOKUP(RAND(),{0,0.25,0.5,0.75},{"River","Rainwater","Borehole","Vendor"}))),IF(B1006="Oloitoktok B",IF(D1006&lt;15000,LOOKUP(RAND(),{0,0.5,0.78,0.94},{"River","Rainwater","Borehole","Vendor"}),IF(D1006&lt;30000,LOOKUP(RAND(),{0,0.4,0.68,0.87},{"River","Rainwater","Borehole","Vendor"}),LOOKUP(RAND(),{0,0.28,0.55,0.78},{"River","Rainwater","Borehole","Vendor"}))),IF(B1006="Kiserian",IF(D1006&lt;15000,LOOKUP(RAND(),{0,0.35,0.65,0.9},{"River","Rainwater","Borehole","Vendor"}),IF(D1006&lt;30000,LOOKUP(RAND(),{0,0.25,0.55,0.82},{"River","Rainwater","Borehole","Vendor"}),LOOKUP(RAND(),{0,0.15,0.45,0.72},{"River","Rainwater","Borehole","Vendor"}))),IF(D1006&lt;15000,LOOKUP(RAND(),{0,0.4,0.7,0.92},{"River","Rainwater","Borehole","Vendor"}),IF(D1006&lt;30000,LOOKUP(RAND(),{0,0.3,0.6,0.85},{"River","Rainwater","Borehole","Vendor"}),LOOKUP(RAND(),{0,0.2,0.5,0.75},{"River","Rainwater","Borehole","Vendor"}))))))</f>
        <v>Borehole</v>
      </c>
      <c r="F1006">
        <f t="shared" ca="1" si="91"/>
        <v>52</v>
      </c>
      <c r="G1006">
        <f t="shared" ca="1" si="92"/>
        <v>4.7</v>
      </c>
      <c r="H1006">
        <f t="shared" ca="1" si="93"/>
        <v>8300</v>
      </c>
      <c r="I1006">
        <f t="shared" ca="1" si="94"/>
        <v>0.50379169930300638</v>
      </c>
      <c r="J1006">
        <v>1</v>
      </c>
    </row>
    <row r="1007" spans="1:10" x14ac:dyDescent="0.3">
      <c r="A1007" t="str">
        <f t="shared" si="95"/>
        <v>HH1006</v>
      </c>
      <c r="B1007" t="str">
        <f ca="1">LOOKUP(RAND(),{0,0.28,0.55,0.78},{"Oloitoktok A","Oloitoktok B","Kiserian","Namanga"})</f>
        <v>Oloitoktok A</v>
      </c>
      <c r="C1007">
        <f ca="1">LOOKUP(RAND(),{0,0.02,0.09,0.2,0.35,0.52,0.68,0.81,0.91,0.97},{1,2,3,4,5,6,7,8,9,10})</f>
        <v>6</v>
      </c>
      <c r="D1007">
        <f t="shared" ca="1" si="90"/>
        <v>47300</v>
      </c>
      <c r="E1007" t="str">
        <f ca="1">IF(B1007="Oloitoktok A",IF(D1007&lt;15000,LOOKUP(RAND(),{0,0.45,0.75,0.92},{"River","Rainwater","Borehole","Vendor"}),IF(D1007&lt;30000,LOOKUP(RAND(),{0,0.35,0.65,0.85},{"River","Rainwater","Borehole","Vendor"}),LOOKUP(RAND(),{0,0.25,0.5,0.75},{"River","Rainwater","Borehole","Vendor"}))),IF(B1007="Oloitoktok B",IF(D1007&lt;15000,LOOKUP(RAND(),{0,0.5,0.78,0.94},{"River","Rainwater","Borehole","Vendor"}),IF(D1007&lt;30000,LOOKUP(RAND(),{0,0.4,0.68,0.87},{"River","Rainwater","Borehole","Vendor"}),LOOKUP(RAND(),{0,0.28,0.55,0.78},{"River","Rainwater","Borehole","Vendor"}))),IF(B1007="Kiserian",IF(D1007&lt;15000,LOOKUP(RAND(),{0,0.35,0.65,0.9},{"River","Rainwater","Borehole","Vendor"}),IF(D1007&lt;30000,LOOKUP(RAND(),{0,0.25,0.55,0.82},{"River","Rainwater","Borehole","Vendor"}),LOOKUP(RAND(),{0,0.15,0.45,0.72},{"River","Rainwater","Borehole","Vendor"}))),IF(D1007&lt;15000,LOOKUP(RAND(),{0,0.4,0.7,0.92},{"River","Rainwater","Borehole","Vendor"}),IF(D1007&lt;30000,LOOKUP(RAND(),{0,0.3,0.6,0.85},{"River","Rainwater","Borehole","Vendor"}),LOOKUP(RAND(),{0,0.2,0.5,0.75},{"River","Rainwater","Borehole","Vendor"}))))))</f>
        <v>Vendor</v>
      </c>
      <c r="F1007">
        <f t="shared" ca="1" si="91"/>
        <v>43</v>
      </c>
      <c r="G1007">
        <f t="shared" ca="1" si="92"/>
        <v>13.9</v>
      </c>
      <c r="H1007">
        <f t="shared" ca="1" si="93"/>
        <v>9500</v>
      </c>
      <c r="I1007">
        <f t="shared" ca="1" si="94"/>
        <v>0.23489838201483026</v>
      </c>
      <c r="J1007">
        <v>1</v>
      </c>
    </row>
    <row r="1008" spans="1:10" x14ac:dyDescent="0.3">
      <c r="A1008" t="str">
        <f t="shared" si="95"/>
        <v>HH1007</v>
      </c>
      <c r="B1008" t="str">
        <f ca="1">LOOKUP(RAND(),{0,0.28,0.55,0.78},{"Oloitoktok A","Oloitoktok B","Kiserian","Namanga"})</f>
        <v>Oloitoktok B</v>
      </c>
      <c r="C1008">
        <f ca="1">LOOKUP(RAND(),{0,0.02,0.09,0.2,0.35,0.52,0.68,0.81,0.91,0.97},{1,2,3,4,5,6,7,8,9,10})</f>
        <v>9</v>
      </c>
      <c r="D1008">
        <f t="shared" ca="1" si="90"/>
        <v>33000</v>
      </c>
      <c r="E1008" t="str">
        <f ca="1">IF(B1008="Oloitoktok A",IF(D1008&lt;15000,LOOKUP(RAND(),{0,0.45,0.75,0.92},{"River","Rainwater","Borehole","Vendor"}),IF(D1008&lt;30000,LOOKUP(RAND(),{0,0.35,0.65,0.85},{"River","Rainwater","Borehole","Vendor"}),LOOKUP(RAND(),{0,0.25,0.5,0.75},{"River","Rainwater","Borehole","Vendor"}))),IF(B1008="Oloitoktok B",IF(D1008&lt;15000,LOOKUP(RAND(),{0,0.5,0.78,0.94},{"River","Rainwater","Borehole","Vendor"}),IF(D1008&lt;30000,LOOKUP(RAND(),{0,0.4,0.68,0.87},{"River","Rainwater","Borehole","Vendor"}),LOOKUP(RAND(),{0,0.28,0.55,0.78},{"River","Rainwater","Borehole","Vendor"}))),IF(B1008="Kiserian",IF(D1008&lt;15000,LOOKUP(RAND(),{0,0.35,0.65,0.9},{"River","Rainwater","Borehole","Vendor"}),IF(D1008&lt;30000,LOOKUP(RAND(),{0,0.25,0.55,0.82},{"River","Rainwater","Borehole","Vendor"}),LOOKUP(RAND(),{0,0.15,0.45,0.72},{"River","Rainwater","Borehole","Vendor"}))),IF(D1008&lt;15000,LOOKUP(RAND(),{0,0.4,0.7,0.92},{"River","Rainwater","Borehole","Vendor"}),IF(D1008&lt;30000,LOOKUP(RAND(),{0,0.3,0.6,0.85},{"River","Rainwater","Borehole","Vendor"}),LOOKUP(RAND(),{0,0.2,0.5,0.75},{"River","Rainwater","Borehole","Vendor"}))))))</f>
        <v>Borehole</v>
      </c>
      <c r="F1008">
        <f t="shared" ca="1" si="91"/>
        <v>65</v>
      </c>
      <c r="G1008">
        <f t="shared" ca="1" si="92"/>
        <v>6</v>
      </c>
      <c r="H1008">
        <f t="shared" ca="1" si="93"/>
        <v>6400</v>
      </c>
      <c r="I1008">
        <f t="shared" ca="1" si="94"/>
        <v>0.80742767191539266</v>
      </c>
      <c r="J1008">
        <v>1</v>
      </c>
    </row>
    <row r="1009" spans="1:10" x14ac:dyDescent="0.3">
      <c r="A1009" t="str">
        <f t="shared" si="95"/>
        <v>HH1008</v>
      </c>
      <c r="B1009" t="str">
        <f ca="1">LOOKUP(RAND(),{0,0.28,0.55,0.78},{"Oloitoktok A","Oloitoktok B","Kiserian","Namanga"})</f>
        <v>Oloitoktok A</v>
      </c>
      <c r="C1009">
        <f ca="1">LOOKUP(RAND(),{0,0.02,0.09,0.2,0.35,0.52,0.68,0.81,0.91,0.97},{1,2,3,4,5,6,7,8,9,10})</f>
        <v>8</v>
      </c>
      <c r="D1009">
        <f t="shared" ca="1" si="90"/>
        <v>25500</v>
      </c>
      <c r="E1009" t="str">
        <f ca="1">IF(B1009="Oloitoktok A",IF(D1009&lt;15000,LOOKUP(RAND(),{0,0.45,0.75,0.92},{"River","Rainwater","Borehole","Vendor"}),IF(D1009&lt;30000,LOOKUP(RAND(),{0,0.35,0.65,0.85},{"River","Rainwater","Borehole","Vendor"}),LOOKUP(RAND(),{0,0.25,0.5,0.75},{"River","Rainwater","Borehole","Vendor"}))),IF(B1009="Oloitoktok B",IF(D1009&lt;15000,LOOKUP(RAND(),{0,0.5,0.78,0.94},{"River","Rainwater","Borehole","Vendor"}),IF(D1009&lt;30000,LOOKUP(RAND(),{0,0.4,0.68,0.87},{"River","Rainwater","Borehole","Vendor"}),LOOKUP(RAND(),{0,0.28,0.55,0.78},{"River","Rainwater","Borehole","Vendor"}))),IF(B1009="Kiserian",IF(D1009&lt;15000,LOOKUP(RAND(),{0,0.35,0.65,0.9},{"River","Rainwater","Borehole","Vendor"}),IF(D1009&lt;30000,LOOKUP(RAND(),{0,0.25,0.55,0.82},{"River","Rainwater","Borehole","Vendor"}),LOOKUP(RAND(),{0,0.15,0.45,0.72},{"River","Rainwater","Borehole","Vendor"}))),IF(D1009&lt;15000,LOOKUP(RAND(),{0,0.4,0.7,0.92},{"River","Rainwater","Borehole","Vendor"}),IF(D1009&lt;30000,LOOKUP(RAND(),{0,0.3,0.6,0.85},{"River","Rainwater","Borehole","Vendor"}),LOOKUP(RAND(),{0,0.2,0.5,0.75},{"River","Rainwater","Borehole","Vendor"}))))))</f>
        <v>Borehole</v>
      </c>
      <c r="F1009">
        <f t="shared" ca="1" si="91"/>
        <v>48</v>
      </c>
      <c r="G1009">
        <f t="shared" ca="1" si="92"/>
        <v>4.5999999999999996</v>
      </c>
      <c r="H1009">
        <f t="shared" ca="1" si="93"/>
        <v>3300</v>
      </c>
      <c r="I1009">
        <f t="shared" ca="1" si="94"/>
        <v>0.8901516692833823</v>
      </c>
      <c r="J1009">
        <v>1</v>
      </c>
    </row>
    <row r="1010" spans="1:10" x14ac:dyDescent="0.3">
      <c r="A1010" t="str">
        <f t="shared" si="95"/>
        <v>HH1009</v>
      </c>
      <c r="B1010" t="str">
        <f ca="1">LOOKUP(RAND(),{0,0.28,0.55,0.78},{"Oloitoktok A","Oloitoktok B","Kiserian","Namanga"})</f>
        <v>Oloitoktok A</v>
      </c>
      <c r="C1010">
        <f ca="1">LOOKUP(RAND(),{0,0.02,0.09,0.2,0.35,0.52,0.68,0.81,0.91,0.97},{1,2,3,4,5,6,7,8,9,10})</f>
        <v>7</v>
      </c>
      <c r="D1010">
        <f t="shared" ca="1" si="90"/>
        <v>33300</v>
      </c>
      <c r="E1010" t="str">
        <f ca="1">IF(B1010="Oloitoktok A",IF(D1010&lt;15000,LOOKUP(RAND(),{0,0.45,0.75,0.92},{"River","Rainwater","Borehole","Vendor"}),IF(D1010&lt;30000,LOOKUP(RAND(),{0,0.35,0.65,0.85},{"River","Rainwater","Borehole","Vendor"}),LOOKUP(RAND(),{0,0.25,0.5,0.75},{"River","Rainwater","Borehole","Vendor"}))),IF(B1010="Oloitoktok B",IF(D1010&lt;15000,LOOKUP(RAND(),{0,0.5,0.78,0.94},{"River","Rainwater","Borehole","Vendor"}),IF(D1010&lt;30000,LOOKUP(RAND(),{0,0.4,0.68,0.87},{"River","Rainwater","Borehole","Vendor"}),LOOKUP(RAND(),{0,0.28,0.55,0.78},{"River","Rainwater","Borehole","Vendor"}))),IF(B1010="Kiserian",IF(D1010&lt;15000,LOOKUP(RAND(),{0,0.35,0.65,0.9},{"River","Rainwater","Borehole","Vendor"}),IF(D1010&lt;30000,LOOKUP(RAND(),{0,0.25,0.55,0.82},{"River","Rainwater","Borehole","Vendor"}),LOOKUP(RAND(),{0,0.15,0.45,0.72},{"River","Rainwater","Borehole","Vendor"}))),IF(D1010&lt;15000,LOOKUP(RAND(),{0,0.4,0.7,0.92},{"River","Rainwater","Borehole","Vendor"}),IF(D1010&lt;30000,LOOKUP(RAND(),{0,0.3,0.6,0.85},{"River","Rainwater","Borehole","Vendor"}),LOOKUP(RAND(),{0,0.2,0.5,0.75},{"River","Rainwater","Borehole","Vendor"}))))))</f>
        <v>River</v>
      </c>
      <c r="F1010">
        <f t="shared" ca="1" si="91"/>
        <v>54</v>
      </c>
      <c r="G1010">
        <f t="shared" ca="1" si="92"/>
        <v>5.0999999999999996</v>
      </c>
      <c r="H1010">
        <f t="shared" ca="1" si="93"/>
        <v>8300</v>
      </c>
      <c r="I1010">
        <f t="shared" ca="1" si="94"/>
        <v>8.7285963599463279E-2</v>
      </c>
      <c r="J1010">
        <v>1</v>
      </c>
    </row>
    <row r="1011" spans="1:10" x14ac:dyDescent="0.3">
      <c r="A1011" t="str">
        <f t="shared" si="95"/>
        <v>HH1010</v>
      </c>
      <c r="B1011" t="str">
        <f ca="1">LOOKUP(RAND(),{0,0.28,0.55,0.78},{"Oloitoktok A","Oloitoktok B","Kiserian","Namanga"})</f>
        <v>Oloitoktok B</v>
      </c>
      <c r="C1011">
        <f ca="1">LOOKUP(RAND(),{0,0.02,0.09,0.2,0.35,0.52,0.68,0.81,0.91,0.97},{1,2,3,4,5,6,7,8,9,10})</f>
        <v>5</v>
      </c>
      <c r="D1011">
        <f t="shared" ca="1" si="90"/>
        <v>40400</v>
      </c>
      <c r="E1011" t="str">
        <f ca="1">IF(B1011="Oloitoktok A",IF(D1011&lt;15000,LOOKUP(RAND(),{0,0.45,0.75,0.92},{"River","Rainwater","Borehole","Vendor"}),IF(D1011&lt;30000,LOOKUP(RAND(),{0,0.35,0.65,0.85},{"River","Rainwater","Borehole","Vendor"}),LOOKUP(RAND(),{0,0.25,0.5,0.75},{"River","Rainwater","Borehole","Vendor"}))),IF(B1011="Oloitoktok B",IF(D1011&lt;15000,LOOKUP(RAND(),{0,0.5,0.78,0.94},{"River","Rainwater","Borehole","Vendor"}),IF(D1011&lt;30000,LOOKUP(RAND(),{0,0.4,0.68,0.87},{"River","Rainwater","Borehole","Vendor"}),LOOKUP(RAND(),{0,0.28,0.55,0.78},{"River","Rainwater","Borehole","Vendor"}))),IF(B1011="Kiserian",IF(D1011&lt;15000,LOOKUP(RAND(),{0,0.35,0.65,0.9},{"River","Rainwater","Borehole","Vendor"}),IF(D1011&lt;30000,LOOKUP(RAND(),{0,0.25,0.55,0.82},{"River","Rainwater","Borehole","Vendor"}),LOOKUP(RAND(),{0,0.15,0.45,0.72},{"River","Rainwater","Borehole","Vendor"}))),IF(D1011&lt;15000,LOOKUP(RAND(),{0,0.4,0.7,0.92},{"River","Rainwater","Borehole","Vendor"}),IF(D1011&lt;30000,LOOKUP(RAND(),{0,0.3,0.6,0.85},{"River","Rainwater","Borehole","Vendor"}),LOOKUP(RAND(),{0,0.2,0.5,0.75},{"River","Rainwater","Borehole","Vendor"}))))))</f>
        <v>Rainwater</v>
      </c>
      <c r="F1011">
        <f t="shared" ca="1" si="91"/>
        <v>33</v>
      </c>
      <c r="G1011">
        <f t="shared" ca="1" si="92"/>
        <v>13.7</v>
      </c>
      <c r="H1011">
        <f t="shared" ca="1" si="93"/>
        <v>0</v>
      </c>
      <c r="I1011">
        <f t="shared" ca="1" si="94"/>
        <v>0.41333526443786073</v>
      </c>
      <c r="J1011">
        <v>1</v>
      </c>
    </row>
    <row r="1012" spans="1:10" x14ac:dyDescent="0.3">
      <c r="A1012" t="str">
        <f t="shared" si="95"/>
        <v>HH1011</v>
      </c>
      <c r="B1012" t="str">
        <f ca="1">LOOKUP(RAND(),{0,0.28,0.55,0.78},{"Oloitoktok A","Oloitoktok B","Kiserian","Namanga"})</f>
        <v>Oloitoktok B</v>
      </c>
      <c r="C1012">
        <f ca="1">LOOKUP(RAND(),{0,0.02,0.09,0.2,0.35,0.52,0.68,0.81,0.91,0.97},{1,2,3,4,5,6,7,8,9,10})</f>
        <v>10</v>
      </c>
      <c r="D1012">
        <f t="shared" ca="1" si="90"/>
        <v>18600</v>
      </c>
      <c r="E1012" t="str">
        <f ca="1">IF(B1012="Oloitoktok A",IF(D1012&lt;15000,LOOKUP(RAND(),{0,0.45,0.75,0.92},{"River","Rainwater","Borehole","Vendor"}),IF(D1012&lt;30000,LOOKUP(RAND(),{0,0.35,0.65,0.85},{"River","Rainwater","Borehole","Vendor"}),LOOKUP(RAND(),{0,0.25,0.5,0.75},{"River","Rainwater","Borehole","Vendor"}))),IF(B1012="Oloitoktok B",IF(D1012&lt;15000,LOOKUP(RAND(),{0,0.5,0.78,0.94},{"River","Rainwater","Borehole","Vendor"}),IF(D1012&lt;30000,LOOKUP(RAND(),{0,0.4,0.68,0.87},{"River","Rainwater","Borehole","Vendor"}),LOOKUP(RAND(),{0,0.28,0.55,0.78},{"River","Rainwater","Borehole","Vendor"}))),IF(B1012="Kiserian",IF(D1012&lt;15000,LOOKUP(RAND(),{0,0.35,0.65,0.9},{"River","Rainwater","Borehole","Vendor"}),IF(D1012&lt;30000,LOOKUP(RAND(),{0,0.25,0.55,0.82},{"River","Rainwater","Borehole","Vendor"}),LOOKUP(RAND(),{0,0.15,0.45,0.72},{"River","Rainwater","Borehole","Vendor"}))),IF(D1012&lt;15000,LOOKUP(RAND(),{0,0.4,0.7,0.92},{"River","Rainwater","Borehole","Vendor"}),IF(D1012&lt;30000,LOOKUP(RAND(),{0,0.3,0.6,0.85},{"River","Rainwater","Borehole","Vendor"}),LOOKUP(RAND(),{0,0.2,0.5,0.75},{"River","Rainwater","Borehole","Vendor"}))))))</f>
        <v>Vendor</v>
      </c>
      <c r="F1012">
        <f t="shared" ca="1" si="91"/>
        <v>31</v>
      </c>
      <c r="G1012">
        <f t="shared" ca="1" si="92"/>
        <v>3.2</v>
      </c>
      <c r="H1012">
        <f t="shared" ca="1" si="93"/>
        <v>3100</v>
      </c>
      <c r="I1012">
        <f t="shared" ca="1" si="94"/>
        <v>0.58654671966387006</v>
      </c>
      <c r="J1012">
        <v>1</v>
      </c>
    </row>
    <row r="1013" spans="1:10" x14ac:dyDescent="0.3">
      <c r="A1013" t="str">
        <f t="shared" si="95"/>
        <v>HH1012</v>
      </c>
      <c r="B1013" t="str">
        <f ca="1">LOOKUP(RAND(),{0,0.28,0.55,0.78},{"Oloitoktok A","Oloitoktok B","Kiserian","Namanga"})</f>
        <v>Oloitoktok B</v>
      </c>
      <c r="C1013">
        <f ca="1">LOOKUP(RAND(),{0,0.02,0.09,0.2,0.35,0.52,0.68,0.81,0.91,0.97},{1,2,3,4,5,6,7,8,9,10})</f>
        <v>6</v>
      </c>
      <c r="D1013">
        <f t="shared" ca="1" si="90"/>
        <v>30900</v>
      </c>
      <c r="E1013" t="str">
        <f ca="1">IF(B1013="Oloitoktok A",IF(D1013&lt;15000,LOOKUP(RAND(),{0,0.45,0.75,0.92},{"River","Rainwater","Borehole","Vendor"}),IF(D1013&lt;30000,LOOKUP(RAND(),{0,0.35,0.65,0.85},{"River","Rainwater","Borehole","Vendor"}),LOOKUP(RAND(),{0,0.25,0.5,0.75},{"River","Rainwater","Borehole","Vendor"}))),IF(B1013="Oloitoktok B",IF(D1013&lt;15000,LOOKUP(RAND(),{0,0.5,0.78,0.94},{"River","Rainwater","Borehole","Vendor"}),IF(D1013&lt;30000,LOOKUP(RAND(),{0,0.4,0.68,0.87},{"River","Rainwater","Borehole","Vendor"}),LOOKUP(RAND(),{0,0.28,0.55,0.78},{"River","Rainwater","Borehole","Vendor"}))),IF(B1013="Kiserian",IF(D1013&lt;15000,LOOKUP(RAND(),{0,0.35,0.65,0.9},{"River","Rainwater","Borehole","Vendor"}),IF(D1013&lt;30000,LOOKUP(RAND(),{0,0.25,0.55,0.82},{"River","Rainwater","Borehole","Vendor"}),LOOKUP(RAND(),{0,0.15,0.45,0.72},{"River","Rainwater","Borehole","Vendor"}))),IF(D1013&lt;15000,LOOKUP(RAND(),{0,0.4,0.7,0.92},{"River","Rainwater","Borehole","Vendor"}),IF(D1013&lt;30000,LOOKUP(RAND(),{0,0.3,0.6,0.85},{"River","Rainwater","Borehole","Vendor"}),LOOKUP(RAND(),{0,0.2,0.5,0.75},{"River","Rainwater","Borehole","Vendor"}))))))</f>
        <v>Borehole</v>
      </c>
      <c r="F1013">
        <f t="shared" ca="1" si="91"/>
        <v>70</v>
      </c>
      <c r="G1013">
        <f t="shared" ca="1" si="92"/>
        <v>10.7</v>
      </c>
      <c r="H1013">
        <f t="shared" ca="1" si="93"/>
        <v>5900</v>
      </c>
      <c r="I1013">
        <f t="shared" ca="1" si="94"/>
        <v>9.770189995632439E-2</v>
      </c>
      <c r="J1013">
        <v>1</v>
      </c>
    </row>
    <row r="1014" spans="1:10" x14ac:dyDescent="0.3">
      <c r="A1014" t="str">
        <f t="shared" si="95"/>
        <v>HH1013</v>
      </c>
      <c r="B1014" t="str">
        <f ca="1">LOOKUP(RAND(),{0,0.28,0.55,0.78},{"Oloitoktok A","Oloitoktok B","Kiserian","Namanga"})</f>
        <v>Namanga</v>
      </c>
      <c r="C1014">
        <f ca="1">LOOKUP(RAND(),{0,0.02,0.09,0.2,0.35,0.52,0.68,0.81,0.91,0.97},{1,2,3,4,5,6,7,8,9,10})</f>
        <v>5</v>
      </c>
      <c r="D1014">
        <f t="shared" ca="1" si="90"/>
        <v>31700</v>
      </c>
      <c r="E1014" t="str">
        <f ca="1">IF(B1014="Oloitoktok A",IF(D1014&lt;15000,LOOKUP(RAND(),{0,0.45,0.75,0.92},{"River","Rainwater","Borehole","Vendor"}),IF(D1014&lt;30000,LOOKUP(RAND(),{0,0.35,0.65,0.85},{"River","Rainwater","Borehole","Vendor"}),LOOKUP(RAND(),{0,0.25,0.5,0.75},{"River","Rainwater","Borehole","Vendor"}))),IF(B1014="Oloitoktok B",IF(D1014&lt;15000,LOOKUP(RAND(),{0,0.5,0.78,0.94},{"River","Rainwater","Borehole","Vendor"}),IF(D1014&lt;30000,LOOKUP(RAND(),{0,0.4,0.68,0.87},{"River","Rainwater","Borehole","Vendor"}),LOOKUP(RAND(),{0,0.28,0.55,0.78},{"River","Rainwater","Borehole","Vendor"}))),IF(B1014="Kiserian",IF(D1014&lt;15000,LOOKUP(RAND(),{0,0.35,0.65,0.9},{"River","Rainwater","Borehole","Vendor"}),IF(D1014&lt;30000,LOOKUP(RAND(),{0,0.25,0.55,0.82},{"River","Rainwater","Borehole","Vendor"}),LOOKUP(RAND(),{0,0.15,0.45,0.72},{"River","Rainwater","Borehole","Vendor"}))),IF(D1014&lt;15000,LOOKUP(RAND(),{0,0.4,0.7,0.92},{"River","Rainwater","Borehole","Vendor"}),IF(D1014&lt;30000,LOOKUP(RAND(),{0,0.3,0.6,0.85},{"River","Rainwater","Borehole","Vendor"}),LOOKUP(RAND(),{0,0.2,0.5,0.75},{"River","Rainwater","Borehole","Vendor"}))))))</f>
        <v>River</v>
      </c>
      <c r="F1014">
        <f t="shared" ca="1" si="91"/>
        <v>65</v>
      </c>
      <c r="G1014">
        <f t="shared" ca="1" si="92"/>
        <v>10.4</v>
      </c>
      <c r="H1014">
        <f t="shared" ca="1" si="93"/>
        <v>8900</v>
      </c>
      <c r="I1014">
        <f t="shared" ca="1" si="94"/>
        <v>0.27986719835271956</v>
      </c>
      <c r="J1014">
        <v>1</v>
      </c>
    </row>
    <row r="1015" spans="1:10" x14ac:dyDescent="0.3">
      <c r="A1015" t="str">
        <f t="shared" si="95"/>
        <v>HH1014</v>
      </c>
      <c r="B1015" t="str">
        <f ca="1">LOOKUP(RAND(),{0,0.28,0.55,0.78},{"Oloitoktok A","Oloitoktok B","Kiserian","Namanga"})</f>
        <v>Oloitoktok A</v>
      </c>
      <c r="C1015">
        <f ca="1">LOOKUP(RAND(),{0,0.02,0.09,0.2,0.35,0.52,0.68,0.81,0.91,0.97},{1,2,3,4,5,6,7,8,9,10})</f>
        <v>6</v>
      </c>
      <c r="D1015">
        <f t="shared" ca="1" si="90"/>
        <v>46000</v>
      </c>
      <c r="E1015" t="str">
        <f ca="1">IF(B1015="Oloitoktok A",IF(D1015&lt;15000,LOOKUP(RAND(),{0,0.45,0.75,0.92},{"River","Rainwater","Borehole","Vendor"}),IF(D1015&lt;30000,LOOKUP(RAND(),{0,0.35,0.65,0.85},{"River","Rainwater","Borehole","Vendor"}),LOOKUP(RAND(),{0,0.25,0.5,0.75},{"River","Rainwater","Borehole","Vendor"}))),IF(B1015="Oloitoktok B",IF(D1015&lt;15000,LOOKUP(RAND(),{0,0.5,0.78,0.94},{"River","Rainwater","Borehole","Vendor"}),IF(D1015&lt;30000,LOOKUP(RAND(),{0,0.4,0.68,0.87},{"River","Rainwater","Borehole","Vendor"}),LOOKUP(RAND(),{0,0.28,0.55,0.78},{"River","Rainwater","Borehole","Vendor"}))),IF(B1015="Kiserian",IF(D1015&lt;15000,LOOKUP(RAND(),{0,0.35,0.65,0.9},{"River","Rainwater","Borehole","Vendor"}),IF(D1015&lt;30000,LOOKUP(RAND(),{0,0.25,0.55,0.82},{"River","Rainwater","Borehole","Vendor"}),LOOKUP(RAND(),{0,0.15,0.45,0.72},{"River","Rainwater","Borehole","Vendor"}))),IF(D1015&lt;15000,LOOKUP(RAND(),{0,0.4,0.7,0.92},{"River","Rainwater","Borehole","Vendor"}),IF(D1015&lt;30000,LOOKUP(RAND(),{0,0.3,0.6,0.85},{"River","Rainwater","Borehole","Vendor"}),LOOKUP(RAND(),{0,0.2,0.5,0.75},{"River","Rainwater","Borehole","Vendor"}))))))</f>
        <v>Borehole</v>
      </c>
      <c r="F1015">
        <f t="shared" ca="1" si="91"/>
        <v>25</v>
      </c>
      <c r="G1015">
        <f t="shared" ca="1" si="92"/>
        <v>6.5</v>
      </c>
      <c r="H1015">
        <f t="shared" ca="1" si="93"/>
        <v>2500</v>
      </c>
      <c r="I1015">
        <f t="shared" ca="1" si="94"/>
        <v>0.41620808819895849</v>
      </c>
      <c r="J1015">
        <v>1</v>
      </c>
    </row>
    <row r="1016" spans="1:10" x14ac:dyDescent="0.3">
      <c r="A1016" t="str">
        <f t="shared" si="95"/>
        <v>HH1015</v>
      </c>
      <c r="B1016" t="str">
        <f ca="1">LOOKUP(RAND(),{0,0.28,0.55,0.78},{"Oloitoktok A","Oloitoktok B","Kiserian","Namanga"})</f>
        <v>Namanga</v>
      </c>
      <c r="C1016">
        <f ca="1">LOOKUP(RAND(),{0,0.02,0.09,0.2,0.35,0.52,0.68,0.81,0.91,0.97},{1,2,3,4,5,6,7,8,9,10})</f>
        <v>8</v>
      </c>
      <c r="D1016">
        <f t="shared" ca="1" si="90"/>
        <v>52600</v>
      </c>
      <c r="E1016" t="str">
        <f ca="1">IF(B1016="Oloitoktok A",IF(D1016&lt;15000,LOOKUP(RAND(),{0,0.45,0.75,0.92},{"River","Rainwater","Borehole","Vendor"}),IF(D1016&lt;30000,LOOKUP(RAND(),{0,0.35,0.65,0.85},{"River","Rainwater","Borehole","Vendor"}),LOOKUP(RAND(),{0,0.25,0.5,0.75},{"River","Rainwater","Borehole","Vendor"}))),IF(B1016="Oloitoktok B",IF(D1016&lt;15000,LOOKUP(RAND(),{0,0.5,0.78,0.94},{"River","Rainwater","Borehole","Vendor"}),IF(D1016&lt;30000,LOOKUP(RAND(),{0,0.4,0.68,0.87},{"River","Rainwater","Borehole","Vendor"}),LOOKUP(RAND(),{0,0.28,0.55,0.78},{"River","Rainwater","Borehole","Vendor"}))),IF(B1016="Kiserian",IF(D1016&lt;15000,LOOKUP(RAND(),{0,0.35,0.65,0.9},{"River","Rainwater","Borehole","Vendor"}),IF(D1016&lt;30000,LOOKUP(RAND(),{0,0.25,0.55,0.82},{"River","Rainwater","Borehole","Vendor"}),LOOKUP(RAND(),{0,0.15,0.45,0.72},{"River","Rainwater","Borehole","Vendor"}))),IF(D1016&lt;15000,LOOKUP(RAND(),{0,0.4,0.7,0.92},{"River","Rainwater","Borehole","Vendor"}),IF(D1016&lt;30000,LOOKUP(RAND(),{0,0.3,0.6,0.85},{"River","Rainwater","Borehole","Vendor"}),LOOKUP(RAND(),{0,0.2,0.5,0.75},{"River","Rainwater","Borehole","Vendor"}))))))</f>
        <v>Rainwater</v>
      </c>
      <c r="F1016">
        <f t="shared" ca="1" si="91"/>
        <v>54</v>
      </c>
      <c r="G1016">
        <f t="shared" ca="1" si="92"/>
        <v>10.5</v>
      </c>
      <c r="H1016">
        <f t="shared" ca="1" si="93"/>
        <v>4200</v>
      </c>
      <c r="I1016">
        <f t="shared" ca="1" si="94"/>
        <v>0.14503225937133535</v>
      </c>
      <c r="J1016">
        <v>1</v>
      </c>
    </row>
    <row r="1017" spans="1:10" x14ac:dyDescent="0.3">
      <c r="A1017" t="str">
        <f t="shared" si="95"/>
        <v>HH1016</v>
      </c>
      <c r="B1017" t="str">
        <f ca="1">LOOKUP(RAND(),{0,0.28,0.55,0.78},{"Oloitoktok A","Oloitoktok B","Kiserian","Namanga"})</f>
        <v>Oloitoktok B</v>
      </c>
      <c r="C1017">
        <f ca="1">LOOKUP(RAND(),{0,0.02,0.09,0.2,0.35,0.52,0.68,0.81,0.91,0.97},{1,2,3,4,5,6,7,8,9,10})</f>
        <v>6</v>
      </c>
      <c r="D1017">
        <f t="shared" ca="1" si="90"/>
        <v>69100</v>
      </c>
      <c r="E1017" t="str">
        <f ca="1">IF(B1017="Oloitoktok A",IF(D1017&lt;15000,LOOKUP(RAND(),{0,0.45,0.75,0.92},{"River","Rainwater","Borehole","Vendor"}),IF(D1017&lt;30000,LOOKUP(RAND(),{0,0.35,0.65,0.85},{"River","Rainwater","Borehole","Vendor"}),LOOKUP(RAND(),{0,0.25,0.5,0.75},{"River","Rainwater","Borehole","Vendor"}))),IF(B1017="Oloitoktok B",IF(D1017&lt;15000,LOOKUP(RAND(),{0,0.5,0.78,0.94},{"River","Rainwater","Borehole","Vendor"}),IF(D1017&lt;30000,LOOKUP(RAND(),{0,0.4,0.68,0.87},{"River","Rainwater","Borehole","Vendor"}),LOOKUP(RAND(),{0,0.28,0.55,0.78},{"River","Rainwater","Borehole","Vendor"}))),IF(B1017="Kiserian",IF(D1017&lt;15000,LOOKUP(RAND(),{0,0.35,0.65,0.9},{"River","Rainwater","Borehole","Vendor"}),IF(D1017&lt;30000,LOOKUP(RAND(),{0,0.25,0.55,0.82},{"River","Rainwater","Borehole","Vendor"}),LOOKUP(RAND(),{0,0.15,0.45,0.72},{"River","Rainwater","Borehole","Vendor"}))),IF(D1017&lt;15000,LOOKUP(RAND(),{0,0.4,0.7,0.92},{"River","Rainwater","Borehole","Vendor"}),IF(D1017&lt;30000,LOOKUP(RAND(),{0,0.3,0.6,0.85},{"River","Rainwater","Borehole","Vendor"}),LOOKUP(RAND(),{0,0.2,0.5,0.75},{"River","Rainwater","Borehole","Vendor"}))))))</f>
        <v>Borehole</v>
      </c>
      <c r="F1017">
        <f t="shared" ca="1" si="91"/>
        <v>36</v>
      </c>
      <c r="G1017">
        <f t="shared" ca="1" si="92"/>
        <v>8.6999999999999993</v>
      </c>
      <c r="H1017">
        <f t="shared" ca="1" si="93"/>
        <v>3000</v>
      </c>
      <c r="I1017">
        <f t="shared" ca="1" si="94"/>
        <v>0.79467887577682428</v>
      </c>
      <c r="J1017">
        <v>1</v>
      </c>
    </row>
    <row r="1018" spans="1:10" x14ac:dyDescent="0.3">
      <c r="A1018" t="str">
        <f t="shared" si="95"/>
        <v>HH1017</v>
      </c>
      <c r="B1018" t="str">
        <f ca="1">LOOKUP(RAND(),{0,0.28,0.55,0.78},{"Oloitoktok A","Oloitoktok B","Kiserian","Namanga"})</f>
        <v>Oloitoktok A</v>
      </c>
      <c r="C1018">
        <f ca="1">LOOKUP(RAND(),{0,0.02,0.09,0.2,0.35,0.52,0.68,0.81,0.91,0.97},{1,2,3,4,5,6,7,8,9,10})</f>
        <v>6</v>
      </c>
      <c r="D1018">
        <f t="shared" ca="1" si="90"/>
        <v>35100</v>
      </c>
      <c r="E1018" t="str">
        <f ca="1">IF(B1018="Oloitoktok A",IF(D1018&lt;15000,LOOKUP(RAND(),{0,0.45,0.75,0.92},{"River","Rainwater","Borehole","Vendor"}),IF(D1018&lt;30000,LOOKUP(RAND(),{0,0.35,0.65,0.85},{"River","Rainwater","Borehole","Vendor"}),LOOKUP(RAND(),{0,0.25,0.5,0.75},{"River","Rainwater","Borehole","Vendor"}))),IF(B1018="Oloitoktok B",IF(D1018&lt;15000,LOOKUP(RAND(),{0,0.5,0.78,0.94},{"River","Rainwater","Borehole","Vendor"}),IF(D1018&lt;30000,LOOKUP(RAND(),{0,0.4,0.68,0.87},{"River","Rainwater","Borehole","Vendor"}),LOOKUP(RAND(),{0,0.28,0.55,0.78},{"River","Rainwater","Borehole","Vendor"}))),IF(B1018="Kiserian",IF(D1018&lt;15000,LOOKUP(RAND(),{0,0.35,0.65,0.9},{"River","Rainwater","Borehole","Vendor"}),IF(D1018&lt;30000,LOOKUP(RAND(),{0,0.25,0.55,0.82},{"River","Rainwater","Borehole","Vendor"}),LOOKUP(RAND(),{0,0.15,0.45,0.72},{"River","Rainwater","Borehole","Vendor"}))),IF(D1018&lt;15000,LOOKUP(RAND(),{0,0.4,0.7,0.92},{"River","Rainwater","Borehole","Vendor"}),IF(D1018&lt;30000,LOOKUP(RAND(),{0,0.3,0.6,0.85},{"River","Rainwater","Borehole","Vendor"}),LOOKUP(RAND(),{0,0.2,0.5,0.75},{"River","Rainwater","Borehole","Vendor"}))))))</f>
        <v>Vendor</v>
      </c>
      <c r="F1018">
        <f t="shared" ca="1" si="91"/>
        <v>58</v>
      </c>
      <c r="G1018">
        <f t="shared" ca="1" si="92"/>
        <v>9.1999999999999993</v>
      </c>
      <c r="H1018">
        <f t="shared" ca="1" si="93"/>
        <v>6700</v>
      </c>
      <c r="I1018">
        <f t="shared" ca="1" si="94"/>
        <v>0.54758326548289482</v>
      </c>
      <c r="J1018">
        <v>1</v>
      </c>
    </row>
    <row r="1019" spans="1:10" x14ac:dyDescent="0.3">
      <c r="A1019" t="str">
        <f t="shared" si="95"/>
        <v>HH1018</v>
      </c>
      <c r="B1019" t="str">
        <f ca="1">LOOKUP(RAND(),{0,0.28,0.55,0.78},{"Oloitoktok A","Oloitoktok B","Kiserian","Namanga"})</f>
        <v>Namanga</v>
      </c>
      <c r="C1019">
        <f ca="1">LOOKUP(RAND(),{0,0.02,0.09,0.2,0.35,0.52,0.68,0.81,0.91,0.97},{1,2,3,4,5,6,7,8,9,10})</f>
        <v>3</v>
      </c>
      <c r="D1019">
        <f t="shared" ca="1" si="90"/>
        <v>50400</v>
      </c>
      <c r="E1019" t="str">
        <f ca="1">IF(B1019="Oloitoktok A",IF(D1019&lt;15000,LOOKUP(RAND(),{0,0.45,0.75,0.92},{"River","Rainwater","Borehole","Vendor"}),IF(D1019&lt;30000,LOOKUP(RAND(),{0,0.35,0.65,0.85},{"River","Rainwater","Borehole","Vendor"}),LOOKUP(RAND(),{0,0.25,0.5,0.75},{"River","Rainwater","Borehole","Vendor"}))),IF(B1019="Oloitoktok B",IF(D1019&lt;15000,LOOKUP(RAND(),{0,0.5,0.78,0.94},{"River","Rainwater","Borehole","Vendor"}),IF(D1019&lt;30000,LOOKUP(RAND(),{0,0.4,0.68,0.87},{"River","Rainwater","Borehole","Vendor"}),LOOKUP(RAND(),{0,0.28,0.55,0.78},{"River","Rainwater","Borehole","Vendor"}))),IF(B1019="Kiserian",IF(D1019&lt;15000,LOOKUP(RAND(),{0,0.35,0.65,0.9},{"River","Rainwater","Borehole","Vendor"}),IF(D1019&lt;30000,LOOKUP(RAND(),{0,0.25,0.55,0.82},{"River","Rainwater","Borehole","Vendor"}),LOOKUP(RAND(),{0,0.15,0.45,0.72},{"River","Rainwater","Borehole","Vendor"}))),IF(D1019&lt;15000,LOOKUP(RAND(),{0,0.4,0.7,0.92},{"River","Rainwater","Borehole","Vendor"}),IF(D1019&lt;30000,LOOKUP(RAND(),{0,0.3,0.6,0.85},{"River","Rainwater","Borehole","Vendor"}),LOOKUP(RAND(),{0,0.2,0.5,0.75},{"River","Rainwater","Borehole","Vendor"}))))))</f>
        <v>Rainwater</v>
      </c>
      <c r="F1019">
        <f t="shared" ca="1" si="91"/>
        <v>67</v>
      </c>
      <c r="G1019">
        <f t="shared" ca="1" si="92"/>
        <v>6.5</v>
      </c>
      <c r="H1019">
        <f t="shared" ca="1" si="93"/>
        <v>3600</v>
      </c>
      <c r="I1019">
        <f t="shared" ca="1" si="94"/>
        <v>0.34920774081643546</v>
      </c>
      <c r="J1019">
        <v>1</v>
      </c>
    </row>
    <row r="1020" spans="1:10" x14ac:dyDescent="0.3">
      <c r="A1020" t="str">
        <f t="shared" si="95"/>
        <v>HH1019</v>
      </c>
      <c r="B1020" t="str">
        <f ca="1">LOOKUP(RAND(),{0,0.28,0.55,0.78},{"Oloitoktok A","Oloitoktok B","Kiserian","Namanga"})</f>
        <v>Oloitoktok A</v>
      </c>
      <c r="C1020">
        <f ca="1">LOOKUP(RAND(),{0,0.02,0.09,0.2,0.35,0.52,0.68,0.81,0.91,0.97},{1,2,3,4,5,6,7,8,9,10})</f>
        <v>2</v>
      </c>
      <c r="D1020">
        <f t="shared" ca="1" si="90"/>
        <v>35700</v>
      </c>
      <c r="E1020" t="str">
        <f ca="1">IF(B1020="Oloitoktok A",IF(D1020&lt;15000,LOOKUP(RAND(),{0,0.45,0.75,0.92},{"River","Rainwater","Borehole","Vendor"}),IF(D1020&lt;30000,LOOKUP(RAND(),{0,0.35,0.65,0.85},{"River","Rainwater","Borehole","Vendor"}),LOOKUP(RAND(),{0,0.25,0.5,0.75},{"River","Rainwater","Borehole","Vendor"}))),IF(B1020="Oloitoktok B",IF(D1020&lt;15000,LOOKUP(RAND(),{0,0.5,0.78,0.94},{"River","Rainwater","Borehole","Vendor"}),IF(D1020&lt;30000,LOOKUP(RAND(),{0,0.4,0.68,0.87},{"River","Rainwater","Borehole","Vendor"}),LOOKUP(RAND(),{0,0.28,0.55,0.78},{"River","Rainwater","Borehole","Vendor"}))),IF(B1020="Kiserian",IF(D1020&lt;15000,LOOKUP(RAND(),{0,0.35,0.65,0.9},{"River","Rainwater","Borehole","Vendor"}),IF(D1020&lt;30000,LOOKUP(RAND(),{0,0.25,0.55,0.82},{"River","Rainwater","Borehole","Vendor"}),LOOKUP(RAND(),{0,0.15,0.45,0.72},{"River","Rainwater","Borehole","Vendor"}))),IF(D1020&lt;15000,LOOKUP(RAND(),{0,0.4,0.7,0.92},{"River","Rainwater","Borehole","Vendor"}),IF(D1020&lt;30000,LOOKUP(RAND(),{0,0.3,0.6,0.85},{"River","Rainwater","Borehole","Vendor"}),LOOKUP(RAND(),{0,0.2,0.5,0.75},{"River","Rainwater","Borehole","Vendor"}))))))</f>
        <v>Vendor</v>
      </c>
      <c r="F1020">
        <f t="shared" ca="1" si="91"/>
        <v>10</v>
      </c>
      <c r="G1020">
        <f t="shared" ca="1" si="92"/>
        <v>4.0999999999999996</v>
      </c>
      <c r="H1020">
        <f t="shared" ca="1" si="93"/>
        <v>2300</v>
      </c>
      <c r="I1020">
        <f t="shared" ca="1" si="94"/>
        <v>0.93839433079262469</v>
      </c>
      <c r="J1020">
        <v>1</v>
      </c>
    </row>
    <row r="1021" spans="1:10" x14ac:dyDescent="0.3">
      <c r="A1021" t="str">
        <f t="shared" si="95"/>
        <v>HH1020</v>
      </c>
      <c r="B1021" t="str">
        <f ca="1">LOOKUP(RAND(),{0,0.28,0.55,0.78},{"Oloitoktok A","Oloitoktok B","Kiserian","Namanga"})</f>
        <v>Oloitoktok A</v>
      </c>
      <c r="C1021">
        <f ca="1">LOOKUP(RAND(),{0,0.02,0.09,0.2,0.35,0.52,0.68,0.81,0.91,0.97},{1,2,3,4,5,6,7,8,9,10})</f>
        <v>3</v>
      </c>
      <c r="D1021">
        <f t="shared" ca="1" si="90"/>
        <v>22100</v>
      </c>
      <c r="E1021" t="str">
        <f ca="1">IF(B1021="Oloitoktok A",IF(D1021&lt;15000,LOOKUP(RAND(),{0,0.45,0.75,0.92},{"River","Rainwater","Borehole","Vendor"}),IF(D1021&lt;30000,LOOKUP(RAND(),{0,0.35,0.65,0.85},{"River","Rainwater","Borehole","Vendor"}),LOOKUP(RAND(),{0,0.25,0.5,0.75},{"River","Rainwater","Borehole","Vendor"}))),IF(B1021="Oloitoktok B",IF(D1021&lt;15000,LOOKUP(RAND(),{0,0.5,0.78,0.94},{"River","Rainwater","Borehole","Vendor"}),IF(D1021&lt;30000,LOOKUP(RAND(),{0,0.4,0.68,0.87},{"River","Rainwater","Borehole","Vendor"}),LOOKUP(RAND(),{0,0.28,0.55,0.78},{"River","Rainwater","Borehole","Vendor"}))),IF(B1021="Kiserian",IF(D1021&lt;15000,LOOKUP(RAND(),{0,0.35,0.65,0.9},{"River","Rainwater","Borehole","Vendor"}),IF(D1021&lt;30000,LOOKUP(RAND(),{0,0.25,0.55,0.82},{"River","Rainwater","Borehole","Vendor"}),LOOKUP(RAND(),{0,0.15,0.45,0.72},{"River","Rainwater","Borehole","Vendor"}))),IF(D1021&lt;15000,LOOKUP(RAND(),{0,0.4,0.7,0.92},{"River","Rainwater","Borehole","Vendor"}),IF(D1021&lt;30000,LOOKUP(RAND(),{0,0.3,0.6,0.85},{"River","Rainwater","Borehole","Vendor"}),LOOKUP(RAND(),{0,0.2,0.5,0.75},{"River","Rainwater","Borehole","Vendor"}))))))</f>
        <v>River</v>
      </c>
      <c r="F1021">
        <f t="shared" ca="1" si="91"/>
        <v>69</v>
      </c>
      <c r="G1021">
        <f t="shared" ca="1" si="92"/>
        <v>2.5</v>
      </c>
      <c r="H1021">
        <f t="shared" ca="1" si="93"/>
        <v>2500</v>
      </c>
      <c r="I1021">
        <f t="shared" ca="1" si="94"/>
        <v>0.52184005326440763</v>
      </c>
      <c r="J1021">
        <v>1</v>
      </c>
    </row>
    <row r="1022" spans="1:10" x14ac:dyDescent="0.3">
      <c r="A1022" t="str">
        <f t="shared" si="95"/>
        <v>HH1021</v>
      </c>
      <c r="B1022" t="str">
        <f ca="1">LOOKUP(RAND(),{0,0.28,0.55,0.78},{"Oloitoktok A","Oloitoktok B","Kiserian","Namanga"})</f>
        <v>Kiserian</v>
      </c>
      <c r="C1022">
        <f ca="1">LOOKUP(RAND(),{0,0.02,0.09,0.2,0.35,0.52,0.68,0.81,0.91,0.97},{1,2,3,4,5,6,7,8,9,10})</f>
        <v>5</v>
      </c>
      <c r="D1022">
        <f t="shared" ca="1" si="90"/>
        <v>52500</v>
      </c>
      <c r="E1022" t="str">
        <f ca="1">IF(B1022="Oloitoktok A",IF(D1022&lt;15000,LOOKUP(RAND(),{0,0.45,0.75,0.92},{"River","Rainwater","Borehole","Vendor"}),IF(D1022&lt;30000,LOOKUP(RAND(),{0,0.35,0.65,0.85},{"River","Rainwater","Borehole","Vendor"}),LOOKUP(RAND(),{0,0.25,0.5,0.75},{"River","Rainwater","Borehole","Vendor"}))),IF(B1022="Oloitoktok B",IF(D1022&lt;15000,LOOKUP(RAND(),{0,0.5,0.78,0.94},{"River","Rainwater","Borehole","Vendor"}),IF(D1022&lt;30000,LOOKUP(RAND(),{0,0.4,0.68,0.87},{"River","Rainwater","Borehole","Vendor"}),LOOKUP(RAND(),{0,0.28,0.55,0.78},{"River","Rainwater","Borehole","Vendor"}))),IF(B1022="Kiserian",IF(D1022&lt;15000,LOOKUP(RAND(),{0,0.35,0.65,0.9},{"River","Rainwater","Borehole","Vendor"}),IF(D1022&lt;30000,LOOKUP(RAND(),{0,0.25,0.55,0.82},{"River","Rainwater","Borehole","Vendor"}),LOOKUP(RAND(),{0,0.15,0.45,0.72},{"River","Rainwater","Borehole","Vendor"}))),IF(D1022&lt;15000,LOOKUP(RAND(),{0,0.4,0.7,0.92},{"River","Rainwater","Borehole","Vendor"}),IF(D1022&lt;30000,LOOKUP(RAND(),{0,0.3,0.6,0.85},{"River","Rainwater","Borehole","Vendor"}),LOOKUP(RAND(),{0,0.2,0.5,0.75},{"River","Rainwater","Borehole","Vendor"}))))))</f>
        <v>Borehole</v>
      </c>
      <c r="F1022">
        <f t="shared" ca="1" si="91"/>
        <v>74</v>
      </c>
      <c r="G1022">
        <f t="shared" ca="1" si="92"/>
        <v>3.9</v>
      </c>
      <c r="H1022">
        <f t="shared" ca="1" si="93"/>
        <v>8400</v>
      </c>
      <c r="I1022">
        <f t="shared" ca="1" si="94"/>
        <v>0.62063366880849691</v>
      </c>
      <c r="J1022">
        <v>1</v>
      </c>
    </row>
    <row r="1023" spans="1:10" x14ac:dyDescent="0.3">
      <c r="A1023" t="str">
        <f t="shared" si="95"/>
        <v>HH1022</v>
      </c>
      <c r="B1023" t="str">
        <f ca="1">LOOKUP(RAND(),{0,0.28,0.55,0.78},{"Oloitoktok A","Oloitoktok B","Kiserian","Namanga"})</f>
        <v>Kiserian</v>
      </c>
      <c r="C1023">
        <f ca="1">LOOKUP(RAND(),{0,0.02,0.09,0.2,0.35,0.52,0.68,0.81,0.91,0.97},{1,2,3,4,5,6,7,8,9,10})</f>
        <v>3</v>
      </c>
      <c r="D1023">
        <f t="shared" ca="1" si="90"/>
        <v>63100</v>
      </c>
      <c r="E1023" t="str">
        <f ca="1">IF(B1023="Oloitoktok A",IF(D1023&lt;15000,LOOKUP(RAND(),{0,0.45,0.75,0.92},{"River","Rainwater","Borehole","Vendor"}),IF(D1023&lt;30000,LOOKUP(RAND(),{0,0.35,0.65,0.85},{"River","Rainwater","Borehole","Vendor"}),LOOKUP(RAND(),{0,0.25,0.5,0.75},{"River","Rainwater","Borehole","Vendor"}))),IF(B1023="Oloitoktok B",IF(D1023&lt;15000,LOOKUP(RAND(),{0,0.5,0.78,0.94},{"River","Rainwater","Borehole","Vendor"}),IF(D1023&lt;30000,LOOKUP(RAND(),{0,0.4,0.68,0.87},{"River","Rainwater","Borehole","Vendor"}),LOOKUP(RAND(),{0,0.28,0.55,0.78},{"River","Rainwater","Borehole","Vendor"}))),IF(B1023="Kiserian",IF(D1023&lt;15000,LOOKUP(RAND(),{0,0.35,0.65,0.9},{"River","Rainwater","Borehole","Vendor"}),IF(D1023&lt;30000,LOOKUP(RAND(),{0,0.25,0.55,0.82},{"River","Rainwater","Borehole","Vendor"}),LOOKUP(RAND(),{0,0.15,0.45,0.72},{"River","Rainwater","Borehole","Vendor"}))),IF(D1023&lt;15000,LOOKUP(RAND(),{0,0.4,0.7,0.92},{"River","Rainwater","Borehole","Vendor"}),IF(D1023&lt;30000,LOOKUP(RAND(),{0,0.3,0.6,0.85},{"River","Rainwater","Borehole","Vendor"}),LOOKUP(RAND(),{0,0.2,0.5,0.75},{"River","Rainwater","Borehole","Vendor"}))))))</f>
        <v>Borehole</v>
      </c>
      <c r="F1023">
        <f t="shared" ca="1" si="91"/>
        <v>60</v>
      </c>
      <c r="G1023">
        <f t="shared" ca="1" si="92"/>
        <v>7.1</v>
      </c>
      <c r="H1023">
        <f t="shared" ca="1" si="93"/>
        <v>4500</v>
      </c>
      <c r="I1023">
        <f t="shared" ca="1" si="94"/>
        <v>0.78687118033191417</v>
      </c>
      <c r="J1023">
        <v>1</v>
      </c>
    </row>
    <row r="1024" spans="1:10" x14ac:dyDescent="0.3">
      <c r="A1024" t="str">
        <f t="shared" si="95"/>
        <v>HH1023</v>
      </c>
      <c r="B1024" t="str">
        <f ca="1">LOOKUP(RAND(),{0,0.28,0.55,0.78},{"Oloitoktok A","Oloitoktok B","Kiserian","Namanga"})</f>
        <v>Kiserian</v>
      </c>
      <c r="C1024">
        <f ca="1">LOOKUP(RAND(),{0,0.02,0.09,0.2,0.35,0.52,0.68,0.81,0.91,0.97},{1,2,3,4,5,6,7,8,9,10})</f>
        <v>5</v>
      </c>
      <c r="D1024">
        <f t="shared" ca="1" si="90"/>
        <v>71900</v>
      </c>
      <c r="E1024" t="str">
        <f ca="1">IF(B1024="Oloitoktok A",IF(D1024&lt;15000,LOOKUP(RAND(),{0,0.45,0.75,0.92},{"River","Rainwater","Borehole","Vendor"}),IF(D1024&lt;30000,LOOKUP(RAND(),{0,0.35,0.65,0.85},{"River","Rainwater","Borehole","Vendor"}),LOOKUP(RAND(),{0,0.25,0.5,0.75},{"River","Rainwater","Borehole","Vendor"}))),IF(B1024="Oloitoktok B",IF(D1024&lt;15000,LOOKUP(RAND(),{0,0.5,0.78,0.94},{"River","Rainwater","Borehole","Vendor"}),IF(D1024&lt;30000,LOOKUP(RAND(),{0,0.4,0.68,0.87},{"River","Rainwater","Borehole","Vendor"}),LOOKUP(RAND(),{0,0.28,0.55,0.78},{"River","Rainwater","Borehole","Vendor"}))),IF(B1024="Kiserian",IF(D1024&lt;15000,LOOKUP(RAND(),{0,0.35,0.65,0.9},{"River","Rainwater","Borehole","Vendor"}),IF(D1024&lt;30000,LOOKUP(RAND(),{0,0.25,0.55,0.82},{"River","Rainwater","Borehole","Vendor"}),LOOKUP(RAND(),{0,0.15,0.45,0.72},{"River","Rainwater","Borehole","Vendor"}))),IF(D1024&lt;15000,LOOKUP(RAND(),{0,0.4,0.7,0.92},{"River","Rainwater","Borehole","Vendor"}),IF(D1024&lt;30000,LOOKUP(RAND(),{0,0.3,0.6,0.85},{"River","Rainwater","Borehole","Vendor"}),LOOKUP(RAND(),{0,0.2,0.5,0.75},{"River","Rainwater","Borehole","Vendor"}))))))</f>
        <v>Rainwater</v>
      </c>
      <c r="F1024">
        <f t="shared" ca="1" si="91"/>
        <v>29</v>
      </c>
      <c r="G1024">
        <f t="shared" ca="1" si="92"/>
        <v>1.6</v>
      </c>
      <c r="H1024">
        <f t="shared" ca="1" si="93"/>
        <v>2500</v>
      </c>
      <c r="I1024">
        <f t="shared" ca="1" si="94"/>
        <v>0.91530832165653553</v>
      </c>
      <c r="J1024">
        <v>1</v>
      </c>
    </row>
    <row r="1025" spans="1:10" x14ac:dyDescent="0.3">
      <c r="A1025" t="str">
        <f t="shared" si="95"/>
        <v>HH1024</v>
      </c>
      <c r="B1025" t="str">
        <f ca="1">LOOKUP(RAND(),{0,0.28,0.55,0.78},{"Oloitoktok A","Oloitoktok B","Kiserian","Namanga"})</f>
        <v>Oloitoktok B</v>
      </c>
      <c r="C1025">
        <f ca="1">LOOKUP(RAND(),{0,0.02,0.09,0.2,0.35,0.52,0.68,0.81,0.91,0.97},{1,2,3,4,5,6,7,8,9,10})</f>
        <v>3</v>
      </c>
      <c r="D1025">
        <f t="shared" ca="1" si="90"/>
        <v>25000</v>
      </c>
      <c r="E1025" t="str">
        <f ca="1">IF(B1025="Oloitoktok A",IF(D1025&lt;15000,LOOKUP(RAND(),{0,0.45,0.75,0.92},{"River","Rainwater","Borehole","Vendor"}),IF(D1025&lt;30000,LOOKUP(RAND(),{0,0.35,0.65,0.85},{"River","Rainwater","Borehole","Vendor"}),LOOKUP(RAND(),{0,0.25,0.5,0.75},{"River","Rainwater","Borehole","Vendor"}))),IF(B1025="Oloitoktok B",IF(D1025&lt;15000,LOOKUP(RAND(),{0,0.5,0.78,0.94},{"River","Rainwater","Borehole","Vendor"}),IF(D1025&lt;30000,LOOKUP(RAND(),{0,0.4,0.68,0.87},{"River","Rainwater","Borehole","Vendor"}),LOOKUP(RAND(),{0,0.28,0.55,0.78},{"River","Rainwater","Borehole","Vendor"}))),IF(B1025="Kiserian",IF(D1025&lt;15000,LOOKUP(RAND(),{0,0.35,0.65,0.9},{"River","Rainwater","Borehole","Vendor"}),IF(D1025&lt;30000,LOOKUP(RAND(),{0,0.25,0.55,0.82},{"River","Rainwater","Borehole","Vendor"}),LOOKUP(RAND(),{0,0.15,0.45,0.72},{"River","Rainwater","Borehole","Vendor"}))),IF(D1025&lt;15000,LOOKUP(RAND(),{0,0.4,0.7,0.92},{"River","Rainwater","Borehole","Vendor"}),IF(D1025&lt;30000,LOOKUP(RAND(),{0,0.3,0.6,0.85},{"River","Rainwater","Borehole","Vendor"}),LOOKUP(RAND(),{0,0.2,0.5,0.75},{"River","Rainwater","Borehole","Vendor"}))))))</f>
        <v>Rainwater</v>
      </c>
      <c r="F1025">
        <f t="shared" ca="1" si="91"/>
        <v>24</v>
      </c>
      <c r="G1025">
        <f t="shared" ca="1" si="92"/>
        <v>7.1</v>
      </c>
      <c r="H1025">
        <f t="shared" ca="1" si="93"/>
        <v>5500</v>
      </c>
      <c r="I1025">
        <f t="shared" ca="1" si="94"/>
        <v>0.58860279743449573</v>
      </c>
      <c r="J1025">
        <v>1</v>
      </c>
    </row>
    <row r="1026" spans="1:10" x14ac:dyDescent="0.3">
      <c r="A1026" t="str">
        <f t="shared" si="95"/>
        <v>HH1025</v>
      </c>
      <c r="B1026" t="str">
        <f ca="1">LOOKUP(RAND(),{0,0.28,0.55,0.78},{"Oloitoktok A","Oloitoktok B","Kiserian","Namanga"})</f>
        <v>Namanga</v>
      </c>
      <c r="C1026">
        <f ca="1">LOOKUP(RAND(),{0,0.02,0.09,0.2,0.35,0.52,0.68,0.81,0.91,0.97},{1,2,3,4,5,6,7,8,9,10})</f>
        <v>8</v>
      </c>
      <c r="D1026">
        <f t="shared" ref="D1026:D1033" ca="1" si="96">MAX(5000,MIN(150000,ROUND(_xlfn.LOGNORM.INV(RAND(),LN(28000+1500*C1026),0.55),-2)))</f>
        <v>26600</v>
      </c>
      <c r="E1026" t="str">
        <f ca="1">IF(B1026="Oloitoktok A",IF(D1026&lt;15000,LOOKUP(RAND(),{0,0.45,0.75,0.92},{"River","Rainwater","Borehole","Vendor"}),IF(D1026&lt;30000,LOOKUP(RAND(),{0,0.35,0.65,0.85},{"River","Rainwater","Borehole","Vendor"}),LOOKUP(RAND(),{0,0.25,0.5,0.75},{"River","Rainwater","Borehole","Vendor"}))),IF(B1026="Oloitoktok B",IF(D1026&lt;15000,LOOKUP(RAND(),{0,0.5,0.78,0.94},{"River","Rainwater","Borehole","Vendor"}),IF(D1026&lt;30000,LOOKUP(RAND(),{0,0.4,0.68,0.87},{"River","Rainwater","Borehole","Vendor"}),LOOKUP(RAND(),{0,0.28,0.55,0.78},{"River","Rainwater","Borehole","Vendor"}))),IF(B1026="Kiserian",IF(D1026&lt;15000,LOOKUP(RAND(),{0,0.35,0.65,0.9},{"River","Rainwater","Borehole","Vendor"}),IF(D1026&lt;30000,LOOKUP(RAND(),{0,0.25,0.55,0.82},{"River","Rainwater","Borehole","Vendor"}),LOOKUP(RAND(),{0,0.15,0.45,0.72},{"River","Rainwater","Borehole","Vendor"}))),IF(D1026&lt;15000,LOOKUP(RAND(),{0,0.4,0.7,0.92},{"River","Rainwater","Borehole","Vendor"}),IF(D1026&lt;30000,LOOKUP(RAND(),{0,0.3,0.6,0.85},{"River","Rainwater","Borehole","Vendor"}),LOOKUP(RAND(),{0,0.2,0.5,0.75},{"River","Rainwater","Borehole","Vendor"}))))))</f>
        <v>Vendor</v>
      </c>
      <c r="F1026">
        <f t="shared" ref="F1026:F1033" ca="1" si="97">IF(E1026="River",RANDBETWEEN(45,120),IF(E1026="Rainwater",RANDBETWEEN(15,70),IF(E1026="Borehole",RANDBETWEEN(20,75),RANDBETWEEN(10,60))))</f>
        <v>33</v>
      </c>
      <c r="G1026">
        <f t="shared" ref="G1026:G1033" ca="1" si="98">IF(B1026="Oloitoktok A",ROUND(RANDBETWEEN(5,150)/10,1),IF(B1026="Oloitoktok B",ROUND(RANDBETWEEN(4,140)/10,1),IF(B1026="Kiserian",ROUND(RANDBETWEEN(2,100)/10,1),ROUND(RANDBETWEEN(3,120)/10,1))))</f>
        <v>8.1</v>
      </c>
      <c r="H1026">
        <f t="shared" ref="H1026:H1033" ca="1" si="99">MAX(0,ROUND((1500+(C1026*250)+(D1026*0.025)+(F1026*8)+(G1026*120)+IF(E1026="River",1200,IF(E1026="Rainwater",700,IF(E1026="Borehole",400,200)))+_xlfn.NORM.INV(RAND(),0,3500)),-2))</f>
        <v>11000</v>
      </c>
      <c r="I1026">
        <f t="shared" ref="I1026:I1033" ca="1" si="100">RAND()</f>
        <v>0.95917405519928967</v>
      </c>
      <c r="J1026">
        <v>1</v>
      </c>
    </row>
    <row r="1027" spans="1:10" x14ac:dyDescent="0.3">
      <c r="A1027" t="str">
        <f t="shared" ref="A1027:A1033" si="101">"HH"&amp;TEXT(ROW()-1,"000")</f>
        <v>HH1026</v>
      </c>
      <c r="B1027" t="str">
        <f ca="1">LOOKUP(RAND(),{0,0.28,0.55,0.78},{"Oloitoktok A","Oloitoktok B","Kiserian","Namanga"})</f>
        <v>Namanga</v>
      </c>
      <c r="C1027">
        <f ca="1">LOOKUP(RAND(),{0,0.02,0.09,0.2,0.35,0.52,0.68,0.81,0.91,0.97},{1,2,3,4,5,6,7,8,9,10})</f>
        <v>8</v>
      </c>
      <c r="D1027">
        <f t="shared" ca="1" si="96"/>
        <v>59900</v>
      </c>
      <c r="E1027" t="str">
        <f ca="1">IF(B1027="Oloitoktok A",IF(D1027&lt;15000,LOOKUP(RAND(),{0,0.45,0.75,0.92},{"River","Rainwater","Borehole","Vendor"}),IF(D1027&lt;30000,LOOKUP(RAND(),{0,0.35,0.65,0.85},{"River","Rainwater","Borehole","Vendor"}),LOOKUP(RAND(),{0,0.25,0.5,0.75},{"River","Rainwater","Borehole","Vendor"}))),IF(B1027="Oloitoktok B",IF(D1027&lt;15000,LOOKUP(RAND(),{0,0.5,0.78,0.94},{"River","Rainwater","Borehole","Vendor"}),IF(D1027&lt;30000,LOOKUP(RAND(),{0,0.4,0.68,0.87},{"River","Rainwater","Borehole","Vendor"}),LOOKUP(RAND(),{0,0.28,0.55,0.78},{"River","Rainwater","Borehole","Vendor"}))),IF(B1027="Kiserian",IF(D1027&lt;15000,LOOKUP(RAND(),{0,0.35,0.65,0.9},{"River","Rainwater","Borehole","Vendor"}),IF(D1027&lt;30000,LOOKUP(RAND(),{0,0.25,0.55,0.82},{"River","Rainwater","Borehole","Vendor"}),LOOKUP(RAND(),{0,0.15,0.45,0.72},{"River","Rainwater","Borehole","Vendor"}))),IF(D1027&lt;15000,LOOKUP(RAND(),{0,0.4,0.7,0.92},{"River","Rainwater","Borehole","Vendor"}),IF(D1027&lt;30000,LOOKUP(RAND(),{0,0.3,0.6,0.85},{"River","Rainwater","Borehole","Vendor"}),LOOKUP(RAND(),{0,0.2,0.5,0.75},{"River","Rainwater","Borehole","Vendor"}))))))</f>
        <v>Rainwater</v>
      </c>
      <c r="F1027">
        <f t="shared" ca="1" si="97"/>
        <v>15</v>
      </c>
      <c r="G1027">
        <f t="shared" ca="1" si="98"/>
        <v>7.8</v>
      </c>
      <c r="H1027">
        <f t="shared" ca="1" si="99"/>
        <v>9000</v>
      </c>
      <c r="I1027">
        <f t="shared" ca="1" si="100"/>
        <v>0.28876101906220819</v>
      </c>
      <c r="J1027">
        <v>1</v>
      </c>
    </row>
    <row r="1028" spans="1:10" x14ac:dyDescent="0.3">
      <c r="A1028" t="str">
        <f t="shared" si="101"/>
        <v>HH1027</v>
      </c>
      <c r="B1028" t="str">
        <f ca="1">LOOKUP(RAND(),{0,0.28,0.55,0.78},{"Oloitoktok A","Oloitoktok B","Kiserian","Namanga"})</f>
        <v>Namanga</v>
      </c>
      <c r="C1028">
        <f ca="1">LOOKUP(RAND(),{0,0.02,0.09,0.2,0.35,0.52,0.68,0.81,0.91,0.97},{1,2,3,4,5,6,7,8,9,10})</f>
        <v>4</v>
      </c>
      <c r="D1028">
        <f t="shared" ca="1" si="96"/>
        <v>83700</v>
      </c>
      <c r="E1028" t="str">
        <f ca="1">IF(B1028="Oloitoktok A",IF(D1028&lt;15000,LOOKUP(RAND(),{0,0.45,0.75,0.92},{"River","Rainwater","Borehole","Vendor"}),IF(D1028&lt;30000,LOOKUP(RAND(),{0,0.35,0.65,0.85},{"River","Rainwater","Borehole","Vendor"}),LOOKUP(RAND(),{0,0.25,0.5,0.75},{"River","Rainwater","Borehole","Vendor"}))),IF(B1028="Oloitoktok B",IF(D1028&lt;15000,LOOKUP(RAND(),{0,0.5,0.78,0.94},{"River","Rainwater","Borehole","Vendor"}),IF(D1028&lt;30000,LOOKUP(RAND(),{0,0.4,0.68,0.87},{"River","Rainwater","Borehole","Vendor"}),LOOKUP(RAND(),{0,0.28,0.55,0.78},{"River","Rainwater","Borehole","Vendor"}))),IF(B1028="Kiserian",IF(D1028&lt;15000,LOOKUP(RAND(),{0,0.35,0.65,0.9},{"River","Rainwater","Borehole","Vendor"}),IF(D1028&lt;30000,LOOKUP(RAND(),{0,0.25,0.55,0.82},{"River","Rainwater","Borehole","Vendor"}),LOOKUP(RAND(),{0,0.15,0.45,0.72},{"River","Rainwater","Borehole","Vendor"}))),IF(D1028&lt;15000,LOOKUP(RAND(),{0,0.4,0.7,0.92},{"River","Rainwater","Borehole","Vendor"}),IF(D1028&lt;30000,LOOKUP(RAND(),{0,0.3,0.6,0.85},{"River","Rainwater","Borehole","Vendor"}),LOOKUP(RAND(),{0,0.2,0.5,0.75},{"River","Rainwater","Borehole","Vendor"}))))))</f>
        <v>Vendor</v>
      </c>
      <c r="F1028">
        <f t="shared" ca="1" si="97"/>
        <v>17</v>
      </c>
      <c r="G1028">
        <f t="shared" ca="1" si="98"/>
        <v>9.3000000000000007</v>
      </c>
      <c r="H1028">
        <f t="shared" ca="1" si="99"/>
        <v>1800</v>
      </c>
      <c r="I1028">
        <f t="shared" ca="1" si="100"/>
        <v>0.69280104295095968</v>
      </c>
      <c r="J1028">
        <v>1</v>
      </c>
    </row>
    <row r="1029" spans="1:10" x14ac:dyDescent="0.3">
      <c r="A1029" t="str">
        <f t="shared" si="101"/>
        <v>HH1028</v>
      </c>
      <c r="B1029" t="str">
        <f ca="1">LOOKUP(RAND(),{0,0.28,0.55,0.78},{"Oloitoktok A","Oloitoktok B","Kiserian","Namanga"})</f>
        <v>Namanga</v>
      </c>
      <c r="C1029">
        <f ca="1">LOOKUP(RAND(),{0,0.02,0.09,0.2,0.35,0.52,0.68,0.81,0.91,0.97},{1,2,3,4,5,6,7,8,9,10})</f>
        <v>6</v>
      </c>
      <c r="D1029">
        <f t="shared" ca="1" si="96"/>
        <v>100800</v>
      </c>
      <c r="E1029" t="str">
        <f ca="1">IF(B1029="Oloitoktok A",IF(D1029&lt;15000,LOOKUP(RAND(),{0,0.45,0.75,0.92},{"River","Rainwater","Borehole","Vendor"}),IF(D1029&lt;30000,LOOKUP(RAND(),{0,0.35,0.65,0.85},{"River","Rainwater","Borehole","Vendor"}),LOOKUP(RAND(),{0,0.25,0.5,0.75},{"River","Rainwater","Borehole","Vendor"}))),IF(B1029="Oloitoktok B",IF(D1029&lt;15000,LOOKUP(RAND(),{0,0.5,0.78,0.94},{"River","Rainwater","Borehole","Vendor"}),IF(D1029&lt;30000,LOOKUP(RAND(),{0,0.4,0.68,0.87},{"River","Rainwater","Borehole","Vendor"}),LOOKUP(RAND(),{0,0.28,0.55,0.78},{"River","Rainwater","Borehole","Vendor"}))),IF(B1029="Kiserian",IF(D1029&lt;15000,LOOKUP(RAND(),{0,0.35,0.65,0.9},{"River","Rainwater","Borehole","Vendor"}),IF(D1029&lt;30000,LOOKUP(RAND(),{0,0.25,0.55,0.82},{"River","Rainwater","Borehole","Vendor"}),LOOKUP(RAND(),{0,0.15,0.45,0.72},{"River","Rainwater","Borehole","Vendor"}))),IF(D1029&lt;15000,LOOKUP(RAND(),{0,0.4,0.7,0.92},{"River","Rainwater","Borehole","Vendor"}),IF(D1029&lt;30000,LOOKUP(RAND(),{0,0.3,0.6,0.85},{"River","Rainwater","Borehole","Vendor"}),LOOKUP(RAND(),{0,0.2,0.5,0.75},{"River","Rainwater","Borehole","Vendor"}))))))</f>
        <v>Rainwater</v>
      </c>
      <c r="F1029">
        <f t="shared" ca="1" si="97"/>
        <v>39</v>
      </c>
      <c r="G1029">
        <f t="shared" ca="1" si="98"/>
        <v>10.5</v>
      </c>
      <c r="H1029">
        <f t="shared" ca="1" si="99"/>
        <v>8500</v>
      </c>
      <c r="I1029">
        <f t="shared" ca="1" si="100"/>
        <v>0.81136739027274529</v>
      </c>
      <c r="J1029">
        <v>1</v>
      </c>
    </row>
    <row r="1030" spans="1:10" x14ac:dyDescent="0.3">
      <c r="A1030" t="str">
        <f t="shared" si="101"/>
        <v>HH1029</v>
      </c>
      <c r="B1030" t="str">
        <f ca="1">LOOKUP(RAND(),{0,0.28,0.55,0.78},{"Oloitoktok A","Oloitoktok B","Kiserian","Namanga"})</f>
        <v>Oloitoktok A</v>
      </c>
      <c r="C1030">
        <f ca="1">LOOKUP(RAND(),{0,0.02,0.09,0.2,0.35,0.52,0.68,0.81,0.91,0.97},{1,2,3,4,5,6,7,8,9,10})</f>
        <v>6</v>
      </c>
      <c r="D1030">
        <f t="shared" ca="1" si="96"/>
        <v>54200</v>
      </c>
      <c r="E1030" t="str">
        <f ca="1">IF(B1030="Oloitoktok A",IF(D1030&lt;15000,LOOKUP(RAND(),{0,0.45,0.75,0.92},{"River","Rainwater","Borehole","Vendor"}),IF(D1030&lt;30000,LOOKUP(RAND(),{0,0.35,0.65,0.85},{"River","Rainwater","Borehole","Vendor"}),LOOKUP(RAND(),{0,0.25,0.5,0.75},{"River","Rainwater","Borehole","Vendor"}))),IF(B1030="Oloitoktok B",IF(D1030&lt;15000,LOOKUP(RAND(),{0,0.5,0.78,0.94},{"River","Rainwater","Borehole","Vendor"}),IF(D1030&lt;30000,LOOKUP(RAND(),{0,0.4,0.68,0.87},{"River","Rainwater","Borehole","Vendor"}),LOOKUP(RAND(),{0,0.28,0.55,0.78},{"River","Rainwater","Borehole","Vendor"}))),IF(B1030="Kiserian",IF(D1030&lt;15000,LOOKUP(RAND(),{0,0.35,0.65,0.9},{"River","Rainwater","Borehole","Vendor"}),IF(D1030&lt;30000,LOOKUP(RAND(),{0,0.25,0.55,0.82},{"River","Rainwater","Borehole","Vendor"}),LOOKUP(RAND(),{0,0.15,0.45,0.72},{"River","Rainwater","Borehole","Vendor"}))),IF(D1030&lt;15000,LOOKUP(RAND(),{0,0.4,0.7,0.92},{"River","Rainwater","Borehole","Vendor"}),IF(D1030&lt;30000,LOOKUP(RAND(),{0,0.3,0.6,0.85},{"River","Rainwater","Borehole","Vendor"}),LOOKUP(RAND(),{0,0.2,0.5,0.75},{"River","Rainwater","Borehole","Vendor"}))))))</f>
        <v>Vendor</v>
      </c>
      <c r="F1030">
        <f t="shared" ca="1" si="97"/>
        <v>14</v>
      </c>
      <c r="G1030">
        <f t="shared" ca="1" si="98"/>
        <v>0.6</v>
      </c>
      <c r="H1030">
        <f t="shared" ca="1" si="99"/>
        <v>9500</v>
      </c>
      <c r="I1030">
        <f t="shared" ca="1" si="100"/>
        <v>0.90163976509719435</v>
      </c>
      <c r="J1030">
        <v>1</v>
      </c>
    </row>
    <row r="1031" spans="1:10" x14ac:dyDescent="0.3">
      <c r="A1031" t="str">
        <f t="shared" si="101"/>
        <v>HH1030</v>
      </c>
      <c r="B1031" t="str">
        <f ca="1">LOOKUP(RAND(),{0,0.28,0.55,0.78},{"Oloitoktok A","Oloitoktok B","Kiserian","Namanga"})</f>
        <v>Kiserian</v>
      </c>
      <c r="C1031">
        <f ca="1">LOOKUP(RAND(),{0,0.02,0.09,0.2,0.35,0.52,0.68,0.81,0.91,0.97},{1,2,3,4,5,6,7,8,9,10})</f>
        <v>3</v>
      </c>
      <c r="D1031">
        <f t="shared" ca="1" si="96"/>
        <v>37800</v>
      </c>
      <c r="E1031" t="str">
        <f ca="1">IF(B1031="Oloitoktok A",IF(D1031&lt;15000,LOOKUP(RAND(),{0,0.45,0.75,0.92},{"River","Rainwater","Borehole","Vendor"}),IF(D1031&lt;30000,LOOKUP(RAND(),{0,0.35,0.65,0.85},{"River","Rainwater","Borehole","Vendor"}),LOOKUP(RAND(),{0,0.25,0.5,0.75},{"River","Rainwater","Borehole","Vendor"}))),IF(B1031="Oloitoktok B",IF(D1031&lt;15000,LOOKUP(RAND(),{0,0.5,0.78,0.94},{"River","Rainwater","Borehole","Vendor"}),IF(D1031&lt;30000,LOOKUP(RAND(),{0,0.4,0.68,0.87},{"River","Rainwater","Borehole","Vendor"}),LOOKUP(RAND(),{0,0.28,0.55,0.78},{"River","Rainwater","Borehole","Vendor"}))),IF(B1031="Kiserian",IF(D1031&lt;15000,LOOKUP(RAND(),{0,0.35,0.65,0.9},{"River","Rainwater","Borehole","Vendor"}),IF(D1031&lt;30000,LOOKUP(RAND(),{0,0.25,0.55,0.82},{"River","Rainwater","Borehole","Vendor"}),LOOKUP(RAND(),{0,0.15,0.45,0.72},{"River","Rainwater","Borehole","Vendor"}))),IF(D1031&lt;15000,LOOKUP(RAND(),{0,0.4,0.7,0.92},{"River","Rainwater","Borehole","Vendor"}),IF(D1031&lt;30000,LOOKUP(RAND(),{0,0.3,0.6,0.85},{"River","Rainwater","Borehole","Vendor"}),LOOKUP(RAND(),{0,0.2,0.5,0.75},{"River","Rainwater","Borehole","Vendor"}))))))</f>
        <v>Vendor</v>
      </c>
      <c r="F1031">
        <f t="shared" ca="1" si="97"/>
        <v>56</v>
      </c>
      <c r="G1031">
        <f t="shared" ca="1" si="98"/>
        <v>6.4</v>
      </c>
      <c r="H1031">
        <f t="shared" ca="1" si="99"/>
        <v>9200</v>
      </c>
      <c r="I1031">
        <f t="shared" ca="1" si="100"/>
        <v>0.82370747401936428</v>
      </c>
      <c r="J1031">
        <v>1</v>
      </c>
    </row>
    <row r="1032" spans="1:10" x14ac:dyDescent="0.3">
      <c r="A1032" t="str">
        <f t="shared" si="101"/>
        <v>HH1031</v>
      </c>
      <c r="B1032" t="str">
        <f ca="1">LOOKUP(RAND(),{0,0.28,0.55,0.78},{"Oloitoktok A","Oloitoktok B","Kiserian","Namanga"})</f>
        <v>Oloitoktok A</v>
      </c>
      <c r="C1032">
        <f ca="1">LOOKUP(RAND(),{0,0.02,0.09,0.2,0.35,0.52,0.68,0.81,0.91,0.97},{1,2,3,4,5,6,7,8,9,10})</f>
        <v>5</v>
      </c>
      <c r="D1032">
        <f t="shared" ca="1" si="96"/>
        <v>53500</v>
      </c>
      <c r="E1032" t="str">
        <f ca="1">IF(B1032="Oloitoktok A",IF(D1032&lt;15000,LOOKUP(RAND(),{0,0.45,0.75,0.92},{"River","Rainwater","Borehole","Vendor"}),IF(D1032&lt;30000,LOOKUP(RAND(),{0,0.35,0.65,0.85},{"River","Rainwater","Borehole","Vendor"}),LOOKUP(RAND(),{0,0.25,0.5,0.75},{"River","Rainwater","Borehole","Vendor"}))),IF(B1032="Oloitoktok B",IF(D1032&lt;15000,LOOKUP(RAND(),{0,0.5,0.78,0.94},{"River","Rainwater","Borehole","Vendor"}),IF(D1032&lt;30000,LOOKUP(RAND(),{0,0.4,0.68,0.87},{"River","Rainwater","Borehole","Vendor"}),LOOKUP(RAND(),{0,0.28,0.55,0.78},{"River","Rainwater","Borehole","Vendor"}))),IF(B1032="Kiserian",IF(D1032&lt;15000,LOOKUP(RAND(),{0,0.35,0.65,0.9},{"River","Rainwater","Borehole","Vendor"}),IF(D1032&lt;30000,LOOKUP(RAND(),{0,0.25,0.55,0.82},{"River","Rainwater","Borehole","Vendor"}),LOOKUP(RAND(),{0,0.15,0.45,0.72},{"River","Rainwater","Borehole","Vendor"}))),IF(D1032&lt;15000,LOOKUP(RAND(),{0,0.4,0.7,0.92},{"River","Rainwater","Borehole","Vendor"}),IF(D1032&lt;30000,LOOKUP(RAND(),{0,0.3,0.6,0.85},{"River","Rainwater","Borehole","Vendor"}),LOOKUP(RAND(),{0,0.2,0.5,0.75},{"River","Rainwater","Borehole","Vendor"}))))))</f>
        <v>River</v>
      </c>
      <c r="F1032">
        <f t="shared" ca="1" si="97"/>
        <v>59</v>
      </c>
      <c r="G1032">
        <f t="shared" ca="1" si="98"/>
        <v>10.3</v>
      </c>
      <c r="H1032">
        <f t="shared" ca="1" si="99"/>
        <v>4700</v>
      </c>
      <c r="I1032">
        <f t="shared" ca="1" si="100"/>
        <v>0.82580077034020893</v>
      </c>
      <c r="J1032">
        <v>1</v>
      </c>
    </row>
    <row r="1033" spans="1:10" x14ac:dyDescent="0.3">
      <c r="A1033" t="str">
        <f t="shared" si="101"/>
        <v>HH1032</v>
      </c>
      <c r="B1033" t="str">
        <f ca="1">LOOKUP(RAND(),{0,0.28,0.55,0.78},{"Oloitoktok A","Oloitoktok B","Kiserian","Namanga"})</f>
        <v>Oloitoktok B</v>
      </c>
      <c r="C1033">
        <f ca="1">LOOKUP(RAND(),{0,0.02,0.09,0.2,0.35,0.52,0.68,0.81,0.91,0.97},{1,2,3,4,5,6,7,8,9,10})</f>
        <v>8</v>
      </c>
      <c r="D1033">
        <f t="shared" ca="1" si="96"/>
        <v>56300</v>
      </c>
      <c r="E1033" t="str">
        <f ca="1">IF(B1033="Oloitoktok A",IF(D1033&lt;15000,LOOKUP(RAND(),{0,0.45,0.75,0.92},{"River","Rainwater","Borehole","Vendor"}),IF(D1033&lt;30000,LOOKUP(RAND(),{0,0.35,0.65,0.85},{"River","Rainwater","Borehole","Vendor"}),LOOKUP(RAND(),{0,0.25,0.5,0.75},{"River","Rainwater","Borehole","Vendor"}))),IF(B1033="Oloitoktok B",IF(D1033&lt;15000,LOOKUP(RAND(),{0,0.5,0.78,0.94},{"River","Rainwater","Borehole","Vendor"}),IF(D1033&lt;30000,LOOKUP(RAND(),{0,0.4,0.68,0.87},{"River","Rainwater","Borehole","Vendor"}),LOOKUP(RAND(),{0,0.28,0.55,0.78},{"River","Rainwater","Borehole","Vendor"}))),IF(B1033="Kiserian",IF(D1033&lt;15000,LOOKUP(RAND(),{0,0.35,0.65,0.9},{"River","Rainwater","Borehole","Vendor"}),IF(D1033&lt;30000,LOOKUP(RAND(),{0,0.25,0.55,0.82},{"River","Rainwater","Borehole","Vendor"}),LOOKUP(RAND(),{0,0.15,0.45,0.72},{"River","Rainwater","Borehole","Vendor"}))),IF(D1033&lt;15000,LOOKUP(RAND(),{0,0.4,0.7,0.92},{"River","Rainwater","Borehole","Vendor"}),IF(D1033&lt;30000,LOOKUP(RAND(),{0,0.3,0.6,0.85},{"River","Rainwater","Borehole","Vendor"}),LOOKUP(RAND(),{0,0.2,0.5,0.75},{"River","Rainwater","Borehole","Vendor"}))))))</f>
        <v>River</v>
      </c>
      <c r="F1033">
        <f t="shared" ca="1" si="97"/>
        <v>87</v>
      </c>
      <c r="G1033">
        <f t="shared" ca="1" si="98"/>
        <v>0.6</v>
      </c>
      <c r="H1033">
        <f t="shared" ca="1" si="99"/>
        <v>5400</v>
      </c>
      <c r="I1033">
        <f t="shared" ca="1" si="100"/>
        <v>0.62554195969016779</v>
      </c>
      <c r="J1033">
        <v>1</v>
      </c>
    </row>
  </sheetData>
  <sortState xmlns:xlrd2="http://schemas.microsoft.com/office/spreadsheetml/2017/richdata2" ref="B2:I1033">
    <sortCondition ref="I2:I1033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B13E1-F536-43BA-8583-2E686E93D550}">
  <dimension ref="A1:J1033"/>
  <sheetViews>
    <sheetView workbookViewId="0">
      <selection activeCell="J2" sqref="J2"/>
    </sheetView>
  </sheetViews>
  <sheetFormatPr defaultRowHeight="14.4" x14ac:dyDescent="0.3"/>
  <cols>
    <col min="1" max="1" width="11.88671875" bestFit="1" customWidth="1"/>
    <col min="2" max="2" width="11.21875" bestFit="1" customWidth="1"/>
    <col min="3" max="3" width="13.88671875" bestFit="1" customWidth="1"/>
    <col min="4" max="4" width="24.88671875" bestFit="1" customWidth="1"/>
    <col min="5" max="5" width="18.88671875" bestFit="1" customWidth="1"/>
    <col min="6" max="6" width="29.109375" bestFit="1" customWidth="1"/>
    <col min="7" max="7" width="26.6640625" bestFit="1" customWidth="1"/>
    <col min="8" max="8" width="24" bestFit="1" customWidth="1"/>
    <col min="9" max="9" width="12" bestFit="1" customWidth="1"/>
    <col min="10" max="10" width="9.5546875" bestFit="1" customWidth="1"/>
  </cols>
  <sheetData>
    <row r="1" spans="1:10" s="2" customFormat="1" x14ac:dyDescent="0.3">
      <c r="A1" s="2" t="s">
        <v>17</v>
      </c>
      <c r="B1" s="2" t="s">
        <v>21</v>
      </c>
      <c r="C1" s="2" t="s">
        <v>18</v>
      </c>
      <c r="D1" s="2" t="s">
        <v>22</v>
      </c>
      <c r="E1" s="2" t="s">
        <v>1147</v>
      </c>
      <c r="F1" s="2" t="s">
        <v>1148</v>
      </c>
      <c r="G1" s="2" t="s">
        <v>1149</v>
      </c>
      <c r="H1" s="2" t="s">
        <v>1150</v>
      </c>
      <c r="I1" s="2" t="s">
        <v>26</v>
      </c>
      <c r="J1" s="2" t="s">
        <v>1151</v>
      </c>
    </row>
    <row r="2" spans="1:10" x14ac:dyDescent="0.3">
      <c r="A2" t="s">
        <v>110</v>
      </c>
      <c r="B2" t="s">
        <v>62</v>
      </c>
      <c r="C2">
        <v>4</v>
      </c>
      <c r="D2">
        <v>29200</v>
      </c>
      <c r="E2" t="s">
        <v>69</v>
      </c>
      <c r="F2">
        <v>51</v>
      </c>
      <c r="G2">
        <v>3.2</v>
      </c>
      <c r="H2">
        <v>6300</v>
      </c>
      <c r="I2">
        <v>0.31513527506233963</v>
      </c>
      <c r="J2">
        <v>0</v>
      </c>
    </row>
    <row r="3" spans="1:10" x14ac:dyDescent="0.3">
      <c r="A3" t="s">
        <v>111</v>
      </c>
      <c r="B3" t="s">
        <v>513</v>
      </c>
      <c r="C3">
        <v>5</v>
      </c>
      <c r="D3">
        <v>13200</v>
      </c>
      <c r="E3" t="s">
        <v>69</v>
      </c>
      <c r="F3">
        <v>60</v>
      </c>
      <c r="G3">
        <v>8.4</v>
      </c>
      <c r="H3">
        <v>6300</v>
      </c>
      <c r="I3">
        <v>0.13378035678722944</v>
      </c>
      <c r="J3">
        <v>0</v>
      </c>
    </row>
    <row r="4" spans="1:10" x14ac:dyDescent="0.3">
      <c r="A4" t="s">
        <v>112</v>
      </c>
      <c r="B4" t="s">
        <v>65</v>
      </c>
      <c r="C4">
        <v>7</v>
      </c>
      <c r="D4">
        <v>81200</v>
      </c>
      <c r="E4" t="s">
        <v>68</v>
      </c>
      <c r="F4">
        <v>34</v>
      </c>
      <c r="G4">
        <v>10</v>
      </c>
      <c r="H4">
        <v>9500</v>
      </c>
      <c r="I4">
        <v>0.11865500225747438</v>
      </c>
      <c r="J4">
        <v>0</v>
      </c>
    </row>
    <row r="5" spans="1:10" x14ac:dyDescent="0.3">
      <c r="A5" t="s">
        <v>113</v>
      </c>
      <c r="B5" t="s">
        <v>65</v>
      </c>
      <c r="C5">
        <v>9</v>
      </c>
      <c r="D5">
        <v>92600</v>
      </c>
      <c r="E5" t="s">
        <v>67</v>
      </c>
      <c r="F5">
        <v>69</v>
      </c>
      <c r="G5">
        <v>3.2</v>
      </c>
      <c r="H5">
        <v>7900</v>
      </c>
      <c r="I5">
        <v>0.84993352461535354</v>
      </c>
      <c r="J5">
        <v>0</v>
      </c>
    </row>
    <row r="6" spans="1:10" x14ac:dyDescent="0.3">
      <c r="A6" t="s">
        <v>114</v>
      </c>
      <c r="B6" t="s">
        <v>62</v>
      </c>
      <c r="C6">
        <v>10</v>
      </c>
      <c r="D6">
        <v>19100</v>
      </c>
      <c r="E6" t="s">
        <v>66</v>
      </c>
      <c r="F6">
        <v>47</v>
      </c>
      <c r="G6">
        <v>4.0999999999999996</v>
      </c>
      <c r="H6">
        <v>12700</v>
      </c>
      <c r="I6">
        <v>0.71164092304842286</v>
      </c>
      <c r="J6">
        <v>0</v>
      </c>
    </row>
    <row r="7" spans="1:10" x14ac:dyDescent="0.3">
      <c r="A7" t="s">
        <v>115</v>
      </c>
      <c r="B7" t="s">
        <v>65</v>
      </c>
      <c r="C7">
        <v>7</v>
      </c>
      <c r="D7">
        <v>28700</v>
      </c>
      <c r="E7" t="s">
        <v>67</v>
      </c>
      <c r="F7">
        <v>84</v>
      </c>
      <c r="G7">
        <v>11.4</v>
      </c>
      <c r="H7">
        <v>8900</v>
      </c>
      <c r="I7">
        <v>8.661150130355777E-2</v>
      </c>
      <c r="J7">
        <v>0</v>
      </c>
    </row>
    <row r="8" spans="1:10" x14ac:dyDescent="0.3">
      <c r="A8" t="s">
        <v>116</v>
      </c>
      <c r="B8" t="s">
        <v>62</v>
      </c>
      <c r="C8">
        <v>3</v>
      </c>
      <c r="D8">
        <v>39600</v>
      </c>
      <c r="E8" t="s">
        <v>68</v>
      </c>
      <c r="F8">
        <v>37</v>
      </c>
      <c r="G8">
        <v>9.8000000000000007</v>
      </c>
      <c r="H8">
        <v>3300</v>
      </c>
      <c r="I8">
        <v>0.29792480474100735</v>
      </c>
      <c r="J8">
        <v>0</v>
      </c>
    </row>
    <row r="9" spans="1:10" x14ac:dyDescent="0.3">
      <c r="A9" t="s">
        <v>117</v>
      </c>
      <c r="B9" t="s">
        <v>513</v>
      </c>
      <c r="C9">
        <v>6</v>
      </c>
      <c r="D9">
        <v>21300</v>
      </c>
      <c r="E9" t="s">
        <v>66</v>
      </c>
      <c r="F9">
        <v>67</v>
      </c>
      <c r="G9">
        <v>5.2</v>
      </c>
      <c r="H9">
        <v>4000</v>
      </c>
      <c r="I9">
        <v>0.17535574280415678</v>
      </c>
      <c r="J9">
        <v>0</v>
      </c>
    </row>
    <row r="10" spans="1:10" x14ac:dyDescent="0.3">
      <c r="A10" t="s">
        <v>118</v>
      </c>
      <c r="B10" t="s">
        <v>65</v>
      </c>
      <c r="C10">
        <v>6</v>
      </c>
      <c r="D10">
        <v>15900</v>
      </c>
      <c r="E10" t="s">
        <v>67</v>
      </c>
      <c r="F10">
        <v>101</v>
      </c>
      <c r="G10">
        <v>8.9</v>
      </c>
      <c r="H10">
        <v>11300</v>
      </c>
      <c r="I10">
        <v>0.60245066310955764</v>
      </c>
      <c r="J10">
        <v>0</v>
      </c>
    </row>
    <row r="11" spans="1:10" x14ac:dyDescent="0.3">
      <c r="A11" t="s">
        <v>119</v>
      </c>
      <c r="B11" t="s">
        <v>64</v>
      </c>
      <c r="C11">
        <v>3</v>
      </c>
      <c r="D11">
        <v>24200</v>
      </c>
      <c r="E11" t="s">
        <v>66</v>
      </c>
      <c r="F11">
        <v>54</v>
      </c>
      <c r="G11">
        <v>6.4</v>
      </c>
      <c r="H11">
        <v>6200</v>
      </c>
      <c r="I11">
        <v>0.31283822595280097</v>
      </c>
      <c r="J11">
        <v>0</v>
      </c>
    </row>
    <row r="12" spans="1:10" x14ac:dyDescent="0.3">
      <c r="A12" t="s">
        <v>120</v>
      </c>
      <c r="B12" t="s">
        <v>513</v>
      </c>
      <c r="C12">
        <v>7</v>
      </c>
      <c r="D12">
        <v>16800</v>
      </c>
      <c r="E12" t="s">
        <v>68</v>
      </c>
      <c r="F12">
        <v>36</v>
      </c>
      <c r="G12">
        <v>1.2</v>
      </c>
      <c r="H12">
        <v>1600</v>
      </c>
      <c r="I12">
        <v>0.38148595297414678</v>
      </c>
      <c r="J12">
        <v>0</v>
      </c>
    </row>
    <row r="13" spans="1:10" x14ac:dyDescent="0.3">
      <c r="A13" t="s">
        <v>121</v>
      </c>
      <c r="B13" t="s">
        <v>62</v>
      </c>
      <c r="C13">
        <v>8</v>
      </c>
      <c r="D13">
        <v>40900</v>
      </c>
      <c r="E13" t="s">
        <v>66</v>
      </c>
      <c r="F13">
        <v>44</v>
      </c>
      <c r="G13">
        <v>5.3</v>
      </c>
      <c r="H13">
        <v>1900</v>
      </c>
      <c r="I13">
        <v>0.85147790172412641</v>
      </c>
      <c r="J13">
        <v>0</v>
      </c>
    </row>
    <row r="14" spans="1:10" x14ac:dyDescent="0.3">
      <c r="A14" t="s">
        <v>122</v>
      </c>
      <c r="B14" t="s">
        <v>65</v>
      </c>
      <c r="C14">
        <v>3</v>
      </c>
      <c r="D14">
        <v>29900</v>
      </c>
      <c r="E14" t="s">
        <v>68</v>
      </c>
      <c r="F14">
        <v>30</v>
      </c>
      <c r="G14">
        <v>10.9</v>
      </c>
      <c r="H14">
        <v>8400</v>
      </c>
      <c r="I14">
        <v>0.93382420581295555</v>
      </c>
      <c r="J14">
        <v>0</v>
      </c>
    </row>
    <row r="15" spans="1:10" x14ac:dyDescent="0.3">
      <c r="A15" t="s">
        <v>123</v>
      </c>
      <c r="B15" t="s">
        <v>62</v>
      </c>
      <c r="C15">
        <v>4</v>
      </c>
      <c r="D15">
        <v>23600</v>
      </c>
      <c r="E15" t="s">
        <v>67</v>
      </c>
      <c r="F15">
        <v>45</v>
      </c>
      <c r="G15">
        <v>3.7</v>
      </c>
      <c r="H15">
        <v>0</v>
      </c>
      <c r="I15">
        <v>0.12283251710420406</v>
      </c>
      <c r="J15">
        <v>0</v>
      </c>
    </row>
    <row r="16" spans="1:10" x14ac:dyDescent="0.3">
      <c r="A16" t="s">
        <v>124</v>
      </c>
      <c r="B16" t="s">
        <v>62</v>
      </c>
      <c r="C16">
        <v>4</v>
      </c>
      <c r="D16">
        <v>36500</v>
      </c>
      <c r="E16" t="s">
        <v>69</v>
      </c>
      <c r="F16">
        <v>58</v>
      </c>
      <c r="G16">
        <v>8.9</v>
      </c>
      <c r="H16">
        <v>9600</v>
      </c>
      <c r="I16">
        <v>7.0626417239912587E-2</v>
      </c>
      <c r="J16">
        <v>0</v>
      </c>
    </row>
    <row r="17" spans="1:10" x14ac:dyDescent="0.3">
      <c r="A17" t="s">
        <v>125</v>
      </c>
      <c r="B17" t="s">
        <v>62</v>
      </c>
      <c r="C17">
        <v>4</v>
      </c>
      <c r="D17">
        <v>51100</v>
      </c>
      <c r="E17" t="s">
        <v>69</v>
      </c>
      <c r="F17">
        <v>34</v>
      </c>
      <c r="G17">
        <v>4.5</v>
      </c>
      <c r="H17">
        <v>6900</v>
      </c>
      <c r="I17">
        <v>0.79412328429866963</v>
      </c>
      <c r="J17">
        <v>0</v>
      </c>
    </row>
    <row r="18" spans="1:10" x14ac:dyDescent="0.3">
      <c r="A18" t="s">
        <v>126</v>
      </c>
      <c r="B18" t="s">
        <v>513</v>
      </c>
      <c r="C18">
        <v>4</v>
      </c>
      <c r="D18">
        <v>25300</v>
      </c>
      <c r="E18" t="s">
        <v>66</v>
      </c>
      <c r="F18">
        <v>30</v>
      </c>
      <c r="G18">
        <v>4.2</v>
      </c>
      <c r="H18">
        <v>0</v>
      </c>
      <c r="I18">
        <v>0.28935646664072134</v>
      </c>
      <c r="J18">
        <v>0</v>
      </c>
    </row>
    <row r="19" spans="1:10" x14ac:dyDescent="0.3">
      <c r="A19" t="s">
        <v>127</v>
      </c>
      <c r="B19" t="s">
        <v>65</v>
      </c>
      <c r="C19">
        <v>7</v>
      </c>
      <c r="D19">
        <v>32600</v>
      </c>
      <c r="E19" t="s">
        <v>66</v>
      </c>
      <c r="F19">
        <v>42</v>
      </c>
      <c r="G19">
        <v>2.7</v>
      </c>
      <c r="H19">
        <v>3200</v>
      </c>
      <c r="I19">
        <v>0.96019210190962734</v>
      </c>
      <c r="J19">
        <v>0</v>
      </c>
    </row>
    <row r="20" spans="1:10" x14ac:dyDescent="0.3">
      <c r="A20" t="s">
        <v>128</v>
      </c>
      <c r="B20" t="s">
        <v>513</v>
      </c>
      <c r="C20">
        <v>7</v>
      </c>
      <c r="D20">
        <v>49500</v>
      </c>
      <c r="E20" t="s">
        <v>66</v>
      </c>
      <c r="F20">
        <v>68</v>
      </c>
      <c r="G20">
        <v>6.6</v>
      </c>
      <c r="H20">
        <v>7700</v>
      </c>
      <c r="I20">
        <v>0.22014686537012673</v>
      </c>
      <c r="J20">
        <v>0</v>
      </c>
    </row>
    <row r="21" spans="1:10" x14ac:dyDescent="0.3">
      <c r="A21" t="s">
        <v>129</v>
      </c>
      <c r="B21" t="s">
        <v>62</v>
      </c>
      <c r="C21">
        <v>4</v>
      </c>
      <c r="D21">
        <v>33900</v>
      </c>
      <c r="E21" t="s">
        <v>67</v>
      </c>
      <c r="F21">
        <v>89</v>
      </c>
      <c r="G21">
        <v>1.2</v>
      </c>
      <c r="H21">
        <v>7000</v>
      </c>
      <c r="I21">
        <v>0.16626016527580201</v>
      </c>
      <c r="J21">
        <v>0</v>
      </c>
    </row>
    <row r="22" spans="1:10" x14ac:dyDescent="0.3">
      <c r="A22" t="s">
        <v>130</v>
      </c>
      <c r="B22" t="s">
        <v>513</v>
      </c>
      <c r="C22">
        <v>9</v>
      </c>
      <c r="D22">
        <v>35200</v>
      </c>
      <c r="E22" t="s">
        <v>66</v>
      </c>
      <c r="F22">
        <v>36</v>
      </c>
      <c r="G22">
        <v>4.8</v>
      </c>
      <c r="H22">
        <v>5000</v>
      </c>
      <c r="I22">
        <v>0.75951342174123304</v>
      </c>
      <c r="J22">
        <v>0</v>
      </c>
    </row>
    <row r="23" spans="1:10" x14ac:dyDescent="0.3">
      <c r="A23" t="s">
        <v>131</v>
      </c>
      <c r="B23" t="s">
        <v>62</v>
      </c>
      <c r="C23">
        <v>6</v>
      </c>
      <c r="D23">
        <v>27800</v>
      </c>
      <c r="E23" t="s">
        <v>69</v>
      </c>
      <c r="F23">
        <v>11</v>
      </c>
      <c r="G23">
        <v>6.6</v>
      </c>
      <c r="H23">
        <v>6800</v>
      </c>
      <c r="I23">
        <v>0.33555624655406047</v>
      </c>
      <c r="J23">
        <v>0</v>
      </c>
    </row>
    <row r="24" spans="1:10" x14ac:dyDescent="0.3">
      <c r="A24" t="s">
        <v>132</v>
      </c>
      <c r="B24" t="s">
        <v>64</v>
      </c>
      <c r="C24">
        <v>4</v>
      </c>
      <c r="D24">
        <v>47700</v>
      </c>
      <c r="E24" t="s">
        <v>66</v>
      </c>
      <c r="F24">
        <v>68</v>
      </c>
      <c r="G24">
        <v>4.5999999999999996</v>
      </c>
      <c r="H24">
        <v>5900</v>
      </c>
      <c r="I24">
        <v>0.66817966381827254</v>
      </c>
      <c r="J24">
        <v>0</v>
      </c>
    </row>
    <row r="25" spans="1:10" x14ac:dyDescent="0.3">
      <c r="A25" t="s">
        <v>133</v>
      </c>
      <c r="B25" t="s">
        <v>513</v>
      </c>
      <c r="C25">
        <v>5</v>
      </c>
      <c r="D25">
        <v>72700</v>
      </c>
      <c r="E25" t="s">
        <v>69</v>
      </c>
      <c r="F25">
        <v>11</v>
      </c>
      <c r="G25">
        <v>14.3</v>
      </c>
      <c r="H25">
        <v>4000</v>
      </c>
      <c r="I25">
        <v>0.220816955048449</v>
      </c>
      <c r="J25">
        <v>0</v>
      </c>
    </row>
    <row r="26" spans="1:10" x14ac:dyDescent="0.3">
      <c r="A26" t="s">
        <v>134</v>
      </c>
      <c r="B26" t="s">
        <v>513</v>
      </c>
      <c r="C26">
        <v>5</v>
      </c>
      <c r="D26">
        <v>68500</v>
      </c>
      <c r="E26" t="s">
        <v>68</v>
      </c>
      <c r="F26">
        <v>60</v>
      </c>
      <c r="G26">
        <v>2.1</v>
      </c>
      <c r="H26">
        <v>1400</v>
      </c>
      <c r="I26">
        <v>0.19799367590639183</v>
      </c>
      <c r="J26">
        <v>0</v>
      </c>
    </row>
    <row r="27" spans="1:10" x14ac:dyDescent="0.3">
      <c r="A27" t="s">
        <v>135</v>
      </c>
      <c r="B27" t="s">
        <v>513</v>
      </c>
      <c r="C27">
        <v>10</v>
      </c>
      <c r="D27">
        <v>43800</v>
      </c>
      <c r="E27" t="s">
        <v>68</v>
      </c>
      <c r="F27">
        <v>28</v>
      </c>
      <c r="G27">
        <v>9.5</v>
      </c>
      <c r="H27">
        <v>9400</v>
      </c>
      <c r="I27">
        <v>0.90136035723104779</v>
      </c>
      <c r="J27">
        <v>0</v>
      </c>
    </row>
    <row r="28" spans="1:10" x14ac:dyDescent="0.3">
      <c r="A28" t="s">
        <v>136</v>
      </c>
      <c r="B28" t="s">
        <v>62</v>
      </c>
      <c r="C28">
        <v>2</v>
      </c>
      <c r="D28">
        <v>14900</v>
      </c>
      <c r="E28" t="s">
        <v>66</v>
      </c>
      <c r="F28">
        <v>43</v>
      </c>
      <c r="G28">
        <v>1.3</v>
      </c>
      <c r="H28">
        <v>2700</v>
      </c>
      <c r="I28">
        <v>0.46367592157436455</v>
      </c>
      <c r="J28">
        <v>0</v>
      </c>
    </row>
    <row r="29" spans="1:10" x14ac:dyDescent="0.3">
      <c r="A29" t="s">
        <v>137</v>
      </c>
      <c r="B29" t="s">
        <v>62</v>
      </c>
      <c r="C29">
        <v>3</v>
      </c>
      <c r="D29">
        <v>21900</v>
      </c>
      <c r="E29" t="s">
        <v>66</v>
      </c>
      <c r="F29">
        <v>44</v>
      </c>
      <c r="G29">
        <v>3.5</v>
      </c>
      <c r="H29">
        <v>3400</v>
      </c>
      <c r="I29">
        <v>0.43692898715598438</v>
      </c>
      <c r="J29">
        <v>0</v>
      </c>
    </row>
    <row r="30" spans="1:10" x14ac:dyDescent="0.3">
      <c r="A30" t="s">
        <v>138</v>
      </c>
      <c r="B30" t="s">
        <v>513</v>
      </c>
      <c r="C30">
        <v>5</v>
      </c>
      <c r="D30">
        <v>39600</v>
      </c>
      <c r="E30" t="s">
        <v>66</v>
      </c>
      <c r="F30">
        <v>17</v>
      </c>
      <c r="G30">
        <v>4.8</v>
      </c>
      <c r="H30">
        <v>500</v>
      </c>
      <c r="I30">
        <v>0.78409134925723378</v>
      </c>
      <c r="J30">
        <v>0</v>
      </c>
    </row>
    <row r="31" spans="1:10" x14ac:dyDescent="0.3">
      <c r="A31" t="s">
        <v>139</v>
      </c>
      <c r="B31" t="s">
        <v>65</v>
      </c>
      <c r="C31">
        <v>2</v>
      </c>
      <c r="D31">
        <v>39400</v>
      </c>
      <c r="E31" t="s">
        <v>69</v>
      </c>
      <c r="F31">
        <v>54</v>
      </c>
      <c r="G31">
        <v>11.4</v>
      </c>
      <c r="H31">
        <v>0</v>
      </c>
      <c r="I31">
        <v>0.2162673020415995</v>
      </c>
      <c r="J31">
        <v>0</v>
      </c>
    </row>
    <row r="32" spans="1:10" x14ac:dyDescent="0.3">
      <c r="A32" t="s">
        <v>140</v>
      </c>
      <c r="B32" t="s">
        <v>64</v>
      </c>
      <c r="C32">
        <v>2</v>
      </c>
      <c r="D32">
        <v>21000</v>
      </c>
      <c r="E32" t="s">
        <v>68</v>
      </c>
      <c r="F32">
        <v>32</v>
      </c>
      <c r="G32">
        <v>5.0999999999999996</v>
      </c>
      <c r="H32">
        <v>12900</v>
      </c>
      <c r="I32">
        <v>0.33916669366340568</v>
      </c>
      <c r="J32">
        <v>0</v>
      </c>
    </row>
    <row r="33" spans="1:10" x14ac:dyDescent="0.3">
      <c r="A33" t="s">
        <v>141</v>
      </c>
      <c r="B33" t="s">
        <v>65</v>
      </c>
      <c r="C33">
        <v>6</v>
      </c>
      <c r="D33">
        <v>66100</v>
      </c>
      <c r="E33" t="s">
        <v>68</v>
      </c>
      <c r="F33">
        <v>36</v>
      </c>
      <c r="G33">
        <v>11.3</v>
      </c>
      <c r="H33">
        <v>5300</v>
      </c>
      <c r="I33">
        <v>0.91635958370278636</v>
      </c>
      <c r="J33">
        <v>0</v>
      </c>
    </row>
    <row r="34" spans="1:10" x14ac:dyDescent="0.3">
      <c r="A34" t="s">
        <v>142</v>
      </c>
      <c r="B34" t="s">
        <v>62</v>
      </c>
      <c r="C34">
        <v>6</v>
      </c>
      <c r="D34">
        <v>63800</v>
      </c>
      <c r="E34" t="s">
        <v>69</v>
      </c>
      <c r="F34">
        <v>23</v>
      </c>
      <c r="G34">
        <v>9.8000000000000007</v>
      </c>
      <c r="H34">
        <v>1400</v>
      </c>
      <c r="I34">
        <v>0.28355247457978849</v>
      </c>
      <c r="J34">
        <v>0</v>
      </c>
    </row>
    <row r="35" spans="1:10" x14ac:dyDescent="0.3">
      <c r="A35" t="s">
        <v>143</v>
      </c>
      <c r="B35" t="s">
        <v>62</v>
      </c>
      <c r="C35">
        <v>5</v>
      </c>
      <c r="D35">
        <v>63400</v>
      </c>
      <c r="E35" t="s">
        <v>69</v>
      </c>
      <c r="F35">
        <v>33</v>
      </c>
      <c r="G35">
        <v>7.3</v>
      </c>
      <c r="H35">
        <v>5100</v>
      </c>
      <c r="I35">
        <v>3.5833898114958296E-2</v>
      </c>
      <c r="J35">
        <v>0</v>
      </c>
    </row>
    <row r="36" spans="1:10" x14ac:dyDescent="0.3">
      <c r="A36" t="s">
        <v>144</v>
      </c>
      <c r="B36" t="s">
        <v>65</v>
      </c>
      <c r="C36">
        <v>9</v>
      </c>
      <c r="D36">
        <v>24800</v>
      </c>
      <c r="E36" t="s">
        <v>66</v>
      </c>
      <c r="F36">
        <v>17</v>
      </c>
      <c r="G36">
        <v>13.2</v>
      </c>
      <c r="H36">
        <v>8300</v>
      </c>
      <c r="I36">
        <v>0.45233501071964721</v>
      </c>
      <c r="J36">
        <v>0</v>
      </c>
    </row>
    <row r="37" spans="1:10" x14ac:dyDescent="0.3">
      <c r="A37" t="s">
        <v>145</v>
      </c>
      <c r="B37" t="s">
        <v>64</v>
      </c>
      <c r="C37">
        <v>6</v>
      </c>
      <c r="D37">
        <v>12200</v>
      </c>
      <c r="E37" t="s">
        <v>67</v>
      </c>
      <c r="F37">
        <v>69</v>
      </c>
      <c r="G37">
        <v>4.3</v>
      </c>
      <c r="H37">
        <v>0</v>
      </c>
      <c r="I37">
        <v>0.71153741055986297</v>
      </c>
      <c r="J37">
        <v>0</v>
      </c>
    </row>
    <row r="38" spans="1:10" x14ac:dyDescent="0.3">
      <c r="A38" t="s">
        <v>146</v>
      </c>
      <c r="B38" t="s">
        <v>513</v>
      </c>
      <c r="C38">
        <v>7</v>
      </c>
      <c r="D38">
        <v>42200</v>
      </c>
      <c r="E38" t="s">
        <v>68</v>
      </c>
      <c r="F38">
        <v>53</v>
      </c>
      <c r="G38">
        <v>12</v>
      </c>
      <c r="H38">
        <v>400</v>
      </c>
      <c r="I38">
        <v>1.8509891012780666E-2</v>
      </c>
      <c r="J38">
        <v>0</v>
      </c>
    </row>
    <row r="39" spans="1:10" x14ac:dyDescent="0.3">
      <c r="A39" t="s">
        <v>147</v>
      </c>
      <c r="B39" t="s">
        <v>513</v>
      </c>
      <c r="C39">
        <v>3</v>
      </c>
      <c r="D39">
        <v>16700</v>
      </c>
      <c r="E39" t="s">
        <v>67</v>
      </c>
      <c r="F39">
        <v>120</v>
      </c>
      <c r="G39">
        <v>2.5</v>
      </c>
      <c r="H39">
        <v>6900</v>
      </c>
      <c r="I39">
        <v>0.93197015009177764</v>
      </c>
      <c r="J39">
        <v>0</v>
      </c>
    </row>
    <row r="40" spans="1:10" x14ac:dyDescent="0.3">
      <c r="A40" t="s">
        <v>148</v>
      </c>
      <c r="B40" t="s">
        <v>64</v>
      </c>
      <c r="C40">
        <v>7</v>
      </c>
      <c r="D40">
        <v>41600</v>
      </c>
      <c r="E40" t="s">
        <v>69</v>
      </c>
      <c r="F40">
        <v>17</v>
      </c>
      <c r="G40">
        <v>1.2</v>
      </c>
      <c r="H40">
        <v>7100</v>
      </c>
      <c r="I40">
        <v>0.53742443862247236</v>
      </c>
      <c r="J40">
        <v>0</v>
      </c>
    </row>
    <row r="41" spans="1:10" x14ac:dyDescent="0.3">
      <c r="A41" t="s">
        <v>149</v>
      </c>
      <c r="B41" t="s">
        <v>65</v>
      </c>
      <c r="C41">
        <v>7</v>
      </c>
      <c r="D41">
        <v>26000</v>
      </c>
      <c r="E41" t="s">
        <v>66</v>
      </c>
      <c r="F41">
        <v>21</v>
      </c>
      <c r="G41">
        <v>13.4</v>
      </c>
      <c r="H41">
        <v>4600</v>
      </c>
      <c r="I41">
        <v>0.53835591023787055</v>
      </c>
      <c r="J41">
        <v>0</v>
      </c>
    </row>
    <row r="42" spans="1:10" x14ac:dyDescent="0.3">
      <c r="A42" t="s">
        <v>150</v>
      </c>
      <c r="B42" t="s">
        <v>62</v>
      </c>
      <c r="C42">
        <v>6</v>
      </c>
      <c r="D42">
        <v>66000</v>
      </c>
      <c r="E42" t="s">
        <v>69</v>
      </c>
      <c r="F42">
        <v>39</v>
      </c>
      <c r="G42">
        <v>8.1999999999999993</v>
      </c>
      <c r="H42">
        <v>10400</v>
      </c>
      <c r="I42">
        <v>0.59058180057891019</v>
      </c>
      <c r="J42">
        <v>0</v>
      </c>
    </row>
    <row r="43" spans="1:10" x14ac:dyDescent="0.3">
      <c r="A43" t="s">
        <v>151</v>
      </c>
      <c r="B43" t="s">
        <v>62</v>
      </c>
      <c r="C43">
        <v>5</v>
      </c>
      <c r="D43">
        <v>104100</v>
      </c>
      <c r="E43" t="s">
        <v>68</v>
      </c>
      <c r="F43">
        <v>24</v>
      </c>
      <c r="G43">
        <v>8.1999999999999993</v>
      </c>
      <c r="H43">
        <v>9500</v>
      </c>
      <c r="I43">
        <v>5.5311111539527502E-2</v>
      </c>
      <c r="J43">
        <v>0</v>
      </c>
    </row>
    <row r="44" spans="1:10" x14ac:dyDescent="0.3">
      <c r="A44" t="s">
        <v>152</v>
      </c>
      <c r="B44" t="s">
        <v>513</v>
      </c>
      <c r="C44">
        <v>6</v>
      </c>
      <c r="D44">
        <v>33100</v>
      </c>
      <c r="E44" t="s">
        <v>66</v>
      </c>
      <c r="F44">
        <v>43</v>
      </c>
      <c r="G44">
        <v>5.7</v>
      </c>
      <c r="H44">
        <v>3200</v>
      </c>
      <c r="I44">
        <v>1.2851118786443738E-2</v>
      </c>
      <c r="J44">
        <v>0</v>
      </c>
    </row>
    <row r="45" spans="1:10" x14ac:dyDescent="0.3">
      <c r="A45" t="s">
        <v>153</v>
      </c>
      <c r="B45" t="s">
        <v>64</v>
      </c>
      <c r="C45">
        <v>4</v>
      </c>
      <c r="D45">
        <v>52600</v>
      </c>
      <c r="E45" t="s">
        <v>66</v>
      </c>
      <c r="F45">
        <v>51</v>
      </c>
      <c r="G45">
        <v>3.6</v>
      </c>
      <c r="H45">
        <v>5600</v>
      </c>
      <c r="I45">
        <v>0.67257315841023058</v>
      </c>
      <c r="J45">
        <v>0</v>
      </c>
    </row>
    <row r="46" spans="1:10" x14ac:dyDescent="0.3">
      <c r="A46" t="s">
        <v>154</v>
      </c>
      <c r="B46" t="s">
        <v>65</v>
      </c>
      <c r="C46">
        <v>3</v>
      </c>
      <c r="D46">
        <v>51400</v>
      </c>
      <c r="E46" t="s">
        <v>69</v>
      </c>
      <c r="F46">
        <v>50</v>
      </c>
      <c r="G46">
        <v>2.6</v>
      </c>
      <c r="H46">
        <v>9400</v>
      </c>
      <c r="I46">
        <v>0.78977404600855061</v>
      </c>
      <c r="J46">
        <v>0</v>
      </c>
    </row>
    <row r="47" spans="1:10" x14ac:dyDescent="0.3">
      <c r="A47" t="s">
        <v>155</v>
      </c>
      <c r="B47" t="s">
        <v>65</v>
      </c>
      <c r="C47">
        <v>1</v>
      </c>
      <c r="D47">
        <v>20300</v>
      </c>
      <c r="E47" t="s">
        <v>67</v>
      </c>
      <c r="F47">
        <v>68</v>
      </c>
      <c r="G47">
        <v>4.8</v>
      </c>
      <c r="H47">
        <v>0</v>
      </c>
      <c r="I47">
        <v>0.40038999104816853</v>
      </c>
      <c r="J47">
        <v>0</v>
      </c>
    </row>
    <row r="48" spans="1:10" x14ac:dyDescent="0.3">
      <c r="A48" t="s">
        <v>156</v>
      </c>
      <c r="B48" t="s">
        <v>62</v>
      </c>
      <c r="C48">
        <v>3</v>
      </c>
      <c r="D48">
        <v>23100</v>
      </c>
      <c r="E48" t="s">
        <v>66</v>
      </c>
      <c r="F48">
        <v>18</v>
      </c>
      <c r="G48">
        <v>8.8000000000000007</v>
      </c>
      <c r="H48">
        <v>4800</v>
      </c>
      <c r="I48">
        <v>0.43402114348187282</v>
      </c>
      <c r="J48">
        <v>0</v>
      </c>
    </row>
    <row r="49" spans="1:10" x14ac:dyDescent="0.3">
      <c r="A49" t="s">
        <v>157</v>
      </c>
      <c r="B49" t="s">
        <v>65</v>
      </c>
      <c r="C49">
        <v>4</v>
      </c>
      <c r="D49">
        <v>30600</v>
      </c>
      <c r="E49" t="s">
        <v>66</v>
      </c>
      <c r="F49">
        <v>64</v>
      </c>
      <c r="G49">
        <v>9.8000000000000007</v>
      </c>
      <c r="H49">
        <v>13200</v>
      </c>
      <c r="I49">
        <v>0.9953540412190518</v>
      </c>
      <c r="J49">
        <v>0</v>
      </c>
    </row>
    <row r="50" spans="1:10" x14ac:dyDescent="0.3">
      <c r="A50" t="s">
        <v>158</v>
      </c>
      <c r="B50" t="s">
        <v>65</v>
      </c>
      <c r="C50">
        <v>6</v>
      </c>
      <c r="D50">
        <v>86100</v>
      </c>
      <c r="E50" t="s">
        <v>66</v>
      </c>
      <c r="F50">
        <v>23</v>
      </c>
      <c r="G50">
        <v>11.9</v>
      </c>
      <c r="H50">
        <v>8200</v>
      </c>
      <c r="I50">
        <v>0.69244830948884595</v>
      </c>
      <c r="J50">
        <v>0</v>
      </c>
    </row>
    <row r="51" spans="1:10" x14ac:dyDescent="0.3">
      <c r="A51" t="s">
        <v>159</v>
      </c>
      <c r="B51" t="s">
        <v>64</v>
      </c>
      <c r="C51">
        <v>7</v>
      </c>
      <c r="D51">
        <v>17600</v>
      </c>
      <c r="E51" t="s">
        <v>67</v>
      </c>
      <c r="F51">
        <v>103</v>
      </c>
      <c r="G51">
        <v>7.5</v>
      </c>
      <c r="H51">
        <v>10700</v>
      </c>
      <c r="I51">
        <v>0.56871329614527666</v>
      </c>
      <c r="J51">
        <v>0</v>
      </c>
    </row>
    <row r="52" spans="1:10" x14ac:dyDescent="0.3">
      <c r="A52" t="s">
        <v>160</v>
      </c>
      <c r="B52" t="s">
        <v>65</v>
      </c>
      <c r="C52">
        <v>4</v>
      </c>
      <c r="D52">
        <v>33300</v>
      </c>
      <c r="E52" t="s">
        <v>69</v>
      </c>
      <c r="F52">
        <v>30</v>
      </c>
      <c r="G52">
        <v>4</v>
      </c>
      <c r="H52">
        <v>4300</v>
      </c>
      <c r="I52">
        <v>0.29818621827089775</v>
      </c>
      <c r="J52">
        <v>0</v>
      </c>
    </row>
    <row r="53" spans="1:10" x14ac:dyDescent="0.3">
      <c r="A53" t="s">
        <v>161</v>
      </c>
      <c r="B53" t="s">
        <v>513</v>
      </c>
      <c r="C53">
        <v>9</v>
      </c>
      <c r="D53">
        <v>18300</v>
      </c>
      <c r="E53" t="s">
        <v>67</v>
      </c>
      <c r="F53">
        <v>48</v>
      </c>
      <c r="G53">
        <v>12</v>
      </c>
      <c r="H53">
        <v>10400</v>
      </c>
      <c r="I53">
        <v>0.27721987617048971</v>
      </c>
      <c r="J53">
        <v>0</v>
      </c>
    </row>
    <row r="54" spans="1:10" x14ac:dyDescent="0.3">
      <c r="A54" t="s">
        <v>162</v>
      </c>
      <c r="B54" t="s">
        <v>513</v>
      </c>
      <c r="C54">
        <v>1</v>
      </c>
      <c r="D54">
        <v>38500</v>
      </c>
      <c r="E54" t="s">
        <v>69</v>
      </c>
      <c r="F54">
        <v>50</v>
      </c>
      <c r="G54">
        <v>2.2000000000000002</v>
      </c>
      <c r="H54">
        <v>10200</v>
      </c>
      <c r="I54">
        <v>5.2463182365577898E-2</v>
      </c>
      <c r="J54">
        <v>0</v>
      </c>
    </row>
    <row r="55" spans="1:10" x14ac:dyDescent="0.3">
      <c r="A55" t="s">
        <v>163</v>
      </c>
      <c r="B55" t="s">
        <v>513</v>
      </c>
      <c r="C55">
        <v>5</v>
      </c>
      <c r="D55">
        <v>34200</v>
      </c>
      <c r="E55" t="s">
        <v>67</v>
      </c>
      <c r="F55">
        <v>80</v>
      </c>
      <c r="G55">
        <v>11.7</v>
      </c>
      <c r="H55">
        <v>9000</v>
      </c>
      <c r="I55">
        <v>0.37907623364037046</v>
      </c>
      <c r="J55">
        <v>0</v>
      </c>
    </row>
    <row r="56" spans="1:10" x14ac:dyDescent="0.3">
      <c r="A56" t="s">
        <v>164</v>
      </c>
      <c r="B56" t="s">
        <v>62</v>
      </c>
      <c r="C56">
        <v>4</v>
      </c>
      <c r="D56">
        <v>41200</v>
      </c>
      <c r="E56" t="s">
        <v>69</v>
      </c>
      <c r="F56">
        <v>50</v>
      </c>
      <c r="G56">
        <v>0.6</v>
      </c>
      <c r="H56">
        <v>9000</v>
      </c>
      <c r="I56">
        <v>0.90683047649836046</v>
      </c>
      <c r="J56">
        <v>0</v>
      </c>
    </row>
    <row r="57" spans="1:10" x14ac:dyDescent="0.3">
      <c r="A57" t="s">
        <v>165</v>
      </c>
      <c r="B57" t="s">
        <v>65</v>
      </c>
      <c r="C57">
        <v>4</v>
      </c>
      <c r="D57">
        <v>24400</v>
      </c>
      <c r="E57" t="s">
        <v>67</v>
      </c>
      <c r="F57">
        <v>101</v>
      </c>
      <c r="G57">
        <v>4.9000000000000004</v>
      </c>
      <c r="H57">
        <v>6700</v>
      </c>
      <c r="I57">
        <v>0.1706556935317548</v>
      </c>
      <c r="J57">
        <v>0</v>
      </c>
    </row>
    <row r="58" spans="1:10" x14ac:dyDescent="0.3">
      <c r="A58" t="s">
        <v>166</v>
      </c>
      <c r="B58" t="s">
        <v>64</v>
      </c>
      <c r="C58">
        <v>3</v>
      </c>
      <c r="D58">
        <v>34100</v>
      </c>
      <c r="E58" t="s">
        <v>67</v>
      </c>
      <c r="F58">
        <v>51</v>
      </c>
      <c r="G58">
        <v>7.5</v>
      </c>
      <c r="H58">
        <v>2700</v>
      </c>
      <c r="I58">
        <v>6.2162307516802184E-2</v>
      </c>
      <c r="J58">
        <v>0</v>
      </c>
    </row>
    <row r="59" spans="1:10" x14ac:dyDescent="0.3">
      <c r="A59" t="s">
        <v>167</v>
      </c>
      <c r="B59" t="s">
        <v>62</v>
      </c>
      <c r="C59">
        <v>8</v>
      </c>
      <c r="D59">
        <v>90300</v>
      </c>
      <c r="E59" t="s">
        <v>66</v>
      </c>
      <c r="F59">
        <v>43</v>
      </c>
      <c r="G59">
        <v>8.5</v>
      </c>
      <c r="H59">
        <v>800</v>
      </c>
      <c r="I59">
        <v>5.5600670574054822E-2</v>
      </c>
      <c r="J59">
        <v>0</v>
      </c>
    </row>
    <row r="60" spans="1:10" x14ac:dyDescent="0.3">
      <c r="A60" t="s">
        <v>168</v>
      </c>
      <c r="B60" t="s">
        <v>65</v>
      </c>
      <c r="C60">
        <v>8</v>
      </c>
      <c r="D60">
        <v>48300</v>
      </c>
      <c r="E60" t="s">
        <v>69</v>
      </c>
      <c r="F60">
        <v>14</v>
      </c>
      <c r="G60">
        <v>12.3</v>
      </c>
      <c r="H60">
        <v>4500</v>
      </c>
      <c r="I60">
        <v>0.81824872177721497</v>
      </c>
      <c r="J60">
        <v>0</v>
      </c>
    </row>
    <row r="61" spans="1:10" x14ac:dyDescent="0.3">
      <c r="A61" t="s">
        <v>169</v>
      </c>
      <c r="B61" t="s">
        <v>513</v>
      </c>
      <c r="C61">
        <v>5</v>
      </c>
      <c r="D61">
        <v>26100</v>
      </c>
      <c r="E61" t="s">
        <v>67</v>
      </c>
      <c r="F61">
        <v>101</v>
      </c>
      <c r="G61">
        <v>11.4</v>
      </c>
      <c r="H61">
        <v>8600</v>
      </c>
      <c r="I61">
        <v>0.70285445429068227</v>
      </c>
      <c r="J61">
        <v>0</v>
      </c>
    </row>
    <row r="62" spans="1:10" x14ac:dyDescent="0.3">
      <c r="A62" t="s">
        <v>170</v>
      </c>
      <c r="B62" t="s">
        <v>65</v>
      </c>
      <c r="C62">
        <v>3</v>
      </c>
      <c r="D62">
        <v>24600</v>
      </c>
      <c r="E62" t="s">
        <v>67</v>
      </c>
      <c r="F62">
        <v>111</v>
      </c>
      <c r="G62">
        <v>8.1999999999999993</v>
      </c>
      <c r="H62">
        <v>0</v>
      </c>
      <c r="I62">
        <v>0.18273825993557535</v>
      </c>
      <c r="J62">
        <v>0</v>
      </c>
    </row>
    <row r="63" spans="1:10" x14ac:dyDescent="0.3">
      <c r="A63" t="s">
        <v>171</v>
      </c>
      <c r="B63" t="s">
        <v>513</v>
      </c>
      <c r="C63">
        <v>5</v>
      </c>
      <c r="D63">
        <v>78100</v>
      </c>
      <c r="E63" t="s">
        <v>68</v>
      </c>
      <c r="F63">
        <v>61</v>
      </c>
      <c r="G63">
        <v>6.9</v>
      </c>
      <c r="H63">
        <v>6400</v>
      </c>
      <c r="I63">
        <v>0.96037312306349409</v>
      </c>
      <c r="J63">
        <v>0</v>
      </c>
    </row>
    <row r="64" spans="1:10" x14ac:dyDescent="0.3">
      <c r="A64" t="s">
        <v>172</v>
      </c>
      <c r="B64" t="s">
        <v>65</v>
      </c>
      <c r="C64">
        <v>3</v>
      </c>
      <c r="D64">
        <v>19900</v>
      </c>
      <c r="E64" t="s">
        <v>67</v>
      </c>
      <c r="F64">
        <v>111</v>
      </c>
      <c r="G64">
        <v>7.6</v>
      </c>
      <c r="H64">
        <v>3800</v>
      </c>
      <c r="I64">
        <v>0.5529820990800518</v>
      </c>
      <c r="J64">
        <v>0</v>
      </c>
    </row>
    <row r="65" spans="1:10" x14ac:dyDescent="0.3">
      <c r="A65" t="s">
        <v>173</v>
      </c>
      <c r="B65" t="s">
        <v>513</v>
      </c>
      <c r="C65">
        <v>5</v>
      </c>
      <c r="D65">
        <v>27100</v>
      </c>
      <c r="E65" t="s">
        <v>68</v>
      </c>
      <c r="F65">
        <v>47</v>
      </c>
      <c r="G65">
        <v>2.2000000000000002</v>
      </c>
      <c r="H65">
        <v>6100</v>
      </c>
      <c r="I65">
        <v>0.86536640629452055</v>
      </c>
      <c r="J65">
        <v>0</v>
      </c>
    </row>
    <row r="66" spans="1:10" x14ac:dyDescent="0.3">
      <c r="A66" t="s">
        <v>174</v>
      </c>
      <c r="B66" t="s">
        <v>62</v>
      </c>
      <c r="C66">
        <v>9</v>
      </c>
      <c r="D66">
        <v>44500</v>
      </c>
      <c r="E66" t="s">
        <v>69</v>
      </c>
      <c r="F66">
        <v>58</v>
      </c>
      <c r="G66">
        <v>4.5999999999999996</v>
      </c>
      <c r="H66">
        <v>8700</v>
      </c>
      <c r="I66">
        <v>0.9503820659833544</v>
      </c>
      <c r="J66">
        <v>0</v>
      </c>
    </row>
    <row r="67" spans="1:10" x14ac:dyDescent="0.3">
      <c r="A67" t="s">
        <v>175</v>
      </c>
      <c r="B67" t="s">
        <v>65</v>
      </c>
      <c r="C67">
        <v>5</v>
      </c>
      <c r="D67">
        <v>32500</v>
      </c>
      <c r="E67" t="s">
        <v>67</v>
      </c>
      <c r="F67">
        <v>56</v>
      </c>
      <c r="G67">
        <v>12.6</v>
      </c>
      <c r="H67">
        <v>9300</v>
      </c>
      <c r="I67">
        <v>0.25661987416312504</v>
      </c>
      <c r="J67">
        <v>0</v>
      </c>
    </row>
    <row r="68" spans="1:10" x14ac:dyDescent="0.3">
      <c r="A68" t="s">
        <v>176</v>
      </c>
      <c r="B68" t="s">
        <v>64</v>
      </c>
      <c r="C68">
        <v>7</v>
      </c>
      <c r="D68">
        <v>60900</v>
      </c>
      <c r="E68" t="s">
        <v>67</v>
      </c>
      <c r="F68">
        <v>57</v>
      </c>
      <c r="G68">
        <v>4</v>
      </c>
      <c r="H68">
        <v>9000</v>
      </c>
      <c r="I68">
        <v>0.80646140919932852</v>
      </c>
      <c r="J68">
        <v>0</v>
      </c>
    </row>
    <row r="69" spans="1:10" x14ac:dyDescent="0.3">
      <c r="A69" t="s">
        <v>177</v>
      </c>
      <c r="B69" t="s">
        <v>65</v>
      </c>
      <c r="C69">
        <v>5</v>
      </c>
      <c r="D69">
        <v>92100</v>
      </c>
      <c r="E69" t="s">
        <v>69</v>
      </c>
      <c r="F69">
        <v>44</v>
      </c>
      <c r="G69">
        <v>12.8</v>
      </c>
      <c r="H69">
        <v>12500</v>
      </c>
      <c r="I69">
        <v>0.53395515624996948</v>
      </c>
      <c r="J69">
        <v>0</v>
      </c>
    </row>
    <row r="70" spans="1:10" x14ac:dyDescent="0.3">
      <c r="A70" t="s">
        <v>178</v>
      </c>
      <c r="B70" t="s">
        <v>64</v>
      </c>
      <c r="C70">
        <v>6</v>
      </c>
      <c r="D70">
        <v>34800</v>
      </c>
      <c r="E70" t="s">
        <v>69</v>
      </c>
      <c r="F70">
        <v>34</v>
      </c>
      <c r="G70">
        <v>4.5999999999999996</v>
      </c>
      <c r="H70">
        <v>5700</v>
      </c>
      <c r="I70">
        <v>0.71947098441173329</v>
      </c>
      <c r="J70">
        <v>0</v>
      </c>
    </row>
    <row r="71" spans="1:10" x14ac:dyDescent="0.3">
      <c r="A71" t="s">
        <v>179</v>
      </c>
      <c r="B71" t="s">
        <v>64</v>
      </c>
      <c r="C71">
        <v>3</v>
      </c>
      <c r="D71">
        <v>28600</v>
      </c>
      <c r="E71" t="s">
        <v>67</v>
      </c>
      <c r="F71">
        <v>118</v>
      </c>
      <c r="G71">
        <v>3</v>
      </c>
      <c r="H71">
        <v>6800</v>
      </c>
      <c r="I71">
        <v>0.69521719610816635</v>
      </c>
      <c r="J71">
        <v>0</v>
      </c>
    </row>
    <row r="72" spans="1:10" x14ac:dyDescent="0.3">
      <c r="A72" t="s">
        <v>180</v>
      </c>
      <c r="B72" t="s">
        <v>513</v>
      </c>
      <c r="C72">
        <v>4</v>
      </c>
      <c r="D72">
        <v>36000</v>
      </c>
      <c r="E72" t="s">
        <v>68</v>
      </c>
      <c r="F72">
        <v>75</v>
      </c>
      <c r="G72">
        <v>11.5</v>
      </c>
      <c r="H72">
        <v>5800</v>
      </c>
      <c r="I72">
        <v>0.87684369860018596</v>
      </c>
      <c r="J72">
        <v>0</v>
      </c>
    </row>
    <row r="73" spans="1:10" x14ac:dyDescent="0.3">
      <c r="A73" t="s">
        <v>181</v>
      </c>
      <c r="B73" t="s">
        <v>64</v>
      </c>
      <c r="C73">
        <v>2</v>
      </c>
      <c r="D73">
        <v>32900</v>
      </c>
      <c r="E73" t="s">
        <v>66</v>
      </c>
      <c r="F73">
        <v>33</v>
      </c>
      <c r="G73">
        <v>8.8000000000000007</v>
      </c>
      <c r="H73">
        <v>1700</v>
      </c>
      <c r="I73">
        <v>0.42013149381533132</v>
      </c>
      <c r="J73">
        <v>0</v>
      </c>
    </row>
    <row r="74" spans="1:10" x14ac:dyDescent="0.3">
      <c r="A74" t="s">
        <v>182</v>
      </c>
      <c r="B74" t="s">
        <v>65</v>
      </c>
      <c r="C74">
        <v>2</v>
      </c>
      <c r="D74">
        <v>21200</v>
      </c>
      <c r="E74" t="s">
        <v>66</v>
      </c>
      <c r="F74">
        <v>62</v>
      </c>
      <c r="G74">
        <v>4.0999999999999996</v>
      </c>
      <c r="H74">
        <v>13600</v>
      </c>
      <c r="I74">
        <v>0.69647504769781288</v>
      </c>
      <c r="J74">
        <v>0</v>
      </c>
    </row>
    <row r="75" spans="1:10" x14ac:dyDescent="0.3">
      <c r="A75" t="s">
        <v>183</v>
      </c>
      <c r="B75" t="s">
        <v>513</v>
      </c>
      <c r="C75">
        <v>3</v>
      </c>
      <c r="D75">
        <v>28900</v>
      </c>
      <c r="E75" t="s">
        <v>69</v>
      </c>
      <c r="F75">
        <v>44</v>
      </c>
      <c r="G75">
        <v>2.6</v>
      </c>
      <c r="H75">
        <v>1800</v>
      </c>
      <c r="I75">
        <v>0.83802886947381516</v>
      </c>
      <c r="J75">
        <v>0</v>
      </c>
    </row>
    <row r="76" spans="1:10" x14ac:dyDescent="0.3">
      <c r="A76" t="s">
        <v>184</v>
      </c>
      <c r="B76" t="s">
        <v>65</v>
      </c>
      <c r="C76">
        <v>4</v>
      </c>
      <c r="D76">
        <v>29200</v>
      </c>
      <c r="E76" t="s">
        <v>68</v>
      </c>
      <c r="F76">
        <v>23</v>
      </c>
      <c r="G76">
        <v>6.1</v>
      </c>
      <c r="H76">
        <v>1500</v>
      </c>
      <c r="I76">
        <v>0.79865549279190184</v>
      </c>
      <c r="J76">
        <v>0</v>
      </c>
    </row>
    <row r="77" spans="1:10" x14ac:dyDescent="0.3">
      <c r="A77" t="s">
        <v>185</v>
      </c>
      <c r="B77" t="s">
        <v>62</v>
      </c>
      <c r="C77">
        <v>8</v>
      </c>
      <c r="D77">
        <v>28600</v>
      </c>
      <c r="E77" t="s">
        <v>67</v>
      </c>
      <c r="F77">
        <v>72</v>
      </c>
      <c r="G77">
        <v>3.8</v>
      </c>
      <c r="H77">
        <v>5700</v>
      </c>
      <c r="I77">
        <v>0.19457313089632333</v>
      </c>
      <c r="J77">
        <v>0</v>
      </c>
    </row>
    <row r="78" spans="1:10" x14ac:dyDescent="0.3">
      <c r="A78" t="s">
        <v>186</v>
      </c>
      <c r="B78" t="s">
        <v>65</v>
      </c>
      <c r="C78">
        <v>8</v>
      </c>
      <c r="D78">
        <v>37000</v>
      </c>
      <c r="E78" t="s">
        <v>67</v>
      </c>
      <c r="F78">
        <v>93</v>
      </c>
      <c r="G78">
        <v>9.1</v>
      </c>
      <c r="H78">
        <v>9800</v>
      </c>
      <c r="I78">
        <v>0.11031820589424668</v>
      </c>
      <c r="J78">
        <v>0</v>
      </c>
    </row>
    <row r="79" spans="1:10" x14ac:dyDescent="0.3">
      <c r="A79" t="s">
        <v>187</v>
      </c>
      <c r="B79" t="s">
        <v>513</v>
      </c>
      <c r="C79">
        <v>5</v>
      </c>
      <c r="D79">
        <v>17700</v>
      </c>
      <c r="E79" t="s">
        <v>66</v>
      </c>
      <c r="F79">
        <v>22</v>
      </c>
      <c r="G79">
        <v>10.7</v>
      </c>
      <c r="H79">
        <v>9900</v>
      </c>
      <c r="I79">
        <v>0.84264345231716353</v>
      </c>
      <c r="J79">
        <v>0</v>
      </c>
    </row>
    <row r="80" spans="1:10" x14ac:dyDescent="0.3">
      <c r="A80" t="s">
        <v>188</v>
      </c>
      <c r="B80" t="s">
        <v>65</v>
      </c>
      <c r="C80">
        <v>5</v>
      </c>
      <c r="D80">
        <v>19400</v>
      </c>
      <c r="E80" t="s">
        <v>67</v>
      </c>
      <c r="F80">
        <v>93</v>
      </c>
      <c r="G80">
        <v>6.1</v>
      </c>
      <c r="H80">
        <v>5400</v>
      </c>
      <c r="I80">
        <v>0.17342787828980843</v>
      </c>
      <c r="J80">
        <v>0</v>
      </c>
    </row>
    <row r="81" spans="1:10" x14ac:dyDescent="0.3">
      <c r="A81" t="s">
        <v>189</v>
      </c>
      <c r="B81" t="s">
        <v>65</v>
      </c>
      <c r="C81">
        <v>4</v>
      </c>
      <c r="D81">
        <v>38700</v>
      </c>
      <c r="E81" t="s">
        <v>66</v>
      </c>
      <c r="F81">
        <v>58</v>
      </c>
      <c r="G81">
        <v>12.5</v>
      </c>
      <c r="H81">
        <v>0</v>
      </c>
      <c r="I81">
        <v>0.55183203081005028</v>
      </c>
      <c r="J81">
        <v>0</v>
      </c>
    </row>
    <row r="82" spans="1:10" x14ac:dyDescent="0.3">
      <c r="A82" t="s">
        <v>190</v>
      </c>
      <c r="B82" t="s">
        <v>513</v>
      </c>
      <c r="C82">
        <v>6</v>
      </c>
      <c r="D82">
        <v>38200</v>
      </c>
      <c r="E82" t="s">
        <v>69</v>
      </c>
      <c r="F82">
        <v>13</v>
      </c>
      <c r="G82">
        <v>9.9</v>
      </c>
      <c r="H82">
        <v>9900</v>
      </c>
      <c r="I82">
        <v>0.48165579119461754</v>
      </c>
      <c r="J82">
        <v>0</v>
      </c>
    </row>
    <row r="83" spans="1:10" x14ac:dyDescent="0.3">
      <c r="A83" t="s">
        <v>191</v>
      </c>
      <c r="B83" t="s">
        <v>513</v>
      </c>
      <c r="C83">
        <v>5</v>
      </c>
      <c r="D83">
        <v>50400</v>
      </c>
      <c r="E83" t="s">
        <v>69</v>
      </c>
      <c r="F83">
        <v>25</v>
      </c>
      <c r="G83">
        <v>13.9</v>
      </c>
      <c r="H83">
        <v>4400</v>
      </c>
      <c r="I83">
        <v>0.4272652616010949</v>
      </c>
      <c r="J83">
        <v>0</v>
      </c>
    </row>
    <row r="84" spans="1:10" x14ac:dyDescent="0.3">
      <c r="A84" t="s">
        <v>192</v>
      </c>
      <c r="B84" t="s">
        <v>62</v>
      </c>
      <c r="C84">
        <v>5</v>
      </c>
      <c r="D84">
        <v>30300</v>
      </c>
      <c r="E84" t="s">
        <v>68</v>
      </c>
      <c r="F84">
        <v>62</v>
      </c>
      <c r="G84">
        <v>6.6</v>
      </c>
      <c r="H84">
        <v>0</v>
      </c>
      <c r="I84">
        <v>0.56674469966931873</v>
      </c>
      <c r="J84">
        <v>0</v>
      </c>
    </row>
    <row r="85" spans="1:10" x14ac:dyDescent="0.3">
      <c r="A85" t="s">
        <v>193</v>
      </c>
      <c r="B85" t="s">
        <v>513</v>
      </c>
      <c r="C85">
        <v>3</v>
      </c>
      <c r="D85">
        <v>88900</v>
      </c>
      <c r="E85" t="s">
        <v>66</v>
      </c>
      <c r="F85">
        <v>63</v>
      </c>
      <c r="G85">
        <v>11.7</v>
      </c>
      <c r="H85">
        <v>6000</v>
      </c>
      <c r="I85">
        <v>0.2990171490030008</v>
      </c>
      <c r="J85">
        <v>0</v>
      </c>
    </row>
    <row r="86" spans="1:10" x14ac:dyDescent="0.3">
      <c r="A86" t="s">
        <v>194</v>
      </c>
      <c r="B86" t="s">
        <v>513</v>
      </c>
      <c r="C86">
        <v>3</v>
      </c>
      <c r="D86">
        <v>13300</v>
      </c>
      <c r="E86" t="s">
        <v>66</v>
      </c>
      <c r="F86">
        <v>18</v>
      </c>
      <c r="G86">
        <v>2.2000000000000002</v>
      </c>
      <c r="H86">
        <v>4800</v>
      </c>
      <c r="I86">
        <v>0.61622394381706835</v>
      </c>
      <c r="J86">
        <v>0</v>
      </c>
    </row>
    <row r="87" spans="1:10" x14ac:dyDescent="0.3">
      <c r="A87" t="s">
        <v>195</v>
      </c>
      <c r="B87" t="s">
        <v>62</v>
      </c>
      <c r="C87">
        <v>6</v>
      </c>
      <c r="D87">
        <v>11700</v>
      </c>
      <c r="E87" t="s">
        <v>67</v>
      </c>
      <c r="F87">
        <v>100</v>
      </c>
      <c r="G87">
        <v>2</v>
      </c>
      <c r="H87">
        <v>5400</v>
      </c>
      <c r="I87">
        <v>0.6415389615825472</v>
      </c>
      <c r="J87">
        <v>0</v>
      </c>
    </row>
    <row r="88" spans="1:10" x14ac:dyDescent="0.3">
      <c r="A88" t="s">
        <v>196</v>
      </c>
      <c r="B88" t="s">
        <v>65</v>
      </c>
      <c r="C88">
        <v>2</v>
      </c>
      <c r="D88">
        <v>16300</v>
      </c>
      <c r="E88" t="s">
        <v>67</v>
      </c>
      <c r="F88">
        <v>65</v>
      </c>
      <c r="G88">
        <v>0.9</v>
      </c>
      <c r="H88">
        <v>3300</v>
      </c>
      <c r="I88">
        <v>0.18648338553643218</v>
      </c>
      <c r="J88">
        <v>0</v>
      </c>
    </row>
    <row r="89" spans="1:10" x14ac:dyDescent="0.3">
      <c r="A89" t="s">
        <v>197</v>
      </c>
      <c r="B89" t="s">
        <v>513</v>
      </c>
      <c r="C89">
        <v>8</v>
      </c>
      <c r="D89">
        <v>51000</v>
      </c>
      <c r="E89" t="s">
        <v>67</v>
      </c>
      <c r="F89">
        <v>81</v>
      </c>
      <c r="G89">
        <v>14.5</v>
      </c>
      <c r="H89">
        <v>4400</v>
      </c>
      <c r="I89">
        <v>0.86251160159938467</v>
      </c>
      <c r="J89">
        <v>0</v>
      </c>
    </row>
    <row r="90" spans="1:10" x14ac:dyDescent="0.3">
      <c r="A90" t="s">
        <v>198</v>
      </c>
      <c r="B90" t="s">
        <v>62</v>
      </c>
      <c r="C90">
        <v>7</v>
      </c>
      <c r="D90">
        <v>38700</v>
      </c>
      <c r="E90" t="s">
        <v>67</v>
      </c>
      <c r="F90">
        <v>114</v>
      </c>
      <c r="G90">
        <v>9.4</v>
      </c>
      <c r="H90">
        <v>6000</v>
      </c>
      <c r="I90">
        <v>0.30016961611574078</v>
      </c>
      <c r="J90">
        <v>0</v>
      </c>
    </row>
    <row r="91" spans="1:10" x14ac:dyDescent="0.3">
      <c r="A91" t="s">
        <v>199</v>
      </c>
      <c r="B91" t="s">
        <v>64</v>
      </c>
      <c r="C91">
        <v>3</v>
      </c>
      <c r="D91">
        <v>34400</v>
      </c>
      <c r="E91" t="s">
        <v>66</v>
      </c>
      <c r="F91">
        <v>65</v>
      </c>
      <c r="G91">
        <v>1</v>
      </c>
      <c r="H91">
        <v>3300</v>
      </c>
      <c r="I91">
        <v>0.50735663658470753</v>
      </c>
      <c r="J91">
        <v>0</v>
      </c>
    </row>
    <row r="92" spans="1:10" x14ac:dyDescent="0.3">
      <c r="A92" t="s">
        <v>200</v>
      </c>
      <c r="B92" t="s">
        <v>513</v>
      </c>
      <c r="C92">
        <v>3</v>
      </c>
      <c r="D92">
        <v>19800</v>
      </c>
      <c r="E92" t="s">
        <v>66</v>
      </c>
      <c r="F92">
        <v>15</v>
      </c>
      <c r="G92">
        <v>4.5</v>
      </c>
      <c r="H92">
        <v>0</v>
      </c>
      <c r="I92">
        <v>0.39148751789094971</v>
      </c>
      <c r="J92">
        <v>0</v>
      </c>
    </row>
    <row r="93" spans="1:10" x14ac:dyDescent="0.3">
      <c r="A93" t="s">
        <v>201</v>
      </c>
      <c r="B93" t="s">
        <v>65</v>
      </c>
      <c r="C93">
        <v>3</v>
      </c>
      <c r="D93">
        <v>26400</v>
      </c>
      <c r="E93" t="s">
        <v>68</v>
      </c>
      <c r="F93">
        <v>24</v>
      </c>
      <c r="G93">
        <v>9.1</v>
      </c>
      <c r="H93">
        <v>3800</v>
      </c>
      <c r="I93">
        <v>0.58222721704990943</v>
      </c>
      <c r="J93">
        <v>0</v>
      </c>
    </row>
    <row r="94" spans="1:10" x14ac:dyDescent="0.3">
      <c r="A94" t="s">
        <v>202</v>
      </c>
      <c r="B94" t="s">
        <v>62</v>
      </c>
      <c r="C94">
        <v>2</v>
      </c>
      <c r="D94">
        <v>53300</v>
      </c>
      <c r="E94" t="s">
        <v>68</v>
      </c>
      <c r="F94">
        <v>66</v>
      </c>
      <c r="G94">
        <v>5.5</v>
      </c>
      <c r="H94">
        <v>5000</v>
      </c>
      <c r="I94">
        <v>0.21583462332992431</v>
      </c>
      <c r="J94">
        <v>0</v>
      </c>
    </row>
    <row r="95" spans="1:10" x14ac:dyDescent="0.3">
      <c r="A95" t="s">
        <v>203</v>
      </c>
      <c r="B95" t="s">
        <v>513</v>
      </c>
      <c r="C95">
        <v>6</v>
      </c>
      <c r="D95">
        <v>67500</v>
      </c>
      <c r="E95" t="s">
        <v>67</v>
      </c>
      <c r="F95">
        <v>59</v>
      </c>
      <c r="G95">
        <v>7.3</v>
      </c>
      <c r="H95">
        <v>11900</v>
      </c>
      <c r="I95">
        <v>1.2630993871902585E-2</v>
      </c>
      <c r="J95">
        <v>0</v>
      </c>
    </row>
    <row r="96" spans="1:10" x14ac:dyDescent="0.3">
      <c r="A96" t="s">
        <v>204</v>
      </c>
      <c r="B96" t="s">
        <v>65</v>
      </c>
      <c r="C96">
        <v>3</v>
      </c>
      <c r="D96">
        <v>8000</v>
      </c>
      <c r="E96" t="s">
        <v>67</v>
      </c>
      <c r="F96">
        <v>109</v>
      </c>
      <c r="G96">
        <v>1.7</v>
      </c>
      <c r="H96">
        <v>8700</v>
      </c>
      <c r="I96">
        <v>0.79351236626734201</v>
      </c>
      <c r="J96">
        <v>0</v>
      </c>
    </row>
    <row r="97" spans="1:10" x14ac:dyDescent="0.3">
      <c r="A97" t="s">
        <v>205</v>
      </c>
      <c r="B97" t="s">
        <v>65</v>
      </c>
      <c r="C97">
        <v>3</v>
      </c>
      <c r="D97">
        <v>54500</v>
      </c>
      <c r="E97" t="s">
        <v>69</v>
      </c>
      <c r="F97">
        <v>39</v>
      </c>
      <c r="G97">
        <v>13.6</v>
      </c>
      <c r="H97">
        <v>8100</v>
      </c>
      <c r="I97">
        <v>0.44139839280889803</v>
      </c>
      <c r="J97">
        <v>0</v>
      </c>
    </row>
    <row r="98" spans="1:10" x14ac:dyDescent="0.3">
      <c r="A98" t="s">
        <v>206</v>
      </c>
      <c r="B98" t="s">
        <v>65</v>
      </c>
      <c r="C98">
        <v>6</v>
      </c>
      <c r="D98">
        <v>43400</v>
      </c>
      <c r="E98" t="s">
        <v>68</v>
      </c>
      <c r="F98">
        <v>43</v>
      </c>
      <c r="G98">
        <v>0.8</v>
      </c>
      <c r="H98">
        <v>8600</v>
      </c>
      <c r="I98">
        <v>0.2650031993800599</v>
      </c>
      <c r="J98">
        <v>0</v>
      </c>
    </row>
    <row r="99" spans="1:10" x14ac:dyDescent="0.3">
      <c r="A99" t="s">
        <v>207</v>
      </c>
      <c r="B99" t="s">
        <v>65</v>
      </c>
      <c r="C99">
        <v>2</v>
      </c>
      <c r="D99">
        <v>10300</v>
      </c>
      <c r="E99" t="s">
        <v>66</v>
      </c>
      <c r="F99">
        <v>15</v>
      </c>
      <c r="G99">
        <v>12.8</v>
      </c>
      <c r="H99">
        <v>4700</v>
      </c>
      <c r="I99">
        <v>0.74498245377675432</v>
      </c>
      <c r="J99">
        <v>0</v>
      </c>
    </row>
    <row r="100" spans="1:10" x14ac:dyDescent="0.3">
      <c r="A100" t="s">
        <v>208</v>
      </c>
      <c r="B100" t="s">
        <v>62</v>
      </c>
      <c r="C100">
        <v>5</v>
      </c>
      <c r="D100">
        <v>22900</v>
      </c>
      <c r="E100" t="s">
        <v>66</v>
      </c>
      <c r="F100">
        <v>59</v>
      </c>
      <c r="G100">
        <v>2.2000000000000002</v>
      </c>
      <c r="H100">
        <v>6900</v>
      </c>
      <c r="I100">
        <v>0.47140162117692652</v>
      </c>
      <c r="J100">
        <v>0</v>
      </c>
    </row>
    <row r="101" spans="1:10" x14ac:dyDescent="0.3">
      <c r="A101" t="s">
        <v>209</v>
      </c>
      <c r="B101" t="s">
        <v>64</v>
      </c>
      <c r="C101">
        <v>1</v>
      </c>
      <c r="D101">
        <v>59900</v>
      </c>
      <c r="E101" t="s">
        <v>66</v>
      </c>
      <c r="F101">
        <v>58</v>
      </c>
      <c r="G101">
        <v>11.5</v>
      </c>
      <c r="H101">
        <v>4200</v>
      </c>
      <c r="I101">
        <v>0.38311002561583352</v>
      </c>
      <c r="J101">
        <v>0</v>
      </c>
    </row>
    <row r="102" spans="1:10" x14ac:dyDescent="0.3">
      <c r="A102" t="s">
        <v>210</v>
      </c>
      <c r="B102" t="s">
        <v>513</v>
      </c>
      <c r="C102">
        <v>2</v>
      </c>
      <c r="D102">
        <v>34700</v>
      </c>
      <c r="E102" t="s">
        <v>66</v>
      </c>
      <c r="F102">
        <v>56</v>
      </c>
      <c r="G102">
        <v>7.9</v>
      </c>
      <c r="H102">
        <v>7300</v>
      </c>
      <c r="I102">
        <v>0.98101157156084429</v>
      </c>
      <c r="J102">
        <v>0</v>
      </c>
    </row>
    <row r="103" spans="1:10" x14ac:dyDescent="0.3">
      <c r="A103" t="s">
        <v>211</v>
      </c>
      <c r="B103" t="s">
        <v>64</v>
      </c>
      <c r="C103">
        <v>4</v>
      </c>
      <c r="D103">
        <v>58300</v>
      </c>
      <c r="E103" t="s">
        <v>68</v>
      </c>
      <c r="F103">
        <v>68</v>
      </c>
      <c r="G103">
        <v>11.3</v>
      </c>
      <c r="H103">
        <v>700</v>
      </c>
      <c r="I103">
        <v>0.77005737606489089</v>
      </c>
      <c r="J103">
        <v>0</v>
      </c>
    </row>
    <row r="104" spans="1:10" x14ac:dyDescent="0.3">
      <c r="A104" t="s">
        <v>212</v>
      </c>
      <c r="B104" t="s">
        <v>64</v>
      </c>
      <c r="C104">
        <v>4</v>
      </c>
      <c r="D104">
        <v>39700</v>
      </c>
      <c r="E104" t="s">
        <v>69</v>
      </c>
      <c r="F104">
        <v>51</v>
      </c>
      <c r="G104">
        <v>8.8000000000000007</v>
      </c>
      <c r="H104">
        <v>8100</v>
      </c>
      <c r="I104">
        <v>0.68063332694184941</v>
      </c>
      <c r="J104">
        <v>0</v>
      </c>
    </row>
    <row r="105" spans="1:10" x14ac:dyDescent="0.3">
      <c r="A105" t="s">
        <v>213</v>
      </c>
      <c r="B105" t="s">
        <v>64</v>
      </c>
      <c r="C105">
        <v>3</v>
      </c>
      <c r="D105">
        <v>33100</v>
      </c>
      <c r="E105" t="s">
        <v>69</v>
      </c>
      <c r="F105">
        <v>58</v>
      </c>
      <c r="G105">
        <v>11.5</v>
      </c>
      <c r="H105">
        <v>7700</v>
      </c>
      <c r="I105">
        <v>0.12994848080912269</v>
      </c>
      <c r="J105">
        <v>0</v>
      </c>
    </row>
    <row r="106" spans="1:10" x14ac:dyDescent="0.3">
      <c r="A106" t="s">
        <v>214</v>
      </c>
      <c r="B106" t="s">
        <v>64</v>
      </c>
      <c r="C106">
        <v>4</v>
      </c>
      <c r="D106">
        <v>27900</v>
      </c>
      <c r="E106" t="s">
        <v>69</v>
      </c>
      <c r="F106">
        <v>50</v>
      </c>
      <c r="G106">
        <v>3.2</v>
      </c>
      <c r="H106">
        <v>7000</v>
      </c>
      <c r="I106">
        <v>0.45849606784778596</v>
      </c>
      <c r="J106">
        <v>0</v>
      </c>
    </row>
    <row r="107" spans="1:10" x14ac:dyDescent="0.3">
      <c r="A107" t="s">
        <v>215</v>
      </c>
      <c r="B107" t="s">
        <v>513</v>
      </c>
      <c r="C107">
        <v>6</v>
      </c>
      <c r="D107">
        <v>94600</v>
      </c>
      <c r="E107" t="s">
        <v>66</v>
      </c>
      <c r="F107">
        <v>60</v>
      </c>
      <c r="G107">
        <v>6.3</v>
      </c>
      <c r="H107">
        <v>8100</v>
      </c>
      <c r="I107">
        <v>0.71822073490093696</v>
      </c>
      <c r="J107">
        <v>0</v>
      </c>
    </row>
    <row r="108" spans="1:10" x14ac:dyDescent="0.3">
      <c r="A108" t="s">
        <v>216</v>
      </c>
      <c r="B108" t="s">
        <v>62</v>
      </c>
      <c r="C108">
        <v>3</v>
      </c>
      <c r="D108">
        <v>21800</v>
      </c>
      <c r="E108" t="s">
        <v>68</v>
      </c>
      <c r="F108">
        <v>45</v>
      </c>
      <c r="G108">
        <v>5.4</v>
      </c>
      <c r="H108">
        <v>4500</v>
      </c>
      <c r="I108">
        <v>0.18874814507229754</v>
      </c>
      <c r="J108">
        <v>0</v>
      </c>
    </row>
    <row r="109" spans="1:10" x14ac:dyDescent="0.3">
      <c r="A109" t="s">
        <v>217</v>
      </c>
      <c r="B109" t="s">
        <v>62</v>
      </c>
      <c r="C109">
        <v>3</v>
      </c>
      <c r="D109">
        <v>43500</v>
      </c>
      <c r="E109" t="s">
        <v>69</v>
      </c>
      <c r="F109">
        <v>31</v>
      </c>
      <c r="G109">
        <v>8.3000000000000007</v>
      </c>
      <c r="H109">
        <v>10300</v>
      </c>
      <c r="I109">
        <v>0.60262220476532069</v>
      </c>
      <c r="J109">
        <v>0</v>
      </c>
    </row>
    <row r="110" spans="1:10" x14ac:dyDescent="0.3">
      <c r="A110" t="s">
        <v>218</v>
      </c>
      <c r="B110" t="s">
        <v>64</v>
      </c>
      <c r="C110">
        <v>7</v>
      </c>
      <c r="D110">
        <v>35600</v>
      </c>
      <c r="E110" t="s">
        <v>66</v>
      </c>
      <c r="F110">
        <v>29</v>
      </c>
      <c r="G110">
        <v>10.1</v>
      </c>
      <c r="H110">
        <v>5000</v>
      </c>
      <c r="I110">
        <v>0.33342644506906649</v>
      </c>
      <c r="J110">
        <v>0</v>
      </c>
    </row>
    <row r="111" spans="1:10" x14ac:dyDescent="0.3">
      <c r="A111" t="s">
        <v>219</v>
      </c>
      <c r="B111" t="s">
        <v>65</v>
      </c>
      <c r="C111">
        <v>9</v>
      </c>
      <c r="D111">
        <v>72000</v>
      </c>
      <c r="E111" t="s">
        <v>67</v>
      </c>
      <c r="F111">
        <v>106</v>
      </c>
      <c r="G111">
        <v>8.9</v>
      </c>
      <c r="H111">
        <v>4200</v>
      </c>
      <c r="I111">
        <v>0.69879490083332285</v>
      </c>
      <c r="J111">
        <v>0</v>
      </c>
    </row>
    <row r="112" spans="1:10" x14ac:dyDescent="0.3">
      <c r="A112" t="s">
        <v>220</v>
      </c>
      <c r="B112" t="s">
        <v>62</v>
      </c>
      <c r="C112">
        <v>4</v>
      </c>
      <c r="D112">
        <v>14300</v>
      </c>
      <c r="E112" t="s">
        <v>67</v>
      </c>
      <c r="F112">
        <v>95</v>
      </c>
      <c r="G112">
        <v>1.7</v>
      </c>
      <c r="H112">
        <v>5100</v>
      </c>
      <c r="I112">
        <v>0.26312983931759992</v>
      </c>
      <c r="J112">
        <v>0</v>
      </c>
    </row>
    <row r="113" spans="1:10" x14ac:dyDescent="0.3">
      <c r="A113" t="s">
        <v>221</v>
      </c>
      <c r="B113" t="s">
        <v>64</v>
      </c>
      <c r="C113">
        <v>6</v>
      </c>
      <c r="D113">
        <v>34500</v>
      </c>
      <c r="E113" t="s">
        <v>69</v>
      </c>
      <c r="F113">
        <v>36</v>
      </c>
      <c r="G113">
        <v>0.7</v>
      </c>
      <c r="H113">
        <v>5600</v>
      </c>
      <c r="I113">
        <v>0.35532150830960962</v>
      </c>
      <c r="J113">
        <v>0</v>
      </c>
    </row>
    <row r="114" spans="1:10" x14ac:dyDescent="0.3">
      <c r="A114" t="s">
        <v>222</v>
      </c>
      <c r="B114" t="s">
        <v>62</v>
      </c>
      <c r="C114">
        <v>7</v>
      </c>
      <c r="D114">
        <v>49100</v>
      </c>
      <c r="E114" t="s">
        <v>68</v>
      </c>
      <c r="F114">
        <v>40</v>
      </c>
      <c r="G114">
        <v>7.7</v>
      </c>
      <c r="H114">
        <v>7300</v>
      </c>
      <c r="I114">
        <v>0.35817016441603289</v>
      </c>
      <c r="J114">
        <v>0</v>
      </c>
    </row>
    <row r="115" spans="1:10" x14ac:dyDescent="0.3">
      <c r="A115" t="s">
        <v>223</v>
      </c>
      <c r="B115" t="s">
        <v>64</v>
      </c>
      <c r="C115">
        <v>5</v>
      </c>
      <c r="D115">
        <v>26200</v>
      </c>
      <c r="E115" t="s">
        <v>69</v>
      </c>
      <c r="F115">
        <v>16</v>
      </c>
      <c r="G115">
        <v>1.3</v>
      </c>
      <c r="H115">
        <v>3200</v>
      </c>
      <c r="I115">
        <v>0.4916636629325879</v>
      </c>
      <c r="J115">
        <v>0</v>
      </c>
    </row>
    <row r="116" spans="1:10" x14ac:dyDescent="0.3">
      <c r="A116" t="s">
        <v>224</v>
      </c>
      <c r="B116" t="s">
        <v>64</v>
      </c>
      <c r="C116">
        <v>3</v>
      </c>
      <c r="D116">
        <v>31300</v>
      </c>
      <c r="E116" t="s">
        <v>68</v>
      </c>
      <c r="F116">
        <v>66</v>
      </c>
      <c r="G116">
        <v>8.6</v>
      </c>
      <c r="H116">
        <v>6600</v>
      </c>
      <c r="I116">
        <v>0.61743162524747242</v>
      </c>
      <c r="J116">
        <v>0</v>
      </c>
    </row>
    <row r="117" spans="1:10" x14ac:dyDescent="0.3">
      <c r="A117" t="s">
        <v>225</v>
      </c>
      <c r="B117" t="s">
        <v>65</v>
      </c>
      <c r="C117">
        <v>4</v>
      </c>
      <c r="D117">
        <v>34100</v>
      </c>
      <c r="E117" t="s">
        <v>67</v>
      </c>
      <c r="F117">
        <v>63</v>
      </c>
      <c r="G117">
        <v>8.9</v>
      </c>
      <c r="H117">
        <v>4600</v>
      </c>
      <c r="I117">
        <v>0.92956753276887871</v>
      </c>
      <c r="J117">
        <v>0</v>
      </c>
    </row>
    <row r="118" spans="1:10" x14ac:dyDescent="0.3">
      <c r="A118" t="s">
        <v>226</v>
      </c>
      <c r="B118" t="s">
        <v>64</v>
      </c>
      <c r="C118">
        <v>5</v>
      </c>
      <c r="D118">
        <v>81300</v>
      </c>
      <c r="E118" t="s">
        <v>68</v>
      </c>
      <c r="F118">
        <v>47</v>
      </c>
      <c r="G118">
        <v>10.8</v>
      </c>
      <c r="H118">
        <v>6200</v>
      </c>
      <c r="I118">
        <v>0.64897574769017108</v>
      </c>
      <c r="J118">
        <v>0</v>
      </c>
    </row>
    <row r="119" spans="1:10" x14ac:dyDescent="0.3">
      <c r="A119" t="s">
        <v>227</v>
      </c>
      <c r="B119" t="s">
        <v>62</v>
      </c>
      <c r="C119">
        <v>7</v>
      </c>
      <c r="D119">
        <v>57300</v>
      </c>
      <c r="E119" t="s">
        <v>69</v>
      </c>
      <c r="F119">
        <v>41</v>
      </c>
      <c r="G119">
        <v>9</v>
      </c>
      <c r="H119">
        <v>2800</v>
      </c>
      <c r="I119">
        <v>0.48668435018639744</v>
      </c>
      <c r="J119">
        <v>0</v>
      </c>
    </row>
    <row r="120" spans="1:10" x14ac:dyDescent="0.3">
      <c r="A120" t="s">
        <v>228</v>
      </c>
      <c r="B120" t="s">
        <v>65</v>
      </c>
      <c r="C120">
        <v>4</v>
      </c>
      <c r="D120">
        <v>25700</v>
      </c>
      <c r="E120" t="s">
        <v>67</v>
      </c>
      <c r="F120">
        <v>59</v>
      </c>
      <c r="G120">
        <v>2.9</v>
      </c>
      <c r="H120">
        <v>7800</v>
      </c>
      <c r="I120">
        <v>0.30053589002078229</v>
      </c>
      <c r="J120">
        <v>0</v>
      </c>
    </row>
    <row r="121" spans="1:10" x14ac:dyDescent="0.3">
      <c r="A121" t="s">
        <v>229</v>
      </c>
      <c r="B121" t="s">
        <v>513</v>
      </c>
      <c r="C121">
        <v>3</v>
      </c>
      <c r="D121">
        <v>48200</v>
      </c>
      <c r="E121" t="s">
        <v>69</v>
      </c>
      <c r="F121">
        <v>55</v>
      </c>
      <c r="G121">
        <v>10</v>
      </c>
      <c r="H121">
        <v>12300</v>
      </c>
      <c r="I121">
        <v>0.43389243584857595</v>
      </c>
      <c r="J121">
        <v>0</v>
      </c>
    </row>
    <row r="122" spans="1:10" x14ac:dyDescent="0.3">
      <c r="A122" t="s">
        <v>230</v>
      </c>
      <c r="B122" t="s">
        <v>64</v>
      </c>
      <c r="C122">
        <v>3</v>
      </c>
      <c r="D122">
        <v>44900</v>
      </c>
      <c r="E122" t="s">
        <v>66</v>
      </c>
      <c r="F122">
        <v>66</v>
      </c>
      <c r="G122">
        <v>1.7</v>
      </c>
      <c r="H122">
        <v>1900</v>
      </c>
      <c r="I122">
        <v>0.12619366738341775</v>
      </c>
      <c r="J122">
        <v>0</v>
      </c>
    </row>
    <row r="123" spans="1:10" x14ac:dyDescent="0.3">
      <c r="A123" t="s">
        <v>231</v>
      </c>
      <c r="B123" t="s">
        <v>513</v>
      </c>
      <c r="C123">
        <v>5</v>
      </c>
      <c r="D123">
        <v>55900</v>
      </c>
      <c r="E123" t="s">
        <v>69</v>
      </c>
      <c r="F123">
        <v>45</v>
      </c>
      <c r="G123">
        <v>5.9</v>
      </c>
      <c r="H123">
        <v>4500</v>
      </c>
      <c r="I123">
        <v>0.18502962063659212</v>
      </c>
      <c r="J123">
        <v>0</v>
      </c>
    </row>
    <row r="124" spans="1:10" x14ac:dyDescent="0.3">
      <c r="A124" t="s">
        <v>232</v>
      </c>
      <c r="B124" t="s">
        <v>64</v>
      </c>
      <c r="C124">
        <v>7</v>
      </c>
      <c r="D124">
        <v>26900</v>
      </c>
      <c r="E124" t="s">
        <v>67</v>
      </c>
      <c r="F124">
        <v>73</v>
      </c>
      <c r="G124">
        <v>0.3</v>
      </c>
      <c r="H124">
        <v>2200</v>
      </c>
      <c r="I124">
        <v>0.78594267557208231</v>
      </c>
      <c r="J124">
        <v>0</v>
      </c>
    </row>
    <row r="125" spans="1:10" x14ac:dyDescent="0.3">
      <c r="A125" t="s">
        <v>233</v>
      </c>
      <c r="B125" t="s">
        <v>65</v>
      </c>
      <c r="C125">
        <v>4</v>
      </c>
      <c r="D125">
        <v>46100</v>
      </c>
      <c r="E125" t="s">
        <v>68</v>
      </c>
      <c r="F125">
        <v>50</v>
      </c>
      <c r="G125">
        <v>7.3</v>
      </c>
      <c r="H125">
        <v>500</v>
      </c>
      <c r="I125">
        <v>0.994903178738896</v>
      </c>
      <c r="J125">
        <v>0</v>
      </c>
    </row>
    <row r="126" spans="1:10" x14ac:dyDescent="0.3">
      <c r="A126" t="s">
        <v>234</v>
      </c>
      <c r="B126" t="s">
        <v>65</v>
      </c>
      <c r="C126">
        <v>9</v>
      </c>
      <c r="D126">
        <v>31200</v>
      </c>
      <c r="E126" t="s">
        <v>69</v>
      </c>
      <c r="F126">
        <v>17</v>
      </c>
      <c r="G126">
        <v>3.3</v>
      </c>
      <c r="H126">
        <v>10600</v>
      </c>
      <c r="I126">
        <v>0.25927869817257199</v>
      </c>
      <c r="J126">
        <v>0</v>
      </c>
    </row>
    <row r="127" spans="1:10" x14ac:dyDescent="0.3">
      <c r="A127" t="s">
        <v>235</v>
      </c>
      <c r="B127" t="s">
        <v>513</v>
      </c>
      <c r="C127">
        <v>7</v>
      </c>
      <c r="D127">
        <v>12700</v>
      </c>
      <c r="E127" t="s">
        <v>66</v>
      </c>
      <c r="F127">
        <v>47</v>
      </c>
      <c r="G127">
        <v>8.6</v>
      </c>
      <c r="H127">
        <v>6000</v>
      </c>
      <c r="I127">
        <v>7.2926374620449153E-2</v>
      </c>
      <c r="J127">
        <v>0</v>
      </c>
    </row>
    <row r="128" spans="1:10" x14ac:dyDescent="0.3">
      <c r="A128" t="s">
        <v>236</v>
      </c>
      <c r="B128" t="s">
        <v>65</v>
      </c>
      <c r="C128">
        <v>6</v>
      </c>
      <c r="D128">
        <v>29500</v>
      </c>
      <c r="E128" t="s">
        <v>67</v>
      </c>
      <c r="F128">
        <v>110</v>
      </c>
      <c r="G128">
        <v>0.9</v>
      </c>
      <c r="H128">
        <v>3800</v>
      </c>
      <c r="I128">
        <v>0.88184152635146629</v>
      </c>
      <c r="J128">
        <v>0</v>
      </c>
    </row>
    <row r="129" spans="1:10" x14ac:dyDescent="0.3">
      <c r="A129" t="s">
        <v>237</v>
      </c>
      <c r="B129" t="s">
        <v>513</v>
      </c>
      <c r="C129">
        <v>3</v>
      </c>
      <c r="D129">
        <v>77700</v>
      </c>
      <c r="E129" t="s">
        <v>66</v>
      </c>
      <c r="F129">
        <v>69</v>
      </c>
      <c r="G129">
        <v>13.5</v>
      </c>
      <c r="H129">
        <v>11300</v>
      </c>
      <c r="I129">
        <v>8.6573689693691058E-2</v>
      </c>
      <c r="J129">
        <v>0</v>
      </c>
    </row>
    <row r="130" spans="1:10" x14ac:dyDescent="0.3">
      <c r="A130" t="s">
        <v>238</v>
      </c>
      <c r="B130" t="s">
        <v>62</v>
      </c>
      <c r="C130">
        <v>7</v>
      </c>
      <c r="D130">
        <v>24900</v>
      </c>
      <c r="E130" t="s">
        <v>69</v>
      </c>
      <c r="F130">
        <v>20</v>
      </c>
      <c r="G130">
        <v>6.8</v>
      </c>
      <c r="H130">
        <v>4100</v>
      </c>
      <c r="I130">
        <v>0.21057899567214222</v>
      </c>
      <c r="J130">
        <v>0</v>
      </c>
    </row>
    <row r="131" spans="1:10" x14ac:dyDescent="0.3">
      <c r="A131" t="s">
        <v>239</v>
      </c>
      <c r="B131" t="s">
        <v>513</v>
      </c>
      <c r="C131">
        <v>7</v>
      </c>
      <c r="D131">
        <v>54100</v>
      </c>
      <c r="E131" t="s">
        <v>69</v>
      </c>
      <c r="F131">
        <v>57</v>
      </c>
      <c r="G131">
        <v>11.3</v>
      </c>
      <c r="H131">
        <v>2300</v>
      </c>
      <c r="I131">
        <v>0.67587831789563946</v>
      </c>
      <c r="J131">
        <v>0</v>
      </c>
    </row>
    <row r="132" spans="1:10" x14ac:dyDescent="0.3">
      <c r="A132" t="s">
        <v>240</v>
      </c>
      <c r="B132" t="s">
        <v>513</v>
      </c>
      <c r="C132">
        <v>4</v>
      </c>
      <c r="D132">
        <v>14900</v>
      </c>
      <c r="E132" t="s">
        <v>67</v>
      </c>
      <c r="F132">
        <v>87</v>
      </c>
      <c r="G132">
        <v>4</v>
      </c>
      <c r="H132">
        <v>6500</v>
      </c>
      <c r="I132">
        <v>7.6820731179062518E-3</v>
      </c>
      <c r="J132">
        <v>0</v>
      </c>
    </row>
    <row r="133" spans="1:10" x14ac:dyDescent="0.3">
      <c r="A133" t="s">
        <v>241</v>
      </c>
      <c r="B133" t="s">
        <v>513</v>
      </c>
      <c r="C133">
        <v>7</v>
      </c>
      <c r="D133">
        <v>62600</v>
      </c>
      <c r="E133" t="s">
        <v>66</v>
      </c>
      <c r="F133">
        <v>21</v>
      </c>
      <c r="G133">
        <v>1.3</v>
      </c>
      <c r="H133">
        <v>9700</v>
      </c>
      <c r="I133">
        <v>0.30865412421127869</v>
      </c>
      <c r="J133">
        <v>0</v>
      </c>
    </row>
    <row r="134" spans="1:10" x14ac:dyDescent="0.3">
      <c r="A134" t="s">
        <v>242</v>
      </c>
      <c r="B134" t="s">
        <v>62</v>
      </c>
      <c r="C134">
        <v>5</v>
      </c>
      <c r="D134">
        <v>50100</v>
      </c>
      <c r="E134" t="s">
        <v>69</v>
      </c>
      <c r="F134">
        <v>26</v>
      </c>
      <c r="G134">
        <v>7.9</v>
      </c>
      <c r="H134">
        <v>7100</v>
      </c>
      <c r="I134">
        <v>0.49978966703810035</v>
      </c>
      <c r="J134">
        <v>0</v>
      </c>
    </row>
    <row r="135" spans="1:10" x14ac:dyDescent="0.3">
      <c r="A135" t="s">
        <v>243</v>
      </c>
      <c r="B135" t="s">
        <v>513</v>
      </c>
      <c r="C135">
        <v>6</v>
      </c>
      <c r="D135">
        <v>57100</v>
      </c>
      <c r="E135" t="s">
        <v>69</v>
      </c>
      <c r="F135">
        <v>58</v>
      </c>
      <c r="G135">
        <v>9.1</v>
      </c>
      <c r="H135">
        <v>6700</v>
      </c>
      <c r="I135">
        <v>0.93272790592574684</v>
      </c>
      <c r="J135">
        <v>0</v>
      </c>
    </row>
    <row r="136" spans="1:10" x14ac:dyDescent="0.3">
      <c r="A136" t="s">
        <v>244</v>
      </c>
      <c r="B136" t="s">
        <v>513</v>
      </c>
      <c r="C136">
        <v>6</v>
      </c>
      <c r="D136">
        <v>69300</v>
      </c>
      <c r="E136" t="s">
        <v>69</v>
      </c>
      <c r="F136">
        <v>34</v>
      </c>
      <c r="G136">
        <v>2.6</v>
      </c>
      <c r="H136">
        <v>3800</v>
      </c>
      <c r="I136">
        <v>0.55517378189653688</v>
      </c>
      <c r="J136">
        <v>0</v>
      </c>
    </row>
    <row r="137" spans="1:10" x14ac:dyDescent="0.3">
      <c r="A137" t="s">
        <v>245</v>
      </c>
      <c r="B137" t="s">
        <v>62</v>
      </c>
      <c r="C137">
        <v>2</v>
      </c>
      <c r="D137">
        <v>35700</v>
      </c>
      <c r="E137" t="s">
        <v>68</v>
      </c>
      <c r="F137">
        <v>37</v>
      </c>
      <c r="G137">
        <v>8.6</v>
      </c>
      <c r="H137">
        <v>6300</v>
      </c>
      <c r="I137">
        <v>2.5303605823566611E-2</v>
      </c>
      <c r="J137">
        <v>0</v>
      </c>
    </row>
    <row r="138" spans="1:10" x14ac:dyDescent="0.3">
      <c r="A138" t="s">
        <v>246</v>
      </c>
      <c r="B138" t="s">
        <v>65</v>
      </c>
      <c r="C138">
        <v>6</v>
      </c>
      <c r="D138">
        <v>47500</v>
      </c>
      <c r="E138" t="s">
        <v>67</v>
      </c>
      <c r="F138">
        <v>48</v>
      </c>
      <c r="G138">
        <v>5.8</v>
      </c>
      <c r="H138">
        <v>7100</v>
      </c>
      <c r="I138">
        <v>0.96982557300403793</v>
      </c>
      <c r="J138">
        <v>0</v>
      </c>
    </row>
    <row r="139" spans="1:10" x14ac:dyDescent="0.3">
      <c r="A139" t="s">
        <v>247</v>
      </c>
      <c r="B139" t="s">
        <v>62</v>
      </c>
      <c r="C139">
        <v>4</v>
      </c>
      <c r="D139">
        <v>47100</v>
      </c>
      <c r="E139" t="s">
        <v>68</v>
      </c>
      <c r="F139">
        <v>62</v>
      </c>
      <c r="G139">
        <v>2.9</v>
      </c>
      <c r="H139">
        <v>7200</v>
      </c>
      <c r="I139">
        <v>0.60835873790231909</v>
      </c>
      <c r="J139">
        <v>0</v>
      </c>
    </row>
    <row r="140" spans="1:10" x14ac:dyDescent="0.3">
      <c r="A140" t="s">
        <v>248</v>
      </c>
      <c r="B140" t="s">
        <v>513</v>
      </c>
      <c r="C140">
        <v>10</v>
      </c>
      <c r="D140">
        <v>61400</v>
      </c>
      <c r="E140" t="s">
        <v>67</v>
      </c>
      <c r="F140">
        <v>116</v>
      </c>
      <c r="G140">
        <v>3.6</v>
      </c>
      <c r="H140">
        <v>10700</v>
      </c>
      <c r="I140">
        <v>0.57221687040341784</v>
      </c>
      <c r="J140">
        <v>0</v>
      </c>
    </row>
    <row r="141" spans="1:10" x14ac:dyDescent="0.3">
      <c r="A141" t="s">
        <v>249</v>
      </c>
      <c r="B141" t="s">
        <v>513</v>
      </c>
      <c r="C141">
        <v>4</v>
      </c>
      <c r="D141">
        <v>28400</v>
      </c>
      <c r="E141" t="s">
        <v>69</v>
      </c>
      <c r="F141">
        <v>17</v>
      </c>
      <c r="G141">
        <v>5.5</v>
      </c>
      <c r="H141">
        <v>9900</v>
      </c>
      <c r="I141">
        <v>0.94217140376681341</v>
      </c>
      <c r="J141">
        <v>0</v>
      </c>
    </row>
    <row r="142" spans="1:10" x14ac:dyDescent="0.3">
      <c r="A142" t="s">
        <v>250</v>
      </c>
      <c r="B142" t="s">
        <v>64</v>
      </c>
      <c r="C142">
        <v>5</v>
      </c>
      <c r="D142">
        <v>95100</v>
      </c>
      <c r="E142" t="s">
        <v>68</v>
      </c>
      <c r="F142">
        <v>68</v>
      </c>
      <c r="G142">
        <v>7.1</v>
      </c>
      <c r="H142">
        <v>8800</v>
      </c>
      <c r="I142">
        <v>6.6314421810177659E-2</v>
      </c>
      <c r="J142">
        <v>0</v>
      </c>
    </row>
    <row r="143" spans="1:10" x14ac:dyDescent="0.3">
      <c r="A143" t="s">
        <v>251</v>
      </c>
      <c r="B143" t="s">
        <v>62</v>
      </c>
      <c r="C143">
        <v>1</v>
      </c>
      <c r="D143">
        <v>65300</v>
      </c>
      <c r="E143" t="s">
        <v>66</v>
      </c>
      <c r="F143">
        <v>42</v>
      </c>
      <c r="G143">
        <v>1.5</v>
      </c>
      <c r="H143">
        <v>5700</v>
      </c>
      <c r="I143">
        <v>0.80720831378133207</v>
      </c>
      <c r="J143">
        <v>0</v>
      </c>
    </row>
    <row r="144" spans="1:10" x14ac:dyDescent="0.3">
      <c r="A144" t="s">
        <v>252</v>
      </c>
      <c r="B144" t="s">
        <v>64</v>
      </c>
      <c r="C144">
        <v>8</v>
      </c>
      <c r="D144">
        <v>53400</v>
      </c>
      <c r="E144" t="s">
        <v>66</v>
      </c>
      <c r="F144">
        <v>23</v>
      </c>
      <c r="G144">
        <v>4.0999999999999996</v>
      </c>
      <c r="H144">
        <v>400</v>
      </c>
      <c r="I144">
        <v>0.91665523266435855</v>
      </c>
      <c r="J144">
        <v>0</v>
      </c>
    </row>
    <row r="145" spans="1:10" x14ac:dyDescent="0.3">
      <c r="A145" t="s">
        <v>253</v>
      </c>
      <c r="B145" t="s">
        <v>64</v>
      </c>
      <c r="C145">
        <v>5</v>
      </c>
      <c r="D145">
        <v>54800</v>
      </c>
      <c r="E145" t="s">
        <v>67</v>
      </c>
      <c r="F145">
        <v>62</v>
      </c>
      <c r="G145">
        <v>7.9</v>
      </c>
      <c r="H145">
        <v>3200</v>
      </c>
      <c r="I145">
        <v>0.13123692599701586</v>
      </c>
      <c r="J145">
        <v>0</v>
      </c>
    </row>
    <row r="146" spans="1:10" x14ac:dyDescent="0.3">
      <c r="A146" t="s">
        <v>254</v>
      </c>
      <c r="B146" t="s">
        <v>513</v>
      </c>
      <c r="C146">
        <v>5</v>
      </c>
      <c r="D146">
        <v>22000</v>
      </c>
      <c r="E146" t="s">
        <v>68</v>
      </c>
      <c r="F146">
        <v>63</v>
      </c>
      <c r="G146">
        <v>4.0999999999999996</v>
      </c>
      <c r="H146">
        <v>0</v>
      </c>
      <c r="I146">
        <v>2.4759618410804318E-2</v>
      </c>
      <c r="J146">
        <v>0</v>
      </c>
    </row>
    <row r="147" spans="1:10" x14ac:dyDescent="0.3">
      <c r="A147" t="s">
        <v>255</v>
      </c>
      <c r="B147" t="s">
        <v>62</v>
      </c>
      <c r="C147">
        <v>2</v>
      </c>
      <c r="D147">
        <v>21600</v>
      </c>
      <c r="E147" t="s">
        <v>67</v>
      </c>
      <c r="F147">
        <v>111</v>
      </c>
      <c r="G147">
        <v>0.3</v>
      </c>
      <c r="H147">
        <v>7700</v>
      </c>
      <c r="I147">
        <v>0.84620532650777813</v>
      </c>
      <c r="J147">
        <v>0</v>
      </c>
    </row>
    <row r="148" spans="1:10" x14ac:dyDescent="0.3">
      <c r="A148" t="s">
        <v>256</v>
      </c>
      <c r="B148" t="s">
        <v>62</v>
      </c>
      <c r="C148">
        <v>8</v>
      </c>
      <c r="D148">
        <v>39500</v>
      </c>
      <c r="E148" t="s">
        <v>69</v>
      </c>
      <c r="F148">
        <v>41</v>
      </c>
      <c r="G148">
        <v>6</v>
      </c>
      <c r="H148">
        <v>800</v>
      </c>
      <c r="I148">
        <v>0.68802994010470686</v>
      </c>
      <c r="J148">
        <v>0</v>
      </c>
    </row>
    <row r="149" spans="1:10" x14ac:dyDescent="0.3">
      <c r="A149" t="s">
        <v>257</v>
      </c>
      <c r="B149" t="s">
        <v>513</v>
      </c>
      <c r="C149">
        <v>8</v>
      </c>
      <c r="D149">
        <v>47900</v>
      </c>
      <c r="E149" t="s">
        <v>67</v>
      </c>
      <c r="F149">
        <v>54</v>
      </c>
      <c r="G149">
        <v>12.9</v>
      </c>
      <c r="H149">
        <v>1600</v>
      </c>
      <c r="I149">
        <v>0.50029780681968505</v>
      </c>
      <c r="J149">
        <v>0</v>
      </c>
    </row>
    <row r="150" spans="1:10" x14ac:dyDescent="0.3">
      <c r="A150" t="s">
        <v>258</v>
      </c>
      <c r="B150" t="s">
        <v>65</v>
      </c>
      <c r="C150">
        <v>5</v>
      </c>
      <c r="D150">
        <v>16500</v>
      </c>
      <c r="E150" t="s">
        <v>67</v>
      </c>
      <c r="F150">
        <v>86</v>
      </c>
      <c r="G150">
        <v>2.7</v>
      </c>
      <c r="H150">
        <v>7700</v>
      </c>
      <c r="I150">
        <v>5.8225063900330332E-2</v>
      </c>
      <c r="J150">
        <v>0</v>
      </c>
    </row>
    <row r="151" spans="1:10" x14ac:dyDescent="0.3">
      <c r="A151" t="s">
        <v>259</v>
      </c>
      <c r="B151" t="s">
        <v>62</v>
      </c>
      <c r="C151">
        <v>6</v>
      </c>
      <c r="D151">
        <v>37600</v>
      </c>
      <c r="E151" t="s">
        <v>69</v>
      </c>
      <c r="F151">
        <v>33</v>
      </c>
      <c r="G151">
        <v>0.9</v>
      </c>
      <c r="H151">
        <v>5300</v>
      </c>
      <c r="I151">
        <v>0.10173091303843229</v>
      </c>
      <c r="J151">
        <v>0</v>
      </c>
    </row>
    <row r="152" spans="1:10" x14ac:dyDescent="0.3">
      <c r="A152" t="s">
        <v>260</v>
      </c>
      <c r="B152" t="s">
        <v>65</v>
      </c>
      <c r="C152">
        <v>3</v>
      </c>
      <c r="D152">
        <v>86600</v>
      </c>
      <c r="E152" t="s">
        <v>66</v>
      </c>
      <c r="F152">
        <v>33</v>
      </c>
      <c r="G152">
        <v>9.6</v>
      </c>
      <c r="H152">
        <v>10200</v>
      </c>
      <c r="I152">
        <v>0.9244041378338167</v>
      </c>
      <c r="J152">
        <v>0</v>
      </c>
    </row>
    <row r="153" spans="1:10" x14ac:dyDescent="0.3">
      <c r="A153" t="s">
        <v>261</v>
      </c>
      <c r="B153" t="s">
        <v>513</v>
      </c>
      <c r="C153">
        <v>10</v>
      </c>
      <c r="D153">
        <v>21000</v>
      </c>
      <c r="E153" t="s">
        <v>67</v>
      </c>
      <c r="F153">
        <v>105</v>
      </c>
      <c r="G153">
        <v>12.3</v>
      </c>
      <c r="H153">
        <v>0</v>
      </c>
      <c r="I153">
        <v>0.93803065049605372</v>
      </c>
      <c r="J153">
        <v>0</v>
      </c>
    </row>
    <row r="154" spans="1:10" x14ac:dyDescent="0.3">
      <c r="A154" t="s">
        <v>262</v>
      </c>
      <c r="B154" t="s">
        <v>62</v>
      </c>
      <c r="C154">
        <v>9</v>
      </c>
      <c r="D154">
        <v>68800</v>
      </c>
      <c r="E154" t="s">
        <v>67</v>
      </c>
      <c r="F154">
        <v>54</v>
      </c>
      <c r="G154">
        <v>6.8</v>
      </c>
      <c r="H154">
        <v>5500</v>
      </c>
      <c r="I154">
        <v>0.83871295923689893</v>
      </c>
      <c r="J154">
        <v>0</v>
      </c>
    </row>
    <row r="155" spans="1:10" x14ac:dyDescent="0.3">
      <c r="A155" t="s">
        <v>263</v>
      </c>
      <c r="B155" t="s">
        <v>64</v>
      </c>
      <c r="C155">
        <v>4</v>
      </c>
      <c r="D155">
        <v>106500</v>
      </c>
      <c r="E155" t="s">
        <v>67</v>
      </c>
      <c r="F155">
        <v>61</v>
      </c>
      <c r="G155">
        <v>7.1</v>
      </c>
      <c r="H155">
        <v>9300</v>
      </c>
      <c r="I155">
        <v>0.49353190859488627</v>
      </c>
      <c r="J155">
        <v>0</v>
      </c>
    </row>
    <row r="156" spans="1:10" x14ac:dyDescent="0.3">
      <c r="A156" t="s">
        <v>264</v>
      </c>
      <c r="B156" t="s">
        <v>64</v>
      </c>
      <c r="C156">
        <v>1</v>
      </c>
      <c r="D156">
        <v>22800</v>
      </c>
      <c r="E156" t="s">
        <v>66</v>
      </c>
      <c r="F156">
        <v>32</v>
      </c>
      <c r="G156">
        <v>7.3</v>
      </c>
      <c r="H156">
        <v>800</v>
      </c>
      <c r="I156">
        <v>8.9005250258877511E-2</v>
      </c>
      <c r="J156">
        <v>0</v>
      </c>
    </row>
    <row r="157" spans="1:10" x14ac:dyDescent="0.3">
      <c r="A157" t="s">
        <v>265</v>
      </c>
      <c r="B157" t="s">
        <v>513</v>
      </c>
      <c r="C157">
        <v>9</v>
      </c>
      <c r="D157">
        <v>103400</v>
      </c>
      <c r="E157" t="s">
        <v>67</v>
      </c>
      <c r="F157">
        <v>91</v>
      </c>
      <c r="G157">
        <v>4.9000000000000004</v>
      </c>
      <c r="H157">
        <v>11000</v>
      </c>
      <c r="I157">
        <v>0.86086342090260926</v>
      </c>
      <c r="J157">
        <v>0</v>
      </c>
    </row>
    <row r="158" spans="1:10" x14ac:dyDescent="0.3">
      <c r="A158" t="s">
        <v>266</v>
      </c>
      <c r="B158" t="s">
        <v>62</v>
      </c>
      <c r="C158">
        <v>5</v>
      </c>
      <c r="D158">
        <v>25500</v>
      </c>
      <c r="E158" t="s">
        <v>67</v>
      </c>
      <c r="F158">
        <v>52</v>
      </c>
      <c r="G158">
        <v>7.4</v>
      </c>
      <c r="H158">
        <v>6800</v>
      </c>
      <c r="I158">
        <v>0.44757203526284239</v>
      </c>
      <c r="J158">
        <v>0</v>
      </c>
    </row>
    <row r="159" spans="1:10" x14ac:dyDescent="0.3">
      <c r="A159" t="s">
        <v>267</v>
      </c>
      <c r="B159" t="s">
        <v>65</v>
      </c>
      <c r="C159">
        <v>3</v>
      </c>
      <c r="D159">
        <v>19800</v>
      </c>
      <c r="E159" t="s">
        <v>69</v>
      </c>
      <c r="F159">
        <v>20</v>
      </c>
      <c r="G159">
        <v>8.1999999999999993</v>
      </c>
      <c r="H159">
        <v>7400</v>
      </c>
      <c r="I159">
        <v>0.94456367172426614</v>
      </c>
      <c r="J159">
        <v>0</v>
      </c>
    </row>
    <row r="160" spans="1:10" x14ac:dyDescent="0.3">
      <c r="A160" t="s">
        <v>268</v>
      </c>
      <c r="B160" t="s">
        <v>64</v>
      </c>
      <c r="C160">
        <v>4</v>
      </c>
      <c r="D160">
        <v>15700</v>
      </c>
      <c r="E160" t="s">
        <v>68</v>
      </c>
      <c r="F160">
        <v>25</v>
      </c>
      <c r="G160">
        <v>5</v>
      </c>
      <c r="H160">
        <v>10500</v>
      </c>
      <c r="I160">
        <v>0.84136160397049953</v>
      </c>
      <c r="J160">
        <v>0</v>
      </c>
    </row>
    <row r="161" spans="1:10" x14ac:dyDescent="0.3">
      <c r="A161" t="s">
        <v>269</v>
      </c>
      <c r="B161" t="s">
        <v>65</v>
      </c>
      <c r="C161">
        <v>4</v>
      </c>
      <c r="D161">
        <v>58100</v>
      </c>
      <c r="E161" t="s">
        <v>67</v>
      </c>
      <c r="F161">
        <v>111</v>
      </c>
      <c r="G161">
        <v>2.1</v>
      </c>
      <c r="H161">
        <v>11200</v>
      </c>
      <c r="I161">
        <v>0.48586976539937732</v>
      </c>
      <c r="J161">
        <v>0</v>
      </c>
    </row>
    <row r="162" spans="1:10" x14ac:dyDescent="0.3">
      <c r="A162" t="s">
        <v>270</v>
      </c>
      <c r="B162" t="s">
        <v>513</v>
      </c>
      <c r="C162">
        <v>8</v>
      </c>
      <c r="D162">
        <v>125100</v>
      </c>
      <c r="E162" t="s">
        <v>66</v>
      </c>
      <c r="F162">
        <v>45</v>
      </c>
      <c r="G162">
        <v>11.3</v>
      </c>
      <c r="H162">
        <v>11800</v>
      </c>
      <c r="I162">
        <v>0.96923493716617382</v>
      </c>
      <c r="J162">
        <v>0</v>
      </c>
    </row>
    <row r="163" spans="1:10" x14ac:dyDescent="0.3">
      <c r="A163" t="s">
        <v>271</v>
      </c>
      <c r="B163" t="s">
        <v>62</v>
      </c>
      <c r="C163">
        <v>6</v>
      </c>
      <c r="D163">
        <v>60300</v>
      </c>
      <c r="E163" t="s">
        <v>69</v>
      </c>
      <c r="F163">
        <v>39</v>
      </c>
      <c r="G163">
        <v>8.8000000000000007</v>
      </c>
      <c r="H163">
        <v>1800</v>
      </c>
      <c r="I163">
        <v>0.60911236533950619</v>
      </c>
      <c r="J163">
        <v>0</v>
      </c>
    </row>
    <row r="164" spans="1:10" x14ac:dyDescent="0.3">
      <c r="A164" t="s">
        <v>272</v>
      </c>
      <c r="B164" t="s">
        <v>64</v>
      </c>
      <c r="C164">
        <v>5</v>
      </c>
      <c r="D164">
        <v>44900</v>
      </c>
      <c r="E164" t="s">
        <v>69</v>
      </c>
      <c r="F164">
        <v>56</v>
      </c>
      <c r="G164">
        <v>4.0999999999999996</v>
      </c>
      <c r="H164">
        <v>9700</v>
      </c>
      <c r="I164">
        <v>0.94753120711337446</v>
      </c>
      <c r="J164">
        <v>0</v>
      </c>
    </row>
    <row r="165" spans="1:10" x14ac:dyDescent="0.3">
      <c r="A165" t="s">
        <v>273</v>
      </c>
      <c r="B165" t="s">
        <v>65</v>
      </c>
      <c r="C165">
        <v>8</v>
      </c>
      <c r="D165">
        <v>40000</v>
      </c>
      <c r="E165" t="s">
        <v>66</v>
      </c>
      <c r="F165">
        <v>35</v>
      </c>
      <c r="G165">
        <v>9.8000000000000007</v>
      </c>
      <c r="H165">
        <v>4700</v>
      </c>
      <c r="I165">
        <v>0.4791764778324159</v>
      </c>
      <c r="J165">
        <v>0</v>
      </c>
    </row>
    <row r="166" spans="1:10" x14ac:dyDescent="0.3">
      <c r="A166" t="s">
        <v>274</v>
      </c>
      <c r="B166" t="s">
        <v>513</v>
      </c>
      <c r="C166">
        <v>7</v>
      </c>
      <c r="D166">
        <v>110800</v>
      </c>
      <c r="E166" t="s">
        <v>67</v>
      </c>
      <c r="F166">
        <v>73</v>
      </c>
      <c r="G166">
        <v>9.6</v>
      </c>
      <c r="H166">
        <v>11100</v>
      </c>
      <c r="I166">
        <v>0.42859227695979052</v>
      </c>
      <c r="J166">
        <v>0</v>
      </c>
    </row>
    <row r="167" spans="1:10" x14ac:dyDescent="0.3">
      <c r="A167" t="s">
        <v>275</v>
      </c>
      <c r="B167" t="s">
        <v>64</v>
      </c>
      <c r="C167">
        <v>5</v>
      </c>
      <c r="D167">
        <v>52100</v>
      </c>
      <c r="E167" t="s">
        <v>66</v>
      </c>
      <c r="F167">
        <v>54</v>
      </c>
      <c r="G167">
        <v>4.7</v>
      </c>
      <c r="H167">
        <v>9400</v>
      </c>
      <c r="I167">
        <v>0.78101265686634369</v>
      </c>
      <c r="J167">
        <v>0</v>
      </c>
    </row>
    <row r="168" spans="1:10" x14ac:dyDescent="0.3">
      <c r="A168" t="s">
        <v>276</v>
      </c>
      <c r="B168" t="s">
        <v>62</v>
      </c>
      <c r="C168">
        <v>3</v>
      </c>
      <c r="D168">
        <v>48400</v>
      </c>
      <c r="E168" t="s">
        <v>66</v>
      </c>
      <c r="F168">
        <v>48</v>
      </c>
      <c r="G168">
        <v>1.1000000000000001</v>
      </c>
      <c r="H168">
        <v>3500</v>
      </c>
      <c r="I168">
        <v>0.97940950566959806</v>
      </c>
      <c r="J168">
        <v>0</v>
      </c>
    </row>
    <row r="169" spans="1:10" x14ac:dyDescent="0.3">
      <c r="A169" t="s">
        <v>277</v>
      </c>
      <c r="B169" t="s">
        <v>513</v>
      </c>
      <c r="C169">
        <v>9</v>
      </c>
      <c r="D169">
        <v>60400</v>
      </c>
      <c r="E169" t="s">
        <v>68</v>
      </c>
      <c r="F169">
        <v>74</v>
      </c>
      <c r="G169">
        <v>12.5</v>
      </c>
      <c r="H169">
        <v>5900</v>
      </c>
      <c r="I169">
        <v>0.63532960428118679</v>
      </c>
      <c r="J169">
        <v>0</v>
      </c>
    </row>
    <row r="170" spans="1:10" x14ac:dyDescent="0.3">
      <c r="A170" t="s">
        <v>278</v>
      </c>
      <c r="B170" t="s">
        <v>65</v>
      </c>
      <c r="C170">
        <v>8</v>
      </c>
      <c r="D170">
        <v>15400</v>
      </c>
      <c r="E170" t="s">
        <v>66</v>
      </c>
      <c r="F170">
        <v>42</v>
      </c>
      <c r="G170">
        <v>9.8000000000000007</v>
      </c>
      <c r="H170">
        <v>6900</v>
      </c>
      <c r="I170">
        <v>0.86946218319968227</v>
      </c>
      <c r="J170">
        <v>0</v>
      </c>
    </row>
    <row r="171" spans="1:10" x14ac:dyDescent="0.3">
      <c r="A171" t="s">
        <v>279</v>
      </c>
      <c r="B171" t="s">
        <v>62</v>
      </c>
      <c r="C171">
        <v>3</v>
      </c>
      <c r="D171">
        <v>36700</v>
      </c>
      <c r="E171" t="s">
        <v>69</v>
      </c>
      <c r="F171">
        <v>21</v>
      </c>
      <c r="G171">
        <v>7.4</v>
      </c>
      <c r="H171">
        <v>3600</v>
      </c>
      <c r="I171">
        <v>3.9775295944335043E-2</v>
      </c>
      <c r="J171">
        <v>0</v>
      </c>
    </row>
    <row r="172" spans="1:10" x14ac:dyDescent="0.3">
      <c r="A172" t="s">
        <v>280</v>
      </c>
      <c r="B172" t="s">
        <v>62</v>
      </c>
      <c r="C172">
        <v>4</v>
      </c>
      <c r="D172">
        <v>41000</v>
      </c>
      <c r="E172" t="s">
        <v>66</v>
      </c>
      <c r="F172">
        <v>54</v>
      </c>
      <c r="G172">
        <v>3</v>
      </c>
      <c r="H172">
        <v>4500</v>
      </c>
      <c r="I172">
        <v>7.3718399178593907E-2</v>
      </c>
      <c r="J172">
        <v>0</v>
      </c>
    </row>
    <row r="173" spans="1:10" x14ac:dyDescent="0.3">
      <c r="A173" t="s">
        <v>281</v>
      </c>
      <c r="B173" t="s">
        <v>513</v>
      </c>
      <c r="C173">
        <v>6</v>
      </c>
      <c r="D173">
        <v>34600</v>
      </c>
      <c r="E173" t="s">
        <v>67</v>
      </c>
      <c r="F173">
        <v>115</v>
      </c>
      <c r="G173">
        <v>14.2</v>
      </c>
      <c r="H173">
        <v>5300</v>
      </c>
      <c r="I173">
        <v>0.54195397863821226</v>
      </c>
      <c r="J173">
        <v>0</v>
      </c>
    </row>
    <row r="174" spans="1:10" x14ac:dyDescent="0.3">
      <c r="A174" t="s">
        <v>282</v>
      </c>
      <c r="B174" t="s">
        <v>513</v>
      </c>
      <c r="C174">
        <v>10</v>
      </c>
      <c r="D174">
        <v>78700</v>
      </c>
      <c r="E174" t="s">
        <v>69</v>
      </c>
      <c r="F174">
        <v>43</v>
      </c>
      <c r="G174">
        <v>0.5</v>
      </c>
      <c r="H174">
        <v>5600</v>
      </c>
      <c r="I174">
        <v>0.88880836759419124</v>
      </c>
      <c r="J174">
        <v>0</v>
      </c>
    </row>
    <row r="175" spans="1:10" x14ac:dyDescent="0.3">
      <c r="A175" t="s">
        <v>283</v>
      </c>
      <c r="B175" t="s">
        <v>62</v>
      </c>
      <c r="C175">
        <v>7</v>
      </c>
      <c r="D175">
        <v>27900</v>
      </c>
      <c r="E175" t="s">
        <v>68</v>
      </c>
      <c r="F175">
        <v>27</v>
      </c>
      <c r="G175">
        <v>2</v>
      </c>
      <c r="H175">
        <v>6800</v>
      </c>
      <c r="I175">
        <v>0.17259280419731005</v>
      </c>
      <c r="J175">
        <v>0</v>
      </c>
    </row>
    <row r="176" spans="1:10" x14ac:dyDescent="0.3">
      <c r="A176" t="s">
        <v>284</v>
      </c>
      <c r="B176" t="s">
        <v>62</v>
      </c>
      <c r="C176">
        <v>3</v>
      </c>
      <c r="D176">
        <v>46300</v>
      </c>
      <c r="E176" t="s">
        <v>67</v>
      </c>
      <c r="F176">
        <v>57</v>
      </c>
      <c r="G176">
        <v>4.0999999999999996</v>
      </c>
      <c r="H176">
        <v>0</v>
      </c>
      <c r="I176">
        <v>8.3111780499691812E-2</v>
      </c>
      <c r="J176">
        <v>0</v>
      </c>
    </row>
    <row r="177" spans="1:10" x14ac:dyDescent="0.3">
      <c r="A177" t="s">
        <v>285</v>
      </c>
      <c r="B177" t="s">
        <v>65</v>
      </c>
      <c r="C177">
        <v>9</v>
      </c>
      <c r="D177">
        <v>91100</v>
      </c>
      <c r="E177" t="s">
        <v>67</v>
      </c>
      <c r="F177">
        <v>117</v>
      </c>
      <c r="G177">
        <v>3</v>
      </c>
      <c r="H177">
        <v>10600</v>
      </c>
      <c r="I177">
        <v>0.86397783151560459</v>
      </c>
      <c r="J177">
        <v>0</v>
      </c>
    </row>
    <row r="178" spans="1:10" x14ac:dyDescent="0.3">
      <c r="A178" t="s">
        <v>286</v>
      </c>
      <c r="B178" t="s">
        <v>64</v>
      </c>
      <c r="C178">
        <v>7</v>
      </c>
      <c r="D178">
        <v>21700</v>
      </c>
      <c r="E178" t="s">
        <v>69</v>
      </c>
      <c r="F178">
        <v>11</v>
      </c>
      <c r="G178">
        <v>7.1</v>
      </c>
      <c r="H178">
        <v>3400</v>
      </c>
      <c r="I178">
        <v>0.87702637377719972</v>
      </c>
      <c r="J178">
        <v>0</v>
      </c>
    </row>
    <row r="179" spans="1:10" x14ac:dyDescent="0.3">
      <c r="A179" t="s">
        <v>287</v>
      </c>
      <c r="B179" t="s">
        <v>65</v>
      </c>
      <c r="C179">
        <v>5</v>
      </c>
      <c r="D179">
        <v>38800</v>
      </c>
      <c r="E179" t="s">
        <v>66</v>
      </c>
      <c r="F179">
        <v>47</v>
      </c>
      <c r="G179">
        <v>12.8</v>
      </c>
      <c r="H179">
        <v>2800</v>
      </c>
      <c r="I179">
        <v>0.87043218765179631</v>
      </c>
      <c r="J179">
        <v>0</v>
      </c>
    </row>
    <row r="180" spans="1:10" x14ac:dyDescent="0.3">
      <c r="A180" t="s">
        <v>288</v>
      </c>
      <c r="B180" t="s">
        <v>65</v>
      </c>
      <c r="C180">
        <v>5</v>
      </c>
      <c r="D180">
        <v>38300</v>
      </c>
      <c r="E180" t="s">
        <v>67</v>
      </c>
      <c r="F180">
        <v>77</v>
      </c>
      <c r="G180">
        <v>12.7</v>
      </c>
      <c r="H180">
        <v>3000</v>
      </c>
      <c r="I180">
        <v>0.71360947077688652</v>
      </c>
      <c r="J180">
        <v>0</v>
      </c>
    </row>
    <row r="181" spans="1:10" x14ac:dyDescent="0.3">
      <c r="A181" t="s">
        <v>289</v>
      </c>
      <c r="B181" t="s">
        <v>62</v>
      </c>
      <c r="C181">
        <v>8</v>
      </c>
      <c r="D181">
        <v>42600</v>
      </c>
      <c r="E181" t="s">
        <v>69</v>
      </c>
      <c r="F181">
        <v>38</v>
      </c>
      <c r="G181">
        <v>7.3</v>
      </c>
      <c r="H181">
        <v>7300</v>
      </c>
      <c r="I181">
        <v>0.97604417108844266</v>
      </c>
      <c r="J181">
        <v>0</v>
      </c>
    </row>
    <row r="182" spans="1:10" x14ac:dyDescent="0.3">
      <c r="A182" t="s">
        <v>290</v>
      </c>
      <c r="B182" t="s">
        <v>513</v>
      </c>
      <c r="C182">
        <v>5</v>
      </c>
      <c r="D182">
        <v>42700</v>
      </c>
      <c r="E182" t="s">
        <v>67</v>
      </c>
      <c r="F182">
        <v>70</v>
      </c>
      <c r="G182">
        <v>1.3</v>
      </c>
      <c r="H182">
        <v>7400</v>
      </c>
      <c r="I182">
        <v>0.86385063547141994</v>
      </c>
      <c r="J182">
        <v>0</v>
      </c>
    </row>
    <row r="183" spans="1:10" x14ac:dyDescent="0.3">
      <c r="A183" t="s">
        <v>291</v>
      </c>
      <c r="B183" t="s">
        <v>62</v>
      </c>
      <c r="C183">
        <v>6</v>
      </c>
      <c r="D183">
        <v>31200</v>
      </c>
      <c r="E183" t="s">
        <v>69</v>
      </c>
      <c r="F183">
        <v>49</v>
      </c>
      <c r="G183">
        <v>3.1</v>
      </c>
      <c r="H183">
        <v>4300</v>
      </c>
      <c r="I183">
        <v>0.49549897526855469</v>
      </c>
      <c r="J183">
        <v>0</v>
      </c>
    </row>
    <row r="184" spans="1:10" x14ac:dyDescent="0.3">
      <c r="A184" t="s">
        <v>292</v>
      </c>
      <c r="B184" t="s">
        <v>513</v>
      </c>
      <c r="C184">
        <v>1</v>
      </c>
      <c r="D184">
        <v>36000</v>
      </c>
      <c r="E184" t="s">
        <v>68</v>
      </c>
      <c r="F184">
        <v>39</v>
      </c>
      <c r="G184">
        <v>5.9</v>
      </c>
      <c r="H184">
        <v>4400</v>
      </c>
      <c r="I184">
        <v>0.71056881482650414</v>
      </c>
      <c r="J184">
        <v>0</v>
      </c>
    </row>
    <row r="185" spans="1:10" x14ac:dyDescent="0.3">
      <c r="A185" t="s">
        <v>293</v>
      </c>
      <c r="B185" t="s">
        <v>513</v>
      </c>
      <c r="C185">
        <v>5</v>
      </c>
      <c r="D185">
        <v>50000</v>
      </c>
      <c r="E185" t="s">
        <v>68</v>
      </c>
      <c r="F185">
        <v>34</v>
      </c>
      <c r="G185">
        <v>6.2</v>
      </c>
      <c r="H185">
        <v>4900</v>
      </c>
      <c r="I185">
        <v>1.8337505334990789E-2</v>
      </c>
      <c r="J185">
        <v>0</v>
      </c>
    </row>
    <row r="186" spans="1:10" x14ac:dyDescent="0.3">
      <c r="A186" t="s">
        <v>294</v>
      </c>
      <c r="B186" t="s">
        <v>62</v>
      </c>
      <c r="C186">
        <v>6</v>
      </c>
      <c r="D186">
        <v>55500</v>
      </c>
      <c r="E186" t="s">
        <v>68</v>
      </c>
      <c r="F186">
        <v>59</v>
      </c>
      <c r="G186">
        <v>9.3000000000000007</v>
      </c>
      <c r="H186">
        <v>2700</v>
      </c>
      <c r="I186">
        <v>4.1296541553209609E-2</v>
      </c>
      <c r="J186">
        <v>0</v>
      </c>
    </row>
    <row r="187" spans="1:10" x14ac:dyDescent="0.3">
      <c r="A187" t="s">
        <v>295</v>
      </c>
      <c r="B187" t="s">
        <v>513</v>
      </c>
      <c r="C187">
        <v>2</v>
      </c>
      <c r="D187">
        <v>8000</v>
      </c>
      <c r="E187" t="s">
        <v>67</v>
      </c>
      <c r="F187">
        <v>118</v>
      </c>
      <c r="G187">
        <v>6.5</v>
      </c>
      <c r="H187">
        <v>9000</v>
      </c>
      <c r="I187">
        <v>0.94174745545472183</v>
      </c>
      <c r="J187">
        <v>0</v>
      </c>
    </row>
    <row r="188" spans="1:10" x14ac:dyDescent="0.3">
      <c r="A188" t="s">
        <v>296</v>
      </c>
      <c r="B188" t="s">
        <v>513</v>
      </c>
      <c r="C188">
        <v>8</v>
      </c>
      <c r="D188">
        <v>10300</v>
      </c>
      <c r="E188" t="s">
        <v>68</v>
      </c>
      <c r="F188">
        <v>50</v>
      </c>
      <c r="G188">
        <v>12</v>
      </c>
      <c r="H188">
        <v>7400</v>
      </c>
      <c r="I188">
        <v>0.55211674644187925</v>
      </c>
      <c r="J188">
        <v>0</v>
      </c>
    </row>
    <row r="189" spans="1:10" x14ac:dyDescent="0.3">
      <c r="A189" t="s">
        <v>297</v>
      </c>
      <c r="B189" t="s">
        <v>513</v>
      </c>
      <c r="C189">
        <v>9</v>
      </c>
      <c r="D189">
        <v>36300</v>
      </c>
      <c r="E189" t="s">
        <v>69</v>
      </c>
      <c r="F189">
        <v>46</v>
      </c>
      <c r="G189">
        <v>6.5</v>
      </c>
      <c r="H189">
        <v>4600</v>
      </c>
      <c r="I189">
        <v>0.60610798940202981</v>
      </c>
      <c r="J189">
        <v>0</v>
      </c>
    </row>
    <row r="190" spans="1:10" x14ac:dyDescent="0.3">
      <c r="A190" t="s">
        <v>298</v>
      </c>
      <c r="B190" t="s">
        <v>65</v>
      </c>
      <c r="C190">
        <v>5</v>
      </c>
      <c r="D190">
        <v>48700</v>
      </c>
      <c r="E190" t="s">
        <v>68</v>
      </c>
      <c r="F190">
        <v>46</v>
      </c>
      <c r="G190">
        <v>7</v>
      </c>
      <c r="H190">
        <v>6500</v>
      </c>
      <c r="I190">
        <v>0.68298711503906251</v>
      </c>
      <c r="J190">
        <v>0</v>
      </c>
    </row>
    <row r="191" spans="1:10" x14ac:dyDescent="0.3">
      <c r="A191" t="s">
        <v>299</v>
      </c>
      <c r="B191" t="s">
        <v>62</v>
      </c>
      <c r="C191">
        <v>4</v>
      </c>
      <c r="D191">
        <v>16000</v>
      </c>
      <c r="E191" t="s">
        <v>67</v>
      </c>
      <c r="F191">
        <v>46</v>
      </c>
      <c r="G191">
        <v>8.5</v>
      </c>
      <c r="H191">
        <v>5400</v>
      </c>
      <c r="I191">
        <v>0.89456509425735975</v>
      </c>
      <c r="J191">
        <v>0</v>
      </c>
    </row>
    <row r="192" spans="1:10" x14ac:dyDescent="0.3">
      <c r="A192" t="s">
        <v>300</v>
      </c>
      <c r="B192" t="s">
        <v>64</v>
      </c>
      <c r="C192">
        <v>6</v>
      </c>
      <c r="D192">
        <v>27800</v>
      </c>
      <c r="E192" t="s">
        <v>67</v>
      </c>
      <c r="F192">
        <v>90</v>
      </c>
      <c r="G192">
        <v>7.4</v>
      </c>
      <c r="H192">
        <v>4700</v>
      </c>
      <c r="I192">
        <v>0.27303432728768728</v>
      </c>
      <c r="J192">
        <v>0</v>
      </c>
    </row>
    <row r="193" spans="1:10" x14ac:dyDescent="0.3">
      <c r="A193" t="s">
        <v>301</v>
      </c>
      <c r="B193" t="s">
        <v>65</v>
      </c>
      <c r="C193">
        <v>7</v>
      </c>
      <c r="D193">
        <v>44700</v>
      </c>
      <c r="E193" t="s">
        <v>67</v>
      </c>
      <c r="F193">
        <v>82</v>
      </c>
      <c r="G193">
        <v>1.5</v>
      </c>
      <c r="H193">
        <v>6400</v>
      </c>
      <c r="I193">
        <v>0.81494279825410798</v>
      </c>
      <c r="J193">
        <v>0</v>
      </c>
    </row>
    <row r="194" spans="1:10" x14ac:dyDescent="0.3">
      <c r="A194" t="s">
        <v>302</v>
      </c>
      <c r="B194" t="s">
        <v>62</v>
      </c>
      <c r="C194">
        <v>8</v>
      </c>
      <c r="D194">
        <v>39900</v>
      </c>
      <c r="E194" t="s">
        <v>68</v>
      </c>
      <c r="F194">
        <v>20</v>
      </c>
      <c r="G194">
        <v>6.4</v>
      </c>
      <c r="H194">
        <v>6200</v>
      </c>
      <c r="I194">
        <v>0.58061736770557681</v>
      </c>
      <c r="J194">
        <v>0</v>
      </c>
    </row>
    <row r="195" spans="1:10" x14ac:dyDescent="0.3">
      <c r="A195" t="s">
        <v>303</v>
      </c>
      <c r="B195" t="s">
        <v>62</v>
      </c>
      <c r="C195">
        <v>5</v>
      </c>
      <c r="D195">
        <v>25800</v>
      </c>
      <c r="E195" t="s">
        <v>67</v>
      </c>
      <c r="F195">
        <v>91</v>
      </c>
      <c r="G195">
        <v>7.7</v>
      </c>
      <c r="H195">
        <v>11600</v>
      </c>
      <c r="I195">
        <v>0.31653563234563165</v>
      </c>
      <c r="J195">
        <v>0</v>
      </c>
    </row>
    <row r="196" spans="1:10" x14ac:dyDescent="0.3">
      <c r="A196" t="s">
        <v>304</v>
      </c>
      <c r="B196" t="s">
        <v>62</v>
      </c>
      <c r="C196">
        <v>8</v>
      </c>
      <c r="D196">
        <v>41800</v>
      </c>
      <c r="E196" t="s">
        <v>66</v>
      </c>
      <c r="F196">
        <v>31</v>
      </c>
      <c r="G196">
        <v>3</v>
      </c>
      <c r="H196">
        <v>6900</v>
      </c>
      <c r="I196">
        <v>0.28286674491800434</v>
      </c>
      <c r="J196">
        <v>0</v>
      </c>
    </row>
    <row r="197" spans="1:10" x14ac:dyDescent="0.3">
      <c r="A197" t="s">
        <v>305</v>
      </c>
      <c r="B197" t="s">
        <v>513</v>
      </c>
      <c r="C197">
        <v>8</v>
      </c>
      <c r="D197">
        <v>37900</v>
      </c>
      <c r="E197" t="s">
        <v>68</v>
      </c>
      <c r="F197">
        <v>69</v>
      </c>
      <c r="G197">
        <v>14</v>
      </c>
      <c r="H197">
        <v>7600</v>
      </c>
      <c r="I197">
        <v>0.32077053640788389</v>
      </c>
      <c r="J197">
        <v>0</v>
      </c>
    </row>
    <row r="198" spans="1:10" x14ac:dyDescent="0.3">
      <c r="A198" t="s">
        <v>306</v>
      </c>
      <c r="B198" t="s">
        <v>62</v>
      </c>
      <c r="C198">
        <v>2</v>
      </c>
      <c r="D198">
        <v>37100</v>
      </c>
      <c r="E198" t="s">
        <v>66</v>
      </c>
      <c r="F198">
        <v>55</v>
      </c>
      <c r="G198">
        <v>2.2000000000000002</v>
      </c>
      <c r="H198">
        <v>4700</v>
      </c>
      <c r="I198">
        <v>0.28710602082711945</v>
      </c>
      <c r="J198">
        <v>0</v>
      </c>
    </row>
    <row r="199" spans="1:10" x14ac:dyDescent="0.3">
      <c r="A199" t="s">
        <v>307</v>
      </c>
      <c r="B199" t="s">
        <v>65</v>
      </c>
      <c r="C199">
        <v>2</v>
      </c>
      <c r="D199">
        <v>92300</v>
      </c>
      <c r="E199" t="s">
        <v>66</v>
      </c>
      <c r="F199">
        <v>58</v>
      </c>
      <c r="G199">
        <v>3.2</v>
      </c>
      <c r="H199">
        <v>3900</v>
      </c>
      <c r="I199">
        <v>0.79915888052479667</v>
      </c>
      <c r="J199">
        <v>0</v>
      </c>
    </row>
    <row r="200" spans="1:10" x14ac:dyDescent="0.3">
      <c r="A200" t="s">
        <v>308</v>
      </c>
      <c r="B200" t="s">
        <v>64</v>
      </c>
      <c r="C200">
        <v>7</v>
      </c>
      <c r="D200">
        <v>25400</v>
      </c>
      <c r="E200" t="s">
        <v>69</v>
      </c>
      <c r="F200">
        <v>14</v>
      </c>
      <c r="G200">
        <v>10.4</v>
      </c>
      <c r="H200">
        <v>3100</v>
      </c>
      <c r="I200">
        <v>0.79349781329607538</v>
      </c>
      <c r="J200">
        <v>0</v>
      </c>
    </row>
    <row r="201" spans="1:10" x14ac:dyDescent="0.3">
      <c r="A201" t="s">
        <v>309</v>
      </c>
      <c r="B201" t="s">
        <v>65</v>
      </c>
      <c r="C201">
        <v>6</v>
      </c>
      <c r="D201">
        <v>61400</v>
      </c>
      <c r="E201" t="s">
        <v>67</v>
      </c>
      <c r="F201">
        <v>70</v>
      </c>
      <c r="G201">
        <v>3.5</v>
      </c>
      <c r="H201">
        <v>9500</v>
      </c>
      <c r="I201">
        <v>0.53599773594300337</v>
      </c>
      <c r="J201">
        <v>0</v>
      </c>
    </row>
    <row r="202" spans="1:10" x14ac:dyDescent="0.3">
      <c r="A202" t="s">
        <v>310</v>
      </c>
      <c r="B202" t="s">
        <v>64</v>
      </c>
      <c r="C202">
        <v>2</v>
      </c>
      <c r="D202">
        <v>20200</v>
      </c>
      <c r="E202" t="s">
        <v>69</v>
      </c>
      <c r="F202">
        <v>11</v>
      </c>
      <c r="G202">
        <v>2.5</v>
      </c>
      <c r="H202">
        <v>5000</v>
      </c>
      <c r="I202">
        <v>0.55891830558333155</v>
      </c>
      <c r="J202">
        <v>0</v>
      </c>
    </row>
    <row r="203" spans="1:10" x14ac:dyDescent="0.3">
      <c r="A203" t="s">
        <v>311</v>
      </c>
      <c r="B203" t="s">
        <v>62</v>
      </c>
      <c r="C203">
        <v>6</v>
      </c>
      <c r="D203">
        <v>34100</v>
      </c>
      <c r="E203" t="s">
        <v>66</v>
      </c>
      <c r="F203">
        <v>54</v>
      </c>
      <c r="G203">
        <v>6.5</v>
      </c>
      <c r="H203">
        <v>3300</v>
      </c>
      <c r="I203">
        <v>3.5053853411985969E-3</v>
      </c>
      <c r="J203">
        <v>0</v>
      </c>
    </row>
    <row r="204" spans="1:10" x14ac:dyDescent="0.3">
      <c r="A204" t="s">
        <v>312</v>
      </c>
      <c r="B204" t="s">
        <v>513</v>
      </c>
      <c r="C204">
        <v>6</v>
      </c>
      <c r="D204">
        <v>41000</v>
      </c>
      <c r="E204" t="s">
        <v>68</v>
      </c>
      <c r="F204">
        <v>65</v>
      </c>
      <c r="G204">
        <v>8.3000000000000007</v>
      </c>
      <c r="H204">
        <v>3200</v>
      </c>
      <c r="I204">
        <v>0.68147140879327606</v>
      </c>
      <c r="J204">
        <v>0</v>
      </c>
    </row>
    <row r="205" spans="1:10" x14ac:dyDescent="0.3">
      <c r="A205" t="s">
        <v>313</v>
      </c>
      <c r="B205" t="s">
        <v>62</v>
      </c>
      <c r="C205">
        <v>7</v>
      </c>
      <c r="D205">
        <v>65400</v>
      </c>
      <c r="E205" t="s">
        <v>67</v>
      </c>
      <c r="F205">
        <v>89</v>
      </c>
      <c r="G205">
        <v>7.2</v>
      </c>
      <c r="H205">
        <v>10300</v>
      </c>
      <c r="I205">
        <v>0.74434678343790939</v>
      </c>
      <c r="J205">
        <v>0</v>
      </c>
    </row>
    <row r="206" spans="1:10" x14ac:dyDescent="0.3">
      <c r="A206" t="s">
        <v>314</v>
      </c>
      <c r="B206" t="s">
        <v>65</v>
      </c>
      <c r="C206">
        <v>4</v>
      </c>
      <c r="D206">
        <v>49300</v>
      </c>
      <c r="E206" t="s">
        <v>69</v>
      </c>
      <c r="F206">
        <v>52</v>
      </c>
      <c r="G206">
        <v>10</v>
      </c>
      <c r="H206">
        <v>7000</v>
      </c>
      <c r="I206">
        <v>5.4761169097692908E-2</v>
      </c>
      <c r="J206">
        <v>0</v>
      </c>
    </row>
    <row r="207" spans="1:10" x14ac:dyDescent="0.3">
      <c r="A207" t="s">
        <v>315</v>
      </c>
      <c r="B207" t="s">
        <v>513</v>
      </c>
      <c r="C207">
        <v>2</v>
      </c>
      <c r="D207">
        <v>31700</v>
      </c>
      <c r="E207" t="s">
        <v>69</v>
      </c>
      <c r="F207">
        <v>55</v>
      </c>
      <c r="G207">
        <v>7.3</v>
      </c>
      <c r="H207">
        <v>4500</v>
      </c>
      <c r="I207">
        <v>0.15702251510742515</v>
      </c>
      <c r="J207">
        <v>0</v>
      </c>
    </row>
    <row r="208" spans="1:10" x14ac:dyDescent="0.3">
      <c r="A208" t="s">
        <v>316</v>
      </c>
      <c r="B208" t="s">
        <v>513</v>
      </c>
      <c r="C208">
        <v>9</v>
      </c>
      <c r="D208">
        <v>72000</v>
      </c>
      <c r="E208" t="s">
        <v>67</v>
      </c>
      <c r="F208">
        <v>62</v>
      </c>
      <c r="G208">
        <v>12.1</v>
      </c>
      <c r="H208">
        <v>2900</v>
      </c>
      <c r="I208">
        <v>0.51127697052485255</v>
      </c>
      <c r="J208">
        <v>0</v>
      </c>
    </row>
    <row r="209" spans="1:10" x14ac:dyDescent="0.3">
      <c r="A209" t="s">
        <v>317</v>
      </c>
      <c r="B209" t="s">
        <v>64</v>
      </c>
      <c r="C209">
        <v>7</v>
      </c>
      <c r="D209">
        <v>66300</v>
      </c>
      <c r="E209" t="s">
        <v>66</v>
      </c>
      <c r="F209">
        <v>32</v>
      </c>
      <c r="G209">
        <v>10</v>
      </c>
      <c r="H209">
        <v>6900</v>
      </c>
      <c r="I209">
        <v>0.78638802441856503</v>
      </c>
      <c r="J209">
        <v>0</v>
      </c>
    </row>
    <row r="210" spans="1:10" x14ac:dyDescent="0.3">
      <c r="A210" t="s">
        <v>318</v>
      </c>
      <c r="B210" t="s">
        <v>65</v>
      </c>
      <c r="C210">
        <v>10</v>
      </c>
      <c r="D210">
        <v>14200</v>
      </c>
      <c r="E210" t="s">
        <v>67</v>
      </c>
      <c r="F210">
        <v>53</v>
      </c>
      <c r="G210">
        <v>6.2</v>
      </c>
      <c r="H210">
        <v>11300</v>
      </c>
      <c r="I210">
        <v>5.4975302614149402E-2</v>
      </c>
      <c r="J210">
        <v>0</v>
      </c>
    </row>
    <row r="211" spans="1:10" x14ac:dyDescent="0.3">
      <c r="A211" t="s">
        <v>319</v>
      </c>
      <c r="B211" t="s">
        <v>62</v>
      </c>
      <c r="C211">
        <v>9</v>
      </c>
      <c r="D211">
        <v>19600</v>
      </c>
      <c r="E211" t="s">
        <v>68</v>
      </c>
      <c r="F211">
        <v>51</v>
      </c>
      <c r="G211">
        <v>7.1</v>
      </c>
      <c r="H211">
        <v>7500</v>
      </c>
      <c r="I211">
        <v>0.17011952453464907</v>
      </c>
      <c r="J211">
        <v>0</v>
      </c>
    </row>
    <row r="212" spans="1:10" x14ac:dyDescent="0.3">
      <c r="A212" t="s">
        <v>320</v>
      </c>
      <c r="B212" t="s">
        <v>62</v>
      </c>
      <c r="C212">
        <v>5</v>
      </c>
      <c r="D212">
        <v>39000</v>
      </c>
      <c r="E212" t="s">
        <v>68</v>
      </c>
      <c r="F212">
        <v>59</v>
      </c>
      <c r="G212">
        <v>2.8</v>
      </c>
      <c r="H212">
        <v>7100</v>
      </c>
      <c r="I212">
        <v>0.56281778547008654</v>
      </c>
      <c r="J212">
        <v>0</v>
      </c>
    </row>
    <row r="213" spans="1:10" x14ac:dyDescent="0.3">
      <c r="A213" t="s">
        <v>321</v>
      </c>
      <c r="B213" t="s">
        <v>65</v>
      </c>
      <c r="C213">
        <v>5</v>
      </c>
      <c r="D213">
        <v>73900</v>
      </c>
      <c r="E213" t="s">
        <v>67</v>
      </c>
      <c r="F213">
        <v>84</v>
      </c>
      <c r="G213">
        <v>0.8</v>
      </c>
      <c r="H213">
        <v>9500</v>
      </c>
      <c r="I213">
        <v>0.14157000765430772</v>
      </c>
      <c r="J213">
        <v>0</v>
      </c>
    </row>
    <row r="214" spans="1:10" x14ac:dyDescent="0.3">
      <c r="A214" t="s">
        <v>322</v>
      </c>
      <c r="B214" t="s">
        <v>65</v>
      </c>
      <c r="C214">
        <v>3</v>
      </c>
      <c r="D214">
        <v>18700</v>
      </c>
      <c r="E214" t="s">
        <v>67</v>
      </c>
      <c r="F214">
        <v>102</v>
      </c>
      <c r="G214">
        <v>3</v>
      </c>
      <c r="H214">
        <v>10300</v>
      </c>
      <c r="I214">
        <v>0.43032715622748574</v>
      </c>
      <c r="J214">
        <v>0</v>
      </c>
    </row>
    <row r="215" spans="1:10" x14ac:dyDescent="0.3">
      <c r="A215" t="s">
        <v>323</v>
      </c>
      <c r="B215" t="s">
        <v>65</v>
      </c>
      <c r="C215">
        <v>10</v>
      </c>
      <c r="D215">
        <v>67800</v>
      </c>
      <c r="E215" t="s">
        <v>69</v>
      </c>
      <c r="F215">
        <v>48</v>
      </c>
      <c r="G215">
        <v>10.5</v>
      </c>
      <c r="H215">
        <v>4600</v>
      </c>
      <c r="I215">
        <v>0.61889876686950152</v>
      </c>
      <c r="J215">
        <v>0</v>
      </c>
    </row>
    <row r="216" spans="1:10" x14ac:dyDescent="0.3">
      <c r="A216" t="s">
        <v>324</v>
      </c>
      <c r="B216" t="s">
        <v>65</v>
      </c>
      <c r="C216">
        <v>7</v>
      </c>
      <c r="D216">
        <v>76500</v>
      </c>
      <c r="E216" t="s">
        <v>67</v>
      </c>
      <c r="F216">
        <v>87</v>
      </c>
      <c r="G216">
        <v>6.5</v>
      </c>
      <c r="H216">
        <v>13600</v>
      </c>
      <c r="I216">
        <v>0.19420510134223556</v>
      </c>
      <c r="J216">
        <v>0</v>
      </c>
    </row>
    <row r="217" spans="1:10" x14ac:dyDescent="0.3">
      <c r="A217" t="s">
        <v>325</v>
      </c>
      <c r="B217" t="s">
        <v>65</v>
      </c>
      <c r="C217">
        <v>4</v>
      </c>
      <c r="D217">
        <v>27200</v>
      </c>
      <c r="E217" t="s">
        <v>66</v>
      </c>
      <c r="F217">
        <v>68</v>
      </c>
      <c r="G217">
        <v>13.9</v>
      </c>
      <c r="H217">
        <v>4700</v>
      </c>
      <c r="I217">
        <v>0.52905223880833829</v>
      </c>
      <c r="J217">
        <v>0</v>
      </c>
    </row>
    <row r="218" spans="1:10" x14ac:dyDescent="0.3">
      <c r="A218" t="s">
        <v>326</v>
      </c>
      <c r="B218" t="s">
        <v>513</v>
      </c>
      <c r="C218">
        <v>2</v>
      </c>
      <c r="D218">
        <v>29100</v>
      </c>
      <c r="E218" t="s">
        <v>66</v>
      </c>
      <c r="F218">
        <v>52</v>
      </c>
      <c r="G218">
        <v>9.8000000000000007</v>
      </c>
      <c r="H218">
        <v>9500</v>
      </c>
      <c r="I218">
        <v>0.56971475506646929</v>
      </c>
      <c r="J218">
        <v>0</v>
      </c>
    </row>
    <row r="219" spans="1:10" x14ac:dyDescent="0.3">
      <c r="A219" t="s">
        <v>327</v>
      </c>
      <c r="B219" t="s">
        <v>62</v>
      </c>
      <c r="C219">
        <v>6</v>
      </c>
      <c r="D219">
        <v>25200</v>
      </c>
      <c r="E219" t="s">
        <v>69</v>
      </c>
      <c r="F219">
        <v>15</v>
      </c>
      <c r="G219">
        <v>4.3</v>
      </c>
      <c r="H219">
        <v>5000</v>
      </c>
      <c r="I219">
        <v>3.1059490107947063E-2</v>
      </c>
      <c r="J219">
        <v>0</v>
      </c>
    </row>
    <row r="220" spans="1:10" x14ac:dyDescent="0.3">
      <c r="A220" t="s">
        <v>328</v>
      </c>
      <c r="B220" t="s">
        <v>64</v>
      </c>
      <c r="C220">
        <v>6</v>
      </c>
      <c r="D220">
        <v>25000</v>
      </c>
      <c r="E220" t="s">
        <v>67</v>
      </c>
      <c r="F220">
        <v>45</v>
      </c>
      <c r="G220">
        <v>0.9</v>
      </c>
      <c r="H220">
        <v>4800</v>
      </c>
      <c r="I220">
        <v>3.3307616863953005E-2</v>
      </c>
      <c r="J220">
        <v>0</v>
      </c>
    </row>
    <row r="221" spans="1:10" x14ac:dyDescent="0.3">
      <c r="A221" t="s">
        <v>329</v>
      </c>
      <c r="B221" t="s">
        <v>62</v>
      </c>
      <c r="C221">
        <v>6</v>
      </c>
      <c r="D221">
        <v>113400</v>
      </c>
      <c r="E221" t="s">
        <v>68</v>
      </c>
      <c r="F221">
        <v>53</v>
      </c>
      <c r="G221">
        <v>1.6</v>
      </c>
      <c r="H221">
        <v>9200</v>
      </c>
      <c r="I221">
        <v>0.49908335341426568</v>
      </c>
      <c r="J221">
        <v>0</v>
      </c>
    </row>
    <row r="222" spans="1:10" x14ac:dyDescent="0.3">
      <c r="A222" t="s">
        <v>330</v>
      </c>
      <c r="B222" t="s">
        <v>65</v>
      </c>
      <c r="C222">
        <v>6</v>
      </c>
      <c r="D222">
        <v>31800</v>
      </c>
      <c r="E222" t="s">
        <v>67</v>
      </c>
      <c r="F222">
        <v>86</v>
      </c>
      <c r="G222">
        <v>1.2</v>
      </c>
      <c r="H222">
        <v>3900</v>
      </c>
      <c r="I222">
        <v>0.63870372650274432</v>
      </c>
      <c r="J222">
        <v>0</v>
      </c>
    </row>
    <row r="223" spans="1:10" x14ac:dyDescent="0.3">
      <c r="A223" t="s">
        <v>331</v>
      </c>
      <c r="B223" t="s">
        <v>64</v>
      </c>
      <c r="C223">
        <v>4</v>
      </c>
      <c r="D223">
        <v>23300</v>
      </c>
      <c r="E223" t="s">
        <v>67</v>
      </c>
      <c r="F223">
        <v>53</v>
      </c>
      <c r="G223">
        <v>10.1</v>
      </c>
      <c r="H223">
        <v>1600</v>
      </c>
      <c r="I223">
        <v>0.54201822082993412</v>
      </c>
      <c r="J223">
        <v>0</v>
      </c>
    </row>
    <row r="224" spans="1:10" x14ac:dyDescent="0.3">
      <c r="A224" t="s">
        <v>332</v>
      </c>
      <c r="B224" t="s">
        <v>513</v>
      </c>
      <c r="C224">
        <v>2</v>
      </c>
      <c r="D224">
        <v>15200</v>
      </c>
      <c r="E224" t="s">
        <v>67</v>
      </c>
      <c r="F224">
        <v>117</v>
      </c>
      <c r="G224">
        <v>2.8</v>
      </c>
      <c r="H224">
        <v>2000</v>
      </c>
      <c r="I224">
        <v>0.99063631526299789</v>
      </c>
      <c r="J224">
        <v>0</v>
      </c>
    </row>
    <row r="225" spans="1:10" x14ac:dyDescent="0.3">
      <c r="A225" t="s">
        <v>333</v>
      </c>
      <c r="B225" t="s">
        <v>64</v>
      </c>
      <c r="C225">
        <v>5</v>
      </c>
      <c r="D225">
        <v>28400</v>
      </c>
      <c r="E225" t="s">
        <v>67</v>
      </c>
      <c r="F225">
        <v>101</v>
      </c>
      <c r="G225">
        <v>2.4</v>
      </c>
      <c r="H225">
        <v>12100</v>
      </c>
      <c r="I225">
        <v>0.49413231617736675</v>
      </c>
      <c r="J225">
        <v>0</v>
      </c>
    </row>
    <row r="226" spans="1:10" x14ac:dyDescent="0.3">
      <c r="A226" t="s">
        <v>334</v>
      </c>
      <c r="B226" t="s">
        <v>64</v>
      </c>
      <c r="C226">
        <v>6</v>
      </c>
      <c r="D226">
        <v>51300</v>
      </c>
      <c r="E226" t="s">
        <v>68</v>
      </c>
      <c r="F226">
        <v>67</v>
      </c>
      <c r="G226">
        <v>10.7</v>
      </c>
      <c r="H226">
        <v>4700</v>
      </c>
      <c r="I226">
        <v>0.85861550493779681</v>
      </c>
      <c r="J226">
        <v>0</v>
      </c>
    </row>
    <row r="227" spans="1:10" x14ac:dyDescent="0.3">
      <c r="A227" t="s">
        <v>335</v>
      </c>
      <c r="B227" t="s">
        <v>65</v>
      </c>
      <c r="C227">
        <v>4</v>
      </c>
      <c r="D227">
        <v>20800</v>
      </c>
      <c r="E227" t="s">
        <v>69</v>
      </c>
      <c r="F227">
        <v>24</v>
      </c>
      <c r="G227">
        <v>12.2</v>
      </c>
      <c r="H227">
        <v>6900</v>
      </c>
      <c r="I227">
        <v>0.13490038038095276</v>
      </c>
      <c r="J227">
        <v>0</v>
      </c>
    </row>
    <row r="228" spans="1:10" x14ac:dyDescent="0.3">
      <c r="A228" t="s">
        <v>336</v>
      </c>
      <c r="B228" t="s">
        <v>64</v>
      </c>
      <c r="C228">
        <v>4</v>
      </c>
      <c r="D228">
        <v>54600</v>
      </c>
      <c r="E228" t="s">
        <v>69</v>
      </c>
      <c r="F228">
        <v>32</v>
      </c>
      <c r="G228">
        <v>5.6</v>
      </c>
      <c r="H228">
        <v>3400</v>
      </c>
      <c r="I228">
        <v>4.4254621947939166E-2</v>
      </c>
      <c r="J228">
        <v>0</v>
      </c>
    </row>
    <row r="229" spans="1:10" x14ac:dyDescent="0.3">
      <c r="A229" t="s">
        <v>337</v>
      </c>
      <c r="B229" t="s">
        <v>62</v>
      </c>
      <c r="C229">
        <v>7</v>
      </c>
      <c r="D229">
        <v>55100</v>
      </c>
      <c r="E229" t="s">
        <v>66</v>
      </c>
      <c r="F229">
        <v>67</v>
      </c>
      <c r="G229">
        <v>4.9000000000000004</v>
      </c>
      <c r="H229">
        <v>900</v>
      </c>
      <c r="I229">
        <v>0.37549953797851465</v>
      </c>
      <c r="J229">
        <v>0</v>
      </c>
    </row>
    <row r="230" spans="1:10" x14ac:dyDescent="0.3">
      <c r="A230" t="s">
        <v>338</v>
      </c>
      <c r="B230" t="s">
        <v>64</v>
      </c>
      <c r="C230">
        <v>7</v>
      </c>
      <c r="D230">
        <v>40500</v>
      </c>
      <c r="E230" t="s">
        <v>68</v>
      </c>
      <c r="F230">
        <v>38</v>
      </c>
      <c r="G230">
        <v>2.9</v>
      </c>
      <c r="H230">
        <v>0</v>
      </c>
      <c r="I230">
        <v>0.65000142734794042</v>
      </c>
      <c r="J230">
        <v>0</v>
      </c>
    </row>
    <row r="231" spans="1:10" x14ac:dyDescent="0.3">
      <c r="A231" t="s">
        <v>339</v>
      </c>
      <c r="B231" t="s">
        <v>64</v>
      </c>
      <c r="C231">
        <v>7</v>
      </c>
      <c r="D231">
        <v>38400</v>
      </c>
      <c r="E231" t="s">
        <v>66</v>
      </c>
      <c r="F231">
        <v>55</v>
      </c>
      <c r="G231">
        <v>4.8</v>
      </c>
      <c r="H231">
        <v>8500</v>
      </c>
      <c r="I231">
        <v>0.97365939784263122</v>
      </c>
      <c r="J231">
        <v>0</v>
      </c>
    </row>
    <row r="232" spans="1:10" x14ac:dyDescent="0.3">
      <c r="A232" t="s">
        <v>340</v>
      </c>
      <c r="B232" t="s">
        <v>65</v>
      </c>
      <c r="C232">
        <v>2</v>
      </c>
      <c r="D232">
        <v>25500</v>
      </c>
      <c r="E232" t="s">
        <v>68</v>
      </c>
      <c r="F232">
        <v>26</v>
      </c>
      <c r="G232">
        <v>5.4</v>
      </c>
      <c r="H232">
        <v>400</v>
      </c>
      <c r="I232">
        <v>0.65913861665737794</v>
      </c>
      <c r="J232">
        <v>0</v>
      </c>
    </row>
    <row r="233" spans="1:10" x14ac:dyDescent="0.3">
      <c r="A233" t="s">
        <v>341</v>
      </c>
      <c r="B233" t="s">
        <v>513</v>
      </c>
      <c r="C233">
        <v>7</v>
      </c>
      <c r="D233">
        <v>38700</v>
      </c>
      <c r="E233" t="s">
        <v>67</v>
      </c>
      <c r="F233">
        <v>82</v>
      </c>
      <c r="G233">
        <v>13.2</v>
      </c>
      <c r="H233">
        <v>6500</v>
      </c>
      <c r="I233">
        <v>0.13238218221484321</v>
      </c>
      <c r="J233">
        <v>0</v>
      </c>
    </row>
    <row r="234" spans="1:10" x14ac:dyDescent="0.3">
      <c r="A234" t="s">
        <v>342</v>
      </c>
      <c r="B234" t="s">
        <v>62</v>
      </c>
      <c r="C234">
        <v>4</v>
      </c>
      <c r="D234">
        <v>21000</v>
      </c>
      <c r="E234" t="s">
        <v>66</v>
      </c>
      <c r="F234">
        <v>60</v>
      </c>
      <c r="G234">
        <v>0.4</v>
      </c>
      <c r="H234">
        <v>4300</v>
      </c>
      <c r="I234">
        <v>0.45858027627776721</v>
      </c>
      <c r="J234">
        <v>0</v>
      </c>
    </row>
    <row r="235" spans="1:10" x14ac:dyDescent="0.3">
      <c r="A235" t="s">
        <v>343</v>
      </c>
      <c r="B235" t="s">
        <v>62</v>
      </c>
      <c r="C235">
        <v>8</v>
      </c>
      <c r="D235">
        <v>33200</v>
      </c>
      <c r="E235" t="s">
        <v>68</v>
      </c>
      <c r="F235">
        <v>22</v>
      </c>
      <c r="G235">
        <v>0.2</v>
      </c>
      <c r="H235">
        <v>3700</v>
      </c>
      <c r="I235">
        <v>0.68294362150929511</v>
      </c>
      <c r="J235">
        <v>0</v>
      </c>
    </row>
    <row r="236" spans="1:10" x14ac:dyDescent="0.3">
      <c r="A236" t="s">
        <v>344</v>
      </c>
      <c r="B236" t="s">
        <v>513</v>
      </c>
      <c r="C236">
        <v>9</v>
      </c>
      <c r="D236">
        <v>52600</v>
      </c>
      <c r="E236" t="s">
        <v>69</v>
      </c>
      <c r="F236">
        <v>19</v>
      </c>
      <c r="G236">
        <v>6.3</v>
      </c>
      <c r="H236">
        <v>10500</v>
      </c>
      <c r="I236">
        <v>0.34633351470628715</v>
      </c>
      <c r="J236">
        <v>0</v>
      </c>
    </row>
    <row r="237" spans="1:10" x14ac:dyDescent="0.3">
      <c r="A237" t="s">
        <v>345</v>
      </c>
      <c r="B237" t="s">
        <v>513</v>
      </c>
      <c r="C237">
        <v>1</v>
      </c>
      <c r="D237">
        <v>26800</v>
      </c>
      <c r="E237" t="s">
        <v>66</v>
      </c>
      <c r="F237">
        <v>33</v>
      </c>
      <c r="G237">
        <v>4.4000000000000004</v>
      </c>
      <c r="H237">
        <v>7400</v>
      </c>
      <c r="I237">
        <v>0.24514792643833749</v>
      </c>
      <c r="J237">
        <v>0</v>
      </c>
    </row>
    <row r="238" spans="1:10" x14ac:dyDescent="0.3">
      <c r="A238" t="s">
        <v>346</v>
      </c>
      <c r="B238" t="s">
        <v>513</v>
      </c>
      <c r="C238">
        <v>4</v>
      </c>
      <c r="D238">
        <v>53800</v>
      </c>
      <c r="E238" t="s">
        <v>66</v>
      </c>
      <c r="F238">
        <v>59</v>
      </c>
      <c r="G238">
        <v>7.8</v>
      </c>
      <c r="H238">
        <v>8200</v>
      </c>
      <c r="I238">
        <v>0.77404401719594151</v>
      </c>
      <c r="J238">
        <v>0</v>
      </c>
    </row>
    <row r="239" spans="1:10" x14ac:dyDescent="0.3">
      <c r="A239" t="s">
        <v>347</v>
      </c>
      <c r="B239" t="s">
        <v>513</v>
      </c>
      <c r="C239">
        <v>5</v>
      </c>
      <c r="D239">
        <v>79000</v>
      </c>
      <c r="E239" t="s">
        <v>66</v>
      </c>
      <c r="F239">
        <v>37</v>
      </c>
      <c r="G239">
        <v>1.9</v>
      </c>
      <c r="H239">
        <v>700</v>
      </c>
      <c r="I239">
        <v>0.69120933715942445</v>
      </c>
      <c r="J239">
        <v>0</v>
      </c>
    </row>
    <row r="240" spans="1:10" x14ac:dyDescent="0.3">
      <c r="A240" t="s">
        <v>348</v>
      </c>
      <c r="B240" t="s">
        <v>62</v>
      </c>
      <c r="C240">
        <v>6</v>
      </c>
      <c r="D240">
        <v>40200</v>
      </c>
      <c r="E240" t="s">
        <v>69</v>
      </c>
      <c r="F240">
        <v>50</v>
      </c>
      <c r="G240">
        <v>2.5</v>
      </c>
      <c r="H240">
        <v>1200</v>
      </c>
      <c r="I240">
        <v>0.28570149824219337</v>
      </c>
      <c r="J240">
        <v>0</v>
      </c>
    </row>
    <row r="241" spans="1:10" x14ac:dyDescent="0.3">
      <c r="A241" t="s">
        <v>349</v>
      </c>
      <c r="B241" t="s">
        <v>513</v>
      </c>
      <c r="C241">
        <v>3</v>
      </c>
      <c r="D241">
        <v>19400</v>
      </c>
      <c r="E241" t="s">
        <v>69</v>
      </c>
      <c r="F241">
        <v>48</v>
      </c>
      <c r="G241">
        <v>3.3</v>
      </c>
      <c r="H241">
        <v>5900</v>
      </c>
      <c r="I241">
        <v>0.84834616051556855</v>
      </c>
      <c r="J241">
        <v>0</v>
      </c>
    </row>
    <row r="242" spans="1:10" x14ac:dyDescent="0.3">
      <c r="A242" t="s">
        <v>350</v>
      </c>
      <c r="B242" t="s">
        <v>65</v>
      </c>
      <c r="C242">
        <v>8</v>
      </c>
      <c r="D242">
        <v>29200</v>
      </c>
      <c r="E242" t="s">
        <v>67</v>
      </c>
      <c r="F242">
        <v>66</v>
      </c>
      <c r="G242">
        <v>4.4000000000000004</v>
      </c>
      <c r="H242">
        <v>5800</v>
      </c>
      <c r="I242">
        <v>0.31277484509487918</v>
      </c>
      <c r="J242">
        <v>0</v>
      </c>
    </row>
    <row r="243" spans="1:10" x14ac:dyDescent="0.3">
      <c r="A243" t="s">
        <v>351</v>
      </c>
      <c r="B243" t="s">
        <v>65</v>
      </c>
      <c r="C243">
        <v>5</v>
      </c>
      <c r="D243">
        <v>26600</v>
      </c>
      <c r="E243" t="s">
        <v>67</v>
      </c>
      <c r="F243">
        <v>46</v>
      </c>
      <c r="G243">
        <v>10.3</v>
      </c>
      <c r="H243">
        <v>3500</v>
      </c>
      <c r="I243">
        <v>0.10744956814184736</v>
      </c>
      <c r="J243">
        <v>0</v>
      </c>
    </row>
    <row r="244" spans="1:10" x14ac:dyDescent="0.3">
      <c r="A244" t="s">
        <v>352</v>
      </c>
      <c r="B244" t="s">
        <v>62</v>
      </c>
      <c r="C244">
        <v>4</v>
      </c>
      <c r="D244">
        <v>25200</v>
      </c>
      <c r="E244" t="s">
        <v>68</v>
      </c>
      <c r="F244">
        <v>24</v>
      </c>
      <c r="G244">
        <v>6</v>
      </c>
      <c r="H244">
        <v>5500</v>
      </c>
      <c r="I244">
        <v>0.316481013893404</v>
      </c>
      <c r="J244">
        <v>0</v>
      </c>
    </row>
    <row r="245" spans="1:10" x14ac:dyDescent="0.3">
      <c r="A245" t="s">
        <v>353</v>
      </c>
      <c r="B245" t="s">
        <v>65</v>
      </c>
      <c r="C245">
        <v>4</v>
      </c>
      <c r="D245">
        <v>51000</v>
      </c>
      <c r="E245" t="s">
        <v>69</v>
      </c>
      <c r="F245">
        <v>33</v>
      </c>
      <c r="G245">
        <v>9.1</v>
      </c>
      <c r="H245">
        <v>9000</v>
      </c>
      <c r="I245">
        <v>0.51491043324816532</v>
      </c>
      <c r="J245">
        <v>0</v>
      </c>
    </row>
    <row r="246" spans="1:10" x14ac:dyDescent="0.3">
      <c r="A246" t="s">
        <v>354</v>
      </c>
      <c r="B246" t="s">
        <v>513</v>
      </c>
      <c r="C246">
        <v>7</v>
      </c>
      <c r="D246">
        <v>44100</v>
      </c>
      <c r="E246" t="s">
        <v>68</v>
      </c>
      <c r="F246">
        <v>44</v>
      </c>
      <c r="G246">
        <v>4</v>
      </c>
      <c r="H246">
        <v>5300</v>
      </c>
      <c r="I246">
        <v>0.78538461115456337</v>
      </c>
      <c r="J246">
        <v>0</v>
      </c>
    </row>
    <row r="247" spans="1:10" x14ac:dyDescent="0.3">
      <c r="A247" t="s">
        <v>355</v>
      </c>
      <c r="B247" t="s">
        <v>65</v>
      </c>
      <c r="C247">
        <v>4</v>
      </c>
      <c r="D247">
        <v>75800</v>
      </c>
      <c r="E247" t="s">
        <v>69</v>
      </c>
      <c r="F247">
        <v>24</v>
      </c>
      <c r="G247">
        <v>9.3000000000000007</v>
      </c>
      <c r="H247">
        <v>6400</v>
      </c>
      <c r="I247">
        <v>0.59451685069128535</v>
      </c>
      <c r="J247">
        <v>0</v>
      </c>
    </row>
    <row r="248" spans="1:10" x14ac:dyDescent="0.3">
      <c r="A248" t="s">
        <v>356</v>
      </c>
      <c r="B248" t="s">
        <v>513</v>
      </c>
      <c r="C248">
        <v>2</v>
      </c>
      <c r="D248">
        <v>15500</v>
      </c>
      <c r="E248" t="s">
        <v>67</v>
      </c>
      <c r="F248">
        <v>109</v>
      </c>
      <c r="G248">
        <v>6.8</v>
      </c>
      <c r="H248">
        <v>13100</v>
      </c>
      <c r="I248">
        <v>1.440397582382591E-2</v>
      </c>
      <c r="J248">
        <v>0</v>
      </c>
    </row>
    <row r="249" spans="1:10" x14ac:dyDescent="0.3">
      <c r="A249" t="s">
        <v>357</v>
      </c>
      <c r="B249" t="s">
        <v>64</v>
      </c>
      <c r="C249">
        <v>3</v>
      </c>
      <c r="D249">
        <v>47900</v>
      </c>
      <c r="E249" t="s">
        <v>69</v>
      </c>
      <c r="F249">
        <v>57</v>
      </c>
      <c r="G249">
        <v>10.7</v>
      </c>
      <c r="H249">
        <v>0</v>
      </c>
      <c r="I249">
        <v>0.88626332531801899</v>
      </c>
      <c r="J249">
        <v>0</v>
      </c>
    </row>
    <row r="250" spans="1:10" x14ac:dyDescent="0.3">
      <c r="A250" t="s">
        <v>358</v>
      </c>
      <c r="B250" t="s">
        <v>64</v>
      </c>
      <c r="C250">
        <v>6</v>
      </c>
      <c r="D250">
        <v>150000</v>
      </c>
      <c r="E250" t="s">
        <v>66</v>
      </c>
      <c r="F250">
        <v>22</v>
      </c>
      <c r="G250">
        <v>11.3</v>
      </c>
      <c r="H250">
        <v>7800</v>
      </c>
      <c r="I250">
        <v>0.92887520552523295</v>
      </c>
      <c r="J250">
        <v>0</v>
      </c>
    </row>
    <row r="251" spans="1:10" x14ac:dyDescent="0.3">
      <c r="A251" t="s">
        <v>359</v>
      </c>
      <c r="B251" t="s">
        <v>64</v>
      </c>
      <c r="C251">
        <v>6</v>
      </c>
      <c r="D251">
        <v>28400</v>
      </c>
      <c r="E251" t="s">
        <v>66</v>
      </c>
      <c r="F251">
        <v>36</v>
      </c>
      <c r="G251">
        <v>11.1</v>
      </c>
      <c r="H251">
        <v>3700</v>
      </c>
      <c r="I251">
        <v>0.64302623194653374</v>
      </c>
      <c r="J251">
        <v>0</v>
      </c>
    </row>
    <row r="252" spans="1:10" x14ac:dyDescent="0.3">
      <c r="A252" t="s">
        <v>360</v>
      </c>
      <c r="B252" t="s">
        <v>513</v>
      </c>
      <c r="C252">
        <v>7</v>
      </c>
      <c r="D252">
        <v>39300</v>
      </c>
      <c r="E252" t="s">
        <v>68</v>
      </c>
      <c r="F252">
        <v>40</v>
      </c>
      <c r="G252">
        <v>4</v>
      </c>
      <c r="H252">
        <v>4800</v>
      </c>
      <c r="I252">
        <v>0.36343263956341698</v>
      </c>
      <c r="J252">
        <v>0</v>
      </c>
    </row>
    <row r="253" spans="1:10" x14ac:dyDescent="0.3">
      <c r="A253" t="s">
        <v>361</v>
      </c>
      <c r="B253" t="s">
        <v>64</v>
      </c>
      <c r="C253">
        <v>9</v>
      </c>
      <c r="D253">
        <v>27900</v>
      </c>
      <c r="E253" t="s">
        <v>68</v>
      </c>
      <c r="F253">
        <v>74</v>
      </c>
      <c r="G253">
        <v>8.4</v>
      </c>
      <c r="H253">
        <v>0</v>
      </c>
      <c r="I253">
        <v>0.20376141080676857</v>
      </c>
      <c r="J253">
        <v>0</v>
      </c>
    </row>
    <row r="254" spans="1:10" x14ac:dyDescent="0.3">
      <c r="A254" t="s">
        <v>362</v>
      </c>
      <c r="B254" t="s">
        <v>513</v>
      </c>
      <c r="C254">
        <v>7</v>
      </c>
      <c r="D254">
        <v>29600</v>
      </c>
      <c r="E254" t="s">
        <v>67</v>
      </c>
      <c r="F254">
        <v>79</v>
      </c>
      <c r="G254">
        <v>2.5</v>
      </c>
      <c r="H254">
        <v>8200</v>
      </c>
      <c r="I254">
        <v>0.2057375243880154</v>
      </c>
      <c r="J254">
        <v>0</v>
      </c>
    </row>
    <row r="255" spans="1:10" x14ac:dyDescent="0.3">
      <c r="A255" t="s">
        <v>363</v>
      </c>
      <c r="B255" t="s">
        <v>62</v>
      </c>
      <c r="C255">
        <v>4</v>
      </c>
      <c r="D255">
        <v>26200</v>
      </c>
      <c r="E255" t="s">
        <v>68</v>
      </c>
      <c r="F255">
        <v>68</v>
      </c>
      <c r="G255">
        <v>3</v>
      </c>
      <c r="H255">
        <v>7400</v>
      </c>
      <c r="I255">
        <v>0.11240332535899911</v>
      </c>
      <c r="J255">
        <v>0</v>
      </c>
    </row>
    <row r="256" spans="1:10" x14ac:dyDescent="0.3">
      <c r="A256" t="s">
        <v>364</v>
      </c>
      <c r="B256" t="s">
        <v>65</v>
      </c>
      <c r="C256">
        <v>9</v>
      </c>
      <c r="D256">
        <v>39100</v>
      </c>
      <c r="E256" t="s">
        <v>67</v>
      </c>
      <c r="F256">
        <v>114</v>
      </c>
      <c r="G256">
        <v>4.7</v>
      </c>
      <c r="H256">
        <v>11100</v>
      </c>
      <c r="I256">
        <v>0.21637738373810644</v>
      </c>
      <c r="J256">
        <v>0</v>
      </c>
    </row>
    <row r="257" spans="1:10" x14ac:dyDescent="0.3">
      <c r="A257" t="s">
        <v>365</v>
      </c>
      <c r="B257" t="s">
        <v>65</v>
      </c>
      <c r="C257">
        <v>4</v>
      </c>
      <c r="D257">
        <v>34400</v>
      </c>
      <c r="E257" t="s">
        <v>67</v>
      </c>
      <c r="F257">
        <v>53</v>
      </c>
      <c r="G257">
        <v>3.5</v>
      </c>
      <c r="H257">
        <v>7900</v>
      </c>
      <c r="I257">
        <v>0.25149991418831386</v>
      </c>
      <c r="J257">
        <v>0</v>
      </c>
    </row>
    <row r="258" spans="1:10" x14ac:dyDescent="0.3">
      <c r="A258" t="s">
        <v>366</v>
      </c>
      <c r="B258" t="s">
        <v>62</v>
      </c>
      <c r="C258">
        <v>3</v>
      </c>
      <c r="D258">
        <v>51000</v>
      </c>
      <c r="E258" t="s">
        <v>68</v>
      </c>
      <c r="F258">
        <v>43</v>
      </c>
      <c r="G258">
        <v>9.5</v>
      </c>
      <c r="H258">
        <v>2400</v>
      </c>
      <c r="I258">
        <v>0.41167810712692854</v>
      </c>
      <c r="J258">
        <v>0</v>
      </c>
    </row>
    <row r="259" spans="1:10" x14ac:dyDescent="0.3">
      <c r="A259" t="s">
        <v>367</v>
      </c>
      <c r="B259" t="s">
        <v>513</v>
      </c>
      <c r="C259">
        <v>7</v>
      </c>
      <c r="D259">
        <v>38600</v>
      </c>
      <c r="E259" t="s">
        <v>66</v>
      </c>
      <c r="F259">
        <v>33</v>
      </c>
      <c r="G259">
        <v>12.6</v>
      </c>
      <c r="H259">
        <v>7500</v>
      </c>
      <c r="I259">
        <v>0.45557433783532364</v>
      </c>
      <c r="J259">
        <v>0</v>
      </c>
    </row>
    <row r="260" spans="1:10" x14ac:dyDescent="0.3">
      <c r="A260" t="s">
        <v>368</v>
      </c>
      <c r="B260" t="s">
        <v>62</v>
      </c>
      <c r="C260">
        <v>6</v>
      </c>
      <c r="D260">
        <v>65800</v>
      </c>
      <c r="E260" t="s">
        <v>69</v>
      </c>
      <c r="F260">
        <v>58</v>
      </c>
      <c r="G260">
        <v>3.8</v>
      </c>
      <c r="H260">
        <v>4700</v>
      </c>
      <c r="I260">
        <v>0.83334548065720082</v>
      </c>
      <c r="J260">
        <v>0</v>
      </c>
    </row>
    <row r="261" spans="1:10" x14ac:dyDescent="0.3">
      <c r="A261" t="s">
        <v>369</v>
      </c>
      <c r="B261" t="s">
        <v>62</v>
      </c>
      <c r="C261">
        <v>5</v>
      </c>
      <c r="D261">
        <v>64800</v>
      </c>
      <c r="E261" t="s">
        <v>67</v>
      </c>
      <c r="F261">
        <v>84</v>
      </c>
      <c r="G261">
        <v>2.9</v>
      </c>
      <c r="H261">
        <v>6100</v>
      </c>
      <c r="I261">
        <v>6.2411593938617171E-3</v>
      </c>
      <c r="J261">
        <v>0</v>
      </c>
    </row>
    <row r="262" spans="1:10" x14ac:dyDescent="0.3">
      <c r="A262" t="s">
        <v>370</v>
      </c>
      <c r="B262" t="s">
        <v>513</v>
      </c>
      <c r="C262">
        <v>9</v>
      </c>
      <c r="D262">
        <v>18400</v>
      </c>
      <c r="E262" t="s">
        <v>66</v>
      </c>
      <c r="F262">
        <v>46</v>
      </c>
      <c r="G262">
        <v>7.6</v>
      </c>
      <c r="H262">
        <v>14500</v>
      </c>
      <c r="I262">
        <v>0.85159719837054615</v>
      </c>
      <c r="J262">
        <v>0</v>
      </c>
    </row>
    <row r="263" spans="1:10" x14ac:dyDescent="0.3">
      <c r="A263" t="s">
        <v>371</v>
      </c>
      <c r="B263" t="s">
        <v>65</v>
      </c>
      <c r="C263">
        <v>7</v>
      </c>
      <c r="D263">
        <v>38600</v>
      </c>
      <c r="E263" t="s">
        <v>67</v>
      </c>
      <c r="F263">
        <v>62</v>
      </c>
      <c r="G263">
        <v>5.9</v>
      </c>
      <c r="H263">
        <v>3000</v>
      </c>
      <c r="I263">
        <v>0.90317763122351447</v>
      </c>
      <c r="J263">
        <v>0</v>
      </c>
    </row>
    <row r="264" spans="1:10" x14ac:dyDescent="0.3">
      <c r="A264" t="s">
        <v>372</v>
      </c>
      <c r="B264" t="s">
        <v>513</v>
      </c>
      <c r="C264">
        <v>8</v>
      </c>
      <c r="D264">
        <v>30700</v>
      </c>
      <c r="E264" t="s">
        <v>69</v>
      </c>
      <c r="F264">
        <v>34</v>
      </c>
      <c r="G264">
        <v>5.9</v>
      </c>
      <c r="H264">
        <v>7900</v>
      </c>
      <c r="I264">
        <v>0.59387807995540343</v>
      </c>
      <c r="J264">
        <v>0</v>
      </c>
    </row>
    <row r="265" spans="1:10" x14ac:dyDescent="0.3">
      <c r="A265" t="s">
        <v>373</v>
      </c>
      <c r="B265" t="s">
        <v>62</v>
      </c>
      <c r="C265">
        <v>3</v>
      </c>
      <c r="D265">
        <v>39700</v>
      </c>
      <c r="E265" t="s">
        <v>68</v>
      </c>
      <c r="F265">
        <v>37</v>
      </c>
      <c r="G265">
        <v>7.5</v>
      </c>
      <c r="H265">
        <v>7900</v>
      </c>
      <c r="I265">
        <v>0.56006531086991695</v>
      </c>
      <c r="J265">
        <v>0</v>
      </c>
    </row>
    <row r="266" spans="1:10" x14ac:dyDescent="0.3">
      <c r="A266" t="s">
        <v>374</v>
      </c>
      <c r="B266" t="s">
        <v>62</v>
      </c>
      <c r="C266">
        <v>6</v>
      </c>
      <c r="D266">
        <v>35000</v>
      </c>
      <c r="E266" t="s">
        <v>66</v>
      </c>
      <c r="F266">
        <v>17</v>
      </c>
      <c r="G266">
        <v>3.9</v>
      </c>
      <c r="H266">
        <v>7500</v>
      </c>
      <c r="I266">
        <v>0.94711729030498037</v>
      </c>
      <c r="J266">
        <v>0</v>
      </c>
    </row>
    <row r="267" spans="1:10" x14ac:dyDescent="0.3">
      <c r="A267" t="s">
        <v>375</v>
      </c>
      <c r="B267" t="s">
        <v>64</v>
      </c>
      <c r="C267">
        <v>2</v>
      </c>
      <c r="D267">
        <v>13200</v>
      </c>
      <c r="E267" t="s">
        <v>67</v>
      </c>
      <c r="F267">
        <v>64</v>
      </c>
      <c r="G267">
        <v>8</v>
      </c>
      <c r="H267">
        <v>5700</v>
      </c>
      <c r="I267">
        <v>0.57259392356881111</v>
      </c>
      <c r="J267">
        <v>0</v>
      </c>
    </row>
    <row r="268" spans="1:10" x14ac:dyDescent="0.3">
      <c r="A268" t="s">
        <v>376</v>
      </c>
      <c r="B268" t="s">
        <v>65</v>
      </c>
      <c r="C268">
        <v>8</v>
      </c>
      <c r="D268">
        <v>50400</v>
      </c>
      <c r="E268" t="s">
        <v>66</v>
      </c>
      <c r="F268">
        <v>45</v>
      </c>
      <c r="G268">
        <v>5.3</v>
      </c>
      <c r="H268">
        <v>4100</v>
      </c>
      <c r="I268">
        <v>0.7301246457916819</v>
      </c>
      <c r="J268">
        <v>0</v>
      </c>
    </row>
    <row r="269" spans="1:10" x14ac:dyDescent="0.3">
      <c r="A269" t="s">
        <v>377</v>
      </c>
      <c r="B269" t="s">
        <v>513</v>
      </c>
      <c r="C269">
        <v>7</v>
      </c>
      <c r="D269">
        <v>50300</v>
      </c>
      <c r="E269" t="s">
        <v>69</v>
      </c>
      <c r="F269">
        <v>25</v>
      </c>
      <c r="G269">
        <v>6.9</v>
      </c>
      <c r="H269">
        <v>3200</v>
      </c>
      <c r="I269">
        <v>0.76455536987382733</v>
      </c>
      <c r="J269">
        <v>0</v>
      </c>
    </row>
    <row r="270" spans="1:10" x14ac:dyDescent="0.3">
      <c r="A270" t="s">
        <v>378</v>
      </c>
      <c r="B270" t="s">
        <v>65</v>
      </c>
      <c r="C270">
        <v>7</v>
      </c>
      <c r="D270">
        <v>75300</v>
      </c>
      <c r="E270" t="s">
        <v>69</v>
      </c>
      <c r="F270">
        <v>33</v>
      </c>
      <c r="G270">
        <v>3.4</v>
      </c>
      <c r="H270">
        <v>6400</v>
      </c>
      <c r="I270">
        <v>0.10043337571130495</v>
      </c>
      <c r="J270">
        <v>0</v>
      </c>
    </row>
    <row r="271" spans="1:10" x14ac:dyDescent="0.3">
      <c r="A271" t="s">
        <v>379</v>
      </c>
      <c r="B271" t="s">
        <v>64</v>
      </c>
      <c r="C271">
        <v>4</v>
      </c>
      <c r="D271">
        <v>59900</v>
      </c>
      <c r="E271" t="s">
        <v>66</v>
      </c>
      <c r="F271">
        <v>37</v>
      </c>
      <c r="G271">
        <v>0.8</v>
      </c>
      <c r="H271">
        <v>8500</v>
      </c>
      <c r="I271">
        <v>0.68584624039794562</v>
      </c>
      <c r="J271">
        <v>0</v>
      </c>
    </row>
    <row r="272" spans="1:10" x14ac:dyDescent="0.3">
      <c r="A272" t="s">
        <v>380</v>
      </c>
      <c r="B272" t="s">
        <v>65</v>
      </c>
      <c r="C272">
        <v>6</v>
      </c>
      <c r="D272">
        <v>67500</v>
      </c>
      <c r="E272" t="s">
        <v>68</v>
      </c>
      <c r="F272">
        <v>56</v>
      </c>
      <c r="G272">
        <v>12.3</v>
      </c>
      <c r="H272">
        <v>4900</v>
      </c>
      <c r="I272">
        <v>0.68032444595672403</v>
      </c>
      <c r="J272">
        <v>0</v>
      </c>
    </row>
    <row r="273" spans="1:10" x14ac:dyDescent="0.3">
      <c r="A273" t="s">
        <v>381</v>
      </c>
      <c r="B273" t="s">
        <v>62</v>
      </c>
      <c r="C273">
        <v>10</v>
      </c>
      <c r="D273">
        <v>25000</v>
      </c>
      <c r="E273" t="s">
        <v>68</v>
      </c>
      <c r="F273">
        <v>34</v>
      </c>
      <c r="G273">
        <v>6.9</v>
      </c>
      <c r="H273">
        <v>3600</v>
      </c>
      <c r="I273">
        <v>0.32133909409980566</v>
      </c>
      <c r="J273">
        <v>0</v>
      </c>
    </row>
    <row r="274" spans="1:10" x14ac:dyDescent="0.3">
      <c r="A274" t="s">
        <v>382</v>
      </c>
      <c r="B274" t="s">
        <v>513</v>
      </c>
      <c r="C274">
        <v>7</v>
      </c>
      <c r="D274">
        <v>38700</v>
      </c>
      <c r="E274" t="s">
        <v>67</v>
      </c>
      <c r="F274">
        <v>114</v>
      </c>
      <c r="G274">
        <v>12.9</v>
      </c>
      <c r="H274">
        <v>5600</v>
      </c>
      <c r="I274">
        <v>0.58518340826337256</v>
      </c>
      <c r="J274">
        <v>0</v>
      </c>
    </row>
    <row r="275" spans="1:10" x14ac:dyDescent="0.3">
      <c r="A275" t="s">
        <v>383</v>
      </c>
      <c r="B275" t="s">
        <v>65</v>
      </c>
      <c r="C275">
        <v>3</v>
      </c>
      <c r="D275">
        <v>77600</v>
      </c>
      <c r="E275" t="s">
        <v>69</v>
      </c>
      <c r="F275">
        <v>32</v>
      </c>
      <c r="G275">
        <v>5.5</v>
      </c>
      <c r="H275">
        <v>3800</v>
      </c>
      <c r="I275">
        <v>0.1465217727789454</v>
      </c>
      <c r="J275">
        <v>0</v>
      </c>
    </row>
    <row r="276" spans="1:10" x14ac:dyDescent="0.3">
      <c r="A276" t="s">
        <v>384</v>
      </c>
      <c r="B276" t="s">
        <v>64</v>
      </c>
      <c r="C276">
        <v>9</v>
      </c>
      <c r="D276">
        <v>34500</v>
      </c>
      <c r="E276" t="s">
        <v>69</v>
      </c>
      <c r="F276">
        <v>56</v>
      </c>
      <c r="G276">
        <v>11</v>
      </c>
      <c r="H276">
        <v>5600</v>
      </c>
      <c r="I276">
        <v>0.51381092469001832</v>
      </c>
      <c r="J276">
        <v>0</v>
      </c>
    </row>
    <row r="277" spans="1:10" x14ac:dyDescent="0.3">
      <c r="A277" t="s">
        <v>385</v>
      </c>
      <c r="B277" t="s">
        <v>65</v>
      </c>
      <c r="C277">
        <v>7</v>
      </c>
      <c r="D277">
        <v>28200</v>
      </c>
      <c r="E277" t="s">
        <v>67</v>
      </c>
      <c r="F277">
        <v>79</v>
      </c>
      <c r="G277">
        <v>7.4</v>
      </c>
      <c r="H277">
        <v>12100</v>
      </c>
      <c r="I277">
        <v>0.32727632086017422</v>
      </c>
      <c r="J277">
        <v>0</v>
      </c>
    </row>
    <row r="278" spans="1:10" x14ac:dyDescent="0.3">
      <c r="A278" t="s">
        <v>386</v>
      </c>
      <c r="B278" t="s">
        <v>65</v>
      </c>
      <c r="C278">
        <v>7</v>
      </c>
      <c r="D278">
        <v>16500</v>
      </c>
      <c r="E278" t="s">
        <v>69</v>
      </c>
      <c r="F278">
        <v>52</v>
      </c>
      <c r="G278">
        <v>9.1</v>
      </c>
      <c r="H278">
        <v>2100</v>
      </c>
      <c r="I278">
        <v>0.53271498947163698</v>
      </c>
      <c r="J278">
        <v>0</v>
      </c>
    </row>
    <row r="279" spans="1:10" x14ac:dyDescent="0.3">
      <c r="A279" t="s">
        <v>387</v>
      </c>
      <c r="B279" t="s">
        <v>62</v>
      </c>
      <c r="C279">
        <v>3</v>
      </c>
      <c r="D279">
        <v>41500</v>
      </c>
      <c r="E279" t="s">
        <v>66</v>
      </c>
      <c r="F279">
        <v>65</v>
      </c>
      <c r="G279">
        <v>8.6</v>
      </c>
      <c r="H279">
        <v>11000</v>
      </c>
      <c r="I279">
        <v>0.70929156565861373</v>
      </c>
      <c r="J279">
        <v>0</v>
      </c>
    </row>
    <row r="280" spans="1:10" x14ac:dyDescent="0.3">
      <c r="A280" t="s">
        <v>388</v>
      </c>
      <c r="B280" t="s">
        <v>513</v>
      </c>
      <c r="C280">
        <v>3</v>
      </c>
      <c r="D280">
        <v>29100</v>
      </c>
      <c r="E280" t="s">
        <v>67</v>
      </c>
      <c r="F280">
        <v>90</v>
      </c>
      <c r="G280">
        <v>15</v>
      </c>
      <c r="H280">
        <v>10800</v>
      </c>
      <c r="I280">
        <v>0.36574389135474428</v>
      </c>
      <c r="J280">
        <v>0</v>
      </c>
    </row>
    <row r="281" spans="1:10" x14ac:dyDescent="0.3">
      <c r="A281" t="s">
        <v>389</v>
      </c>
      <c r="B281" t="s">
        <v>64</v>
      </c>
      <c r="C281">
        <v>5</v>
      </c>
      <c r="D281">
        <v>23700</v>
      </c>
      <c r="E281" t="s">
        <v>68</v>
      </c>
      <c r="F281">
        <v>66</v>
      </c>
      <c r="G281">
        <v>7.4</v>
      </c>
      <c r="H281">
        <v>4700</v>
      </c>
      <c r="I281">
        <v>0.64446794856106948</v>
      </c>
      <c r="J281">
        <v>0</v>
      </c>
    </row>
    <row r="282" spans="1:10" x14ac:dyDescent="0.3">
      <c r="A282" t="s">
        <v>390</v>
      </c>
      <c r="B282" t="s">
        <v>62</v>
      </c>
      <c r="C282">
        <v>3</v>
      </c>
      <c r="D282">
        <v>87300</v>
      </c>
      <c r="E282" t="s">
        <v>66</v>
      </c>
      <c r="F282">
        <v>61</v>
      </c>
      <c r="G282">
        <v>0.3</v>
      </c>
      <c r="H282">
        <v>10600</v>
      </c>
      <c r="I282">
        <v>0.87755811177219811</v>
      </c>
      <c r="J282">
        <v>0</v>
      </c>
    </row>
    <row r="283" spans="1:10" x14ac:dyDescent="0.3">
      <c r="A283" t="s">
        <v>391</v>
      </c>
      <c r="B283" t="s">
        <v>64</v>
      </c>
      <c r="C283">
        <v>10</v>
      </c>
      <c r="D283">
        <v>23900</v>
      </c>
      <c r="E283" t="s">
        <v>67</v>
      </c>
      <c r="F283">
        <v>86</v>
      </c>
      <c r="G283">
        <v>4.7</v>
      </c>
      <c r="H283">
        <v>1800</v>
      </c>
      <c r="I283">
        <v>0.24422322061750634</v>
      </c>
      <c r="J283">
        <v>0</v>
      </c>
    </row>
    <row r="284" spans="1:10" x14ac:dyDescent="0.3">
      <c r="A284" t="s">
        <v>392</v>
      </c>
      <c r="B284" t="s">
        <v>65</v>
      </c>
      <c r="C284">
        <v>5</v>
      </c>
      <c r="D284">
        <v>12000</v>
      </c>
      <c r="E284" t="s">
        <v>66</v>
      </c>
      <c r="F284">
        <v>55</v>
      </c>
      <c r="G284">
        <v>10</v>
      </c>
      <c r="H284">
        <v>8300</v>
      </c>
      <c r="I284">
        <v>0.58848911179897445</v>
      </c>
      <c r="J284">
        <v>0</v>
      </c>
    </row>
    <row r="285" spans="1:10" x14ac:dyDescent="0.3">
      <c r="A285" t="s">
        <v>393</v>
      </c>
      <c r="B285" t="s">
        <v>65</v>
      </c>
      <c r="C285">
        <v>2</v>
      </c>
      <c r="D285">
        <v>30300</v>
      </c>
      <c r="E285" t="s">
        <v>67</v>
      </c>
      <c r="F285">
        <v>90</v>
      </c>
      <c r="G285">
        <v>4</v>
      </c>
      <c r="H285">
        <v>7200</v>
      </c>
      <c r="I285">
        <v>0.7337122196847996</v>
      </c>
      <c r="J285">
        <v>0</v>
      </c>
    </row>
    <row r="286" spans="1:10" x14ac:dyDescent="0.3">
      <c r="A286" t="s">
        <v>394</v>
      </c>
      <c r="B286" t="s">
        <v>62</v>
      </c>
      <c r="C286">
        <v>5</v>
      </c>
      <c r="D286">
        <v>12500</v>
      </c>
      <c r="E286" t="s">
        <v>68</v>
      </c>
      <c r="F286">
        <v>48</v>
      </c>
      <c r="G286">
        <v>0.5</v>
      </c>
      <c r="H286">
        <v>5800</v>
      </c>
      <c r="I286">
        <v>0.46349360833917386</v>
      </c>
      <c r="J286">
        <v>0</v>
      </c>
    </row>
    <row r="287" spans="1:10" x14ac:dyDescent="0.3">
      <c r="A287" t="s">
        <v>395</v>
      </c>
      <c r="B287" t="s">
        <v>65</v>
      </c>
      <c r="C287">
        <v>5</v>
      </c>
      <c r="D287">
        <v>53500</v>
      </c>
      <c r="E287" t="s">
        <v>69</v>
      </c>
      <c r="F287">
        <v>20</v>
      </c>
      <c r="G287">
        <v>11.4</v>
      </c>
      <c r="H287">
        <v>10900</v>
      </c>
      <c r="I287">
        <v>9.7433908014747828E-2</v>
      </c>
      <c r="J287">
        <v>0</v>
      </c>
    </row>
    <row r="288" spans="1:10" x14ac:dyDescent="0.3">
      <c r="A288" t="s">
        <v>396</v>
      </c>
      <c r="B288" t="s">
        <v>513</v>
      </c>
      <c r="C288">
        <v>9</v>
      </c>
      <c r="D288">
        <v>134200</v>
      </c>
      <c r="E288" t="s">
        <v>67</v>
      </c>
      <c r="F288">
        <v>105</v>
      </c>
      <c r="G288">
        <v>6.5</v>
      </c>
      <c r="H288">
        <v>9100</v>
      </c>
      <c r="I288">
        <v>0.23110595285161184</v>
      </c>
      <c r="J288">
        <v>0</v>
      </c>
    </row>
    <row r="289" spans="1:10" x14ac:dyDescent="0.3">
      <c r="A289" t="s">
        <v>397</v>
      </c>
      <c r="B289" t="s">
        <v>513</v>
      </c>
      <c r="C289">
        <v>5</v>
      </c>
      <c r="D289">
        <v>39000</v>
      </c>
      <c r="E289" t="s">
        <v>69</v>
      </c>
      <c r="F289">
        <v>53</v>
      </c>
      <c r="G289">
        <v>6.6</v>
      </c>
      <c r="H289">
        <v>5900</v>
      </c>
      <c r="I289">
        <v>6.600973319893666E-2</v>
      </c>
      <c r="J289">
        <v>0</v>
      </c>
    </row>
    <row r="290" spans="1:10" x14ac:dyDescent="0.3">
      <c r="A290" t="s">
        <v>398</v>
      </c>
      <c r="B290" t="s">
        <v>513</v>
      </c>
      <c r="C290">
        <v>3</v>
      </c>
      <c r="D290">
        <v>37400</v>
      </c>
      <c r="E290" t="s">
        <v>67</v>
      </c>
      <c r="F290">
        <v>67</v>
      </c>
      <c r="G290">
        <v>12.7</v>
      </c>
      <c r="H290">
        <v>0</v>
      </c>
      <c r="I290">
        <v>0.99100770129169269</v>
      </c>
      <c r="J290">
        <v>0</v>
      </c>
    </row>
    <row r="291" spans="1:10" x14ac:dyDescent="0.3">
      <c r="A291" t="s">
        <v>399</v>
      </c>
      <c r="B291" t="s">
        <v>64</v>
      </c>
      <c r="C291">
        <v>6</v>
      </c>
      <c r="D291">
        <v>22900</v>
      </c>
      <c r="E291" t="s">
        <v>68</v>
      </c>
      <c r="F291">
        <v>61</v>
      </c>
      <c r="G291">
        <v>7.2</v>
      </c>
      <c r="H291">
        <v>5600</v>
      </c>
      <c r="I291">
        <v>7.822942585063275E-2</v>
      </c>
      <c r="J291">
        <v>0</v>
      </c>
    </row>
    <row r="292" spans="1:10" x14ac:dyDescent="0.3">
      <c r="A292" t="s">
        <v>400</v>
      </c>
      <c r="B292" t="s">
        <v>64</v>
      </c>
      <c r="C292">
        <v>6</v>
      </c>
      <c r="D292">
        <v>33000</v>
      </c>
      <c r="E292" t="s">
        <v>69</v>
      </c>
      <c r="F292">
        <v>27</v>
      </c>
      <c r="G292">
        <v>2</v>
      </c>
      <c r="H292">
        <v>7200</v>
      </c>
      <c r="I292">
        <v>0.28548285889780844</v>
      </c>
      <c r="J292">
        <v>0</v>
      </c>
    </row>
    <row r="293" spans="1:10" x14ac:dyDescent="0.3">
      <c r="A293" t="s">
        <v>401</v>
      </c>
      <c r="B293" t="s">
        <v>513</v>
      </c>
      <c r="C293">
        <v>2</v>
      </c>
      <c r="D293">
        <v>33000</v>
      </c>
      <c r="E293" t="s">
        <v>67</v>
      </c>
      <c r="F293">
        <v>97</v>
      </c>
      <c r="G293">
        <v>11.6</v>
      </c>
      <c r="H293">
        <v>4600</v>
      </c>
      <c r="I293">
        <v>8.2311614103127817E-2</v>
      </c>
      <c r="J293">
        <v>0</v>
      </c>
    </row>
    <row r="294" spans="1:10" x14ac:dyDescent="0.3">
      <c r="A294" t="s">
        <v>402</v>
      </c>
      <c r="B294" t="s">
        <v>513</v>
      </c>
      <c r="C294">
        <v>8</v>
      </c>
      <c r="D294">
        <v>70100</v>
      </c>
      <c r="E294" t="s">
        <v>66</v>
      </c>
      <c r="F294">
        <v>22</v>
      </c>
      <c r="G294">
        <v>3.2</v>
      </c>
      <c r="H294">
        <v>4500</v>
      </c>
      <c r="I294">
        <v>0.54906463468945921</v>
      </c>
      <c r="J294">
        <v>0</v>
      </c>
    </row>
    <row r="295" spans="1:10" x14ac:dyDescent="0.3">
      <c r="A295" t="s">
        <v>403</v>
      </c>
      <c r="B295" t="s">
        <v>64</v>
      </c>
      <c r="C295">
        <v>3</v>
      </c>
      <c r="D295">
        <v>12800</v>
      </c>
      <c r="E295" t="s">
        <v>66</v>
      </c>
      <c r="F295">
        <v>58</v>
      </c>
      <c r="G295">
        <v>1</v>
      </c>
      <c r="H295">
        <v>2800</v>
      </c>
      <c r="I295">
        <v>0.71827343551077205</v>
      </c>
      <c r="J295">
        <v>0</v>
      </c>
    </row>
    <row r="296" spans="1:10" x14ac:dyDescent="0.3">
      <c r="A296" t="s">
        <v>404</v>
      </c>
      <c r="B296" t="s">
        <v>64</v>
      </c>
      <c r="C296">
        <v>4</v>
      </c>
      <c r="D296">
        <v>56300</v>
      </c>
      <c r="E296" t="s">
        <v>66</v>
      </c>
      <c r="F296">
        <v>59</v>
      </c>
      <c r="G296">
        <v>2.4</v>
      </c>
      <c r="H296">
        <v>9800</v>
      </c>
      <c r="I296">
        <v>0.73690005594157115</v>
      </c>
      <c r="J296">
        <v>0</v>
      </c>
    </row>
    <row r="297" spans="1:10" x14ac:dyDescent="0.3">
      <c r="A297" t="s">
        <v>405</v>
      </c>
      <c r="B297" t="s">
        <v>64</v>
      </c>
      <c r="C297">
        <v>5</v>
      </c>
      <c r="D297">
        <v>24800</v>
      </c>
      <c r="E297" t="s">
        <v>67</v>
      </c>
      <c r="F297">
        <v>46</v>
      </c>
      <c r="G297">
        <v>11.8</v>
      </c>
      <c r="H297">
        <v>6200</v>
      </c>
      <c r="I297">
        <v>0.83598227775915668</v>
      </c>
      <c r="J297">
        <v>0</v>
      </c>
    </row>
    <row r="298" spans="1:10" x14ac:dyDescent="0.3">
      <c r="A298" t="s">
        <v>406</v>
      </c>
      <c r="B298" t="s">
        <v>62</v>
      </c>
      <c r="C298">
        <v>7</v>
      </c>
      <c r="D298">
        <v>20000</v>
      </c>
      <c r="E298" t="s">
        <v>66</v>
      </c>
      <c r="F298">
        <v>57</v>
      </c>
      <c r="G298">
        <v>0.2</v>
      </c>
      <c r="H298">
        <v>3400</v>
      </c>
      <c r="I298">
        <v>0.50724640370638541</v>
      </c>
      <c r="J298">
        <v>0</v>
      </c>
    </row>
    <row r="299" spans="1:10" x14ac:dyDescent="0.3">
      <c r="A299" t="s">
        <v>407</v>
      </c>
      <c r="B299" t="s">
        <v>513</v>
      </c>
      <c r="C299">
        <v>4</v>
      </c>
      <c r="D299">
        <v>38000</v>
      </c>
      <c r="E299" t="s">
        <v>66</v>
      </c>
      <c r="F299">
        <v>55</v>
      </c>
      <c r="G299">
        <v>0.8</v>
      </c>
      <c r="H299">
        <v>0</v>
      </c>
      <c r="I299">
        <v>0.52359823487660084</v>
      </c>
      <c r="J299">
        <v>0</v>
      </c>
    </row>
    <row r="300" spans="1:10" x14ac:dyDescent="0.3">
      <c r="A300" t="s">
        <v>408</v>
      </c>
      <c r="B300" t="s">
        <v>62</v>
      </c>
      <c r="C300">
        <v>6</v>
      </c>
      <c r="D300">
        <v>43800</v>
      </c>
      <c r="E300" t="s">
        <v>69</v>
      </c>
      <c r="F300">
        <v>48</v>
      </c>
      <c r="G300">
        <v>5.7</v>
      </c>
      <c r="H300">
        <v>8900</v>
      </c>
      <c r="I300">
        <v>6.6224063096140484E-2</v>
      </c>
      <c r="J300">
        <v>0</v>
      </c>
    </row>
    <row r="301" spans="1:10" x14ac:dyDescent="0.3">
      <c r="A301" t="s">
        <v>409</v>
      </c>
      <c r="B301" t="s">
        <v>64</v>
      </c>
      <c r="C301">
        <v>1</v>
      </c>
      <c r="D301">
        <v>28400</v>
      </c>
      <c r="E301" t="s">
        <v>67</v>
      </c>
      <c r="F301">
        <v>91</v>
      </c>
      <c r="G301">
        <v>5.9</v>
      </c>
      <c r="H301">
        <v>0</v>
      </c>
      <c r="I301">
        <v>0.38349300100251871</v>
      </c>
      <c r="J301">
        <v>0</v>
      </c>
    </row>
    <row r="302" spans="1:10" x14ac:dyDescent="0.3">
      <c r="A302" t="s">
        <v>410</v>
      </c>
      <c r="B302" t="s">
        <v>65</v>
      </c>
      <c r="C302">
        <v>8</v>
      </c>
      <c r="D302">
        <v>28300</v>
      </c>
      <c r="E302" t="s">
        <v>66</v>
      </c>
      <c r="F302">
        <v>32</v>
      </c>
      <c r="G302">
        <v>11.7</v>
      </c>
      <c r="H302">
        <v>7600</v>
      </c>
      <c r="I302">
        <v>0.12045790224330455</v>
      </c>
      <c r="J302">
        <v>0</v>
      </c>
    </row>
    <row r="303" spans="1:10" x14ac:dyDescent="0.3">
      <c r="A303" t="s">
        <v>411</v>
      </c>
      <c r="B303" t="s">
        <v>64</v>
      </c>
      <c r="C303">
        <v>5</v>
      </c>
      <c r="D303">
        <v>55800</v>
      </c>
      <c r="E303" t="s">
        <v>66</v>
      </c>
      <c r="F303">
        <v>22</v>
      </c>
      <c r="G303">
        <v>8</v>
      </c>
      <c r="H303">
        <v>0</v>
      </c>
      <c r="I303">
        <v>0.57648837826715982</v>
      </c>
      <c r="J303">
        <v>0</v>
      </c>
    </row>
    <row r="304" spans="1:10" x14ac:dyDescent="0.3">
      <c r="A304" t="s">
        <v>412</v>
      </c>
      <c r="B304" t="s">
        <v>513</v>
      </c>
      <c r="C304">
        <v>4</v>
      </c>
      <c r="D304">
        <v>69800</v>
      </c>
      <c r="E304" t="s">
        <v>66</v>
      </c>
      <c r="F304">
        <v>17</v>
      </c>
      <c r="G304">
        <v>5.6</v>
      </c>
      <c r="H304">
        <v>8900</v>
      </c>
      <c r="I304">
        <v>0.92232794049850453</v>
      </c>
      <c r="J304">
        <v>0</v>
      </c>
    </row>
    <row r="305" spans="1:10" x14ac:dyDescent="0.3">
      <c r="A305" t="s">
        <v>413</v>
      </c>
      <c r="B305" t="s">
        <v>513</v>
      </c>
      <c r="C305">
        <v>5</v>
      </c>
      <c r="D305">
        <v>28600</v>
      </c>
      <c r="E305" t="s">
        <v>68</v>
      </c>
      <c r="F305">
        <v>38</v>
      </c>
      <c r="G305">
        <v>8</v>
      </c>
      <c r="H305">
        <v>3600</v>
      </c>
      <c r="I305">
        <v>0.21290037104066073</v>
      </c>
      <c r="J305">
        <v>0</v>
      </c>
    </row>
    <row r="306" spans="1:10" x14ac:dyDescent="0.3">
      <c r="A306" t="s">
        <v>414</v>
      </c>
      <c r="B306" t="s">
        <v>65</v>
      </c>
      <c r="C306">
        <v>4</v>
      </c>
      <c r="D306">
        <v>9900</v>
      </c>
      <c r="E306" t="s">
        <v>66</v>
      </c>
      <c r="F306">
        <v>58</v>
      </c>
      <c r="G306">
        <v>5.9</v>
      </c>
      <c r="H306">
        <v>7800</v>
      </c>
      <c r="I306">
        <v>0.99503578376264368</v>
      </c>
      <c r="J306">
        <v>0</v>
      </c>
    </row>
    <row r="307" spans="1:10" x14ac:dyDescent="0.3">
      <c r="A307" t="s">
        <v>415</v>
      </c>
      <c r="B307" t="s">
        <v>513</v>
      </c>
      <c r="C307">
        <v>3</v>
      </c>
      <c r="D307">
        <v>102300</v>
      </c>
      <c r="E307" t="s">
        <v>66</v>
      </c>
      <c r="F307">
        <v>43</v>
      </c>
      <c r="G307">
        <v>9.5</v>
      </c>
      <c r="H307">
        <v>2400</v>
      </c>
      <c r="I307">
        <v>0.86993342025142384</v>
      </c>
      <c r="J307">
        <v>0</v>
      </c>
    </row>
    <row r="308" spans="1:10" x14ac:dyDescent="0.3">
      <c r="A308" t="s">
        <v>416</v>
      </c>
      <c r="B308" t="s">
        <v>513</v>
      </c>
      <c r="C308">
        <v>3</v>
      </c>
      <c r="D308">
        <v>21800</v>
      </c>
      <c r="E308" t="s">
        <v>66</v>
      </c>
      <c r="F308">
        <v>37</v>
      </c>
      <c r="G308">
        <v>4.9000000000000004</v>
      </c>
      <c r="H308">
        <v>5700</v>
      </c>
      <c r="I308">
        <v>0.78145713599154432</v>
      </c>
      <c r="J308">
        <v>0</v>
      </c>
    </row>
    <row r="309" spans="1:10" x14ac:dyDescent="0.3">
      <c r="A309" t="s">
        <v>417</v>
      </c>
      <c r="B309" t="s">
        <v>513</v>
      </c>
      <c r="C309">
        <v>6</v>
      </c>
      <c r="D309">
        <v>39500</v>
      </c>
      <c r="E309" t="s">
        <v>67</v>
      </c>
      <c r="F309">
        <v>50</v>
      </c>
      <c r="G309">
        <v>12.2</v>
      </c>
      <c r="H309">
        <v>8200</v>
      </c>
      <c r="I309">
        <v>0.24615406626643599</v>
      </c>
      <c r="J309">
        <v>0</v>
      </c>
    </row>
    <row r="310" spans="1:10" x14ac:dyDescent="0.3">
      <c r="A310" t="s">
        <v>418</v>
      </c>
      <c r="B310" t="s">
        <v>513</v>
      </c>
      <c r="C310">
        <v>3</v>
      </c>
      <c r="D310">
        <v>34300</v>
      </c>
      <c r="E310" t="s">
        <v>67</v>
      </c>
      <c r="F310">
        <v>100</v>
      </c>
      <c r="G310">
        <v>2.8</v>
      </c>
      <c r="H310">
        <v>4500</v>
      </c>
      <c r="I310">
        <v>0.45966125307051586</v>
      </c>
      <c r="J310">
        <v>0</v>
      </c>
    </row>
    <row r="311" spans="1:10" x14ac:dyDescent="0.3">
      <c r="A311" t="s">
        <v>419</v>
      </c>
      <c r="B311" t="s">
        <v>513</v>
      </c>
      <c r="C311">
        <v>3</v>
      </c>
      <c r="D311">
        <v>57500</v>
      </c>
      <c r="E311" t="s">
        <v>67</v>
      </c>
      <c r="F311">
        <v>104</v>
      </c>
      <c r="G311">
        <v>3.7</v>
      </c>
      <c r="H311">
        <v>13100</v>
      </c>
      <c r="I311">
        <v>0.87192129860090606</v>
      </c>
      <c r="J311">
        <v>0</v>
      </c>
    </row>
    <row r="312" spans="1:10" x14ac:dyDescent="0.3">
      <c r="A312" t="s">
        <v>420</v>
      </c>
      <c r="B312" t="s">
        <v>64</v>
      </c>
      <c r="C312">
        <v>3</v>
      </c>
      <c r="D312">
        <v>33900</v>
      </c>
      <c r="E312" t="s">
        <v>67</v>
      </c>
      <c r="F312">
        <v>74</v>
      </c>
      <c r="G312">
        <v>8.3000000000000007</v>
      </c>
      <c r="H312">
        <v>0</v>
      </c>
      <c r="I312">
        <v>0.5526112138068181</v>
      </c>
      <c r="J312">
        <v>0</v>
      </c>
    </row>
    <row r="313" spans="1:10" x14ac:dyDescent="0.3">
      <c r="A313" t="s">
        <v>421</v>
      </c>
      <c r="B313" t="s">
        <v>513</v>
      </c>
      <c r="C313">
        <v>3</v>
      </c>
      <c r="D313">
        <v>48700</v>
      </c>
      <c r="E313" t="s">
        <v>67</v>
      </c>
      <c r="F313">
        <v>91</v>
      </c>
      <c r="G313">
        <v>4.8</v>
      </c>
      <c r="H313">
        <v>3700</v>
      </c>
      <c r="I313">
        <v>0.80412061773637744</v>
      </c>
      <c r="J313">
        <v>0</v>
      </c>
    </row>
    <row r="314" spans="1:10" x14ac:dyDescent="0.3">
      <c r="A314" t="s">
        <v>422</v>
      </c>
      <c r="B314" t="s">
        <v>513</v>
      </c>
      <c r="C314">
        <v>10</v>
      </c>
      <c r="D314">
        <v>51600</v>
      </c>
      <c r="E314" t="s">
        <v>67</v>
      </c>
      <c r="F314">
        <v>59</v>
      </c>
      <c r="G314">
        <v>14.5</v>
      </c>
      <c r="H314">
        <v>11900</v>
      </c>
      <c r="I314">
        <v>0.2593400120518724</v>
      </c>
      <c r="J314">
        <v>0</v>
      </c>
    </row>
    <row r="315" spans="1:10" x14ac:dyDescent="0.3">
      <c r="A315" t="s">
        <v>423</v>
      </c>
      <c r="B315" t="s">
        <v>513</v>
      </c>
      <c r="C315">
        <v>5</v>
      </c>
      <c r="D315">
        <v>31500</v>
      </c>
      <c r="E315" t="s">
        <v>66</v>
      </c>
      <c r="F315">
        <v>17</v>
      </c>
      <c r="G315">
        <v>13</v>
      </c>
      <c r="H315">
        <v>12700</v>
      </c>
      <c r="I315">
        <v>0.23866611415086569</v>
      </c>
      <c r="J315">
        <v>0</v>
      </c>
    </row>
    <row r="316" spans="1:10" x14ac:dyDescent="0.3">
      <c r="A316" t="s">
        <v>424</v>
      </c>
      <c r="B316" t="s">
        <v>65</v>
      </c>
      <c r="C316">
        <v>6</v>
      </c>
      <c r="D316">
        <v>54300</v>
      </c>
      <c r="E316" t="s">
        <v>68</v>
      </c>
      <c r="F316">
        <v>70</v>
      </c>
      <c r="G316">
        <v>0.9</v>
      </c>
      <c r="H316">
        <v>4500</v>
      </c>
      <c r="I316">
        <v>0.58861261933490605</v>
      </c>
      <c r="J316">
        <v>0</v>
      </c>
    </row>
    <row r="317" spans="1:10" x14ac:dyDescent="0.3">
      <c r="A317" t="s">
        <v>425</v>
      </c>
      <c r="B317" t="s">
        <v>513</v>
      </c>
      <c r="C317">
        <v>4</v>
      </c>
      <c r="D317">
        <v>34000</v>
      </c>
      <c r="E317" t="s">
        <v>69</v>
      </c>
      <c r="F317">
        <v>28</v>
      </c>
      <c r="G317">
        <v>5.0999999999999996</v>
      </c>
      <c r="H317">
        <v>2700</v>
      </c>
      <c r="I317">
        <v>0.74949165816897256</v>
      </c>
      <c r="J317">
        <v>0</v>
      </c>
    </row>
    <row r="318" spans="1:10" x14ac:dyDescent="0.3">
      <c r="A318" t="s">
        <v>426</v>
      </c>
      <c r="B318" t="s">
        <v>64</v>
      </c>
      <c r="C318">
        <v>4</v>
      </c>
      <c r="D318">
        <v>13400</v>
      </c>
      <c r="E318" t="s">
        <v>68</v>
      </c>
      <c r="F318">
        <v>44</v>
      </c>
      <c r="G318">
        <v>6.8</v>
      </c>
      <c r="H318">
        <v>8600</v>
      </c>
      <c r="I318">
        <v>0.29179694602917217</v>
      </c>
      <c r="J318">
        <v>0</v>
      </c>
    </row>
    <row r="319" spans="1:10" x14ac:dyDescent="0.3">
      <c r="A319" t="s">
        <v>427</v>
      </c>
      <c r="B319" t="s">
        <v>513</v>
      </c>
      <c r="C319">
        <v>4</v>
      </c>
      <c r="D319">
        <v>37900</v>
      </c>
      <c r="E319" t="s">
        <v>69</v>
      </c>
      <c r="F319">
        <v>25</v>
      </c>
      <c r="G319">
        <v>13.8</v>
      </c>
      <c r="H319">
        <v>9100</v>
      </c>
      <c r="I319">
        <v>0.19494942538532856</v>
      </c>
      <c r="J319">
        <v>0</v>
      </c>
    </row>
    <row r="320" spans="1:10" x14ac:dyDescent="0.3">
      <c r="A320" t="s">
        <v>428</v>
      </c>
      <c r="B320" t="s">
        <v>62</v>
      </c>
      <c r="C320">
        <v>7</v>
      </c>
      <c r="D320">
        <v>39400</v>
      </c>
      <c r="E320" t="s">
        <v>66</v>
      </c>
      <c r="F320">
        <v>49</v>
      </c>
      <c r="G320">
        <v>6.2</v>
      </c>
      <c r="H320">
        <v>100</v>
      </c>
      <c r="I320">
        <v>0.60813250105041816</v>
      </c>
      <c r="J320">
        <v>0</v>
      </c>
    </row>
    <row r="321" spans="1:10" x14ac:dyDescent="0.3">
      <c r="A321" t="s">
        <v>429</v>
      </c>
      <c r="B321" t="s">
        <v>64</v>
      </c>
      <c r="C321">
        <v>6</v>
      </c>
      <c r="D321">
        <v>18300</v>
      </c>
      <c r="E321" t="s">
        <v>69</v>
      </c>
      <c r="F321">
        <v>18</v>
      </c>
      <c r="G321">
        <v>6.5</v>
      </c>
      <c r="H321">
        <v>6700</v>
      </c>
      <c r="I321">
        <v>0.57955262764736881</v>
      </c>
      <c r="J321">
        <v>0</v>
      </c>
    </row>
    <row r="322" spans="1:10" x14ac:dyDescent="0.3">
      <c r="A322" t="s">
        <v>430</v>
      </c>
      <c r="B322" t="s">
        <v>64</v>
      </c>
      <c r="C322">
        <v>1</v>
      </c>
      <c r="D322">
        <v>10900</v>
      </c>
      <c r="E322" t="s">
        <v>66</v>
      </c>
      <c r="F322">
        <v>51</v>
      </c>
      <c r="G322">
        <v>1.9</v>
      </c>
      <c r="H322">
        <v>2200</v>
      </c>
      <c r="I322">
        <v>0.3374164407485013</v>
      </c>
      <c r="J322">
        <v>0</v>
      </c>
    </row>
    <row r="323" spans="1:10" x14ac:dyDescent="0.3">
      <c r="A323" t="s">
        <v>431</v>
      </c>
      <c r="B323" t="s">
        <v>513</v>
      </c>
      <c r="C323">
        <v>8</v>
      </c>
      <c r="D323">
        <v>28900</v>
      </c>
      <c r="E323" t="s">
        <v>66</v>
      </c>
      <c r="F323">
        <v>65</v>
      </c>
      <c r="G323">
        <v>7.9</v>
      </c>
      <c r="H323">
        <v>7800</v>
      </c>
      <c r="I323">
        <v>0.82552090195057248</v>
      </c>
      <c r="J323">
        <v>0</v>
      </c>
    </row>
    <row r="324" spans="1:10" x14ac:dyDescent="0.3">
      <c r="A324" t="s">
        <v>432</v>
      </c>
      <c r="B324" t="s">
        <v>513</v>
      </c>
      <c r="C324">
        <v>6</v>
      </c>
      <c r="D324">
        <v>92300</v>
      </c>
      <c r="E324" t="s">
        <v>68</v>
      </c>
      <c r="F324">
        <v>37</v>
      </c>
      <c r="G324">
        <v>13</v>
      </c>
      <c r="H324">
        <v>7100</v>
      </c>
      <c r="I324">
        <v>5.1446105739864079E-3</v>
      </c>
      <c r="J324">
        <v>0</v>
      </c>
    </row>
    <row r="325" spans="1:10" x14ac:dyDescent="0.3">
      <c r="A325" t="s">
        <v>433</v>
      </c>
      <c r="B325" t="s">
        <v>62</v>
      </c>
      <c r="C325">
        <v>9</v>
      </c>
      <c r="D325">
        <v>24700</v>
      </c>
      <c r="E325" t="s">
        <v>66</v>
      </c>
      <c r="F325">
        <v>31</v>
      </c>
      <c r="G325">
        <v>4.3</v>
      </c>
      <c r="H325">
        <v>6000</v>
      </c>
      <c r="I325">
        <v>4.5356988432309064E-3</v>
      </c>
      <c r="J325">
        <v>0</v>
      </c>
    </row>
    <row r="326" spans="1:10" x14ac:dyDescent="0.3">
      <c r="A326" t="s">
        <v>434</v>
      </c>
      <c r="B326" t="s">
        <v>65</v>
      </c>
      <c r="C326">
        <v>4</v>
      </c>
      <c r="D326">
        <v>55000</v>
      </c>
      <c r="E326" t="s">
        <v>67</v>
      </c>
      <c r="F326">
        <v>84</v>
      </c>
      <c r="G326">
        <v>8.5</v>
      </c>
      <c r="H326">
        <v>3600</v>
      </c>
      <c r="I326">
        <v>8.3011849122174408E-2</v>
      </c>
      <c r="J326">
        <v>0</v>
      </c>
    </row>
    <row r="327" spans="1:10" x14ac:dyDescent="0.3">
      <c r="A327" t="s">
        <v>435</v>
      </c>
      <c r="B327" t="s">
        <v>64</v>
      </c>
      <c r="C327">
        <v>5</v>
      </c>
      <c r="D327">
        <v>20100</v>
      </c>
      <c r="E327" t="s">
        <v>67</v>
      </c>
      <c r="F327">
        <v>114</v>
      </c>
      <c r="G327">
        <v>2.2000000000000002</v>
      </c>
      <c r="H327">
        <v>7000</v>
      </c>
      <c r="I327">
        <v>3.4969294665224138E-2</v>
      </c>
      <c r="J327">
        <v>0</v>
      </c>
    </row>
    <row r="328" spans="1:10" x14ac:dyDescent="0.3">
      <c r="A328" t="s">
        <v>436</v>
      </c>
      <c r="B328" t="s">
        <v>65</v>
      </c>
      <c r="C328">
        <v>6</v>
      </c>
      <c r="D328">
        <v>28100</v>
      </c>
      <c r="E328" t="s">
        <v>66</v>
      </c>
      <c r="F328">
        <v>21</v>
      </c>
      <c r="G328">
        <v>10.1</v>
      </c>
      <c r="H328">
        <v>3000</v>
      </c>
      <c r="I328">
        <v>0.18455365697936532</v>
      </c>
      <c r="J328">
        <v>0</v>
      </c>
    </row>
    <row r="329" spans="1:10" x14ac:dyDescent="0.3">
      <c r="A329" t="s">
        <v>437</v>
      </c>
      <c r="B329" t="s">
        <v>513</v>
      </c>
      <c r="C329">
        <v>7</v>
      </c>
      <c r="D329">
        <v>45100</v>
      </c>
      <c r="E329" t="s">
        <v>66</v>
      </c>
      <c r="F329">
        <v>57</v>
      </c>
      <c r="G329">
        <v>11.7</v>
      </c>
      <c r="H329">
        <v>5800</v>
      </c>
      <c r="I329">
        <v>0.67462308232317258</v>
      </c>
      <c r="J329">
        <v>0</v>
      </c>
    </row>
    <row r="330" spans="1:10" x14ac:dyDescent="0.3">
      <c r="A330" t="s">
        <v>438</v>
      </c>
      <c r="B330" t="s">
        <v>64</v>
      </c>
      <c r="C330">
        <v>4</v>
      </c>
      <c r="D330">
        <v>48600</v>
      </c>
      <c r="E330" t="s">
        <v>66</v>
      </c>
      <c r="F330">
        <v>22</v>
      </c>
      <c r="G330">
        <v>2.9</v>
      </c>
      <c r="H330">
        <v>2800</v>
      </c>
      <c r="I330">
        <v>0.89066809902461397</v>
      </c>
      <c r="J330">
        <v>0</v>
      </c>
    </row>
    <row r="331" spans="1:10" x14ac:dyDescent="0.3">
      <c r="A331" t="s">
        <v>439</v>
      </c>
      <c r="B331" t="s">
        <v>62</v>
      </c>
      <c r="C331">
        <v>4</v>
      </c>
      <c r="D331">
        <v>39900</v>
      </c>
      <c r="E331" t="s">
        <v>66</v>
      </c>
      <c r="F331">
        <v>47</v>
      </c>
      <c r="G331">
        <v>6.4</v>
      </c>
      <c r="H331">
        <v>3600</v>
      </c>
      <c r="I331">
        <v>0.76656118213599933</v>
      </c>
      <c r="J331">
        <v>0</v>
      </c>
    </row>
    <row r="332" spans="1:10" x14ac:dyDescent="0.3">
      <c r="A332" t="s">
        <v>440</v>
      </c>
      <c r="B332" t="s">
        <v>64</v>
      </c>
      <c r="C332">
        <v>4</v>
      </c>
      <c r="D332">
        <v>22900</v>
      </c>
      <c r="E332" t="s">
        <v>69</v>
      </c>
      <c r="F332">
        <v>58</v>
      </c>
      <c r="G332">
        <v>4.3</v>
      </c>
      <c r="H332">
        <v>4800</v>
      </c>
      <c r="I332">
        <v>0.13399227783204937</v>
      </c>
      <c r="J332">
        <v>0</v>
      </c>
    </row>
    <row r="333" spans="1:10" x14ac:dyDescent="0.3">
      <c r="A333" t="s">
        <v>441</v>
      </c>
      <c r="B333" t="s">
        <v>513</v>
      </c>
      <c r="C333">
        <v>3</v>
      </c>
      <c r="D333">
        <v>36100</v>
      </c>
      <c r="E333" t="s">
        <v>67</v>
      </c>
      <c r="F333">
        <v>46</v>
      </c>
      <c r="G333">
        <v>1.6</v>
      </c>
      <c r="H333">
        <v>10300</v>
      </c>
      <c r="I333">
        <v>0.14960440078012283</v>
      </c>
      <c r="J333">
        <v>0</v>
      </c>
    </row>
    <row r="334" spans="1:10" x14ac:dyDescent="0.3">
      <c r="A334" t="s">
        <v>442</v>
      </c>
      <c r="B334" t="s">
        <v>513</v>
      </c>
      <c r="C334">
        <v>4</v>
      </c>
      <c r="D334">
        <v>21800</v>
      </c>
      <c r="E334" t="s">
        <v>66</v>
      </c>
      <c r="F334">
        <v>19</v>
      </c>
      <c r="G334">
        <v>14.8</v>
      </c>
      <c r="H334">
        <v>2000</v>
      </c>
      <c r="I334">
        <v>3.6961737572067888E-2</v>
      </c>
      <c r="J334">
        <v>0</v>
      </c>
    </row>
    <row r="335" spans="1:10" x14ac:dyDescent="0.3">
      <c r="A335" t="s">
        <v>443</v>
      </c>
      <c r="B335" t="s">
        <v>65</v>
      </c>
      <c r="C335">
        <v>6</v>
      </c>
      <c r="D335">
        <v>44900</v>
      </c>
      <c r="E335" t="s">
        <v>67</v>
      </c>
      <c r="F335">
        <v>55</v>
      </c>
      <c r="G335">
        <v>3.8</v>
      </c>
      <c r="H335">
        <v>4400</v>
      </c>
      <c r="I335">
        <v>0.69033508006450861</v>
      </c>
      <c r="J335">
        <v>0</v>
      </c>
    </row>
    <row r="336" spans="1:10" x14ac:dyDescent="0.3">
      <c r="A336" t="s">
        <v>444</v>
      </c>
      <c r="B336" t="s">
        <v>64</v>
      </c>
      <c r="C336">
        <v>4</v>
      </c>
      <c r="D336">
        <v>26700</v>
      </c>
      <c r="E336" t="s">
        <v>66</v>
      </c>
      <c r="F336">
        <v>62</v>
      </c>
      <c r="G336">
        <v>11</v>
      </c>
      <c r="H336">
        <v>7800</v>
      </c>
      <c r="I336">
        <v>0.29192312575757151</v>
      </c>
      <c r="J336">
        <v>0</v>
      </c>
    </row>
    <row r="337" spans="1:10" x14ac:dyDescent="0.3">
      <c r="A337" t="s">
        <v>445</v>
      </c>
      <c r="B337" t="s">
        <v>65</v>
      </c>
      <c r="C337">
        <v>4</v>
      </c>
      <c r="D337">
        <v>47200</v>
      </c>
      <c r="E337" t="s">
        <v>68</v>
      </c>
      <c r="F337">
        <v>41</v>
      </c>
      <c r="G337">
        <v>13.4</v>
      </c>
      <c r="H337">
        <v>5400</v>
      </c>
      <c r="I337">
        <v>0.99403958159110684</v>
      </c>
      <c r="J337">
        <v>0</v>
      </c>
    </row>
    <row r="338" spans="1:10" x14ac:dyDescent="0.3">
      <c r="A338" t="s">
        <v>446</v>
      </c>
      <c r="B338" t="s">
        <v>64</v>
      </c>
      <c r="C338">
        <v>7</v>
      </c>
      <c r="D338">
        <v>42400</v>
      </c>
      <c r="E338" t="s">
        <v>66</v>
      </c>
      <c r="F338">
        <v>48</v>
      </c>
      <c r="G338">
        <v>5.9</v>
      </c>
      <c r="H338">
        <v>2700</v>
      </c>
      <c r="I338">
        <v>3.6844654560510337E-2</v>
      </c>
      <c r="J338">
        <v>0</v>
      </c>
    </row>
    <row r="339" spans="1:10" x14ac:dyDescent="0.3">
      <c r="A339" t="s">
        <v>447</v>
      </c>
      <c r="B339" t="s">
        <v>65</v>
      </c>
      <c r="C339">
        <v>3</v>
      </c>
      <c r="D339">
        <v>39600</v>
      </c>
      <c r="E339" t="s">
        <v>67</v>
      </c>
      <c r="F339">
        <v>96</v>
      </c>
      <c r="G339">
        <v>1.8</v>
      </c>
      <c r="H339">
        <v>6900</v>
      </c>
      <c r="I339">
        <v>0.54776377741794002</v>
      </c>
      <c r="J339">
        <v>0</v>
      </c>
    </row>
    <row r="340" spans="1:10" x14ac:dyDescent="0.3">
      <c r="A340" t="s">
        <v>448</v>
      </c>
      <c r="B340" t="s">
        <v>62</v>
      </c>
      <c r="C340">
        <v>9</v>
      </c>
      <c r="D340">
        <v>38300</v>
      </c>
      <c r="E340" t="s">
        <v>66</v>
      </c>
      <c r="F340">
        <v>70</v>
      </c>
      <c r="G340">
        <v>7</v>
      </c>
      <c r="H340">
        <v>3100</v>
      </c>
      <c r="I340">
        <v>0.43418778564483551</v>
      </c>
      <c r="J340">
        <v>0</v>
      </c>
    </row>
    <row r="341" spans="1:10" x14ac:dyDescent="0.3">
      <c r="A341" t="s">
        <v>449</v>
      </c>
      <c r="B341" t="s">
        <v>513</v>
      </c>
      <c r="C341">
        <v>2</v>
      </c>
      <c r="D341">
        <v>46600</v>
      </c>
      <c r="E341" t="s">
        <v>66</v>
      </c>
      <c r="F341">
        <v>37</v>
      </c>
      <c r="G341">
        <v>1.7</v>
      </c>
      <c r="H341">
        <v>3200</v>
      </c>
      <c r="I341">
        <v>0.84799614340992024</v>
      </c>
      <c r="J341">
        <v>0</v>
      </c>
    </row>
    <row r="342" spans="1:10" x14ac:dyDescent="0.3">
      <c r="A342" t="s">
        <v>450</v>
      </c>
      <c r="B342" t="s">
        <v>65</v>
      </c>
      <c r="C342">
        <v>5</v>
      </c>
      <c r="D342">
        <v>31100</v>
      </c>
      <c r="E342" t="s">
        <v>68</v>
      </c>
      <c r="F342">
        <v>52</v>
      </c>
      <c r="G342">
        <v>7.1</v>
      </c>
      <c r="H342">
        <v>2400</v>
      </c>
      <c r="I342">
        <v>0.91221457621303947</v>
      </c>
      <c r="J342">
        <v>0</v>
      </c>
    </row>
    <row r="343" spans="1:10" x14ac:dyDescent="0.3">
      <c r="A343" t="s">
        <v>451</v>
      </c>
      <c r="B343" t="s">
        <v>513</v>
      </c>
      <c r="C343">
        <v>5</v>
      </c>
      <c r="D343">
        <v>46300</v>
      </c>
      <c r="E343" t="s">
        <v>67</v>
      </c>
      <c r="F343">
        <v>77</v>
      </c>
      <c r="G343">
        <v>12.8</v>
      </c>
      <c r="H343">
        <v>9200</v>
      </c>
      <c r="I343">
        <v>0.8883530156406787</v>
      </c>
      <c r="J343">
        <v>0</v>
      </c>
    </row>
    <row r="344" spans="1:10" x14ac:dyDescent="0.3">
      <c r="A344" t="s">
        <v>452</v>
      </c>
      <c r="B344" t="s">
        <v>65</v>
      </c>
      <c r="C344">
        <v>8</v>
      </c>
      <c r="D344">
        <v>34500</v>
      </c>
      <c r="E344" t="s">
        <v>67</v>
      </c>
      <c r="F344">
        <v>116</v>
      </c>
      <c r="G344">
        <v>10</v>
      </c>
      <c r="H344">
        <v>8400</v>
      </c>
      <c r="I344">
        <v>0.87307935731533592</v>
      </c>
      <c r="J344">
        <v>0</v>
      </c>
    </row>
    <row r="345" spans="1:10" x14ac:dyDescent="0.3">
      <c r="A345" t="s">
        <v>453</v>
      </c>
      <c r="B345" t="s">
        <v>513</v>
      </c>
      <c r="C345">
        <v>9</v>
      </c>
      <c r="D345">
        <v>56200</v>
      </c>
      <c r="E345" t="s">
        <v>66</v>
      </c>
      <c r="F345">
        <v>36</v>
      </c>
      <c r="G345">
        <v>6.2</v>
      </c>
      <c r="H345">
        <v>9800</v>
      </c>
      <c r="I345">
        <v>0.17213689321974668</v>
      </c>
      <c r="J345">
        <v>0</v>
      </c>
    </row>
    <row r="346" spans="1:10" x14ac:dyDescent="0.3">
      <c r="A346" t="s">
        <v>454</v>
      </c>
      <c r="B346" t="s">
        <v>62</v>
      </c>
      <c r="C346">
        <v>8</v>
      </c>
      <c r="D346">
        <v>61200</v>
      </c>
      <c r="E346" t="s">
        <v>66</v>
      </c>
      <c r="F346">
        <v>61</v>
      </c>
      <c r="G346">
        <v>4.8</v>
      </c>
      <c r="H346">
        <v>3600</v>
      </c>
      <c r="I346">
        <v>8.1477696033084746E-2</v>
      </c>
      <c r="J346">
        <v>0</v>
      </c>
    </row>
    <row r="347" spans="1:10" x14ac:dyDescent="0.3">
      <c r="A347" t="s">
        <v>455</v>
      </c>
      <c r="B347" t="s">
        <v>65</v>
      </c>
      <c r="C347">
        <v>4</v>
      </c>
      <c r="D347">
        <v>28300</v>
      </c>
      <c r="E347" t="s">
        <v>66</v>
      </c>
      <c r="F347">
        <v>23</v>
      </c>
      <c r="G347">
        <v>13.9</v>
      </c>
      <c r="H347">
        <v>3800</v>
      </c>
      <c r="I347">
        <v>5.0942653378510672E-3</v>
      </c>
      <c r="J347">
        <v>0</v>
      </c>
    </row>
    <row r="348" spans="1:10" x14ac:dyDescent="0.3">
      <c r="A348" t="s">
        <v>456</v>
      </c>
      <c r="B348" t="s">
        <v>513</v>
      </c>
      <c r="C348">
        <v>5</v>
      </c>
      <c r="D348">
        <v>38400</v>
      </c>
      <c r="E348" t="s">
        <v>67</v>
      </c>
      <c r="F348">
        <v>116</v>
      </c>
      <c r="G348">
        <v>8.6</v>
      </c>
      <c r="H348">
        <v>9100</v>
      </c>
      <c r="I348">
        <v>0.45323500496218128</v>
      </c>
      <c r="J348">
        <v>0</v>
      </c>
    </row>
    <row r="349" spans="1:10" x14ac:dyDescent="0.3">
      <c r="A349" t="s">
        <v>457</v>
      </c>
      <c r="B349" t="s">
        <v>62</v>
      </c>
      <c r="C349">
        <v>3</v>
      </c>
      <c r="D349">
        <v>29400</v>
      </c>
      <c r="E349" t="s">
        <v>67</v>
      </c>
      <c r="F349">
        <v>81</v>
      </c>
      <c r="G349">
        <v>9.4</v>
      </c>
      <c r="H349">
        <v>9400</v>
      </c>
      <c r="I349">
        <v>0.48065266646105309</v>
      </c>
      <c r="J349">
        <v>0</v>
      </c>
    </row>
    <row r="350" spans="1:10" x14ac:dyDescent="0.3">
      <c r="A350" t="s">
        <v>458</v>
      </c>
      <c r="B350" t="s">
        <v>65</v>
      </c>
      <c r="C350">
        <v>7</v>
      </c>
      <c r="D350">
        <v>29700</v>
      </c>
      <c r="E350" t="s">
        <v>69</v>
      </c>
      <c r="F350">
        <v>23</v>
      </c>
      <c r="G350">
        <v>10.9</v>
      </c>
      <c r="H350">
        <v>7500</v>
      </c>
      <c r="I350">
        <v>0.29006345092426</v>
      </c>
      <c r="J350">
        <v>0</v>
      </c>
    </row>
    <row r="351" spans="1:10" x14ac:dyDescent="0.3">
      <c r="A351" t="s">
        <v>459</v>
      </c>
      <c r="B351" t="s">
        <v>65</v>
      </c>
      <c r="C351">
        <v>6</v>
      </c>
      <c r="D351">
        <v>35300</v>
      </c>
      <c r="E351" t="s">
        <v>66</v>
      </c>
      <c r="F351">
        <v>42</v>
      </c>
      <c r="G351">
        <v>12.2</v>
      </c>
      <c r="H351">
        <v>3100</v>
      </c>
      <c r="I351">
        <v>0.67426895254095476</v>
      </c>
      <c r="J351">
        <v>0</v>
      </c>
    </row>
    <row r="352" spans="1:10" x14ac:dyDescent="0.3">
      <c r="A352" t="s">
        <v>460</v>
      </c>
      <c r="B352" t="s">
        <v>65</v>
      </c>
      <c r="C352">
        <v>7</v>
      </c>
      <c r="D352">
        <v>38800</v>
      </c>
      <c r="E352" t="s">
        <v>67</v>
      </c>
      <c r="F352">
        <v>110</v>
      </c>
      <c r="G352">
        <v>11.2</v>
      </c>
      <c r="H352">
        <v>5900</v>
      </c>
      <c r="I352">
        <v>0.90562155645940468</v>
      </c>
      <c r="J352">
        <v>0</v>
      </c>
    </row>
    <row r="353" spans="1:10" x14ac:dyDescent="0.3">
      <c r="A353" t="s">
        <v>461</v>
      </c>
      <c r="B353" t="s">
        <v>65</v>
      </c>
      <c r="C353">
        <v>7</v>
      </c>
      <c r="D353">
        <v>38400</v>
      </c>
      <c r="E353" t="s">
        <v>69</v>
      </c>
      <c r="F353">
        <v>41</v>
      </c>
      <c r="G353">
        <v>8.9</v>
      </c>
      <c r="H353">
        <v>3600</v>
      </c>
      <c r="I353">
        <v>0.39455917409686125</v>
      </c>
      <c r="J353">
        <v>0</v>
      </c>
    </row>
    <row r="354" spans="1:10" x14ac:dyDescent="0.3">
      <c r="A354" t="s">
        <v>462</v>
      </c>
      <c r="B354" t="s">
        <v>64</v>
      </c>
      <c r="C354">
        <v>10</v>
      </c>
      <c r="D354">
        <v>66800</v>
      </c>
      <c r="E354" t="s">
        <v>66</v>
      </c>
      <c r="F354">
        <v>56</v>
      </c>
      <c r="G354">
        <v>5.8</v>
      </c>
      <c r="H354">
        <v>9600</v>
      </c>
      <c r="I354">
        <v>0.76137845656923719</v>
      </c>
      <c r="J354">
        <v>0</v>
      </c>
    </row>
    <row r="355" spans="1:10" x14ac:dyDescent="0.3">
      <c r="A355" t="s">
        <v>463</v>
      </c>
      <c r="B355" t="s">
        <v>62</v>
      </c>
      <c r="C355">
        <v>4</v>
      </c>
      <c r="D355">
        <v>16200</v>
      </c>
      <c r="E355" t="s">
        <v>66</v>
      </c>
      <c r="F355">
        <v>68</v>
      </c>
      <c r="G355">
        <v>5</v>
      </c>
      <c r="H355">
        <v>3800</v>
      </c>
      <c r="I355">
        <v>4.0872774229242514E-3</v>
      </c>
      <c r="J355">
        <v>0</v>
      </c>
    </row>
    <row r="356" spans="1:10" x14ac:dyDescent="0.3">
      <c r="A356" t="s">
        <v>464</v>
      </c>
      <c r="B356" t="s">
        <v>513</v>
      </c>
      <c r="C356">
        <v>9</v>
      </c>
      <c r="D356">
        <v>45300</v>
      </c>
      <c r="E356" t="s">
        <v>67</v>
      </c>
      <c r="F356">
        <v>64</v>
      </c>
      <c r="G356">
        <v>11</v>
      </c>
      <c r="H356">
        <v>5800</v>
      </c>
      <c r="I356">
        <v>0.78116006167268337</v>
      </c>
      <c r="J356">
        <v>0</v>
      </c>
    </row>
    <row r="357" spans="1:10" x14ac:dyDescent="0.3">
      <c r="A357" t="s">
        <v>465</v>
      </c>
      <c r="B357" t="s">
        <v>65</v>
      </c>
      <c r="C357">
        <v>7</v>
      </c>
      <c r="D357">
        <v>31100</v>
      </c>
      <c r="E357" t="s">
        <v>69</v>
      </c>
      <c r="F357">
        <v>25</v>
      </c>
      <c r="G357">
        <v>9.9</v>
      </c>
      <c r="H357">
        <v>2400</v>
      </c>
      <c r="I357">
        <v>0.10382996898742225</v>
      </c>
      <c r="J357">
        <v>0</v>
      </c>
    </row>
    <row r="358" spans="1:10" x14ac:dyDescent="0.3">
      <c r="A358" t="s">
        <v>466</v>
      </c>
      <c r="B358" t="s">
        <v>64</v>
      </c>
      <c r="C358">
        <v>8</v>
      </c>
      <c r="D358">
        <v>30500</v>
      </c>
      <c r="E358" t="s">
        <v>69</v>
      </c>
      <c r="F358">
        <v>13</v>
      </c>
      <c r="G358">
        <v>5.5</v>
      </c>
      <c r="H358">
        <v>7500</v>
      </c>
      <c r="I358">
        <v>0.77543372127373955</v>
      </c>
      <c r="J358">
        <v>0</v>
      </c>
    </row>
    <row r="359" spans="1:10" x14ac:dyDescent="0.3">
      <c r="A359" t="s">
        <v>467</v>
      </c>
      <c r="B359" t="s">
        <v>64</v>
      </c>
      <c r="C359">
        <v>5</v>
      </c>
      <c r="D359">
        <v>48100</v>
      </c>
      <c r="E359" t="s">
        <v>68</v>
      </c>
      <c r="F359">
        <v>56</v>
      </c>
      <c r="G359">
        <v>3.4</v>
      </c>
      <c r="H359">
        <v>2900</v>
      </c>
      <c r="I359">
        <v>0.90557758563802504</v>
      </c>
      <c r="J359">
        <v>0</v>
      </c>
    </row>
    <row r="360" spans="1:10" x14ac:dyDescent="0.3">
      <c r="A360" t="s">
        <v>468</v>
      </c>
      <c r="B360" t="s">
        <v>62</v>
      </c>
      <c r="C360">
        <v>7</v>
      </c>
      <c r="D360">
        <v>96400</v>
      </c>
      <c r="E360" t="s">
        <v>68</v>
      </c>
      <c r="F360">
        <v>73</v>
      </c>
      <c r="G360">
        <v>5.4</v>
      </c>
      <c r="H360">
        <v>8400</v>
      </c>
      <c r="I360">
        <v>0.28950980420900208</v>
      </c>
      <c r="J360">
        <v>0</v>
      </c>
    </row>
    <row r="361" spans="1:10" x14ac:dyDescent="0.3">
      <c r="A361" t="s">
        <v>469</v>
      </c>
      <c r="B361" t="s">
        <v>62</v>
      </c>
      <c r="C361">
        <v>1</v>
      </c>
      <c r="D361">
        <v>25800</v>
      </c>
      <c r="E361" t="s">
        <v>66</v>
      </c>
      <c r="F361">
        <v>27</v>
      </c>
      <c r="G361">
        <v>5.4</v>
      </c>
      <c r="H361">
        <v>4100</v>
      </c>
      <c r="I361">
        <v>0.64706574135505035</v>
      </c>
      <c r="J361">
        <v>0</v>
      </c>
    </row>
    <row r="362" spans="1:10" x14ac:dyDescent="0.3">
      <c r="A362" t="s">
        <v>470</v>
      </c>
      <c r="B362" t="s">
        <v>64</v>
      </c>
      <c r="C362">
        <v>5</v>
      </c>
      <c r="D362">
        <v>45200</v>
      </c>
      <c r="E362" t="s">
        <v>68</v>
      </c>
      <c r="F362">
        <v>25</v>
      </c>
      <c r="G362">
        <v>8</v>
      </c>
      <c r="H362">
        <v>4600</v>
      </c>
      <c r="I362">
        <v>0.52465024438069841</v>
      </c>
      <c r="J362">
        <v>0</v>
      </c>
    </row>
    <row r="363" spans="1:10" x14ac:dyDescent="0.3">
      <c r="A363" t="s">
        <v>471</v>
      </c>
      <c r="B363" t="s">
        <v>62</v>
      </c>
      <c r="C363">
        <v>7</v>
      </c>
      <c r="D363">
        <v>46100</v>
      </c>
      <c r="E363" t="s">
        <v>68</v>
      </c>
      <c r="F363">
        <v>37</v>
      </c>
      <c r="G363">
        <v>7.4</v>
      </c>
      <c r="H363">
        <v>4400</v>
      </c>
      <c r="I363">
        <v>0.7797869367653083</v>
      </c>
      <c r="J363">
        <v>0</v>
      </c>
    </row>
    <row r="364" spans="1:10" x14ac:dyDescent="0.3">
      <c r="A364" t="s">
        <v>472</v>
      </c>
      <c r="B364" t="s">
        <v>513</v>
      </c>
      <c r="C364">
        <v>5</v>
      </c>
      <c r="D364">
        <v>17900</v>
      </c>
      <c r="E364" t="s">
        <v>67</v>
      </c>
      <c r="F364">
        <v>56</v>
      </c>
      <c r="G364">
        <v>11.9</v>
      </c>
      <c r="H364">
        <v>6900</v>
      </c>
      <c r="I364">
        <v>0.83466988075426773</v>
      </c>
      <c r="J364">
        <v>0</v>
      </c>
    </row>
    <row r="365" spans="1:10" x14ac:dyDescent="0.3">
      <c r="A365" t="s">
        <v>473</v>
      </c>
      <c r="B365" t="s">
        <v>65</v>
      </c>
      <c r="C365">
        <v>9</v>
      </c>
      <c r="D365">
        <v>22100</v>
      </c>
      <c r="E365" t="s">
        <v>66</v>
      </c>
      <c r="F365">
        <v>40</v>
      </c>
      <c r="G365">
        <v>1.3</v>
      </c>
      <c r="H365">
        <v>8500</v>
      </c>
      <c r="I365">
        <v>0.10011803133046615</v>
      </c>
      <c r="J365">
        <v>0</v>
      </c>
    </row>
    <row r="366" spans="1:10" x14ac:dyDescent="0.3">
      <c r="A366" t="s">
        <v>474</v>
      </c>
      <c r="B366" t="s">
        <v>62</v>
      </c>
      <c r="C366">
        <v>8</v>
      </c>
      <c r="D366">
        <v>64200</v>
      </c>
      <c r="E366" t="s">
        <v>67</v>
      </c>
      <c r="F366">
        <v>98</v>
      </c>
      <c r="G366">
        <v>1</v>
      </c>
      <c r="H366">
        <v>4900</v>
      </c>
      <c r="I366">
        <v>0.43990517197820667</v>
      </c>
      <c r="J366">
        <v>0</v>
      </c>
    </row>
    <row r="367" spans="1:10" x14ac:dyDescent="0.3">
      <c r="A367" t="s">
        <v>475</v>
      </c>
      <c r="B367" t="s">
        <v>64</v>
      </c>
      <c r="C367">
        <v>1</v>
      </c>
      <c r="D367">
        <v>44500</v>
      </c>
      <c r="E367" t="s">
        <v>69</v>
      </c>
      <c r="F367">
        <v>56</v>
      </c>
      <c r="G367">
        <v>11.3</v>
      </c>
      <c r="H367">
        <v>6600</v>
      </c>
      <c r="I367">
        <v>6.9917139788648885E-2</v>
      </c>
      <c r="J367">
        <v>0</v>
      </c>
    </row>
    <row r="368" spans="1:10" x14ac:dyDescent="0.3">
      <c r="A368" t="s">
        <v>476</v>
      </c>
      <c r="B368" t="s">
        <v>64</v>
      </c>
      <c r="C368">
        <v>1</v>
      </c>
      <c r="D368">
        <v>14600</v>
      </c>
      <c r="E368" t="s">
        <v>67</v>
      </c>
      <c r="F368">
        <v>53</v>
      </c>
      <c r="G368">
        <v>7.7</v>
      </c>
      <c r="H368">
        <v>7300</v>
      </c>
      <c r="I368">
        <v>0.3603036318643138</v>
      </c>
      <c r="J368">
        <v>0</v>
      </c>
    </row>
    <row r="369" spans="1:10" x14ac:dyDescent="0.3">
      <c r="A369" t="s">
        <v>477</v>
      </c>
      <c r="B369" t="s">
        <v>65</v>
      </c>
      <c r="C369">
        <v>3</v>
      </c>
      <c r="D369">
        <v>40700</v>
      </c>
      <c r="E369" t="s">
        <v>66</v>
      </c>
      <c r="F369">
        <v>31</v>
      </c>
      <c r="G369">
        <v>6.5</v>
      </c>
      <c r="H369">
        <v>0</v>
      </c>
      <c r="I369">
        <v>0.72558053845194992</v>
      </c>
      <c r="J369">
        <v>0</v>
      </c>
    </row>
    <row r="370" spans="1:10" x14ac:dyDescent="0.3">
      <c r="A370" t="s">
        <v>478</v>
      </c>
      <c r="B370" t="s">
        <v>65</v>
      </c>
      <c r="C370">
        <v>8</v>
      </c>
      <c r="D370">
        <v>24400</v>
      </c>
      <c r="E370" t="s">
        <v>66</v>
      </c>
      <c r="F370">
        <v>53</v>
      </c>
      <c r="G370">
        <v>2.5</v>
      </c>
      <c r="H370">
        <v>7200</v>
      </c>
      <c r="I370">
        <v>0.22371656979610854</v>
      </c>
      <c r="J370">
        <v>0</v>
      </c>
    </row>
    <row r="371" spans="1:10" x14ac:dyDescent="0.3">
      <c r="A371" t="s">
        <v>479</v>
      </c>
      <c r="B371" t="s">
        <v>513</v>
      </c>
      <c r="C371">
        <v>4</v>
      </c>
      <c r="D371">
        <v>78900</v>
      </c>
      <c r="E371" t="s">
        <v>68</v>
      </c>
      <c r="F371">
        <v>40</v>
      </c>
      <c r="G371">
        <v>7.2</v>
      </c>
      <c r="H371">
        <v>4600</v>
      </c>
      <c r="I371">
        <v>0.84126962425999841</v>
      </c>
      <c r="J371">
        <v>0</v>
      </c>
    </row>
    <row r="372" spans="1:10" x14ac:dyDescent="0.3">
      <c r="A372" t="s">
        <v>480</v>
      </c>
      <c r="B372" t="s">
        <v>65</v>
      </c>
      <c r="C372">
        <v>8</v>
      </c>
      <c r="D372">
        <v>43600</v>
      </c>
      <c r="E372" t="s">
        <v>66</v>
      </c>
      <c r="F372">
        <v>21</v>
      </c>
      <c r="G372">
        <v>4.8</v>
      </c>
      <c r="H372">
        <v>4400</v>
      </c>
      <c r="I372">
        <v>0.75813291177975206</v>
      </c>
      <c r="J372">
        <v>0</v>
      </c>
    </row>
    <row r="373" spans="1:10" x14ac:dyDescent="0.3">
      <c r="A373" t="s">
        <v>481</v>
      </c>
      <c r="B373" t="s">
        <v>513</v>
      </c>
      <c r="C373">
        <v>4</v>
      </c>
      <c r="D373">
        <v>61800</v>
      </c>
      <c r="E373" t="s">
        <v>69</v>
      </c>
      <c r="F373">
        <v>46</v>
      </c>
      <c r="G373">
        <v>5</v>
      </c>
      <c r="H373">
        <v>6700</v>
      </c>
      <c r="I373">
        <v>0.4849223703942297</v>
      </c>
      <c r="J373">
        <v>0</v>
      </c>
    </row>
    <row r="374" spans="1:10" x14ac:dyDescent="0.3">
      <c r="A374" t="s">
        <v>482</v>
      </c>
      <c r="B374" t="s">
        <v>64</v>
      </c>
      <c r="C374">
        <v>9</v>
      </c>
      <c r="D374">
        <v>44400</v>
      </c>
      <c r="E374" t="s">
        <v>68</v>
      </c>
      <c r="F374">
        <v>21</v>
      </c>
      <c r="G374">
        <v>4.0999999999999996</v>
      </c>
      <c r="H374">
        <v>6700</v>
      </c>
      <c r="I374">
        <v>0.88872697670081346</v>
      </c>
      <c r="J374">
        <v>0</v>
      </c>
    </row>
    <row r="375" spans="1:10" x14ac:dyDescent="0.3">
      <c r="A375" t="s">
        <v>483</v>
      </c>
      <c r="B375" t="s">
        <v>62</v>
      </c>
      <c r="C375">
        <v>8</v>
      </c>
      <c r="D375">
        <v>36100</v>
      </c>
      <c r="E375" t="s">
        <v>66</v>
      </c>
      <c r="F375">
        <v>70</v>
      </c>
      <c r="G375">
        <v>5.8</v>
      </c>
      <c r="H375">
        <v>5100</v>
      </c>
      <c r="I375">
        <v>0.12135477834184227</v>
      </c>
      <c r="J375">
        <v>0</v>
      </c>
    </row>
    <row r="376" spans="1:10" x14ac:dyDescent="0.3">
      <c r="A376" t="s">
        <v>484</v>
      </c>
      <c r="B376" t="s">
        <v>65</v>
      </c>
      <c r="C376">
        <v>3</v>
      </c>
      <c r="D376">
        <v>40300</v>
      </c>
      <c r="E376" t="s">
        <v>68</v>
      </c>
      <c r="F376">
        <v>33</v>
      </c>
      <c r="G376">
        <v>2</v>
      </c>
      <c r="H376">
        <v>6100</v>
      </c>
      <c r="I376">
        <v>0.32722142522993125</v>
      </c>
      <c r="J376">
        <v>0</v>
      </c>
    </row>
    <row r="377" spans="1:10" x14ac:dyDescent="0.3">
      <c r="A377" t="s">
        <v>485</v>
      </c>
      <c r="B377" t="s">
        <v>62</v>
      </c>
      <c r="C377">
        <v>9</v>
      </c>
      <c r="D377">
        <v>30000</v>
      </c>
      <c r="E377" t="s">
        <v>68</v>
      </c>
      <c r="F377">
        <v>59</v>
      </c>
      <c r="G377">
        <v>8.6</v>
      </c>
      <c r="H377">
        <v>5500</v>
      </c>
      <c r="I377">
        <v>0.24776674173562074</v>
      </c>
      <c r="J377">
        <v>0</v>
      </c>
    </row>
    <row r="378" spans="1:10" x14ac:dyDescent="0.3">
      <c r="A378" t="s">
        <v>486</v>
      </c>
      <c r="B378" t="s">
        <v>513</v>
      </c>
      <c r="C378">
        <v>1</v>
      </c>
      <c r="D378">
        <v>47700</v>
      </c>
      <c r="E378" t="s">
        <v>66</v>
      </c>
      <c r="F378">
        <v>19</v>
      </c>
      <c r="G378">
        <v>2.6</v>
      </c>
      <c r="H378">
        <v>1000</v>
      </c>
      <c r="I378">
        <v>0.21325860406339947</v>
      </c>
      <c r="J378">
        <v>0</v>
      </c>
    </row>
    <row r="379" spans="1:10" x14ac:dyDescent="0.3">
      <c r="A379" t="s">
        <v>487</v>
      </c>
      <c r="B379" t="s">
        <v>513</v>
      </c>
      <c r="C379">
        <v>3</v>
      </c>
      <c r="D379">
        <v>13900</v>
      </c>
      <c r="E379" t="s">
        <v>69</v>
      </c>
      <c r="F379">
        <v>45</v>
      </c>
      <c r="G379">
        <v>14.9</v>
      </c>
      <c r="H379">
        <v>2100</v>
      </c>
      <c r="I379">
        <v>0.32069766945140832</v>
      </c>
      <c r="J379">
        <v>0</v>
      </c>
    </row>
    <row r="380" spans="1:10" x14ac:dyDescent="0.3">
      <c r="A380" t="s">
        <v>488</v>
      </c>
      <c r="B380" t="s">
        <v>62</v>
      </c>
      <c r="C380">
        <v>5</v>
      </c>
      <c r="D380">
        <v>47200</v>
      </c>
      <c r="E380" t="s">
        <v>66</v>
      </c>
      <c r="F380">
        <v>39</v>
      </c>
      <c r="G380">
        <v>2.7</v>
      </c>
      <c r="H380">
        <v>2700</v>
      </c>
      <c r="I380">
        <v>0.29447109966360807</v>
      </c>
      <c r="J380">
        <v>0</v>
      </c>
    </row>
    <row r="381" spans="1:10" x14ac:dyDescent="0.3">
      <c r="A381" t="s">
        <v>489</v>
      </c>
      <c r="B381" t="s">
        <v>65</v>
      </c>
      <c r="C381">
        <v>8</v>
      </c>
      <c r="D381">
        <v>29200</v>
      </c>
      <c r="E381" t="s">
        <v>67</v>
      </c>
      <c r="F381">
        <v>105</v>
      </c>
      <c r="G381">
        <v>1.9</v>
      </c>
      <c r="H381">
        <v>10900</v>
      </c>
      <c r="I381">
        <v>0.4192210928225395</v>
      </c>
      <c r="J381">
        <v>0</v>
      </c>
    </row>
    <row r="382" spans="1:10" x14ac:dyDescent="0.3">
      <c r="A382" t="s">
        <v>490</v>
      </c>
      <c r="B382" t="s">
        <v>513</v>
      </c>
      <c r="C382">
        <v>5</v>
      </c>
      <c r="D382">
        <v>41300</v>
      </c>
      <c r="E382" t="s">
        <v>69</v>
      </c>
      <c r="F382">
        <v>50</v>
      </c>
      <c r="G382">
        <v>3.6</v>
      </c>
      <c r="H382">
        <v>6100</v>
      </c>
      <c r="I382">
        <v>0.18029162471167304</v>
      </c>
      <c r="J382">
        <v>0</v>
      </c>
    </row>
    <row r="383" spans="1:10" x14ac:dyDescent="0.3">
      <c r="A383" t="s">
        <v>491</v>
      </c>
      <c r="B383" t="s">
        <v>62</v>
      </c>
      <c r="C383">
        <v>2</v>
      </c>
      <c r="D383">
        <v>16900</v>
      </c>
      <c r="E383" t="s">
        <v>68</v>
      </c>
      <c r="F383">
        <v>59</v>
      </c>
      <c r="G383">
        <v>2.2000000000000002</v>
      </c>
      <c r="H383">
        <v>6000</v>
      </c>
      <c r="I383">
        <v>0.49778599038647242</v>
      </c>
      <c r="J383">
        <v>0</v>
      </c>
    </row>
    <row r="384" spans="1:10" x14ac:dyDescent="0.3">
      <c r="A384" t="s">
        <v>492</v>
      </c>
      <c r="B384" t="s">
        <v>513</v>
      </c>
      <c r="C384">
        <v>6</v>
      </c>
      <c r="D384">
        <v>29300</v>
      </c>
      <c r="E384" t="s">
        <v>69</v>
      </c>
      <c r="F384">
        <v>23</v>
      </c>
      <c r="G384">
        <v>13.9</v>
      </c>
      <c r="H384">
        <v>11400</v>
      </c>
      <c r="I384">
        <v>0.53646343997080603</v>
      </c>
      <c r="J384">
        <v>0</v>
      </c>
    </row>
    <row r="385" spans="1:10" x14ac:dyDescent="0.3">
      <c r="A385" t="s">
        <v>493</v>
      </c>
      <c r="B385" t="s">
        <v>513</v>
      </c>
      <c r="C385">
        <v>4</v>
      </c>
      <c r="D385">
        <v>37800</v>
      </c>
      <c r="E385" t="s">
        <v>66</v>
      </c>
      <c r="F385">
        <v>46</v>
      </c>
      <c r="G385">
        <v>7</v>
      </c>
      <c r="H385">
        <v>4600</v>
      </c>
      <c r="I385">
        <v>0.894766886658378</v>
      </c>
      <c r="J385">
        <v>0</v>
      </c>
    </row>
    <row r="386" spans="1:10" x14ac:dyDescent="0.3">
      <c r="A386" t="s">
        <v>494</v>
      </c>
      <c r="B386" t="s">
        <v>64</v>
      </c>
      <c r="C386">
        <v>8</v>
      </c>
      <c r="D386">
        <v>58600</v>
      </c>
      <c r="E386" t="s">
        <v>68</v>
      </c>
      <c r="F386">
        <v>34</v>
      </c>
      <c r="G386">
        <v>0.4</v>
      </c>
      <c r="H386">
        <v>7000</v>
      </c>
      <c r="I386">
        <v>0.1606796049897673</v>
      </c>
      <c r="J386">
        <v>0</v>
      </c>
    </row>
    <row r="387" spans="1:10" x14ac:dyDescent="0.3">
      <c r="A387" t="s">
        <v>495</v>
      </c>
      <c r="B387" t="s">
        <v>64</v>
      </c>
      <c r="C387">
        <v>7</v>
      </c>
      <c r="D387">
        <v>34500</v>
      </c>
      <c r="E387" t="s">
        <v>69</v>
      </c>
      <c r="F387">
        <v>28</v>
      </c>
      <c r="G387">
        <v>11.7</v>
      </c>
      <c r="H387">
        <v>5300</v>
      </c>
      <c r="I387">
        <v>0.77035678371169469</v>
      </c>
      <c r="J387">
        <v>0</v>
      </c>
    </row>
    <row r="388" spans="1:10" x14ac:dyDescent="0.3">
      <c r="A388" t="s">
        <v>496</v>
      </c>
      <c r="B388" t="s">
        <v>65</v>
      </c>
      <c r="C388">
        <v>9</v>
      </c>
      <c r="D388">
        <v>25500</v>
      </c>
      <c r="E388" t="s">
        <v>69</v>
      </c>
      <c r="F388">
        <v>36</v>
      </c>
      <c r="G388">
        <v>3.2</v>
      </c>
      <c r="H388">
        <v>9700</v>
      </c>
      <c r="I388">
        <v>0.45605572014942675</v>
      </c>
      <c r="J388">
        <v>0</v>
      </c>
    </row>
    <row r="389" spans="1:10" x14ac:dyDescent="0.3">
      <c r="A389" t="s">
        <v>497</v>
      </c>
      <c r="B389" t="s">
        <v>513</v>
      </c>
      <c r="C389">
        <v>5</v>
      </c>
      <c r="D389">
        <v>13200</v>
      </c>
      <c r="E389" t="s">
        <v>68</v>
      </c>
      <c r="F389">
        <v>61</v>
      </c>
      <c r="G389">
        <v>14.5</v>
      </c>
      <c r="H389">
        <v>6600</v>
      </c>
      <c r="I389">
        <v>0.34002279123080448</v>
      </c>
      <c r="J389">
        <v>0</v>
      </c>
    </row>
    <row r="390" spans="1:10" x14ac:dyDescent="0.3">
      <c r="A390" t="s">
        <v>498</v>
      </c>
      <c r="B390" t="s">
        <v>513</v>
      </c>
      <c r="C390">
        <v>10</v>
      </c>
      <c r="D390">
        <v>54600</v>
      </c>
      <c r="E390" t="s">
        <v>68</v>
      </c>
      <c r="F390">
        <v>27</v>
      </c>
      <c r="G390">
        <v>11</v>
      </c>
      <c r="H390">
        <v>8500</v>
      </c>
      <c r="I390">
        <v>0.67272633253846847</v>
      </c>
      <c r="J390">
        <v>0</v>
      </c>
    </row>
    <row r="391" spans="1:10" x14ac:dyDescent="0.3">
      <c r="A391" t="s">
        <v>499</v>
      </c>
      <c r="B391" t="s">
        <v>513</v>
      </c>
      <c r="C391">
        <v>6</v>
      </c>
      <c r="D391">
        <v>61900</v>
      </c>
      <c r="E391" t="s">
        <v>69</v>
      </c>
      <c r="F391">
        <v>26</v>
      </c>
      <c r="G391">
        <v>4.0999999999999996</v>
      </c>
      <c r="H391">
        <v>3800</v>
      </c>
      <c r="I391">
        <v>0.22994548942683068</v>
      </c>
      <c r="J391">
        <v>0</v>
      </c>
    </row>
    <row r="392" spans="1:10" x14ac:dyDescent="0.3">
      <c r="A392" t="s">
        <v>500</v>
      </c>
      <c r="B392" t="s">
        <v>64</v>
      </c>
      <c r="C392">
        <v>6</v>
      </c>
      <c r="D392">
        <v>60300</v>
      </c>
      <c r="E392" t="s">
        <v>69</v>
      </c>
      <c r="F392">
        <v>12</v>
      </c>
      <c r="G392">
        <v>4.3</v>
      </c>
      <c r="H392">
        <v>1600</v>
      </c>
      <c r="I392">
        <v>0.97481129410589984</v>
      </c>
      <c r="J392">
        <v>0</v>
      </c>
    </row>
    <row r="393" spans="1:10" x14ac:dyDescent="0.3">
      <c r="A393" t="s">
        <v>501</v>
      </c>
      <c r="B393" t="s">
        <v>513</v>
      </c>
      <c r="C393">
        <v>5</v>
      </c>
      <c r="D393">
        <v>39200</v>
      </c>
      <c r="E393" t="s">
        <v>69</v>
      </c>
      <c r="F393">
        <v>37</v>
      </c>
      <c r="G393">
        <v>13.3</v>
      </c>
      <c r="H393">
        <v>6000</v>
      </c>
      <c r="I393">
        <v>9.9806521484910871E-3</v>
      </c>
      <c r="J393">
        <v>0</v>
      </c>
    </row>
    <row r="394" spans="1:10" x14ac:dyDescent="0.3">
      <c r="A394" t="s">
        <v>502</v>
      </c>
      <c r="B394" t="s">
        <v>513</v>
      </c>
      <c r="C394">
        <v>5</v>
      </c>
      <c r="D394">
        <v>51800</v>
      </c>
      <c r="E394" t="s">
        <v>68</v>
      </c>
      <c r="F394">
        <v>42</v>
      </c>
      <c r="G394">
        <v>0.5</v>
      </c>
      <c r="H394">
        <v>7600</v>
      </c>
      <c r="I394">
        <v>0.23702075288456537</v>
      </c>
      <c r="J394">
        <v>0</v>
      </c>
    </row>
    <row r="395" spans="1:10" x14ac:dyDescent="0.3">
      <c r="A395" t="s">
        <v>503</v>
      </c>
      <c r="B395" t="s">
        <v>65</v>
      </c>
      <c r="C395">
        <v>6</v>
      </c>
      <c r="D395">
        <v>66700</v>
      </c>
      <c r="E395" t="s">
        <v>69</v>
      </c>
      <c r="F395">
        <v>43</v>
      </c>
      <c r="G395">
        <v>3.7</v>
      </c>
      <c r="H395">
        <v>8200</v>
      </c>
      <c r="I395">
        <v>0.21867149127858831</v>
      </c>
      <c r="J395">
        <v>0</v>
      </c>
    </row>
    <row r="396" spans="1:10" x14ac:dyDescent="0.3">
      <c r="A396" t="s">
        <v>504</v>
      </c>
      <c r="B396" t="s">
        <v>62</v>
      </c>
      <c r="C396">
        <v>3</v>
      </c>
      <c r="D396">
        <v>49000</v>
      </c>
      <c r="E396" t="s">
        <v>67</v>
      </c>
      <c r="F396">
        <v>67</v>
      </c>
      <c r="G396">
        <v>4.0999999999999996</v>
      </c>
      <c r="H396">
        <v>5500</v>
      </c>
      <c r="I396">
        <v>0.65784667650701567</v>
      </c>
      <c r="J396">
        <v>0</v>
      </c>
    </row>
    <row r="397" spans="1:10" x14ac:dyDescent="0.3">
      <c r="A397" t="s">
        <v>505</v>
      </c>
      <c r="B397" t="s">
        <v>65</v>
      </c>
      <c r="C397">
        <v>2</v>
      </c>
      <c r="D397">
        <v>29200</v>
      </c>
      <c r="E397" t="s">
        <v>67</v>
      </c>
      <c r="F397">
        <v>54</v>
      </c>
      <c r="G397">
        <v>4.5999999999999996</v>
      </c>
      <c r="H397">
        <v>0</v>
      </c>
      <c r="I397">
        <v>0.23535892052094254</v>
      </c>
      <c r="J397">
        <v>0</v>
      </c>
    </row>
    <row r="398" spans="1:10" x14ac:dyDescent="0.3">
      <c r="A398" t="s">
        <v>506</v>
      </c>
      <c r="B398" t="s">
        <v>62</v>
      </c>
      <c r="C398">
        <v>4</v>
      </c>
      <c r="D398">
        <v>38800</v>
      </c>
      <c r="E398" t="s">
        <v>69</v>
      </c>
      <c r="F398">
        <v>43</v>
      </c>
      <c r="G398">
        <v>7.7</v>
      </c>
      <c r="H398">
        <v>3700</v>
      </c>
      <c r="I398">
        <v>0.27587314628896953</v>
      </c>
      <c r="J398">
        <v>0</v>
      </c>
    </row>
    <row r="399" spans="1:10" x14ac:dyDescent="0.3">
      <c r="A399" t="s">
        <v>507</v>
      </c>
      <c r="B399" t="s">
        <v>513</v>
      </c>
      <c r="C399">
        <v>7</v>
      </c>
      <c r="D399">
        <v>34400</v>
      </c>
      <c r="E399" t="s">
        <v>68</v>
      </c>
      <c r="F399">
        <v>34</v>
      </c>
      <c r="G399">
        <v>12.8</v>
      </c>
      <c r="H399">
        <v>3800</v>
      </c>
      <c r="I399">
        <v>0.13950814696199387</v>
      </c>
      <c r="J399">
        <v>0</v>
      </c>
    </row>
    <row r="400" spans="1:10" x14ac:dyDescent="0.3">
      <c r="A400" t="s">
        <v>508</v>
      </c>
      <c r="B400" t="s">
        <v>64</v>
      </c>
      <c r="C400">
        <v>9</v>
      </c>
      <c r="D400">
        <v>99700</v>
      </c>
      <c r="E400" t="s">
        <v>66</v>
      </c>
      <c r="F400">
        <v>62</v>
      </c>
      <c r="G400">
        <v>10.3</v>
      </c>
      <c r="H400">
        <v>6400</v>
      </c>
      <c r="I400">
        <v>0.74661640219151792</v>
      </c>
      <c r="J400">
        <v>0</v>
      </c>
    </row>
    <row r="401" spans="1:10" x14ac:dyDescent="0.3">
      <c r="A401" t="s">
        <v>509</v>
      </c>
      <c r="B401" t="s">
        <v>513</v>
      </c>
      <c r="C401">
        <v>10</v>
      </c>
      <c r="D401">
        <v>82200</v>
      </c>
      <c r="E401" t="s">
        <v>69</v>
      </c>
      <c r="F401">
        <v>42</v>
      </c>
      <c r="G401">
        <v>10.4</v>
      </c>
      <c r="H401">
        <v>5900</v>
      </c>
      <c r="I401">
        <v>0.42497344162863526</v>
      </c>
      <c r="J401">
        <v>0</v>
      </c>
    </row>
    <row r="402" spans="1:10" x14ac:dyDescent="0.3">
      <c r="A402" t="s">
        <v>514</v>
      </c>
      <c r="B402" t="s">
        <v>65</v>
      </c>
      <c r="C402">
        <v>5</v>
      </c>
      <c r="D402">
        <v>30600</v>
      </c>
      <c r="E402" t="s">
        <v>67</v>
      </c>
      <c r="F402">
        <v>59</v>
      </c>
      <c r="G402">
        <v>13.9</v>
      </c>
      <c r="H402">
        <v>4600</v>
      </c>
      <c r="I402">
        <v>0.20693918526506438</v>
      </c>
      <c r="J402">
        <v>0</v>
      </c>
    </row>
    <row r="403" spans="1:10" x14ac:dyDescent="0.3">
      <c r="A403" t="s">
        <v>515</v>
      </c>
      <c r="B403" t="s">
        <v>62</v>
      </c>
      <c r="C403">
        <v>3</v>
      </c>
      <c r="D403">
        <v>55100</v>
      </c>
      <c r="E403" t="s">
        <v>67</v>
      </c>
      <c r="F403">
        <v>117</v>
      </c>
      <c r="G403">
        <v>5.7</v>
      </c>
      <c r="H403">
        <v>4700</v>
      </c>
      <c r="I403">
        <v>0.89920398265832191</v>
      </c>
      <c r="J403">
        <v>0</v>
      </c>
    </row>
    <row r="404" spans="1:10" x14ac:dyDescent="0.3">
      <c r="A404" t="s">
        <v>516</v>
      </c>
      <c r="B404" t="s">
        <v>64</v>
      </c>
      <c r="C404">
        <v>7</v>
      </c>
      <c r="D404">
        <v>38300</v>
      </c>
      <c r="E404" t="s">
        <v>66</v>
      </c>
      <c r="F404">
        <v>41</v>
      </c>
      <c r="G404">
        <v>8.6</v>
      </c>
      <c r="H404">
        <v>4200</v>
      </c>
      <c r="I404">
        <v>0.18072522129222979</v>
      </c>
      <c r="J404">
        <v>0</v>
      </c>
    </row>
    <row r="405" spans="1:10" x14ac:dyDescent="0.3">
      <c r="A405" t="s">
        <v>517</v>
      </c>
      <c r="B405" t="s">
        <v>513</v>
      </c>
      <c r="C405">
        <v>7</v>
      </c>
      <c r="D405">
        <v>17800</v>
      </c>
      <c r="E405" t="s">
        <v>66</v>
      </c>
      <c r="F405">
        <v>34</v>
      </c>
      <c r="G405">
        <v>14</v>
      </c>
      <c r="H405">
        <v>2700</v>
      </c>
      <c r="I405">
        <v>0.28873748612440508</v>
      </c>
      <c r="J405">
        <v>0</v>
      </c>
    </row>
    <row r="406" spans="1:10" x14ac:dyDescent="0.3">
      <c r="A406" t="s">
        <v>518</v>
      </c>
      <c r="B406" t="s">
        <v>64</v>
      </c>
      <c r="C406">
        <v>7</v>
      </c>
      <c r="D406">
        <v>29200</v>
      </c>
      <c r="E406" t="s">
        <v>67</v>
      </c>
      <c r="F406">
        <v>105</v>
      </c>
      <c r="G406">
        <v>5.9</v>
      </c>
      <c r="H406">
        <v>6600</v>
      </c>
      <c r="I406">
        <v>0.78132665838285675</v>
      </c>
      <c r="J406">
        <v>0</v>
      </c>
    </row>
    <row r="407" spans="1:10" x14ac:dyDescent="0.3">
      <c r="A407" t="s">
        <v>519</v>
      </c>
      <c r="B407" t="s">
        <v>513</v>
      </c>
      <c r="C407">
        <v>6</v>
      </c>
      <c r="D407">
        <v>43100</v>
      </c>
      <c r="E407" t="s">
        <v>68</v>
      </c>
      <c r="F407">
        <v>39</v>
      </c>
      <c r="G407">
        <v>13.7</v>
      </c>
      <c r="H407">
        <v>6800</v>
      </c>
      <c r="I407">
        <v>0.56835258272655231</v>
      </c>
      <c r="J407">
        <v>0</v>
      </c>
    </row>
    <row r="408" spans="1:10" x14ac:dyDescent="0.3">
      <c r="A408" t="s">
        <v>520</v>
      </c>
      <c r="B408" t="s">
        <v>64</v>
      </c>
      <c r="C408">
        <v>4</v>
      </c>
      <c r="D408">
        <v>45200</v>
      </c>
      <c r="E408" t="s">
        <v>67</v>
      </c>
      <c r="F408">
        <v>93</v>
      </c>
      <c r="G408">
        <v>0.9</v>
      </c>
      <c r="H408">
        <v>1500</v>
      </c>
      <c r="I408">
        <v>0.77540900858239237</v>
      </c>
      <c r="J408">
        <v>0</v>
      </c>
    </row>
    <row r="409" spans="1:10" x14ac:dyDescent="0.3">
      <c r="A409" t="s">
        <v>521</v>
      </c>
      <c r="B409" t="s">
        <v>64</v>
      </c>
      <c r="C409">
        <v>7</v>
      </c>
      <c r="D409">
        <v>20300</v>
      </c>
      <c r="E409" t="s">
        <v>68</v>
      </c>
      <c r="F409">
        <v>47</v>
      </c>
      <c r="G409">
        <v>7.2</v>
      </c>
      <c r="H409">
        <v>4500</v>
      </c>
      <c r="I409">
        <v>0.91644465771888184</v>
      </c>
      <c r="J409">
        <v>0</v>
      </c>
    </row>
    <row r="410" spans="1:10" x14ac:dyDescent="0.3">
      <c r="A410" t="s">
        <v>522</v>
      </c>
      <c r="B410" t="s">
        <v>65</v>
      </c>
      <c r="C410">
        <v>10</v>
      </c>
      <c r="D410">
        <v>32000</v>
      </c>
      <c r="E410" t="s">
        <v>69</v>
      </c>
      <c r="F410">
        <v>51</v>
      </c>
      <c r="G410">
        <v>13.6</v>
      </c>
      <c r="H410">
        <v>6700</v>
      </c>
      <c r="I410">
        <v>0.44971671261270663</v>
      </c>
      <c r="J410">
        <v>0</v>
      </c>
    </row>
    <row r="411" spans="1:10" x14ac:dyDescent="0.3">
      <c r="A411" t="s">
        <v>523</v>
      </c>
      <c r="B411" t="s">
        <v>62</v>
      </c>
      <c r="C411">
        <v>4</v>
      </c>
      <c r="D411">
        <v>75100</v>
      </c>
      <c r="E411" t="s">
        <v>69</v>
      </c>
      <c r="F411">
        <v>12</v>
      </c>
      <c r="G411">
        <v>9.1999999999999993</v>
      </c>
      <c r="H411">
        <v>7900</v>
      </c>
      <c r="I411">
        <v>0.49463773408382461</v>
      </c>
      <c r="J411">
        <v>0</v>
      </c>
    </row>
    <row r="412" spans="1:10" x14ac:dyDescent="0.3">
      <c r="A412" t="s">
        <v>524</v>
      </c>
      <c r="B412" t="s">
        <v>513</v>
      </c>
      <c r="C412">
        <v>5</v>
      </c>
      <c r="D412">
        <v>25500</v>
      </c>
      <c r="E412" t="s">
        <v>68</v>
      </c>
      <c r="F412">
        <v>20</v>
      </c>
      <c r="G412">
        <v>11.5</v>
      </c>
      <c r="H412">
        <v>3100</v>
      </c>
      <c r="I412">
        <v>0.8206371414760496</v>
      </c>
      <c r="J412">
        <v>0</v>
      </c>
    </row>
    <row r="413" spans="1:10" x14ac:dyDescent="0.3">
      <c r="A413" t="s">
        <v>525</v>
      </c>
      <c r="B413" t="s">
        <v>513</v>
      </c>
      <c r="C413">
        <v>4</v>
      </c>
      <c r="D413">
        <v>16200</v>
      </c>
      <c r="E413" t="s">
        <v>68</v>
      </c>
      <c r="F413">
        <v>71</v>
      </c>
      <c r="G413">
        <v>5.0999999999999996</v>
      </c>
      <c r="H413">
        <v>4100</v>
      </c>
      <c r="I413">
        <v>0.77718883106346937</v>
      </c>
      <c r="J413">
        <v>0</v>
      </c>
    </row>
    <row r="414" spans="1:10" x14ac:dyDescent="0.3">
      <c r="A414" t="s">
        <v>526</v>
      </c>
      <c r="B414" t="s">
        <v>513</v>
      </c>
      <c r="C414">
        <v>6</v>
      </c>
      <c r="D414">
        <v>58800</v>
      </c>
      <c r="E414" t="s">
        <v>69</v>
      </c>
      <c r="F414">
        <v>55</v>
      </c>
      <c r="G414">
        <v>3.2</v>
      </c>
      <c r="H414">
        <v>7800</v>
      </c>
      <c r="I414">
        <v>9.9678676703804481E-2</v>
      </c>
      <c r="J414">
        <v>0</v>
      </c>
    </row>
    <row r="415" spans="1:10" x14ac:dyDescent="0.3">
      <c r="A415" t="s">
        <v>527</v>
      </c>
      <c r="B415" t="s">
        <v>513</v>
      </c>
      <c r="C415">
        <v>4</v>
      </c>
      <c r="D415">
        <v>22900</v>
      </c>
      <c r="E415" t="s">
        <v>66</v>
      </c>
      <c r="F415">
        <v>15</v>
      </c>
      <c r="G415">
        <v>4.3</v>
      </c>
      <c r="H415">
        <v>6500</v>
      </c>
      <c r="I415">
        <v>0.12480074629411453</v>
      </c>
      <c r="J415">
        <v>0</v>
      </c>
    </row>
    <row r="416" spans="1:10" x14ac:dyDescent="0.3">
      <c r="A416" t="s">
        <v>528</v>
      </c>
      <c r="B416" t="s">
        <v>62</v>
      </c>
      <c r="C416">
        <v>4</v>
      </c>
      <c r="D416">
        <v>29700</v>
      </c>
      <c r="E416" t="s">
        <v>69</v>
      </c>
      <c r="F416">
        <v>39</v>
      </c>
      <c r="G416">
        <v>2.2999999999999998</v>
      </c>
      <c r="H416">
        <v>9500</v>
      </c>
      <c r="I416">
        <v>0.43736462003313925</v>
      </c>
      <c r="J416">
        <v>0</v>
      </c>
    </row>
    <row r="417" spans="1:10" x14ac:dyDescent="0.3">
      <c r="A417" t="s">
        <v>529</v>
      </c>
      <c r="B417" t="s">
        <v>65</v>
      </c>
      <c r="C417">
        <v>8</v>
      </c>
      <c r="D417">
        <v>53000</v>
      </c>
      <c r="E417" t="s">
        <v>66</v>
      </c>
      <c r="F417">
        <v>32</v>
      </c>
      <c r="G417">
        <v>8.6999999999999993</v>
      </c>
      <c r="H417">
        <v>2600</v>
      </c>
      <c r="I417">
        <v>0.69967351044587844</v>
      </c>
      <c r="J417">
        <v>0</v>
      </c>
    </row>
    <row r="418" spans="1:10" x14ac:dyDescent="0.3">
      <c r="A418" t="s">
        <v>530</v>
      </c>
      <c r="B418" t="s">
        <v>62</v>
      </c>
      <c r="C418">
        <v>7</v>
      </c>
      <c r="D418">
        <v>19500</v>
      </c>
      <c r="E418" t="s">
        <v>66</v>
      </c>
      <c r="F418">
        <v>18</v>
      </c>
      <c r="G418">
        <v>4</v>
      </c>
      <c r="H418">
        <v>6400</v>
      </c>
      <c r="I418">
        <v>0.604970735221106</v>
      </c>
      <c r="J418">
        <v>0</v>
      </c>
    </row>
    <row r="419" spans="1:10" x14ac:dyDescent="0.3">
      <c r="A419" t="s">
        <v>531</v>
      </c>
      <c r="B419" t="s">
        <v>64</v>
      </c>
      <c r="C419">
        <v>6</v>
      </c>
      <c r="D419">
        <v>44400</v>
      </c>
      <c r="E419" t="s">
        <v>66</v>
      </c>
      <c r="F419">
        <v>57</v>
      </c>
      <c r="G419">
        <v>6.5</v>
      </c>
      <c r="H419">
        <v>1700</v>
      </c>
      <c r="I419">
        <v>0.6250691322270252</v>
      </c>
      <c r="J419">
        <v>0</v>
      </c>
    </row>
    <row r="420" spans="1:10" x14ac:dyDescent="0.3">
      <c r="A420" t="s">
        <v>532</v>
      </c>
      <c r="B420" t="s">
        <v>65</v>
      </c>
      <c r="C420">
        <v>6</v>
      </c>
      <c r="D420">
        <v>74500</v>
      </c>
      <c r="E420" t="s">
        <v>67</v>
      </c>
      <c r="F420">
        <v>75</v>
      </c>
      <c r="G420">
        <v>6.3</v>
      </c>
      <c r="H420">
        <v>3900</v>
      </c>
      <c r="I420">
        <v>0.24797183695272795</v>
      </c>
      <c r="J420">
        <v>0</v>
      </c>
    </row>
    <row r="421" spans="1:10" x14ac:dyDescent="0.3">
      <c r="A421" t="s">
        <v>533</v>
      </c>
      <c r="B421" t="s">
        <v>513</v>
      </c>
      <c r="C421">
        <v>5</v>
      </c>
      <c r="D421">
        <v>65100</v>
      </c>
      <c r="E421" t="s">
        <v>68</v>
      </c>
      <c r="F421">
        <v>28</v>
      </c>
      <c r="G421">
        <v>1.9</v>
      </c>
      <c r="H421">
        <v>4000</v>
      </c>
      <c r="I421">
        <v>0.90735684091739199</v>
      </c>
      <c r="J421">
        <v>0</v>
      </c>
    </row>
    <row r="422" spans="1:10" x14ac:dyDescent="0.3">
      <c r="A422" t="s">
        <v>534</v>
      </c>
      <c r="B422" t="s">
        <v>513</v>
      </c>
      <c r="C422">
        <v>5</v>
      </c>
      <c r="D422">
        <v>36500</v>
      </c>
      <c r="E422" t="s">
        <v>69</v>
      </c>
      <c r="F422">
        <v>28</v>
      </c>
      <c r="G422">
        <v>5.9</v>
      </c>
      <c r="H422">
        <v>7500</v>
      </c>
      <c r="I422">
        <v>8.4859436914875519E-2</v>
      </c>
      <c r="J422">
        <v>0</v>
      </c>
    </row>
    <row r="423" spans="1:10" x14ac:dyDescent="0.3">
      <c r="A423" t="s">
        <v>535</v>
      </c>
      <c r="B423" t="s">
        <v>62</v>
      </c>
      <c r="C423">
        <v>7</v>
      </c>
      <c r="D423">
        <v>108000</v>
      </c>
      <c r="E423" t="s">
        <v>69</v>
      </c>
      <c r="F423">
        <v>15</v>
      </c>
      <c r="G423">
        <v>3.5</v>
      </c>
      <c r="H423">
        <v>3700</v>
      </c>
      <c r="I423">
        <v>0.54894242105356761</v>
      </c>
      <c r="J423">
        <v>0</v>
      </c>
    </row>
    <row r="424" spans="1:10" x14ac:dyDescent="0.3">
      <c r="A424" t="s">
        <v>536</v>
      </c>
      <c r="B424" t="s">
        <v>65</v>
      </c>
      <c r="C424">
        <v>7</v>
      </c>
      <c r="D424">
        <v>66200</v>
      </c>
      <c r="E424" t="s">
        <v>69</v>
      </c>
      <c r="F424">
        <v>23</v>
      </c>
      <c r="G424">
        <v>1.5</v>
      </c>
      <c r="H424">
        <v>2400</v>
      </c>
      <c r="I424">
        <v>0.61291041388265299</v>
      </c>
      <c r="J424">
        <v>0</v>
      </c>
    </row>
    <row r="425" spans="1:10" x14ac:dyDescent="0.3">
      <c r="A425" t="s">
        <v>537</v>
      </c>
      <c r="B425" t="s">
        <v>62</v>
      </c>
      <c r="C425">
        <v>4</v>
      </c>
      <c r="D425">
        <v>35300</v>
      </c>
      <c r="E425" t="s">
        <v>68</v>
      </c>
      <c r="F425">
        <v>36</v>
      </c>
      <c r="G425">
        <v>3.5</v>
      </c>
      <c r="H425">
        <v>7200</v>
      </c>
      <c r="I425">
        <v>0.25515131540285085</v>
      </c>
      <c r="J425">
        <v>0</v>
      </c>
    </row>
    <row r="426" spans="1:10" x14ac:dyDescent="0.3">
      <c r="A426" t="s">
        <v>538</v>
      </c>
      <c r="B426" t="s">
        <v>65</v>
      </c>
      <c r="C426">
        <v>6</v>
      </c>
      <c r="D426">
        <v>14300</v>
      </c>
      <c r="E426" t="s">
        <v>68</v>
      </c>
      <c r="F426">
        <v>34</v>
      </c>
      <c r="G426">
        <v>5.8</v>
      </c>
      <c r="H426">
        <v>5500</v>
      </c>
      <c r="I426">
        <v>0.52912233497903671</v>
      </c>
      <c r="J426">
        <v>0</v>
      </c>
    </row>
    <row r="427" spans="1:10" x14ac:dyDescent="0.3">
      <c r="A427" t="s">
        <v>539</v>
      </c>
      <c r="B427" t="s">
        <v>64</v>
      </c>
      <c r="C427">
        <v>3</v>
      </c>
      <c r="D427">
        <v>45100</v>
      </c>
      <c r="E427" t="s">
        <v>69</v>
      </c>
      <c r="F427">
        <v>14</v>
      </c>
      <c r="G427">
        <v>3.2</v>
      </c>
      <c r="H427">
        <v>0</v>
      </c>
      <c r="I427">
        <v>0.68555367206917328</v>
      </c>
      <c r="J427">
        <v>0</v>
      </c>
    </row>
    <row r="428" spans="1:10" x14ac:dyDescent="0.3">
      <c r="A428" t="s">
        <v>540</v>
      </c>
      <c r="B428" t="s">
        <v>65</v>
      </c>
      <c r="C428">
        <v>7</v>
      </c>
      <c r="D428">
        <v>28800</v>
      </c>
      <c r="E428" t="s">
        <v>67</v>
      </c>
      <c r="F428">
        <v>118</v>
      </c>
      <c r="G428">
        <v>4.3</v>
      </c>
      <c r="H428">
        <v>7600</v>
      </c>
      <c r="I428">
        <v>0.23196505432237535</v>
      </c>
      <c r="J428">
        <v>0</v>
      </c>
    </row>
    <row r="429" spans="1:10" x14ac:dyDescent="0.3">
      <c r="A429" t="s">
        <v>541</v>
      </c>
      <c r="B429" t="s">
        <v>513</v>
      </c>
      <c r="C429">
        <v>8</v>
      </c>
      <c r="D429">
        <v>97600</v>
      </c>
      <c r="E429" t="s">
        <v>67</v>
      </c>
      <c r="F429">
        <v>111</v>
      </c>
      <c r="G429">
        <v>14</v>
      </c>
      <c r="H429">
        <v>9500</v>
      </c>
      <c r="I429">
        <v>6.7756145097643161E-2</v>
      </c>
      <c r="J429">
        <v>0</v>
      </c>
    </row>
    <row r="430" spans="1:10" x14ac:dyDescent="0.3">
      <c r="A430" t="s">
        <v>542</v>
      </c>
      <c r="B430" t="s">
        <v>65</v>
      </c>
      <c r="C430">
        <v>3</v>
      </c>
      <c r="D430">
        <v>52100</v>
      </c>
      <c r="E430" t="s">
        <v>66</v>
      </c>
      <c r="F430">
        <v>63</v>
      </c>
      <c r="G430">
        <v>6.7</v>
      </c>
      <c r="H430">
        <v>7700</v>
      </c>
      <c r="I430">
        <v>4.2723273454901567E-2</v>
      </c>
      <c r="J430">
        <v>0</v>
      </c>
    </row>
    <row r="431" spans="1:10" x14ac:dyDescent="0.3">
      <c r="A431" t="s">
        <v>543</v>
      </c>
      <c r="B431" t="s">
        <v>65</v>
      </c>
      <c r="C431">
        <v>2</v>
      </c>
      <c r="D431">
        <v>11400</v>
      </c>
      <c r="E431" t="s">
        <v>67</v>
      </c>
      <c r="F431">
        <v>71</v>
      </c>
      <c r="G431">
        <v>11.3</v>
      </c>
      <c r="H431">
        <v>4600</v>
      </c>
      <c r="I431">
        <v>8.7404210603645671E-2</v>
      </c>
      <c r="J431">
        <v>0</v>
      </c>
    </row>
    <row r="432" spans="1:10" x14ac:dyDescent="0.3">
      <c r="A432" t="s">
        <v>544</v>
      </c>
      <c r="B432" t="s">
        <v>65</v>
      </c>
      <c r="C432">
        <v>7</v>
      </c>
      <c r="D432">
        <v>57000</v>
      </c>
      <c r="E432" t="s">
        <v>67</v>
      </c>
      <c r="F432">
        <v>62</v>
      </c>
      <c r="G432">
        <v>5.3</v>
      </c>
      <c r="H432">
        <v>9900</v>
      </c>
      <c r="I432">
        <v>0.77389319900829956</v>
      </c>
      <c r="J432">
        <v>0</v>
      </c>
    </row>
    <row r="433" spans="1:10" x14ac:dyDescent="0.3">
      <c r="A433" t="s">
        <v>545</v>
      </c>
      <c r="B433" t="s">
        <v>64</v>
      </c>
      <c r="C433">
        <v>5</v>
      </c>
      <c r="D433">
        <v>21500</v>
      </c>
      <c r="E433" t="s">
        <v>67</v>
      </c>
      <c r="F433">
        <v>108</v>
      </c>
      <c r="G433">
        <v>9.3000000000000007</v>
      </c>
      <c r="H433">
        <v>8600</v>
      </c>
      <c r="I433">
        <v>0.6053330022476443</v>
      </c>
      <c r="J433">
        <v>0</v>
      </c>
    </row>
    <row r="434" spans="1:10" x14ac:dyDescent="0.3">
      <c r="A434" t="s">
        <v>546</v>
      </c>
      <c r="B434" t="s">
        <v>64</v>
      </c>
      <c r="C434">
        <v>4</v>
      </c>
      <c r="D434">
        <v>28600</v>
      </c>
      <c r="E434" t="s">
        <v>69</v>
      </c>
      <c r="F434">
        <v>21</v>
      </c>
      <c r="G434">
        <v>11.5</v>
      </c>
      <c r="H434">
        <v>5900</v>
      </c>
      <c r="I434">
        <v>0.91058946212498604</v>
      </c>
      <c r="J434">
        <v>0</v>
      </c>
    </row>
    <row r="435" spans="1:10" x14ac:dyDescent="0.3">
      <c r="A435" t="s">
        <v>547</v>
      </c>
      <c r="B435" t="s">
        <v>65</v>
      </c>
      <c r="C435">
        <v>3</v>
      </c>
      <c r="D435">
        <v>30400</v>
      </c>
      <c r="E435" t="s">
        <v>69</v>
      </c>
      <c r="F435">
        <v>13</v>
      </c>
      <c r="G435">
        <v>9.6999999999999993</v>
      </c>
      <c r="H435">
        <v>6300</v>
      </c>
      <c r="I435">
        <v>0.93734927621438102</v>
      </c>
      <c r="J435">
        <v>0</v>
      </c>
    </row>
    <row r="436" spans="1:10" x14ac:dyDescent="0.3">
      <c r="A436" t="s">
        <v>548</v>
      </c>
      <c r="B436" t="s">
        <v>62</v>
      </c>
      <c r="C436">
        <v>2</v>
      </c>
      <c r="D436">
        <v>66700</v>
      </c>
      <c r="E436" t="s">
        <v>66</v>
      </c>
      <c r="F436">
        <v>44</v>
      </c>
      <c r="G436">
        <v>7.3</v>
      </c>
      <c r="H436">
        <v>8200</v>
      </c>
      <c r="I436">
        <v>0.34643891477274857</v>
      </c>
      <c r="J436">
        <v>0</v>
      </c>
    </row>
    <row r="437" spans="1:10" x14ac:dyDescent="0.3">
      <c r="A437" t="s">
        <v>549</v>
      </c>
      <c r="B437" t="s">
        <v>65</v>
      </c>
      <c r="C437">
        <v>7</v>
      </c>
      <c r="D437">
        <v>59400</v>
      </c>
      <c r="E437" t="s">
        <v>67</v>
      </c>
      <c r="F437">
        <v>54</v>
      </c>
      <c r="G437">
        <v>11.6</v>
      </c>
      <c r="H437">
        <v>10700</v>
      </c>
      <c r="I437">
        <v>0.94470176996770261</v>
      </c>
      <c r="J437">
        <v>0</v>
      </c>
    </row>
    <row r="438" spans="1:10" x14ac:dyDescent="0.3">
      <c r="A438" t="s">
        <v>550</v>
      </c>
      <c r="B438" t="s">
        <v>64</v>
      </c>
      <c r="C438">
        <v>8</v>
      </c>
      <c r="D438">
        <v>58600</v>
      </c>
      <c r="E438" t="s">
        <v>66</v>
      </c>
      <c r="F438">
        <v>25</v>
      </c>
      <c r="G438">
        <v>8.1</v>
      </c>
      <c r="H438">
        <v>11200</v>
      </c>
      <c r="I438">
        <v>0.68126279389409339</v>
      </c>
      <c r="J438">
        <v>0</v>
      </c>
    </row>
    <row r="439" spans="1:10" x14ac:dyDescent="0.3">
      <c r="A439" t="s">
        <v>551</v>
      </c>
      <c r="B439" t="s">
        <v>62</v>
      </c>
      <c r="C439">
        <v>6</v>
      </c>
      <c r="D439">
        <v>25400</v>
      </c>
      <c r="E439" t="s">
        <v>66</v>
      </c>
      <c r="F439">
        <v>36</v>
      </c>
      <c r="G439">
        <v>3</v>
      </c>
      <c r="H439">
        <v>2100</v>
      </c>
      <c r="I439">
        <v>0.73563114005469588</v>
      </c>
      <c r="J439">
        <v>0</v>
      </c>
    </row>
    <row r="440" spans="1:10" x14ac:dyDescent="0.3">
      <c r="A440" t="s">
        <v>552</v>
      </c>
      <c r="B440" t="s">
        <v>513</v>
      </c>
      <c r="C440">
        <v>5</v>
      </c>
      <c r="D440">
        <v>47400</v>
      </c>
      <c r="E440" t="s">
        <v>66</v>
      </c>
      <c r="F440">
        <v>28</v>
      </c>
      <c r="G440">
        <v>13.4</v>
      </c>
      <c r="H440">
        <v>4800</v>
      </c>
      <c r="I440">
        <v>0.75397284850532231</v>
      </c>
      <c r="J440">
        <v>0</v>
      </c>
    </row>
    <row r="441" spans="1:10" x14ac:dyDescent="0.3">
      <c r="A441" t="s">
        <v>553</v>
      </c>
      <c r="B441" t="s">
        <v>62</v>
      </c>
      <c r="C441">
        <v>8</v>
      </c>
      <c r="D441">
        <v>56100</v>
      </c>
      <c r="E441" t="s">
        <v>66</v>
      </c>
      <c r="F441">
        <v>65</v>
      </c>
      <c r="G441">
        <v>9.8000000000000007</v>
      </c>
      <c r="H441">
        <v>5600</v>
      </c>
      <c r="I441">
        <v>0.7844553505394054</v>
      </c>
      <c r="J441">
        <v>0</v>
      </c>
    </row>
    <row r="442" spans="1:10" x14ac:dyDescent="0.3">
      <c r="A442" t="s">
        <v>554</v>
      </c>
      <c r="B442" t="s">
        <v>62</v>
      </c>
      <c r="C442">
        <v>5</v>
      </c>
      <c r="D442">
        <v>26900</v>
      </c>
      <c r="E442" t="s">
        <v>69</v>
      </c>
      <c r="F442">
        <v>51</v>
      </c>
      <c r="G442">
        <v>3.8</v>
      </c>
      <c r="H442">
        <v>1400</v>
      </c>
      <c r="I442">
        <v>0.55442792345952796</v>
      </c>
      <c r="J442">
        <v>0</v>
      </c>
    </row>
    <row r="443" spans="1:10" x14ac:dyDescent="0.3">
      <c r="A443" t="s">
        <v>555</v>
      </c>
      <c r="B443" t="s">
        <v>65</v>
      </c>
      <c r="C443">
        <v>7</v>
      </c>
      <c r="D443">
        <v>91900</v>
      </c>
      <c r="E443" t="s">
        <v>68</v>
      </c>
      <c r="F443">
        <v>69</v>
      </c>
      <c r="G443">
        <v>10.5</v>
      </c>
      <c r="H443">
        <v>6300</v>
      </c>
      <c r="I443">
        <v>0.15674581695715162</v>
      </c>
      <c r="J443">
        <v>0</v>
      </c>
    </row>
    <row r="444" spans="1:10" x14ac:dyDescent="0.3">
      <c r="A444" t="s">
        <v>556</v>
      </c>
      <c r="B444" t="s">
        <v>62</v>
      </c>
      <c r="C444">
        <v>2</v>
      </c>
      <c r="D444">
        <v>20200</v>
      </c>
      <c r="E444" t="s">
        <v>66</v>
      </c>
      <c r="F444">
        <v>15</v>
      </c>
      <c r="G444">
        <v>8</v>
      </c>
      <c r="H444">
        <v>3200</v>
      </c>
      <c r="I444">
        <v>0.21134640681590444</v>
      </c>
      <c r="J444">
        <v>0</v>
      </c>
    </row>
    <row r="445" spans="1:10" x14ac:dyDescent="0.3">
      <c r="A445" t="s">
        <v>557</v>
      </c>
      <c r="B445" t="s">
        <v>65</v>
      </c>
      <c r="C445">
        <v>5</v>
      </c>
      <c r="D445">
        <v>18000</v>
      </c>
      <c r="E445" t="s">
        <v>67</v>
      </c>
      <c r="F445">
        <v>115</v>
      </c>
      <c r="G445">
        <v>5.3</v>
      </c>
      <c r="H445">
        <v>10400</v>
      </c>
      <c r="I445">
        <v>0.92847121499152252</v>
      </c>
      <c r="J445">
        <v>0</v>
      </c>
    </row>
    <row r="446" spans="1:10" x14ac:dyDescent="0.3">
      <c r="A446" t="s">
        <v>558</v>
      </c>
      <c r="B446" t="s">
        <v>65</v>
      </c>
      <c r="C446">
        <v>4</v>
      </c>
      <c r="D446">
        <v>21100</v>
      </c>
      <c r="E446" t="s">
        <v>67</v>
      </c>
      <c r="F446">
        <v>59</v>
      </c>
      <c r="G446">
        <v>13.5</v>
      </c>
      <c r="H446">
        <v>7400</v>
      </c>
      <c r="I446">
        <v>0.26508002498200478</v>
      </c>
      <c r="J446">
        <v>0</v>
      </c>
    </row>
    <row r="447" spans="1:10" x14ac:dyDescent="0.3">
      <c r="A447" t="s">
        <v>559</v>
      </c>
      <c r="B447" t="s">
        <v>65</v>
      </c>
      <c r="C447">
        <v>3</v>
      </c>
      <c r="D447">
        <v>34500</v>
      </c>
      <c r="E447" t="s">
        <v>67</v>
      </c>
      <c r="F447">
        <v>81</v>
      </c>
      <c r="G447">
        <v>2.5</v>
      </c>
      <c r="H447">
        <v>2000</v>
      </c>
      <c r="I447">
        <v>7.8492565482185972E-2</v>
      </c>
      <c r="J447">
        <v>0</v>
      </c>
    </row>
    <row r="448" spans="1:10" x14ac:dyDescent="0.3">
      <c r="A448" t="s">
        <v>560</v>
      </c>
      <c r="B448" t="s">
        <v>513</v>
      </c>
      <c r="C448">
        <v>2</v>
      </c>
      <c r="D448">
        <v>32600</v>
      </c>
      <c r="E448" t="s">
        <v>68</v>
      </c>
      <c r="F448">
        <v>30</v>
      </c>
      <c r="G448">
        <v>12.4</v>
      </c>
      <c r="H448">
        <v>8000</v>
      </c>
      <c r="I448">
        <v>0.95422184957768252</v>
      </c>
      <c r="J448">
        <v>0</v>
      </c>
    </row>
    <row r="449" spans="1:10" x14ac:dyDescent="0.3">
      <c r="A449" t="s">
        <v>561</v>
      </c>
      <c r="B449" t="s">
        <v>513</v>
      </c>
      <c r="C449">
        <v>3</v>
      </c>
      <c r="D449">
        <v>28700</v>
      </c>
      <c r="E449" t="s">
        <v>67</v>
      </c>
      <c r="F449">
        <v>85</v>
      </c>
      <c r="G449">
        <v>7.5</v>
      </c>
      <c r="H449">
        <v>1900</v>
      </c>
      <c r="I449">
        <v>8.4536925736945601E-2</v>
      </c>
      <c r="J449">
        <v>0</v>
      </c>
    </row>
    <row r="450" spans="1:10" x14ac:dyDescent="0.3">
      <c r="A450" t="s">
        <v>562</v>
      </c>
      <c r="B450" t="s">
        <v>64</v>
      </c>
      <c r="C450">
        <v>5</v>
      </c>
      <c r="D450">
        <v>22300</v>
      </c>
      <c r="E450" t="s">
        <v>67</v>
      </c>
      <c r="F450">
        <v>108</v>
      </c>
      <c r="G450">
        <v>6.4</v>
      </c>
      <c r="H450">
        <v>1700</v>
      </c>
      <c r="I450">
        <v>0.85201363610099234</v>
      </c>
      <c r="J450">
        <v>0</v>
      </c>
    </row>
    <row r="451" spans="1:10" x14ac:dyDescent="0.3">
      <c r="A451" t="s">
        <v>563</v>
      </c>
      <c r="B451" t="s">
        <v>513</v>
      </c>
      <c r="C451">
        <v>3</v>
      </c>
      <c r="D451">
        <v>24200</v>
      </c>
      <c r="E451" t="s">
        <v>69</v>
      </c>
      <c r="F451">
        <v>51</v>
      </c>
      <c r="G451">
        <v>11.6</v>
      </c>
      <c r="H451">
        <v>6900</v>
      </c>
      <c r="I451">
        <v>0.87351204136529181</v>
      </c>
      <c r="J451">
        <v>0</v>
      </c>
    </row>
    <row r="452" spans="1:10" x14ac:dyDescent="0.3">
      <c r="A452" t="s">
        <v>564</v>
      </c>
      <c r="B452" t="s">
        <v>64</v>
      </c>
      <c r="C452">
        <v>10</v>
      </c>
      <c r="D452">
        <v>38800</v>
      </c>
      <c r="E452" t="s">
        <v>68</v>
      </c>
      <c r="F452">
        <v>75</v>
      </c>
      <c r="G452">
        <v>5.7</v>
      </c>
      <c r="H452">
        <v>3500</v>
      </c>
      <c r="I452">
        <v>0.53722196598301797</v>
      </c>
      <c r="J452">
        <v>0</v>
      </c>
    </row>
    <row r="453" spans="1:10" x14ac:dyDescent="0.3">
      <c r="A453" t="s">
        <v>565</v>
      </c>
      <c r="B453" t="s">
        <v>513</v>
      </c>
      <c r="C453">
        <v>5</v>
      </c>
      <c r="D453">
        <v>13700</v>
      </c>
      <c r="E453" t="s">
        <v>68</v>
      </c>
      <c r="F453">
        <v>27</v>
      </c>
      <c r="G453">
        <v>1</v>
      </c>
      <c r="H453">
        <v>4300</v>
      </c>
      <c r="I453">
        <v>3.0733915666715128E-2</v>
      </c>
      <c r="J453">
        <v>0</v>
      </c>
    </row>
    <row r="454" spans="1:10" x14ac:dyDescent="0.3">
      <c r="A454" t="s">
        <v>566</v>
      </c>
      <c r="B454" t="s">
        <v>62</v>
      </c>
      <c r="C454">
        <v>5</v>
      </c>
      <c r="D454">
        <v>34200</v>
      </c>
      <c r="E454" t="s">
        <v>69</v>
      </c>
      <c r="F454">
        <v>35</v>
      </c>
      <c r="G454">
        <v>0.4</v>
      </c>
      <c r="H454">
        <v>4300</v>
      </c>
      <c r="I454">
        <v>0.20044150848270681</v>
      </c>
      <c r="J454">
        <v>0</v>
      </c>
    </row>
    <row r="455" spans="1:10" x14ac:dyDescent="0.3">
      <c r="A455" t="s">
        <v>567</v>
      </c>
      <c r="B455" t="s">
        <v>513</v>
      </c>
      <c r="C455">
        <v>9</v>
      </c>
      <c r="D455">
        <v>20500</v>
      </c>
      <c r="E455" t="s">
        <v>67</v>
      </c>
      <c r="F455">
        <v>60</v>
      </c>
      <c r="G455">
        <v>3</v>
      </c>
      <c r="H455">
        <v>11500</v>
      </c>
      <c r="I455">
        <v>0.77369814657649127</v>
      </c>
      <c r="J455">
        <v>0</v>
      </c>
    </row>
    <row r="456" spans="1:10" x14ac:dyDescent="0.3">
      <c r="A456" t="s">
        <v>568</v>
      </c>
      <c r="B456" t="s">
        <v>62</v>
      </c>
      <c r="C456">
        <v>3</v>
      </c>
      <c r="D456">
        <v>31400</v>
      </c>
      <c r="E456" t="s">
        <v>68</v>
      </c>
      <c r="F456">
        <v>23</v>
      </c>
      <c r="G456">
        <v>4.0999999999999996</v>
      </c>
      <c r="H456">
        <v>5600</v>
      </c>
      <c r="I456">
        <v>0.97534761803784609</v>
      </c>
      <c r="J456">
        <v>0</v>
      </c>
    </row>
    <row r="457" spans="1:10" x14ac:dyDescent="0.3">
      <c r="A457" t="s">
        <v>569</v>
      </c>
      <c r="B457" t="s">
        <v>513</v>
      </c>
      <c r="C457">
        <v>2</v>
      </c>
      <c r="D457">
        <v>60700</v>
      </c>
      <c r="E457" t="s">
        <v>66</v>
      </c>
      <c r="F457">
        <v>62</v>
      </c>
      <c r="G457">
        <v>11.7</v>
      </c>
      <c r="H457">
        <v>8900</v>
      </c>
      <c r="I457">
        <v>0.51732381235191516</v>
      </c>
      <c r="J457">
        <v>0</v>
      </c>
    </row>
    <row r="458" spans="1:10" x14ac:dyDescent="0.3">
      <c r="A458" t="s">
        <v>570</v>
      </c>
      <c r="B458" t="s">
        <v>64</v>
      </c>
      <c r="C458">
        <v>7</v>
      </c>
      <c r="D458">
        <v>24400</v>
      </c>
      <c r="E458" t="s">
        <v>66</v>
      </c>
      <c r="F458">
        <v>66</v>
      </c>
      <c r="G458">
        <v>1</v>
      </c>
      <c r="H458">
        <v>2900</v>
      </c>
      <c r="I458">
        <v>0.53307727776825009</v>
      </c>
      <c r="J458">
        <v>0</v>
      </c>
    </row>
    <row r="459" spans="1:10" x14ac:dyDescent="0.3">
      <c r="A459" t="s">
        <v>571</v>
      </c>
      <c r="B459" t="s">
        <v>65</v>
      </c>
      <c r="C459">
        <v>4</v>
      </c>
      <c r="D459">
        <v>33300</v>
      </c>
      <c r="E459" t="s">
        <v>69</v>
      </c>
      <c r="F459">
        <v>14</v>
      </c>
      <c r="G459">
        <v>1.2</v>
      </c>
      <c r="H459">
        <v>8300</v>
      </c>
      <c r="I459">
        <v>0.26103849317842598</v>
      </c>
      <c r="J459">
        <v>0</v>
      </c>
    </row>
    <row r="460" spans="1:10" x14ac:dyDescent="0.3">
      <c r="A460" t="s">
        <v>572</v>
      </c>
      <c r="B460" t="s">
        <v>65</v>
      </c>
      <c r="C460">
        <v>5</v>
      </c>
      <c r="D460">
        <v>18600</v>
      </c>
      <c r="E460" t="s">
        <v>69</v>
      </c>
      <c r="F460">
        <v>45</v>
      </c>
      <c r="G460">
        <v>4.3</v>
      </c>
      <c r="H460">
        <v>6200</v>
      </c>
      <c r="I460">
        <v>0.17215768370408691</v>
      </c>
      <c r="J460">
        <v>0</v>
      </c>
    </row>
    <row r="461" spans="1:10" x14ac:dyDescent="0.3">
      <c r="A461" t="s">
        <v>573</v>
      </c>
      <c r="B461" t="s">
        <v>65</v>
      </c>
      <c r="C461">
        <v>6</v>
      </c>
      <c r="D461">
        <v>56400</v>
      </c>
      <c r="E461" t="s">
        <v>66</v>
      </c>
      <c r="F461">
        <v>52</v>
      </c>
      <c r="G461">
        <v>0.4</v>
      </c>
      <c r="H461">
        <v>6700</v>
      </c>
      <c r="I461">
        <v>0.49142586836077995</v>
      </c>
      <c r="J461">
        <v>0</v>
      </c>
    </row>
    <row r="462" spans="1:10" x14ac:dyDescent="0.3">
      <c r="A462" t="s">
        <v>574</v>
      </c>
      <c r="B462" t="s">
        <v>62</v>
      </c>
      <c r="C462">
        <v>5</v>
      </c>
      <c r="D462">
        <v>40400</v>
      </c>
      <c r="E462" t="s">
        <v>69</v>
      </c>
      <c r="F462">
        <v>38</v>
      </c>
      <c r="G462">
        <v>9.1</v>
      </c>
      <c r="H462">
        <v>1500</v>
      </c>
      <c r="I462">
        <v>0.45329284421379923</v>
      </c>
      <c r="J462">
        <v>0</v>
      </c>
    </row>
    <row r="463" spans="1:10" x14ac:dyDescent="0.3">
      <c r="A463" t="s">
        <v>575</v>
      </c>
      <c r="B463" t="s">
        <v>62</v>
      </c>
      <c r="C463">
        <v>4</v>
      </c>
      <c r="D463">
        <v>33800</v>
      </c>
      <c r="E463" t="s">
        <v>67</v>
      </c>
      <c r="F463">
        <v>105</v>
      </c>
      <c r="G463">
        <v>1</v>
      </c>
      <c r="H463">
        <v>2300</v>
      </c>
      <c r="I463">
        <v>0.97398184243977692</v>
      </c>
      <c r="J463">
        <v>0</v>
      </c>
    </row>
    <row r="464" spans="1:10" x14ac:dyDescent="0.3">
      <c r="A464" t="s">
        <v>576</v>
      </c>
      <c r="B464" t="s">
        <v>513</v>
      </c>
      <c r="C464">
        <v>8</v>
      </c>
      <c r="D464">
        <v>46600</v>
      </c>
      <c r="E464" t="s">
        <v>68</v>
      </c>
      <c r="F464">
        <v>44</v>
      </c>
      <c r="G464">
        <v>9.9</v>
      </c>
      <c r="H464">
        <v>6000</v>
      </c>
      <c r="I464">
        <v>0.53995473010521189</v>
      </c>
      <c r="J464">
        <v>0</v>
      </c>
    </row>
    <row r="465" spans="1:10" x14ac:dyDescent="0.3">
      <c r="A465" t="s">
        <v>577</v>
      </c>
      <c r="B465" t="s">
        <v>64</v>
      </c>
      <c r="C465">
        <v>5</v>
      </c>
      <c r="D465">
        <v>46900</v>
      </c>
      <c r="E465" t="s">
        <v>66</v>
      </c>
      <c r="F465">
        <v>32</v>
      </c>
      <c r="G465">
        <v>12</v>
      </c>
      <c r="H465">
        <v>10100</v>
      </c>
      <c r="I465">
        <v>0.12000911634475786</v>
      </c>
      <c r="J465">
        <v>0</v>
      </c>
    </row>
    <row r="466" spans="1:10" x14ac:dyDescent="0.3">
      <c r="A466" t="s">
        <v>578</v>
      </c>
      <c r="B466" t="s">
        <v>64</v>
      </c>
      <c r="C466">
        <v>6</v>
      </c>
      <c r="D466">
        <v>27100</v>
      </c>
      <c r="E466" t="s">
        <v>68</v>
      </c>
      <c r="F466">
        <v>74</v>
      </c>
      <c r="G466">
        <v>0.4</v>
      </c>
      <c r="H466">
        <v>4500</v>
      </c>
      <c r="I466">
        <v>0.18036005064974969</v>
      </c>
      <c r="J466">
        <v>0</v>
      </c>
    </row>
    <row r="467" spans="1:10" x14ac:dyDescent="0.3">
      <c r="A467" t="s">
        <v>579</v>
      </c>
      <c r="B467" t="s">
        <v>65</v>
      </c>
      <c r="C467">
        <v>9</v>
      </c>
      <c r="D467">
        <v>53600</v>
      </c>
      <c r="E467" t="s">
        <v>67</v>
      </c>
      <c r="F467">
        <v>66</v>
      </c>
      <c r="G467">
        <v>13.7</v>
      </c>
      <c r="H467">
        <v>12600</v>
      </c>
      <c r="I467">
        <v>0.33621178998254775</v>
      </c>
      <c r="J467">
        <v>0</v>
      </c>
    </row>
    <row r="468" spans="1:10" x14ac:dyDescent="0.3">
      <c r="A468" t="s">
        <v>580</v>
      </c>
      <c r="B468" t="s">
        <v>65</v>
      </c>
      <c r="C468">
        <v>2</v>
      </c>
      <c r="D468">
        <v>89200</v>
      </c>
      <c r="E468" t="s">
        <v>68</v>
      </c>
      <c r="F468">
        <v>27</v>
      </c>
      <c r="G468">
        <v>6.4</v>
      </c>
      <c r="H468">
        <v>6600</v>
      </c>
      <c r="I468">
        <v>0.18616918831941431</v>
      </c>
      <c r="J468">
        <v>0</v>
      </c>
    </row>
    <row r="469" spans="1:10" x14ac:dyDescent="0.3">
      <c r="A469" t="s">
        <v>581</v>
      </c>
      <c r="B469" t="s">
        <v>64</v>
      </c>
      <c r="C469">
        <v>3</v>
      </c>
      <c r="D469">
        <v>52600</v>
      </c>
      <c r="E469" t="s">
        <v>69</v>
      </c>
      <c r="F469">
        <v>49</v>
      </c>
      <c r="G469">
        <v>2.2999999999999998</v>
      </c>
      <c r="H469">
        <v>2200</v>
      </c>
      <c r="I469">
        <v>8.2894203526051036E-2</v>
      </c>
      <c r="J469">
        <v>0</v>
      </c>
    </row>
    <row r="470" spans="1:10" x14ac:dyDescent="0.3">
      <c r="A470" t="s">
        <v>582</v>
      </c>
      <c r="B470" t="s">
        <v>65</v>
      </c>
      <c r="C470">
        <v>7</v>
      </c>
      <c r="D470">
        <v>28500</v>
      </c>
      <c r="E470" t="s">
        <v>68</v>
      </c>
      <c r="F470">
        <v>55</v>
      </c>
      <c r="G470">
        <v>13.2</v>
      </c>
      <c r="H470">
        <v>6500</v>
      </c>
      <c r="I470">
        <v>0.9686181323372498</v>
      </c>
      <c r="J470">
        <v>0</v>
      </c>
    </row>
    <row r="471" spans="1:10" x14ac:dyDescent="0.3">
      <c r="A471" t="s">
        <v>583</v>
      </c>
      <c r="B471" t="s">
        <v>62</v>
      </c>
      <c r="C471">
        <v>4</v>
      </c>
      <c r="D471">
        <v>88900</v>
      </c>
      <c r="E471" t="s">
        <v>67</v>
      </c>
      <c r="F471">
        <v>87</v>
      </c>
      <c r="G471">
        <v>8.3000000000000007</v>
      </c>
      <c r="H471">
        <v>10100</v>
      </c>
      <c r="I471">
        <v>0.91730415296013157</v>
      </c>
      <c r="J471">
        <v>0</v>
      </c>
    </row>
    <row r="472" spans="1:10" x14ac:dyDescent="0.3">
      <c r="A472" t="s">
        <v>584</v>
      </c>
      <c r="B472" t="s">
        <v>513</v>
      </c>
      <c r="C472">
        <v>3</v>
      </c>
      <c r="D472">
        <v>16900</v>
      </c>
      <c r="E472" t="s">
        <v>69</v>
      </c>
      <c r="F472">
        <v>47</v>
      </c>
      <c r="G472">
        <v>14.6</v>
      </c>
      <c r="H472">
        <v>300</v>
      </c>
      <c r="I472">
        <v>0.9641340318301993</v>
      </c>
      <c r="J472">
        <v>0</v>
      </c>
    </row>
    <row r="473" spans="1:10" x14ac:dyDescent="0.3">
      <c r="A473" t="s">
        <v>585</v>
      </c>
      <c r="B473" t="s">
        <v>65</v>
      </c>
      <c r="C473">
        <v>1</v>
      </c>
      <c r="D473">
        <v>26500</v>
      </c>
      <c r="E473" t="s">
        <v>67</v>
      </c>
      <c r="F473">
        <v>111</v>
      </c>
      <c r="G473">
        <v>7.2</v>
      </c>
      <c r="H473">
        <v>7100</v>
      </c>
      <c r="I473">
        <v>0.83483669626357004</v>
      </c>
      <c r="J473">
        <v>0</v>
      </c>
    </row>
    <row r="474" spans="1:10" x14ac:dyDescent="0.3">
      <c r="A474" t="s">
        <v>586</v>
      </c>
      <c r="B474" t="s">
        <v>513</v>
      </c>
      <c r="C474">
        <v>1</v>
      </c>
      <c r="D474">
        <v>36200</v>
      </c>
      <c r="E474" t="s">
        <v>66</v>
      </c>
      <c r="F474">
        <v>63</v>
      </c>
      <c r="G474">
        <v>4.8</v>
      </c>
      <c r="H474">
        <v>1000</v>
      </c>
      <c r="I474">
        <v>2.1117360762068937E-2</v>
      </c>
      <c r="J474">
        <v>0</v>
      </c>
    </row>
    <row r="475" spans="1:10" x14ac:dyDescent="0.3">
      <c r="A475" t="s">
        <v>587</v>
      </c>
      <c r="B475" t="s">
        <v>513</v>
      </c>
      <c r="C475">
        <v>3</v>
      </c>
      <c r="D475">
        <v>33000</v>
      </c>
      <c r="E475" t="s">
        <v>68</v>
      </c>
      <c r="F475">
        <v>52</v>
      </c>
      <c r="G475">
        <v>9</v>
      </c>
      <c r="H475">
        <v>5000</v>
      </c>
      <c r="I475">
        <v>4.9436603064652029E-2</v>
      </c>
      <c r="J475">
        <v>0</v>
      </c>
    </row>
    <row r="476" spans="1:10" x14ac:dyDescent="0.3">
      <c r="A476" t="s">
        <v>588</v>
      </c>
      <c r="B476" t="s">
        <v>62</v>
      </c>
      <c r="C476">
        <v>3</v>
      </c>
      <c r="D476">
        <v>18400</v>
      </c>
      <c r="E476" t="s">
        <v>66</v>
      </c>
      <c r="F476">
        <v>34</v>
      </c>
      <c r="G476">
        <v>6.8</v>
      </c>
      <c r="H476">
        <v>8700</v>
      </c>
      <c r="I476">
        <v>0.24117020686302393</v>
      </c>
      <c r="J476">
        <v>0</v>
      </c>
    </row>
    <row r="477" spans="1:10" x14ac:dyDescent="0.3">
      <c r="A477" t="s">
        <v>589</v>
      </c>
      <c r="B477" t="s">
        <v>62</v>
      </c>
      <c r="C477">
        <v>8</v>
      </c>
      <c r="D477">
        <v>28300</v>
      </c>
      <c r="E477" t="s">
        <v>67</v>
      </c>
      <c r="F477">
        <v>114</v>
      </c>
      <c r="G477">
        <v>9.1999999999999993</v>
      </c>
      <c r="H477">
        <v>4800</v>
      </c>
      <c r="I477">
        <v>0.62246702128157771</v>
      </c>
      <c r="J477">
        <v>0</v>
      </c>
    </row>
    <row r="478" spans="1:10" x14ac:dyDescent="0.3">
      <c r="A478" t="s">
        <v>590</v>
      </c>
      <c r="B478" t="s">
        <v>513</v>
      </c>
      <c r="C478">
        <v>5</v>
      </c>
      <c r="D478">
        <v>40000</v>
      </c>
      <c r="E478" t="s">
        <v>66</v>
      </c>
      <c r="F478">
        <v>21</v>
      </c>
      <c r="G478">
        <v>6.3</v>
      </c>
      <c r="H478">
        <v>12800</v>
      </c>
      <c r="I478">
        <v>0.89864114302559828</v>
      </c>
      <c r="J478">
        <v>0</v>
      </c>
    </row>
    <row r="479" spans="1:10" x14ac:dyDescent="0.3">
      <c r="A479" t="s">
        <v>591</v>
      </c>
      <c r="B479" t="s">
        <v>513</v>
      </c>
      <c r="C479">
        <v>5</v>
      </c>
      <c r="D479">
        <v>18500</v>
      </c>
      <c r="E479" t="s">
        <v>66</v>
      </c>
      <c r="F479">
        <v>60</v>
      </c>
      <c r="G479">
        <v>8.6999999999999993</v>
      </c>
      <c r="H479">
        <v>6700</v>
      </c>
      <c r="I479">
        <v>0.10758023896456836</v>
      </c>
      <c r="J479">
        <v>0</v>
      </c>
    </row>
    <row r="480" spans="1:10" x14ac:dyDescent="0.3">
      <c r="A480" t="s">
        <v>592</v>
      </c>
      <c r="B480" t="s">
        <v>513</v>
      </c>
      <c r="C480">
        <v>8</v>
      </c>
      <c r="D480">
        <v>29200</v>
      </c>
      <c r="E480" t="s">
        <v>67</v>
      </c>
      <c r="F480">
        <v>68</v>
      </c>
      <c r="G480">
        <v>11.5</v>
      </c>
      <c r="H480">
        <v>5400</v>
      </c>
      <c r="I480">
        <v>6.2221588305840236E-2</v>
      </c>
      <c r="J480">
        <v>0</v>
      </c>
    </row>
    <row r="481" spans="1:10" x14ac:dyDescent="0.3">
      <c r="A481" t="s">
        <v>593</v>
      </c>
      <c r="B481" t="s">
        <v>65</v>
      </c>
      <c r="C481">
        <v>3</v>
      </c>
      <c r="D481">
        <v>32500</v>
      </c>
      <c r="E481" t="s">
        <v>66</v>
      </c>
      <c r="F481">
        <v>38</v>
      </c>
      <c r="G481">
        <v>6.8</v>
      </c>
      <c r="H481">
        <v>4200</v>
      </c>
      <c r="I481">
        <v>0.99829175729615383</v>
      </c>
      <c r="J481">
        <v>0</v>
      </c>
    </row>
    <row r="482" spans="1:10" x14ac:dyDescent="0.3">
      <c r="A482" t="s">
        <v>594</v>
      </c>
      <c r="B482" t="s">
        <v>65</v>
      </c>
      <c r="C482">
        <v>7</v>
      </c>
      <c r="D482">
        <v>26900</v>
      </c>
      <c r="E482" t="s">
        <v>67</v>
      </c>
      <c r="F482">
        <v>48</v>
      </c>
      <c r="G482">
        <v>7.5</v>
      </c>
      <c r="H482">
        <v>7000</v>
      </c>
      <c r="I482">
        <v>0.24310266500409916</v>
      </c>
      <c r="J482">
        <v>0</v>
      </c>
    </row>
    <row r="483" spans="1:10" x14ac:dyDescent="0.3">
      <c r="A483" t="s">
        <v>595</v>
      </c>
      <c r="B483" t="s">
        <v>513</v>
      </c>
      <c r="C483">
        <v>3</v>
      </c>
      <c r="D483">
        <v>20000</v>
      </c>
      <c r="E483" t="s">
        <v>69</v>
      </c>
      <c r="F483">
        <v>13</v>
      </c>
      <c r="G483">
        <v>11.4</v>
      </c>
      <c r="H483">
        <v>2000</v>
      </c>
      <c r="I483">
        <v>0.61056639888486586</v>
      </c>
      <c r="J483">
        <v>0</v>
      </c>
    </row>
    <row r="484" spans="1:10" x14ac:dyDescent="0.3">
      <c r="A484" t="s">
        <v>596</v>
      </c>
      <c r="B484" t="s">
        <v>65</v>
      </c>
      <c r="C484">
        <v>3</v>
      </c>
      <c r="D484">
        <v>32500</v>
      </c>
      <c r="E484" t="s">
        <v>68</v>
      </c>
      <c r="F484">
        <v>42</v>
      </c>
      <c r="G484">
        <v>12.4</v>
      </c>
      <c r="H484">
        <v>8200</v>
      </c>
      <c r="I484">
        <v>0.41173920454199175</v>
      </c>
      <c r="J484">
        <v>0</v>
      </c>
    </row>
    <row r="485" spans="1:10" x14ac:dyDescent="0.3">
      <c r="A485" t="s">
        <v>597</v>
      </c>
      <c r="B485" t="s">
        <v>64</v>
      </c>
      <c r="C485">
        <v>9</v>
      </c>
      <c r="D485">
        <v>29000</v>
      </c>
      <c r="E485" t="s">
        <v>69</v>
      </c>
      <c r="F485">
        <v>51</v>
      </c>
      <c r="G485">
        <v>8.1999999999999993</v>
      </c>
      <c r="H485">
        <v>3900</v>
      </c>
      <c r="I485">
        <v>0.34331090466878389</v>
      </c>
      <c r="J485">
        <v>0</v>
      </c>
    </row>
    <row r="486" spans="1:10" x14ac:dyDescent="0.3">
      <c r="A486" t="s">
        <v>598</v>
      </c>
      <c r="B486" t="s">
        <v>65</v>
      </c>
      <c r="C486">
        <v>5</v>
      </c>
      <c r="D486">
        <v>32400</v>
      </c>
      <c r="E486" t="s">
        <v>68</v>
      </c>
      <c r="F486">
        <v>70</v>
      </c>
      <c r="G486">
        <v>9</v>
      </c>
      <c r="H486">
        <v>1400</v>
      </c>
      <c r="I486">
        <v>0.87888893194892093</v>
      </c>
      <c r="J486">
        <v>0</v>
      </c>
    </row>
    <row r="487" spans="1:10" x14ac:dyDescent="0.3">
      <c r="A487" t="s">
        <v>599</v>
      </c>
      <c r="B487" t="s">
        <v>65</v>
      </c>
      <c r="C487">
        <v>3</v>
      </c>
      <c r="D487">
        <v>32000</v>
      </c>
      <c r="E487" t="s">
        <v>68</v>
      </c>
      <c r="F487">
        <v>49</v>
      </c>
      <c r="G487">
        <v>4.5</v>
      </c>
      <c r="H487">
        <v>7900</v>
      </c>
      <c r="I487">
        <v>0.94454302756438513</v>
      </c>
      <c r="J487">
        <v>0</v>
      </c>
    </row>
    <row r="488" spans="1:10" x14ac:dyDescent="0.3">
      <c r="A488" t="s">
        <v>600</v>
      </c>
      <c r="B488" t="s">
        <v>513</v>
      </c>
      <c r="C488">
        <v>6</v>
      </c>
      <c r="D488">
        <v>38600</v>
      </c>
      <c r="E488" t="s">
        <v>68</v>
      </c>
      <c r="F488">
        <v>49</v>
      </c>
      <c r="G488">
        <v>2.9</v>
      </c>
      <c r="H488">
        <v>9200</v>
      </c>
      <c r="I488">
        <v>3.663356506088622E-3</v>
      </c>
      <c r="J488">
        <v>0</v>
      </c>
    </row>
    <row r="489" spans="1:10" x14ac:dyDescent="0.3">
      <c r="A489" t="s">
        <v>601</v>
      </c>
      <c r="B489" t="s">
        <v>62</v>
      </c>
      <c r="C489">
        <v>8</v>
      </c>
      <c r="D489">
        <v>60600</v>
      </c>
      <c r="E489" t="s">
        <v>69</v>
      </c>
      <c r="F489">
        <v>13</v>
      </c>
      <c r="G489">
        <v>4.5</v>
      </c>
      <c r="H489">
        <v>0</v>
      </c>
      <c r="I489">
        <v>0.58934351174246835</v>
      </c>
      <c r="J489">
        <v>0</v>
      </c>
    </row>
    <row r="490" spans="1:10" x14ac:dyDescent="0.3">
      <c r="A490" t="s">
        <v>602</v>
      </c>
      <c r="B490" t="s">
        <v>62</v>
      </c>
      <c r="C490">
        <v>3</v>
      </c>
      <c r="D490">
        <v>85000</v>
      </c>
      <c r="E490" t="s">
        <v>69</v>
      </c>
      <c r="F490">
        <v>17</v>
      </c>
      <c r="G490">
        <v>4.5</v>
      </c>
      <c r="H490">
        <v>600</v>
      </c>
      <c r="I490">
        <v>4.5893937934063822E-2</v>
      </c>
      <c r="J490">
        <v>0</v>
      </c>
    </row>
    <row r="491" spans="1:10" x14ac:dyDescent="0.3">
      <c r="A491" t="s">
        <v>603</v>
      </c>
      <c r="B491" t="s">
        <v>64</v>
      </c>
      <c r="C491">
        <v>7</v>
      </c>
      <c r="D491">
        <v>61700</v>
      </c>
      <c r="E491" t="s">
        <v>66</v>
      </c>
      <c r="F491">
        <v>70</v>
      </c>
      <c r="G491">
        <v>0.6</v>
      </c>
      <c r="H491">
        <v>6400</v>
      </c>
      <c r="I491">
        <v>0.60727815897700876</v>
      </c>
      <c r="J491">
        <v>0</v>
      </c>
    </row>
    <row r="492" spans="1:10" x14ac:dyDescent="0.3">
      <c r="A492" t="s">
        <v>604</v>
      </c>
      <c r="B492" t="s">
        <v>62</v>
      </c>
      <c r="C492">
        <v>4</v>
      </c>
      <c r="D492">
        <v>36100</v>
      </c>
      <c r="E492" t="s">
        <v>67</v>
      </c>
      <c r="F492">
        <v>72</v>
      </c>
      <c r="G492">
        <v>6.7</v>
      </c>
      <c r="H492">
        <v>5800</v>
      </c>
      <c r="I492">
        <v>4.4029085620228448E-2</v>
      </c>
      <c r="J492">
        <v>0</v>
      </c>
    </row>
    <row r="493" spans="1:10" x14ac:dyDescent="0.3">
      <c r="A493" t="s">
        <v>605</v>
      </c>
      <c r="B493" t="s">
        <v>62</v>
      </c>
      <c r="C493">
        <v>4</v>
      </c>
      <c r="D493">
        <v>59100</v>
      </c>
      <c r="E493" t="s">
        <v>68</v>
      </c>
      <c r="F493">
        <v>65</v>
      </c>
      <c r="G493">
        <v>4.2</v>
      </c>
      <c r="H493">
        <v>400</v>
      </c>
      <c r="I493">
        <v>0.25928681819637933</v>
      </c>
      <c r="J493">
        <v>0</v>
      </c>
    </row>
    <row r="494" spans="1:10" x14ac:dyDescent="0.3">
      <c r="A494" t="s">
        <v>606</v>
      </c>
      <c r="B494" t="s">
        <v>65</v>
      </c>
      <c r="C494">
        <v>7</v>
      </c>
      <c r="D494">
        <v>37300</v>
      </c>
      <c r="E494" t="s">
        <v>69</v>
      </c>
      <c r="F494">
        <v>16</v>
      </c>
      <c r="G494">
        <v>4.5999999999999996</v>
      </c>
      <c r="H494">
        <v>11400</v>
      </c>
      <c r="I494">
        <v>0.5588078225277654</v>
      </c>
      <c r="J494">
        <v>0</v>
      </c>
    </row>
    <row r="495" spans="1:10" x14ac:dyDescent="0.3">
      <c r="A495" t="s">
        <v>607</v>
      </c>
      <c r="B495" t="s">
        <v>64</v>
      </c>
      <c r="C495">
        <v>9</v>
      </c>
      <c r="D495">
        <v>78600</v>
      </c>
      <c r="E495" t="s">
        <v>66</v>
      </c>
      <c r="F495">
        <v>60</v>
      </c>
      <c r="G495">
        <v>1</v>
      </c>
      <c r="H495">
        <v>2300</v>
      </c>
      <c r="I495">
        <v>0.46162349900930977</v>
      </c>
      <c r="J495">
        <v>0</v>
      </c>
    </row>
    <row r="496" spans="1:10" x14ac:dyDescent="0.3">
      <c r="A496" t="s">
        <v>608</v>
      </c>
      <c r="B496" t="s">
        <v>65</v>
      </c>
      <c r="C496">
        <v>6</v>
      </c>
      <c r="D496">
        <v>26000</v>
      </c>
      <c r="E496" t="s">
        <v>68</v>
      </c>
      <c r="F496">
        <v>64</v>
      </c>
      <c r="G496">
        <v>6.4</v>
      </c>
      <c r="H496">
        <v>3900</v>
      </c>
      <c r="I496">
        <v>0.80863858963625102</v>
      </c>
      <c r="J496">
        <v>0</v>
      </c>
    </row>
    <row r="497" spans="1:10" x14ac:dyDescent="0.3">
      <c r="A497" t="s">
        <v>609</v>
      </c>
      <c r="B497" t="s">
        <v>65</v>
      </c>
      <c r="C497">
        <v>6</v>
      </c>
      <c r="D497">
        <v>55300</v>
      </c>
      <c r="E497" t="s">
        <v>68</v>
      </c>
      <c r="F497">
        <v>63</v>
      </c>
      <c r="G497">
        <v>1.9</v>
      </c>
      <c r="H497">
        <v>4200</v>
      </c>
      <c r="I497">
        <v>0.93174528805478551</v>
      </c>
      <c r="J497">
        <v>0</v>
      </c>
    </row>
    <row r="498" spans="1:10" x14ac:dyDescent="0.3">
      <c r="A498" t="s">
        <v>610</v>
      </c>
      <c r="B498" t="s">
        <v>64</v>
      </c>
      <c r="C498">
        <v>4</v>
      </c>
      <c r="D498">
        <v>50900</v>
      </c>
      <c r="E498" t="s">
        <v>67</v>
      </c>
      <c r="F498">
        <v>49</v>
      </c>
      <c r="G498">
        <v>8.1</v>
      </c>
      <c r="H498">
        <v>6600</v>
      </c>
      <c r="I498">
        <v>0.33554355941348613</v>
      </c>
      <c r="J498">
        <v>0</v>
      </c>
    </row>
    <row r="499" spans="1:10" x14ac:dyDescent="0.3">
      <c r="A499" t="s">
        <v>611</v>
      </c>
      <c r="B499" t="s">
        <v>64</v>
      </c>
      <c r="C499">
        <v>6</v>
      </c>
      <c r="D499">
        <v>16000</v>
      </c>
      <c r="E499" t="s">
        <v>66</v>
      </c>
      <c r="F499">
        <v>67</v>
      </c>
      <c r="G499">
        <v>2.6</v>
      </c>
      <c r="H499">
        <v>10700</v>
      </c>
      <c r="I499">
        <v>0.44012122304473134</v>
      </c>
      <c r="J499">
        <v>0</v>
      </c>
    </row>
    <row r="500" spans="1:10" x14ac:dyDescent="0.3">
      <c r="A500" t="s">
        <v>612</v>
      </c>
      <c r="B500" t="s">
        <v>65</v>
      </c>
      <c r="C500">
        <v>6</v>
      </c>
      <c r="D500">
        <v>41700</v>
      </c>
      <c r="E500" t="s">
        <v>68</v>
      </c>
      <c r="F500">
        <v>21</v>
      </c>
      <c r="G500">
        <v>11.7</v>
      </c>
      <c r="H500">
        <v>0</v>
      </c>
      <c r="I500">
        <v>0.23711392378009144</v>
      </c>
      <c r="J500">
        <v>0</v>
      </c>
    </row>
    <row r="501" spans="1:10" x14ac:dyDescent="0.3">
      <c r="A501" t="s">
        <v>613</v>
      </c>
      <c r="B501" t="s">
        <v>64</v>
      </c>
      <c r="C501">
        <v>5</v>
      </c>
      <c r="D501">
        <v>36500</v>
      </c>
      <c r="E501" t="s">
        <v>68</v>
      </c>
      <c r="F501">
        <v>49</v>
      </c>
      <c r="G501">
        <v>0.4</v>
      </c>
      <c r="H501">
        <v>5300</v>
      </c>
      <c r="I501">
        <v>0.37417158050171651</v>
      </c>
      <c r="J501">
        <v>0</v>
      </c>
    </row>
    <row r="502" spans="1:10" x14ac:dyDescent="0.3">
      <c r="A502" t="s">
        <v>614</v>
      </c>
      <c r="B502" t="s">
        <v>65</v>
      </c>
      <c r="C502">
        <v>4</v>
      </c>
      <c r="D502">
        <v>82700</v>
      </c>
      <c r="E502" t="s">
        <v>67</v>
      </c>
      <c r="F502">
        <v>112</v>
      </c>
      <c r="G502">
        <v>5.0999999999999996</v>
      </c>
      <c r="H502">
        <v>4700</v>
      </c>
      <c r="I502">
        <v>0.17790185881434006</v>
      </c>
      <c r="J502">
        <v>0</v>
      </c>
    </row>
    <row r="503" spans="1:10" x14ac:dyDescent="0.3">
      <c r="A503" t="s">
        <v>615</v>
      </c>
      <c r="B503" t="s">
        <v>62</v>
      </c>
      <c r="C503">
        <v>3</v>
      </c>
      <c r="D503">
        <v>15600</v>
      </c>
      <c r="E503" t="s">
        <v>69</v>
      </c>
      <c r="F503">
        <v>41</v>
      </c>
      <c r="G503">
        <v>1.1000000000000001</v>
      </c>
      <c r="H503">
        <v>0</v>
      </c>
      <c r="I503">
        <v>0.91655239210921968</v>
      </c>
      <c r="J503">
        <v>0</v>
      </c>
    </row>
    <row r="504" spans="1:10" x14ac:dyDescent="0.3">
      <c r="A504" t="s">
        <v>616</v>
      </c>
      <c r="B504" t="s">
        <v>64</v>
      </c>
      <c r="C504">
        <v>6</v>
      </c>
      <c r="D504">
        <v>19600</v>
      </c>
      <c r="E504" t="s">
        <v>66</v>
      </c>
      <c r="F504">
        <v>17</v>
      </c>
      <c r="G504">
        <v>7.2</v>
      </c>
      <c r="H504">
        <v>4400</v>
      </c>
      <c r="I504">
        <v>1.6485395828632399E-2</v>
      </c>
      <c r="J504">
        <v>0</v>
      </c>
    </row>
    <row r="505" spans="1:10" x14ac:dyDescent="0.3">
      <c r="A505" t="s">
        <v>617</v>
      </c>
      <c r="B505" t="s">
        <v>513</v>
      </c>
      <c r="C505">
        <v>1</v>
      </c>
      <c r="D505">
        <v>49100</v>
      </c>
      <c r="E505" t="s">
        <v>66</v>
      </c>
      <c r="F505">
        <v>27</v>
      </c>
      <c r="G505">
        <v>7</v>
      </c>
      <c r="H505">
        <v>2100</v>
      </c>
      <c r="I505">
        <v>0.59453361444321717</v>
      </c>
      <c r="J505">
        <v>0</v>
      </c>
    </row>
    <row r="506" spans="1:10" x14ac:dyDescent="0.3">
      <c r="A506" t="s">
        <v>618</v>
      </c>
      <c r="B506" t="s">
        <v>513</v>
      </c>
      <c r="C506">
        <v>3</v>
      </c>
      <c r="D506">
        <v>41700</v>
      </c>
      <c r="E506" t="s">
        <v>69</v>
      </c>
      <c r="F506">
        <v>44</v>
      </c>
      <c r="G506">
        <v>6.6</v>
      </c>
      <c r="H506">
        <v>5200</v>
      </c>
      <c r="I506">
        <v>0.53768393832185835</v>
      </c>
      <c r="J506">
        <v>0</v>
      </c>
    </row>
    <row r="507" spans="1:10" x14ac:dyDescent="0.3">
      <c r="A507" t="s">
        <v>619</v>
      </c>
      <c r="B507" t="s">
        <v>65</v>
      </c>
      <c r="C507">
        <v>9</v>
      </c>
      <c r="D507">
        <v>61600</v>
      </c>
      <c r="E507" t="s">
        <v>68</v>
      </c>
      <c r="F507">
        <v>41</v>
      </c>
      <c r="G507">
        <v>5.2</v>
      </c>
      <c r="H507">
        <v>10800</v>
      </c>
      <c r="I507">
        <v>0.55620609270071031</v>
      </c>
      <c r="J507">
        <v>0</v>
      </c>
    </row>
    <row r="508" spans="1:10" x14ac:dyDescent="0.3">
      <c r="A508" t="s">
        <v>620</v>
      </c>
      <c r="B508" t="s">
        <v>62</v>
      </c>
      <c r="C508">
        <v>8</v>
      </c>
      <c r="D508">
        <v>30300</v>
      </c>
      <c r="E508" t="s">
        <v>68</v>
      </c>
      <c r="F508">
        <v>25</v>
      </c>
      <c r="G508">
        <v>0.7</v>
      </c>
      <c r="H508">
        <v>6000</v>
      </c>
      <c r="I508">
        <v>0.58607039318269138</v>
      </c>
      <c r="J508">
        <v>0</v>
      </c>
    </row>
    <row r="509" spans="1:10" x14ac:dyDescent="0.3">
      <c r="A509" t="s">
        <v>621</v>
      </c>
      <c r="B509" t="s">
        <v>65</v>
      </c>
      <c r="C509">
        <v>5</v>
      </c>
      <c r="D509">
        <v>34200</v>
      </c>
      <c r="E509" t="s">
        <v>66</v>
      </c>
      <c r="F509">
        <v>36</v>
      </c>
      <c r="G509">
        <v>5.2</v>
      </c>
      <c r="H509">
        <v>14200</v>
      </c>
      <c r="I509">
        <v>0.59234912724259414</v>
      </c>
      <c r="J509">
        <v>0</v>
      </c>
    </row>
    <row r="510" spans="1:10" x14ac:dyDescent="0.3">
      <c r="A510" t="s">
        <v>622</v>
      </c>
      <c r="B510" t="s">
        <v>513</v>
      </c>
      <c r="C510">
        <v>5</v>
      </c>
      <c r="D510">
        <v>49700</v>
      </c>
      <c r="E510" t="s">
        <v>66</v>
      </c>
      <c r="F510">
        <v>69</v>
      </c>
      <c r="G510">
        <v>14.4</v>
      </c>
      <c r="H510">
        <v>11900</v>
      </c>
      <c r="I510">
        <v>0.1339136192934095</v>
      </c>
      <c r="J510">
        <v>0</v>
      </c>
    </row>
    <row r="511" spans="1:10" x14ac:dyDescent="0.3">
      <c r="A511" t="s">
        <v>623</v>
      </c>
      <c r="B511" t="s">
        <v>513</v>
      </c>
      <c r="C511">
        <v>7</v>
      </c>
      <c r="D511">
        <v>62400</v>
      </c>
      <c r="E511" t="s">
        <v>68</v>
      </c>
      <c r="F511">
        <v>45</v>
      </c>
      <c r="G511">
        <v>7.6</v>
      </c>
      <c r="H511">
        <v>5200</v>
      </c>
      <c r="I511">
        <v>0.61996089187749348</v>
      </c>
      <c r="J511">
        <v>0</v>
      </c>
    </row>
    <row r="512" spans="1:10" x14ac:dyDescent="0.3">
      <c r="A512" t="s">
        <v>624</v>
      </c>
      <c r="B512" t="s">
        <v>64</v>
      </c>
      <c r="C512">
        <v>3</v>
      </c>
      <c r="D512">
        <v>16400</v>
      </c>
      <c r="E512" t="s">
        <v>66</v>
      </c>
      <c r="F512">
        <v>49</v>
      </c>
      <c r="G512">
        <v>9</v>
      </c>
      <c r="H512">
        <v>5500</v>
      </c>
      <c r="I512">
        <v>0.60818137669923877</v>
      </c>
      <c r="J512">
        <v>0</v>
      </c>
    </row>
    <row r="513" spans="1:10" x14ac:dyDescent="0.3">
      <c r="A513" t="s">
        <v>625</v>
      </c>
      <c r="B513" t="s">
        <v>513</v>
      </c>
      <c r="C513">
        <v>8</v>
      </c>
      <c r="D513">
        <v>72700</v>
      </c>
      <c r="E513" t="s">
        <v>67</v>
      </c>
      <c r="F513">
        <v>68</v>
      </c>
      <c r="G513">
        <v>12.5</v>
      </c>
      <c r="H513">
        <v>7900</v>
      </c>
      <c r="I513">
        <v>0.92342420181110918</v>
      </c>
      <c r="J513">
        <v>0</v>
      </c>
    </row>
    <row r="514" spans="1:10" x14ac:dyDescent="0.3">
      <c r="A514" t="s">
        <v>626</v>
      </c>
      <c r="B514" t="s">
        <v>64</v>
      </c>
      <c r="C514">
        <v>10</v>
      </c>
      <c r="D514">
        <v>30600</v>
      </c>
      <c r="E514" t="s">
        <v>66</v>
      </c>
      <c r="F514">
        <v>31</v>
      </c>
      <c r="G514">
        <v>11.7</v>
      </c>
      <c r="H514">
        <v>7500</v>
      </c>
      <c r="I514">
        <v>7.9557713908808614E-2</v>
      </c>
      <c r="J514">
        <v>0</v>
      </c>
    </row>
    <row r="515" spans="1:10" x14ac:dyDescent="0.3">
      <c r="A515" t="s">
        <v>627</v>
      </c>
      <c r="B515" t="s">
        <v>62</v>
      </c>
      <c r="C515">
        <v>2</v>
      </c>
      <c r="D515">
        <v>29200</v>
      </c>
      <c r="E515" t="s">
        <v>67</v>
      </c>
      <c r="F515">
        <v>63</v>
      </c>
      <c r="G515">
        <v>8.6</v>
      </c>
      <c r="H515">
        <v>4600</v>
      </c>
      <c r="I515">
        <v>0.35577327819248816</v>
      </c>
      <c r="J515">
        <v>0</v>
      </c>
    </row>
    <row r="516" spans="1:10" x14ac:dyDescent="0.3">
      <c r="A516" t="s">
        <v>628</v>
      </c>
      <c r="B516" t="s">
        <v>65</v>
      </c>
      <c r="C516">
        <v>4</v>
      </c>
      <c r="D516">
        <v>62500</v>
      </c>
      <c r="E516" t="s">
        <v>67</v>
      </c>
      <c r="F516">
        <v>79</v>
      </c>
      <c r="G516">
        <v>12.1</v>
      </c>
      <c r="H516">
        <v>7100</v>
      </c>
      <c r="I516">
        <v>0.44931468565854094</v>
      </c>
      <c r="J516">
        <v>0</v>
      </c>
    </row>
    <row r="517" spans="1:10" x14ac:dyDescent="0.3">
      <c r="A517" t="s">
        <v>629</v>
      </c>
      <c r="B517" t="s">
        <v>65</v>
      </c>
      <c r="C517">
        <v>7</v>
      </c>
      <c r="D517">
        <v>34800</v>
      </c>
      <c r="E517" t="s">
        <v>68</v>
      </c>
      <c r="F517">
        <v>45</v>
      </c>
      <c r="G517">
        <v>12.3</v>
      </c>
      <c r="H517">
        <v>0</v>
      </c>
      <c r="I517">
        <v>6.498474480402483E-2</v>
      </c>
      <c r="J517">
        <v>0</v>
      </c>
    </row>
    <row r="518" spans="1:10" x14ac:dyDescent="0.3">
      <c r="A518" t="s">
        <v>630</v>
      </c>
      <c r="B518" t="s">
        <v>64</v>
      </c>
      <c r="C518">
        <v>5</v>
      </c>
      <c r="D518">
        <v>33300</v>
      </c>
      <c r="E518" t="s">
        <v>66</v>
      </c>
      <c r="F518">
        <v>29</v>
      </c>
      <c r="G518">
        <v>4.5999999999999996</v>
      </c>
      <c r="H518">
        <v>6200</v>
      </c>
      <c r="I518">
        <v>1.5902140113775109E-2</v>
      </c>
      <c r="J518">
        <v>1</v>
      </c>
    </row>
    <row r="519" spans="1:10" x14ac:dyDescent="0.3">
      <c r="A519" t="s">
        <v>631</v>
      </c>
      <c r="B519" t="s">
        <v>65</v>
      </c>
      <c r="C519">
        <v>4</v>
      </c>
      <c r="D519">
        <v>23700</v>
      </c>
      <c r="E519" t="s">
        <v>66</v>
      </c>
      <c r="F519">
        <v>58</v>
      </c>
      <c r="G519">
        <v>11.2</v>
      </c>
      <c r="H519">
        <v>5800</v>
      </c>
      <c r="I519">
        <v>1.9073274951629249E-2</v>
      </c>
      <c r="J519">
        <v>1</v>
      </c>
    </row>
    <row r="520" spans="1:10" x14ac:dyDescent="0.3">
      <c r="A520" t="s">
        <v>632</v>
      </c>
      <c r="B520" t="s">
        <v>65</v>
      </c>
      <c r="C520">
        <v>7</v>
      </c>
      <c r="D520">
        <v>65700</v>
      </c>
      <c r="E520" t="s">
        <v>67</v>
      </c>
      <c r="F520">
        <v>45</v>
      </c>
      <c r="G520">
        <v>9.3000000000000007</v>
      </c>
      <c r="H520">
        <v>13300</v>
      </c>
      <c r="I520">
        <v>0.66443269795934401</v>
      </c>
      <c r="J520">
        <v>1</v>
      </c>
    </row>
    <row r="521" spans="1:10" x14ac:dyDescent="0.3">
      <c r="A521" t="s">
        <v>633</v>
      </c>
      <c r="B521" t="s">
        <v>65</v>
      </c>
      <c r="C521">
        <v>4</v>
      </c>
      <c r="D521">
        <v>29500</v>
      </c>
      <c r="E521" t="s">
        <v>67</v>
      </c>
      <c r="F521">
        <v>71</v>
      </c>
      <c r="G521">
        <v>0.9</v>
      </c>
      <c r="H521">
        <v>0</v>
      </c>
      <c r="I521">
        <v>0.94300879795356807</v>
      </c>
      <c r="J521">
        <v>1</v>
      </c>
    </row>
    <row r="522" spans="1:10" x14ac:dyDescent="0.3">
      <c r="A522" t="s">
        <v>634</v>
      </c>
      <c r="B522" t="s">
        <v>65</v>
      </c>
      <c r="C522">
        <v>6</v>
      </c>
      <c r="D522">
        <v>25600</v>
      </c>
      <c r="E522" t="s">
        <v>67</v>
      </c>
      <c r="F522">
        <v>112</v>
      </c>
      <c r="G522">
        <v>9.1999999999999993</v>
      </c>
      <c r="H522">
        <v>10900</v>
      </c>
      <c r="I522">
        <v>0.57546238485557033</v>
      </c>
      <c r="J522">
        <v>1</v>
      </c>
    </row>
    <row r="523" spans="1:10" x14ac:dyDescent="0.3">
      <c r="A523" t="s">
        <v>635</v>
      </c>
      <c r="B523" t="s">
        <v>65</v>
      </c>
      <c r="C523">
        <v>7</v>
      </c>
      <c r="D523">
        <v>36800</v>
      </c>
      <c r="E523" t="s">
        <v>66</v>
      </c>
      <c r="F523">
        <v>41</v>
      </c>
      <c r="G523">
        <v>4.9000000000000004</v>
      </c>
      <c r="H523">
        <v>3900</v>
      </c>
      <c r="I523">
        <v>0.14882431119372952</v>
      </c>
      <c r="J523">
        <v>1</v>
      </c>
    </row>
    <row r="524" spans="1:10" x14ac:dyDescent="0.3">
      <c r="A524" t="s">
        <v>636</v>
      </c>
      <c r="B524" t="s">
        <v>64</v>
      </c>
      <c r="C524">
        <v>4</v>
      </c>
      <c r="D524">
        <v>45600</v>
      </c>
      <c r="E524" t="s">
        <v>67</v>
      </c>
      <c r="F524">
        <v>55</v>
      </c>
      <c r="G524">
        <v>11.9</v>
      </c>
      <c r="H524">
        <v>11000</v>
      </c>
      <c r="I524">
        <v>0.38218312696950352</v>
      </c>
      <c r="J524">
        <v>1</v>
      </c>
    </row>
    <row r="525" spans="1:10" x14ac:dyDescent="0.3">
      <c r="A525" t="s">
        <v>637</v>
      </c>
      <c r="B525" t="s">
        <v>513</v>
      </c>
      <c r="C525">
        <v>7</v>
      </c>
      <c r="D525">
        <v>25400</v>
      </c>
      <c r="E525" t="s">
        <v>66</v>
      </c>
      <c r="F525">
        <v>69</v>
      </c>
      <c r="G525">
        <v>0.7</v>
      </c>
      <c r="H525">
        <v>3600</v>
      </c>
      <c r="I525">
        <v>0.47631421241210559</v>
      </c>
      <c r="J525">
        <v>1</v>
      </c>
    </row>
    <row r="526" spans="1:10" x14ac:dyDescent="0.3">
      <c r="A526" t="s">
        <v>638</v>
      </c>
      <c r="B526" t="s">
        <v>64</v>
      </c>
      <c r="C526">
        <v>2</v>
      </c>
      <c r="D526">
        <v>36300</v>
      </c>
      <c r="E526" t="s">
        <v>66</v>
      </c>
      <c r="F526">
        <v>38</v>
      </c>
      <c r="G526">
        <v>6.5</v>
      </c>
      <c r="H526">
        <v>8700</v>
      </c>
      <c r="I526">
        <v>0.6743508029574905</v>
      </c>
      <c r="J526">
        <v>1</v>
      </c>
    </row>
    <row r="527" spans="1:10" x14ac:dyDescent="0.3">
      <c r="A527" t="s">
        <v>639</v>
      </c>
      <c r="B527" t="s">
        <v>65</v>
      </c>
      <c r="C527">
        <v>3</v>
      </c>
      <c r="D527">
        <v>29500</v>
      </c>
      <c r="E527" t="s">
        <v>67</v>
      </c>
      <c r="F527">
        <v>60</v>
      </c>
      <c r="G527">
        <v>5.8</v>
      </c>
      <c r="H527">
        <v>3300</v>
      </c>
      <c r="I527">
        <v>0.39522596926943032</v>
      </c>
      <c r="J527">
        <v>1</v>
      </c>
    </row>
    <row r="528" spans="1:10" x14ac:dyDescent="0.3">
      <c r="A528" t="s">
        <v>640</v>
      </c>
      <c r="B528" t="s">
        <v>62</v>
      </c>
      <c r="C528">
        <v>2</v>
      </c>
      <c r="D528">
        <v>46900</v>
      </c>
      <c r="E528" t="s">
        <v>66</v>
      </c>
      <c r="F528">
        <v>17</v>
      </c>
      <c r="G528">
        <v>7.7</v>
      </c>
      <c r="H528">
        <v>0</v>
      </c>
      <c r="I528">
        <v>0.67257954610737825</v>
      </c>
      <c r="J528">
        <v>1</v>
      </c>
    </row>
    <row r="529" spans="1:10" x14ac:dyDescent="0.3">
      <c r="A529" t="s">
        <v>641</v>
      </c>
      <c r="B529" t="s">
        <v>65</v>
      </c>
      <c r="C529">
        <v>5</v>
      </c>
      <c r="D529">
        <v>18000</v>
      </c>
      <c r="E529" t="s">
        <v>67</v>
      </c>
      <c r="F529">
        <v>48</v>
      </c>
      <c r="G529">
        <v>11.2</v>
      </c>
      <c r="H529">
        <v>800</v>
      </c>
      <c r="I529">
        <v>0.20424686486067378</v>
      </c>
      <c r="J529">
        <v>1</v>
      </c>
    </row>
    <row r="530" spans="1:10" x14ac:dyDescent="0.3">
      <c r="A530" t="s">
        <v>642</v>
      </c>
      <c r="B530" t="s">
        <v>513</v>
      </c>
      <c r="C530">
        <v>9</v>
      </c>
      <c r="D530">
        <v>12500</v>
      </c>
      <c r="E530" t="s">
        <v>67</v>
      </c>
      <c r="F530">
        <v>66</v>
      </c>
      <c r="G530">
        <v>4.9000000000000004</v>
      </c>
      <c r="H530">
        <v>9800</v>
      </c>
      <c r="I530">
        <v>0.9398115460752815</v>
      </c>
      <c r="J530">
        <v>1</v>
      </c>
    </row>
    <row r="531" spans="1:10" x14ac:dyDescent="0.3">
      <c r="A531" t="s">
        <v>643</v>
      </c>
      <c r="B531" t="s">
        <v>513</v>
      </c>
      <c r="C531">
        <v>4</v>
      </c>
      <c r="D531">
        <v>41000</v>
      </c>
      <c r="E531" t="s">
        <v>66</v>
      </c>
      <c r="F531">
        <v>57</v>
      </c>
      <c r="G531">
        <v>1.8</v>
      </c>
      <c r="H531">
        <v>4000</v>
      </c>
      <c r="I531">
        <v>0.15626571174060444</v>
      </c>
      <c r="J531">
        <v>1</v>
      </c>
    </row>
    <row r="532" spans="1:10" x14ac:dyDescent="0.3">
      <c r="A532" t="s">
        <v>644</v>
      </c>
      <c r="B532" t="s">
        <v>65</v>
      </c>
      <c r="C532">
        <v>3</v>
      </c>
      <c r="D532">
        <v>34700</v>
      </c>
      <c r="E532" t="s">
        <v>69</v>
      </c>
      <c r="F532">
        <v>57</v>
      </c>
      <c r="G532">
        <v>7.5</v>
      </c>
      <c r="H532">
        <v>5900</v>
      </c>
      <c r="I532">
        <v>0.32676393005910631</v>
      </c>
      <c r="J532">
        <v>1</v>
      </c>
    </row>
    <row r="533" spans="1:10" x14ac:dyDescent="0.3">
      <c r="A533" t="s">
        <v>645</v>
      </c>
      <c r="B533" t="s">
        <v>65</v>
      </c>
      <c r="C533">
        <v>8</v>
      </c>
      <c r="D533">
        <v>45100</v>
      </c>
      <c r="E533" t="s">
        <v>69</v>
      </c>
      <c r="F533">
        <v>28</v>
      </c>
      <c r="G533">
        <v>6.5</v>
      </c>
      <c r="H533">
        <v>9600</v>
      </c>
      <c r="I533">
        <v>0.95888584113919917</v>
      </c>
      <c r="J533">
        <v>1</v>
      </c>
    </row>
    <row r="534" spans="1:10" x14ac:dyDescent="0.3">
      <c r="A534" t="s">
        <v>646</v>
      </c>
      <c r="B534" t="s">
        <v>65</v>
      </c>
      <c r="C534">
        <v>6</v>
      </c>
      <c r="D534">
        <v>38400</v>
      </c>
      <c r="E534" t="s">
        <v>67</v>
      </c>
      <c r="F534">
        <v>72</v>
      </c>
      <c r="G534">
        <v>12.4</v>
      </c>
      <c r="H534">
        <v>1100</v>
      </c>
      <c r="I534">
        <v>0.53112995038341182</v>
      </c>
      <c r="J534">
        <v>1</v>
      </c>
    </row>
    <row r="535" spans="1:10" x14ac:dyDescent="0.3">
      <c r="A535" t="s">
        <v>647</v>
      </c>
      <c r="B535" t="s">
        <v>513</v>
      </c>
      <c r="C535">
        <v>6</v>
      </c>
      <c r="D535">
        <v>55500</v>
      </c>
      <c r="E535" t="s">
        <v>66</v>
      </c>
      <c r="F535">
        <v>41</v>
      </c>
      <c r="G535">
        <v>6.3</v>
      </c>
      <c r="H535">
        <v>2100</v>
      </c>
      <c r="I535">
        <v>0.58757395700058479</v>
      </c>
      <c r="J535">
        <v>1</v>
      </c>
    </row>
    <row r="536" spans="1:10" x14ac:dyDescent="0.3">
      <c r="A536" t="s">
        <v>648</v>
      </c>
      <c r="B536" t="s">
        <v>513</v>
      </c>
      <c r="C536">
        <v>3</v>
      </c>
      <c r="D536">
        <v>45100</v>
      </c>
      <c r="E536" t="s">
        <v>67</v>
      </c>
      <c r="F536">
        <v>101</v>
      </c>
      <c r="G536">
        <v>9.9</v>
      </c>
      <c r="H536">
        <v>9000</v>
      </c>
      <c r="I536">
        <v>7.9519201899477476E-2</v>
      </c>
      <c r="J536">
        <v>1</v>
      </c>
    </row>
    <row r="537" spans="1:10" x14ac:dyDescent="0.3">
      <c r="A537" t="s">
        <v>649</v>
      </c>
      <c r="B537" t="s">
        <v>62</v>
      </c>
      <c r="C537">
        <v>7</v>
      </c>
      <c r="D537">
        <v>118100</v>
      </c>
      <c r="E537" t="s">
        <v>66</v>
      </c>
      <c r="F537">
        <v>61</v>
      </c>
      <c r="G537">
        <v>6.3</v>
      </c>
      <c r="H537">
        <v>10800</v>
      </c>
      <c r="I537">
        <v>0.1743251762989444</v>
      </c>
      <c r="J537">
        <v>1</v>
      </c>
    </row>
    <row r="538" spans="1:10" x14ac:dyDescent="0.3">
      <c r="A538" t="s">
        <v>650</v>
      </c>
      <c r="B538" t="s">
        <v>65</v>
      </c>
      <c r="C538">
        <v>6</v>
      </c>
      <c r="D538">
        <v>60000</v>
      </c>
      <c r="E538" t="s">
        <v>68</v>
      </c>
      <c r="F538">
        <v>38</v>
      </c>
      <c r="G538">
        <v>1.5</v>
      </c>
      <c r="H538">
        <v>1300</v>
      </c>
      <c r="I538">
        <v>0.11934964114370217</v>
      </c>
      <c r="J538">
        <v>1</v>
      </c>
    </row>
    <row r="539" spans="1:10" x14ac:dyDescent="0.3">
      <c r="A539" t="s">
        <v>651</v>
      </c>
      <c r="B539" t="s">
        <v>513</v>
      </c>
      <c r="C539">
        <v>5</v>
      </c>
      <c r="D539">
        <v>25500</v>
      </c>
      <c r="E539" t="s">
        <v>66</v>
      </c>
      <c r="F539">
        <v>25</v>
      </c>
      <c r="G539">
        <v>3.3</v>
      </c>
      <c r="H539">
        <v>8000</v>
      </c>
      <c r="I539">
        <v>3.518358265288779E-2</v>
      </c>
      <c r="J539">
        <v>1</v>
      </c>
    </row>
    <row r="540" spans="1:10" x14ac:dyDescent="0.3">
      <c r="A540" t="s">
        <v>652</v>
      </c>
      <c r="B540" t="s">
        <v>64</v>
      </c>
      <c r="C540">
        <v>3</v>
      </c>
      <c r="D540">
        <v>36500</v>
      </c>
      <c r="E540" t="s">
        <v>66</v>
      </c>
      <c r="F540">
        <v>20</v>
      </c>
      <c r="G540">
        <v>6.9</v>
      </c>
      <c r="H540">
        <v>4300</v>
      </c>
      <c r="I540">
        <v>0.66521118912338073</v>
      </c>
      <c r="J540">
        <v>1</v>
      </c>
    </row>
    <row r="541" spans="1:10" x14ac:dyDescent="0.3">
      <c r="A541" t="s">
        <v>653</v>
      </c>
      <c r="B541" t="s">
        <v>513</v>
      </c>
      <c r="C541">
        <v>10</v>
      </c>
      <c r="D541">
        <v>17900</v>
      </c>
      <c r="E541" t="s">
        <v>67</v>
      </c>
      <c r="F541">
        <v>101</v>
      </c>
      <c r="G541">
        <v>10.1</v>
      </c>
      <c r="H541">
        <v>7000</v>
      </c>
      <c r="I541">
        <v>0.75952088193777612</v>
      </c>
      <c r="J541">
        <v>1</v>
      </c>
    </row>
    <row r="542" spans="1:10" x14ac:dyDescent="0.3">
      <c r="A542" t="s">
        <v>654</v>
      </c>
      <c r="B542" t="s">
        <v>513</v>
      </c>
      <c r="C542">
        <v>4</v>
      </c>
      <c r="D542">
        <v>19700</v>
      </c>
      <c r="E542" t="s">
        <v>66</v>
      </c>
      <c r="F542">
        <v>42</v>
      </c>
      <c r="G542">
        <v>14.6</v>
      </c>
      <c r="H542">
        <v>4600</v>
      </c>
      <c r="I542">
        <v>0.55338726515175585</v>
      </c>
      <c r="J542">
        <v>1</v>
      </c>
    </row>
    <row r="543" spans="1:10" x14ac:dyDescent="0.3">
      <c r="A543" t="s">
        <v>655</v>
      </c>
      <c r="B543" t="s">
        <v>62</v>
      </c>
      <c r="C543">
        <v>4</v>
      </c>
      <c r="D543">
        <v>57100</v>
      </c>
      <c r="E543" t="s">
        <v>67</v>
      </c>
      <c r="F543">
        <v>52</v>
      </c>
      <c r="G543">
        <v>7.1</v>
      </c>
      <c r="H543">
        <v>12300</v>
      </c>
      <c r="I543">
        <v>0.59809211826746644</v>
      </c>
      <c r="J543">
        <v>1</v>
      </c>
    </row>
    <row r="544" spans="1:10" x14ac:dyDescent="0.3">
      <c r="A544" t="s">
        <v>656</v>
      </c>
      <c r="B544" t="s">
        <v>513</v>
      </c>
      <c r="C544">
        <v>9</v>
      </c>
      <c r="D544">
        <v>27200</v>
      </c>
      <c r="E544" t="s">
        <v>67</v>
      </c>
      <c r="F544">
        <v>50</v>
      </c>
      <c r="G544">
        <v>0.9</v>
      </c>
      <c r="H544">
        <v>7700</v>
      </c>
      <c r="I544">
        <v>0.43778137647587589</v>
      </c>
      <c r="J544">
        <v>1</v>
      </c>
    </row>
    <row r="545" spans="1:10" x14ac:dyDescent="0.3">
      <c r="A545" t="s">
        <v>657</v>
      </c>
      <c r="B545" t="s">
        <v>62</v>
      </c>
      <c r="C545">
        <v>5</v>
      </c>
      <c r="D545">
        <v>39800</v>
      </c>
      <c r="E545" t="s">
        <v>69</v>
      </c>
      <c r="F545">
        <v>40</v>
      </c>
      <c r="G545">
        <v>1.4</v>
      </c>
      <c r="H545">
        <v>9900</v>
      </c>
      <c r="I545">
        <v>0.82973380864042512</v>
      </c>
      <c r="J545">
        <v>1</v>
      </c>
    </row>
    <row r="546" spans="1:10" x14ac:dyDescent="0.3">
      <c r="A546" t="s">
        <v>658</v>
      </c>
      <c r="B546" t="s">
        <v>513</v>
      </c>
      <c r="C546">
        <v>2</v>
      </c>
      <c r="D546">
        <v>28600</v>
      </c>
      <c r="E546" t="s">
        <v>68</v>
      </c>
      <c r="F546">
        <v>34</v>
      </c>
      <c r="G546">
        <v>7.5</v>
      </c>
      <c r="H546">
        <v>3500</v>
      </c>
      <c r="I546">
        <v>0.93345643274590628</v>
      </c>
      <c r="J546">
        <v>1</v>
      </c>
    </row>
    <row r="547" spans="1:10" x14ac:dyDescent="0.3">
      <c r="A547" t="s">
        <v>659</v>
      </c>
      <c r="B547" t="s">
        <v>64</v>
      </c>
      <c r="C547">
        <v>8</v>
      </c>
      <c r="D547">
        <v>150000</v>
      </c>
      <c r="E547" t="s">
        <v>68</v>
      </c>
      <c r="F547">
        <v>34</v>
      </c>
      <c r="G547">
        <v>10.5</v>
      </c>
      <c r="H547">
        <v>13400</v>
      </c>
      <c r="I547">
        <v>0.94463174681846029</v>
      </c>
      <c r="J547">
        <v>1</v>
      </c>
    </row>
    <row r="548" spans="1:10" x14ac:dyDescent="0.3">
      <c r="A548" t="s">
        <v>660</v>
      </c>
      <c r="B548" t="s">
        <v>513</v>
      </c>
      <c r="C548">
        <v>8</v>
      </c>
      <c r="D548">
        <v>150000</v>
      </c>
      <c r="E548" t="s">
        <v>69</v>
      </c>
      <c r="F548">
        <v>31</v>
      </c>
      <c r="G548">
        <v>12.9</v>
      </c>
      <c r="H548">
        <v>9100</v>
      </c>
      <c r="I548">
        <v>0.26081895641182706</v>
      </c>
      <c r="J548">
        <v>1</v>
      </c>
    </row>
    <row r="549" spans="1:10" x14ac:dyDescent="0.3">
      <c r="A549" t="s">
        <v>661</v>
      </c>
      <c r="B549" t="s">
        <v>65</v>
      </c>
      <c r="C549">
        <v>2</v>
      </c>
      <c r="D549">
        <v>20300</v>
      </c>
      <c r="E549" t="s">
        <v>66</v>
      </c>
      <c r="F549">
        <v>27</v>
      </c>
      <c r="G549">
        <v>2.7</v>
      </c>
      <c r="H549">
        <v>1600</v>
      </c>
      <c r="I549">
        <v>0.11732354302173142</v>
      </c>
      <c r="J549">
        <v>1</v>
      </c>
    </row>
    <row r="550" spans="1:10" x14ac:dyDescent="0.3">
      <c r="A550" t="s">
        <v>662</v>
      </c>
      <c r="B550" t="s">
        <v>64</v>
      </c>
      <c r="C550">
        <v>3</v>
      </c>
      <c r="D550">
        <v>32700</v>
      </c>
      <c r="E550" t="s">
        <v>66</v>
      </c>
      <c r="F550">
        <v>23</v>
      </c>
      <c r="G550">
        <v>11.9</v>
      </c>
      <c r="H550">
        <v>5100</v>
      </c>
      <c r="I550">
        <v>0.57793771276523676</v>
      </c>
      <c r="J550">
        <v>1</v>
      </c>
    </row>
    <row r="551" spans="1:10" x14ac:dyDescent="0.3">
      <c r="A551" t="s">
        <v>663</v>
      </c>
      <c r="B551" t="s">
        <v>65</v>
      </c>
      <c r="C551">
        <v>8</v>
      </c>
      <c r="D551">
        <v>59700</v>
      </c>
      <c r="E551" t="s">
        <v>69</v>
      </c>
      <c r="F551">
        <v>45</v>
      </c>
      <c r="G551">
        <v>9.1999999999999993</v>
      </c>
      <c r="H551">
        <v>10000</v>
      </c>
      <c r="I551">
        <v>0.92248332505320496</v>
      </c>
      <c r="J551">
        <v>1</v>
      </c>
    </row>
    <row r="552" spans="1:10" x14ac:dyDescent="0.3">
      <c r="A552" t="s">
        <v>664</v>
      </c>
      <c r="B552" t="s">
        <v>513</v>
      </c>
      <c r="C552">
        <v>5</v>
      </c>
      <c r="D552">
        <v>55400</v>
      </c>
      <c r="E552" t="s">
        <v>68</v>
      </c>
      <c r="F552">
        <v>67</v>
      </c>
      <c r="G552">
        <v>1.9</v>
      </c>
      <c r="H552">
        <v>8300</v>
      </c>
      <c r="I552">
        <v>0.65295469841308085</v>
      </c>
      <c r="J552">
        <v>1</v>
      </c>
    </row>
    <row r="553" spans="1:10" x14ac:dyDescent="0.3">
      <c r="A553" t="s">
        <v>665</v>
      </c>
      <c r="B553" t="s">
        <v>62</v>
      </c>
      <c r="C553">
        <v>7</v>
      </c>
      <c r="D553">
        <v>20900</v>
      </c>
      <c r="E553" t="s">
        <v>66</v>
      </c>
      <c r="F553">
        <v>52</v>
      </c>
      <c r="G553">
        <v>1.1000000000000001</v>
      </c>
      <c r="H553">
        <v>5600</v>
      </c>
      <c r="I553">
        <v>0.98442267220534552</v>
      </c>
      <c r="J553">
        <v>1</v>
      </c>
    </row>
    <row r="554" spans="1:10" x14ac:dyDescent="0.3">
      <c r="A554" t="s">
        <v>666</v>
      </c>
      <c r="B554" t="s">
        <v>64</v>
      </c>
      <c r="C554">
        <v>7</v>
      </c>
      <c r="D554">
        <v>28400</v>
      </c>
      <c r="E554" t="s">
        <v>67</v>
      </c>
      <c r="F554">
        <v>95</v>
      </c>
      <c r="G554">
        <v>2.8</v>
      </c>
      <c r="H554">
        <v>3900</v>
      </c>
      <c r="I554">
        <v>0.46783333670220661</v>
      </c>
      <c r="J554">
        <v>1</v>
      </c>
    </row>
    <row r="555" spans="1:10" x14ac:dyDescent="0.3">
      <c r="A555" t="s">
        <v>667</v>
      </c>
      <c r="B555" t="s">
        <v>62</v>
      </c>
      <c r="C555">
        <v>4</v>
      </c>
      <c r="D555">
        <v>72400</v>
      </c>
      <c r="E555" t="s">
        <v>69</v>
      </c>
      <c r="F555">
        <v>42</v>
      </c>
      <c r="G555">
        <v>6.9</v>
      </c>
      <c r="H555">
        <v>3800</v>
      </c>
      <c r="I555">
        <v>0.23498938468636066</v>
      </c>
      <c r="J555">
        <v>1</v>
      </c>
    </row>
    <row r="556" spans="1:10" x14ac:dyDescent="0.3">
      <c r="A556" t="s">
        <v>668</v>
      </c>
      <c r="B556" t="s">
        <v>65</v>
      </c>
      <c r="C556">
        <v>9</v>
      </c>
      <c r="D556">
        <v>65500</v>
      </c>
      <c r="E556" t="s">
        <v>66</v>
      </c>
      <c r="F556">
        <v>42</v>
      </c>
      <c r="G556">
        <v>13.9</v>
      </c>
      <c r="H556">
        <v>9600</v>
      </c>
      <c r="I556">
        <v>0.72971930963879095</v>
      </c>
      <c r="J556">
        <v>1</v>
      </c>
    </row>
    <row r="557" spans="1:10" x14ac:dyDescent="0.3">
      <c r="A557" t="s">
        <v>669</v>
      </c>
      <c r="B557" t="s">
        <v>62</v>
      </c>
      <c r="C557">
        <v>10</v>
      </c>
      <c r="D557">
        <v>64800</v>
      </c>
      <c r="E557" t="s">
        <v>68</v>
      </c>
      <c r="F557">
        <v>59</v>
      </c>
      <c r="G557">
        <v>2.7</v>
      </c>
      <c r="H557">
        <v>3800</v>
      </c>
      <c r="I557">
        <v>0.28938103904538715</v>
      </c>
      <c r="J557">
        <v>1</v>
      </c>
    </row>
    <row r="558" spans="1:10" x14ac:dyDescent="0.3">
      <c r="A558" t="s">
        <v>670</v>
      </c>
      <c r="B558" t="s">
        <v>64</v>
      </c>
      <c r="C558">
        <v>10</v>
      </c>
      <c r="D558">
        <v>51900</v>
      </c>
      <c r="E558" t="s">
        <v>68</v>
      </c>
      <c r="F558">
        <v>38</v>
      </c>
      <c r="G558">
        <v>8.6</v>
      </c>
      <c r="H558">
        <v>8600</v>
      </c>
      <c r="I558">
        <v>0.40407144504015335</v>
      </c>
      <c r="J558">
        <v>1</v>
      </c>
    </row>
    <row r="559" spans="1:10" x14ac:dyDescent="0.3">
      <c r="A559" t="s">
        <v>671</v>
      </c>
      <c r="B559" t="s">
        <v>513</v>
      </c>
      <c r="C559">
        <v>9</v>
      </c>
      <c r="D559">
        <v>44400</v>
      </c>
      <c r="E559" t="s">
        <v>69</v>
      </c>
      <c r="F559">
        <v>41</v>
      </c>
      <c r="G559">
        <v>2.2000000000000002</v>
      </c>
      <c r="H559">
        <v>7500</v>
      </c>
      <c r="I559">
        <v>0.98860200306846768</v>
      </c>
      <c r="J559">
        <v>1</v>
      </c>
    </row>
    <row r="560" spans="1:10" x14ac:dyDescent="0.3">
      <c r="A560" t="s">
        <v>672</v>
      </c>
      <c r="B560" t="s">
        <v>65</v>
      </c>
      <c r="C560">
        <v>7</v>
      </c>
      <c r="D560">
        <v>127800</v>
      </c>
      <c r="E560" t="s">
        <v>67</v>
      </c>
      <c r="F560">
        <v>61</v>
      </c>
      <c r="G560">
        <v>4.7</v>
      </c>
      <c r="H560">
        <v>7900</v>
      </c>
      <c r="I560">
        <v>0.18885002368762205</v>
      </c>
      <c r="J560">
        <v>1</v>
      </c>
    </row>
    <row r="561" spans="1:10" x14ac:dyDescent="0.3">
      <c r="A561" t="s">
        <v>673</v>
      </c>
      <c r="B561" t="s">
        <v>513</v>
      </c>
      <c r="C561">
        <v>7</v>
      </c>
      <c r="D561">
        <v>34600</v>
      </c>
      <c r="E561" t="s">
        <v>66</v>
      </c>
      <c r="F561">
        <v>19</v>
      </c>
      <c r="G561">
        <v>1.7</v>
      </c>
      <c r="H561">
        <v>9200</v>
      </c>
      <c r="I561">
        <v>0.19494936910330396</v>
      </c>
      <c r="J561">
        <v>1</v>
      </c>
    </row>
    <row r="562" spans="1:10" x14ac:dyDescent="0.3">
      <c r="A562" t="s">
        <v>674</v>
      </c>
      <c r="B562" t="s">
        <v>513</v>
      </c>
      <c r="C562">
        <v>4</v>
      </c>
      <c r="D562">
        <v>57900</v>
      </c>
      <c r="E562" t="s">
        <v>68</v>
      </c>
      <c r="F562">
        <v>21</v>
      </c>
      <c r="G562">
        <v>2.1</v>
      </c>
      <c r="H562">
        <v>6500</v>
      </c>
      <c r="I562">
        <v>0.8691927428941244</v>
      </c>
      <c r="J562">
        <v>1</v>
      </c>
    </row>
    <row r="563" spans="1:10" x14ac:dyDescent="0.3">
      <c r="A563" t="s">
        <v>675</v>
      </c>
      <c r="B563" t="s">
        <v>64</v>
      </c>
      <c r="C563">
        <v>7</v>
      </c>
      <c r="D563">
        <v>55100</v>
      </c>
      <c r="E563" t="s">
        <v>69</v>
      </c>
      <c r="F563">
        <v>14</v>
      </c>
      <c r="G563">
        <v>10</v>
      </c>
      <c r="H563">
        <v>7100</v>
      </c>
      <c r="I563">
        <v>0.96901803877487225</v>
      </c>
      <c r="J563">
        <v>1</v>
      </c>
    </row>
    <row r="564" spans="1:10" x14ac:dyDescent="0.3">
      <c r="A564" t="s">
        <v>676</v>
      </c>
      <c r="B564" t="s">
        <v>513</v>
      </c>
      <c r="C564">
        <v>5</v>
      </c>
      <c r="D564">
        <v>30600</v>
      </c>
      <c r="E564" t="s">
        <v>67</v>
      </c>
      <c r="F564">
        <v>62</v>
      </c>
      <c r="G564">
        <v>0.6</v>
      </c>
      <c r="H564">
        <v>12200</v>
      </c>
      <c r="I564">
        <v>0.67758936432731265</v>
      </c>
      <c r="J564">
        <v>1</v>
      </c>
    </row>
    <row r="565" spans="1:10" x14ac:dyDescent="0.3">
      <c r="A565" t="s">
        <v>677</v>
      </c>
      <c r="B565" t="s">
        <v>62</v>
      </c>
      <c r="C565">
        <v>4</v>
      </c>
      <c r="D565">
        <v>38300</v>
      </c>
      <c r="E565" t="s">
        <v>66</v>
      </c>
      <c r="F565">
        <v>63</v>
      </c>
      <c r="G565">
        <v>5.6</v>
      </c>
      <c r="H565">
        <v>7100</v>
      </c>
      <c r="I565">
        <v>0.27461255496168646</v>
      </c>
      <c r="J565">
        <v>1</v>
      </c>
    </row>
    <row r="566" spans="1:10" x14ac:dyDescent="0.3">
      <c r="A566" t="s">
        <v>678</v>
      </c>
      <c r="B566" t="s">
        <v>513</v>
      </c>
      <c r="C566">
        <v>7</v>
      </c>
      <c r="D566">
        <v>38000</v>
      </c>
      <c r="E566" t="s">
        <v>68</v>
      </c>
      <c r="F566">
        <v>70</v>
      </c>
      <c r="G566">
        <v>3.8</v>
      </c>
      <c r="H566">
        <v>0</v>
      </c>
      <c r="I566">
        <v>0.83359904249524974</v>
      </c>
      <c r="J566">
        <v>1</v>
      </c>
    </row>
    <row r="567" spans="1:10" x14ac:dyDescent="0.3">
      <c r="A567" t="s">
        <v>679</v>
      </c>
      <c r="B567" t="s">
        <v>64</v>
      </c>
      <c r="C567">
        <v>4</v>
      </c>
      <c r="D567">
        <v>33700</v>
      </c>
      <c r="E567" t="s">
        <v>67</v>
      </c>
      <c r="F567">
        <v>67</v>
      </c>
      <c r="G567">
        <v>2.8</v>
      </c>
      <c r="H567">
        <v>11400</v>
      </c>
      <c r="I567">
        <v>0.28426920720139737</v>
      </c>
      <c r="J567">
        <v>1</v>
      </c>
    </row>
    <row r="568" spans="1:10" x14ac:dyDescent="0.3">
      <c r="A568" t="s">
        <v>680</v>
      </c>
      <c r="B568" t="s">
        <v>64</v>
      </c>
      <c r="C568">
        <v>3</v>
      </c>
      <c r="D568">
        <v>39400</v>
      </c>
      <c r="E568" t="s">
        <v>68</v>
      </c>
      <c r="F568">
        <v>56</v>
      </c>
      <c r="G568">
        <v>9.6</v>
      </c>
      <c r="H568">
        <v>6100</v>
      </c>
      <c r="I568">
        <v>0.71900778269716736</v>
      </c>
      <c r="J568">
        <v>1</v>
      </c>
    </row>
    <row r="569" spans="1:10" x14ac:dyDescent="0.3">
      <c r="A569" t="s">
        <v>681</v>
      </c>
      <c r="B569" t="s">
        <v>62</v>
      </c>
      <c r="C569">
        <v>7</v>
      </c>
      <c r="D569">
        <v>57700</v>
      </c>
      <c r="E569" t="s">
        <v>68</v>
      </c>
      <c r="F569">
        <v>72</v>
      </c>
      <c r="G569">
        <v>9.1</v>
      </c>
      <c r="H569">
        <v>5400</v>
      </c>
      <c r="I569">
        <v>0.63171810539685191</v>
      </c>
      <c r="J569">
        <v>1</v>
      </c>
    </row>
    <row r="570" spans="1:10" x14ac:dyDescent="0.3">
      <c r="A570" t="s">
        <v>682</v>
      </c>
      <c r="B570" t="s">
        <v>65</v>
      </c>
      <c r="C570">
        <v>3</v>
      </c>
      <c r="D570">
        <v>43000</v>
      </c>
      <c r="E570" t="s">
        <v>67</v>
      </c>
      <c r="F570">
        <v>114</v>
      </c>
      <c r="G570">
        <v>2.2999999999999998</v>
      </c>
      <c r="H570">
        <v>9100</v>
      </c>
      <c r="I570">
        <v>0.10270732973550689</v>
      </c>
      <c r="J570">
        <v>1</v>
      </c>
    </row>
    <row r="571" spans="1:10" x14ac:dyDescent="0.3">
      <c r="A571" t="s">
        <v>683</v>
      </c>
      <c r="B571" t="s">
        <v>65</v>
      </c>
      <c r="C571">
        <v>7</v>
      </c>
      <c r="D571">
        <v>40500</v>
      </c>
      <c r="E571" t="s">
        <v>69</v>
      </c>
      <c r="F571">
        <v>17</v>
      </c>
      <c r="G571">
        <v>4.5</v>
      </c>
      <c r="H571">
        <v>5800</v>
      </c>
      <c r="I571">
        <v>0.12140055216576218</v>
      </c>
      <c r="J571">
        <v>1</v>
      </c>
    </row>
    <row r="572" spans="1:10" x14ac:dyDescent="0.3">
      <c r="A572" t="s">
        <v>684</v>
      </c>
      <c r="B572" t="s">
        <v>62</v>
      </c>
      <c r="C572">
        <v>7</v>
      </c>
      <c r="D572">
        <v>8300</v>
      </c>
      <c r="E572" t="s">
        <v>68</v>
      </c>
      <c r="F572">
        <v>69</v>
      </c>
      <c r="G572">
        <v>2.9</v>
      </c>
      <c r="H572">
        <v>0</v>
      </c>
      <c r="I572">
        <v>0.49034013505381846</v>
      </c>
      <c r="J572">
        <v>1</v>
      </c>
    </row>
    <row r="573" spans="1:10" x14ac:dyDescent="0.3">
      <c r="A573" t="s">
        <v>685</v>
      </c>
      <c r="B573" t="s">
        <v>65</v>
      </c>
      <c r="C573">
        <v>7</v>
      </c>
      <c r="D573">
        <v>97300</v>
      </c>
      <c r="E573" t="s">
        <v>68</v>
      </c>
      <c r="F573">
        <v>74</v>
      </c>
      <c r="G573">
        <v>3.4</v>
      </c>
      <c r="H573">
        <v>10300</v>
      </c>
      <c r="I573">
        <v>0.1523018203506753</v>
      </c>
      <c r="J573">
        <v>1</v>
      </c>
    </row>
    <row r="574" spans="1:10" x14ac:dyDescent="0.3">
      <c r="A574" t="s">
        <v>686</v>
      </c>
      <c r="B574" t="s">
        <v>513</v>
      </c>
      <c r="C574">
        <v>8</v>
      </c>
      <c r="D574">
        <v>59800</v>
      </c>
      <c r="E574" t="s">
        <v>66</v>
      </c>
      <c r="F574">
        <v>70</v>
      </c>
      <c r="G574">
        <v>15</v>
      </c>
      <c r="H574">
        <v>4100</v>
      </c>
      <c r="I574">
        <v>0.58529343690038294</v>
      </c>
      <c r="J574">
        <v>1</v>
      </c>
    </row>
    <row r="575" spans="1:10" x14ac:dyDescent="0.3">
      <c r="A575" t="s">
        <v>687</v>
      </c>
      <c r="B575" t="s">
        <v>513</v>
      </c>
      <c r="C575">
        <v>7</v>
      </c>
      <c r="D575">
        <v>67200</v>
      </c>
      <c r="E575" t="s">
        <v>69</v>
      </c>
      <c r="F575">
        <v>60</v>
      </c>
      <c r="G575">
        <v>14.7</v>
      </c>
      <c r="H575">
        <v>6600</v>
      </c>
      <c r="I575">
        <v>0.86320507943647085</v>
      </c>
      <c r="J575">
        <v>1</v>
      </c>
    </row>
    <row r="576" spans="1:10" x14ac:dyDescent="0.3">
      <c r="A576" t="s">
        <v>688</v>
      </c>
      <c r="B576" t="s">
        <v>64</v>
      </c>
      <c r="C576">
        <v>3</v>
      </c>
      <c r="D576">
        <v>63100</v>
      </c>
      <c r="E576" t="s">
        <v>66</v>
      </c>
      <c r="F576">
        <v>35</v>
      </c>
      <c r="G576">
        <v>2.8</v>
      </c>
      <c r="H576">
        <v>5200</v>
      </c>
      <c r="I576">
        <v>0.23009708268359552</v>
      </c>
      <c r="J576">
        <v>1</v>
      </c>
    </row>
    <row r="577" spans="1:10" x14ac:dyDescent="0.3">
      <c r="A577" t="s">
        <v>689</v>
      </c>
      <c r="B577" t="s">
        <v>513</v>
      </c>
      <c r="C577">
        <v>5</v>
      </c>
      <c r="D577">
        <v>21500</v>
      </c>
      <c r="E577" t="s">
        <v>68</v>
      </c>
      <c r="F577">
        <v>26</v>
      </c>
      <c r="G577">
        <v>3.9</v>
      </c>
      <c r="H577">
        <v>3200</v>
      </c>
      <c r="I577">
        <v>0.31651914577013529</v>
      </c>
      <c r="J577">
        <v>1</v>
      </c>
    </row>
    <row r="578" spans="1:10" x14ac:dyDescent="0.3">
      <c r="A578" t="s">
        <v>690</v>
      </c>
      <c r="B578" t="s">
        <v>513</v>
      </c>
      <c r="C578">
        <v>4</v>
      </c>
      <c r="D578">
        <v>31700</v>
      </c>
      <c r="E578" t="s">
        <v>66</v>
      </c>
      <c r="F578">
        <v>15</v>
      </c>
      <c r="G578">
        <v>5.7</v>
      </c>
      <c r="H578">
        <v>3300</v>
      </c>
      <c r="I578">
        <v>0.91932415510818977</v>
      </c>
      <c r="J578">
        <v>1</v>
      </c>
    </row>
    <row r="579" spans="1:10" x14ac:dyDescent="0.3">
      <c r="A579" t="s">
        <v>691</v>
      </c>
      <c r="B579" t="s">
        <v>64</v>
      </c>
      <c r="C579">
        <v>8</v>
      </c>
      <c r="D579">
        <v>16400</v>
      </c>
      <c r="E579" t="s">
        <v>69</v>
      </c>
      <c r="F579">
        <v>22</v>
      </c>
      <c r="G579">
        <v>7.2</v>
      </c>
      <c r="H579">
        <v>4900</v>
      </c>
      <c r="I579">
        <v>0.47645117939847415</v>
      </c>
      <c r="J579">
        <v>1</v>
      </c>
    </row>
    <row r="580" spans="1:10" x14ac:dyDescent="0.3">
      <c r="A580" t="s">
        <v>692</v>
      </c>
      <c r="B580" t="s">
        <v>64</v>
      </c>
      <c r="C580">
        <v>5</v>
      </c>
      <c r="D580">
        <v>20100</v>
      </c>
      <c r="E580" t="s">
        <v>66</v>
      </c>
      <c r="F580">
        <v>36</v>
      </c>
      <c r="G580">
        <v>3.3</v>
      </c>
      <c r="H580">
        <v>5900</v>
      </c>
      <c r="I580">
        <v>0.33252779318194159</v>
      </c>
      <c r="J580">
        <v>1</v>
      </c>
    </row>
    <row r="581" spans="1:10" x14ac:dyDescent="0.3">
      <c r="A581" t="s">
        <v>693</v>
      </c>
      <c r="B581" t="s">
        <v>62</v>
      </c>
      <c r="C581">
        <v>8</v>
      </c>
      <c r="D581">
        <v>20100</v>
      </c>
      <c r="E581" t="s">
        <v>68</v>
      </c>
      <c r="F581">
        <v>41</v>
      </c>
      <c r="G581">
        <v>2.7</v>
      </c>
      <c r="H581">
        <v>4300</v>
      </c>
      <c r="I581">
        <v>0.14924487089290361</v>
      </c>
      <c r="J581">
        <v>1</v>
      </c>
    </row>
    <row r="582" spans="1:10" x14ac:dyDescent="0.3">
      <c r="A582" t="s">
        <v>694</v>
      </c>
      <c r="B582" t="s">
        <v>64</v>
      </c>
      <c r="C582">
        <v>5</v>
      </c>
      <c r="D582">
        <v>36600</v>
      </c>
      <c r="E582" t="s">
        <v>66</v>
      </c>
      <c r="F582">
        <v>68</v>
      </c>
      <c r="G582">
        <v>2.4</v>
      </c>
      <c r="H582">
        <v>5400</v>
      </c>
      <c r="I582">
        <v>0.19341999200875015</v>
      </c>
      <c r="J582">
        <v>1</v>
      </c>
    </row>
    <row r="583" spans="1:10" x14ac:dyDescent="0.3">
      <c r="A583" t="s">
        <v>695</v>
      </c>
      <c r="B583" t="s">
        <v>513</v>
      </c>
      <c r="C583">
        <v>7</v>
      </c>
      <c r="D583">
        <v>40300</v>
      </c>
      <c r="E583" t="s">
        <v>66</v>
      </c>
      <c r="F583">
        <v>22</v>
      </c>
      <c r="G583">
        <v>8.8000000000000007</v>
      </c>
      <c r="H583">
        <v>7200</v>
      </c>
      <c r="I583">
        <v>0.22348379100947047</v>
      </c>
      <c r="J583">
        <v>1</v>
      </c>
    </row>
    <row r="584" spans="1:10" x14ac:dyDescent="0.3">
      <c r="A584" t="s">
        <v>696</v>
      </c>
      <c r="B584" t="s">
        <v>65</v>
      </c>
      <c r="C584">
        <v>6</v>
      </c>
      <c r="D584">
        <v>42300</v>
      </c>
      <c r="E584" t="s">
        <v>66</v>
      </c>
      <c r="F584">
        <v>45</v>
      </c>
      <c r="G584">
        <v>5.8</v>
      </c>
      <c r="H584">
        <v>7600</v>
      </c>
      <c r="I584">
        <v>0.12265948508070479</v>
      </c>
      <c r="J584">
        <v>1</v>
      </c>
    </row>
    <row r="585" spans="1:10" x14ac:dyDescent="0.3">
      <c r="A585" t="s">
        <v>697</v>
      </c>
      <c r="B585" t="s">
        <v>62</v>
      </c>
      <c r="C585">
        <v>2</v>
      </c>
      <c r="D585">
        <v>18900</v>
      </c>
      <c r="E585" t="s">
        <v>66</v>
      </c>
      <c r="F585">
        <v>44</v>
      </c>
      <c r="G585">
        <v>8.9</v>
      </c>
      <c r="H585">
        <v>8400</v>
      </c>
      <c r="I585">
        <v>0.91528359749944432</v>
      </c>
      <c r="J585">
        <v>1</v>
      </c>
    </row>
    <row r="586" spans="1:10" x14ac:dyDescent="0.3">
      <c r="A586" t="s">
        <v>698</v>
      </c>
      <c r="B586" t="s">
        <v>513</v>
      </c>
      <c r="C586">
        <v>1</v>
      </c>
      <c r="D586">
        <v>62300</v>
      </c>
      <c r="E586" t="s">
        <v>68</v>
      </c>
      <c r="F586">
        <v>21</v>
      </c>
      <c r="G586">
        <v>5.9</v>
      </c>
      <c r="H586">
        <v>2000</v>
      </c>
      <c r="I586">
        <v>0.90334858206058333</v>
      </c>
      <c r="J586">
        <v>1</v>
      </c>
    </row>
    <row r="587" spans="1:10" x14ac:dyDescent="0.3">
      <c r="A587" t="s">
        <v>699</v>
      </c>
      <c r="B587" t="s">
        <v>65</v>
      </c>
      <c r="C587">
        <v>4</v>
      </c>
      <c r="D587">
        <v>60500</v>
      </c>
      <c r="E587" t="s">
        <v>66</v>
      </c>
      <c r="F587">
        <v>27</v>
      </c>
      <c r="G587">
        <v>10</v>
      </c>
      <c r="H587">
        <v>5900</v>
      </c>
      <c r="I587">
        <v>0.55776100381704563</v>
      </c>
      <c r="J587">
        <v>1</v>
      </c>
    </row>
    <row r="588" spans="1:10" x14ac:dyDescent="0.3">
      <c r="A588" t="s">
        <v>700</v>
      </c>
      <c r="B588" t="s">
        <v>65</v>
      </c>
      <c r="C588">
        <v>2</v>
      </c>
      <c r="D588">
        <v>52800</v>
      </c>
      <c r="E588" t="s">
        <v>68</v>
      </c>
      <c r="F588">
        <v>28</v>
      </c>
      <c r="G588">
        <v>0.8</v>
      </c>
      <c r="H588">
        <v>700</v>
      </c>
      <c r="I588">
        <v>0.94640895298759897</v>
      </c>
      <c r="J588">
        <v>1</v>
      </c>
    </row>
    <row r="589" spans="1:10" x14ac:dyDescent="0.3">
      <c r="A589" t="s">
        <v>701</v>
      </c>
      <c r="B589" t="s">
        <v>65</v>
      </c>
      <c r="C589">
        <v>10</v>
      </c>
      <c r="D589">
        <v>20000</v>
      </c>
      <c r="E589" t="s">
        <v>66</v>
      </c>
      <c r="F589">
        <v>54</v>
      </c>
      <c r="G589">
        <v>11.5</v>
      </c>
      <c r="H589">
        <v>10900</v>
      </c>
      <c r="I589">
        <v>0.28689527567266015</v>
      </c>
      <c r="J589">
        <v>1</v>
      </c>
    </row>
    <row r="590" spans="1:10" x14ac:dyDescent="0.3">
      <c r="A590" t="s">
        <v>702</v>
      </c>
      <c r="B590" t="s">
        <v>64</v>
      </c>
      <c r="C590">
        <v>5</v>
      </c>
      <c r="D590">
        <v>40700</v>
      </c>
      <c r="E590" t="s">
        <v>69</v>
      </c>
      <c r="F590">
        <v>39</v>
      </c>
      <c r="G590">
        <v>3.4</v>
      </c>
      <c r="H590">
        <v>3300</v>
      </c>
      <c r="I590">
        <v>0.89909060377398886</v>
      </c>
      <c r="J590">
        <v>1</v>
      </c>
    </row>
    <row r="591" spans="1:10" x14ac:dyDescent="0.3">
      <c r="A591" t="s">
        <v>703</v>
      </c>
      <c r="B591" t="s">
        <v>62</v>
      </c>
      <c r="C591">
        <v>1</v>
      </c>
      <c r="D591">
        <v>26100</v>
      </c>
      <c r="E591" t="s">
        <v>66</v>
      </c>
      <c r="F591">
        <v>41</v>
      </c>
      <c r="G591">
        <v>1.9</v>
      </c>
      <c r="H591">
        <v>9400</v>
      </c>
      <c r="I591">
        <v>0.90857716444955505</v>
      </c>
      <c r="J591">
        <v>1</v>
      </c>
    </row>
    <row r="592" spans="1:10" x14ac:dyDescent="0.3">
      <c r="A592" t="s">
        <v>704</v>
      </c>
      <c r="B592" t="s">
        <v>62</v>
      </c>
      <c r="C592">
        <v>4</v>
      </c>
      <c r="D592">
        <v>30600</v>
      </c>
      <c r="E592" t="s">
        <v>68</v>
      </c>
      <c r="F592">
        <v>41</v>
      </c>
      <c r="G592">
        <v>8.3000000000000007</v>
      </c>
      <c r="H592">
        <v>4500</v>
      </c>
      <c r="I592">
        <v>0.73833043589397485</v>
      </c>
      <c r="J592">
        <v>1</v>
      </c>
    </row>
    <row r="593" spans="1:10" x14ac:dyDescent="0.3">
      <c r="A593" t="s">
        <v>705</v>
      </c>
      <c r="B593" t="s">
        <v>64</v>
      </c>
      <c r="C593">
        <v>1</v>
      </c>
      <c r="D593">
        <v>20600</v>
      </c>
      <c r="E593" t="s">
        <v>66</v>
      </c>
      <c r="F593">
        <v>43</v>
      </c>
      <c r="G593">
        <v>7.3</v>
      </c>
      <c r="H593">
        <v>4700</v>
      </c>
      <c r="I593">
        <v>0.4813637946770114</v>
      </c>
      <c r="J593">
        <v>1</v>
      </c>
    </row>
    <row r="594" spans="1:10" x14ac:dyDescent="0.3">
      <c r="A594" t="s">
        <v>706</v>
      </c>
      <c r="B594" t="s">
        <v>62</v>
      </c>
      <c r="C594">
        <v>6</v>
      </c>
      <c r="D594">
        <v>22900</v>
      </c>
      <c r="E594" t="s">
        <v>68</v>
      </c>
      <c r="F594">
        <v>23</v>
      </c>
      <c r="G594">
        <v>5.9</v>
      </c>
      <c r="H594">
        <v>8700</v>
      </c>
      <c r="I594">
        <v>0.46857030758645202</v>
      </c>
      <c r="J594">
        <v>1</v>
      </c>
    </row>
    <row r="595" spans="1:10" x14ac:dyDescent="0.3">
      <c r="A595" t="s">
        <v>707</v>
      </c>
      <c r="B595" t="s">
        <v>65</v>
      </c>
      <c r="C595">
        <v>1</v>
      </c>
      <c r="D595">
        <v>46100</v>
      </c>
      <c r="E595" t="s">
        <v>68</v>
      </c>
      <c r="F595">
        <v>75</v>
      </c>
      <c r="G595">
        <v>10.7</v>
      </c>
      <c r="H595">
        <v>6700</v>
      </c>
      <c r="I595">
        <v>0.224533375065328</v>
      </c>
      <c r="J595">
        <v>1</v>
      </c>
    </row>
    <row r="596" spans="1:10" x14ac:dyDescent="0.3">
      <c r="A596" t="s">
        <v>708</v>
      </c>
      <c r="B596" t="s">
        <v>62</v>
      </c>
      <c r="C596">
        <v>6</v>
      </c>
      <c r="D596">
        <v>20200</v>
      </c>
      <c r="E596" t="s">
        <v>66</v>
      </c>
      <c r="F596">
        <v>49</v>
      </c>
      <c r="G596">
        <v>1.1000000000000001</v>
      </c>
      <c r="H596">
        <v>7200</v>
      </c>
      <c r="I596">
        <v>0.75546514500796413</v>
      </c>
      <c r="J596">
        <v>1</v>
      </c>
    </row>
    <row r="597" spans="1:10" x14ac:dyDescent="0.3">
      <c r="A597" t="s">
        <v>709</v>
      </c>
      <c r="B597" t="s">
        <v>62</v>
      </c>
      <c r="C597">
        <v>8</v>
      </c>
      <c r="D597">
        <v>57700</v>
      </c>
      <c r="E597" t="s">
        <v>68</v>
      </c>
      <c r="F597">
        <v>59</v>
      </c>
      <c r="G597">
        <v>6.4</v>
      </c>
      <c r="H597">
        <v>8900</v>
      </c>
      <c r="I597">
        <v>0.66142878249058101</v>
      </c>
      <c r="J597">
        <v>1</v>
      </c>
    </row>
    <row r="598" spans="1:10" x14ac:dyDescent="0.3">
      <c r="A598" t="s">
        <v>710</v>
      </c>
      <c r="B598" t="s">
        <v>64</v>
      </c>
      <c r="C598">
        <v>4</v>
      </c>
      <c r="D598">
        <v>27800</v>
      </c>
      <c r="E598" t="s">
        <v>66</v>
      </c>
      <c r="F598">
        <v>32</v>
      </c>
      <c r="G598">
        <v>8.4</v>
      </c>
      <c r="H598">
        <v>8000</v>
      </c>
      <c r="I598">
        <v>0.60504845860307221</v>
      </c>
      <c r="J598">
        <v>1</v>
      </c>
    </row>
    <row r="599" spans="1:10" x14ac:dyDescent="0.3">
      <c r="A599" t="s">
        <v>711</v>
      </c>
      <c r="B599" t="s">
        <v>62</v>
      </c>
      <c r="C599">
        <v>3</v>
      </c>
      <c r="D599">
        <v>14500</v>
      </c>
      <c r="E599" t="s">
        <v>67</v>
      </c>
      <c r="F599">
        <v>53</v>
      </c>
      <c r="G599">
        <v>2.9</v>
      </c>
      <c r="H599">
        <v>3600</v>
      </c>
      <c r="I599">
        <v>0.26763295286017452</v>
      </c>
      <c r="J599">
        <v>1</v>
      </c>
    </row>
    <row r="600" spans="1:10" x14ac:dyDescent="0.3">
      <c r="A600" t="s">
        <v>712</v>
      </c>
      <c r="B600" t="s">
        <v>64</v>
      </c>
      <c r="C600">
        <v>4</v>
      </c>
      <c r="D600">
        <v>50500</v>
      </c>
      <c r="E600" t="s">
        <v>67</v>
      </c>
      <c r="F600">
        <v>66</v>
      </c>
      <c r="G600">
        <v>5.5</v>
      </c>
      <c r="H600">
        <v>6400</v>
      </c>
      <c r="I600">
        <v>0.9508171958045939</v>
      </c>
      <c r="J600">
        <v>1</v>
      </c>
    </row>
    <row r="601" spans="1:10" x14ac:dyDescent="0.3">
      <c r="A601" t="s">
        <v>713</v>
      </c>
      <c r="B601" t="s">
        <v>62</v>
      </c>
      <c r="C601">
        <v>1</v>
      </c>
      <c r="D601">
        <v>13400</v>
      </c>
      <c r="E601" t="s">
        <v>67</v>
      </c>
      <c r="F601">
        <v>95</v>
      </c>
      <c r="G601">
        <v>2.1</v>
      </c>
      <c r="H601">
        <v>9200</v>
      </c>
      <c r="I601">
        <v>0.96313538575706992</v>
      </c>
      <c r="J601">
        <v>1</v>
      </c>
    </row>
    <row r="602" spans="1:10" x14ac:dyDescent="0.3">
      <c r="A602" t="s">
        <v>714</v>
      </c>
      <c r="B602" t="s">
        <v>513</v>
      </c>
      <c r="C602">
        <v>5</v>
      </c>
      <c r="D602">
        <v>70700</v>
      </c>
      <c r="E602" t="s">
        <v>66</v>
      </c>
      <c r="F602">
        <v>67</v>
      </c>
      <c r="G602">
        <v>4.8</v>
      </c>
      <c r="H602">
        <v>4300</v>
      </c>
      <c r="I602">
        <v>0.27584036119730826</v>
      </c>
      <c r="J602">
        <v>1</v>
      </c>
    </row>
    <row r="603" spans="1:10" x14ac:dyDescent="0.3">
      <c r="A603" t="s">
        <v>715</v>
      </c>
      <c r="B603" t="s">
        <v>513</v>
      </c>
      <c r="C603">
        <v>2</v>
      </c>
      <c r="D603">
        <v>38100</v>
      </c>
      <c r="E603" t="s">
        <v>66</v>
      </c>
      <c r="F603">
        <v>63</v>
      </c>
      <c r="G603">
        <v>14</v>
      </c>
      <c r="H603">
        <v>11400</v>
      </c>
      <c r="I603">
        <v>0.8336010364523706</v>
      </c>
      <c r="J603">
        <v>1</v>
      </c>
    </row>
    <row r="604" spans="1:10" x14ac:dyDescent="0.3">
      <c r="A604" t="s">
        <v>716</v>
      </c>
      <c r="B604" t="s">
        <v>65</v>
      </c>
      <c r="C604">
        <v>8</v>
      </c>
      <c r="D604">
        <v>43100</v>
      </c>
      <c r="E604" t="s">
        <v>68</v>
      </c>
      <c r="F604">
        <v>45</v>
      </c>
      <c r="G604">
        <v>3.4</v>
      </c>
      <c r="H604">
        <v>4800</v>
      </c>
      <c r="I604">
        <v>0.57793765475517289</v>
      </c>
      <c r="J604">
        <v>1</v>
      </c>
    </row>
    <row r="605" spans="1:10" x14ac:dyDescent="0.3">
      <c r="A605" t="s">
        <v>717</v>
      </c>
      <c r="B605" t="s">
        <v>65</v>
      </c>
      <c r="C605">
        <v>4</v>
      </c>
      <c r="D605">
        <v>39300</v>
      </c>
      <c r="E605" t="s">
        <v>66</v>
      </c>
      <c r="F605">
        <v>64</v>
      </c>
      <c r="G605">
        <v>10.9</v>
      </c>
      <c r="H605">
        <v>100</v>
      </c>
      <c r="I605">
        <v>0.46778508874893709</v>
      </c>
      <c r="J605">
        <v>1</v>
      </c>
    </row>
    <row r="606" spans="1:10" x14ac:dyDescent="0.3">
      <c r="A606" t="s">
        <v>718</v>
      </c>
      <c r="B606" t="s">
        <v>513</v>
      </c>
      <c r="C606">
        <v>10</v>
      </c>
      <c r="D606">
        <v>35800</v>
      </c>
      <c r="E606" t="s">
        <v>67</v>
      </c>
      <c r="F606">
        <v>97</v>
      </c>
      <c r="G606">
        <v>7.9</v>
      </c>
      <c r="H606">
        <v>4200</v>
      </c>
      <c r="I606">
        <v>0.16114648043957136</v>
      </c>
      <c r="J606">
        <v>1</v>
      </c>
    </row>
    <row r="607" spans="1:10" x14ac:dyDescent="0.3">
      <c r="A607" t="s">
        <v>719</v>
      </c>
      <c r="B607" t="s">
        <v>65</v>
      </c>
      <c r="C607">
        <v>6</v>
      </c>
      <c r="D607">
        <v>29700</v>
      </c>
      <c r="E607" t="s">
        <v>69</v>
      </c>
      <c r="F607">
        <v>31</v>
      </c>
      <c r="G607">
        <v>7.4</v>
      </c>
      <c r="H607">
        <v>9700</v>
      </c>
      <c r="I607">
        <v>0.50497461656508646</v>
      </c>
      <c r="J607">
        <v>1</v>
      </c>
    </row>
    <row r="608" spans="1:10" x14ac:dyDescent="0.3">
      <c r="A608" t="s">
        <v>720</v>
      </c>
      <c r="B608" t="s">
        <v>65</v>
      </c>
      <c r="C608">
        <v>9</v>
      </c>
      <c r="D608">
        <v>37800</v>
      </c>
      <c r="E608" t="s">
        <v>68</v>
      </c>
      <c r="F608">
        <v>41</v>
      </c>
      <c r="G608">
        <v>0.5</v>
      </c>
      <c r="H608">
        <v>2700</v>
      </c>
      <c r="I608">
        <v>0.77876647348993366</v>
      </c>
      <c r="J608">
        <v>1</v>
      </c>
    </row>
    <row r="609" spans="1:10" x14ac:dyDescent="0.3">
      <c r="A609" t="s">
        <v>721</v>
      </c>
      <c r="B609" t="s">
        <v>62</v>
      </c>
      <c r="C609">
        <v>4</v>
      </c>
      <c r="D609">
        <v>22600</v>
      </c>
      <c r="E609" t="s">
        <v>69</v>
      </c>
      <c r="F609">
        <v>26</v>
      </c>
      <c r="G609">
        <v>5.8</v>
      </c>
      <c r="H609">
        <v>9600</v>
      </c>
      <c r="I609">
        <v>0.19822852872817343</v>
      </c>
      <c r="J609">
        <v>1</v>
      </c>
    </row>
    <row r="610" spans="1:10" x14ac:dyDescent="0.3">
      <c r="A610" t="s">
        <v>722</v>
      </c>
      <c r="B610" t="s">
        <v>64</v>
      </c>
      <c r="C610">
        <v>9</v>
      </c>
      <c r="D610">
        <v>21100</v>
      </c>
      <c r="E610" t="s">
        <v>68</v>
      </c>
      <c r="F610">
        <v>44</v>
      </c>
      <c r="G610">
        <v>7.9</v>
      </c>
      <c r="H610">
        <v>12500</v>
      </c>
      <c r="I610">
        <v>0.46061536962788807</v>
      </c>
      <c r="J610">
        <v>1</v>
      </c>
    </row>
    <row r="611" spans="1:10" x14ac:dyDescent="0.3">
      <c r="A611" t="s">
        <v>723</v>
      </c>
      <c r="B611" t="s">
        <v>513</v>
      </c>
      <c r="C611">
        <v>4</v>
      </c>
      <c r="D611">
        <v>66500</v>
      </c>
      <c r="E611" t="s">
        <v>68</v>
      </c>
      <c r="F611">
        <v>75</v>
      </c>
      <c r="G611">
        <v>11.9</v>
      </c>
      <c r="H611">
        <v>8400</v>
      </c>
      <c r="I611">
        <v>0.60547374983844537</v>
      </c>
      <c r="J611">
        <v>1</v>
      </c>
    </row>
    <row r="612" spans="1:10" x14ac:dyDescent="0.3">
      <c r="A612" t="s">
        <v>724</v>
      </c>
      <c r="B612" t="s">
        <v>62</v>
      </c>
      <c r="C612">
        <v>3</v>
      </c>
      <c r="D612">
        <v>25300</v>
      </c>
      <c r="E612" t="s">
        <v>66</v>
      </c>
      <c r="F612">
        <v>33</v>
      </c>
      <c r="G612">
        <v>0.6</v>
      </c>
      <c r="H612">
        <v>2700</v>
      </c>
      <c r="I612">
        <v>0.40569145659549632</v>
      </c>
      <c r="J612">
        <v>1</v>
      </c>
    </row>
    <row r="613" spans="1:10" x14ac:dyDescent="0.3">
      <c r="A613" t="s">
        <v>725</v>
      </c>
      <c r="B613" t="s">
        <v>513</v>
      </c>
      <c r="C613">
        <v>5</v>
      </c>
      <c r="D613">
        <v>32100</v>
      </c>
      <c r="E613" t="s">
        <v>69</v>
      </c>
      <c r="F613">
        <v>11</v>
      </c>
      <c r="G613">
        <v>7.6</v>
      </c>
      <c r="H613">
        <v>0</v>
      </c>
      <c r="I613">
        <v>0.99709615113848993</v>
      </c>
      <c r="J613">
        <v>1</v>
      </c>
    </row>
    <row r="614" spans="1:10" x14ac:dyDescent="0.3">
      <c r="A614" t="s">
        <v>726</v>
      </c>
      <c r="B614" t="s">
        <v>65</v>
      </c>
      <c r="C614">
        <v>6</v>
      </c>
      <c r="D614">
        <v>41700</v>
      </c>
      <c r="E614" t="s">
        <v>67</v>
      </c>
      <c r="F614">
        <v>107</v>
      </c>
      <c r="G614">
        <v>4.5</v>
      </c>
      <c r="H614">
        <v>10000</v>
      </c>
      <c r="I614">
        <v>0.5131880993319986</v>
      </c>
      <c r="J614">
        <v>1</v>
      </c>
    </row>
    <row r="615" spans="1:10" x14ac:dyDescent="0.3">
      <c r="A615" t="s">
        <v>727</v>
      </c>
      <c r="B615" t="s">
        <v>513</v>
      </c>
      <c r="C615">
        <v>5</v>
      </c>
      <c r="D615">
        <v>21300</v>
      </c>
      <c r="E615" t="s">
        <v>68</v>
      </c>
      <c r="F615">
        <v>34</v>
      </c>
      <c r="G615">
        <v>1.4</v>
      </c>
      <c r="H615">
        <v>4000</v>
      </c>
      <c r="I615">
        <v>0.26551658448884163</v>
      </c>
      <c r="J615">
        <v>1</v>
      </c>
    </row>
    <row r="616" spans="1:10" x14ac:dyDescent="0.3">
      <c r="A616" t="s">
        <v>728</v>
      </c>
      <c r="B616" t="s">
        <v>513</v>
      </c>
      <c r="C616">
        <v>7</v>
      </c>
      <c r="D616">
        <v>41300</v>
      </c>
      <c r="E616" t="s">
        <v>68</v>
      </c>
      <c r="F616">
        <v>27</v>
      </c>
      <c r="G616">
        <v>6.7</v>
      </c>
      <c r="H616">
        <v>2500</v>
      </c>
      <c r="I616">
        <v>0.52940037255528627</v>
      </c>
      <c r="J616">
        <v>1</v>
      </c>
    </row>
    <row r="617" spans="1:10" x14ac:dyDescent="0.3">
      <c r="A617" t="s">
        <v>729</v>
      </c>
      <c r="B617" t="s">
        <v>62</v>
      </c>
      <c r="C617">
        <v>8</v>
      </c>
      <c r="D617">
        <v>39900</v>
      </c>
      <c r="E617" t="s">
        <v>69</v>
      </c>
      <c r="F617">
        <v>39</v>
      </c>
      <c r="G617">
        <v>6.7</v>
      </c>
      <c r="H617">
        <v>9800</v>
      </c>
      <c r="I617">
        <v>0.94263868713529442</v>
      </c>
      <c r="J617">
        <v>1</v>
      </c>
    </row>
    <row r="618" spans="1:10" x14ac:dyDescent="0.3">
      <c r="A618" t="s">
        <v>730</v>
      </c>
      <c r="B618" t="s">
        <v>65</v>
      </c>
      <c r="C618">
        <v>4</v>
      </c>
      <c r="D618">
        <v>22600</v>
      </c>
      <c r="E618" t="s">
        <v>68</v>
      </c>
      <c r="F618">
        <v>47</v>
      </c>
      <c r="G618">
        <v>5.4</v>
      </c>
      <c r="H618">
        <v>4400</v>
      </c>
      <c r="I618">
        <v>0.61071108204231661</v>
      </c>
      <c r="J618">
        <v>1</v>
      </c>
    </row>
    <row r="619" spans="1:10" x14ac:dyDescent="0.3">
      <c r="A619" t="s">
        <v>731</v>
      </c>
      <c r="B619" t="s">
        <v>513</v>
      </c>
      <c r="C619">
        <v>6</v>
      </c>
      <c r="D619">
        <v>53300</v>
      </c>
      <c r="E619" t="s">
        <v>69</v>
      </c>
      <c r="F619">
        <v>60</v>
      </c>
      <c r="G619">
        <v>0.5</v>
      </c>
      <c r="H619">
        <v>13300</v>
      </c>
      <c r="I619">
        <v>0.80273348330376815</v>
      </c>
      <c r="J619">
        <v>1</v>
      </c>
    </row>
    <row r="620" spans="1:10" x14ac:dyDescent="0.3">
      <c r="A620" t="s">
        <v>732</v>
      </c>
      <c r="B620" t="s">
        <v>513</v>
      </c>
      <c r="C620">
        <v>5</v>
      </c>
      <c r="D620">
        <v>28900</v>
      </c>
      <c r="E620" t="s">
        <v>67</v>
      </c>
      <c r="F620">
        <v>108</v>
      </c>
      <c r="G620">
        <v>15</v>
      </c>
      <c r="H620">
        <v>7200</v>
      </c>
      <c r="I620">
        <v>0.25416933872603131</v>
      </c>
      <c r="J620">
        <v>1</v>
      </c>
    </row>
    <row r="621" spans="1:10" x14ac:dyDescent="0.3">
      <c r="A621" t="s">
        <v>733</v>
      </c>
      <c r="B621" t="s">
        <v>513</v>
      </c>
      <c r="C621">
        <v>9</v>
      </c>
      <c r="D621">
        <v>29400</v>
      </c>
      <c r="E621" t="s">
        <v>66</v>
      </c>
      <c r="F621">
        <v>70</v>
      </c>
      <c r="G621">
        <v>8.3000000000000007</v>
      </c>
      <c r="H621">
        <v>4700</v>
      </c>
      <c r="I621">
        <v>0.43664277712776189</v>
      </c>
      <c r="J621">
        <v>1</v>
      </c>
    </row>
    <row r="622" spans="1:10" x14ac:dyDescent="0.3">
      <c r="A622" t="s">
        <v>734</v>
      </c>
      <c r="B622" t="s">
        <v>513</v>
      </c>
      <c r="C622">
        <v>5</v>
      </c>
      <c r="D622">
        <v>23700</v>
      </c>
      <c r="E622" t="s">
        <v>67</v>
      </c>
      <c r="F622">
        <v>87</v>
      </c>
      <c r="G622">
        <v>4.5</v>
      </c>
      <c r="H622">
        <v>13500</v>
      </c>
      <c r="I622">
        <v>0.82179343812303995</v>
      </c>
      <c r="J622">
        <v>1</v>
      </c>
    </row>
    <row r="623" spans="1:10" x14ac:dyDescent="0.3">
      <c r="A623" t="s">
        <v>735</v>
      </c>
      <c r="B623" t="s">
        <v>64</v>
      </c>
      <c r="C623">
        <v>3</v>
      </c>
      <c r="D623">
        <v>30300</v>
      </c>
      <c r="E623" t="s">
        <v>66</v>
      </c>
      <c r="F623">
        <v>32</v>
      </c>
      <c r="G623">
        <v>11.5</v>
      </c>
      <c r="H623">
        <v>6500</v>
      </c>
      <c r="I623">
        <v>0.37840766574551976</v>
      </c>
      <c r="J623">
        <v>1</v>
      </c>
    </row>
    <row r="624" spans="1:10" x14ac:dyDescent="0.3">
      <c r="A624" t="s">
        <v>736</v>
      </c>
      <c r="B624" t="s">
        <v>62</v>
      </c>
      <c r="C624">
        <v>4</v>
      </c>
      <c r="D624">
        <v>14200</v>
      </c>
      <c r="E624" t="s">
        <v>68</v>
      </c>
      <c r="F624">
        <v>65</v>
      </c>
      <c r="G624">
        <v>8</v>
      </c>
      <c r="H624">
        <v>5100</v>
      </c>
      <c r="I624">
        <v>0.66686803030526165</v>
      </c>
      <c r="J624">
        <v>1</v>
      </c>
    </row>
    <row r="625" spans="1:10" x14ac:dyDescent="0.3">
      <c r="A625" t="s">
        <v>737</v>
      </c>
      <c r="B625" t="s">
        <v>62</v>
      </c>
      <c r="C625">
        <v>3</v>
      </c>
      <c r="D625">
        <v>25500</v>
      </c>
      <c r="E625" t="s">
        <v>68</v>
      </c>
      <c r="F625">
        <v>71</v>
      </c>
      <c r="G625">
        <v>9.1</v>
      </c>
      <c r="H625">
        <v>3300</v>
      </c>
      <c r="I625">
        <v>0.9489908301095431</v>
      </c>
      <c r="J625">
        <v>1</v>
      </c>
    </row>
    <row r="626" spans="1:10" x14ac:dyDescent="0.3">
      <c r="A626" t="s">
        <v>738</v>
      </c>
      <c r="B626" t="s">
        <v>62</v>
      </c>
      <c r="C626">
        <v>9</v>
      </c>
      <c r="D626">
        <v>18600</v>
      </c>
      <c r="E626" t="s">
        <v>67</v>
      </c>
      <c r="F626">
        <v>103</v>
      </c>
      <c r="G626">
        <v>8.3000000000000007</v>
      </c>
      <c r="H626">
        <v>10000</v>
      </c>
      <c r="I626">
        <v>0.67555846758990401</v>
      </c>
      <c r="J626">
        <v>1</v>
      </c>
    </row>
    <row r="627" spans="1:10" x14ac:dyDescent="0.3">
      <c r="A627" t="s">
        <v>739</v>
      </c>
      <c r="B627" t="s">
        <v>513</v>
      </c>
      <c r="C627">
        <v>5</v>
      </c>
      <c r="D627">
        <v>30300</v>
      </c>
      <c r="E627" t="s">
        <v>69</v>
      </c>
      <c r="F627">
        <v>38</v>
      </c>
      <c r="G627">
        <v>8.1999999999999993</v>
      </c>
      <c r="H627">
        <v>5200</v>
      </c>
      <c r="I627">
        <v>2.7963232526353243E-2</v>
      </c>
      <c r="J627">
        <v>1</v>
      </c>
    </row>
    <row r="628" spans="1:10" x14ac:dyDescent="0.3">
      <c r="A628" t="s">
        <v>740</v>
      </c>
      <c r="B628" t="s">
        <v>64</v>
      </c>
      <c r="C628">
        <v>10</v>
      </c>
      <c r="D628">
        <v>23000</v>
      </c>
      <c r="E628" t="s">
        <v>68</v>
      </c>
      <c r="F628">
        <v>58</v>
      </c>
      <c r="G628">
        <v>8.5</v>
      </c>
      <c r="H628">
        <v>8100</v>
      </c>
      <c r="I628">
        <v>0.79796915139492708</v>
      </c>
      <c r="J628">
        <v>1</v>
      </c>
    </row>
    <row r="629" spans="1:10" x14ac:dyDescent="0.3">
      <c r="A629" t="s">
        <v>741</v>
      </c>
      <c r="B629" t="s">
        <v>65</v>
      </c>
      <c r="C629">
        <v>8</v>
      </c>
      <c r="D629">
        <v>52700</v>
      </c>
      <c r="E629" t="s">
        <v>67</v>
      </c>
      <c r="F629">
        <v>60</v>
      </c>
      <c r="G629">
        <v>8.5</v>
      </c>
      <c r="H629">
        <v>3100</v>
      </c>
      <c r="I629">
        <v>5.0438827894755178E-2</v>
      </c>
      <c r="J629">
        <v>1</v>
      </c>
    </row>
    <row r="630" spans="1:10" x14ac:dyDescent="0.3">
      <c r="A630" t="s">
        <v>742</v>
      </c>
      <c r="B630" t="s">
        <v>62</v>
      </c>
      <c r="C630">
        <v>7</v>
      </c>
      <c r="D630">
        <v>70100</v>
      </c>
      <c r="E630" t="s">
        <v>69</v>
      </c>
      <c r="F630">
        <v>59</v>
      </c>
      <c r="G630">
        <v>3</v>
      </c>
      <c r="H630">
        <v>2500</v>
      </c>
      <c r="I630">
        <v>0.61264742208094747</v>
      </c>
      <c r="J630">
        <v>1</v>
      </c>
    </row>
    <row r="631" spans="1:10" x14ac:dyDescent="0.3">
      <c r="A631" t="s">
        <v>743</v>
      </c>
      <c r="B631" t="s">
        <v>65</v>
      </c>
      <c r="C631">
        <v>8</v>
      </c>
      <c r="D631">
        <v>29000</v>
      </c>
      <c r="E631" t="s">
        <v>67</v>
      </c>
      <c r="F631">
        <v>94</v>
      </c>
      <c r="G631">
        <v>5.9</v>
      </c>
      <c r="H631">
        <v>9100</v>
      </c>
      <c r="I631">
        <v>0.24089067125841335</v>
      </c>
      <c r="J631">
        <v>1</v>
      </c>
    </row>
    <row r="632" spans="1:10" x14ac:dyDescent="0.3">
      <c r="A632" t="s">
        <v>744</v>
      </c>
      <c r="B632" t="s">
        <v>62</v>
      </c>
      <c r="C632">
        <v>5</v>
      </c>
      <c r="D632">
        <v>43800</v>
      </c>
      <c r="E632" t="s">
        <v>66</v>
      </c>
      <c r="F632">
        <v>61</v>
      </c>
      <c r="G632">
        <v>9.1</v>
      </c>
      <c r="H632">
        <v>2300</v>
      </c>
      <c r="I632">
        <v>7.4754276962161637E-2</v>
      </c>
      <c r="J632">
        <v>1</v>
      </c>
    </row>
    <row r="633" spans="1:10" x14ac:dyDescent="0.3">
      <c r="A633" t="s">
        <v>745</v>
      </c>
      <c r="B633" t="s">
        <v>64</v>
      </c>
      <c r="C633">
        <v>3</v>
      </c>
      <c r="D633">
        <v>27100</v>
      </c>
      <c r="E633" t="s">
        <v>67</v>
      </c>
      <c r="F633">
        <v>85</v>
      </c>
      <c r="G633">
        <v>3.1</v>
      </c>
      <c r="H633">
        <v>6500</v>
      </c>
      <c r="I633">
        <v>0.27066397073963577</v>
      </c>
      <c r="J633">
        <v>1</v>
      </c>
    </row>
    <row r="634" spans="1:10" x14ac:dyDescent="0.3">
      <c r="A634" t="s">
        <v>746</v>
      </c>
      <c r="B634" t="s">
        <v>64</v>
      </c>
      <c r="C634">
        <v>5</v>
      </c>
      <c r="D634">
        <v>17600</v>
      </c>
      <c r="E634" t="s">
        <v>67</v>
      </c>
      <c r="F634">
        <v>93</v>
      </c>
      <c r="G634">
        <v>2.2000000000000002</v>
      </c>
      <c r="H634">
        <v>7100</v>
      </c>
      <c r="I634">
        <v>0.77193327324441063</v>
      </c>
      <c r="J634">
        <v>1</v>
      </c>
    </row>
    <row r="635" spans="1:10" x14ac:dyDescent="0.3">
      <c r="A635" t="s">
        <v>747</v>
      </c>
      <c r="B635" t="s">
        <v>513</v>
      </c>
      <c r="C635">
        <v>2</v>
      </c>
      <c r="D635">
        <v>25000</v>
      </c>
      <c r="E635" t="s">
        <v>67</v>
      </c>
      <c r="F635">
        <v>77</v>
      </c>
      <c r="G635">
        <v>8</v>
      </c>
      <c r="H635">
        <v>7000</v>
      </c>
      <c r="I635">
        <v>0.20884004759053632</v>
      </c>
      <c r="J635">
        <v>1</v>
      </c>
    </row>
    <row r="636" spans="1:10" x14ac:dyDescent="0.3">
      <c r="A636" t="s">
        <v>748</v>
      </c>
      <c r="B636" t="s">
        <v>64</v>
      </c>
      <c r="C636">
        <v>6</v>
      </c>
      <c r="D636">
        <v>150000</v>
      </c>
      <c r="E636" t="s">
        <v>67</v>
      </c>
      <c r="F636">
        <v>101</v>
      </c>
      <c r="G636">
        <v>4.5999999999999996</v>
      </c>
      <c r="H636">
        <v>4900</v>
      </c>
      <c r="I636">
        <v>2.1750059043599501E-2</v>
      </c>
      <c r="J636">
        <v>1</v>
      </c>
    </row>
    <row r="637" spans="1:10" x14ac:dyDescent="0.3">
      <c r="A637" t="s">
        <v>749</v>
      </c>
      <c r="B637" t="s">
        <v>64</v>
      </c>
      <c r="C637">
        <v>5</v>
      </c>
      <c r="D637">
        <v>65000</v>
      </c>
      <c r="E637" t="s">
        <v>68</v>
      </c>
      <c r="F637">
        <v>63</v>
      </c>
      <c r="G637">
        <v>0.3</v>
      </c>
      <c r="H637">
        <v>3800</v>
      </c>
      <c r="I637">
        <v>0.84235170907735546</v>
      </c>
      <c r="J637">
        <v>1</v>
      </c>
    </row>
    <row r="638" spans="1:10" x14ac:dyDescent="0.3">
      <c r="A638" t="s">
        <v>750</v>
      </c>
      <c r="B638" t="s">
        <v>65</v>
      </c>
      <c r="C638">
        <v>6</v>
      </c>
      <c r="D638">
        <v>39100</v>
      </c>
      <c r="E638" t="s">
        <v>68</v>
      </c>
      <c r="F638">
        <v>50</v>
      </c>
      <c r="G638">
        <v>8</v>
      </c>
      <c r="H638">
        <v>0</v>
      </c>
      <c r="I638">
        <v>2.2960267442203808E-2</v>
      </c>
      <c r="J638">
        <v>1</v>
      </c>
    </row>
    <row r="639" spans="1:10" x14ac:dyDescent="0.3">
      <c r="A639" t="s">
        <v>751</v>
      </c>
      <c r="B639" t="s">
        <v>64</v>
      </c>
      <c r="C639">
        <v>8</v>
      </c>
      <c r="D639">
        <v>35900</v>
      </c>
      <c r="E639" t="s">
        <v>69</v>
      </c>
      <c r="F639">
        <v>44</v>
      </c>
      <c r="G639">
        <v>5</v>
      </c>
      <c r="H639">
        <v>5600</v>
      </c>
      <c r="I639">
        <v>0.98426112803947408</v>
      </c>
      <c r="J639">
        <v>1</v>
      </c>
    </row>
    <row r="640" spans="1:10" x14ac:dyDescent="0.3">
      <c r="A640" t="s">
        <v>752</v>
      </c>
      <c r="B640" t="s">
        <v>62</v>
      </c>
      <c r="C640">
        <v>6</v>
      </c>
      <c r="D640">
        <v>30800</v>
      </c>
      <c r="E640" t="s">
        <v>66</v>
      </c>
      <c r="F640">
        <v>17</v>
      </c>
      <c r="G640">
        <v>3.1</v>
      </c>
      <c r="H640">
        <v>7900</v>
      </c>
      <c r="I640">
        <v>0.22488283292461131</v>
      </c>
      <c r="J640">
        <v>1</v>
      </c>
    </row>
    <row r="641" spans="1:10" x14ac:dyDescent="0.3">
      <c r="A641" t="s">
        <v>753</v>
      </c>
      <c r="B641" t="s">
        <v>513</v>
      </c>
      <c r="C641">
        <v>4</v>
      </c>
      <c r="D641">
        <v>23000</v>
      </c>
      <c r="E641" t="s">
        <v>68</v>
      </c>
      <c r="F641">
        <v>57</v>
      </c>
      <c r="G641">
        <v>5.2</v>
      </c>
      <c r="H641">
        <v>9700</v>
      </c>
      <c r="I641">
        <v>0.17831600988026763</v>
      </c>
      <c r="J641">
        <v>1</v>
      </c>
    </row>
    <row r="642" spans="1:10" x14ac:dyDescent="0.3">
      <c r="A642" t="s">
        <v>754</v>
      </c>
      <c r="B642" t="s">
        <v>62</v>
      </c>
      <c r="C642">
        <v>6</v>
      </c>
      <c r="D642">
        <v>28100</v>
      </c>
      <c r="E642" t="s">
        <v>67</v>
      </c>
      <c r="F642">
        <v>102</v>
      </c>
      <c r="G642">
        <v>4.5999999999999996</v>
      </c>
      <c r="H642">
        <v>9400</v>
      </c>
      <c r="I642">
        <v>0.15069003805782311</v>
      </c>
      <c r="J642">
        <v>1</v>
      </c>
    </row>
    <row r="643" spans="1:10" x14ac:dyDescent="0.3">
      <c r="A643" t="s">
        <v>755</v>
      </c>
      <c r="B643" t="s">
        <v>62</v>
      </c>
      <c r="C643">
        <v>5</v>
      </c>
      <c r="D643">
        <v>62200</v>
      </c>
      <c r="E643" t="s">
        <v>69</v>
      </c>
      <c r="F643">
        <v>11</v>
      </c>
      <c r="G643">
        <v>10</v>
      </c>
      <c r="H643">
        <v>6400</v>
      </c>
      <c r="I643">
        <v>0.68736302854083797</v>
      </c>
      <c r="J643">
        <v>1</v>
      </c>
    </row>
    <row r="644" spans="1:10" x14ac:dyDescent="0.3">
      <c r="A644" t="s">
        <v>756</v>
      </c>
      <c r="B644" t="s">
        <v>64</v>
      </c>
      <c r="C644">
        <v>6</v>
      </c>
      <c r="D644">
        <v>38500</v>
      </c>
      <c r="E644" t="s">
        <v>69</v>
      </c>
      <c r="F644">
        <v>54</v>
      </c>
      <c r="G644">
        <v>4.5</v>
      </c>
      <c r="H644">
        <v>12100</v>
      </c>
      <c r="I644">
        <v>0.63971118575989794</v>
      </c>
      <c r="J644">
        <v>1</v>
      </c>
    </row>
    <row r="645" spans="1:10" x14ac:dyDescent="0.3">
      <c r="A645" t="s">
        <v>757</v>
      </c>
      <c r="B645" t="s">
        <v>62</v>
      </c>
      <c r="C645">
        <v>9</v>
      </c>
      <c r="D645">
        <v>58300</v>
      </c>
      <c r="E645" t="s">
        <v>66</v>
      </c>
      <c r="F645">
        <v>34</v>
      </c>
      <c r="G645">
        <v>7.7</v>
      </c>
      <c r="H645">
        <v>6500</v>
      </c>
      <c r="I645">
        <v>0.18683898690356204</v>
      </c>
      <c r="J645">
        <v>1</v>
      </c>
    </row>
    <row r="646" spans="1:10" x14ac:dyDescent="0.3">
      <c r="A646" t="s">
        <v>758</v>
      </c>
      <c r="B646" t="s">
        <v>513</v>
      </c>
      <c r="C646">
        <v>6</v>
      </c>
      <c r="D646">
        <v>150000</v>
      </c>
      <c r="E646" t="s">
        <v>66</v>
      </c>
      <c r="F646">
        <v>52</v>
      </c>
      <c r="G646">
        <v>2.2000000000000002</v>
      </c>
      <c r="H646">
        <v>6500</v>
      </c>
      <c r="I646">
        <v>0.17971349811417325</v>
      </c>
      <c r="J646">
        <v>1</v>
      </c>
    </row>
    <row r="647" spans="1:10" x14ac:dyDescent="0.3">
      <c r="A647" t="s">
        <v>759</v>
      </c>
      <c r="B647" t="s">
        <v>64</v>
      </c>
      <c r="C647">
        <v>7</v>
      </c>
      <c r="D647">
        <v>23200</v>
      </c>
      <c r="E647" t="s">
        <v>68</v>
      </c>
      <c r="F647">
        <v>55</v>
      </c>
      <c r="G647">
        <v>3.6</v>
      </c>
      <c r="H647">
        <v>3900</v>
      </c>
      <c r="I647">
        <v>0.74886353036638575</v>
      </c>
      <c r="J647">
        <v>1</v>
      </c>
    </row>
    <row r="648" spans="1:10" x14ac:dyDescent="0.3">
      <c r="A648" t="s">
        <v>760</v>
      </c>
      <c r="B648" t="s">
        <v>65</v>
      </c>
      <c r="C648">
        <v>10</v>
      </c>
      <c r="D648">
        <v>40800</v>
      </c>
      <c r="E648" t="s">
        <v>67</v>
      </c>
      <c r="F648">
        <v>58</v>
      </c>
      <c r="G648">
        <v>4.0999999999999996</v>
      </c>
      <c r="H648">
        <v>0</v>
      </c>
      <c r="I648">
        <v>4.9651755023730981E-2</v>
      </c>
      <c r="J648">
        <v>1</v>
      </c>
    </row>
    <row r="649" spans="1:10" x14ac:dyDescent="0.3">
      <c r="A649" t="s">
        <v>761</v>
      </c>
      <c r="B649" t="s">
        <v>64</v>
      </c>
      <c r="C649">
        <v>10</v>
      </c>
      <c r="D649">
        <v>57100</v>
      </c>
      <c r="E649" t="s">
        <v>69</v>
      </c>
      <c r="F649">
        <v>22</v>
      </c>
      <c r="G649">
        <v>6.2</v>
      </c>
      <c r="H649">
        <v>10600</v>
      </c>
      <c r="I649">
        <v>0.14362974904607062</v>
      </c>
      <c r="J649">
        <v>1</v>
      </c>
    </row>
    <row r="650" spans="1:10" x14ac:dyDescent="0.3">
      <c r="A650" t="s">
        <v>762</v>
      </c>
      <c r="B650" t="s">
        <v>64</v>
      </c>
      <c r="C650">
        <v>9</v>
      </c>
      <c r="D650">
        <v>31100</v>
      </c>
      <c r="E650" t="s">
        <v>66</v>
      </c>
      <c r="F650">
        <v>24</v>
      </c>
      <c r="G650">
        <v>10.6</v>
      </c>
      <c r="H650">
        <v>1900</v>
      </c>
      <c r="I650">
        <v>1.5826392912209775E-2</v>
      </c>
      <c r="J650">
        <v>1</v>
      </c>
    </row>
    <row r="651" spans="1:10" x14ac:dyDescent="0.3">
      <c r="A651" t="s">
        <v>763</v>
      </c>
      <c r="B651" t="s">
        <v>65</v>
      </c>
      <c r="C651">
        <v>7</v>
      </c>
      <c r="D651">
        <v>54200</v>
      </c>
      <c r="E651" t="s">
        <v>67</v>
      </c>
      <c r="F651">
        <v>83</v>
      </c>
      <c r="G651">
        <v>0.7</v>
      </c>
      <c r="H651">
        <v>0</v>
      </c>
      <c r="I651">
        <v>0.51865936169177396</v>
      </c>
      <c r="J651">
        <v>1</v>
      </c>
    </row>
    <row r="652" spans="1:10" x14ac:dyDescent="0.3">
      <c r="A652" t="s">
        <v>764</v>
      </c>
      <c r="B652" t="s">
        <v>62</v>
      </c>
      <c r="C652">
        <v>8</v>
      </c>
      <c r="D652">
        <v>34600</v>
      </c>
      <c r="E652" t="s">
        <v>66</v>
      </c>
      <c r="F652">
        <v>37</v>
      </c>
      <c r="G652">
        <v>9.1999999999999993</v>
      </c>
      <c r="H652">
        <v>6800</v>
      </c>
      <c r="I652">
        <v>9.300943965425823E-2</v>
      </c>
      <c r="J652">
        <v>1</v>
      </c>
    </row>
    <row r="653" spans="1:10" x14ac:dyDescent="0.3">
      <c r="A653" t="s">
        <v>765</v>
      </c>
      <c r="B653" t="s">
        <v>64</v>
      </c>
      <c r="C653">
        <v>8</v>
      </c>
      <c r="D653">
        <v>41200</v>
      </c>
      <c r="E653" t="s">
        <v>67</v>
      </c>
      <c r="F653">
        <v>64</v>
      </c>
      <c r="G653">
        <v>8.6999999999999993</v>
      </c>
      <c r="H653">
        <v>13900</v>
      </c>
      <c r="I653">
        <v>0.55673946384315964</v>
      </c>
      <c r="J653">
        <v>1</v>
      </c>
    </row>
    <row r="654" spans="1:10" x14ac:dyDescent="0.3">
      <c r="A654" t="s">
        <v>766</v>
      </c>
      <c r="B654" t="s">
        <v>65</v>
      </c>
      <c r="C654">
        <v>4</v>
      </c>
      <c r="D654">
        <v>27400</v>
      </c>
      <c r="E654" t="s">
        <v>67</v>
      </c>
      <c r="F654">
        <v>80</v>
      </c>
      <c r="G654">
        <v>12.7</v>
      </c>
      <c r="H654">
        <v>7200</v>
      </c>
      <c r="I654">
        <v>0.34171548886538516</v>
      </c>
      <c r="J654">
        <v>1</v>
      </c>
    </row>
    <row r="655" spans="1:10" x14ac:dyDescent="0.3">
      <c r="A655" t="s">
        <v>767</v>
      </c>
      <c r="B655" t="s">
        <v>513</v>
      </c>
      <c r="C655">
        <v>4</v>
      </c>
      <c r="D655">
        <v>28600</v>
      </c>
      <c r="E655" t="s">
        <v>68</v>
      </c>
      <c r="F655">
        <v>40</v>
      </c>
      <c r="G655">
        <v>5</v>
      </c>
      <c r="H655">
        <v>7500</v>
      </c>
      <c r="I655">
        <v>0.93964264004763476</v>
      </c>
      <c r="J655">
        <v>1</v>
      </c>
    </row>
    <row r="656" spans="1:10" x14ac:dyDescent="0.3">
      <c r="A656" t="s">
        <v>768</v>
      </c>
      <c r="B656" t="s">
        <v>64</v>
      </c>
      <c r="C656">
        <v>5</v>
      </c>
      <c r="D656">
        <v>54900</v>
      </c>
      <c r="E656" t="s">
        <v>68</v>
      </c>
      <c r="F656">
        <v>53</v>
      </c>
      <c r="G656">
        <v>7.2</v>
      </c>
      <c r="H656">
        <v>2700</v>
      </c>
      <c r="I656">
        <v>0.96462187715250558</v>
      </c>
      <c r="J656">
        <v>1</v>
      </c>
    </row>
    <row r="657" spans="1:10" x14ac:dyDescent="0.3">
      <c r="A657" t="s">
        <v>769</v>
      </c>
      <c r="B657" t="s">
        <v>64</v>
      </c>
      <c r="C657">
        <v>6</v>
      </c>
      <c r="D657">
        <v>30200</v>
      </c>
      <c r="E657" t="s">
        <v>69</v>
      </c>
      <c r="F657">
        <v>42</v>
      </c>
      <c r="G657">
        <v>1</v>
      </c>
      <c r="H657">
        <v>3700</v>
      </c>
      <c r="I657">
        <v>0.81117240685817016</v>
      </c>
      <c r="J657">
        <v>1</v>
      </c>
    </row>
    <row r="658" spans="1:10" x14ac:dyDescent="0.3">
      <c r="A658" t="s">
        <v>770</v>
      </c>
      <c r="B658" t="s">
        <v>65</v>
      </c>
      <c r="C658">
        <v>5</v>
      </c>
      <c r="D658">
        <v>23800</v>
      </c>
      <c r="E658" t="s">
        <v>69</v>
      </c>
      <c r="F658">
        <v>16</v>
      </c>
      <c r="G658">
        <v>11.9</v>
      </c>
      <c r="H658">
        <v>5500</v>
      </c>
      <c r="I658">
        <v>0.89686186012609526</v>
      </c>
      <c r="J658">
        <v>1</v>
      </c>
    </row>
    <row r="659" spans="1:10" x14ac:dyDescent="0.3">
      <c r="A659" t="s">
        <v>771</v>
      </c>
      <c r="B659" t="s">
        <v>64</v>
      </c>
      <c r="C659">
        <v>1</v>
      </c>
      <c r="D659">
        <v>43400</v>
      </c>
      <c r="E659" t="s">
        <v>66</v>
      </c>
      <c r="F659">
        <v>60</v>
      </c>
      <c r="G659">
        <v>8.6999999999999993</v>
      </c>
      <c r="H659">
        <v>5200</v>
      </c>
      <c r="I659">
        <v>0.40783588651307801</v>
      </c>
      <c r="J659">
        <v>1</v>
      </c>
    </row>
    <row r="660" spans="1:10" x14ac:dyDescent="0.3">
      <c r="A660" t="s">
        <v>772</v>
      </c>
      <c r="B660" t="s">
        <v>62</v>
      </c>
      <c r="C660">
        <v>9</v>
      </c>
      <c r="D660">
        <v>70900</v>
      </c>
      <c r="E660" t="s">
        <v>69</v>
      </c>
      <c r="F660">
        <v>60</v>
      </c>
      <c r="G660">
        <v>9.8000000000000007</v>
      </c>
      <c r="H660">
        <v>5400</v>
      </c>
      <c r="I660">
        <v>0.47848455653972444</v>
      </c>
      <c r="J660">
        <v>1</v>
      </c>
    </row>
    <row r="661" spans="1:10" x14ac:dyDescent="0.3">
      <c r="A661" t="s">
        <v>773</v>
      </c>
      <c r="B661" t="s">
        <v>64</v>
      </c>
      <c r="C661">
        <v>4</v>
      </c>
      <c r="D661">
        <v>53800</v>
      </c>
      <c r="E661" t="s">
        <v>67</v>
      </c>
      <c r="F661">
        <v>65</v>
      </c>
      <c r="G661">
        <v>9.6</v>
      </c>
      <c r="H661">
        <v>12300</v>
      </c>
      <c r="I661">
        <v>4.7566832602748965E-2</v>
      </c>
      <c r="J661">
        <v>1</v>
      </c>
    </row>
    <row r="662" spans="1:10" x14ac:dyDescent="0.3">
      <c r="A662" t="s">
        <v>774</v>
      </c>
      <c r="B662" t="s">
        <v>513</v>
      </c>
      <c r="C662">
        <v>6</v>
      </c>
      <c r="D662">
        <v>18000</v>
      </c>
      <c r="E662" t="s">
        <v>68</v>
      </c>
      <c r="F662">
        <v>33</v>
      </c>
      <c r="G662">
        <v>4.9000000000000004</v>
      </c>
      <c r="H662">
        <v>6900</v>
      </c>
      <c r="I662">
        <v>0.29510304227127127</v>
      </c>
      <c r="J662">
        <v>1</v>
      </c>
    </row>
    <row r="663" spans="1:10" x14ac:dyDescent="0.3">
      <c r="A663" t="s">
        <v>775</v>
      </c>
      <c r="B663" t="s">
        <v>62</v>
      </c>
      <c r="C663">
        <v>6</v>
      </c>
      <c r="D663">
        <v>33600</v>
      </c>
      <c r="E663" t="s">
        <v>68</v>
      </c>
      <c r="F663">
        <v>41</v>
      </c>
      <c r="G663">
        <v>9.5</v>
      </c>
      <c r="H663">
        <v>5400</v>
      </c>
      <c r="I663">
        <v>0.81604702226073988</v>
      </c>
      <c r="J663">
        <v>1</v>
      </c>
    </row>
    <row r="664" spans="1:10" x14ac:dyDescent="0.3">
      <c r="A664" t="s">
        <v>776</v>
      </c>
      <c r="B664" t="s">
        <v>64</v>
      </c>
      <c r="C664">
        <v>6</v>
      </c>
      <c r="D664">
        <v>49700</v>
      </c>
      <c r="E664" t="s">
        <v>66</v>
      </c>
      <c r="F664">
        <v>43</v>
      </c>
      <c r="G664">
        <v>2.5</v>
      </c>
      <c r="H664">
        <v>7200</v>
      </c>
      <c r="I664">
        <v>0.99517600885894053</v>
      </c>
      <c r="J664">
        <v>1</v>
      </c>
    </row>
    <row r="665" spans="1:10" x14ac:dyDescent="0.3">
      <c r="A665" t="s">
        <v>777</v>
      </c>
      <c r="B665" t="s">
        <v>62</v>
      </c>
      <c r="C665">
        <v>8</v>
      </c>
      <c r="D665">
        <v>58900</v>
      </c>
      <c r="E665" t="s">
        <v>67</v>
      </c>
      <c r="F665">
        <v>109</v>
      </c>
      <c r="G665">
        <v>9.6999999999999993</v>
      </c>
      <c r="H665">
        <v>8800</v>
      </c>
      <c r="I665">
        <v>0.46006563235990183</v>
      </c>
      <c r="J665">
        <v>1</v>
      </c>
    </row>
    <row r="666" spans="1:10" x14ac:dyDescent="0.3">
      <c r="A666" t="s">
        <v>778</v>
      </c>
      <c r="B666" t="s">
        <v>62</v>
      </c>
      <c r="C666">
        <v>6</v>
      </c>
      <c r="D666">
        <v>54000</v>
      </c>
      <c r="E666" t="s">
        <v>69</v>
      </c>
      <c r="F666">
        <v>30</v>
      </c>
      <c r="G666">
        <v>5.2</v>
      </c>
      <c r="H666">
        <v>5800</v>
      </c>
      <c r="I666">
        <v>0.50754170254268183</v>
      </c>
      <c r="J666">
        <v>1</v>
      </c>
    </row>
    <row r="667" spans="1:10" x14ac:dyDescent="0.3">
      <c r="A667" t="s">
        <v>779</v>
      </c>
      <c r="B667" t="s">
        <v>513</v>
      </c>
      <c r="C667">
        <v>4</v>
      </c>
      <c r="D667">
        <v>31500</v>
      </c>
      <c r="E667" t="s">
        <v>69</v>
      </c>
      <c r="F667">
        <v>37</v>
      </c>
      <c r="G667">
        <v>10.7</v>
      </c>
      <c r="H667">
        <v>9500</v>
      </c>
      <c r="I667">
        <v>0.95642909962625378</v>
      </c>
      <c r="J667">
        <v>1</v>
      </c>
    </row>
    <row r="668" spans="1:10" x14ac:dyDescent="0.3">
      <c r="A668" t="s">
        <v>780</v>
      </c>
      <c r="B668" t="s">
        <v>64</v>
      </c>
      <c r="C668">
        <v>4</v>
      </c>
      <c r="D668">
        <v>33300</v>
      </c>
      <c r="E668" t="s">
        <v>67</v>
      </c>
      <c r="F668">
        <v>53</v>
      </c>
      <c r="G668">
        <v>9.1</v>
      </c>
      <c r="H668">
        <v>8300</v>
      </c>
      <c r="I668">
        <v>0.53086625864662262</v>
      </c>
      <c r="J668">
        <v>1</v>
      </c>
    </row>
    <row r="669" spans="1:10" x14ac:dyDescent="0.3">
      <c r="A669" t="s">
        <v>781</v>
      </c>
      <c r="B669" t="s">
        <v>62</v>
      </c>
      <c r="C669">
        <v>6</v>
      </c>
      <c r="D669">
        <v>27200</v>
      </c>
      <c r="E669" t="s">
        <v>69</v>
      </c>
      <c r="F669">
        <v>52</v>
      </c>
      <c r="G669">
        <v>8.1999999999999993</v>
      </c>
      <c r="H669">
        <v>10300</v>
      </c>
      <c r="I669">
        <v>0.96306615655040051</v>
      </c>
      <c r="J669">
        <v>1</v>
      </c>
    </row>
    <row r="670" spans="1:10" x14ac:dyDescent="0.3">
      <c r="A670" t="s">
        <v>782</v>
      </c>
      <c r="B670" t="s">
        <v>513</v>
      </c>
      <c r="C670">
        <v>4</v>
      </c>
      <c r="D670">
        <v>91600</v>
      </c>
      <c r="E670" t="s">
        <v>67</v>
      </c>
      <c r="F670">
        <v>64</v>
      </c>
      <c r="G670">
        <v>14.2</v>
      </c>
      <c r="H670">
        <v>5200</v>
      </c>
      <c r="I670">
        <v>0.86202698024694246</v>
      </c>
      <c r="J670">
        <v>1</v>
      </c>
    </row>
    <row r="671" spans="1:10" x14ac:dyDescent="0.3">
      <c r="A671" t="s">
        <v>783</v>
      </c>
      <c r="B671" t="s">
        <v>62</v>
      </c>
      <c r="C671">
        <v>7</v>
      </c>
      <c r="D671">
        <v>44400</v>
      </c>
      <c r="E671" t="s">
        <v>69</v>
      </c>
      <c r="F671">
        <v>48</v>
      </c>
      <c r="G671">
        <v>5.9</v>
      </c>
      <c r="H671">
        <v>4700</v>
      </c>
      <c r="I671">
        <v>0.5784016748570826</v>
      </c>
      <c r="J671">
        <v>1</v>
      </c>
    </row>
    <row r="672" spans="1:10" x14ac:dyDescent="0.3">
      <c r="A672" t="s">
        <v>784</v>
      </c>
      <c r="B672" t="s">
        <v>62</v>
      </c>
      <c r="C672">
        <v>4</v>
      </c>
      <c r="D672">
        <v>37000</v>
      </c>
      <c r="E672" t="s">
        <v>67</v>
      </c>
      <c r="F672">
        <v>95</v>
      </c>
      <c r="G672">
        <v>6.1</v>
      </c>
      <c r="H672">
        <v>8800</v>
      </c>
      <c r="I672">
        <v>0.72974525528945</v>
      </c>
      <c r="J672">
        <v>1</v>
      </c>
    </row>
    <row r="673" spans="1:10" x14ac:dyDescent="0.3">
      <c r="A673" t="s">
        <v>785</v>
      </c>
      <c r="B673" t="s">
        <v>65</v>
      </c>
      <c r="C673">
        <v>8</v>
      </c>
      <c r="D673">
        <v>38400</v>
      </c>
      <c r="E673" t="s">
        <v>67</v>
      </c>
      <c r="F673">
        <v>73</v>
      </c>
      <c r="G673">
        <v>10.4</v>
      </c>
      <c r="H673">
        <v>10300</v>
      </c>
      <c r="I673">
        <v>0.19025624008705777</v>
      </c>
      <c r="J673">
        <v>1</v>
      </c>
    </row>
    <row r="674" spans="1:10" x14ac:dyDescent="0.3">
      <c r="A674" t="s">
        <v>786</v>
      </c>
      <c r="B674" t="s">
        <v>64</v>
      </c>
      <c r="C674">
        <v>5</v>
      </c>
      <c r="D674">
        <v>26600</v>
      </c>
      <c r="E674" t="s">
        <v>66</v>
      </c>
      <c r="F674">
        <v>19</v>
      </c>
      <c r="G674">
        <v>9</v>
      </c>
      <c r="H674">
        <v>5100</v>
      </c>
      <c r="I674">
        <v>0.37239478924687697</v>
      </c>
      <c r="J674">
        <v>1</v>
      </c>
    </row>
    <row r="675" spans="1:10" x14ac:dyDescent="0.3">
      <c r="A675" t="s">
        <v>787</v>
      </c>
      <c r="B675" t="s">
        <v>64</v>
      </c>
      <c r="C675">
        <v>6</v>
      </c>
      <c r="D675">
        <v>61000</v>
      </c>
      <c r="E675" t="s">
        <v>66</v>
      </c>
      <c r="F675">
        <v>42</v>
      </c>
      <c r="G675">
        <v>2.5</v>
      </c>
      <c r="H675">
        <v>13000</v>
      </c>
      <c r="I675">
        <v>0.90812110909342647</v>
      </c>
      <c r="J675">
        <v>1</v>
      </c>
    </row>
    <row r="676" spans="1:10" x14ac:dyDescent="0.3">
      <c r="A676" t="s">
        <v>788</v>
      </c>
      <c r="B676" t="s">
        <v>62</v>
      </c>
      <c r="C676">
        <v>7</v>
      </c>
      <c r="D676">
        <v>48600</v>
      </c>
      <c r="E676" t="s">
        <v>69</v>
      </c>
      <c r="F676">
        <v>27</v>
      </c>
      <c r="G676">
        <v>7.4</v>
      </c>
      <c r="H676">
        <v>9400</v>
      </c>
      <c r="I676">
        <v>0.52417492482717065</v>
      </c>
      <c r="J676">
        <v>1</v>
      </c>
    </row>
    <row r="677" spans="1:10" x14ac:dyDescent="0.3">
      <c r="A677" t="s">
        <v>789</v>
      </c>
      <c r="B677" t="s">
        <v>513</v>
      </c>
      <c r="C677">
        <v>7</v>
      </c>
      <c r="D677">
        <v>44100</v>
      </c>
      <c r="E677" t="s">
        <v>67</v>
      </c>
      <c r="F677">
        <v>81</v>
      </c>
      <c r="G677">
        <v>1.8</v>
      </c>
      <c r="H677">
        <v>4600</v>
      </c>
      <c r="I677">
        <v>0.21693237754611261</v>
      </c>
      <c r="J677">
        <v>1</v>
      </c>
    </row>
    <row r="678" spans="1:10" x14ac:dyDescent="0.3">
      <c r="A678" t="s">
        <v>790</v>
      </c>
      <c r="B678" t="s">
        <v>62</v>
      </c>
      <c r="C678">
        <v>7</v>
      </c>
      <c r="D678">
        <v>58000</v>
      </c>
      <c r="E678" t="s">
        <v>66</v>
      </c>
      <c r="F678">
        <v>50</v>
      </c>
      <c r="G678">
        <v>8.5</v>
      </c>
      <c r="H678">
        <v>4400</v>
      </c>
      <c r="I678">
        <v>5.4766582020790877E-2</v>
      </c>
      <c r="J678">
        <v>1</v>
      </c>
    </row>
    <row r="679" spans="1:10" x14ac:dyDescent="0.3">
      <c r="A679" t="s">
        <v>791</v>
      </c>
      <c r="B679" t="s">
        <v>64</v>
      </c>
      <c r="C679">
        <v>6</v>
      </c>
      <c r="D679">
        <v>63400</v>
      </c>
      <c r="E679" t="s">
        <v>68</v>
      </c>
      <c r="F679">
        <v>36</v>
      </c>
      <c r="G679">
        <v>2.2000000000000002</v>
      </c>
      <c r="H679">
        <v>400</v>
      </c>
      <c r="I679">
        <v>0.81759997196020739</v>
      </c>
      <c r="J679">
        <v>1</v>
      </c>
    </row>
    <row r="680" spans="1:10" x14ac:dyDescent="0.3">
      <c r="A680" t="s">
        <v>792</v>
      </c>
      <c r="B680" t="s">
        <v>62</v>
      </c>
      <c r="C680">
        <v>4</v>
      </c>
      <c r="D680">
        <v>12800</v>
      </c>
      <c r="E680" t="s">
        <v>67</v>
      </c>
      <c r="F680">
        <v>46</v>
      </c>
      <c r="G680">
        <v>7</v>
      </c>
      <c r="H680">
        <v>7800</v>
      </c>
      <c r="I680">
        <v>7.2075983090602258E-2</v>
      </c>
      <c r="J680">
        <v>1</v>
      </c>
    </row>
    <row r="681" spans="1:10" x14ac:dyDescent="0.3">
      <c r="A681" t="s">
        <v>793</v>
      </c>
      <c r="B681" t="s">
        <v>62</v>
      </c>
      <c r="C681">
        <v>7</v>
      </c>
      <c r="D681">
        <v>15100</v>
      </c>
      <c r="E681" t="s">
        <v>67</v>
      </c>
      <c r="F681">
        <v>93</v>
      </c>
      <c r="G681">
        <v>10</v>
      </c>
      <c r="H681">
        <v>8500</v>
      </c>
      <c r="I681">
        <v>0.54969267147413947</v>
      </c>
      <c r="J681">
        <v>1</v>
      </c>
    </row>
    <row r="682" spans="1:10" x14ac:dyDescent="0.3">
      <c r="A682" t="s">
        <v>794</v>
      </c>
      <c r="B682" t="s">
        <v>65</v>
      </c>
      <c r="C682">
        <v>6</v>
      </c>
      <c r="D682">
        <v>17100</v>
      </c>
      <c r="E682" t="s">
        <v>66</v>
      </c>
      <c r="F682">
        <v>24</v>
      </c>
      <c r="G682">
        <v>4.3</v>
      </c>
      <c r="H682">
        <v>0</v>
      </c>
      <c r="I682">
        <v>0.10719883302112809</v>
      </c>
      <c r="J682">
        <v>1</v>
      </c>
    </row>
    <row r="683" spans="1:10" x14ac:dyDescent="0.3">
      <c r="A683" t="s">
        <v>795</v>
      </c>
      <c r="B683" t="s">
        <v>513</v>
      </c>
      <c r="C683">
        <v>10</v>
      </c>
      <c r="D683">
        <v>130800</v>
      </c>
      <c r="E683" t="s">
        <v>68</v>
      </c>
      <c r="F683">
        <v>37</v>
      </c>
      <c r="G683">
        <v>10.199999999999999</v>
      </c>
      <c r="H683">
        <v>9900</v>
      </c>
      <c r="I683">
        <v>0.93803642029494394</v>
      </c>
      <c r="J683">
        <v>1</v>
      </c>
    </row>
    <row r="684" spans="1:10" x14ac:dyDescent="0.3">
      <c r="A684" t="s">
        <v>796</v>
      </c>
      <c r="B684" t="s">
        <v>62</v>
      </c>
      <c r="C684">
        <v>2</v>
      </c>
      <c r="D684">
        <v>26700</v>
      </c>
      <c r="E684" t="s">
        <v>68</v>
      </c>
      <c r="F684">
        <v>69</v>
      </c>
      <c r="G684">
        <v>2.5</v>
      </c>
      <c r="H684">
        <v>3300</v>
      </c>
      <c r="I684">
        <v>0.57484399724185253</v>
      </c>
      <c r="J684">
        <v>1</v>
      </c>
    </row>
    <row r="685" spans="1:10" x14ac:dyDescent="0.3">
      <c r="A685" t="s">
        <v>797</v>
      </c>
      <c r="B685" t="s">
        <v>65</v>
      </c>
      <c r="C685">
        <v>7</v>
      </c>
      <c r="D685">
        <v>58500</v>
      </c>
      <c r="E685" t="s">
        <v>68</v>
      </c>
      <c r="F685">
        <v>46</v>
      </c>
      <c r="G685">
        <v>5.0999999999999996</v>
      </c>
      <c r="H685">
        <v>7500</v>
      </c>
      <c r="I685">
        <v>1.963370679571419E-2</v>
      </c>
      <c r="J685">
        <v>1</v>
      </c>
    </row>
    <row r="686" spans="1:10" x14ac:dyDescent="0.3">
      <c r="A686" t="s">
        <v>798</v>
      </c>
      <c r="B686" t="s">
        <v>65</v>
      </c>
      <c r="C686">
        <v>4</v>
      </c>
      <c r="D686">
        <v>36100</v>
      </c>
      <c r="E686" t="s">
        <v>69</v>
      </c>
      <c r="F686">
        <v>20</v>
      </c>
      <c r="G686">
        <v>2.4</v>
      </c>
      <c r="H686">
        <v>3300</v>
      </c>
      <c r="I686">
        <v>0.53765752623719254</v>
      </c>
      <c r="J686">
        <v>1</v>
      </c>
    </row>
    <row r="687" spans="1:10" x14ac:dyDescent="0.3">
      <c r="A687" t="s">
        <v>799</v>
      </c>
      <c r="B687" t="s">
        <v>65</v>
      </c>
      <c r="C687">
        <v>5</v>
      </c>
      <c r="D687">
        <v>39300</v>
      </c>
      <c r="E687" t="s">
        <v>69</v>
      </c>
      <c r="F687">
        <v>25</v>
      </c>
      <c r="G687">
        <v>10.5</v>
      </c>
      <c r="H687">
        <v>7300</v>
      </c>
      <c r="I687">
        <v>0.29764456609972434</v>
      </c>
      <c r="J687">
        <v>1</v>
      </c>
    </row>
    <row r="688" spans="1:10" x14ac:dyDescent="0.3">
      <c r="A688" t="s">
        <v>800</v>
      </c>
      <c r="B688" t="s">
        <v>64</v>
      </c>
      <c r="C688">
        <v>7</v>
      </c>
      <c r="D688">
        <v>88600</v>
      </c>
      <c r="E688" t="s">
        <v>67</v>
      </c>
      <c r="F688">
        <v>59</v>
      </c>
      <c r="G688">
        <v>7.3</v>
      </c>
      <c r="H688">
        <v>3300</v>
      </c>
      <c r="I688">
        <v>0.45972141387991561</v>
      </c>
      <c r="J688">
        <v>1</v>
      </c>
    </row>
    <row r="689" spans="1:10" x14ac:dyDescent="0.3">
      <c r="A689" t="s">
        <v>801</v>
      </c>
      <c r="B689" t="s">
        <v>62</v>
      </c>
      <c r="C689">
        <v>8</v>
      </c>
      <c r="D689">
        <v>48900</v>
      </c>
      <c r="E689" t="s">
        <v>68</v>
      </c>
      <c r="F689">
        <v>73</v>
      </c>
      <c r="G689">
        <v>4.8</v>
      </c>
      <c r="H689">
        <v>9500</v>
      </c>
      <c r="I689">
        <v>0.42266672771536129</v>
      </c>
      <c r="J689">
        <v>1</v>
      </c>
    </row>
    <row r="690" spans="1:10" x14ac:dyDescent="0.3">
      <c r="A690" t="s">
        <v>802</v>
      </c>
      <c r="B690" t="s">
        <v>64</v>
      </c>
      <c r="C690">
        <v>6</v>
      </c>
      <c r="D690">
        <v>64000</v>
      </c>
      <c r="E690" t="s">
        <v>68</v>
      </c>
      <c r="F690">
        <v>44</v>
      </c>
      <c r="G690">
        <v>10.199999999999999</v>
      </c>
      <c r="H690">
        <v>8600</v>
      </c>
      <c r="I690">
        <v>0.94488625633848933</v>
      </c>
      <c r="J690">
        <v>1</v>
      </c>
    </row>
    <row r="691" spans="1:10" x14ac:dyDescent="0.3">
      <c r="A691" t="s">
        <v>803</v>
      </c>
      <c r="B691" t="s">
        <v>62</v>
      </c>
      <c r="C691">
        <v>5</v>
      </c>
      <c r="D691">
        <v>17000</v>
      </c>
      <c r="E691" t="s">
        <v>67</v>
      </c>
      <c r="F691">
        <v>115</v>
      </c>
      <c r="G691">
        <v>1.1000000000000001</v>
      </c>
      <c r="H691">
        <v>1400</v>
      </c>
      <c r="I691">
        <v>0.56335679371832981</v>
      </c>
      <c r="J691">
        <v>1</v>
      </c>
    </row>
    <row r="692" spans="1:10" x14ac:dyDescent="0.3">
      <c r="A692" t="s">
        <v>804</v>
      </c>
      <c r="B692" t="s">
        <v>65</v>
      </c>
      <c r="C692">
        <v>5</v>
      </c>
      <c r="D692">
        <v>12000</v>
      </c>
      <c r="E692" t="s">
        <v>67</v>
      </c>
      <c r="F692">
        <v>58</v>
      </c>
      <c r="G692">
        <v>1</v>
      </c>
      <c r="H692">
        <v>6000</v>
      </c>
      <c r="I692">
        <v>0.18639301562082833</v>
      </c>
      <c r="J692">
        <v>1</v>
      </c>
    </row>
    <row r="693" spans="1:10" x14ac:dyDescent="0.3">
      <c r="A693" t="s">
        <v>805</v>
      </c>
      <c r="B693" t="s">
        <v>64</v>
      </c>
      <c r="C693">
        <v>6</v>
      </c>
      <c r="D693">
        <v>18800</v>
      </c>
      <c r="E693" t="s">
        <v>67</v>
      </c>
      <c r="F693">
        <v>58</v>
      </c>
      <c r="G693">
        <v>5.5</v>
      </c>
      <c r="H693">
        <v>0</v>
      </c>
      <c r="I693">
        <v>0.20069752404266661</v>
      </c>
      <c r="J693">
        <v>1</v>
      </c>
    </row>
    <row r="694" spans="1:10" x14ac:dyDescent="0.3">
      <c r="A694" t="s">
        <v>806</v>
      </c>
      <c r="B694" t="s">
        <v>64</v>
      </c>
      <c r="C694">
        <v>2</v>
      </c>
      <c r="D694">
        <v>15800</v>
      </c>
      <c r="E694" t="s">
        <v>66</v>
      </c>
      <c r="F694">
        <v>35</v>
      </c>
      <c r="G694">
        <v>5</v>
      </c>
      <c r="H694">
        <v>400</v>
      </c>
      <c r="I694">
        <v>0.42619598903621525</v>
      </c>
      <c r="J694">
        <v>1</v>
      </c>
    </row>
    <row r="695" spans="1:10" x14ac:dyDescent="0.3">
      <c r="A695" t="s">
        <v>807</v>
      </c>
      <c r="B695" t="s">
        <v>62</v>
      </c>
      <c r="C695">
        <v>6</v>
      </c>
      <c r="D695">
        <v>134200</v>
      </c>
      <c r="E695" t="s">
        <v>68</v>
      </c>
      <c r="F695">
        <v>40</v>
      </c>
      <c r="G695">
        <v>9.1</v>
      </c>
      <c r="H695">
        <v>7100</v>
      </c>
      <c r="I695">
        <v>0.29417024517840928</v>
      </c>
      <c r="J695">
        <v>1</v>
      </c>
    </row>
    <row r="696" spans="1:10" x14ac:dyDescent="0.3">
      <c r="A696" t="s">
        <v>808</v>
      </c>
      <c r="B696" t="s">
        <v>513</v>
      </c>
      <c r="C696">
        <v>6</v>
      </c>
      <c r="D696">
        <v>48300</v>
      </c>
      <c r="E696" t="s">
        <v>69</v>
      </c>
      <c r="F696">
        <v>39</v>
      </c>
      <c r="G696">
        <v>5</v>
      </c>
      <c r="H696">
        <v>1900</v>
      </c>
      <c r="I696">
        <v>0.10723037490184373</v>
      </c>
      <c r="J696">
        <v>1</v>
      </c>
    </row>
    <row r="697" spans="1:10" x14ac:dyDescent="0.3">
      <c r="A697" t="s">
        <v>809</v>
      </c>
      <c r="B697" t="s">
        <v>62</v>
      </c>
      <c r="C697">
        <v>5</v>
      </c>
      <c r="D697">
        <v>18100</v>
      </c>
      <c r="E697" t="s">
        <v>69</v>
      </c>
      <c r="F697">
        <v>21</v>
      </c>
      <c r="G697">
        <v>9.5</v>
      </c>
      <c r="H697">
        <v>9700</v>
      </c>
      <c r="I697">
        <v>0.127267130236696</v>
      </c>
      <c r="J697">
        <v>1</v>
      </c>
    </row>
    <row r="698" spans="1:10" x14ac:dyDescent="0.3">
      <c r="A698" t="s">
        <v>810</v>
      </c>
      <c r="B698" t="s">
        <v>513</v>
      </c>
      <c r="C698">
        <v>2</v>
      </c>
      <c r="D698">
        <v>67800</v>
      </c>
      <c r="E698" t="s">
        <v>69</v>
      </c>
      <c r="F698">
        <v>30</v>
      </c>
      <c r="G698">
        <v>6.3</v>
      </c>
      <c r="H698">
        <v>7700</v>
      </c>
      <c r="I698">
        <v>0.85768620747170055</v>
      </c>
      <c r="J698">
        <v>1</v>
      </c>
    </row>
    <row r="699" spans="1:10" x14ac:dyDescent="0.3">
      <c r="A699" t="s">
        <v>811</v>
      </c>
      <c r="B699" t="s">
        <v>64</v>
      </c>
      <c r="C699">
        <v>5</v>
      </c>
      <c r="D699">
        <v>35600</v>
      </c>
      <c r="E699" t="s">
        <v>67</v>
      </c>
      <c r="F699">
        <v>102</v>
      </c>
      <c r="G699">
        <v>7</v>
      </c>
      <c r="H699">
        <v>0</v>
      </c>
      <c r="I699">
        <v>0.97433881661877342</v>
      </c>
      <c r="J699">
        <v>1</v>
      </c>
    </row>
    <row r="700" spans="1:10" x14ac:dyDescent="0.3">
      <c r="A700" t="s">
        <v>812</v>
      </c>
      <c r="B700" t="s">
        <v>62</v>
      </c>
      <c r="C700">
        <v>6</v>
      </c>
      <c r="D700">
        <v>24100</v>
      </c>
      <c r="E700" t="s">
        <v>68</v>
      </c>
      <c r="F700">
        <v>51</v>
      </c>
      <c r="G700">
        <v>2.8</v>
      </c>
      <c r="H700">
        <v>4800</v>
      </c>
      <c r="I700">
        <v>0.43482305991468617</v>
      </c>
      <c r="J700">
        <v>1</v>
      </c>
    </row>
    <row r="701" spans="1:10" x14ac:dyDescent="0.3">
      <c r="A701" t="s">
        <v>813</v>
      </c>
      <c r="B701" t="s">
        <v>64</v>
      </c>
      <c r="C701">
        <v>3</v>
      </c>
      <c r="D701">
        <v>42900</v>
      </c>
      <c r="E701" t="s">
        <v>69</v>
      </c>
      <c r="F701">
        <v>31</v>
      </c>
      <c r="G701">
        <v>2</v>
      </c>
      <c r="H701">
        <v>3200</v>
      </c>
      <c r="I701">
        <v>4.8359969953204685E-2</v>
      </c>
      <c r="J701">
        <v>1</v>
      </c>
    </row>
    <row r="702" spans="1:10" x14ac:dyDescent="0.3">
      <c r="A702" t="s">
        <v>814</v>
      </c>
      <c r="B702" t="s">
        <v>513</v>
      </c>
      <c r="C702">
        <v>6</v>
      </c>
      <c r="D702">
        <v>24800</v>
      </c>
      <c r="E702" t="s">
        <v>68</v>
      </c>
      <c r="F702">
        <v>50</v>
      </c>
      <c r="G702">
        <v>8.6</v>
      </c>
      <c r="H702">
        <v>0</v>
      </c>
      <c r="I702">
        <v>0.46778213068137631</v>
      </c>
      <c r="J702">
        <v>1</v>
      </c>
    </row>
    <row r="703" spans="1:10" x14ac:dyDescent="0.3">
      <c r="A703" t="s">
        <v>815</v>
      </c>
      <c r="B703" t="s">
        <v>64</v>
      </c>
      <c r="C703">
        <v>5</v>
      </c>
      <c r="D703">
        <v>42200</v>
      </c>
      <c r="E703" t="s">
        <v>69</v>
      </c>
      <c r="F703">
        <v>33</v>
      </c>
      <c r="G703">
        <v>2.2999999999999998</v>
      </c>
      <c r="H703">
        <v>6500</v>
      </c>
      <c r="I703">
        <v>0.42775086738287238</v>
      </c>
      <c r="J703">
        <v>1</v>
      </c>
    </row>
    <row r="704" spans="1:10" x14ac:dyDescent="0.3">
      <c r="A704" t="s">
        <v>816</v>
      </c>
      <c r="B704" t="s">
        <v>513</v>
      </c>
      <c r="C704">
        <v>7</v>
      </c>
      <c r="D704">
        <v>47400</v>
      </c>
      <c r="E704" t="s">
        <v>68</v>
      </c>
      <c r="F704">
        <v>71</v>
      </c>
      <c r="G704">
        <v>5.6</v>
      </c>
      <c r="H704">
        <v>3400</v>
      </c>
      <c r="I704">
        <v>0.24003280636441582</v>
      </c>
      <c r="J704">
        <v>1</v>
      </c>
    </row>
    <row r="705" spans="1:10" x14ac:dyDescent="0.3">
      <c r="A705" t="s">
        <v>817</v>
      </c>
      <c r="B705" t="s">
        <v>64</v>
      </c>
      <c r="C705">
        <v>1</v>
      </c>
      <c r="D705">
        <v>28700</v>
      </c>
      <c r="E705" t="s">
        <v>67</v>
      </c>
      <c r="F705">
        <v>118</v>
      </c>
      <c r="G705">
        <v>2.4</v>
      </c>
      <c r="H705">
        <v>3200</v>
      </c>
      <c r="I705">
        <v>0.75407986998375987</v>
      </c>
      <c r="J705">
        <v>1</v>
      </c>
    </row>
    <row r="706" spans="1:10" x14ac:dyDescent="0.3">
      <c r="A706" t="s">
        <v>818</v>
      </c>
      <c r="B706" t="s">
        <v>65</v>
      </c>
      <c r="C706">
        <v>2</v>
      </c>
      <c r="D706">
        <v>27100</v>
      </c>
      <c r="E706" t="s">
        <v>67</v>
      </c>
      <c r="F706">
        <v>49</v>
      </c>
      <c r="G706">
        <v>10.199999999999999</v>
      </c>
      <c r="H706">
        <v>2500</v>
      </c>
      <c r="I706">
        <v>0.18897906717509683</v>
      </c>
      <c r="J706">
        <v>1</v>
      </c>
    </row>
    <row r="707" spans="1:10" x14ac:dyDescent="0.3">
      <c r="A707" t="s">
        <v>819</v>
      </c>
      <c r="B707" t="s">
        <v>64</v>
      </c>
      <c r="C707">
        <v>3</v>
      </c>
      <c r="D707">
        <v>49100</v>
      </c>
      <c r="E707" t="s">
        <v>68</v>
      </c>
      <c r="F707">
        <v>36</v>
      </c>
      <c r="G707">
        <v>6.2</v>
      </c>
      <c r="H707">
        <v>8500</v>
      </c>
      <c r="I707">
        <v>0.74320343525855426</v>
      </c>
      <c r="J707">
        <v>1</v>
      </c>
    </row>
    <row r="708" spans="1:10" x14ac:dyDescent="0.3">
      <c r="A708" t="s">
        <v>820</v>
      </c>
      <c r="B708" t="s">
        <v>62</v>
      </c>
      <c r="C708">
        <v>7</v>
      </c>
      <c r="D708">
        <v>40500</v>
      </c>
      <c r="E708" t="s">
        <v>69</v>
      </c>
      <c r="F708">
        <v>14</v>
      </c>
      <c r="G708">
        <v>8.3000000000000007</v>
      </c>
      <c r="H708">
        <v>3700</v>
      </c>
      <c r="I708">
        <v>0.55390152412918037</v>
      </c>
      <c r="J708">
        <v>1</v>
      </c>
    </row>
    <row r="709" spans="1:10" x14ac:dyDescent="0.3">
      <c r="A709" t="s">
        <v>821</v>
      </c>
      <c r="B709" t="s">
        <v>513</v>
      </c>
      <c r="C709">
        <v>7</v>
      </c>
      <c r="D709">
        <v>15400</v>
      </c>
      <c r="E709" t="s">
        <v>67</v>
      </c>
      <c r="F709">
        <v>45</v>
      </c>
      <c r="G709">
        <v>7.5</v>
      </c>
      <c r="H709">
        <v>9600</v>
      </c>
      <c r="I709">
        <v>0.9143658544577169</v>
      </c>
      <c r="J709">
        <v>1</v>
      </c>
    </row>
    <row r="710" spans="1:10" x14ac:dyDescent="0.3">
      <c r="A710" t="s">
        <v>822</v>
      </c>
      <c r="B710" t="s">
        <v>513</v>
      </c>
      <c r="C710">
        <v>5</v>
      </c>
      <c r="D710">
        <v>84000</v>
      </c>
      <c r="E710" t="s">
        <v>67</v>
      </c>
      <c r="F710">
        <v>56</v>
      </c>
      <c r="G710">
        <v>8.9</v>
      </c>
      <c r="H710">
        <v>5000</v>
      </c>
      <c r="I710">
        <v>0.81481493294970486</v>
      </c>
      <c r="J710">
        <v>1</v>
      </c>
    </row>
    <row r="711" spans="1:10" x14ac:dyDescent="0.3">
      <c r="A711" t="s">
        <v>823</v>
      </c>
      <c r="B711" t="s">
        <v>65</v>
      </c>
      <c r="C711">
        <v>5</v>
      </c>
      <c r="D711">
        <v>16200</v>
      </c>
      <c r="E711" t="s">
        <v>69</v>
      </c>
      <c r="F711">
        <v>43</v>
      </c>
      <c r="G711">
        <v>1.8</v>
      </c>
      <c r="H711">
        <v>7200</v>
      </c>
      <c r="I711">
        <v>0.82246913112255593</v>
      </c>
      <c r="J711">
        <v>1</v>
      </c>
    </row>
    <row r="712" spans="1:10" x14ac:dyDescent="0.3">
      <c r="A712" t="s">
        <v>824</v>
      </c>
      <c r="B712" t="s">
        <v>65</v>
      </c>
      <c r="C712">
        <v>4</v>
      </c>
      <c r="D712">
        <v>24000</v>
      </c>
      <c r="E712" t="s">
        <v>67</v>
      </c>
      <c r="F712">
        <v>82</v>
      </c>
      <c r="G712">
        <v>12.3</v>
      </c>
      <c r="H712">
        <v>7100</v>
      </c>
      <c r="I712">
        <v>0.90491394726551722</v>
      </c>
      <c r="J712">
        <v>1</v>
      </c>
    </row>
    <row r="713" spans="1:10" x14ac:dyDescent="0.3">
      <c r="A713" t="s">
        <v>825</v>
      </c>
      <c r="B713" t="s">
        <v>64</v>
      </c>
      <c r="C713">
        <v>3</v>
      </c>
      <c r="D713">
        <v>68000</v>
      </c>
      <c r="E713" t="s">
        <v>66</v>
      </c>
      <c r="F713">
        <v>40</v>
      </c>
      <c r="G713">
        <v>4.4000000000000004</v>
      </c>
      <c r="H713">
        <v>6000</v>
      </c>
      <c r="I713">
        <v>0.26592068339488117</v>
      </c>
      <c r="J713">
        <v>1</v>
      </c>
    </row>
    <row r="714" spans="1:10" x14ac:dyDescent="0.3">
      <c r="A714" t="s">
        <v>826</v>
      </c>
      <c r="B714" t="s">
        <v>62</v>
      </c>
      <c r="C714">
        <v>7</v>
      </c>
      <c r="D714">
        <v>52300</v>
      </c>
      <c r="E714" t="s">
        <v>66</v>
      </c>
      <c r="F714">
        <v>48</v>
      </c>
      <c r="G714">
        <v>3.2</v>
      </c>
      <c r="H714">
        <v>200</v>
      </c>
      <c r="I714">
        <v>3.6128835498410172E-3</v>
      </c>
      <c r="J714">
        <v>1</v>
      </c>
    </row>
    <row r="715" spans="1:10" x14ac:dyDescent="0.3">
      <c r="A715" t="s">
        <v>827</v>
      </c>
      <c r="B715" t="s">
        <v>513</v>
      </c>
      <c r="C715">
        <v>9</v>
      </c>
      <c r="D715">
        <v>75600</v>
      </c>
      <c r="E715" t="s">
        <v>66</v>
      </c>
      <c r="F715">
        <v>16</v>
      </c>
      <c r="G715">
        <v>4.3</v>
      </c>
      <c r="H715">
        <v>0</v>
      </c>
      <c r="I715">
        <v>8.2262090037699243E-2</v>
      </c>
      <c r="J715">
        <v>1</v>
      </c>
    </row>
    <row r="716" spans="1:10" x14ac:dyDescent="0.3">
      <c r="A716" t="s">
        <v>828</v>
      </c>
      <c r="B716" t="s">
        <v>64</v>
      </c>
      <c r="C716">
        <v>3</v>
      </c>
      <c r="D716">
        <v>26100</v>
      </c>
      <c r="E716" t="s">
        <v>67</v>
      </c>
      <c r="F716">
        <v>97</v>
      </c>
      <c r="G716">
        <v>6</v>
      </c>
      <c r="H716">
        <v>10600</v>
      </c>
      <c r="I716">
        <v>0.80333394648397372</v>
      </c>
      <c r="J716">
        <v>1</v>
      </c>
    </row>
    <row r="717" spans="1:10" x14ac:dyDescent="0.3">
      <c r="A717" t="s">
        <v>829</v>
      </c>
      <c r="B717" t="s">
        <v>65</v>
      </c>
      <c r="C717">
        <v>5</v>
      </c>
      <c r="D717">
        <v>30500</v>
      </c>
      <c r="E717" t="s">
        <v>69</v>
      </c>
      <c r="F717">
        <v>28</v>
      </c>
      <c r="G717">
        <v>10.1</v>
      </c>
      <c r="H717">
        <v>14100</v>
      </c>
      <c r="I717">
        <v>2.0229515893245065E-2</v>
      </c>
      <c r="J717">
        <v>1</v>
      </c>
    </row>
    <row r="718" spans="1:10" x14ac:dyDescent="0.3">
      <c r="A718" t="s">
        <v>830</v>
      </c>
      <c r="B718" t="s">
        <v>65</v>
      </c>
      <c r="C718">
        <v>4</v>
      </c>
      <c r="D718">
        <v>17000</v>
      </c>
      <c r="E718" t="s">
        <v>68</v>
      </c>
      <c r="F718">
        <v>73</v>
      </c>
      <c r="G718">
        <v>12.2</v>
      </c>
      <c r="H718">
        <v>3000</v>
      </c>
      <c r="I718">
        <v>0.67700571137647081</v>
      </c>
      <c r="J718">
        <v>1</v>
      </c>
    </row>
    <row r="719" spans="1:10" x14ac:dyDescent="0.3">
      <c r="A719" t="s">
        <v>831</v>
      </c>
      <c r="B719" t="s">
        <v>65</v>
      </c>
      <c r="C719">
        <v>7</v>
      </c>
      <c r="D719">
        <v>26700</v>
      </c>
      <c r="E719" t="s">
        <v>67</v>
      </c>
      <c r="F719">
        <v>63</v>
      </c>
      <c r="G719">
        <v>5.9</v>
      </c>
      <c r="H719">
        <v>9400</v>
      </c>
      <c r="I719">
        <v>3.689281941793443E-2</v>
      </c>
      <c r="J719">
        <v>1</v>
      </c>
    </row>
    <row r="720" spans="1:10" x14ac:dyDescent="0.3">
      <c r="A720" t="s">
        <v>832</v>
      </c>
      <c r="B720" t="s">
        <v>64</v>
      </c>
      <c r="C720">
        <v>2</v>
      </c>
      <c r="D720">
        <v>17700</v>
      </c>
      <c r="E720" t="s">
        <v>68</v>
      </c>
      <c r="F720">
        <v>69</v>
      </c>
      <c r="G720">
        <v>2</v>
      </c>
      <c r="H720">
        <v>0</v>
      </c>
      <c r="I720">
        <v>0.80028449478570562</v>
      </c>
      <c r="J720">
        <v>1</v>
      </c>
    </row>
    <row r="721" spans="1:10" x14ac:dyDescent="0.3">
      <c r="A721" t="s">
        <v>833</v>
      </c>
      <c r="B721" t="s">
        <v>62</v>
      </c>
      <c r="C721">
        <v>6</v>
      </c>
      <c r="D721">
        <v>37100</v>
      </c>
      <c r="E721" t="s">
        <v>69</v>
      </c>
      <c r="F721">
        <v>60</v>
      </c>
      <c r="G721">
        <v>8.5</v>
      </c>
      <c r="H721">
        <v>7500</v>
      </c>
      <c r="I721">
        <v>0.92450430220578239</v>
      </c>
      <c r="J721">
        <v>1</v>
      </c>
    </row>
    <row r="722" spans="1:10" x14ac:dyDescent="0.3">
      <c r="A722" t="s">
        <v>834</v>
      </c>
      <c r="B722" t="s">
        <v>64</v>
      </c>
      <c r="C722">
        <v>2</v>
      </c>
      <c r="D722">
        <v>19100</v>
      </c>
      <c r="E722" t="s">
        <v>66</v>
      </c>
      <c r="F722">
        <v>53</v>
      </c>
      <c r="G722">
        <v>7.7</v>
      </c>
      <c r="H722">
        <v>2700</v>
      </c>
      <c r="I722">
        <v>0.95246177605484394</v>
      </c>
      <c r="J722">
        <v>1</v>
      </c>
    </row>
    <row r="723" spans="1:10" x14ac:dyDescent="0.3">
      <c r="A723" t="s">
        <v>835</v>
      </c>
      <c r="B723" t="s">
        <v>62</v>
      </c>
      <c r="C723">
        <v>4</v>
      </c>
      <c r="D723">
        <v>30600</v>
      </c>
      <c r="E723" t="s">
        <v>66</v>
      </c>
      <c r="F723">
        <v>57</v>
      </c>
      <c r="G723">
        <v>2.2999999999999998</v>
      </c>
      <c r="H723">
        <v>2300</v>
      </c>
      <c r="I723">
        <v>0.46108431607199141</v>
      </c>
      <c r="J723">
        <v>1</v>
      </c>
    </row>
    <row r="724" spans="1:10" x14ac:dyDescent="0.3">
      <c r="A724" t="s">
        <v>836</v>
      </c>
      <c r="B724" t="s">
        <v>62</v>
      </c>
      <c r="C724">
        <v>2</v>
      </c>
      <c r="D724">
        <v>13600</v>
      </c>
      <c r="E724" t="s">
        <v>68</v>
      </c>
      <c r="F724">
        <v>51</v>
      </c>
      <c r="G724">
        <v>9.6999999999999993</v>
      </c>
      <c r="H724">
        <v>6700</v>
      </c>
      <c r="I724">
        <v>0.96423591996697788</v>
      </c>
      <c r="J724">
        <v>1</v>
      </c>
    </row>
    <row r="725" spans="1:10" x14ac:dyDescent="0.3">
      <c r="A725" t="s">
        <v>837</v>
      </c>
      <c r="B725" t="s">
        <v>513</v>
      </c>
      <c r="C725">
        <v>8</v>
      </c>
      <c r="D725">
        <v>91000</v>
      </c>
      <c r="E725" t="s">
        <v>69</v>
      </c>
      <c r="F725">
        <v>52</v>
      </c>
      <c r="G725">
        <v>4.2</v>
      </c>
      <c r="H725">
        <v>4700</v>
      </c>
      <c r="I725">
        <v>0.87405417542883634</v>
      </c>
      <c r="J725">
        <v>1</v>
      </c>
    </row>
    <row r="726" spans="1:10" x14ac:dyDescent="0.3">
      <c r="A726" t="s">
        <v>838</v>
      </c>
      <c r="B726" t="s">
        <v>65</v>
      </c>
      <c r="C726">
        <v>6</v>
      </c>
      <c r="D726">
        <v>16500</v>
      </c>
      <c r="E726" t="s">
        <v>66</v>
      </c>
      <c r="F726">
        <v>62</v>
      </c>
      <c r="G726">
        <v>12.3</v>
      </c>
      <c r="H726">
        <v>5200</v>
      </c>
      <c r="I726">
        <v>0.29153136627341081</v>
      </c>
      <c r="J726">
        <v>1</v>
      </c>
    </row>
    <row r="727" spans="1:10" x14ac:dyDescent="0.3">
      <c r="A727" t="s">
        <v>839</v>
      </c>
      <c r="B727" t="s">
        <v>64</v>
      </c>
      <c r="C727">
        <v>4</v>
      </c>
      <c r="D727">
        <v>16000</v>
      </c>
      <c r="E727" t="s">
        <v>69</v>
      </c>
      <c r="F727">
        <v>58</v>
      </c>
      <c r="G727">
        <v>2.4</v>
      </c>
      <c r="H727">
        <v>7000</v>
      </c>
      <c r="I727">
        <v>0.10170828036404256</v>
      </c>
      <c r="J727">
        <v>1</v>
      </c>
    </row>
    <row r="728" spans="1:10" x14ac:dyDescent="0.3">
      <c r="A728" t="s">
        <v>840</v>
      </c>
      <c r="B728" t="s">
        <v>65</v>
      </c>
      <c r="C728">
        <v>9</v>
      </c>
      <c r="D728">
        <v>15400</v>
      </c>
      <c r="E728" t="s">
        <v>68</v>
      </c>
      <c r="F728">
        <v>21</v>
      </c>
      <c r="G728">
        <v>8.4</v>
      </c>
      <c r="H728">
        <v>9800</v>
      </c>
      <c r="I728">
        <v>0.79099244026882054</v>
      </c>
      <c r="J728">
        <v>1</v>
      </c>
    </row>
    <row r="729" spans="1:10" x14ac:dyDescent="0.3">
      <c r="A729" t="s">
        <v>841</v>
      </c>
      <c r="B729" t="s">
        <v>64</v>
      </c>
      <c r="C729">
        <v>7</v>
      </c>
      <c r="D729">
        <v>22300</v>
      </c>
      <c r="E729" t="s">
        <v>66</v>
      </c>
      <c r="F729">
        <v>48</v>
      </c>
      <c r="G729">
        <v>11.8</v>
      </c>
      <c r="H729">
        <v>8700</v>
      </c>
      <c r="I729">
        <v>0.54074801150607354</v>
      </c>
      <c r="J729">
        <v>1</v>
      </c>
    </row>
    <row r="730" spans="1:10" x14ac:dyDescent="0.3">
      <c r="A730" t="s">
        <v>842</v>
      </c>
      <c r="B730" t="s">
        <v>64</v>
      </c>
      <c r="C730">
        <v>4</v>
      </c>
      <c r="D730">
        <v>8700</v>
      </c>
      <c r="E730" t="s">
        <v>68</v>
      </c>
      <c r="F730">
        <v>73</v>
      </c>
      <c r="G730">
        <v>8.6</v>
      </c>
      <c r="H730">
        <v>5000</v>
      </c>
      <c r="I730">
        <v>0.48181307254647376</v>
      </c>
      <c r="J730">
        <v>1</v>
      </c>
    </row>
    <row r="731" spans="1:10" x14ac:dyDescent="0.3">
      <c r="A731" t="s">
        <v>843</v>
      </c>
      <c r="B731" t="s">
        <v>62</v>
      </c>
      <c r="C731">
        <v>6</v>
      </c>
      <c r="D731">
        <v>17500</v>
      </c>
      <c r="E731" t="s">
        <v>66</v>
      </c>
      <c r="F731">
        <v>22</v>
      </c>
      <c r="G731">
        <v>1.8</v>
      </c>
      <c r="H731">
        <v>5100</v>
      </c>
      <c r="I731">
        <v>0.48826343654908677</v>
      </c>
      <c r="J731">
        <v>1</v>
      </c>
    </row>
    <row r="732" spans="1:10" x14ac:dyDescent="0.3">
      <c r="A732" t="s">
        <v>844</v>
      </c>
      <c r="B732" t="s">
        <v>64</v>
      </c>
      <c r="C732">
        <v>2</v>
      </c>
      <c r="D732">
        <v>21900</v>
      </c>
      <c r="E732" t="s">
        <v>66</v>
      </c>
      <c r="F732">
        <v>69</v>
      </c>
      <c r="G732">
        <v>10.9</v>
      </c>
      <c r="H732">
        <v>6100</v>
      </c>
      <c r="I732">
        <v>0.41658500617816108</v>
      </c>
      <c r="J732">
        <v>1</v>
      </c>
    </row>
    <row r="733" spans="1:10" x14ac:dyDescent="0.3">
      <c r="A733" t="s">
        <v>845</v>
      </c>
      <c r="B733" t="s">
        <v>64</v>
      </c>
      <c r="C733">
        <v>3</v>
      </c>
      <c r="D733">
        <v>34600</v>
      </c>
      <c r="E733" t="s">
        <v>69</v>
      </c>
      <c r="F733">
        <v>39</v>
      </c>
      <c r="G733">
        <v>4.8</v>
      </c>
      <c r="H733">
        <v>6900</v>
      </c>
      <c r="I733">
        <v>0.61952554140778415</v>
      </c>
      <c r="J733">
        <v>1</v>
      </c>
    </row>
    <row r="734" spans="1:10" x14ac:dyDescent="0.3">
      <c r="A734" t="s">
        <v>846</v>
      </c>
      <c r="B734" t="s">
        <v>65</v>
      </c>
      <c r="C734">
        <v>3</v>
      </c>
      <c r="D734">
        <v>31100</v>
      </c>
      <c r="E734" t="s">
        <v>67</v>
      </c>
      <c r="F734">
        <v>101</v>
      </c>
      <c r="G734">
        <v>3.8</v>
      </c>
      <c r="H734">
        <v>900</v>
      </c>
      <c r="I734">
        <v>0.96496649258688649</v>
      </c>
      <c r="J734">
        <v>1</v>
      </c>
    </row>
    <row r="735" spans="1:10" x14ac:dyDescent="0.3">
      <c r="A735" t="s">
        <v>847</v>
      </c>
      <c r="B735" t="s">
        <v>513</v>
      </c>
      <c r="C735">
        <v>4</v>
      </c>
      <c r="D735">
        <v>28100</v>
      </c>
      <c r="E735" t="s">
        <v>68</v>
      </c>
      <c r="F735">
        <v>53</v>
      </c>
      <c r="G735">
        <v>10.6</v>
      </c>
      <c r="H735">
        <v>3800</v>
      </c>
      <c r="I735">
        <v>0.38530926486280037</v>
      </c>
      <c r="J735">
        <v>1</v>
      </c>
    </row>
    <row r="736" spans="1:10" x14ac:dyDescent="0.3">
      <c r="A736" t="s">
        <v>848</v>
      </c>
      <c r="B736" t="s">
        <v>513</v>
      </c>
      <c r="C736">
        <v>5</v>
      </c>
      <c r="D736">
        <v>22300</v>
      </c>
      <c r="E736" t="s">
        <v>68</v>
      </c>
      <c r="F736">
        <v>40</v>
      </c>
      <c r="G736">
        <v>13.4</v>
      </c>
      <c r="H736">
        <v>3900</v>
      </c>
      <c r="I736">
        <v>0.73973960943587314</v>
      </c>
      <c r="J736">
        <v>1</v>
      </c>
    </row>
    <row r="737" spans="1:10" x14ac:dyDescent="0.3">
      <c r="A737" t="s">
        <v>849</v>
      </c>
      <c r="B737" t="s">
        <v>64</v>
      </c>
      <c r="C737">
        <v>5</v>
      </c>
      <c r="D737">
        <v>17900</v>
      </c>
      <c r="E737" t="s">
        <v>67</v>
      </c>
      <c r="F737">
        <v>71</v>
      </c>
      <c r="G737">
        <v>9.8000000000000007</v>
      </c>
      <c r="H737">
        <v>5800</v>
      </c>
      <c r="I737">
        <v>0.81462307667777645</v>
      </c>
      <c r="J737">
        <v>1</v>
      </c>
    </row>
    <row r="738" spans="1:10" x14ac:dyDescent="0.3">
      <c r="A738" t="s">
        <v>850</v>
      </c>
      <c r="B738" t="s">
        <v>65</v>
      </c>
      <c r="C738">
        <v>1</v>
      </c>
      <c r="D738">
        <v>29300</v>
      </c>
      <c r="E738" t="s">
        <v>67</v>
      </c>
      <c r="F738">
        <v>71</v>
      </c>
      <c r="G738">
        <v>9</v>
      </c>
      <c r="H738">
        <v>1100</v>
      </c>
      <c r="I738">
        <v>0.8263709834032017</v>
      </c>
      <c r="J738">
        <v>1</v>
      </c>
    </row>
    <row r="739" spans="1:10" x14ac:dyDescent="0.3">
      <c r="A739" t="s">
        <v>851</v>
      </c>
      <c r="B739" t="s">
        <v>64</v>
      </c>
      <c r="C739">
        <v>5</v>
      </c>
      <c r="D739">
        <v>26900</v>
      </c>
      <c r="E739" t="s">
        <v>67</v>
      </c>
      <c r="F739">
        <v>111</v>
      </c>
      <c r="G739">
        <v>8.1999999999999993</v>
      </c>
      <c r="H739">
        <v>5700</v>
      </c>
      <c r="I739">
        <v>0.28667838703791826</v>
      </c>
      <c r="J739">
        <v>1</v>
      </c>
    </row>
    <row r="740" spans="1:10" x14ac:dyDescent="0.3">
      <c r="A740" t="s">
        <v>852</v>
      </c>
      <c r="B740" t="s">
        <v>62</v>
      </c>
      <c r="C740">
        <v>7</v>
      </c>
      <c r="D740">
        <v>41400</v>
      </c>
      <c r="E740" t="s">
        <v>68</v>
      </c>
      <c r="F740">
        <v>74</v>
      </c>
      <c r="G740">
        <v>4.3</v>
      </c>
      <c r="H740">
        <v>6100</v>
      </c>
      <c r="I740">
        <v>0.18852493659440928</v>
      </c>
      <c r="J740">
        <v>1</v>
      </c>
    </row>
    <row r="741" spans="1:10" x14ac:dyDescent="0.3">
      <c r="A741" t="s">
        <v>853</v>
      </c>
      <c r="B741" t="s">
        <v>65</v>
      </c>
      <c r="C741">
        <v>6</v>
      </c>
      <c r="D741">
        <v>75900</v>
      </c>
      <c r="E741" t="s">
        <v>67</v>
      </c>
      <c r="F741">
        <v>112</v>
      </c>
      <c r="G741">
        <v>11.6</v>
      </c>
      <c r="H741">
        <v>4500</v>
      </c>
      <c r="I741">
        <v>0.27605081665438602</v>
      </c>
      <c r="J741">
        <v>1</v>
      </c>
    </row>
    <row r="742" spans="1:10" x14ac:dyDescent="0.3">
      <c r="A742" t="s">
        <v>854</v>
      </c>
      <c r="B742" t="s">
        <v>62</v>
      </c>
      <c r="C742">
        <v>8</v>
      </c>
      <c r="D742">
        <v>70400</v>
      </c>
      <c r="E742" t="s">
        <v>68</v>
      </c>
      <c r="F742">
        <v>22</v>
      </c>
      <c r="G742">
        <v>5.9</v>
      </c>
      <c r="H742">
        <v>2100</v>
      </c>
      <c r="I742">
        <v>0.76030209477689858</v>
      </c>
      <c r="J742">
        <v>1</v>
      </c>
    </row>
    <row r="743" spans="1:10" x14ac:dyDescent="0.3">
      <c r="A743" t="s">
        <v>855</v>
      </c>
      <c r="B743" t="s">
        <v>64</v>
      </c>
      <c r="C743">
        <v>2</v>
      </c>
      <c r="D743">
        <v>24200</v>
      </c>
      <c r="E743" t="s">
        <v>68</v>
      </c>
      <c r="F743">
        <v>74</v>
      </c>
      <c r="G743">
        <v>8.3000000000000007</v>
      </c>
      <c r="H743">
        <v>0</v>
      </c>
      <c r="I743">
        <v>0.96060507067668521</v>
      </c>
      <c r="J743">
        <v>1</v>
      </c>
    </row>
    <row r="744" spans="1:10" x14ac:dyDescent="0.3">
      <c r="A744" t="s">
        <v>856</v>
      </c>
      <c r="B744" t="s">
        <v>513</v>
      </c>
      <c r="C744">
        <v>2</v>
      </c>
      <c r="D744">
        <v>43700</v>
      </c>
      <c r="E744" t="s">
        <v>67</v>
      </c>
      <c r="F744">
        <v>113</v>
      </c>
      <c r="G744">
        <v>4.5</v>
      </c>
      <c r="H744">
        <v>11700</v>
      </c>
      <c r="I744">
        <v>0.70452429983418585</v>
      </c>
      <c r="J744">
        <v>1</v>
      </c>
    </row>
    <row r="745" spans="1:10" x14ac:dyDescent="0.3">
      <c r="A745" t="s">
        <v>857</v>
      </c>
      <c r="B745" t="s">
        <v>64</v>
      </c>
      <c r="C745">
        <v>4</v>
      </c>
      <c r="D745">
        <v>43500</v>
      </c>
      <c r="E745" t="s">
        <v>69</v>
      </c>
      <c r="F745">
        <v>51</v>
      </c>
      <c r="G745">
        <v>5</v>
      </c>
      <c r="H745">
        <v>2400</v>
      </c>
      <c r="I745">
        <v>7.0675554163079246E-2</v>
      </c>
      <c r="J745">
        <v>1</v>
      </c>
    </row>
    <row r="746" spans="1:10" x14ac:dyDescent="0.3">
      <c r="A746" t="s">
        <v>858</v>
      </c>
      <c r="B746" t="s">
        <v>65</v>
      </c>
      <c r="C746">
        <v>4</v>
      </c>
      <c r="D746">
        <v>25900</v>
      </c>
      <c r="E746" t="s">
        <v>67</v>
      </c>
      <c r="F746">
        <v>79</v>
      </c>
      <c r="G746">
        <v>9.5</v>
      </c>
      <c r="H746">
        <v>5200</v>
      </c>
      <c r="I746">
        <v>0.25998653003936967</v>
      </c>
      <c r="J746">
        <v>1</v>
      </c>
    </row>
    <row r="747" spans="1:10" x14ac:dyDescent="0.3">
      <c r="A747" t="s">
        <v>859</v>
      </c>
      <c r="B747" t="s">
        <v>62</v>
      </c>
      <c r="C747">
        <v>7</v>
      </c>
      <c r="D747">
        <v>36900</v>
      </c>
      <c r="E747" t="s">
        <v>67</v>
      </c>
      <c r="F747">
        <v>66</v>
      </c>
      <c r="G747">
        <v>2.1</v>
      </c>
      <c r="H747">
        <v>9200</v>
      </c>
      <c r="I747">
        <v>0.99656435703505186</v>
      </c>
      <c r="J747">
        <v>1</v>
      </c>
    </row>
    <row r="748" spans="1:10" x14ac:dyDescent="0.3">
      <c r="A748" t="s">
        <v>860</v>
      </c>
      <c r="B748" t="s">
        <v>64</v>
      </c>
      <c r="C748">
        <v>7</v>
      </c>
      <c r="D748">
        <v>57000</v>
      </c>
      <c r="E748" t="s">
        <v>69</v>
      </c>
      <c r="F748">
        <v>56</v>
      </c>
      <c r="G748">
        <v>6.3</v>
      </c>
      <c r="H748">
        <v>5400</v>
      </c>
      <c r="I748">
        <v>0.18409550239421901</v>
      </c>
      <c r="J748">
        <v>1</v>
      </c>
    </row>
    <row r="749" spans="1:10" x14ac:dyDescent="0.3">
      <c r="A749" t="s">
        <v>861</v>
      </c>
      <c r="B749" t="s">
        <v>513</v>
      </c>
      <c r="C749">
        <v>8</v>
      </c>
      <c r="D749">
        <v>14800</v>
      </c>
      <c r="E749" t="s">
        <v>66</v>
      </c>
      <c r="F749">
        <v>49</v>
      </c>
      <c r="G749">
        <v>1.8</v>
      </c>
      <c r="H749">
        <v>7600</v>
      </c>
      <c r="I749">
        <v>0.27575764318941043</v>
      </c>
      <c r="J749">
        <v>1</v>
      </c>
    </row>
    <row r="750" spans="1:10" x14ac:dyDescent="0.3">
      <c r="A750" t="s">
        <v>862</v>
      </c>
      <c r="B750" t="s">
        <v>64</v>
      </c>
      <c r="C750">
        <v>5</v>
      </c>
      <c r="D750">
        <v>26900</v>
      </c>
      <c r="E750" t="s">
        <v>66</v>
      </c>
      <c r="F750">
        <v>54</v>
      </c>
      <c r="G750">
        <v>9.6999999999999993</v>
      </c>
      <c r="H750">
        <v>8300</v>
      </c>
      <c r="I750">
        <v>4.2812023293153256E-2</v>
      </c>
      <c r="J750">
        <v>1</v>
      </c>
    </row>
    <row r="751" spans="1:10" x14ac:dyDescent="0.3">
      <c r="A751" t="s">
        <v>863</v>
      </c>
      <c r="B751" t="s">
        <v>62</v>
      </c>
      <c r="C751">
        <v>7</v>
      </c>
      <c r="D751">
        <v>28700</v>
      </c>
      <c r="E751" t="s">
        <v>66</v>
      </c>
      <c r="F751">
        <v>31</v>
      </c>
      <c r="G751">
        <v>0.2</v>
      </c>
      <c r="H751">
        <v>5700</v>
      </c>
      <c r="I751">
        <v>2.0087961034806479E-2</v>
      </c>
      <c r="J751">
        <v>1</v>
      </c>
    </row>
    <row r="752" spans="1:10" x14ac:dyDescent="0.3">
      <c r="A752" t="s">
        <v>864</v>
      </c>
      <c r="B752" t="s">
        <v>64</v>
      </c>
      <c r="C752">
        <v>6</v>
      </c>
      <c r="D752">
        <v>24900</v>
      </c>
      <c r="E752" t="s">
        <v>68</v>
      </c>
      <c r="F752">
        <v>25</v>
      </c>
      <c r="G752">
        <v>10.5</v>
      </c>
      <c r="H752">
        <v>100</v>
      </c>
      <c r="I752">
        <v>0.95594550585316462</v>
      </c>
      <c r="J752">
        <v>1</v>
      </c>
    </row>
    <row r="753" spans="1:10" x14ac:dyDescent="0.3">
      <c r="A753" t="s">
        <v>865</v>
      </c>
      <c r="B753" t="s">
        <v>64</v>
      </c>
      <c r="C753">
        <v>5</v>
      </c>
      <c r="D753">
        <v>50500</v>
      </c>
      <c r="E753" t="s">
        <v>68</v>
      </c>
      <c r="F753">
        <v>42</v>
      </c>
      <c r="G753">
        <v>3.4</v>
      </c>
      <c r="H753">
        <v>0</v>
      </c>
      <c r="I753">
        <v>0.17136600686852765</v>
      </c>
      <c r="J753">
        <v>1</v>
      </c>
    </row>
    <row r="754" spans="1:10" x14ac:dyDescent="0.3">
      <c r="A754" t="s">
        <v>866</v>
      </c>
      <c r="B754" t="s">
        <v>65</v>
      </c>
      <c r="C754">
        <v>8</v>
      </c>
      <c r="D754">
        <v>9100</v>
      </c>
      <c r="E754" t="s">
        <v>67</v>
      </c>
      <c r="F754">
        <v>102</v>
      </c>
      <c r="G754">
        <v>0.8</v>
      </c>
      <c r="H754">
        <v>7200</v>
      </c>
      <c r="I754">
        <v>0.54195124777122805</v>
      </c>
      <c r="J754">
        <v>1</v>
      </c>
    </row>
    <row r="755" spans="1:10" x14ac:dyDescent="0.3">
      <c r="A755" t="s">
        <v>867</v>
      </c>
      <c r="B755" t="s">
        <v>62</v>
      </c>
      <c r="C755">
        <v>4</v>
      </c>
      <c r="D755">
        <v>42300</v>
      </c>
      <c r="E755" t="s">
        <v>66</v>
      </c>
      <c r="F755">
        <v>45</v>
      </c>
      <c r="G755">
        <v>6.5</v>
      </c>
      <c r="H755">
        <v>10900</v>
      </c>
      <c r="I755">
        <v>0.47939876732272324</v>
      </c>
      <c r="J755">
        <v>1</v>
      </c>
    </row>
    <row r="756" spans="1:10" x14ac:dyDescent="0.3">
      <c r="A756" t="s">
        <v>868</v>
      </c>
      <c r="B756" t="s">
        <v>65</v>
      </c>
      <c r="C756">
        <v>4</v>
      </c>
      <c r="D756">
        <v>54200</v>
      </c>
      <c r="E756" t="s">
        <v>68</v>
      </c>
      <c r="F756">
        <v>75</v>
      </c>
      <c r="G756">
        <v>13.1</v>
      </c>
      <c r="H756">
        <v>5700</v>
      </c>
      <c r="I756">
        <v>0.76181560461220477</v>
      </c>
      <c r="J756">
        <v>1</v>
      </c>
    </row>
    <row r="757" spans="1:10" x14ac:dyDescent="0.3">
      <c r="A757" t="s">
        <v>869</v>
      </c>
      <c r="B757" t="s">
        <v>62</v>
      </c>
      <c r="C757">
        <v>4</v>
      </c>
      <c r="D757">
        <v>20400</v>
      </c>
      <c r="E757" t="s">
        <v>67</v>
      </c>
      <c r="F757">
        <v>65</v>
      </c>
      <c r="G757">
        <v>6.7</v>
      </c>
      <c r="H757">
        <v>3900</v>
      </c>
      <c r="I757">
        <v>0.69257493688498484</v>
      </c>
      <c r="J757">
        <v>1</v>
      </c>
    </row>
    <row r="758" spans="1:10" x14ac:dyDescent="0.3">
      <c r="A758" t="s">
        <v>870</v>
      </c>
      <c r="B758" t="s">
        <v>62</v>
      </c>
      <c r="C758">
        <v>2</v>
      </c>
      <c r="D758">
        <v>17500</v>
      </c>
      <c r="E758" t="s">
        <v>67</v>
      </c>
      <c r="F758">
        <v>119</v>
      </c>
      <c r="G758">
        <v>4.7</v>
      </c>
      <c r="H758">
        <v>10200</v>
      </c>
      <c r="I758">
        <v>0.17204359407763103</v>
      </c>
      <c r="J758">
        <v>1</v>
      </c>
    </row>
    <row r="759" spans="1:10" x14ac:dyDescent="0.3">
      <c r="A759" t="s">
        <v>871</v>
      </c>
      <c r="B759" t="s">
        <v>62</v>
      </c>
      <c r="C759">
        <v>3</v>
      </c>
      <c r="D759">
        <v>52500</v>
      </c>
      <c r="E759" t="s">
        <v>69</v>
      </c>
      <c r="F759">
        <v>46</v>
      </c>
      <c r="G759">
        <v>8.1999999999999993</v>
      </c>
      <c r="H759">
        <v>3100</v>
      </c>
      <c r="I759">
        <v>0.4124521634888072</v>
      </c>
      <c r="J759">
        <v>1</v>
      </c>
    </row>
    <row r="760" spans="1:10" x14ac:dyDescent="0.3">
      <c r="A760" t="s">
        <v>872</v>
      </c>
      <c r="B760" t="s">
        <v>64</v>
      </c>
      <c r="C760">
        <v>4</v>
      </c>
      <c r="D760">
        <v>48300</v>
      </c>
      <c r="E760" t="s">
        <v>68</v>
      </c>
      <c r="F760">
        <v>30</v>
      </c>
      <c r="G760">
        <v>1.4</v>
      </c>
      <c r="H760">
        <v>4100</v>
      </c>
      <c r="I760">
        <v>0.40877895330542835</v>
      </c>
      <c r="J760">
        <v>1</v>
      </c>
    </row>
    <row r="761" spans="1:10" x14ac:dyDescent="0.3">
      <c r="A761" t="s">
        <v>873</v>
      </c>
      <c r="B761" t="s">
        <v>65</v>
      </c>
      <c r="C761">
        <v>6</v>
      </c>
      <c r="D761">
        <v>54100</v>
      </c>
      <c r="E761" t="s">
        <v>69</v>
      </c>
      <c r="F761">
        <v>41</v>
      </c>
      <c r="G761">
        <v>8.8000000000000007</v>
      </c>
      <c r="H761">
        <v>5300</v>
      </c>
      <c r="I761">
        <v>5.1030418850428472E-4</v>
      </c>
      <c r="J761">
        <v>1</v>
      </c>
    </row>
    <row r="762" spans="1:10" x14ac:dyDescent="0.3">
      <c r="A762" t="s">
        <v>874</v>
      </c>
      <c r="B762" t="s">
        <v>62</v>
      </c>
      <c r="C762">
        <v>7</v>
      </c>
      <c r="D762">
        <v>69300</v>
      </c>
      <c r="E762" t="s">
        <v>66</v>
      </c>
      <c r="F762">
        <v>18</v>
      </c>
      <c r="G762">
        <v>4</v>
      </c>
      <c r="H762">
        <v>7800</v>
      </c>
      <c r="I762">
        <v>0.6618865135346641</v>
      </c>
      <c r="J762">
        <v>1</v>
      </c>
    </row>
    <row r="763" spans="1:10" x14ac:dyDescent="0.3">
      <c r="A763" t="s">
        <v>875</v>
      </c>
      <c r="B763" t="s">
        <v>513</v>
      </c>
      <c r="C763">
        <v>4</v>
      </c>
      <c r="D763">
        <v>24200</v>
      </c>
      <c r="E763" t="s">
        <v>67</v>
      </c>
      <c r="F763">
        <v>120</v>
      </c>
      <c r="G763">
        <v>8.8000000000000007</v>
      </c>
      <c r="H763">
        <v>5300</v>
      </c>
      <c r="I763">
        <v>0.79138458677753842</v>
      </c>
      <c r="J763">
        <v>1</v>
      </c>
    </row>
    <row r="764" spans="1:10" x14ac:dyDescent="0.3">
      <c r="A764" t="s">
        <v>876</v>
      </c>
      <c r="B764" t="s">
        <v>65</v>
      </c>
      <c r="C764">
        <v>5</v>
      </c>
      <c r="D764">
        <v>27400</v>
      </c>
      <c r="E764" t="s">
        <v>66</v>
      </c>
      <c r="F764">
        <v>28</v>
      </c>
      <c r="G764">
        <v>7.7</v>
      </c>
      <c r="H764">
        <v>5500</v>
      </c>
      <c r="I764">
        <v>0.11245618866794249</v>
      </c>
      <c r="J764">
        <v>1</v>
      </c>
    </row>
    <row r="765" spans="1:10" x14ac:dyDescent="0.3">
      <c r="A765" t="s">
        <v>877</v>
      </c>
      <c r="B765" t="s">
        <v>64</v>
      </c>
      <c r="C765">
        <v>7</v>
      </c>
      <c r="D765">
        <v>121800</v>
      </c>
      <c r="E765" t="s">
        <v>66</v>
      </c>
      <c r="F765">
        <v>26</v>
      </c>
      <c r="G765">
        <v>2.2000000000000002</v>
      </c>
      <c r="H765">
        <v>10800</v>
      </c>
      <c r="I765">
        <v>0.11122741238939438</v>
      </c>
      <c r="J765">
        <v>1</v>
      </c>
    </row>
    <row r="766" spans="1:10" x14ac:dyDescent="0.3">
      <c r="A766" t="s">
        <v>878</v>
      </c>
      <c r="B766" t="s">
        <v>513</v>
      </c>
      <c r="C766">
        <v>5</v>
      </c>
      <c r="D766">
        <v>54500</v>
      </c>
      <c r="E766" t="s">
        <v>69</v>
      </c>
      <c r="F766">
        <v>35</v>
      </c>
      <c r="G766">
        <v>10.199999999999999</v>
      </c>
      <c r="H766">
        <v>8200</v>
      </c>
      <c r="I766">
        <v>0.24840316646336957</v>
      </c>
      <c r="J766">
        <v>1</v>
      </c>
    </row>
    <row r="767" spans="1:10" x14ac:dyDescent="0.3">
      <c r="A767" t="s">
        <v>879</v>
      </c>
      <c r="B767" t="s">
        <v>65</v>
      </c>
      <c r="C767">
        <v>3</v>
      </c>
      <c r="D767">
        <v>52700</v>
      </c>
      <c r="E767" t="s">
        <v>67</v>
      </c>
      <c r="F767">
        <v>53</v>
      </c>
      <c r="G767">
        <v>7</v>
      </c>
      <c r="H767">
        <v>8000</v>
      </c>
      <c r="I767">
        <v>0.19645105313830247</v>
      </c>
      <c r="J767">
        <v>1</v>
      </c>
    </row>
    <row r="768" spans="1:10" x14ac:dyDescent="0.3">
      <c r="A768" t="s">
        <v>880</v>
      </c>
      <c r="B768" t="s">
        <v>513</v>
      </c>
      <c r="C768">
        <v>6</v>
      </c>
      <c r="D768">
        <v>45100</v>
      </c>
      <c r="E768" t="s">
        <v>67</v>
      </c>
      <c r="F768">
        <v>77</v>
      </c>
      <c r="G768">
        <v>5</v>
      </c>
      <c r="H768">
        <v>6600</v>
      </c>
      <c r="I768">
        <v>0.15775632300969156</v>
      </c>
      <c r="J768">
        <v>1</v>
      </c>
    </row>
    <row r="769" spans="1:10" x14ac:dyDescent="0.3">
      <c r="A769" t="s">
        <v>881</v>
      </c>
      <c r="B769" t="s">
        <v>62</v>
      </c>
      <c r="C769">
        <v>9</v>
      </c>
      <c r="D769">
        <v>47900</v>
      </c>
      <c r="E769" t="s">
        <v>69</v>
      </c>
      <c r="F769">
        <v>17</v>
      </c>
      <c r="G769">
        <v>2.1</v>
      </c>
      <c r="H769">
        <v>1100</v>
      </c>
      <c r="I769">
        <v>0.11483903517458482</v>
      </c>
      <c r="J769">
        <v>1</v>
      </c>
    </row>
    <row r="770" spans="1:10" x14ac:dyDescent="0.3">
      <c r="A770" t="s">
        <v>882</v>
      </c>
      <c r="B770" t="s">
        <v>64</v>
      </c>
      <c r="C770">
        <v>5</v>
      </c>
      <c r="D770">
        <v>57700</v>
      </c>
      <c r="E770" t="s">
        <v>66</v>
      </c>
      <c r="F770">
        <v>21</v>
      </c>
      <c r="G770">
        <v>9.1</v>
      </c>
      <c r="H770">
        <v>9000</v>
      </c>
      <c r="I770">
        <v>0.46342183745063059</v>
      </c>
      <c r="J770">
        <v>1</v>
      </c>
    </row>
    <row r="771" spans="1:10" x14ac:dyDescent="0.3">
      <c r="A771" t="s">
        <v>883</v>
      </c>
      <c r="B771" t="s">
        <v>62</v>
      </c>
      <c r="C771">
        <v>5</v>
      </c>
      <c r="D771">
        <v>44800</v>
      </c>
      <c r="E771" t="s">
        <v>66</v>
      </c>
      <c r="F771">
        <v>70</v>
      </c>
      <c r="G771">
        <v>3.9</v>
      </c>
      <c r="H771">
        <v>6400</v>
      </c>
      <c r="I771">
        <v>0.56947935142526773</v>
      </c>
      <c r="J771">
        <v>1</v>
      </c>
    </row>
    <row r="772" spans="1:10" x14ac:dyDescent="0.3">
      <c r="A772" t="s">
        <v>884</v>
      </c>
      <c r="B772" t="s">
        <v>65</v>
      </c>
      <c r="C772">
        <v>8</v>
      </c>
      <c r="D772">
        <v>40300</v>
      </c>
      <c r="E772" t="s">
        <v>66</v>
      </c>
      <c r="F772">
        <v>49</v>
      </c>
      <c r="G772">
        <v>2.8</v>
      </c>
      <c r="H772">
        <v>9800</v>
      </c>
      <c r="I772">
        <v>0.6586324617841991</v>
      </c>
      <c r="J772">
        <v>1</v>
      </c>
    </row>
    <row r="773" spans="1:10" x14ac:dyDescent="0.3">
      <c r="A773" t="s">
        <v>885</v>
      </c>
      <c r="B773" t="s">
        <v>513</v>
      </c>
      <c r="C773">
        <v>4</v>
      </c>
      <c r="D773">
        <v>15300</v>
      </c>
      <c r="E773" t="s">
        <v>68</v>
      </c>
      <c r="F773">
        <v>40</v>
      </c>
      <c r="G773">
        <v>11</v>
      </c>
      <c r="H773">
        <v>0</v>
      </c>
      <c r="I773">
        <v>0.41193111322920772</v>
      </c>
      <c r="J773">
        <v>1</v>
      </c>
    </row>
    <row r="774" spans="1:10" x14ac:dyDescent="0.3">
      <c r="A774" t="s">
        <v>886</v>
      </c>
      <c r="B774" t="s">
        <v>513</v>
      </c>
      <c r="C774">
        <v>7</v>
      </c>
      <c r="D774">
        <v>40100</v>
      </c>
      <c r="E774" t="s">
        <v>67</v>
      </c>
      <c r="F774">
        <v>89</v>
      </c>
      <c r="G774">
        <v>3.4</v>
      </c>
      <c r="H774">
        <v>1700</v>
      </c>
      <c r="I774">
        <v>0.22977723412953699</v>
      </c>
      <c r="J774">
        <v>1</v>
      </c>
    </row>
    <row r="775" spans="1:10" x14ac:dyDescent="0.3">
      <c r="A775" t="s">
        <v>887</v>
      </c>
      <c r="B775" t="s">
        <v>513</v>
      </c>
      <c r="C775">
        <v>5</v>
      </c>
      <c r="D775">
        <v>13400</v>
      </c>
      <c r="E775" t="s">
        <v>66</v>
      </c>
      <c r="F775">
        <v>36</v>
      </c>
      <c r="G775">
        <v>9.6</v>
      </c>
      <c r="H775">
        <v>6800</v>
      </c>
      <c r="I775">
        <v>0.831239680355639</v>
      </c>
      <c r="J775">
        <v>1</v>
      </c>
    </row>
    <row r="776" spans="1:10" x14ac:dyDescent="0.3">
      <c r="A776" t="s">
        <v>888</v>
      </c>
      <c r="B776" t="s">
        <v>65</v>
      </c>
      <c r="C776">
        <v>3</v>
      </c>
      <c r="D776">
        <v>8500</v>
      </c>
      <c r="E776" t="s">
        <v>67</v>
      </c>
      <c r="F776">
        <v>55</v>
      </c>
      <c r="G776">
        <v>10.9</v>
      </c>
      <c r="H776">
        <v>3700</v>
      </c>
      <c r="I776">
        <v>0.89555844155917652</v>
      </c>
      <c r="J776">
        <v>1</v>
      </c>
    </row>
    <row r="777" spans="1:10" x14ac:dyDescent="0.3">
      <c r="A777" t="s">
        <v>889</v>
      </c>
      <c r="B777" t="s">
        <v>513</v>
      </c>
      <c r="C777">
        <v>5</v>
      </c>
      <c r="D777">
        <v>10200</v>
      </c>
      <c r="E777" t="s">
        <v>67</v>
      </c>
      <c r="F777">
        <v>81</v>
      </c>
      <c r="G777">
        <v>9.6999999999999993</v>
      </c>
      <c r="H777">
        <v>11600</v>
      </c>
      <c r="I777">
        <v>0.50311796792009345</v>
      </c>
      <c r="J777">
        <v>1</v>
      </c>
    </row>
    <row r="778" spans="1:10" x14ac:dyDescent="0.3">
      <c r="A778" t="s">
        <v>890</v>
      </c>
      <c r="B778" t="s">
        <v>64</v>
      </c>
      <c r="C778">
        <v>4</v>
      </c>
      <c r="D778">
        <v>131200</v>
      </c>
      <c r="E778" t="s">
        <v>66</v>
      </c>
      <c r="F778">
        <v>26</v>
      </c>
      <c r="G778">
        <v>5.3</v>
      </c>
      <c r="H778">
        <v>6400</v>
      </c>
      <c r="I778">
        <v>0.9205453893716895</v>
      </c>
      <c r="J778">
        <v>1</v>
      </c>
    </row>
    <row r="779" spans="1:10" x14ac:dyDescent="0.3">
      <c r="A779" t="s">
        <v>891</v>
      </c>
      <c r="B779" t="s">
        <v>65</v>
      </c>
      <c r="C779">
        <v>6</v>
      </c>
      <c r="D779">
        <v>12900</v>
      </c>
      <c r="E779" t="s">
        <v>67</v>
      </c>
      <c r="F779">
        <v>102</v>
      </c>
      <c r="G779">
        <v>9.1</v>
      </c>
      <c r="H779">
        <v>12300</v>
      </c>
      <c r="I779">
        <v>0.3702554364306393</v>
      </c>
      <c r="J779">
        <v>1</v>
      </c>
    </row>
    <row r="780" spans="1:10" x14ac:dyDescent="0.3">
      <c r="A780" t="s">
        <v>892</v>
      </c>
      <c r="B780" t="s">
        <v>62</v>
      </c>
      <c r="C780">
        <v>4</v>
      </c>
      <c r="D780">
        <v>25000</v>
      </c>
      <c r="E780" t="s">
        <v>66</v>
      </c>
      <c r="F780">
        <v>32</v>
      </c>
      <c r="G780">
        <v>1</v>
      </c>
      <c r="H780">
        <v>7300</v>
      </c>
      <c r="I780">
        <v>0.93248662431780127</v>
      </c>
      <c r="J780">
        <v>1</v>
      </c>
    </row>
    <row r="781" spans="1:10" x14ac:dyDescent="0.3">
      <c r="A781" t="s">
        <v>893</v>
      </c>
      <c r="B781" t="s">
        <v>65</v>
      </c>
      <c r="C781">
        <v>5</v>
      </c>
      <c r="D781">
        <v>33100</v>
      </c>
      <c r="E781" t="s">
        <v>66</v>
      </c>
      <c r="F781">
        <v>55</v>
      </c>
      <c r="G781">
        <v>3.1</v>
      </c>
      <c r="H781">
        <v>4400</v>
      </c>
      <c r="I781">
        <v>0.36766058235910692</v>
      </c>
      <c r="J781">
        <v>1</v>
      </c>
    </row>
    <row r="782" spans="1:10" x14ac:dyDescent="0.3">
      <c r="A782" t="s">
        <v>894</v>
      </c>
      <c r="B782" t="s">
        <v>64</v>
      </c>
      <c r="C782">
        <v>4</v>
      </c>
      <c r="D782">
        <v>44500</v>
      </c>
      <c r="E782" t="s">
        <v>67</v>
      </c>
      <c r="F782">
        <v>82</v>
      </c>
      <c r="G782">
        <v>5.8</v>
      </c>
      <c r="H782">
        <v>6100</v>
      </c>
      <c r="I782">
        <v>7.0068811951503718E-2</v>
      </c>
      <c r="J782">
        <v>1</v>
      </c>
    </row>
    <row r="783" spans="1:10" x14ac:dyDescent="0.3">
      <c r="A783" t="s">
        <v>895</v>
      </c>
      <c r="B783" t="s">
        <v>65</v>
      </c>
      <c r="C783">
        <v>9</v>
      </c>
      <c r="D783">
        <v>31000</v>
      </c>
      <c r="E783" t="s">
        <v>69</v>
      </c>
      <c r="F783">
        <v>16</v>
      </c>
      <c r="G783">
        <v>7.4</v>
      </c>
      <c r="H783">
        <v>0</v>
      </c>
      <c r="I783">
        <v>0.69112971245376253</v>
      </c>
      <c r="J783">
        <v>1</v>
      </c>
    </row>
    <row r="784" spans="1:10" x14ac:dyDescent="0.3">
      <c r="A784" t="s">
        <v>896</v>
      </c>
      <c r="B784" t="s">
        <v>62</v>
      </c>
      <c r="C784">
        <v>6</v>
      </c>
      <c r="D784">
        <v>31100</v>
      </c>
      <c r="E784" t="s">
        <v>67</v>
      </c>
      <c r="F784">
        <v>76</v>
      </c>
      <c r="G784">
        <v>3.5</v>
      </c>
      <c r="H784">
        <v>0</v>
      </c>
      <c r="I784">
        <v>0.59106984592565115</v>
      </c>
      <c r="J784">
        <v>1</v>
      </c>
    </row>
    <row r="785" spans="1:10" x14ac:dyDescent="0.3">
      <c r="A785" t="s">
        <v>897</v>
      </c>
      <c r="B785" t="s">
        <v>62</v>
      </c>
      <c r="C785">
        <v>8</v>
      </c>
      <c r="D785">
        <v>59000</v>
      </c>
      <c r="E785" t="s">
        <v>69</v>
      </c>
      <c r="F785">
        <v>19</v>
      </c>
      <c r="G785">
        <v>4.3</v>
      </c>
      <c r="H785">
        <v>1600</v>
      </c>
      <c r="I785">
        <v>0.91677440426877632</v>
      </c>
      <c r="J785">
        <v>1</v>
      </c>
    </row>
    <row r="786" spans="1:10" x14ac:dyDescent="0.3">
      <c r="A786" t="s">
        <v>898</v>
      </c>
      <c r="B786" t="s">
        <v>62</v>
      </c>
      <c r="C786">
        <v>4</v>
      </c>
      <c r="D786">
        <v>22700</v>
      </c>
      <c r="E786" t="s">
        <v>66</v>
      </c>
      <c r="F786">
        <v>70</v>
      </c>
      <c r="G786">
        <v>8.8000000000000007</v>
      </c>
      <c r="H786">
        <v>5600</v>
      </c>
      <c r="I786">
        <v>0.76064602879287091</v>
      </c>
      <c r="J786">
        <v>1</v>
      </c>
    </row>
    <row r="787" spans="1:10" x14ac:dyDescent="0.3">
      <c r="A787" t="s">
        <v>899</v>
      </c>
      <c r="B787" t="s">
        <v>62</v>
      </c>
      <c r="C787">
        <v>4</v>
      </c>
      <c r="D787">
        <v>81300</v>
      </c>
      <c r="E787" t="s">
        <v>66</v>
      </c>
      <c r="F787">
        <v>23</v>
      </c>
      <c r="G787">
        <v>7.3</v>
      </c>
      <c r="H787">
        <v>4500</v>
      </c>
      <c r="I787">
        <v>0.7701179333385032</v>
      </c>
      <c r="J787">
        <v>1</v>
      </c>
    </row>
    <row r="788" spans="1:10" x14ac:dyDescent="0.3">
      <c r="A788" t="s">
        <v>900</v>
      </c>
      <c r="B788" t="s">
        <v>65</v>
      </c>
      <c r="C788">
        <v>8</v>
      </c>
      <c r="D788">
        <v>40800</v>
      </c>
      <c r="E788" t="s">
        <v>66</v>
      </c>
      <c r="F788">
        <v>42</v>
      </c>
      <c r="G788">
        <v>9.9</v>
      </c>
      <c r="H788">
        <v>6100</v>
      </c>
      <c r="I788">
        <v>0.48443128117397716</v>
      </c>
      <c r="J788">
        <v>1</v>
      </c>
    </row>
    <row r="789" spans="1:10" x14ac:dyDescent="0.3">
      <c r="A789" t="s">
        <v>901</v>
      </c>
      <c r="B789" t="s">
        <v>65</v>
      </c>
      <c r="C789">
        <v>5</v>
      </c>
      <c r="D789">
        <v>66500</v>
      </c>
      <c r="E789" t="s">
        <v>67</v>
      </c>
      <c r="F789">
        <v>102</v>
      </c>
      <c r="G789">
        <v>8.6999999999999993</v>
      </c>
      <c r="H789">
        <v>6700</v>
      </c>
      <c r="I789">
        <v>0.78655177104901008</v>
      </c>
      <c r="J789">
        <v>1</v>
      </c>
    </row>
    <row r="790" spans="1:10" x14ac:dyDescent="0.3">
      <c r="A790" t="s">
        <v>902</v>
      </c>
      <c r="B790" t="s">
        <v>62</v>
      </c>
      <c r="C790">
        <v>7</v>
      </c>
      <c r="D790">
        <v>125600</v>
      </c>
      <c r="E790" t="s">
        <v>68</v>
      </c>
      <c r="F790">
        <v>52</v>
      </c>
      <c r="G790">
        <v>2.2000000000000002</v>
      </c>
      <c r="H790">
        <v>2300</v>
      </c>
      <c r="I790">
        <v>0.50563719485444281</v>
      </c>
      <c r="J790">
        <v>1</v>
      </c>
    </row>
    <row r="791" spans="1:10" x14ac:dyDescent="0.3">
      <c r="A791" t="s">
        <v>903</v>
      </c>
      <c r="B791" t="s">
        <v>65</v>
      </c>
      <c r="C791">
        <v>5</v>
      </c>
      <c r="D791">
        <v>39700</v>
      </c>
      <c r="E791" t="s">
        <v>68</v>
      </c>
      <c r="F791">
        <v>55</v>
      </c>
      <c r="G791">
        <v>8.6</v>
      </c>
      <c r="H791">
        <v>8400</v>
      </c>
      <c r="I791">
        <v>0.94284079810385901</v>
      </c>
      <c r="J791">
        <v>1</v>
      </c>
    </row>
    <row r="792" spans="1:10" x14ac:dyDescent="0.3">
      <c r="A792" t="s">
        <v>904</v>
      </c>
      <c r="B792" t="s">
        <v>64</v>
      </c>
      <c r="C792">
        <v>7</v>
      </c>
      <c r="D792">
        <v>52100</v>
      </c>
      <c r="E792" t="s">
        <v>66</v>
      </c>
      <c r="F792">
        <v>52</v>
      </c>
      <c r="G792">
        <v>0.8</v>
      </c>
      <c r="H792">
        <v>9200</v>
      </c>
      <c r="I792">
        <v>0.20554977825107401</v>
      </c>
      <c r="J792">
        <v>1</v>
      </c>
    </row>
    <row r="793" spans="1:10" x14ac:dyDescent="0.3">
      <c r="A793" t="s">
        <v>905</v>
      </c>
      <c r="B793" t="s">
        <v>65</v>
      </c>
      <c r="C793">
        <v>8</v>
      </c>
      <c r="D793">
        <v>52800</v>
      </c>
      <c r="E793" t="s">
        <v>68</v>
      </c>
      <c r="F793">
        <v>61</v>
      </c>
      <c r="G793">
        <v>6.2</v>
      </c>
      <c r="H793">
        <v>4000</v>
      </c>
      <c r="I793">
        <v>0.17013064403179756</v>
      </c>
      <c r="J793">
        <v>1</v>
      </c>
    </row>
    <row r="794" spans="1:10" x14ac:dyDescent="0.3">
      <c r="A794" t="s">
        <v>906</v>
      </c>
      <c r="B794" t="s">
        <v>64</v>
      </c>
      <c r="C794">
        <v>6</v>
      </c>
      <c r="D794">
        <v>44700</v>
      </c>
      <c r="E794" t="s">
        <v>66</v>
      </c>
      <c r="F794">
        <v>54</v>
      </c>
      <c r="G794">
        <v>8.4</v>
      </c>
      <c r="H794">
        <v>5600</v>
      </c>
      <c r="I794">
        <v>0.92900023926960706</v>
      </c>
      <c r="J794">
        <v>1</v>
      </c>
    </row>
    <row r="795" spans="1:10" x14ac:dyDescent="0.3">
      <c r="A795" t="s">
        <v>907</v>
      </c>
      <c r="B795" t="s">
        <v>513</v>
      </c>
      <c r="C795">
        <v>5</v>
      </c>
      <c r="D795">
        <v>25400</v>
      </c>
      <c r="E795" t="s">
        <v>68</v>
      </c>
      <c r="F795">
        <v>29</v>
      </c>
      <c r="G795">
        <v>3.8</v>
      </c>
      <c r="H795">
        <v>3000</v>
      </c>
      <c r="I795">
        <v>0.86871585505066728</v>
      </c>
      <c r="J795">
        <v>1</v>
      </c>
    </row>
    <row r="796" spans="1:10" x14ac:dyDescent="0.3">
      <c r="A796" t="s">
        <v>908</v>
      </c>
      <c r="B796" t="s">
        <v>64</v>
      </c>
      <c r="C796">
        <v>4</v>
      </c>
      <c r="D796">
        <v>47000</v>
      </c>
      <c r="E796" t="s">
        <v>67</v>
      </c>
      <c r="F796">
        <v>76</v>
      </c>
      <c r="G796">
        <v>9.3000000000000007</v>
      </c>
      <c r="H796">
        <v>8100</v>
      </c>
      <c r="I796">
        <v>0.23499040632547596</v>
      </c>
      <c r="J796">
        <v>1</v>
      </c>
    </row>
    <row r="797" spans="1:10" x14ac:dyDescent="0.3">
      <c r="A797" t="s">
        <v>909</v>
      </c>
      <c r="B797" t="s">
        <v>513</v>
      </c>
      <c r="C797">
        <v>3</v>
      </c>
      <c r="D797">
        <v>63200</v>
      </c>
      <c r="E797" t="s">
        <v>66</v>
      </c>
      <c r="F797">
        <v>66</v>
      </c>
      <c r="G797">
        <v>7.8</v>
      </c>
      <c r="H797">
        <v>5100</v>
      </c>
      <c r="I797">
        <v>0.6076273823803785</v>
      </c>
      <c r="J797">
        <v>1</v>
      </c>
    </row>
    <row r="798" spans="1:10" x14ac:dyDescent="0.3">
      <c r="A798" t="s">
        <v>910</v>
      </c>
      <c r="B798" t="s">
        <v>62</v>
      </c>
      <c r="C798">
        <v>2</v>
      </c>
      <c r="D798">
        <v>61500</v>
      </c>
      <c r="E798" t="s">
        <v>69</v>
      </c>
      <c r="F798">
        <v>52</v>
      </c>
      <c r="G798">
        <v>5.0999999999999996</v>
      </c>
      <c r="H798">
        <v>7800</v>
      </c>
      <c r="I798">
        <v>0.20049731259259884</v>
      </c>
      <c r="J798">
        <v>1</v>
      </c>
    </row>
    <row r="799" spans="1:10" x14ac:dyDescent="0.3">
      <c r="A799" t="s">
        <v>911</v>
      </c>
      <c r="B799" t="s">
        <v>64</v>
      </c>
      <c r="C799">
        <v>6</v>
      </c>
      <c r="D799">
        <v>68100</v>
      </c>
      <c r="E799" t="s">
        <v>66</v>
      </c>
      <c r="F799">
        <v>55</v>
      </c>
      <c r="G799">
        <v>2.9</v>
      </c>
      <c r="H799">
        <v>9500</v>
      </c>
      <c r="I799">
        <v>0.85028620924223464</v>
      </c>
      <c r="J799">
        <v>1</v>
      </c>
    </row>
    <row r="800" spans="1:10" x14ac:dyDescent="0.3">
      <c r="A800" t="s">
        <v>912</v>
      </c>
      <c r="B800" t="s">
        <v>513</v>
      </c>
      <c r="C800">
        <v>6</v>
      </c>
      <c r="D800">
        <v>68100</v>
      </c>
      <c r="E800" t="s">
        <v>68</v>
      </c>
      <c r="F800">
        <v>74</v>
      </c>
      <c r="G800">
        <v>9.1999999999999993</v>
      </c>
      <c r="H800">
        <v>4200</v>
      </c>
      <c r="I800">
        <v>0.9191089256127386</v>
      </c>
      <c r="J800">
        <v>1</v>
      </c>
    </row>
    <row r="801" spans="1:10" x14ac:dyDescent="0.3">
      <c r="A801" t="s">
        <v>913</v>
      </c>
      <c r="B801" t="s">
        <v>64</v>
      </c>
      <c r="C801">
        <v>6</v>
      </c>
      <c r="D801">
        <v>39800</v>
      </c>
      <c r="E801" t="s">
        <v>66</v>
      </c>
      <c r="F801">
        <v>44</v>
      </c>
      <c r="G801">
        <v>6</v>
      </c>
      <c r="H801">
        <v>9500</v>
      </c>
      <c r="I801">
        <v>0.23101666914104912</v>
      </c>
      <c r="J801">
        <v>1</v>
      </c>
    </row>
    <row r="802" spans="1:10" x14ac:dyDescent="0.3">
      <c r="A802" t="s">
        <v>914</v>
      </c>
      <c r="B802" t="s">
        <v>62</v>
      </c>
      <c r="C802">
        <v>6</v>
      </c>
      <c r="D802">
        <v>43900</v>
      </c>
      <c r="E802" t="s">
        <v>68</v>
      </c>
      <c r="F802">
        <v>66</v>
      </c>
      <c r="G802">
        <v>7.3</v>
      </c>
      <c r="H802">
        <v>10000</v>
      </c>
      <c r="I802">
        <v>0.74443945261638944</v>
      </c>
      <c r="J802">
        <v>1</v>
      </c>
    </row>
    <row r="803" spans="1:10" x14ac:dyDescent="0.3">
      <c r="A803" t="s">
        <v>915</v>
      </c>
      <c r="B803" t="s">
        <v>513</v>
      </c>
      <c r="C803">
        <v>4</v>
      </c>
      <c r="D803">
        <v>34200</v>
      </c>
      <c r="E803" t="s">
        <v>68</v>
      </c>
      <c r="F803">
        <v>25</v>
      </c>
      <c r="G803">
        <v>4</v>
      </c>
      <c r="H803">
        <v>7500</v>
      </c>
      <c r="I803">
        <v>0.41539004652848821</v>
      </c>
      <c r="J803">
        <v>1</v>
      </c>
    </row>
    <row r="804" spans="1:10" x14ac:dyDescent="0.3">
      <c r="A804" t="s">
        <v>916</v>
      </c>
      <c r="B804" t="s">
        <v>64</v>
      </c>
      <c r="C804">
        <v>6</v>
      </c>
      <c r="D804">
        <v>49900</v>
      </c>
      <c r="E804" t="s">
        <v>68</v>
      </c>
      <c r="F804">
        <v>36</v>
      </c>
      <c r="G804">
        <v>7</v>
      </c>
      <c r="H804">
        <v>10300</v>
      </c>
      <c r="I804">
        <v>0.83090906322255298</v>
      </c>
      <c r="J804">
        <v>1</v>
      </c>
    </row>
    <row r="805" spans="1:10" x14ac:dyDescent="0.3">
      <c r="A805" t="s">
        <v>917</v>
      </c>
      <c r="B805" t="s">
        <v>65</v>
      </c>
      <c r="C805">
        <v>9</v>
      </c>
      <c r="D805">
        <v>23500</v>
      </c>
      <c r="E805" t="s">
        <v>66</v>
      </c>
      <c r="F805">
        <v>34</v>
      </c>
      <c r="G805">
        <v>10.8</v>
      </c>
      <c r="H805">
        <v>2400</v>
      </c>
      <c r="I805">
        <v>0.69711728838413101</v>
      </c>
      <c r="J805">
        <v>1</v>
      </c>
    </row>
    <row r="806" spans="1:10" x14ac:dyDescent="0.3">
      <c r="A806" t="s">
        <v>918</v>
      </c>
      <c r="B806" t="s">
        <v>513</v>
      </c>
      <c r="C806">
        <v>5</v>
      </c>
      <c r="D806">
        <v>20400</v>
      </c>
      <c r="E806" t="s">
        <v>66</v>
      </c>
      <c r="F806">
        <v>49</v>
      </c>
      <c r="G806">
        <v>2.8</v>
      </c>
      <c r="H806">
        <v>5400</v>
      </c>
      <c r="I806">
        <v>0.1775418751301121</v>
      </c>
      <c r="J806">
        <v>1</v>
      </c>
    </row>
    <row r="807" spans="1:10" x14ac:dyDescent="0.3">
      <c r="A807" t="s">
        <v>919</v>
      </c>
      <c r="B807" t="s">
        <v>513</v>
      </c>
      <c r="C807">
        <v>4</v>
      </c>
      <c r="D807">
        <v>25000</v>
      </c>
      <c r="E807" t="s">
        <v>69</v>
      </c>
      <c r="F807">
        <v>31</v>
      </c>
      <c r="G807">
        <v>1.8</v>
      </c>
      <c r="H807">
        <v>400</v>
      </c>
      <c r="I807">
        <v>0.34245019086191875</v>
      </c>
      <c r="J807">
        <v>1</v>
      </c>
    </row>
    <row r="808" spans="1:10" x14ac:dyDescent="0.3">
      <c r="A808" t="s">
        <v>920</v>
      </c>
      <c r="B808" t="s">
        <v>65</v>
      </c>
      <c r="C808">
        <v>5</v>
      </c>
      <c r="D808">
        <v>54600</v>
      </c>
      <c r="E808" t="s">
        <v>66</v>
      </c>
      <c r="F808">
        <v>50</v>
      </c>
      <c r="G808">
        <v>9.6999999999999993</v>
      </c>
      <c r="H808">
        <v>5600</v>
      </c>
      <c r="I808">
        <v>0.30629555261281183</v>
      </c>
      <c r="J808">
        <v>1</v>
      </c>
    </row>
    <row r="809" spans="1:10" x14ac:dyDescent="0.3">
      <c r="A809" t="s">
        <v>921</v>
      </c>
      <c r="B809" t="s">
        <v>62</v>
      </c>
      <c r="C809">
        <v>8</v>
      </c>
      <c r="D809">
        <v>90200</v>
      </c>
      <c r="E809" t="s">
        <v>66</v>
      </c>
      <c r="F809">
        <v>30</v>
      </c>
      <c r="G809">
        <v>0.8</v>
      </c>
      <c r="H809">
        <v>6000</v>
      </c>
      <c r="I809">
        <v>0.11015412842710015</v>
      </c>
      <c r="J809">
        <v>1</v>
      </c>
    </row>
    <row r="810" spans="1:10" x14ac:dyDescent="0.3">
      <c r="A810" t="s">
        <v>922</v>
      </c>
      <c r="B810" t="s">
        <v>513</v>
      </c>
      <c r="C810">
        <v>5</v>
      </c>
      <c r="D810">
        <v>34800</v>
      </c>
      <c r="E810" t="s">
        <v>66</v>
      </c>
      <c r="F810">
        <v>18</v>
      </c>
      <c r="G810">
        <v>8</v>
      </c>
      <c r="H810">
        <v>5300</v>
      </c>
      <c r="I810">
        <v>0.93157145578306033</v>
      </c>
      <c r="J810">
        <v>1</v>
      </c>
    </row>
    <row r="811" spans="1:10" x14ac:dyDescent="0.3">
      <c r="A811" t="s">
        <v>923</v>
      </c>
      <c r="B811" t="s">
        <v>65</v>
      </c>
      <c r="C811">
        <v>1</v>
      </c>
      <c r="D811">
        <v>30500</v>
      </c>
      <c r="E811" t="s">
        <v>67</v>
      </c>
      <c r="F811">
        <v>117</v>
      </c>
      <c r="G811">
        <v>3</v>
      </c>
      <c r="H811">
        <v>7600</v>
      </c>
      <c r="I811">
        <v>0.69935074897227212</v>
      </c>
      <c r="J811">
        <v>1</v>
      </c>
    </row>
    <row r="812" spans="1:10" x14ac:dyDescent="0.3">
      <c r="A812" t="s">
        <v>924</v>
      </c>
      <c r="B812" t="s">
        <v>64</v>
      </c>
      <c r="C812">
        <v>9</v>
      </c>
      <c r="D812">
        <v>19200</v>
      </c>
      <c r="E812" t="s">
        <v>67</v>
      </c>
      <c r="F812">
        <v>89</v>
      </c>
      <c r="G812">
        <v>3.6</v>
      </c>
      <c r="H812">
        <v>7100</v>
      </c>
      <c r="I812">
        <v>0.45352623527465985</v>
      </c>
      <c r="J812">
        <v>1</v>
      </c>
    </row>
    <row r="813" spans="1:10" x14ac:dyDescent="0.3">
      <c r="A813" t="s">
        <v>925</v>
      </c>
      <c r="B813" t="s">
        <v>65</v>
      </c>
      <c r="C813">
        <v>8</v>
      </c>
      <c r="D813">
        <v>80800</v>
      </c>
      <c r="E813" t="s">
        <v>68</v>
      </c>
      <c r="F813">
        <v>41</v>
      </c>
      <c r="G813">
        <v>6.6</v>
      </c>
      <c r="H813">
        <v>9100</v>
      </c>
      <c r="I813">
        <v>0.81827739552604317</v>
      </c>
      <c r="J813">
        <v>1</v>
      </c>
    </row>
    <row r="814" spans="1:10" x14ac:dyDescent="0.3">
      <c r="A814" t="s">
        <v>926</v>
      </c>
      <c r="B814" t="s">
        <v>513</v>
      </c>
      <c r="C814">
        <v>3</v>
      </c>
      <c r="D814">
        <v>21700</v>
      </c>
      <c r="E814" t="s">
        <v>66</v>
      </c>
      <c r="F814">
        <v>35</v>
      </c>
      <c r="G814">
        <v>10.6</v>
      </c>
      <c r="H814">
        <v>7000</v>
      </c>
      <c r="I814">
        <v>0.43420200147946497</v>
      </c>
      <c r="J814">
        <v>1</v>
      </c>
    </row>
    <row r="815" spans="1:10" x14ac:dyDescent="0.3">
      <c r="A815" t="s">
        <v>927</v>
      </c>
      <c r="B815" t="s">
        <v>513</v>
      </c>
      <c r="C815">
        <v>10</v>
      </c>
      <c r="D815">
        <v>30400</v>
      </c>
      <c r="E815" t="s">
        <v>69</v>
      </c>
      <c r="F815">
        <v>27</v>
      </c>
      <c r="G815">
        <v>7.9</v>
      </c>
      <c r="H815">
        <v>2800</v>
      </c>
      <c r="I815">
        <v>0.57356653175534422</v>
      </c>
      <c r="J815">
        <v>1</v>
      </c>
    </row>
    <row r="816" spans="1:10" x14ac:dyDescent="0.3">
      <c r="A816" t="s">
        <v>928</v>
      </c>
      <c r="B816" t="s">
        <v>65</v>
      </c>
      <c r="C816">
        <v>6</v>
      </c>
      <c r="D816">
        <v>77500</v>
      </c>
      <c r="E816" t="s">
        <v>68</v>
      </c>
      <c r="F816">
        <v>60</v>
      </c>
      <c r="G816">
        <v>5.5</v>
      </c>
      <c r="H816">
        <v>5400</v>
      </c>
      <c r="I816">
        <v>5.336333134415594E-2</v>
      </c>
      <c r="J816">
        <v>1</v>
      </c>
    </row>
    <row r="817" spans="1:10" x14ac:dyDescent="0.3">
      <c r="A817" t="s">
        <v>929</v>
      </c>
      <c r="B817" t="s">
        <v>62</v>
      </c>
      <c r="C817">
        <v>5</v>
      </c>
      <c r="D817">
        <v>150000</v>
      </c>
      <c r="E817" t="s">
        <v>68</v>
      </c>
      <c r="F817">
        <v>49</v>
      </c>
      <c r="G817">
        <v>6.8</v>
      </c>
      <c r="H817">
        <v>8900</v>
      </c>
      <c r="I817">
        <v>0.63567811209624936</v>
      </c>
      <c r="J817">
        <v>1</v>
      </c>
    </row>
    <row r="818" spans="1:10" x14ac:dyDescent="0.3">
      <c r="A818" t="s">
        <v>930</v>
      </c>
      <c r="B818" t="s">
        <v>62</v>
      </c>
      <c r="C818">
        <v>7</v>
      </c>
      <c r="D818">
        <v>94000</v>
      </c>
      <c r="E818" t="s">
        <v>66</v>
      </c>
      <c r="F818">
        <v>70</v>
      </c>
      <c r="G818">
        <v>7.4</v>
      </c>
      <c r="H818">
        <v>2100</v>
      </c>
      <c r="I818">
        <v>0.97875654378172927</v>
      </c>
      <c r="J818">
        <v>1</v>
      </c>
    </row>
    <row r="819" spans="1:10" x14ac:dyDescent="0.3">
      <c r="A819" t="s">
        <v>931</v>
      </c>
      <c r="B819" t="s">
        <v>513</v>
      </c>
      <c r="C819">
        <v>3</v>
      </c>
      <c r="D819">
        <v>8800</v>
      </c>
      <c r="E819" t="s">
        <v>69</v>
      </c>
      <c r="F819">
        <v>36</v>
      </c>
      <c r="G819">
        <v>7.8</v>
      </c>
      <c r="H819">
        <v>2900</v>
      </c>
      <c r="I819">
        <v>0.74061053574433799</v>
      </c>
      <c r="J819">
        <v>1</v>
      </c>
    </row>
    <row r="820" spans="1:10" x14ac:dyDescent="0.3">
      <c r="A820" t="s">
        <v>932</v>
      </c>
      <c r="B820" t="s">
        <v>62</v>
      </c>
      <c r="C820">
        <v>4</v>
      </c>
      <c r="D820">
        <v>17800</v>
      </c>
      <c r="E820" t="s">
        <v>69</v>
      </c>
      <c r="F820">
        <v>22</v>
      </c>
      <c r="G820">
        <v>10</v>
      </c>
      <c r="H820">
        <v>5900</v>
      </c>
      <c r="I820">
        <v>0.22397715331921231</v>
      </c>
      <c r="J820">
        <v>1</v>
      </c>
    </row>
    <row r="821" spans="1:10" x14ac:dyDescent="0.3">
      <c r="A821" t="s">
        <v>933</v>
      </c>
      <c r="B821" t="s">
        <v>62</v>
      </c>
      <c r="C821">
        <v>8</v>
      </c>
      <c r="D821">
        <v>60900</v>
      </c>
      <c r="E821" t="s">
        <v>68</v>
      </c>
      <c r="F821">
        <v>51</v>
      </c>
      <c r="G821">
        <v>9</v>
      </c>
      <c r="H821">
        <v>6200</v>
      </c>
      <c r="I821">
        <v>0.17796688623259105</v>
      </c>
      <c r="J821">
        <v>1</v>
      </c>
    </row>
    <row r="822" spans="1:10" x14ac:dyDescent="0.3">
      <c r="A822" t="s">
        <v>934</v>
      </c>
      <c r="B822" t="s">
        <v>64</v>
      </c>
      <c r="C822">
        <v>7</v>
      </c>
      <c r="D822">
        <v>40100</v>
      </c>
      <c r="E822" t="s">
        <v>67</v>
      </c>
      <c r="F822">
        <v>89</v>
      </c>
      <c r="G822">
        <v>7.2</v>
      </c>
      <c r="H822">
        <v>10000</v>
      </c>
      <c r="I822">
        <v>0.46393995235756558</v>
      </c>
      <c r="J822">
        <v>1</v>
      </c>
    </row>
    <row r="823" spans="1:10" x14ac:dyDescent="0.3">
      <c r="A823" t="s">
        <v>935</v>
      </c>
      <c r="B823" t="s">
        <v>513</v>
      </c>
      <c r="C823">
        <v>5</v>
      </c>
      <c r="D823">
        <v>26700</v>
      </c>
      <c r="E823" t="s">
        <v>66</v>
      </c>
      <c r="F823">
        <v>32</v>
      </c>
      <c r="G823">
        <v>14.1</v>
      </c>
      <c r="H823">
        <v>5400</v>
      </c>
      <c r="I823">
        <v>0.13006138017203273</v>
      </c>
      <c r="J823">
        <v>1</v>
      </c>
    </row>
    <row r="824" spans="1:10" x14ac:dyDescent="0.3">
      <c r="A824" t="s">
        <v>936</v>
      </c>
      <c r="B824" t="s">
        <v>62</v>
      </c>
      <c r="C824">
        <v>8</v>
      </c>
      <c r="D824">
        <v>95900</v>
      </c>
      <c r="E824" t="s">
        <v>66</v>
      </c>
      <c r="F824">
        <v>16</v>
      </c>
      <c r="G824">
        <v>8.4</v>
      </c>
      <c r="H824">
        <v>8800</v>
      </c>
      <c r="I824">
        <v>0.44150265734216831</v>
      </c>
      <c r="J824">
        <v>1</v>
      </c>
    </row>
    <row r="825" spans="1:10" x14ac:dyDescent="0.3">
      <c r="A825" t="s">
        <v>937</v>
      </c>
      <c r="B825" t="s">
        <v>64</v>
      </c>
      <c r="C825">
        <v>3</v>
      </c>
      <c r="D825">
        <v>51900</v>
      </c>
      <c r="E825" t="s">
        <v>66</v>
      </c>
      <c r="F825">
        <v>49</v>
      </c>
      <c r="G825">
        <v>10</v>
      </c>
      <c r="H825">
        <v>1400</v>
      </c>
      <c r="I825">
        <v>0.82275000869618564</v>
      </c>
      <c r="J825">
        <v>1</v>
      </c>
    </row>
    <row r="826" spans="1:10" x14ac:dyDescent="0.3">
      <c r="A826" t="s">
        <v>938</v>
      </c>
      <c r="B826" t="s">
        <v>513</v>
      </c>
      <c r="C826">
        <v>5</v>
      </c>
      <c r="D826">
        <v>46300</v>
      </c>
      <c r="E826" t="s">
        <v>69</v>
      </c>
      <c r="F826">
        <v>56</v>
      </c>
      <c r="G826">
        <v>10.8</v>
      </c>
      <c r="H826">
        <v>8600</v>
      </c>
      <c r="I826">
        <v>0.68713816476550993</v>
      </c>
      <c r="J826">
        <v>1</v>
      </c>
    </row>
    <row r="827" spans="1:10" x14ac:dyDescent="0.3">
      <c r="A827" t="s">
        <v>939</v>
      </c>
      <c r="B827" t="s">
        <v>64</v>
      </c>
      <c r="C827">
        <v>4</v>
      </c>
      <c r="D827">
        <v>31700</v>
      </c>
      <c r="E827" t="s">
        <v>68</v>
      </c>
      <c r="F827">
        <v>39</v>
      </c>
      <c r="G827">
        <v>10.199999999999999</v>
      </c>
      <c r="H827">
        <v>6900</v>
      </c>
      <c r="I827">
        <v>0.68356427136698217</v>
      </c>
      <c r="J827">
        <v>1</v>
      </c>
    </row>
    <row r="828" spans="1:10" x14ac:dyDescent="0.3">
      <c r="A828" t="s">
        <v>940</v>
      </c>
      <c r="B828" t="s">
        <v>64</v>
      </c>
      <c r="C828">
        <v>2</v>
      </c>
      <c r="D828">
        <v>28100</v>
      </c>
      <c r="E828" t="s">
        <v>66</v>
      </c>
      <c r="F828">
        <v>64</v>
      </c>
      <c r="G828">
        <v>6.1</v>
      </c>
      <c r="H828">
        <v>2300</v>
      </c>
      <c r="I828">
        <v>1.2463661328216191E-2</v>
      </c>
      <c r="J828">
        <v>1</v>
      </c>
    </row>
    <row r="829" spans="1:10" x14ac:dyDescent="0.3">
      <c r="A829" t="s">
        <v>941</v>
      </c>
      <c r="B829" t="s">
        <v>64</v>
      </c>
      <c r="C829">
        <v>6</v>
      </c>
      <c r="D829">
        <v>62500</v>
      </c>
      <c r="E829" t="s">
        <v>66</v>
      </c>
      <c r="F829">
        <v>58</v>
      </c>
      <c r="G829">
        <v>9.6</v>
      </c>
      <c r="H829">
        <v>6400</v>
      </c>
      <c r="I829">
        <v>0.87658934784515741</v>
      </c>
      <c r="J829">
        <v>1</v>
      </c>
    </row>
    <row r="830" spans="1:10" x14ac:dyDescent="0.3">
      <c r="A830" t="s">
        <v>942</v>
      </c>
      <c r="B830" t="s">
        <v>65</v>
      </c>
      <c r="C830">
        <v>5</v>
      </c>
      <c r="D830">
        <v>33400</v>
      </c>
      <c r="E830" t="s">
        <v>68</v>
      </c>
      <c r="F830">
        <v>59</v>
      </c>
      <c r="G830">
        <v>11.2</v>
      </c>
      <c r="H830">
        <v>11300</v>
      </c>
      <c r="I830">
        <v>0.18401098887757217</v>
      </c>
      <c r="J830">
        <v>1</v>
      </c>
    </row>
    <row r="831" spans="1:10" x14ac:dyDescent="0.3">
      <c r="A831" t="s">
        <v>943</v>
      </c>
      <c r="B831" t="s">
        <v>513</v>
      </c>
      <c r="C831">
        <v>5</v>
      </c>
      <c r="D831">
        <v>43300</v>
      </c>
      <c r="E831" t="s">
        <v>67</v>
      </c>
      <c r="F831">
        <v>117</v>
      </c>
      <c r="G831">
        <v>4.0999999999999996</v>
      </c>
      <c r="H831">
        <v>8500</v>
      </c>
      <c r="I831">
        <v>0.74799980144755507</v>
      </c>
      <c r="J831">
        <v>1</v>
      </c>
    </row>
    <row r="832" spans="1:10" x14ac:dyDescent="0.3">
      <c r="A832" t="s">
        <v>944</v>
      </c>
      <c r="B832" t="s">
        <v>64</v>
      </c>
      <c r="C832">
        <v>5</v>
      </c>
      <c r="D832">
        <v>15000</v>
      </c>
      <c r="E832" t="s">
        <v>66</v>
      </c>
      <c r="F832">
        <v>20</v>
      </c>
      <c r="G832">
        <v>10.8</v>
      </c>
      <c r="H832">
        <v>8700</v>
      </c>
      <c r="I832">
        <v>0.5775489683750199</v>
      </c>
      <c r="J832">
        <v>1</v>
      </c>
    </row>
    <row r="833" spans="1:10" x14ac:dyDescent="0.3">
      <c r="A833" t="s">
        <v>945</v>
      </c>
      <c r="B833" t="s">
        <v>513</v>
      </c>
      <c r="C833">
        <v>6</v>
      </c>
      <c r="D833">
        <v>28400</v>
      </c>
      <c r="E833" t="s">
        <v>69</v>
      </c>
      <c r="F833">
        <v>50</v>
      </c>
      <c r="G833">
        <v>4.3</v>
      </c>
      <c r="H833">
        <v>7000</v>
      </c>
      <c r="I833">
        <v>0.35754215887319563</v>
      </c>
      <c r="J833">
        <v>1</v>
      </c>
    </row>
    <row r="834" spans="1:10" x14ac:dyDescent="0.3">
      <c r="A834" t="s">
        <v>946</v>
      </c>
      <c r="B834" t="s">
        <v>65</v>
      </c>
      <c r="C834">
        <v>6</v>
      </c>
      <c r="D834">
        <v>10700</v>
      </c>
      <c r="E834" t="s">
        <v>66</v>
      </c>
      <c r="F834">
        <v>68</v>
      </c>
      <c r="G834">
        <v>7.5</v>
      </c>
      <c r="H834">
        <v>4700</v>
      </c>
      <c r="I834">
        <v>0.7716644417233971</v>
      </c>
      <c r="J834">
        <v>1</v>
      </c>
    </row>
    <row r="835" spans="1:10" x14ac:dyDescent="0.3">
      <c r="A835" t="s">
        <v>947</v>
      </c>
      <c r="B835" t="s">
        <v>65</v>
      </c>
      <c r="C835">
        <v>8</v>
      </c>
      <c r="D835">
        <v>6800</v>
      </c>
      <c r="E835" t="s">
        <v>67</v>
      </c>
      <c r="F835">
        <v>96</v>
      </c>
      <c r="G835">
        <v>10.6</v>
      </c>
      <c r="H835">
        <v>5200</v>
      </c>
      <c r="I835">
        <v>0.99983216676292108</v>
      </c>
      <c r="J835">
        <v>1</v>
      </c>
    </row>
    <row r="836" spans="1:10" x14ac:dyDescent="0.3">
      <c r="A836" t="s">
        <v>948</v>
      </c>
      <c r="B836" t="s">
        <v>62</v>
      </c>
      <c r="C836">
        <v>5</v>
      </c>
      <c r="D836">
        <v>40000</v>
      </c>
      <c r="E836" t="s">
        <v>69</v>
      </c>
      <c r="F836">
        <v>16</v>
      </c>
      <c r="G836">
        <v>2.2999999999999998</v>
      </c>
      <c r="H836">
        <v>7800</v>
      </c>
      <c r="I836">
        <v>0.94460293292787223</v>
      </c>
      <c r="J836">
        <v>1</v>
      </c>
    </row>
    <row r="837" spans="1:10" x14ac:dyDescent="0.3">
      <c r="A837" t="s">
        <v>949</v>
      </c>
      <c r="B837" t="s">
        <v>64</v>
      </c>
      <c r="C837">
        <v>8</v>
      </c>
      <c r="D837">
        <v>43100</v>
      </c>
      <c r="E837" t="s">
        <v>68</v>
      </c>
      <c r="F837">
        <v>50</v>
      </c>
      <c r="G837">
        <v>11.6</v>
      </c>
      <c r="H837">
        <v>5100</v>
      </c>
      <c r="I837">
        <v>5.2049045939156269E-2</v>
      </c>
      <c r="J837">
        <v>1</v>
      </c>
    </row>
    <row r="838" spans="1:10" x14ac:dyDescent="0.3">
      <c r="A838" t="s">
        <v>950</v>
      </c>
      <c r="B838" t="s">
        <v>513</v>
      </c>
      <c r="C838">
        <v>4</v>
      </c>
      <c r="D838">
        <v>34900</v>
      </c>
      <c r="E838" t="s">
        <v>67</v>
      </c>
      <c r="F838">
        <v>108</v>
      </c>
      <c r="G838">
        <v>10</v>
      </c>
      <c r="H838">
        <v>9700</v>
      </c>
      <c r="I838">
        <v>0.8620182316571382</v>
      </c>
      <c r="J838">
        <v>1</v>
      </c>
    </row>
    <row r="839" spans="1:10" x14ac:dyDescent="0.3">
      <c r="A839" t="s">
        <v>951</v>
      </c>
      <c r="B839" t="s">
        <v>64</v>
      </c>
      <c r="C839">
        <v>5</v>
      </c>
      <c r="D839">
        <v>54400</v>
      </c>
      <c r="E839" t="s">
        <v>67</v>
      </c>
      <c r="F839">
        <v>81</v>
      </c>
      <c r="G839">
        <v>5</v>
      </c>
      <c r="H839">
        <v>6000</v>
      </c>
      <c r="I839">
        <v>9.7197240965250176E-2</v>
      </c>
      <c r="J839">
        <v>1</v>
      </c>
    </row>
    <row r="840" spans="1:10" x14ac:dyDescent="0.3">
      <c r="A840" t="s">
        <v>952</v>
      </c>
      <c r="B840" t="s">
        <v>65</v>
      </c>
      <c r="C840">
        <v>4</v>
      </c>
      <c r="D840">
        <v>32100</v>
      </c>
      <c r="E840" t="s">
        <v>68</v>
      </c>
      <c r="F840">
        <v>21</v>
      </c>
      <c r="G840">
        <v>13.3</v>
      </c>
      <c r="H840">
        <v>0</v>
      </c>
      <c r="I840">
        <v>0.94270274374611507</v>
      </c>
      <c r="J840">
        <v>1</v>
      </c>
    </row>
    <row r="841" spans="1:10" x14ac:dyDescent="0.3">
      <c r="A841" t="s">
        <v>953</v>
      </c>
      <c r="B841" t="s">
        <v>65</v>
      </c>
      <c r="C841">
        <v>5</v>
      </c>
      <c r="D841">
        <v>24300</v>
      </c>
      <c r="E841" t="s">
        <v>68</v>
      </c>
      <c r="F841">
        <v>55</v>
      </c>
      <c r="G841">
        <v>1.6</v>
      </c>
      <c r="H841">
        <v>1900</v>
      </c>
      <c r="I841">
        <v>0.31023569263089201</v>
      </c>
      <c r="J841">
        <v>1</v>
      </c>
    </row>
    <row r="842" spans="1:10" x14ac:dyDescent="0.3">
      <c r="A842" t="s">
        <v>954</v>
      </c>
      <c r="B842" t="s">
        <v>513</v>
      </c>
      <c r="C842">
        <v>4</v>
      </c>
      <c r="D842">
        <v>24100</v>
      </c>
      <c r="E842" t="s">
        <v>68</v>
      </c>
      <c r="F842">
        <v>58</v>
      </c>
      <c r="G842">
        <v>10.9</v>
      </c>
      <c r="H842">
        <v>5300</v>
      </c>
      <c r="I842">
        <v>0.53796748340915479</v>
      </c>
      <c r="J842">
        <v>1</v>
      </c>
    </row>
    <row r="843" spans="1:10" x14ac:dyDescent="0.3">
      <c r="A843" t="s">
        <v>955</v>
      </c>
      <c r="B843" t="s">
        <v>513</v>
      </c>
      <c r="C843">
        <v>6</v>
      </c>
      <c r="D843">
        <v>21900</v>
      </c>
      <c r="E843" t="s">
        <v>66</v>
      </c>
      <c r="F843">
        <v>47</v>
      </c>
      <c r="G843">
        <v>14.9</v>
      </c>
      <c r="H843">
        <v>0</v>
      </c>
      <c r="I843">
        <v>0.33315910006083393</v>
      </c>
      <c r="J843">
        <v>1</v>
      </c>
    </row>
    <row r="844" spans="1:10" x14ac:dyDescent="0.3">
      <c r="A844" t="s">
        <v>956</v>
      </c>
      <c r="B844" t="s">
        <v>64</v>
      </c>
      <c r="C844">
        <v>4</v>
      </c>
      <c r="D844">
        <v>51100</v>
      </c>
      <c r="E844" t="s">
        <v>67</v>
      </c>
      <c r="F844">
        <v>112</v>
      </c>
      <c r="G844">
        <v>11.1</v>
      </c>
      <c r="H844">
        <v>4700</v>
      </c>
      <c r="I844">
        <v>0.54276019556532384</v>
      </c>
      <c r="J844">
        <v>1</v>
      </c>
    </row>
    <row r="845" spans="1:10" x14ac:dyDescent="0.3">
      <c r="A845" t="s">
        <v>957</v>
      </c>
      <c r="B845" t="s">
        <v>513</v>
      </c>
      <c r="C845">
        <v>9</v>
      </c>
      <c r="D845">
        <v>30500</v>
      </c>
      <c r="E845" t="s">
        <v>68</v>
      </c>
      <c r="F845">
        <v>48</v>
      </c>
      <c r="G845">
        <v>1.8</v>
      </c>
      <c r="H845">
        <v>8300</v>
      </c>
      <c r="I845">
        <v>0.91851089110262918</v>
      </c>
      <c r="J845">
        <v>1</v>
      </c>
    </row>
    <row r="846" spans="1:10" x14ac:dyDescent="0.3">
      <c r="A846" t="s">
        <v>958</v>
      </c>
      <c r="B846" t="s">
        <v>65</v>
      </c>
      <c r="C846">
        <v>5</v>
      </c>
      <c r="D846">
        <v>78700</v>
      </c>
      <c r="E846" t="s">
        <v>66</v>
      </c>
      <c r="F846">
        <v>19</v>
      </c>
      <c r="G846">
        <v>3.7</v>
      </c>
      <c r="H846">
        <v>7900</v>
      </c>
      <c r="I846">
        <v>0.19129204803552347</v>
      </c>
      <c r="J846">
        <v>1</v>
      </c>
    </row>
    <row r="847" spans="1:10" x14ac:dyDescent="0.3">
      <c r="A847" t="s">
        <v>959</v>
      </c>
      <c r="B847" t="s">
        <v>513</v>
      </c>
      <c r="C847">
        <v>4</v>
      </c>
      <c r="D847">
        <v>35400</v>
      </c>
      <c r="E847" t="s">
        <v>66</v>
      </c>
      <c r="F847">
        <v>24</v>
      </c>
      <c r="G847">
        <v>7.3</v>
      </c>
      <c r="H847">
        <v>13800</v>
      </c>
      <c r="I847">
        <v>0.3251248240317216</v>
      </c>
      <c r="J847">
        <v>1</v>
      </c>
    </row>
    <row r="848" spans="1:10" x14ac:dyDescent="0.3">
      <c r="A848" t="s">
        <v>960</v>
      </c>
      <c r="B848" t="s">
        <v>513</v>
      </c>
      <c r="C848">
        <v>2</v>
      </c>
      <c r="D848">
        <v>110100</v>
      </c>
      <c r="E848" t="s">
        <v>68</v>
      </c>
      <c r="F848">
        <v>49</v>
      </c>
      <c r="G848">
        <v>11.2</v>
      </c>
      <c r="H848">
        <v>12300</v>
      </c>
      <c r="I848">
        <v>1.0904995336128209E-2</v>
      </c>
      <c r="J848">
        <v>1</v>
      </c>
    </row>
    <row r="849" spans="1:10" x14ac:dyDescent="0.3">
      <c r="A849" t="s">
        <v>961</v>
      </c>
      <c r="B849" t="s">
        <v>62</v>
      </c>
      <c r="C849">
        <v>9</v>
      </c>
      <c r="D849">
        <v>14800</v>
      </c>
      <c r="E849" t="s">
        <v>68</v>
      </c>
      <c r="F849">
        <v>63</v>
      </c>
      <c r="G849">
        <v>0.9</v>
      </c>
      <c r="H849">
        <v>6400</v>
      </c>
      <c r="I849">
        <v>0.17204692700708535</v>
      </c>
      <c r="J849">
        <v>1</v>
      </c>
    </row>
    <row r="850" spans="1:10" x14ac:dyDescent="0.3">
      <c r="A850" t="s">
        <v>962</v>
      </c>
      <c r="B850" t="s">
        <v>64</v>
      </c>
      <c r="C850">
        <v>4</v>
      </c>
      <c r="D850">
        <v>46000</v>
      </c>
      <c r="E850" t="s">
        <v>68</v>
      </c>
      <c r="F850">
        <v>27</v>
      </c>
      <c r="G850">
        <v>0.5</v>
      </c>
      <c r="H850">
        <v>9900</v>
      </c>
      <c r="I850">
        <v>0.45817323075265914</v>
      </c>
      <c r="J850">
        <v>1</v>
      </c>
    </row>
    <row r="851" spans="1:10" x14ac:dyDescent="0.3">
      <c r="A851" t="s">
        <v>963</v>
      </c>
      <c r="B851" t="s">
        <v>62</v>
      </c>
      <c r="C851">
        <v>10</v>
      </c>
      <c r="D851">
        <v>81600</v>
      </c>
      <c r="E851" t="s">
        <v>66</v>
      </c>
      <c r="F851">
        <v>31</v>
      </c>
      <c r="G851">
        <v>9.6</v>
      </c>
      <c r="H851">
        <v>10700</v>
      </c>
      <c r="I851">
        <v>0.64193801304661835</v>
      </c>
      <c r="J851">
        <v>1</v>
      </c>
    </row>
    <row r="852" spans="1:10" x14ac:dyDescent="0.3">
      <c r="A852" t="s">
        <v>964</v>
      </c>
      <c r="B852" t="s">
        <v>64</v>
      </c>
      <c r="C852">
        <v>6</v>
      </c>
      <c r="D852">
        <v>27100</v>
      </c>
      <c r="E852" t="s">
        <v>69</v>
      </c>
      <c r="F852">
        <v>48</v>
      </c>
      <c r="G852">
        <v>8.8000000000000007</v>
      </c>
      <c r="H852">
        <v>7700</v>
      </c>
      <c r="I852">
        <v>0.46080969239625436</v>
      </c>
      <c r="J852">
        <v>1</v>
      </c>
    </row>
    <row r="853" spans="1:10" x14ac:dyDescent="0.3">
      <c r="A853" t="s">
        <v>965</v>
      </c>
      <c r="B853" t="s">
        <v>513</v>
      </c>
      <c r="C853">
        <v>7</v>
      </c>
      <c r="D853">
        <v>21800</v>
      </c>
      <c r="E853" t="s">
        <v>68</v>
      </c>
      <c r="F853">
        <v>21</v>
      </c>
      <c r="G853">
        <v>13.3</v>
      </c>
      <c r="H853">
        <v>6800</v>
      </c>
      <c r="I853">
        <v>0.7799289005673874</v>
      </c>
      <c r="J853">
        <v>1</v>
      </c>
    </row>
    <row r="854" spans="1:10" x14ac:dyDescent="0.3">
      <c r="A854" t="s">
        <v>966</v>
      </c>
      <c r="B854" t="s">
        <v>62</v>
      </c>
      <c r="C854">
        <v>4</v>
      </c>
      <c r="D854">
        <v>26900</v>
      </c>
      <c r="E854" t="s">
        <v>66</v>
      </c>
      <c r="F854">
        <v>48</v>
      </c>
      <c r="G854">
        <v>0.5</v>
      </c>
      <c r="H854">
        <v>7800</v>
      </c>
      <c r="I854">
        <v>0.53434134752706064</v>
      </c>
      <c r="J854">
        <v>1</v>
      </c>
    </row>
    <row r="855" spans="1:10" x14ac:dyDescent="0.3">
      <c r="A855" t="s">
        <v>967</v>
      </c>
      <c r="B855" t="s">
        <v>62</v>
      </c>
      <c r="C855">
        <v>4</v>
      </c>
      <c r="D855">
        <v>41400</v>
      </c>
      <c r="E855" t="s">
        <v>66</v>
      </c>
      <c r="F855">
        <v>28</v>
      </c>
      <c r="G855">
        <v>3.5</v>
      </c>
      <c r="H855">
        <v>3600</v>
      </c>
      <c r="I855">
        <v>0.22100973092314258</v>
      </c>
      <c r="J855">
        <v>1</v>
      </c>
    </row>
    <row r="856" spans="1:10" x14ac:dyDescent="0.3">
      <c r="A856" t="s">
        <v>968</v>
      </c>
      <c r="B856" t="s">
        <v>65</v>
      </c>
      <c r="C856">
        <v>4</v>
      </c>
      <c r="D856">
        <v>48900</v>
      </c>
      <c r="E856" t="s">
        <v>68</v>
      </c>
      <c r="F856">
        <v>67</v>
      </c>
      <c r="G856">
        <v>4.4000000000000004</v>
      </c>
      <c r="H856">
        <v>11000</v>
      </c>
      <c r="I856">
        <v>0.75467121249298608</v>
      </c>
      <c r="J856">
        <v>1</v>
      </c>
    </row>
    <row r="857" spans="1:10" x14ac:dyDescent="0.3">
      <c r="A857" t="s">
        <v>969</v>
      </c>
      <c r="B857" t="s">
        <v>64</v>
      </c>
      <c r="C857">
        <v>2</v>
      </c>
      <c r="D857">
        <v>30900</v>
      </c>
      <c r="E857" t="s">
        <v>67</v>
      </c>
      <c r="F857">
        <v>112</v>
      </c>
      <c r="G857">
        <v>8.1999999999999993</v>
      </c>
      <c r="H857">
        <v>3500</v>
      </c>
      <c r="I857">
        <v>0.19853749095682283</v>
      </c>
      <c r="J857">
        <v>1</v>
      </c>
    </row>
    <row r="858" spans="1:10" x14ac:dyDescent="0.3">
      <c r="A858" t="s">
        <v>970</v>
      </c>
      <c r="B858" t="s">
        <v>513</v>
      </c>
      <c r="C858">
        <v>6</v>
      </c>
      <c r="D858">
        <v>57500</v>
      </c>
      <c r="E858" t="s">
        <v>66</v>
      </c>
      <c r="F858">
        <v>25</v>
      </c>
      <c r="G858">
        <v>12</v>
      </c>
      <c r="H858">
        <v>3100</v>
      </c>
      <c r="I858">
        <v>0.73075152148046563</v>
      </c>
      <c r="J858">
        <v>1</v>
      </c>
    </row>
    <row r="859" spans="1:10" x14ac:dyDescent="0.3">
      <c r="A859" t="s">
        <v>971</v>
      </c>
      <c r="B859" t="s">
        <v>62</v>
      </c>
      <c r="C859">
        <v>7</v>
      </c>
      <c r="D859">
        <v>17000</v>
      </c>
      <c r="E859" t="s">
        <v>68</v>
      </c>
      <c r="F859">
        <v>32</v>
      </c>
      <c r="G859">
        <v>5.2</v>
      </c>
      <c r="H859">
        <v>4700</v>
      </c>
      <c r="I859">
        <v>0.29832650543003369</v>
      </c>
      <c r="J859">
        <v>1</v>
      </c>
    </row>
    <row r="860" spans="1:10" x14ac:dyDescent="0.3">
      <c r="A860" t="s">
        <v>972</v>
      </c>
      <c r="B860" t="s">
        <v>64</v>
      </c>
      <c r="C860">
        <v>7</v>
      </c>
      <c r="D860">
        <v>47300</v>
      </c>
      <c r="E860" t="s">
        <v>68</v>
      </c>
      <c r="F860">
        <v>39</v>
      </c>
      <c r="G860">
        <v>9.9</v>
      </c>
      <c r="H860">
        <v>7200</v>
      </c>
      <c r="I860">
        <v>0.93488152906283806</v>
      </c>
      <c r="J860">
        <v>1</v>
      </c>
    </row>
    <row r="861" spans="1:10" x14ac:dyDescent="0.3">
      <c r="A861" t="s">
        <v>973</v>
      </c>
      <c r="B861" t="s">
        <v>65</v>
      </c>
      <c r="C861">
        <v>10</v>
      </c>
      <c r="D861">
        <v>33000</v>
      </c>
      <c r="E861" t="s">
        <v>66</v>
      </c>
      <c r="F861">
        <v>50</v>
      </c>
      <c r="G861">
        <v>13.9</v>
      </c>
      <c r="H861">
        <v>8500</v>
      </c>
      <c r="I861">
        <v>0.79630948284970438</v>
      </c>
      <c r="J861">
        <v>1</v>
      </c>
    </row>
    <row r="862" spans="1:10" x14ac:dyDescent="0.3">
      <c r="A862" t="s">
        <v>974</v>
      </c>
      <c r="B862" t="s">
        <v>65</v>
      </c>
      <c r="C862">
        <v>5</v>
      </c>
      <c r="D862">
        <v>73800</v>
      </c>
      <c r="E862" t="s">
        <v>69</v>
      </c>
      <c r="F862">
        <v>27</v>
      </c>
      <c r="G862">
        <v>1.9</v>
      </c>
      <c r="H862">
        <v>10100</v>
      </c>
      <c r="I862">
        <v>0.94150997589185192</v>
      </c>
      <c r="J862">
        <v>1</v>
      </c>
    </row>
    <row r="863" spans="1:10" x14ac:dyDescent="0.3">
      <c r="A863" t="s">
        <v>975</v>
      </c>
      <c r="B863" t="s">
        <v>65</v>
      </c>
      <c r="C863">
        <v>8</v>
      </c>
      <c r="D863">
        <v>24400</v>
      </c>
      <c r="E863" t="s">
        <v>67</v>
      </c>
      <c r="F863">
        <v>49</v>
      </c>
      <c r="G863">
        <v>10.3</v>
      </c>
      <c r="H863">
        <v>16000</v>
      </c>
      <c r="I863">
        <v>0.59754649509160329</v>
      </c>
      <c r="J863">
        <v>1</v>
      </c>
    </row>
    <row r="864" spans="1:10" x14ac:dyDescent="0.3">
      <c r="A864" t="s">
        <v>976</v>
      </c>
      <c r="B864" t="s">
        <v>62</v>
      </c>
      <c r="C864">
        <v>8</v>
      </c>
      <c r="D864">
        <v>22600</v>
      </c>
      <c r="E864" t="s">
        <v>66</v>
      </c>
      <c r="F864">
        <v>37</v>
      </c>
      <c r="G864">
        <v>4.2</v>
      </c>
      <c r="H864">
        <v>7700</v>
      </c>
      <c r="I864">
        <v>0.66395571980517731</v>
      </c>
      <c r="J864">
        <v>1</v>
      </c>
    </row>
    <row r="865" spans="1:10" x14ac:dyDescent="0.3">
      <c r="A865" t="s">
        <v>977</v>
      </c>
      <c r="B865" t="s">
        <v>64</v>
      </c>
      <c r="C865">
        <v>7</v>
      </c>
      <c r="D865">
        <v>83700</v>
      </c>
      <c r="E865" t="s">
        <v>66</v>
      </c>
      <c r="F865">
        <v>40</v>
      </c>
      <c r="G865">
        <v>5.8</v>
      </c>
      <c r="H865">
        <v>8900</v>
      </c>
      <c r="I865">
        <v>0.86680706611358449</v>
      </c>
      <c r="J865">
        <v>1</v>
      </c>
    </row>
    <row r="866" spans="1:10" x14ac:dyDescent="0.3">
      <c r="A866" t="s">
        <v>978</v>
      </c>
      <c r="B866" t="s">
        <v>65</v>
      </c>
      <c r="C866">
        <v>6</v>
      </c>
      <c r="D866">
        <v>22900</v>
      </c>
      <c r="E866" t="s">
        <v>67</v>
      </c>
      <c r="F866">
        <v>95</v>
      </c>
      <c r="G866">
        <v>6.5</v>
      </c>
      <c r="H866">
        <v>3100</v>
      </c>
      <c r="I866">
        <v>0.59976066313835685</v>
      </c>
      <c r="J866">
        <v>1</v>
      </c>
    </row>
    <row r="867" spans="1:10" x14ac:dyDescent="0.3">
      <c r="A867" t="s">
        <v>979</v>
      </c>
      <c r="B867" t="s">
        <v>65</v>
      </c>
      <c r="C867">
        <v>2</v>
      </c>
      <c r="D867">
        <v>21900</v>
      </c>
      <c r="E867" t="s">
        <v>68</v>
      </c>
      <c r="F867">
        <v>74</v>
      </c>
      <c r="G867">
        <v>10.6</v>
      </c>
      <c r="H867">
        <v>2800</v>
      </c>
      <c r="I867">
        <v>0.45417631056137464</v>
      </c>
      <c r="J867">
        <v>1</v>
      </c>
    </row>
    <row r="868" spans="1:10" x14ac:dyDescent="0.3">
      <c r="A868" t="s">
        <v>980</v>
      </c>
      <c r="B868" t="s">
        <v>65</v>
      </c>
      <c r="C868">
        <v>7</v>
      </c>
      <c r="D868">
        <v>41400</v>
      </c>
      <c r="E868" t="s">
        <v>69</v>
      </c>
      <c r="F868">
        <v>44</v>
      </c>
      <c r="G868">
        <v>13.3</v>
      </c>
      <c r="H868">
        <v>11000</v>
      </c>
      <c r="I868">
        <v>0.50427758919197463</v>
      </c>
      <c r="J868">
        <v>1</v>
      </c>
    </row>
    <row r="869" spans="1:10" x14ac:dyDescent="0.3">
      <c r="A869" t="s">
        <v>981</v>
      </c>
      <c r="B869" t="s">
        <v>513</v>
      </c>
      <c r="C869">
        <v>3</v>
      </c>
      <c r="D869">
        <v>38200</v>
      </c>
      <c r="E869" t="s">
        <v>69</v>
      </c>
      <c r="F869">
        <v>15</v>
      </c>
      <c r="G869">
        <v>9.3000000000000007</v>
      </c>
      <c r="H869">
        <v>2000</v>
      </c>
      <c r="I869">
        <v>0.57842945615083552</v>
      </c>
      <c r="J869">
        <v>1</v>
      </c>
    </row>
    <row r="870" spans="1:10" x14ac:dyDescent="0.3">
      <c r="A870" t="s">
        <v>982</v>
      </c>
      <c r="B870" t="s">
        <v>513</v>
      </c>
      <c r="C870">
        <v>3</v>
      </c>
      <c r="D870">
        <v>15300</v>
      </c>
      <c r="E870" t="s">
        <v>67</v>
      </c>
      <c r="F870">
        <v>92</v>
      </c>
      <c r="G870">
        <v>11.8</v>
      </c>
      <c r="H870">
        <v>2600</v>
      </c>
      <c r="I870">
        <v>0.63755590629097403</v>
      </c>
      <c r="J870">
        <v>1</v>
      </c>
    </row>
    <row r="871" spans="1:10" x14ac:dyDescent="0.3">
      <c r="A871" t="s">
        <v>983</v>
      </c>
      <c r="B871" t="s">
        <v>62</v>
      </c>
      <c r="C871">
        <v>6</v>
      </c>
      <c r="D871">
        <v>34500</v>
      </c>
      <c r="E871" t="s">
        <v>67</v>
      </c>
      <c r="F871">
        <v>64</v>
      </c>
      <c r="G871">
        <v>3.9</v>
      </c>
      <c r="H871">
        <v>3800</v>
      </c>
      <c r="I871">
        <v>0.39643683072133518</v>
      </c>
      <c r="J871">
        <v>1</v>
      </c>
    </row>
    <row r="872" spans="1:10" x14ac:dyDescent="0.3">
      <c r="A872" t="s">
        <v>984</v>
      </c>
      <c r="B872" t="s">
        <v>65</v>
      </c>
      <c r="C872">
        <v>4</v>
      </c>
      <c r="D872">
        <v>17100</v>
      </c>
      <c r="E872" t="s">
        <v>66</v>
      </c>
      <c r="F872">
        <v>15</v>
      </c>
      <c r="G872">
        <v>6.3</v>
      </c>
      <c r="H872">
        <v>5700</v>
      </c>
      <c r="I872">
        <v>0.71489770490573001</v>
      </c>
      <c r="J872">
        <v>1</v>
      </c>
    </row>
    <row r="873" spans="1:10" x14ac:dyDescent="0.3">
      <c r="A873" t="s">
        <v>985</v>
      </c>
      <c r="B873" t="s">
        <v>513</v>
      </c>
      <c r="C873">
        <v>7</v>
      </c>
      <c r="D873">
        <v>34000</v>
      </c>
      <c r="E873" t="s">
        <v>68</v>
      </c>
      <c r="F873">
        <v>40</v>
      </c>
      <c r="G873">
        <v>8.6999999999999993</v>
      </c>
      <c r="H873">
        <v>4000</v>
      </c>
      <c r="I873">
        <v>0.7059466691879297</v>
      </c>
      <c r="J873">
        <v>1</v>
      </c>
    </row>
    <row r="874" spans="1:10" x14ac:dyDescent="0.3">
      <c r="A874" t="s">
        <v>986</v>
      </c>
      <c r="B874" t="s">
        <v>513</v>
      </c>
      <c r="C874">
        <v>6</v>
      </c>
      <c r="D874">
        <v>21100</v>
      </c>
      <c r="E874" t="s">
        <v>67</v>
      </c>
      <c r="F874">
        <v>104</v>
      </c>
      <c r="G874">
        <v>6.8</v>
      </c>
      <c r="H874">
        <v>5200</v>
      </c>
      <c r="I874">
        <v>0.43362763006291383</v>
      </c>
      <c r="J874">
        <v>1</v>
      </c>
    </row>
    <row r="875" spans="1:10" x14ac:dyDescent="0.3">
      <c r="A875" t="s">
        <v>987</v>
      </c>
      <c r="B875" t="s">
        <v>62</v>
      </c>
      <c r="C875">
        <v>3</v>
      </c>
      <c r="D875">
        <v>31600</v>
      </c>
      <c r="E875" t="s">
        <v>66</v>
      </c>
      <c r="F875">
        <v>52</v>
      </c>
      <c r="G875">
        <v>0.3</v>
      </c>
      <c r="H875">
        <v>3200</v>
      </c>
      <c r="I875">
        <v>3.1276373875318564E-2</v>
      </c>
      <c r="J875">
        <v>1</v>
      </c>
    </row>
    <row r="876" spans="1:10" x14ac:dyDescent="0.3">
      <c r="A876" t="s">
        <v>988</v>
      </c>
      <c r="B876" t="s">
        <v>62</v>
      </c>
      <c r="C876">
        <v>9</v>
      </c>
      <c r="D876">
        <v>75600</v>
      </c>
      <c r="E876" t="s">
        <v>67</v>
      </c>
      <c r="F876">
        <v>117</v>
      </c>
      <c r="G876">
        <v>2.8</v>
      </c>
      <c r="H876">
        <v>9200</v>
      </c>
      <c r="I876">
        <v>0.54762081788526995</v>
      </c>
      <c r="J876">
        <v>1</v>
      </c>
    </row>
    <row r="877" spans="1:10" x14ac:dyDescent="0.3">
      <c r="A877" t="s">
        <v>989</v>
      </c>
      <c r="B877" t="s">
        <v>65</v>
      </c>
      <c r="C877">
        <v>5</v>
      </c>
      <c r="D877">
        <v>24300</v>
      </c>
      <c r="E877" t="s">
        <v>66</v>
      </c>
      <c r="F877">
        <v>27</v>
      </c>
      <c r="G877">
        <v>9.8000000000000007</v>
      </c>
      <c r="H877">
        <v>5400</v>
      </c>
      <c r="I877">
        <v>0.83224242713087337</v>
      </c>
      <c r="J877">
        <v>1</v>
      </c>
    </row>
    <row r="878" spans="1:10" x14ac:dyDescent="0.3">
      <c r="A878" t="s">
        <v>990</v>
      </c>
      <c r="B878" t="s">
        <v>65</v>
      </c>
      <c r="C878">
        <v>9</v>
      </c>
      <c r="D878">
        <v>48100</v>
      </c>
      <c r="E878" t="s">
        <v>67</v>
      </c>
      <c r="F878">
        <v>93</v>
      </c>
      <c r="G878">
        <v>10.7</v>
      </c>
      <c r="H878">
        <v>9800</v>
      </c>
      <c r="I878">
        <v>0.28361824537302727</v>
      </c>
      <c r="J878">
        <v>1</v>
      </c>
    </row>
    <row r="879" spans="1:10" x14ac:dyDescent="0.3">
      <c r="A879" t="s">
        <v>991</v>
      </c>
      <c r="B879" t="s">
        <v>513</v>
      </c>
      <c r="C879">
        <v>2</v>
      </c>
      <c r="D879">
        <v>86400</v>
      </c>
      <c r="E879" t="s">
        <v>66</v>
      </c>
      <c r="F879">
        <v>35</v>
      </c>
      <c r="G879">
        <v>3.8</v>
      </c>
      <c r="H879">
        <v>13600</v>
      </c>
      <c r="I879">
        <v>0.18548055452673773</v>
      </c>
      <c r="J879">
        <v>1</v>
      </c>
    </row>
    <row r="880" spans="1:10" x14ac:dyDescent="0.3">
      <c r="A880" t="s">
        <v>992</v>
      </c>
      <c r="B880" t="s">
        <v>65</v>
      </c>
      <c r="C880">
        <v>8</v>
      </c>
      <c r="D880">
        <v>65000</v>
      </c>
      <c r="E880" t="s">
        <v>66</v>
      </c>
      <c r="F880">
        <v>24</v>
      </c>
      <c r="G880">
        <v>10.6</v>
      </c>
      <c r="H880">
        <v>6500</v>
      </c>
      <c r="I880">
        <v>0.21133675140909536</v>
      </c>
      <c r="J880">
        <v>1</v>
      </c>
    </row>
    <row r="881" spans="1:10" x14ac:dyDescent="0.3">
      <c r="A881" t="s">
        <v>993</v>
      </c>
      <c r="B881" t="s">
        <v>513</v>
      </c>
      <c r="C881">
        <v>6</v>
      </c>
      <c r="D881">
        <v>96400</v>
      </c>
      <c r="E881" t="s">
        <v>66</v>
      </c>
      <c r="F881">
        <v>43</v>
      </c>
      <c r="G881">
        <v>13.5</v>
      </c>
      <c r="H881">
        <v>5800</v>
      </c>
      <c r="I881">
        <v>0.93905516281572354</v>
      </c>
      <c r="J881">
        <v>1</v>
      </c>
    </row>
    <row r="882" spans="1:10" x14ac:dyDescent="0.3">
      <c r="A882" t="s">
        <v>994</v>
      </c>
      <c r="B882" t="s">
        <v>513</v>
      </c>
      <c r="C882">
        <v>6</v>
      </c>
      <c r="D882">
        <v>32700</v>
      </c>
      <c r="E882" t="s">
        <v>66</v>
      </c>
      <c r="F882">
        <v>53</v>
      </c>
      <c r="G882">
        <v>6.1</v>
      </c>
      <c r="H882">
        <v>7500</v>
      </c>
      <c r="I882">
        <v>0.92282495417651977</v>
      </c>
      <c r="J882">
        <v>1</v>
      </c>
    </row>
    <row r="883" spans="1:10" x14ac:dyDescent="0.3">
      <c r="A883" t="s">
        <v>995</v>
      </c>
      <c r="B883" t="s">
        <v>64</v>
      </c>
      <c r="C883">
        <v>3</v>
      </c>
      <c r="D883">
        <v>45400</v>
      </c>
      <c r="E883" t="s">
        <v>67</v>
      </c>
      <c r="F883">
        <v>75</v>
      </c>
      <c r="G883">
        <v>12</v>
      </c>
      <c r="H883">
        <v>2400</v>
      </c>
      <c r="I883">
        <v>0.73197928527278011</v>
      </c>
      <c r="J883">
        <v>1</v>
      </c>
    </row>
    <row r="884" spans="1:10" x14ac:dyDescent="0.3">
      <c r="A884" t="s">
        <v>996</v>
      </c>
      <c r="B884" t="s">
        <v>64</v>
      </c>
      <c r="C884">
        <v>5</v>
      </c>
      <c r="D884">
        <v>16300</v>
      </c>
      <c r="E884" t="s">
        <v>69</v>
      </c>
      <c r="F884">
        <v>57</v>
      </c>
      <c r="G884">
        <v>1.3</v>
      </c>
      <c r="H884">
        <v>9300</v>
      </c>
      <c r="I884">
        <v>0.30597774016116719</v>
      </c>
      <c r="J884">
        <v>1</v>
      </c>
    </row>
    <row r="885" spans="1:10" x14ac:dyDescent="0.3">
      <c r="A885" t="s">
        <v>997</v>
      </c>
      <c r="B885" t="s">
        <v>513</v>
      </c>
      <c r="C885">
        <v>7</v>
      </c>
      <c r="D885">
        <v>25900</v>
      </c>
      <c r="E885" t="s">
        <v>68</v>
      </c>
      <c r="F885">
        <v>75</v>
      </c>
      <c r="G885">
        <v>2.7</v>
      </c>
      <c r="H885">
        <v>6300</v>
      </c>
      <c r="I885">
        <v>0.93666085821878098</v>
      </c>
      <c r="J885">
        <v>1</v>
      </c>
    </row>
    <row r="886" spans="1:10" x14ac:dyDescent="0.3">
      <c r="A886" t="s">
        <v>998</v>
      </c>
      <c r="B886" t="s">
        <v>62</v>
      </c>
      <c r="C886">
        <v>4</v>
      </c>
      <c r="D886">
        <v>28900</v>
      </c>
      <c r="E886" t="s">
        <v>67</v>
      </c>
      <c r="F886">
        <v>105</v>
      </c>
      <c r="G886">
        <v>1.4</v>
      </c>
      <c r="H886">
        <v>2200</v>
      </c>
      <c r="I886">
        <v>0.59831256729168636</v>
      </c>
      <c r="J886">
        <v>1</v>
      </c>
    </row>
    <row r="887" spans="1:10" x14ac:dyDescent="0.3">
      <c r="A887" t="s">
        <v>999</v>
      </c>
      <c r="B887" t="s">
        <v>513</v>
      </c>
      <c r="C887">
        <v>7</v>
      </c>
      <c r="D887">
        <v>36700</v>
      </c>
      <c r="E887" t="s">
        <v>67</v>
      </c>
      <c r="F887">
        <v>76</v>
      </c>
      <c r="G887">
        <v>10.199999999999999</v>
      </c>
      <c r="H887">
        <v>7700</v>
      </c>
      <c r="I887">
        <v>0.37656725430111104</v>
      </c>
      <c r="J887">
        <v>1</v>
      </c>
    </row>
    <row r="888" spans="1:10" x14ac:dyDescent="0.3">
      <c r="A888" t="s">
        <v>1000</v>
      </c>
      <c r="B888" t="s">
        <v>513</v>
      </c>
      <c r="C888">
        <v>7</v>
      </c>
      <c r="D888">
        <v>18100</v>
      </c>
      <c r="E888" t="s">
        <v>67</v>
      </c>
      <c r="F888">
        <v>114</v>
      </c>
      <c r="G888">
        <v>11.5</v>
      </c>
      <c r="H888">
        <v>11200</v>
      </c>
      <c r="I888">
        <v>0.969019917230586</v>
      </c>
      <c r="J888">
        <v>1</v>
      </c>
    </row>
    <row r="889" spans="1:10" x14ac:dyDescent="0.3">
      <c r="A889" t="s">
        <v>1001</v>
      </c>
      <c r="B889" t="s">
        <v>62</v>
      </c>
      <c r="C889">
        <v>4</v>
      </c>
      <c r="D889">
        <v>19500</v>
      </c>
      <c r="E889" t="s">
        <v>69</v>
      </c>
      <c r="F889">
        <v>22</v>
      </c>
      <c r="G889">
        <v>8.5</v>
      </c>
      <c r="H889">
        <v>2100</v>
      </c>
      <c r="I889">
        <v>0.54503271974791478</v>
      </c>
      <c r="J889">
        <v>1</v>
      </c>
    </row>
    <row r="890" spans="1:10" x14ac:dyDescent="0.3">
      <c r="A890" t="s">
        <v>1002</v>
      </c>
      <c r="B890" t="s">
        <v>513</v>
      </c>
      <c r="C890">
        <v>9</v>
      </c>
      <c r="D890">
        <v>15300</v>
      </c>
      <c r="E890" t="s">
        <v>66</v>
      </c>
      <c r="F890">
        <v>45</v>
      </c>
      <c r="G890">
        <v>7.7</v>
      </c>
      <c r="H890">
        <v>11200</v>
      </c>
      <c r="I890">
        <v>0.23877569588658532</v>
      </c>
      <c r="J890">
        <v>1</v>
      </c>
    </row>
    <row r="891" spans="1:10" x14ac:dyDescent="0.3">
      <c r="A891" t="s">
        <v>1003</v>
      </c>
      <c r="B891" t="s">
        <v>65</v>
      </c>
      <c r="C891">
        <v>8</v>
      </c>
      <c r="D891">
        <v>31700</v>
      </c>
      <c r="E891" t="s">
        <v>68</v>
      </c>
      <c r="F891">
        <v>49</v>
      </c>
      <c r="G891">
        <v>10.199999999999999</v>
      </c>
      <c r="H891">
        <v>6500</v>
      </c>
      <c r="I891">
        <v>0.42471750808188991</v>
      </c>
      <c r="J891">
        <v>1</v>
      </c>
    </row>
    <row r="892" spans="1:10" x14ac:dyDescent="0.3">
      <c r="A892" t="s">
        <v>1004</v>
      </c>
      <c r="B892" t="s">
        <v>65</v>
      </c>
      <c r="C892">
        <v>7</v>
      </c>
      <c r="D892">
        <v>26500</v>
      </c>
      <c r="E892" t="s">
        <v>66</v>
      </c>
      <c r="F892">
        <v>45</v>
      </c>
      <c r="G892">
        <v>13.9</v>
      </c>
      <c r="H892">
        <v>4400</v>
      </c>
      <c r="I892">
        <v>0.17630289155980006</v>
      </c>
      <c r="J892">
        <v>1</v>
      </c>
    </row>
    <row r="893" spans="1:10" x14ac:dyDescent="0.3">
      <c r="A893" t="s">
        <v>1005</v>
      </c>
      <c r="B893" t="s">
        <v>62</v>
      </c>
      <c r="C893">
        <v>7</v>
      </c>
      <c r="D893">
        <v>60400</v>
      </c>
      <c r="E893" t="s">
        <v>69</v>
      </c>
      <c r="F893">
        <v>53</v>
      </c>
      <c r="G893">
        <v>8</v>
      </c>
      <c r="H893">
        <v>7100</v>
      </c>
      <c r="I893">
        <v>0.57583116350126373</v>
      </c>
      <c r="J893">
        <v>1</v>
      </c>
    </row>
    <row r="894" spans="1:10" x14ac:dyDescent="0.3">
      <c r="A894" t="s">
        <v>1006</v>
      </c>
      <c r="B894" t="s">
        <v>64</v>
      </c>
      <c r="C894">
        <v>8</v>
      </c>
      <c r="D894">
        <v>34700</v>
      </c>
      <c r="E894" t="s">
        <v>68</v>
      </c>
      <c r="F894">
        <v>51</v>
      </c>
      <c r="G894">
        <v>8.1</v>
      </c>
      <c r="H894">
        <v>8700</v>
      </c>
      <c r="I894">
        <v>4.2588913923957694E-2</v>
      </c>
      <c r="J894">
        <v>1</v>
      </c>
    </row>
    <row r="895" spans="1:10" x14ac:dyDescent="0.3">
      <c r="A895" t="s">
        <v>1007</v>
      </c>
      <c r="B895" t="s">
        <v>513</v>
      </c>
      <c r="C895">
        <v>7</v>
      </c>
      <c r="D895">
        <v>27400</v>
      </c>
      <c r="E895" t="s">
        <v>68</v>
      </c>
      <c r="F895">
        <v>24</v>
      </c>
      <c r="G895">
        <v>7.8</v>
      </c>
      <c r="H895">
        <v>5900</v>
      </c>
      <c r="I895">
        <v>0.77994865297121363</v>
      </c>
      <c r="J895">
        <v>1</v>
      </c>
    </row>
    <row r="896" spans="1:10" x14ac:dyDescent="0.3">
      <c r="A896" t="s">
        <v>1008</v>
      </c>
      <c r="B896" t="s">
        <v>65</v>
      </c>
      <c r="C896">
        <v>4</v>
      </c>
      <c r="D896">
        <v>29300</v>
      </c>
      <c r="E896" t="s">
        <v>67</v>
      </c>
      <c r="F896">
        <v>87</v>
      </c>
      <c r="G896">
        <v>11.2</v>
      </c>
      <c r="H896">
        <v>7300</v>
      </c>
      <c r="I896">
        <v>0.59033801964583321</v>
      </c>
      <c r="J896">
        <v>1</v>
      </c>
    </row>
    <row r="897" spans="1:10" x14ac:dyDescent="0.3">
      <c r="A897" t="s">
        <v>1009</v>
      </c>
      <c r="B897" t="s">
        <v>64</v>
      </c>
      <c r="C897">
        <v>8</v>
      </c>
      <c r="D897">
        <v>95700</v>
      </c>
      <c r="E897" t="s">
        <v>69</v>
      </c>
      <c r="F897">
        <v>27</v>
      </c>
      <c r="G897">
        <v>9.4</v>
      </c>
      <c r="H897">
        <v>6400</v>
      </c>
      <c r="I897">
        <v>0.45424673520967596</v>
      </c>
      <c r="J897">
        <v>1</v>
      </c>
    </row>
    <row r="898" spans="1:10" x14ac:dyDescent="0.3">
      <c r="A898" t="s">
        <v>1010</v>
      </c>
      <c r="B898" t="s">
        <v>64</v>
      </c>
      <c r="C898">
        <v>7</v>
      </c>
      <c r="D898">
        <v>60700</v>
      </c>
      <c r="E898" t="s">
        <v>68</v>
      </c>
      <c r="F898">
        <v>45</v>
      </c>
      <c r="G898">
        <v>8.5</v>
      </c>
      <c r="H898">
        <v>9700</v>
      </c>
      <c r="I898">
        <v>0.64373672072424282</v>
      </c>
      <c r="J898">
        <v>1</v>
      </c>
    </row>
    <row r="899" spans="1:10" x14ac:dyDescent="0.3">
      <c r="A899" t="s">
        <v>1011</v>
      </c>
      <c r="B899" t="s">
        <v>513</v>
      </c>
      <c r="C899">
        <v>3</v>
      </c>
      <c r="D899">
        <v>46500</v>
      </c>
      <c r="E899" t="s">
        <v>67</v>
      </c>
      <c r="F899">
        <v>107</v>
      </c>
      <c r="G899">
        <v>2.6</v>
      </c>
      <c r="H899">
        <v>10300</v>
      </c>
      <c r="I899">
        <v>0.5531291075464505</v>
      </c>
      <c r="J899">
        <v>1</v>
      </c>
    </row>
    <row r="900" spans="1:10" x14ac:dyDescent="0.3">
      <c r="A900" t="s">
        <v>1012</v>
      </c>
      <c r="B900" t="s">
        <v>64</v>
      </c>
      <c r="C900">
        <v>7</v>
      </c>
      <c r="D900">
        <v>22700</v>
      </c>
      <c r="E900" t="s">
        <v>67</v>
      </c>
      <c r="F900">
        <v>78</v>
      </c>
      <c r="G900">
        <v>2</v>
      </c>
      <c r="H900">
        <v>2600</v>
      </c>
      <c r="I900">
        <v>0.2484238544865941</v>
      </c>
      <c r="J900">
        <v>1</v>
      </c>
    </row>
    <row r="901" spans="1:10" x14ac:dyDescent="0.3">
      <c r="A901" t="s">
        <v>1013</v>
      </c>
      <c r="B901" t="s">
        <v>62</v>
      </c>
      <c r="C901">
        <v>8</v>
      </c>
      <c r="D901">
        <v>20600</v>
      </c>
      <c r="E901" t="s">
        <v>69</v>
      </c>
      <c r="F901">
        <v>49</v>
      </c>
      <c r="G901">
        <v>5.5</v>
      </c>
      <c r="H901">
        <v>2200</v>
      </c>
      <c r="I901">
        <v>0.75697557296696427</v>
      </c>
      <c r="J901">
        <v>1</v>
      </c>
    </row>
    <row r="902" spans="1:10" x14ac:dyDescent="0.3">
      <c r="A902" t="s">
        <v>1014</v>
      </c>
      <c r="B902" t="s">
        <v>65</v>
      </c>
      <c r="C902">
        <v>6</v>
      </c>
      <c r="D902">
        <v>18900</v>
      </c>
      <c r="E902" t="s">
        <v>67</v>
      </c>
      <c r="F902">
        <v>62</v>
      </c>
      <c r="G902">
        <v>6.9</v>
      </c>
      <c r="H902">
        <v>7400</v>
      </c>
      <c r="I902">
        <v>0.41551085410887789</v>
      </c>
      <c r="J902">
        <v>1</v>
      </c>
    </row>
    <row r="903" spans="1:10" x14ac:dyDescent="0.3">
      <c r="A903" t="s">
        <v>1015</v>
      </c>
      <c r="B903" t="s">
        <v>64</v>
      </c>
      <c r="C903">
        <v>3</v>
      </c>
      <c r="D903">
        <v>12500</v>
      </c>
      <c r="E903" t="s">
        <v>67</v>
      </c>
      <c r="F903">
        <v>102</v>
      </c>
      <c r="G903">
        <v>11</v>
      </c>
      <c r="H903">
        <v>2100</v>
      </c>
      <c r="I903">
        <v>0.4471412519890885</v>
      </c>
      <c r="J903">
        <v>1</v>
      </c>
    </row>
    <row r="904" spans="1:10" x14ac:dyDescent="0.3">
      <c r="A904" t="s">
        <v>1016</v>
      </c>
      <c r="B904" t="s">
        <v>64</v>
      </c>
      <c r="C904">
        <v>6</v>
      </c>
      <c r="D904">
        <v>18800</v>
      </c>
      <c r="E904" t="s">
        <v>67</v>
      </c>
      <c r="F904">
        <v>119</v>
      </c>
      <c r="G904">
        <v>0.6</v>
      </c>
      <c r="H904">
        <v>2500</v>
      </c>
      <c r="I904">
        <v>0.75966868598053117</v>
      </c>
      <c r="J904">
        <v>1</v>
      </c>
    </row>
    <row r="905" spans="1:10" x14ac:dyDescent="0.3">
      <c r="A905" t="s">
        <v>1017</v>
      </c>
      <c r="B905" t="s">
        <v>65</v>
      </c>
      <c r="C905">
        <v>3</v>
      </c>
      <c r="D905">
        <v>67400</v>
      </c>
      <c r="E905" t="s">
        <v>69</v>
      </c>
      <c r="F905">
        <v>37</v>
      </c>
      <c r="G905">
        <v>8.1</v>
      </c>
      <c r="H905">
        <v>9000</v>
      </c>
      <c r="I905">
        <v>0.72686418426724175</v>
      </c>
      <c r="J905">
        <v>1</v>
      </c>
    </row>
    <row r="906" spans="1:10" x14ac:dyDescent="0.3">
      <c r="A906" t="s">
        <v>1018</v>
      </c>
      <c r="B906" t="s">
        <v>513</v>
      </c>
      <c r="C906">
        <v>7</v>
      </c>
      <c r="D906">
        <v>47900</v>
      </c>
      <c r="E906" t="s">
        <v>67</v>
      </c>
      <c r="F906">
        <v>96</v>
      </c>
      <c r="G906">
        <v>13.1</v>
      </c>
      <c r="H906">
        <v>10900</v>
      </c>
      <c r="I906">
        <v>0.22000039191621168</v>
      </c>
      <c r="J906">
        <v>1</v>
      </c>
    </row>
    <row r="907" spans="1:10" x14ac:dyDescent="0.3">
      <c r="A907" t="s">
        <v>1019</v>
      </c>
      <c r="B907" t="s">
        <v>513</v>
      </c>
      <c r="C907">
        <v>10</v>
      </c>
      <c r="D907">
        <v>33200</v>
      </c>
      <c r="E907" t="s">
        <v>67</v>
      </c>
      <c r="F907">
        <v>58</v>
      </c>
      <c r="G907">
        <v>3.4</v>
      </c>
      <c r="H907">
        <v>2800</v>
      </c>
      <c r="I907">
        <v>0.57138652017308433</v>
      </c>
      <c r="J907">
        <v>1</v>
      </c>
    </row>
    <row r="908" spans="1:10" x14ac:dyDescent="0.3">
      <c r="A908" t="s">
        <v>1020</v>
      </c>
      <c r="B908" t="s">
        <v>62</v>
      </c>
      <c r="C908">
        <v>6</v>
      </c>
      <c r="D908">
        <v>14700</v>
      </c>
      <c r="E908" t="s">
        <v>68</v>
      </c>
      <c r="F908">
        <v>48</v>
      </c>
      <c r="G908">
        <v>7.8</v>
      </c>
      <c r="H908">
        <v>3900</v>
      </c>
      <c r="I908">
        <v>0.73652298291119822</v>
      </c>
      <c r="J908">
        <v>1</v>
      </c>
    </row>
    <row r="909" spans="1:10" x14ac:dyDescent="0.3">
      <c r="A909" t="s">
        <v>1021</v>
      </c>
      <c r="B909" t="s">
        <v>62</v>
      </c>
      <c r="C909">
        <v>4</v>
      </c>
      <c r="D909">
        <v>29700</v>
      </c>
      <c r="E909" t="s">
        <v>69</v>
      </c>
      <c r="F909">
        <v>28</v>
      </c>
      <c r="G909">
        <v>7.1</v>
      </c>
      <c r="H909">
        <v>6300</v>
      </c>
      <c r="I909">
        <v>2.9632949260232411E-2</v>
      </c>
      <c r="J909">
        <v>1</v>
      </c>
    </row>
    <row r="910" spans="1:10" x14ac:dyDescent="0.3">
      <c r="A910" t="s">
        <v>1022</v>
      </c>
      <c r="B910" t="s">
        <v>62</v>
      </c>
      <c r="C910">
        <v>5</v>
      </c>
      <c r="D910">
        <v>30100</v>
      </c>
      <c r="E910" t="s">
        <v>69</v>
      </c>
      <c r="F910">
        <v>41</v>
      </c>
      <c r="G910">
        <v>5.7</v>
      </c>
      <c r="H910">
        <v>1600</v>
      </c>
      <c r="I910">
        <v>0.86841617539775851</v>
      </c>
      <c r="J910">
        <v>1</v>
      </c>
    </row>
    <row r="911" spans="1:10" x14ac:dyDescent="0.3">
      <c r="A911" t="s">
        <v>1023</v>
      </c>
      <c r="B911" t="s">
        <v>62</v>
      </c>
      <c r="C911">
        <v>2</v>
      </c>
      <c r="D911">
        <v>24600</v>
      </c>
      <c r="E911" t="s">
        <v>68</v>
      </c>
      <c r="F911">
        <v>26</v>
      </c>
      <c r="G911">
        <v>3.6</v>
      </c>
      <c r="H911">
        <v>4500</v>
      </c>
      <c r="I911">
        <v>0.43034012852685199</v>
      </c>
      <c r="J911">
        <v>1</v>
      </c>
    </row>
    <row r="912" spans="1:10" x14ac:dyDescent="0.3">
      <c r="A912" t="s">
        <v>1024</v>
      </c>
      <c r="B912" t="s">
        <v>513</v>
      </c>
      <c r="C912">
        <v>2</v>
      </c>
      <c r="D912">
        <v>25300</v>
      </c>
      <c r="E912" t="s">
        <v>66</v>
      </c>
      <c r="F912">
        <v>50</v>
      </c>
      <c r="G912">
        <v>11.7</v>
      </c>
      <c r="H912">
        <v>5400</v>
      </c>
      <c r="I912">
        <v>0.64274589516132929</v>
      </c>
      <c r="J912">
        <v>1</v>
      </c>
    </row>
    <row r="913" spans="1:10" x14ac:dyDescent="0.3">
      <c r="A913" t="s">
        <v>1025</v>
      </c>
      <c r="B913" t="s">
        <v>65</v>
      </c>
      <c r="C913">
        <v>5</v>
      </c>
      <c r="D913">
        <v>27200</v>
      </c>
      <c r="E913" t="s">
        <v>67</v>
      </c>
      <c r="F913">
        <v>61</v>
      </c>
      <c r="G913">
        <v>2.2999999999999998</v>
      </c>
      <c r="H913">
        <v>2500</v>
      </c>
      <c r="I913">
        <v>0.89213164922748944</v>
      </c>
      <c r="J913">
        <v>1</v>
      </c>
    </row>
    <row r="914" spans="1:10" x14ac:dyDescent="0.3">
      <c r="A914" t="s">
        <v>1026</v>
      </c>
      <c r="B914" t="s">
        <v>65</v>
      </c>
      <c r="C914">
        <v>5</v>
      </c>
      <c r="D914">
        <v>9900</v>
      </c>
      <c r="E914" t="s">
        <v>68</v>
      </c>
      <c r="F914">
        <v>60</v>
      </c>
      <c r="G914">
        <v>2.6</v>
      </c>
      <c r="H914">
        <v>0</v>
      </c>
      <c r="I914">
        <v>0.35816123855302462</v>
      </c>
      <c r="J914">
        <v>1</v>
      </c>
    </row>
    <row r="915" spans="1:10" x14ac:dyDescent="0.3">
      <c r="A915" t="s">
        <v>1027</v>
      </c>
      <c r="B915" t="s">
        <v>65</v>
      </c>
      <c r="C915">
        <v>3</v>
      </c>
      <c r="D915">
        <v>18100</v>
      </c>
      <c r="E915" t="s">
        <v>67</v>
      </c>
      <c r="F915">
        <v>99</v>
      </c>
      <c r="G915">
        <v>7.3</v>
      </c>
      <c r="H915">
        <v>4100</v>
      </c>
      <c r="I915">
        <v>0.86550667323829411</v>
      </c>
      <c r="J915">
        <v>1</v>
      </c>
    </row>
    <row r="916" spans="1:10" x14ac:dyDescent="0.3">
      <c r="A916" t="s">
        <v>1028</v>
      </c>
      <c r="B916" t="s">
        <v>513</v>
      </c>
      <c r="C916">
        <v>6</v>
      </c>
      <c r="D916">
        <v>68700</v>
      </c>
      <c r="E916" t="s">
        <v>69</v>
      </c>
      <c r="F916">
        <v>22</v>
      </c>
      <c r="G916">
        <v>9.1</v>
      </c>
      <c r="H916">
        <v>9500</v>
      </c>
      <c r="I916">
        <v>0.8880798228562754</v>
      </c>
      <c r="J916">
        <v>1</v>
      </c>
    </row>
    <row r="917" spans="1:10" x14ac:dyDescent="0.3">
      <c r="A917" t="s">
        <v>1029</v>
      </c>
      <c r="B917" t="s">
        <v>513</v>
      </c>
      <c r="C917">
        <v>4</v>
      </c>
      <c r="D917">
        <v>77700</v>
      </c>
      <c r="E917" t="s">
        <v>68</v>
      </c>
      <c r="F917">
        <v>24</v>
      </c>
      <c r="G917">
        <v>3.1</v>
      </c>
      <c r="H917">
        <v>0</v>
      </c>
      <c r="I917">
        <v>0.11163780602522133</v>
      </c>
      <c r="J917">
        <v>1</v>
      </c>
    </row>
    <row r="918" spans="1:10" x14ac:dyDescent="0.3">
      <c r="A918" t="s">
        <v>1030</v>
      </c>
      <c r="B918" t="s">
        <v>64</v>
      </c>
      <c r="C918">
        <v>9</v>
      </c>
      <c r="D918">
        <v>51500</v>
      </c>
      <c r="E918" t="s">
        <v>67</v>
      </c>
      <c r="F918">
        <v>120</v>
      </c>
      <c r="G918">
        <v>2.5</v>
      </c>
      <c r="H918">
        <v>5800</v>
      </c>
      <c r="I918">
        <v>0.10702271500170057</v>
      </c>
      <c r="J918">
        <v>1</v>
      </c>
    </row>
    <row r="919" spans="1:10" x14ac:dyDescent="0.3">
      <c r="A919" t="s">
        <v>1031</v>
      </c>
      <c r="B919" t="s">
        <v>513</v>
      </c>
      <c r="C919">
        <v>5</v>
      </c>
      <c r="D919">
        <v>51000</v>
      </c>
      <c r="E919" t="s">
        <v>67</v>
      </c>
      <c r="F919">
        <v>97</v>
      </c>
      <c r="G919">
        <v>11</v>
      </c>
      <c r="H919">
        <v>4100</v>
      </c>
      <c r="I919">
        <v>0.24778399332960321</v>
      </c>
      <c r="J919">
        <v>1</v>
      </c>
    </row>
    <row r="920" spans="1:10" x14ac:dyDescent="0.3">
      <c r="A920" t="s">
        <v>1032</v>
      </c>
      <c r="B920" t="s">
        <v>65</v>
      </c>
      <c r="C920">
        <v>8</v>
      </c>
      <c r="D920">
        <v>15700</v>
      </c>
      <c r="E920" t="s">
        <v>66</v>
      </c>
      <c r="F920">
        <v>15</v>
      </c>
      <c r="G920">
        <v>6.5</v>
      </c>
      <c r="H920">
        <v>1500</v>
      </c>
      <c r="I920">
        <v>0.47816670142211182</v>
      </c>
      <c r="J920">
        <v>1</v>
      </c>
    </row>
    <row r="921" spans="1:10" x14ac:dyDescent="0.3">
      <c r="A921" t="s">
        <v>1033</v>
      </c>
      <c r="B921" t="s">
        <v>65</v>
      </c>
      <c r="C921">
        <v>4</v>
      </c>
      <c r="D921">
        <v>28400</v>
      </c>
      <c r="E921" t="s">
        <v>68</v>
      </c>
      <c r="F921">
        <v>53</v>
      </c>
      <c r="G921">
        <v>12.7</v>
      </c>
      <c r="H921">
        <v>2300</v>
      </c>
      <c r="I921">
        <v>0.64152557346852412</v>
      </c>
      <c r="J921">
        <v>1</v>
      </c>
    </row>
    <row r="922" spans="1:10" x14ac:dyDescent="0.3">
      <c r="A922" t="s">
        <v>1034</v>
      </c>
      <c r="B922" t="s">
        <v>513</v>
      </c>
      <c r="C922">
        <v>6</v>
      </c>
      <c r="D922">
        <v>22500</v>
      </c>
      <c r="E922" t="s">
        <v>68</v>
      </c>
      <c r="F922">
        <v>42</v>
      </c>
      <c r="G922">
        <v>3</v>
      </c>
      <c r="H922">
        <v>4300</v>
      </c>
      <c r="I922">
        <v>0.1091308318367914</v>
      </c>
      <c r="J922">
        <v>1</v>
      </c>
    </row>
    <row r="923" spans="1:10" x14ac:dyDescent="0.3">
      <c r="A923" t="s">
        <v>1035</v>
      </c>
      <c r="B923" t="s">
        <v>62</v>
      </c>
      <c r="C923">
        <v>3</v>
      </c>
      <c r="D923">
        <v>17600</v>
      </c>
      <c r="E923" t="s">
        <v>66</v>
      </c>
      <c r="F923">
        <v>53</v>
      </c>
      <c r="G923">
        <v>8.6999999999999993</v>
      </c>
      <c r="H923">
        <v>6300</v>
      </c>
      <c r="I923">
        <v>0.89054692758994203</v>
      </c>
      <c r="J923">
        <v>1</v>
      </c>
    </row>
    <row r="924" spans="1:10" x14ac:dyDescent="0.3">
      <c r="A924" t="s">
        <v>1036</v>
      </c>
      <c r="B924" t="s">
        <v>62</v>
      </c>
      <c r="C924">
        <v>5</v>
      </c>
      <c r="D924">
        <v>13400</v>
      </c>
      <c r="E924" t="s">
        <v>67</v>
      </c>
      <c r="F924">
        <v>88</v>
      </c>
      <c r="G924">
        <v>4.5</v>
      </c>
      <c r="H924">
        <v>3300</v>
      </c>
      <c r="I924">
        <v>0.30777777321277866</v>
      </c>
      <c r="J924">
        <v>1</v>
      </c>
    </row>
    <row r="925" spans="1:10" x14ac:dyDescent="0.3">
      <c r="A925" t="s">
        <v>1037</v>
      </c>
      <c r="B925" t="s">
        <v>65</v>
      </c>
      <c r="C925">
        <v>6</v>
      </c>
      <c r="D925">
        <v>21200</v>
      </c>
      <c r="E925" t="s">
        <v>69</v>
      </c>
      <c r="F925">
        <v>22</v>
      </c>
      <c r="G925">
        <v>12.8</v>
      </c>
      <c r="H925">
        <v>4400</v>
      </c>
      <c r="I925">
        <v>0.37371342795397933</v>
      </c>
      <c r="J925">
        <v>1</v>
      </c>
    </row>
    <row r="926" spans="1:10" x14ac:dyDescent="0.3">
      <c r="A926" t="s">
        <v>1038</v>
      </c>
      <c r="B926" t="s">
        <v>64</v>
      </c>
      <c r="C926">
        <v>3</v>
      </c>
      <c r="D926">
        <v>25000</v>
      </c>
      <c r="E926" t="s">
        <v>68</v>
      </c>
      <c r="F926">
        <v>54</v>
      </c>
      <c r="G926">
        <v>10</v>
      </c>
      <c r="H926">
        <v>9400</v>
      </c>
      <c r="I926">
        <v>0.24679434878843753</v>
      </c>
      <c r="J926">
        <v>1</v>
      </c>
    </row>
    <row r="927" spans="1:10" x14ac:dyDescent="0.3">
      <c r="A927" t="s">
        <v>1039</v>
      </c>
      <c r="B927" t="s">
        <v>513</v>
      </c>
      <c r="C927">
        <v>6</v>
      </c>
      <c r="D927">
        <v>24800</v>
      </c>
      <c r="E927" t="s">
        <v>68</v>
      </c>
      <c r="F927">
        <v>75</v>
      </c>
      <c r="G927">
        <v>2.5</v>
      </c>
      <c r="H927">
        <v>8000</v>
      </c>
      <c r="I927">
        <v>0.74700745622299192</v>
      </c>
      <c r="J927">
        <v>1</v>
      </c>
    </row>
    <row r="928" spans="1:10" x14ac:dyDescent="0.3">
      <c r="A928" t="s">
        <v>1040</v>
      </c>
      <c r="B928" t="s">
        <v>513</v>
      </c>
      <c r="C928">
        <v>3</v>
      </c>
      <c r="D928">
        <v>40000</v>
      </c>
      <c r="E928" t="s">
        <v>67</v>
      </c>
      <c r="F928">
        <v>54</v>
      </c>
      <c r="G928">
        <v>4.7</v>
      </c>
      <c r="H928">
        <v>2100</v>
      </c>
      <c r="I928">
        <v>6.11705959586617E-2</v>
      </c>
      <c r="J928">
        <v>1</v>
      </c>
    </row>
    <row r="929" spans="1:10" x14ac:dyDescent="0.3">
      <c r="A929" t="s">
        <v>1041</v>
      </c>
      <c r="B929" t="s">
        <v>65</v>
      </c>
      <c r="C929">
        <v>6</v>
      </c>
      <c r="D929">
        <v>27200</v>
      </c>
      <c r="E929" t="s">
        <v>68</v>
      </c>
      <c r="F929">
        <v>42</v>
      </c>
      <c r="G929">
        <v>5</v>
      </c>
      <c r="H929">
        <v>9600</v>
      </c>
      <c r="I929">
        <v>0.3993477936277352</v>
      </c>
      <c r="J929">
        <v>1</v>
      </c>
    </row>
    <row r="930" spans="1:10" x14ac:dyDescent="0.3">
      <c r="A930" t="s">
        <v>1042</v>
      </c>
      <c r="B930" t="s">
        <v>65</v>
      </c>
      <c r="C930">
        <v>3</v>
      </c>
      <c r="D930">
        <v>29900</v>
      </c>
      <c r="E930" t="s">
        <v>68</v>
      </c>
      <c r="F930">
        <v>48</v>
      </c>
      <c r="G930">
        <v>12.8</v>
      </c>
      <c r="H930">
        <v>11900</v>
      </c>
      <c r="I930">
        <v>0.95573384507954318</v>
      </c>
      <c r="J930">
        <v>1</v>
      </c>
    </row>
    <row r="931" spans="1:10" x14ac:dyDescent="0.3">
      <c r="A931" t="s">
        <v>1043</v>
      </c>
      <c r="B931" t="s">
        <v>513</v>
      </c>
      <c r="C931">
        <v>6</v>
      </c>
      <c r="D931">
        <v>73800</v>
      </c>
      <c r="E931" t="s">
        <v>68</v>
      </c>
      <c r="F931">
        <v>54</v>
      </c>
      <c r="G931">
        <v>7.1</v>
      </c>
      <c r="H931">
        <v>5600</v>
      </c>
      <c r="I931">
        <v>0.5433028528213798</v>
      </c>
      <c r="J931">
        <v>1</v>
      </c>
    </row>
    <row r="932" spans="1:10" x14ac:dyDescent="0.3">
      <c r="A932" t="s">
        <v>1044</v>
      </c>
      <c r="B932" t="s">
        <v>65</v>
      </c>
      <c r="C932">
        <v>2</v>
      </c>
      <c r="D932">
        <v>38200</v>
      </c>
      <c r="E932" t="s">
        <v>68</v>
      </c>
      <c r="F932">
        <v>69</v>
      </c>
      <c r="G932">
        <v>4.5999999999999996</v>
      </c>
      <c r="H932">
        <v>6400</v>
      </c>
      <c r="I932">
        <v>0.48920423191260975</v>
      </c>
      <c r="J932">
        <v>1</v>
      </c>
    </row>
    <row r="933" spans="1:10" x14ac:dyDescent="0.3">
      <c r="A933" t="s">
        <v>1045</v>
      </c>
      <c r="B933" t="s">
        <v>513</v>
      </c>
      <c r="C933">
        <v>9</v>
      </c>
      <c r="D933">
        <v>70000</v>
      </c>
      <c r="E933" t="s">
        <v>67</v>
      </c>
      <c r="F933">
        <v>105</v>
      </c>
      <c r="G933">
        <v>9.6</v>
      </c>
      <c r="H933">
        <v>8500</v>
      </c>
      <c r="I933">
        <v>0.6389736451709892</v>
      </c>
      <c r="J933">
        <v>1</v>
      </c>
    </row>
    <row r="934" spans="1:10" x14ac:dyDescent="0.3">
      <c r="A934" t="s">
        <v>1046</v>
      </c>
      <c r="B934" t="s">
        <v>62</v>
      </c>
      <c r="C934">
        <v>5</v>
      </c>
      <c r="D934">
        <v>24500</v>
      </c>
      <c r="E934" t="s">
        <v>66</v>
      </c>
      <c r="F934">
        <v>47</v>
      </c>
      <c r="G934">
        <v>1.2</v>
      </c>
      <c r="H934">
        <v>16300</v>
      </c>
      <c r="I934">
        <v>0.95010763916548924</v>
      </c>
      <c r="J934">
        <v>1</v>
      </c>
    </row>
    <row r="935" spans="1:10" x14ac:dyDescent="0.3">
      <c r="A935" t="s">
        <v>1047</v>
      </c>
      <c r="B935" t="s">
        <v>64</v>
      </c>
      <c r="C935">
        <v>8</v>
      </c>
      <c r="D935">
        <v>39600</v>
      </c>
      <c r="E935" t="s">
        <v>66</v>
      </c>
      <c r="F935">
        <v>67</v>
      </c>
      <c r="G935">
        <v>2.7</v>
      </c>
      <c r="H935">
        <v>11000</v>
      </c>
      <c r="I935">
        <v>0.57255629164709643</v>
      </c>
      <c r="J935">
        <v>1</v>
      </c>
    </row>
    <row r="936" spans="1:10" x14ac:dyDescent="0.3">
      <c r="A936" t="s">
        <v>1048</v>
      </c>
      <c r="B936" t="s">
        <v>62</v>
      </c>
      <c r="C936">
        <v>5</v>
      </c>
      <c r="D936">
        <v>109700</v>
      </c>
      <c r="E936" t="s">
        <v>68</v>
      </c>
      <c r="F936">
        <v>66</v>
      </c>
      <c r="G936">
        <v>4.3</v>
      </c>
      <c r="H936">
        <v>8200</v>
      </c>
      <c r="I936">
        <v>0.52183178236869732</v>
      </c>
      <c r="J936">
        <v>1</v>
      </c>
    </row>
    <row r="937" spans="1:10" x14ac:dyDescent="0.3">
      <c r="A937" t="s">
        <v>1049</v>
      </c>
      <c r="B937" t="s">
        <v>62</v>
      </c>
      <c r="C937">
        <v>9</v>
      </c>
      <c r="D937">
        <v>30700</v>
      </c>
      <c r="E937" t="s">
        <v>66</v>
      </c>
      <c r="F937">
        <v>41</v>
      </c>
      <c r="G937">
        <v>4.7</v>
      </c>
      <c r="H937">
        <v>3900</v>
      </c>
      <c r="I937">
        <v>0.12085869538152949</v>
      </c>
      <c r="J937">
        <v>1</v>
      </c>
    </row>
    <row r="938" spans="1:10" x14ac:dyDescent="0.3">
      <c r="A938" t="s">
        <v>1050</v>
      </c>
      <c r="B938" t="s">
        <v>62</v>
      </c>
      <c r="C938">
        <v>6</v>
      </c>
      <c r="D938">
        <v>29200</v>
      </c>
      <c r="E938" t="s">
        <v>69</v>
      </c>
      <c r="F938">
        <v>58</v>
      </c>
      <c r="G938">
        <v>8</v>
      </c>
      <c r="H938">
        <v>10900</v>
      </c>
      <c r="I938">
        <v>0.10487644650532613</v>
      </c>
      <c r="J938">
        <v>1</v>
      </c>
    </row>
    <row r="939" spans="1:10" x14ac:dyDescent="0.3">
      <c r="A939" t="s">
        <v>1051</v>
      </c>
      <c r="B939" t="s">
        <v>513</v>
      </c>
      <c r="C939">
        <v>1</v>
      </c>
      <c r="D939">
        <v>24800</v>
      </c>
      <c r="E939" t="s">
        <v>67</v>
      </c>
      <c r="F939">
        <v>109</v>
      </c>
      <c r="G939">
        <v>5.9</v>
      </c>
      <c r="H939">
        <v>8100</v>
      </c>
      <c r="I939">
        <v>0.83870986951103232</v>
      </c>
      <c r="J939">
        <v>1</v>
      </c>
    </row>
    <row r="940" spans="1:10" x14ac:dyDescent="0.3">
      <c r="A940" t="s">
        <v>1052</v>
      </c>
      <c r="B940" t="s">
        <v>513</v>
      </c>
      <c r="C940">
        <v>3</v>
      </c>
      <c r="D940">
        <v>39100</v>
      </c>
      <c r="E940" t="s">
        <v>67</v>
      </c>
      <c r="F940">
        <v>72</v>
      </c>
      <c r="G940">
        <v>8.9</v>
      </c>
      <c r="H940">
        <v>5700</v>
      </c>
      <c r="I940">
        <v>0.33229976990444443</v>
      </c>
      <c r="J940">
        <v>1</v>
      </c>
    </row>
    <row r="941" spans="1:10" x14ac:dyDescent="0.3">
      <c r="A941" t="s">
        <v>1053</v>
      </c>
      <c r="B941" t="s">
        <v>62</v>
      </c>
      <c r="C941">
        <v>9</v>
      </c>
      <c r="D941">
        <v>44400</v>
      </c>
      <c r="E941" t="s">
        <v>69</v>
      </c>
      <c r="F941">
        <v>53</v>
      </c>
      <c r="G941">
        <v>2.9</v>
      </c>
      <c r="H941">
        <v>0</v>
      </c>
      <c r="I941">
        <v>0.11400503372024917</v>
      </c>
      <c r="J941">
        <v>1</v>
      </c>
    </row>
    <row r="942" spans="1:10" x14ac:dyDescent="0.3">
      <c r="A942" t="s">
        <v>1054</v>
      </c>
      <c r="B942" t="s">
        <v>62</v>
      </c>
      <c r="C942">
        <v>6</v>
      </c>
      <c r="D942">
        <v>20000</v>
      </c>
      <c r="E942" t="s">
        <v>67</v>
      </c>
      <c r="F942">
        <v>106</v>
      </c>
      <c r="G942">
        <v>6</v>
      </c>
      <c r="H942">
        <v>8100</v>
      </c>
      <c r="I942">
        <v>0.9476230989698281</v>
      </c>
      <c r="J942">
        <v>1</v>
      </c>
    </row>
    <row r="943" spans="1:10" x14ac:dyDescent="0.3">
      <c r="A943" t="s">
        <v>1055</v>
      </c>
      <c r="B943" t="s">
        <v>62</v>
      </c>
      <c r="C943">
        <v>10</v>
      </c>
      <c r="D943">
        <v>35500</v>
      </c>
      <c r="E943" t="s">
        <v>66</v>
      </c>
      <c r="F943">
        <v>66</v>
      </c>
      <c r="G943">
        <v>6.9</v>
      </c>
      <c r="H943">
        <v>4700</v>
      </c>
      <c r="I943">
        <v>0.95640266083425385</v>
      </c>
      <c r="J943">
        <v>1</v>
      </c>
    </row>
    <row r="944" spans="1:10" x14ac:dyDescent="0.3">
      <c r="A944" t="s">
        <v>1056</v>
      </c>
      <c r="B944" t="s">
        <v>65</v>
      </c>
      <c r="C944">
        <v>4</v>
      </c>
      <c r="D944">
        <v>24600</v>
      </c>
      <c r="E944" t="s">
        <v>67</v>
      </c>
      <c r="F944">
        <v>78</v>
      </c>
      <c r="G944">
        <v>13.6</v>
      </c>
      <c r="H944">
        <v>8400</v>
      </c>
      <c r="I944">
        <v>0.63175697062414227</v>
      </c>
      <c r="J944">
        <v>1</v>
      </c>
    </row>
    <row r="945" spans="1:10" x14ac:dyDescent="0.3">
      <c r="A945" t="s">
        <v>1057</v>
      </c>
      <c r="B945" t="s">
        <v>62</v>
      </c>
      <c r="C945">
        <v>5</v>
      </c>
      <c r="D945">
        <v>36000</v>
      </c>
      <c r="E945" t="s">
        <v>66</v>
      </c>
      <c r="F945">
        <v>21</v>
      </c>
      <c r="G945">
        <v>4.5</v>
      </c>
      <c r="H945">
        <v>7600</v>
      </c>
      <c r="I945">
        <v>0.27997270437886634</v>
      </c>
      <c r="J945">
        <v>1</v>
      </c>
    </row>
    <row r="946" spans="1:10" x14ac:dyDescent="0.3">
      <c r="A946" t="s">
        <v>1058</v>
      </c>
      <c r="B946" t="s">
        <v>64</v>
      </c>
      <c r="C946">
        <v>5</v>
      </c>
      <c r="D946">
        <v>31200</v>
      </c>
      <c r="E946" t="s">
        <v>66</v>
      </c>
      <c r="F946">
        <v>49</v>
      </c>
      <c r="G946">
        <v>1.1000000000000001</v>
      </c>
      <c r="H946">
        <v>0</v>
      </c>
      <c r="I946">
        <v>0.95434481177493646</v>
      </c>
      <c r="J946">
        <v>1</v>
      </c>
    </row>
    <row r="947" spans="1:10" x14ac:dyDescent="0.3">
      <c r="A947" t="s">
        <v>1059</v>
      </c>
      <c r="B947" t="s">
        <v>65</v>
      </c>
      <c r="C947">
        <v>5</v>
      </c>
      <c r="D947">
        <v>98000</v>
      </c>
      <c r="E947" t="s">
        <v>69</v>
      </c>
      <c r="F947">
        <v>11</v>
      </c>
      <c r="G947">
        <v>5.2</v>
      </c>
      <c r="H947">
        <v>3100</v>
      </c>
      <c r="I947">
        <v>0.97497749410287982</v>
      </c>
      <c r="J947">
        <v>1</v>
      </c>
    </row>
    <row r="948" spans="1:10" x14ac:dyDescent="0.3">
      <c r="A948" t="s">
        <v>1060</v>
      </c>
      <c r="B948" t="s">
        <v>62</v>
      </c>
      <c r="C948">
        <v>5</v>
      </c>
      <c r="D948">
        <v>48900</v>
      </c>
      <c r="E948" t="s">
        <v>66</v>
      </c>
      <c r="F948">
        <v>52</v>
      </c>
      <c r="G948">
        <v>0.8</v>
      </c>
      <c r="H948">
        <v>0</v>
      </c>
      <c r="I948">
        <v>0.37694521959346816</v>
      </c>
      <c r="J948">
        <v>1</v>
      </c>
    </row>
    <row r="949" spans="1:10" x14ac:dyDescent="0.3">
      <c r="A949" t="s">
        <v>1061</v>
      </c>
      <c r="B949" t="s">
        <v>65</v>
      </c>
      <c r="C949">
        <v>10</v>
      </c>
      <c r="D949">
        <v>58300</v>
      </c>
      <c r="E949" t="s">
        <v>67</v>
      </c>
      <c r="F949">
        <v>50</v>
      </c>
      <c r="G949">
        <v>5.7</v>
      </c>
      <c r="H949">
        <v>4800</v>
      </c>
      <c r="I949">
        <v>0.56821783900301714</v>
      </c>
      <c r="J949">
        <v>1</v>
      </c>
    </row>
    <row r="950" spans="1:10" x14ac:dyDescent="0.3">
      <c r="A950" t="s">
        <v>1062</v>
      </c>
      <c r="B950" t="s">
        <v>62</v>
      </c>
      <c r="C950">
        <v>4</v>
      </c>
      <c r="D950">
        <v>42900</v>
      </c>
      <c r="E950" t="s">
        <v>68</v>
      </c>
      <c r="F950">
        <v>64</v>
      </c>
      <c r="G950">
        <v>3.6</v>
      </c>
      <c r="H950">
        <v>5800</v>
      </c>
      <c r="I950">
        <v>0.38568730407567564</v>
      </c>
      <c r="J950">
        <v>1</v>
      </c>
    </row>
    <row r="951" spans="1:10" x14ac:dyDescent="0.3">
      <c r="A951" t="s">
        <v>1063</v>
      </c>
      <c r="B951" t="s">
        <v>62</v>
      </c>
      <c r="C951">
        <v>6</v>
      </c>
      <c r="D951">
        <v>80400</v>
      </c>
      <c r="E951" t="s">
        <v>68</v>
      </c>
      <c r="F951">
        <v>35</v>
      </c>
      <c r="G951">
        <v>7.8</v>
      </c>
      <c r="H951">
        <v>7900</v>
      </c>
      <c r="I951">
        <v>0.81218978450302315</v>
      </c>
      <c r="J951">
        <v>1</v>
      </c>
    </row>
    <row r="952" spans="1:10" x14ac:dyDescent="0.3">
      <c r="A952" t="s">
        <v>1064</v>
      </c>
      <c r="B952" t="s">
        <v>65</v>
      </c>
      <c r="C952">
        <v>9</v>
      </c>
      <c r="D952">
        <v>26600</v>
      </c>
      <c r="E952" t="s">
        <v>69</v>
      </c>
      <c r="F952">
        <v>45</v>
      </c>
      <c r="G952">
        <v>6.3</v>
      </c>
      <c r="H952">
        <v>3700</v>
      </c>
      <c r="I952">
        <v>0.75737758943318845</v>
      </c>
      <c r="J952">
        <v>1</v>
      </c>
    </row>
    <row r="953" spans="1:10" x14ac:dyDescent="0.3">
      <c r="A953" t="s">
        <v>1065</v>
      </c>
      <c r="B953" t="s">
        <v>65</v>
      </c>
      <c r="C953">
        <v>6</v>
      </c>
      <c r="D953">
        <v>45000</v>
      </c>
      <c r="E953" t="s">
        <v>67</v>
      </c>
      <c r="F953">
        <v>100</v>
      </c>
      <c r="G953">
        <v>2.7</v>
      </c>
      <c r="H953">
        <v>6600</v>
      </c>
      <c r="I953">
        <v>0.82506417526520492</v>
      </c>
      <c r="J953">
        <v>1</v>
      </c>
    </row>
    <row r="954" spans="1:10" x14ac:dyDescent="0.3">
      <c r="A954" t="s">
        <v>1066</v>
      </c>
      <c r="B954" t="s">
        <v>65</v>
      </c>
      <c r="C954">
        <v>5</v>
      </c>
      <c r="D954">
        <v>73300</v>
      </c>
      <c r="E954" t="s">
        <v>67</v>
      </c>
      <c r="F954">
        <v>118</v>
      </c>
      <c r="G954">
        <v>8.9</v>
      </c>
      <c r="H954">
        <v>8100</v>
      </c>
      <c r="I954">
        <v>0.93368889466549643</v>
      </c>
      <c r="J954">
        <v>1</v>
      </c>
    </row>
    <row r="955" spans="1:10" x14ac:dyDescent="0.3">
      <c r="A955" t="s">
        <v>1067</v>
      </c>
      <c r="B955" t="s">
        <v>64</v>
      </c>
      <c r="C955">
        <v>3</v>
      </c>
      <c r="D955">
        <v>8400</v>
      </c>
      <c r="E955" t="s">
        <v>67</v>
      </c>
      <c r="F955">
        <v>64</v>
      </c>
      <c r="G955">
        <v>5.7</v>
      </c>
      <c r="H955">
        <v>3300</v>
      </c>
      <c r="I955">
        <v>7.7066399874010427E-2</v>
      </c>
      <c r="J955">
        <v>1</v>
      </c>
    </row>
    <row r="956" spans="1:10" x14ac:dyDescent="0.3">
      <c r="A956" t="s">
        <v>1068</v>
      </c>
      <c r="B956" t="s">
        <v>64</v>
      </c>
      <c r="C956">
        <v>6</v>
      </c>
      <c r="D956">
        <v>32500</v>
      </c>
      <c r="E956" t="s">
        <v>69</v>
      </c>
      <c r="F956">
        <v>12</v>
      </c>
      <c r="G956">
        <v>10.8</v>
      </c>
      <c r="H956">
        <v>3900</v>
      </c>
      <c r="I956">
        <v>0.8343249726010511</v>
      </c>
      <c r="J956">
        <v>1</v>
      </c>
    </row>
    <row r="957" spans="1:10" x14ac:dyDescent="0.3">
      <c r="A957" t="s">
        <v>1069</v>
      </c>
      <c r="B957" t="s">
        <v>62</v>
      </c>
      <c r="C957">
        <v>8</v>
      </c>
      <c r="D957">
        <v>48700</v>
      </c>
      <c r="E957" t="s">
        <v>69</v>
      </c>
      <c r="F957">
        <v>13</v>
      </c>
      <c r="G957">
        <v>1.1000000000000001</v>
      </c>
      <c r="H957">
        <v>6600</v>
      </c>
      <c r="I957">
        <v>2.5850842774795435E-2</v>
      </c>
      <c r="J957">
        <v>1</v>
      </c>
    </row>
    <row r="958" spans="1:10" x14ac:dyDescent="0.3">
      <c r="A958" t="s">
        <v>1070</v>
      </c>
      <c r="B958" t="s">
        <v>513</v>
      </c>
      <c r="C958">
        <v>7</v>
      </c>
      <c r="D958">
        <v>27200</v>
      </c>
      <c r="E958" t="s">
        <v>66</v>
      </c>
      <c r="F958">
        <v>43</v>
      </c>
      <c r="G958">
        <v>10.7</v>
      </c>
      <c r="H958">
        <v>10900</v>
      </c>
      <c r="I958">
        <v>0.38731808840470539</v>
      </c>
      <c r="J958">
        <v>1</v>
      </c>
    </row>
    <row r="959" spans="1:10" x14ac:dyDescent="0.3">
      <c r="A959" t="s">
        <v>1071</v>
      </c>
      <c r="B959" t="s">
        <v>65</v>
      </c>
      <c r="C959">
        <v>6</v>
      </c>
      <c r="D959">
        <v>54700</v>
      </c>
      <c r="E959" t="s">
        <v>66</v>
      </c>
      <c r="F959">
        <v>32</v>
      </c>
      <c r="G959">
        <v>3.3</v>
      </c>
      <c r="H959">
        <v>4000</v>
      </c>
      <c r="I959">
        <v>0.66593564739023603</v>
      </c>
      <c r="J959">
        <v>1</v>
      </c>
    </row>
    <row r="960" spans="1:10" x14ac:dyDescent="0.3">
      <c r="A960" t="s">
        <v>1072</v>
      </c>
      <c r="B960" t="s">
        <v>513</v>
      </c>
      <c r="C960">
        <v>1</v>
      </c>
      <c r="D960">
        <v>37700</v>
      </c>
      <c r="E960" t="s">
        <v>66</v>
      </c>
      <c r="F960">
        <v>15</v>
      </c>
      <c r="G960">
        <v>14</v>
      </c>
      <c r="H960">
        <v>8900</v>
      </c>
      <c r="I960">
        <v>0.12078900209260812</v>
      </c>
      <c r="J960">
        <v>1</v>
      </c>
    </row>
    <row r="961" spans="1:10" x14ac:dyDescent="0.3">
      <c r="A961" t="s">
        <v>1073</v>
      </c>
      <c r="B961" t="s">
        <v>513</v>
      </c>
      <c r="C961">
        <v>6</v>
      </c>
      <c r="D961">
        <v>77800</v>
      </c>
      <c r="E961" t="s">
        <v>66</v>
      </c>
      <c r="F961">
        <v>24</v>
      </c>
      <c r="G961">
        <v>10.8</v>
      </c>
      <c r="H961">
        <v>6400</v>
      </c>
      <c r="I961">
        <v>0.83693008082150944</v>
      </c>
      <c r="J961">
        <v>1</v>
      </c>
    </row>
    <row r="962" spans="1:10" x14ac:dyDescent="0.3">
      <c r="A962" t="s">
        <v>1074</v>
      </c>
      <c r="B962" t="s">
        <v>65</v>
      </c>
      <c r="C962">
        <v>10</v>
      </c>
      <c r="D962">
        <v>48200</v>
      </c>
      <c r="E962" t="s">
        <v>66</v>
      </c>
      <c r="F962">
        <v>56</v>
      </c>
      <c r="G962">
        <v>3.4</v>
      </c>
      <c r="H962">
        <v>14400</v>
      </c>
      <c r="I962">
        <v>0.83740692517862636</v>
      </c>
      <c r="J962">
        <v>1</v>
      </c>
    </row>
    <row r="963" spans="1:10" x14ac:dyDescent="0.3">
      <c r="A963" t="s">
        <v>1075</v>
      </c>
      <c r="B963" t="s">
        <v>513</v>
      </c>
      <c r="C963">
        <v>8</v>
      </c>
      <c r="D963">
        <v>19400</v>
      </c>
      <c r="E963" t="s">
        <v>66</v>
      </c>
      <c r="F963">
        <v>66</v>
      </c>
      <c r="G963">
        <v>14</v>
      </c>
      <c r="H963">
        <v>4200</v>
      </c>
      <c r="I963">
        <v>0.68484572107005948</v>
      </c>
      <c r="J963">
        <v>1</v>
      </c>
    </row>
    <row r="964" spans="1:10" x14ac:dyDescent="0.3">
      <c r="A964" t="s">
        <v>1076</v>
      </c>
      <c r="B964" t="s">
        <v>64</v>
      </c>
      <c r="C964">
        <v>2</v>
      </c>
      <c r="D964">
        <v>36300</v>
      </c>
      <c r="E964" t="s">
        <v>66</v>
      </c>
      <c r="F964">
        <v>28</v>
      </c>
      <c r="G964">
        <v>3.1</v>
      </c>
      <c r="H964">
        <v>100</v>
      </c>
      <c r="I964">
        <v>0.3875765483182867</v>
      </c>
      <c r="J964">
        <v>1</v>
      </c>
    </row>
    <row r="965" spans="1:10" x14ac:dyDescent="0.3">
      <c r="A965" t="s">
        <v>1077</v>
      </c>
      <c r="B965" t="s">
        <v>62</v>
      </c>
      <c r="C965">
        <v>9</v>
      </c>
      <c r="D965">
        <v>27000</v>
      </c>
      <c r="E965" t="s">
        <v>68</v>
      </c>
      <c r="F965">
        <v>36</v>
      </c>
      <c r="G965">
        <v>1.1000000000000001</v>
      </c>
      <c r="H965">
        <v>6000</v>
      </c>
      <c r="I965">
        <v>0.15532576813933441</v>
      </c>
      <c r="J965">
        <v>1</v>
      </c>
    </row>
    <row r="966" spans="1:10" x14ac:dyDescent="0.3">
      <c r="A966" t="s">
        <v>1078</v>
      </c>
      <c r="B966" t="s">
        <v>513</v>
      </c>
      <c r="C966">
        <v>9</v>
      </c>
      <c r="D966">
        <v>104700</v>
      </c>
      <c r="E966" t="s">
        <v>68</v>
      </c>
      <c r="F966">
        <v>40</v>
      </c>
      <c r="G966">
        <v>7.9</v>
      </c>
      <c r="H966">
        <v>12200</v>
      </c>
      <c r="I966">
        <v>0.41596482453842643</v>
      </c>
      <c r="J966">
        <v>1</v>
      </c>
    </row>
    <row r="967" spans="1:10" x14ac:dyDescent="0.3">
      <c r="A967" t="s">
        <v>1079</v>
      </c>
      <c r="B967" t="s">
        <v>62</v>
      </c>
      <c r="C967">
        <v>9</v>
      </c>
      <c r="D967">
        <v>61600</v>
      </c>
      <c r="E967" t="s">
        <v>69</v>
      </c>
      <c r="F967">
        <v>37</v>
      </c>
      <c r="G967">
        <v>8.4</v>
      </c>
      <c r="H967">
        <v>11200</v>
      </c>
      <c r="I967">
        <v>0.16154963765957187</v>
      </c>
      <c r="J967">
        <v>1</v>
      </c>
    </row>
    <row r="968" spans="1:10" x14ac:dyDescent="0.3">
      <c r="A968" t="s">
        <v>1080</v>
      </c>
      <c r="B968" t="s">
        <v>65</v>
      </c>
      <c r="C968">
        <v>6</v>
      </c>
      <c r="D968">
        <v>58600</v>
      </c>
      <c r="E968" t="s">
        <v>67</v>
      </c>
      <c r="F968">
        <v>100</v>
      </c>
      <c r="G968">
        <v>8.6999999999999993</v>
      </c>
      <c r="H968">
        <v>7500</v>
      </c>
      <c r="I968">
        <v>0.62248694091223478</v>
      </c>
      <c r="J968">
        <v>1</v>
      </c>
    </row>
    <row r="969" spans="1:10" x14ac:dyDescent="0.3">
      <c r="A969" t="s">
        <v>1081</v>
      </c>
      <c r="B969" t="s">
        <v>62</v>
      </c>
      <c r="C969">
        <v>4</v>
      </c>
      <c r="D969">
        <v>17300</v>
      </c>
      <c r="E969" t="s">
        <v>68</v>
      </c>
      <c r="F969">
        <v>75</v>
      </c>
      <c r="G969">
        <v>3.7</v>
      </c>
      <c r="H969">
        <v>7400</v>
      </c>
      <c r="I969">
        <v>5.4607619955852504E-2</v>
      </c>
      <c r="J969">
        <v>1</v>
      </c>
    </row>
    <row r="970" spans="1:10" x14ac:dyDescent="0.3">
      <c r="A970" t="s">
        <v>1082</v>
      </c>
      <c r="B970" t="s">
        <v>64</v>
      </c>
      <c r="C970">
        <v>3</v>
      </c>
      <c r="D970">
        <v>42300</v>
      </c>
      <c r="E970" t="s">
        <v>66</v>
      </c>
      <c r="F970">
        <v>55</v>
      </c>
      <c r="G970">
        <v>2.8</v>
      </c>
      <c r="H970">
        <v>1500</v>
      </c>
      <c r="I970">
        <v>0.9051642943614443</v>
      </c>
      <c r="J970">
        <v>1</v>
      </c>
    </row>
    <row r="971" spans="1:10" x14ac:dyDescent="0.3">
      <c r="A971" t="s">
        <v>1083</v>
      </c>
      <c r="B971" t="s">
        <v>62</v>
      </c>
      <c r="C971">
        <v>6</v>
      </c>
      <c r="D971">
        <v>82800</v>
      </c>
      <c r="E971" t="s">
        <v>66</v>
      </c>
      <c r="F971">
        <v>54</v>
      </c>
      <c r="G971">
        <v>5.8</v>
      </c>
      <c r="H971">
        <v>8000</v>
      </c>
      <c r="I971">
        <v>0.58338255405861816</v>
      </c>
      <c r="J971">
        <v>1</v>
      </c>
    </row>
    <row r="972" spans="1:10" x14ac:dyDescent="0.3">
      <c r="A972" t="s">
        <v>1084</v>
      </c>
      <c r="B972" t="s">
        <v>513</v>
      </c>
      <c r="C972">
        <v>5</v>
      </c>
      <c r="D972">
        <v>85900</v>
      </c>
      <c r="E972" t="s">
        <v>67</v>
      </c>
      <c r="F972">
        <v>89</v>
      </c>
      <c r="G972">
        <v>13.7</v>
      </c>
      <c r="H972">
        <v>0</v>
      </c>
      <c r="I972">
        <v>0.29062649492683035</v>
      </c>
      <c r="J972">
        <v>1</v>
      </c>
    </row>
    <row r="973" spans="1:10" x14ac:dyDescent="0.3">
      <c r="A973" t="s">
        <v>1085</v>
      </c>
      <c r="B973" t="s">
        <v>62</v>
      </c>
      <c r="C973">
        <v>7</v>
      </c>
      <c r="D973">
        <v>21900</v>
      </c>
      <c r="E973" t="s">
        <v>69</v>
      </c>
      <c r="F973">
        <v>28</v>
      </c>
      <c r="G973">
        <v>1.2</v>
      </c>
      <c r="H973">
        <v>8600</v>
      </c>
      <c r="I973">
        <v>0.23805843918325043</v>
      </c>
      <c r="J973">
        <v>1</v>
      </c>
    </row>
    <row r="974" spans="1:10" x14ac:dyDescent="0.3">
      <c r="A974" t="s">
        <v>1086</v>
      </c>
      <c r="B974" t="s">
        <v>65</v>
      </c>
      <c r="C974">
        <v>4</v>
      </c>
      <c r="D974">
        <v>27500</v>
      </c>
      <c r="E974" t="s">
        <v>67</v>
      </c>
      <c r="F974">
        <v>71</v>
      </c>
      <c r="G974">
        <v>0.5</v>
      </c>
      <c r="H974">
        <v>9300</v>
      </c>
      <c r="I974">
        <v>0.95293928052133348</v>
      </c>
      <c r="J974">
        <v>1</v>
      </c>
    </row>
    <row r="975" spans="1:10" x14ac:dyDescent="0.3">
      <c r="A975" t="s">
        <v>1087</v>
      </c>
      <c r="B975" t="s">
        <v>513</v>
      </c>
      <c r="C975">
        <v>4</v>
      </c>
      <c r="D975">
        <v>31200</v>
      </c>
      <c r="E975" t="s">
        <v>66</v>
      </c>
      <c r="F975">
        <v>33</v>
      </c>
      <c r="G975">
        <v>5.9</v>
      </c>
      <c r="H975">
        <v>7500</v>
      </c>
      <c r="I975">
        <v>0.58113763340745728</v>
      </c>
      <c r="J975">
        <v>1</v>
      </c>
    </row>
    <row r="976" spans="1:10" x14ac:dyDescent="0.3">
      <c r="A976" t="s">
        <v>1088</v>
      </c>
      <c r="B976" t="s">
        <v>65</v>
      </c>
      <c r="C976">
        <v>8</v>
      </c>
      <c r="D976">
        <v>45300</v>
      </c>
      <c r="E976" t="s">
        <v>68</v>
      </c>
      <c r="F976">
        <v>53</v>
      </c>
      <c r="G976">
        <v>11.6</v>
      </c>
      <c r="H976">
        <v>4200</v>
      </c>
      <c r="I976">
        <v>0.34867532393978873</v>
      </c>
      <c r="J976">
        <v>1</v>
      </c>
    </row>
    <row r="977" spans="1:10" x14ac:dyDescent="0.3">
      <c r="A977" t="s">
        <v>1089</v>
      </c>
      <c r="B977" t="s">
        <v>65</v>
      </c>
      <c r="C977">
        <v>3</v>
      </c>
      <c r="D977">
        <v>43900</v>
      </c>
      <c r="E977" t="s">
        <v>68</v>
      </c>
      <c r="F977">
        <v>75</v>
      </c>
      <c r="G977">
        <v>3.5</v>
      </c>
      <c r="H977">
        <v>8200</v>
      </c>
      <c r="I977">
        <v>0.65784437960264697</v>
      </c>
      <c r="J977">
        <v>1</v>
      </c>
    </row>
    <row r="978" spans="1:10" x14ac:dyDescent="0.3">
      <c r="A978" t="s">
        <v>1090</v>
      </c>
      <c r="B978" t="s">
        <v>62</v>
      </c>
      <c r="C978">
        <v>3</v>
      </c>
      <c r="D978">
        <v>29100</v>
      </c>
      <c r="E978" t="s">
        <v>66</v>
      </c>
      <c r="F978">
        <v>21</v>
      </c>
      <c r="G978">
        <v>0.8</v>
      </c>
      <c r="H978">
        <v>6300</v>
      </c>
      <c r="I978">
        <v>0.40057570461690173</v>
      </c>
      <c r="J978">
        <v>1</v>
      </c>
    </row>
    <row r="979" spans="1:10" x14ac:dyDescent="0.3">
      <c r="A979" t="s">
        <v>1091</v>
      </c>
      <c r="B979" t="s">
        <v>513</v>
      </c>
      <c r="C979">
        <v>8</v>
      </c>
      <c r="D979">
        <v>48900</v>
      </c>
      <c r="E979" t="s">
        <v>67</v>
      </c>
      <c r="F979">
        <v>105</v>
      </c>
      <c r="G979">
        <v>6</v>
      </c>
      <c r="H979">
        <v>10400</v>
      </c>
      <c r="I979">
        <v>0.32370757250386983</v>
      </c>
      <c r="J979">
        <v>1</v>
      </c>
    </row>
    <row r="980" spans="1:10" x14ac:dyDescent="0.3">
      <c r="A980" t="s">
        <v>1092</v>
      </c>
      <c r="B980" t="s">
        <v>64</v>
      </c>
      <c r="C980">
        <v>6</v>
      </c>
      <c r="D980">
        <v>26700</v>
      </c>
      <c r="E980" t="s">
        <v>66</v>
      </c>
      <c r="F980">
        <v>41</v>
      </c>
      <c r="G980">
        <v>0.9</v>
      </c>
      <c r="H980">
        <v>2500</v>
      </c>
      <c r="I980">
        <v>0.3206240306355429</v>
      </c>
      <c r="J980">
        <v>1</v>
      </c>
    </row>
    <row r="981" spans="1:10" x14ac:dyDescent="0.3">
      <c r="A981" t="s">
        <v>1093</v>
      </c>
      <c r="B981" t="s">
        <v>65</v>
      </c>
      <c r="C981">
        <v>2</v>
      </c>
      <c r="D981">
        <v>71300</v>
      </c>
      <c r="E981" t="s">
        <v>69</v>
      </c>
      <c r="F981">
        <v>32</v>
      </c>
      <c r="G981">
        <v>8.8000000000000007</v>
      </c>
      <c r="H981">
        <v>4800</v>
      </c>
      <c r="I981">
        <v>0.95963423429501893</v>
      </c>
      <c r="J981">
        <v>1</v>
      </c>
    </row>
    <row r="982" spans="1:10" x14ac:dyDescent="0.3">
      <c r="A982" t="s">
        <v>1094</v>
      </c>
      <c r="B982" t="s">
        <v>513</v>
      </c>
      <c r="C982">
        <v>8</v>
      </c>
      <c r="D982">
        <v>38900</v>
      </c>
      <c r="E982" t="s">
        <v>67</v>
      </c>
      <c r="F982">
        <v>77</v>
      </c>
      <c r="G982">
        <v>1.7</v>
      </c>
      <c r="H982">
        <v>2900</v>
      </c>
      <c r="I982">
        <v>0.29451988152454478</v>
      </c>
      <c r="J982">
        <v>1</v>
      </c>
    </row>
    <row r="983" spans="1:10" x14ac:dyDescent="0.3">
      <c r="A983" t="s">
        <v>1095</v>
      </c>
      <c r="B983" t="s">
        <v>64</v>
      </c>
      <c r="C983">
        <v>6</v>
      </c>
      <c r="D983">
        <v>58300</v>
      </c>
      <c r="E983" t="s">
        <v>68</v>
      </c>
      <c r="F983">
        <v>41</v>
      </c>
      <c r="G983">
        <v>1.1000000000000001</v>
      </c>
      <c r="H983">
        <v>8800</v>
      </c>
      <c r="I983">
        <v>0.52802846084038091</v>
      </c>
      <c r="J983">
        <v>1</v>
      </c>
    </row>
    <row r="984" spans="1:10" x14ac:dyDescent="0.3">
      <c r="A984" t="s">
        <v>1096</v>
      </c>
      <c r="B984" t="s">
        <v>513</v>
      </c>
      <c r="C984">
        <v>4</v>
      </c>
      <c r="D984">
        <v>24500</v>
      </c>
      <c r="E984" t="s">
        <v>67</v>
      </c>
      <c r="F984">
        <v>80</v>
      </c>
      <c r="G984">
        <v>9.8000000000000007</v>
      </c>
      <c r="H984">
        <v>900</v>
      </c>
      <c r="I984">
        <v>7.294646472747901E-2</v>
      </c>
      <c r="J984">
        <v>1</v>
      </c>
    </row>
    <row r="985" spans="1:10" x14ac:dyDescent="0.3">
      <c r="A985" t="s">
        <v>1097</v>
      </c>
      <c r="B985" t="s">
        <v>64</v>
      </c>
      <c r="C985">
        <v>6</v>
      </c>
      <c r="D985">
        <v>28600</v>
      </c>
      <c r="E985" t="s">
        <v>67</v>
      </c>
      <c r="F985">
        <v>93</v>
      </c>
      <c r="G985">
        <v>10.3</v>
      </c>
      <c r="H985">
        <v>12200</v>
      </c>
      <c r="I985">
        <v>0.90640976644937998</v>
      </c>
      <c r="J985">
        <v>1</v>
      </c>
    </row>
    <row r="986" spans="1:10" x14ac:dyDescent="0.3">
      <c r="A986" t="s">
        <v>1098</v>
      </c>
      <c r="B986" t="s">
        <v>513</v>
      </c>
      <c r="C986">
        <v>6</v>
      </c>
      <c r="D986">
        <v>11000</v>
      </c>
      <c r="E986" t="s">
        <v>67</v>
      </c>
      <c r="F986">
        <v>95</v>
      </c>
      <c r="G986">
        <v>13</v>
      </c>
      <c r="H986">
        <v>5200</v>
      </c>
      <c r="I986">
        <v>0.64830427235370014</v>
      </c>
      <c r="J986">
        <v>1</v>
      </c>
    </row>
    <row r="987" spans="1:10" x14ac:dyDescent="0.3">
      <c r="A987" t="s">
        <v>1099</v>
      </c>
      <c r="B987" t="s">
        <v>62</v>
      </c>
      <c r="C987">
        <v>5</v>
      </c>
      <c r="D987">
        <v>22700</v>
      </c>
      <c r="E987" t="s">
        <v>66</v>
      </c>
      <c r="F987">
        <v>53</v>
      </c>
      <c r="G987">
        <v>9.9</v>
      </c>
      <c r="H987">
        <v>9700</v>
      </c>
      <c r="I987">
        <v>0.7614461537788082</v>
      </c>
      <c r="J987">
        <v>1</v>
      </c>
    </row>
    <row r="988" spans="1:10" x14ac:dyDescent="0.3">
      <c r="A988" t="s">
        <v>1100</v>
      </c>
      <c r="B988" t="s">
        <v>513</v>
      </c>
      <c r="C988">
        <v>6</v>
      </c>
      <c r="D988">
        <v>64600</v>
      </c>
      <c r="E988" t="s">
        <v>69</v>
      </c>
      <c r="F988">
        <v>28</v>
      </c>
      <c r="G988">
        <v>5.6</v>
      </c>
      <c r="H988">
        <v>1900</v>
      </c>
      <c r="I988">
        <v>0.99554721091673692</v>
      </c>
      <c r="J988">
        <v>1</v>
      </c>
    </row>
    <row r="989" spans="1:10" x14ac:dyDescent="0.3">
      <c r="A989" t="s">
        <v>1101</v>
      </c>
      <c r="B989" t="s">
        <v>65</v>
      </c>
      <c r="C989">
        <v>3</v>
      </c>
      <c r="D989">
        <v>23200</v>
      </c>
      <c r="E989" t="s">
        <v>67</v>
      </c>
      <c r="F989">
        <v>57</v>
      </c>
      <c r="G989">
        <v>12.8</v>
      </c>
      <c r="H989">
        <v>4300</v>
      </c>
      <c r="I989">
        <v>0.4684820358674705</v>
      </c>
      <c r="J989">
        <v>1</v>
      </c>
    </row>
    <row r="990" spans="1:10" x14ac:dyDescent="0.3">
      <c r="A990" t="s">
        <v>1102</v>
      </c>
      <c r="B990" t="s">
        <v>513</v>
      </c>
      <c r="C990">
        <v>10</v>
      </c>
      <c r="D990">
        <v>28400</v>
      </c>
      <c r="E990" t="s">
        <v>67</v>
      </c>
      <c r="F990">
        <v>97</v>
      </c>
      <c r="G990">
        <v>1.4</v>
      </c>
      <c r="H990">
        <v>8500</v>
      </c>
      <c r="I990">
        <v>0.11595105587101795</v>
      </c>
      <c r="J990">
        <v>1</v>
      </c>
    </row>
    <row r="991" spans="1:10" x14ac:dyDescent="0.3">
      <c r="A991" t="s">
        <v>1103</v>
      </c>
      <c r="B991" t="s">
        <v>513</v>
      </c>
      <c r="C991">
        <v>8</v>
      </c>
      <c r="D991">
        <v>25400</v>
      </c>
      <c r="E991" t="s">
        <v>66</v>
      </c>
      <c r="F991">
        <v>70</v>
      </c>
      <c r="G991">
        <v>8.5</v>
      </c>
      <c r="H991">
        <v>6700</v>
      </c>
      <c r="I991">
        <v>0.16122851322694776</v>
      </c>
      <c r="J991">
        <v>1</v>
      </c>
    </row>
    <row r="992" spans="1:10" x14ac:dyDescent="0.3">
      <c r="A992" t="s">
        <v>1104</v>
      </c>
      <c r="B992" t="s">
        <v>65</v>
      </c>
      <c r="C992">
        <v>3</v>
      </c>
      <c r="D992">
        <v>25900</v>
      </c>
      <c r="E992" t="s">
        <v>67</v>
      </c>
      <c r="F992">
        <v>56</v>
      </c>
      <c r="G992">
        <v>12.6</v>
      </c>
      <c r="H992">
        <v>8400</v>
      </c>
      <c r="I992">
        <v>0.11083542531379409</v>
      </c>
      <c r="J992">
        <v>1</v>
      </c>
    </row>
    <row r="993" spans="1:10" x14ac:dyDescent="0.3">
      <c r="A993" t="s">
        <v>1105</v>
      </c>
      <c r="B993" t="s">
        <v>513</v>
      </c>
      <c r="C993">
        <v>6</v>
      </c>
      <c r="D993">
        <v>22300</v>
      </c>
      <c r="E993" t="s">
        <v>67</v>
      </c>
      <c r="F993">
        <v>59</v>
      </c>
      <c r="G993">
        <v>14.5</v>
      </c>
      <c r="H993">
        <v>4400</v>
      </c>
      <c r="I993">
        <v>0.68150944903280131</v>
      </c>
      <c r="J993">
        <v>1</v>
      </c>
    </row>
    <row r="994" spans="1:10" x14ac:dyDescent="0.3">
      <c r="A994" t="s">
        <v>1106</v>
      </c>
      <c r="B994" t="s">
        <v>62</v>
      </c>
      <c r="C994">
        <v>5</v>
      </c>
      <c r="D994">
        <v>37800</v>
      </c>
      <c r="E994" t="s">
        <v>69</v>
      </c>
      <c r="F994">
        <v>27</v>
      </c>
      <c r="G994">
        <v>8.1</v>
      </c>
      <c r="H994">
        <v>6200</v>
      </c>
      <c r="I994">
        <v>6.8140407381832913E-2</v>
      </c>
      <c r="J994">
        <v>1</v>
      </c>
    </row>
    <row r="995" spans="1:10" x14ac:dyDescent="0.3">
      <c r="A995" t="s">
        <v>1107</v>
      </c>
      <c r="B995" t="s">
        <v>64</v>
      </c>
      <c r="C995">
        <v>5</v>
      </c>
      <c r="D995">
        <v>30700</v>
      </c>
      <c r="E995" t="s">
        <v>69</v>
      </c>
      <c r="F995">
        <v>16</v>
      </c>
      <c r="G995">
        <v>2.9</v>
      </c>
      <c r="H995">
        <v>7800</v>
      </c>
      <c r="I995">
        <v>0.83893060175208189</v>
      </c>
      <c r="J995">
        <v>1</v>
      </c>
    </row>
    <row r="996" spans="1:10" x14ac:dyDescent="0.3">
      <c r="A996" t="s">
        <v>1108</v>
      </c>
      <c r="B996" t="s">
        <v>64</v>
      </c>
      <c r="C996">
        <v>7</v>
      </c>
      <c r="D996">
        <v>34100</v>
      </c>
      <c r="E996" t="s">
        <v>66</v>
      </c>
      <c r="F996">
        <v>55</v>
      </c>
      <c r="G996">
        <v>8.6999999999999993</v>
      </c>
      <c r="H996">
        <v>9000</v>
      </c>
      <c r="I996">
        <v>0.61705704307202092</v>
      </c>
      <c r="J996">
        <v>1</v>
      </c>
    </row>
    <row r="997" spans="1:10" x14ac:dyDescent="0.3">
      <c r="A997" t="s">
        <v>1109</v>
      </c>
      <c r="B997" t="s">
        <v>513</v>
      </c>
      <c r="C997">
        <v>8</v>
      </c>
      <c r="D997">
        <v>23700</v>
      </c>
      <c r="E997" t="s">
        <v>66</v>
      </c>
      <c r="F997">
        <v>63</v>
      </c>
      <c r="G997">
        <v>12.5</v>
      </c>
      <c r="H997">
        <v>7600</v>
      </c>
      <c r="I997">
        <v>0.79577947529546833</v>
      </c>
      <c r="J997">
        <v>1</v>
      </c>
    </row>
    <row r="998" spans="1:10" x14ac:dyDescent="0.3">
      <c r="A998" t="s">
        <v>1110</v>
      </c>
      <c r="B998" t="s">
        <v>62</v>
      </c>
      <c r="C998">
        <v>7</v>
      </c>
      <c r="D998">
        <v>46500</v>
      </c>
      <c r="E998" t="s">
        <v>67</v>
      </c>
      <c r="F998">
        <v>61</v>
      </c>
      <c r="G998">
        <v>2</v>
      </c>
      <c r="H998">
        <v>4500</v>
      </c>
      <c r="I998">
        <v>0.68485954520308645</v>
      </c>
      <c r="J998">
        <v>1</v>
      </c>
    </row>
    <row r="999" spans="1:10" x14ac:dyDescent="0.3">
      <c r="A999" t="s">
        <v>1111</v>
      </c>
      <c r="B999" t="s">
        <v>62</v>
      </c>
      <c r="C999">
        <v>7</v>
      </c>
      <c r="D999">
        <v>20300</v>
      </c>
      <c r="E999" t="s">
        <v>68</v>
      </c>
      <c r="F999">
        <v>60</v>
      </c>
      <c r="G999">
        <v>9.3000000000000007</v>
      </c>
      <c r="H999">
        <v>10800</v>
      </c>
      <c r="I999">
        <v>0.13499470756537391</v>
      </c>
      <c r="J999">
        <v>1</v>
      </c>
    </row>
    <row r="1000" spans="1:10" x14ac:dyDescent="0.3">
      <c r="A1000" t="s">
        <v>1112</v>
      </c>
      <c r="B1000" t="s">
        <v>513</v>
      </c>
      <c r="C1000">
        <v>10</v>
      </c>
      <c r="D1000">
        <v>15100</v>
      </c>
      <c r="E1000" t="s">
        <v>67</v>
      </c>
      <c r="F1000">
        <v>90</v>
      </c>
      <c r="G1000">
        <v>14.2</v>
      </c>
      <c r="H1000">
        <v>4800</v>
      </c>
      <c r="I1000">
        <v>0.67444475701334039</v>
      </c>
      <c r="J1000">
        <v>1</v>
      </c>
    </row>
    <row r="1001" spans="1:10" x14ac:dyDescent="0.3">
      <c r="A1001" t="s">
        <v>1113</v>
      </c>
      <c r="B1001" t="s">
        <v>65</v>
      </c>
      <c r="C1001">
        <v>6</v>
      </c>
      <c r="D1001">
        <v>103800</v>
      </c>
      <c r="E1001" t="s">
        <v>68</v>
      </c>
      <c r="F1001">
        <v>31</v>
      </c>
      <c r="G1001">
        <v>8.4</v>
      </c>
      <c r="H1001">
        <v>9500</v>
      </c>
      <c r="I1001">
        <v>0.67338762629743376</v>
      </c>
      <c r="J1001">
        <v>1</v>
      </c>
    </row>
    <row r="1002" spans="1:10" x14ac:dyDescent="0.3">
      <c r="A1002" t="s">
        <v>1114</v>
      </c>
      <c r="B1002" t="s">
        <v>64</v>
      </c>
      <c r="C1002">
        <v>6</v>
      </c>
      <c r="D1002">
        <v>28500</v>
      </c>
      <c r="E1002" t="s">
        <v>68</v>
      </c>
      <c r="F1002">
        <v>53</v>
      </c>
      <c r="G1002">
        <v>5.8</v>
      </c>
      <c r="H1002">
        <v>9300</v>
      </c>
      <c r="I1002">
        <v>0.85778007101037601</v>
      </c>
      <c r="J1002">
        <v>1</v>
      </c>
    </row>
    <row r="1003" spans="1:10" x14ac:dyDescent="0.3">
      <c r="A1003" t="s">
        <v>1115</v>
      </c>
      <c r="B1003" t="s">
        <v>513</v>
      </c>
      <c r="C1003">
        <v>4</v>
      </c>
      <c r="D1003">
        <v>32000</v>
      </c>
      <c r="E1003" t="s">
        <v>68</v>
      </c>
      <c r="F1003">
        <v>39</v>
      </c>
      <c r="G1003">
        <v>3.3</v>
      </c>
      <c r="H1003">
        <v>3500</v>
      </c>
      <c r="I1003">
        <v>0.15913560045627828</v>
      </c>
      <c r="J1003">
        <v>1</v>
      </c>
    </row>
    <row r="1004" spans="1:10" x14ac:dyDescent="0.3">
      <c r="A1004" t="s">
        <v>1116</v>
      </c>
      <c r="B1004" t="s">
        <v>513</v>
      </c>
      <c r="C1004">
        <v>9</v>
      </c>
      <c r="D1004">
        <v>22900</v>
      </c>
      <c r="E1004" t="s">
        <v>69</v>
      </c>
      <c r="F1004">
        <v>30</v>
      </c>
      <c r="G1004">
        <v>11.9</v>
      </c>
      <c r="H1004">
        <v>6200</v>
      </c>
      <c r="I1004">
        <v>0.42856180847879288</v>
      </c>
      <c r="J1004">
        <v>1</v>
      </c>
    </row>
    <row r="1005" spans="1:10" x14ac:dyDescent="0.3">
      <c r="A1005" t="s">
        <v>1117</v>
      </c>
      <c r="B1005" t="s">
        <v>64</v>
      </c>
      <c r="C1005">
        <v>4</v>
      </c>
      <c r="D1005">
        <v>18300</v>
      </c>
      <c r="E1005" t="s">
        <v>69</v>
      </c>
      <c r="F1005">
        <v>13</v>
      </c>
      <c r="G1005">
        <v>7.1</v>
      </c>
      <c r="H1005">
        <v>9000</v>
      </c>
      <c r="I1005">
        <v>0.7220265227307191</v>
      </c>
      <c r="J1005">
        <v>1</v>
      </c>
    </row>
    <row r="1006" spans="1:10" x14ac:dyDescent="0.3">
      <c r="A1006" t="s">
        <v>1118</v>
      </c>
      <c r="B1006" t="s">
        <v>62</v>
      </c>
      <c r="C1006">
        <v>1</v>
      </c>
      <c r="D1006">
        <v>49400</v>
      </c>
      <c r="E1006" t="s">
        <v>69</v>
      </c>
      <c r="F1006">
        <v>15</v>
      </c>
      <c r="G1006">
        <v>9.1</v>
      </c>
      <c r="H1006">
        <v>4700</v>
      </c>
      <c r="I1006">
        <v>0.8720772768079843</v>
      </c>
      <c r="J1006">
        <v>1</v>
      </c>
    </row>
    <row r="1007" spans="1:10" x14ac:dyDescent="0.3">
      <c r="A1007" t="s">
        <v>1119</v>
      </c>
      <c r="B1007" t="s">
        <v>513</v>
      </c>
      <c r="C1007">
        <v>4</v>
      </c>
      <c r="D1007">
        <v>35500</v>
      </c>
      <c r="E1007" t="s">
        <v>69</v>
      </c>
      <c r="F1007">
        <v>31</v>
      </c>
      <c r="G1007">
        <v>6</v>
      </c>
      <c r="H1007">
        <v>9300</v>
      </c>
      <c r="I1007">
        <v>0.30600370568943258</v>
      </c>
      <c r="J1007">
        <v>1</v>
      </c>
    </row>
    <row r="1008" spans="1:10" x14ac:dyDescent="0.3">
      <c r="A1008" t="s">
        <v>1120</v>
      </c>
      <c r="B1008" t="s">
        <v>64</v>
      </c>
      <c r="C1008">
        <v>4</v>
      </c>
      <c r="D1008">
        <v>17100</v>
      </c>
      <c r="E1008" t="s">
        <v>66</v>
      </c>
      <c r="F1008">
        <v>47</v>
      </c>
      <c r="G1008">
        <v>2.5</v>
      </c>
      <c r="H1008">
        <v>0</v>
      </c>
      <c r="I1008">
        <v>0.36888714039874615</v>
      </c>
      <c r="J1008">
        <v>1</v>
      </c>
    </row>
    <row r="1009" spans="1:10" x14ac:dyDescent="0.3">
      <c r="A1009" t="s">
        <v>1121</v>
      </c>
      <c r="B1009" t="s">
        <v>64</v>
      </c>
      <c r="C1009">
        <v>6</v>
      </c>
      <c r="D1009">
        <v>25100</v>
      </c>
      <c r="E1009" t="s">
        <v>69</v>
      </c>
      <c r="F1009">
        <v>44</v>
      </c>
      <c r="G1009">
        <v>1.9</v>
      </c>
      <c r="H1009">
        <v>3600</v>
      </c>
      <c r="I1009">
        <v>0.66700167125527288</v>
      </c>
      <c r="J1009">
        <v>1</v>
      </c>
    </row>
    <row r="1010" spans="1:10" x14ac:dyDescent="0.3">
      <c r="A1010" t="s">
        <v>1122</v>
      </c>
      <c r="B1010" t="s">
        <v>65</v>
      </c>
      <c r="C1010">
        <v>3</v>
      </c>
      <c r="D1010">
        <v>48200</v>
      </c>
      <c r="E1010" t="s">
        <v>68</v>
      </c>
      <c r="F1010">
        <v>64</v>
      </c>
      <c r="G1010">
        <v>10.8</v>
      </c>
      <c r="H1010">
        <v>6700</v>
      </c>
      <c r="I1010">
        <v>0.69189996295125544</v>
      </c>
      <c r="J1010">
        <v>1</v>
      </c>
    </row>
    <row r="1011" spans="1:10" x14ac:dyDescent="0.3">
      <c r="A1011" t="s">
        <v>1123</v>
      </c>
      <c r="B1011" t="s">
        <v>513</v>
      </c>
      <c r="C1011">
        <v>4</v>
      </c>
      <c r="D1011">
        <v>78500</v>
      </c>
      <c r="E1011" t="s">
        <v>68</v>
      </c>
      <c r="F1011">
        <v>75</v>
      </c>
      <c r="G1011">
        <v>11.6</v>
      </c>
      <c r="H1011">
        <v>15100</v>
      </c>
      <c r="I1011">
        <v>5.3797171512204867E-2</v>
      </c>
      <c r="J1011">
        <v>1</v>
      </c>
    </row>
    <row r="1012" spans="1:10" x14ac:dyDescent="0.3">
      <c r="A1012" t="s">
        <v>1124</v>
      </c>
      <c r="B1012" t="s">
        <v>64</v>
      </c>
      <c r="C1012">
        <v>7</v>
      </c>
      <c r="D1012">
        <v>22100</v>
      </c>
      <c r="E1012" t="s">
        <v>69</v>
      </c>
      <c r="F1012">
        <v>17</v>
      </c>
      <c r="G1012">
        <v>1.5</v>
      </c>
      <c r="H1012">
        <v>6200</v>
      </c>
      <c r="I1012">
        <v>0.87205133708346227</v>
      </c>
      <c r="J1012">
        <v>1</v>
      </c>
    </row>
    <row r="1013" spans="1:10" x14ac:dyDescent="0.3">
      <c r="A1013" t="s">
        <v>1125</v>
      </c>
      <c r="B1013" t="s">
        <v>513</v>
      </c>
      <c r="C1013">
        <v>7</v>
      </c>
      <c r="D1013">
        <v>36200</v>
      </c>
      <c r="E1013" t="s">
        <v>69</v>
      </c>
      <c r="F1013">
        <v>51</v>
      </c>
      <c r="G1013">
        <v>11.4</v>
      </c>
      <c r="H1013">
        <v>3000</v>
      </c>
      <c r="I1013">
        <v>0.23206362820784543</v>
      </c>
      <c r="J1013">
        <v>1</v>
      </c>
    </row>
    <row r="1014" spans="1:10" x14ac:dyDescent="0.3">
      <c r="A1014" t="s">
        <v>1126</v>
      </c>
      <c r="B1014" t="s">
        <v>513</v>
      </c>
      <c r="C1014">
        <v>6</v>
      </c>
      <c r="D1014">
        <v>25700</v>
      </c>
      <c r="E1014" t="s">
        <v>67</v>
      </c>
      <c r="F1014">
        <v>97</v>
      </c>
      <c r="G1014">
        <v>1.3</v>
      </c>
      <c r="H1014">
        <v>6500</v>
      </c>
      <c r="I1014">
        <v>0.86617667506826379</v>
      </c>
      <c r="J1014">
        <v>1</v>
      </c>
    </row>
    <row r="1015" spans="1:10" x14ac:dyDescent="0.3">
      <c r="A1015" t="s">
        <v>1127</v>
      </c>
      <c r="B1015" t="s">
        <v>65</v>
      </c>
      <c r="C1015">
        <v>5</v>
      </c>
      <c r="D1015">
        <v>48400</v>
      </c>
      <c r="E1015" t="s">
        <v>68</v>
      </c>
      <c r="F1015">
        <v>55</v>
      </c>
      <c r="G1015">
        <v>3.7</v>
      </c>
      <c r="H1015">
        <v>3100</v>
      </c>
      <c r="I1015">
        <v>0.61291121840480411</v>
      </c>
      <c r="J1015">
        <v>1</v>
      </c>
    </row>
    <row r="1016" spans="1:10" x14ac:dyDescent="0.3">
      <c r="A1016" t="s">
        <v>1128</v>
      </c>
      <c r="B1016" t="s">
        <v>65</v>
      </c>
      <c r="C1016">
        <v>2</v>
      </c>
      <c r="D1016">
        <v>30100</v>
      </c>
      <c r="E1016" t="s">
        <v>69</v>
      </c>
      <c r="F1016">
        <v>45</v>
      </c>
      <c r="G1016">
        <v>11</v>
      </c>
      <c r="H1016">
        <v>1100</v>
      </c>
      <c r="I1016">
        <v>0.48732758111265639</v>
      </c>
      <c r="J1016">
        <v>1</v>
      </c>
    </row>
    <row r="1017" spans="1:10" x14ac:dyDescent="0.3">
      <c r="A1017" t="s">
        <v>1129</v>
      </c>
      <c r="B1017" t="s">
        <v>62</v>
      </c>
      <c r="C1017">
        <v>3</v>
      </c>
      <c r="D1017">
        <v>21500</v>
      </c>
      <c r="E1017" t="s">
        <v>66</v>
      </c>
      <c r="F1017">
        <v>58</v>
      </c>
      <c r="G1017">
        <v>5.0999999999999996</v>
      </c>
      <c r="H1017">
        <v>6200</v>
      </c>
      <c r="I1017">
        <v>0.2611476109396389</v>
      </c>
      <c r="J1017">
        <v>1</v>
      </c>
    </row>
    <row r="1018" spans="1:10" x14ac:dyDescent="0.3">
      <c r="A1018" t="s">
        <v>1130</v>
      </c>
      <c r="B1018" t="s">
        <v>513</v>
      </c>
      <c r="C1018">
        <v>9</v>
      </c>
      <c r="D1018">
        <v>111300</v>
      </c>
      <c r="E1018" t="s">
        <v>66</v>
      </c>
      <c r="F1018">
        <v>16</v>
      </c>
      <c r="G1018">
        <v>5.8</v>
      </c>
      <c r="H1018">
        <v>6300</v>
      </c>
      <c r="I1018">
        <v>0.65375739108671682</v>
      </c>
      <c r="J1018">
        <v>1</v>
      </c>
    </row>
    <row r="1019" spans="1:10" x14ac:dyDescent="0.3">
      <c r="A1019" t="s">
        <v>1131</v>
      </c>
      <c r="B1019" t="s">
        <v>65</v>
      </c>
      <c r="C1019">
        <v>5</v>
      </c>
      <c r="D1019">
        <v>38100</v>
      </c>
      <c r="E1019" t="s">
        <v>67</v>
      </c>
      <c r="F1019">
        <v>85</v>
      </c>
      <c r="G1019">
        <v>2.2000000000000002</v>
      </c>
      <c r="H1019">
        <v>2900</v>
      </c>
      <c r="I1019">
        <v>9.1997615525050591E-2</v>
      </c>
      <c r="J1019">
        <v>1</v>
      </c>
    </row>
    <row r="1020" spans="1:10" x14ac:dyDescent="0.3">
      <c r="A1020" t="s">
        <v>1132</v>
      </c>
      <c r="B1020" t="s">
        <v>65</v>
      </c>
      <c r="C1020">
        <v>5</v>
      </c>
      <c r="D1020">
        <v>150000</v>
      </c>
      <c r="E1020" t="s">
        <v>68</v>
      </c>
      <c r="F1020">
        <v>22</v>
      </c>
      <c r="G1020">
        <v>11.7</v>
      </c>
      <c r="H1020">
        <v>10900</v>
      </c>
      <c r="I1020">
        <v>0.75222738825763835</v>
      </c>
      <c r="J1020">
        <v>1</v>
      </c>
    </row>
    <row r="1021" spans="1:10" x14ac:dyDescent="0.3">
      <c r="A1021" t="s">
        <v>1133</v>
      </c>
      <c r="B1021" t="s">
        <v>64</v>
      </c>
      <c r="C1021">
        <v>9</v>
      </c>
      <c r="D1021">
        <v>50800</v>
      </c>
      <c r="E1021" t="s">
        <v>66</v>
      </c>
      <c r="F1021">
        <v>44</v>
      </c>
      <c r="G1021">
        <v>11.2</v>
      </c>
      <c r="H1021">
        <v>6000</v>
      </c>
      <c r="I1021">
        <v>0.41740442456178184</v>
      </c>
      <c r="J1021">
        <v>1</v>
      </c>
    </row>
    <row r="1022" spans="1:10" x14ac:dyDescent="0.3">
      <c r="A1022" t="s">
        <v>1134</v>
      </c>
      <c r="B1022" t="s">
        <v>513</v>
      </c>
      <c r="C1022">
        <v>2</v>
      </c>
      <c r="D1022">
        <v>48000</v>
      </c>
      <c r="E1022" t="s">
        <v>67</v>
      </c>
      <c r="F1022">
        <v>94</v>
      </c>
      <c r="G1022">
        <v>14.2</v>
      </c>
      <c r="H1022">
        <v>3200</v>
      </c>
      <c r="I1022">
        <v>0.54311656430007349</v>
      </c>
      <c r="J1022">
        <v>1</v>
      </c>
    </row>
    <row r="1023" spans="1:10" x14ac:dyDescent="0.3">
      <c r="A1023" t="s">
        <v>1135</v>
      </c>
      <c r="B1023" t="s">
        <v>65</v>
      </c>
      <c r="C1023">
        <v>2</v>
      </c>
      <c r="D1023">
        <v>17700</v>
      </c>
      <c r="E1023" t="s">
        <v>66</v>
      </c>
      <c r="F1023">
        <v>24</v>
      </c>
      <c r="G1023">
        <v>11.7</v>
      </c>
      <c r="H1023">
        <v>9400</v>
      </c>
      <c r="I1023">
        <v>0.64691335762591884</v>
      </c>
      <c r="J1023">
        <v>1</v>
      </c>
    </row>
    <row r="1024" spans="1:10" x14ac:dyDescent="0.3">
      <c r="A1024" t="s">
        <v>1136</v>
      </c>
      <c r="B1024" t="s">
        <v>513</v>
      </c>
      <c r="C1024">
        <v>6</v>
      </c>
      <c r="D1024">
        <v>100100</v>
      </c>
      <c r="E1024" t="s">
        <v>66</v>
      </c>
      <c r="F1024">
        <v>40</v>
      </c>
      <c r="G1024">
        <v>6.3</v>
      </c>
      <c r="H1024">
        <v>5400</v>
      </c>
      <c r="I1024">
        <v>0.38538766561941729</v>
      </c>
      <c r="J1024">
        <v>1</v>
      </c>
    </row>
    <row r="1025" spans="1:10" x14ac:dyDescent="0.3">
      <c r="A1025" t="s">
        <v>1137</v>
      </c>
      <c r="B1025" t="s">
        <v>513</v>
      </c>
      <c r="C1025">
        <v>7</v>
      </c>
      <c r="D1025">
        <v>23700</v>
      </c>
      <c r="E1025" t="s">
        <v>67</v>
      </c>
      <c r="F1025">
        <v>96</v>
      </c>
      <c r="G1025">
        <v>6.7</v>
      </c>
      <c r="H1025">
        <v>10800</v>
      </c>
      <c r="I1025">
        <v>2.7012644652626094E-2</v>
      </c>
      <c r="J1025">
        <v>1</v>
      </c>
    </row>
    <row r="1026" spans="1:10" x14ac:dyDescent="0.3">
      <c r="A1026" t="s">
        <v>1138</v>
      </c>
      <c r="B1026" t="s">
        <v>65</v>
      </c>
      <c r="C1026">
        <v>4</v>
      </c>
      <c r="D1026">
        <v>61100</v>
      </c>
      <c r="E1026" t="s">
        <v>68</v>
      </c>
      <c r="F1026">
        <v>23</v>
      </c>
      <c r="G1026">
        <v>11.1</v>
      </c>
      <c r="H1026">
        <v>8700</v>
      </c>
      <c r="I1026">
        <v>0.39854301667880376</v>
      </c>
      <c r="J1026">
        <v>1</v>
      </c>
    </row>
    <row r="1027" spans="1:10" x14ac:dyDescent="0.3">
      <c r="A1027" t="s">
        <v>1139</v>
      </c>
      <c r="B1027" t="s">
        <v>65</v>
      </c>
      <c r="C1027">
        <v>6</v>
      </c>
      <c r="D1027">
        <v>18500</v>
      </c>
      <c r="E1027" t="s">
        <v>67</v>
      </c>
      <c r="F1027">
        <v>50</v>
      </c>
      <c r="G1027">
        <v>12</v>
      </c>
      <c r="H1027">
        <v>11600</v>
      </c>
      <c r="I1027">
        <v>0.7216478601453522</v>
      </c>
      <c r="J1027">
        <v>1</v>
      </c>
    </row>
    <row r="1028" spans="1:10" x14ac:dyDescent="0.3">
      <c r="A1028" t="s">
        <v>1140</v>
      </c>
      <c r="B1028" t="s">
        <v>65</v>
      </c>
      <c r="C1028">
        <v>1</v>
      </c>
      <c r="D1028">
        <v>15900</v>
      </c>
      <c r="E1028" t="s">
        <v>67</v>
      </c>
      <c r="F1028">
        <v>86</v>
      </c>
      <c r="G1028">
        <v>12.7</v>
      </c>
      <c r="H1028">
        <v>2600</v>
      </c>
      <c r="I1028">
        <v>0.50929534466843351</v>
      </c>
      <c r="J1028">
        <v>1</v>
      </c>
    </row>
    <row r="1029" spans="1:10" x14ac:dyDescent="0.3">
      <c r="A1029" t="s">
        <v>1141</v>
      </c>
      <c r="B1029" t="s">
        <v>64</v>
      </c>
      <c r="C1029">
        <v>2</v>
      </c>
      <c r="D1029">
        <v>14400</v>
      </c>
      <c r="E1029" t="s">
        <v>66</v>
      </c>
      <c r="F1029">
        <v>62</v>
      </c>
      <c r="G1029">
        <v>5.4</v>
      </c>
      <c r="H1029">
        <v>7000</v>
      </c>
      <c r="I1029">
        <v>0.11087113226431167</v>
      </c>
      <c r="J1029">
        <v>1</v>
      </c>
    </row>
    <row r="1030" spans="1:10" x14ac:dyDescent="0.3">
      <c r="A1030" t="s">
        <v>1142</v>
      </c>
      <c r="B1030" t="s">
        <v>65</v>
      </c>
      <c r="C1030">
        <v>4</v>
      </c>
      <c r="D1030">
        <v>34300</v>
      </c>
      <c r="E1030" t="s">
        <v>67</v>
      </c>
      <c r="F1030">
        <v>114</v>
      </c>
      <c r="G1030">
        <v>0.7</v>
      </c>
      <c r="H1030">
        <v>4100</v>
      </c>
      <c r="I1030">
        <v>0.13894953850201419</v>
      </c>
      <c r="J1030">
        <v>1</v>
      </c>
    </row>
    <row r="1031" spans="1:10" x14ac:dyDescent="0.3">
      <c r="A1031" t="s">
        <v>1143</v>
      </c>
      <c r="B1031" t="s">
        <v>64</v>
      </c>
      <c r="C1031">
        <v>8</v>
      </c>
      <c r="D1031">
        <v>41400</v>
      </c>
      <c r="E1031" t="s">
        <v>66</v>
      </c>
      <c r="F1031">
        <v>67</v>
      </c>
      <c r="G1031">
        <v>8.4</v>
      </c>
      <c r="H1031">
        <v>5900</v>
      </c>
      <c r="I1031">
        <v>0.62947209930970727</v>
      </c>
      <c r="J1031">
        <v>1</v>
      </c>
    </row>
    <row r="1032" spans="1:10" x14ac:dyDescent="0.3">
      <c r="A1032" t="s">
        <v>1144</v>
      </c>
      <c r="B1032" t="s">
        <v>513</v>
      </c>
      <c r="C1032">
        <v>3</v>
      </c>
      <c r="D1032">
        <v>24700</v>
      </c>
      <c r="E1032" t="s">
        <v>69</v>
      </c>
      <c r="F1032">
        <v>46</v>
      </c>
      <c r="G1032">
        <v>9.9</v>
      </c>
      <c r="H1032">
        <v>10700</v>
      </c>
      <c r="I1032">
        <v>0.83213962584807111</v>
      </c>
      <c r="J1032">
        <v>1</v>
      </c>
    </row>
    <row r="1033" spans="1:10" x14ac:dyDescent="0.3">
      <c r="A1033" t="s">
        <v>1145</v>
      </c>
      <c r="B1033" t="s">
        <v>513</v>
      </c>
      <c r="C1033">
        <v>7</v>
      </c>
      <c r="D1033">
        <v>50400</v>
      </c>
      <c r="E1033" t="s">
        <v>67</v>
      </c>
      <c r="F1033">
        <v>75</v>
      </c>
      <c r="G1033">
        <v>8.6999999999999993</v>
      </c>
      <c r="H1033">
        <v>1400</v>
      </c>
      <c r="I1033">
        <v>0.97753476878879941</v>
      </c>
      <c r="J103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1A2B5-F0EB-4673-8B37-82966ABB78F6}">
  <dimension ref="A1:P1033"/>
  <sheetViews>
    <sheetView topLeftCell="E1" workbookViewId="0">
      <selection activeCell="J1" sqref="J1:P1"/>
    </sheetView>
  </sheetViews>
  <sheetFormatPr defaultRowHeight="14.4" x14ac:dyDescent="0.3"/>
  <cols>
    <col min="1" max="1" width="12.21875" bestFit="1" customWidth="1"/>
    <col min="2" max="2" width="11.21875" bestFit="1" customWidth="1"/>
    <col min="3" max="3" width="14.33203125" bestFit="1" customWidth="1"/>
    <col min="4" max="4" width="26" bestFit="1" customWidth="1"/>
    <col min="5" max="5" width="19.33203125" bestFit="1" customWidth="1"/>
    <col min="6" max="6" width="30.33203125" bestFit="1" customWidth="1"/>
    <col min="7" max="7" width="27.44140625" bestFit="1" customWidth="1"/>
    <col min="8" max="8" width="25" bestFit="1" customWidth="1"/>
    <col min="9" max="9" width="9.77734375" bestFit="1" customWidth="1"/>
    <col min="10" max="10" width="14.21875" bestFit="1" customWidth="1"/>
    <col min="11" max="11" width="16.6640625" bestFit="1" customWidth="1"/>
    <col min="12" max="12" width="8" bestFit="1" customWidth="1"/>
    <col min="13" max="13" width="8" customWidth="1"/>
    <col min="14" max="14" width="9.6640625" bestFit="1" customWidth="1"/>
    <col min="15" max="15" width="13.21875" bestFit="1" customWidth="1"/>
    <col min="16" max="16" width="16.21875" bestFit="1" customWidth="1"/>
  </cols>
  <sheetData>
    <row r="1" spans="1:16" x14ac:dyDescent="0.3">
      <c r="A1" s="2" t="s">
        <v>17</v>
      </c>
      <c r="B1" s="2" t="s">
        <v>21</v>
      </c>
      <c r="C1" s="2" t="s">
        <v>18</v>
      </c>
      <c r="D1" s="2" t="s">
        <v>22</v>
      </c>
      <c r="E1" s="2" t="s">
        <v>19</v>
      </c>
      <c r="F1" s="2" t="s">
        <v>510</v>
      </c>
      <c r="G1" s="2" t="s">
        <v>511</v>
      </c>
      <c r="H1" s="2" t="s">
        <v>512</v>
      </c>
      <c r="I1" s="2" t="s">
        <v>27</v>
      </c>
    </row>
    <row r="2" spans="1:16" x14ac:dyDescent="0.3">
      <c r="A2" t="s">
        <v>110</v>
      </c>
      <c r="B2" t="s">
        <v>62</v>
      </c>
      <c r="C2">
        <f ca="1">IF(RAND()&lt;0.8,F_Baseline_data!C2,IF(RAND()&lt;0.85,F_Baseline_data!C2+1,IF(F_Baseline_data!C2&gt;3,C2-1,F_Baseline_data!C2)))</f>
        <v>5</v>
      </c>
      <c r="D2">
        <f ca="1">MAX(5000,ROUND(F_Baseline_data!D2*(1+_xlfn.NORM.INV(RAND(),0.12,0.1)),-2))</f>
        <v>33200</v>
      </c>
      <c r="E2" t="str">
        <f ca="1">IF(I2=1,IF(RAND()&lt;0.95,"Piped Water",F_Baseline_data!E2),F_Baseline_data!E2)</f>
        <v>Vendor</v>
      </c>
      <c r="F2">
        <f t="shared" ref="F2:F65" ca="1" si="0">IF(E2="Piped Water",RANDBETWEEN(0,10),IF(E2="River",RANDBETWEEN(45,120),IF(E2="Rainwater",RANDBETWEEN(15,70),IF(E2="Borehole",RANDBETWEEN(20,75),RANDBETWEEN(10,60)))))</f>
        <v>58</v>
      </c>
      <c r="G2">
        <v>3.2</v>
      </c>
      <c r="H2">
        <f ca="1">MAX(0,ROUND(F_Baseline_data!H2+(F_Baseline_data!C2-5)*200+(D2-30000)*0.015+(F2-50)*15-IF(I2=1,1200,0)+_xlfn.NORM.INV(RAND(),0,2500),-2))</f>
        <v>6600</v>
      </c>
      <c r="I2">
        <v>0</v>
      </c>
      <c r="J2">
        <f>1</f>
        <v>1</v>
      </c>
      <c r="K2">
        <f>1</f>
        <v>1</v>
      </c>
      <c r="L2">
        <v>0</v>
      </c>
      <c r="M2">
        <f t="shared" ref="M2:M65" ca="1" si="1">RAND()</f>
        <v>0.74880600366775274</v>
      </c>
      <c r="N2">
        <v>0</v>
      </c>
      <c r="O2">
        <v>0</v>
      </c>
      <c r="P2">
        <v>0</v>
      </c>
    </row>
    <row r="3" spans="1:16" x14ac:dyDescent="0.3">
      <c r="A3" t="s">
        <v>111</v>
      </c>
      <c r="B3" t="s">
        <v>513</v>
      </c>
      <c r="C3">
        <f ca="1">IF(RAND()&lt;0.8,F_Baseline_data!C3,IF(RAND()&lt;0.85,F_Baseline_data!C3+1,IF(F_Baseline_data!C3&gt;3,C3-1,F_Baseline_data!C3)))</f>
        <v>5</v>
      </c>
      <c r="D3">
        <f ca="1">MAX(5000,ROUND(F_Baseline_data!D3*(1+_xlfn.NORM.INV(RAND(),0.12,0.1)),-2))</f>
        <v>15700</v>
      </c>
      <c r="E3" t="str">
        <f ca="1">IF(I3=1,IF(RAND()&lt;0.95,"Piped Water",F_Baseline_data!E3),F_Baseline_data!E3)</f>
        <v>Vendor</v>
      </c>
      <c r="F3">
        <f t="shared" ca="1" si="0"/>
        <v>22</v>
      </c>
      <c r="G3">
        <v>8.4</v>
      </c>
      <c r="H3">
        <f ca="1">MAX(0,ROUND(F_Baseline_data!H3+(F_Baseline_data!C3-5)*200+(D3-30000)*0.015+(F3-50)*15-IF(I3=1,1200,0)+_xlfn.NORM.INV(RAND(),0,2500),-2))</f>
        <v>9300</v>
      </c>
      <c r="I3">
        <v>0</v>
      </c>
      <c r="J3">
        <f>1</f>
        <v>1</v>
      </c>
      <c r="K3">
        <f>1</f>
        <v>1</v>
      </c>
      <c r="L3">
        <v>0</v>
      </c>
      <c r="M3">
        <f t="shared" ca="1" si="1"/>
        <v>0.70225648053929857</v>
      </c>
      <c r="N3">
        <v>0</v>
      </c>
      <c r="O3">
        <v>0</v>
      </c>
      <c r="P3">
        <v>0</v>
      </c>
    </row>
    <row r="4" spans="1:16" x14ac:dyDescent="0.3">
      <c r="A4" t="s">
        <v>112</v>
      </c>
      <c r="B4" t="s">
        <v>65</v>
      </c>
      <c r="C4">
        <f ca="1">IF(RAND()&lt;0.8,F_Baseline_data!C4,IF(RAND()&lt;0.85,F_Baseline_data!C4+1,IF(F_Baseline_data!C4&gt;3,C4-1,F_Baseline_data!C4)))</f>
        <v>7</v>
      </c>
      <c r="D4">
        <f ca="1">MAX(5000,ROUND(F_Baseline_data!D4*(1+_xlfn.NORM.INV(RAND(),0.12,0.1)),-2))</f>
        <v>101900</v>
      </c>
      <c r="E4" t="str">
        <f ca="1">IF(I4=1,IF(RAND()&lt;0.95,"Piped Water",F_Baseline_data!E4),F_Baseline_data!E4)</f>
        <v>Borehole</v>
      </c>
      <c r="F4">
        <f t="shared" ca="1" si="0"/>
        <v>39</v>
      </c>
      <c r="G4">
        <v>10</v>
      </c>
      <c r="H4">
        <f ca="1">MAX(0,ROUND(F_Baseline_data!H4+(F_Baseline_data!C4-5)*200+(D4-30000)*0.015+(F4-50)*15-IF(I4=1,1200,0)+_xlfn.NORM.INV(RAND(),0,2500),-2))</f>
        <v>16600</v>
      </c>
      <c r="I4">
        <v>0</v>
      </c>
      <c r="J4">
        <f>1</f>
        <v>1</v>
      </c>
      <c r="K4">
        <f>1</f>
        <v>1</v>
      </c>
      <c r="L4">
        <v>0</v>
      </c>
      <c r="M4">
        <f t="shared" ca="1" si="1"/>
        <v>7.4218947338620334E-2</v>
      </c>
      <c r="N4">
        <v>0</v>
      </c>
      <c r="O4">
        <v>0</v>
      </c>
      <c r="P4">
        <v>0</v>
      </c>
    </row>
    <row r="5" spans="1:16" x14ac:dyDescent="0.3">
      <c r="A5" t="s">
        <v>113</v>
      </c>
      <c r="B5" t="s">
        <v>65</v>
      </c>
      <c r="C5">
        <f ca="1">IF(RAND()&lt;0.8,F_Baseline_data!C5,IF(RAND()&lt;0.85,F_Baseline_data!C5+1,IF(F_Baseline_data!C5&gt;3,C5-1,F_Baseline_data!C5)))</f>
        <v>10</v>
      </c>
      <c r="D5">
        <f ca="1">MAX(5000,ROUND(F_Baseline_data!D5*(1+_xlfn.NORM.INV(RAND(),0.12,0.1)),-2))</f>
        <v>100200</v>
      </c>
      <c r="E5" t="str">
        <f ca="1">IF(I5=1,IF(RAND()&lt;0.95,"Piped Water",F_Baseline_data!E5),F_Baseline_data!E5)</f>
        <v>River</v>
      </c>
      <c r="F5">
        <f t="shared" ca="1" si="0"/>
        <v>62</v>
      </c>
      <c r="G5">
        <v>3.2</v>
      </c>
      <c r="H5">
        <f ca="1">MAX(0,ROUND(F_Baseline_data!H5+(F_Baseline_data!C5-5)*200+(D5-30000)*0.015+(F5-50)*15-IF(I5=1,1200,0)+_xlfn.NORM.INV(RAND(),0,2500),-2))</f>
        <v>12500</v>
      </c>
      <c r="I5">
        <v>0</v>
      </c>
      <c r="J5">
        <f>1</f>
        <v>1</v>
      </c>
      <c r="K5">
        <f>1</f>
        <v>1</v>
      </c>
      <c r="L5">
        <v>0</v>
      </c>
      <c r="M5">
        <f t="shared" ca="1" si="1"/>
        <v>0.71906753436411164</v>
      </c>
      <c r="N5">
        <v>0</v>
      </c>
      <c r="O5">
        <v>0</v>
      </c>
      <c r="P5">
        <v>0</v>
      </c>
    </row>
    <row r="6" spans="1:16" x14ac:dyDescent="0.3">
      <c r="A6" t="s">
        <v>114</v>
      </c>
      <c r="B6" t="s">
        <v>62</v>
      </c>
      <c r="C6">
        <f ca="1">IF(RAND()&lt;0.8,F_Baseline_data!C6,IF(RAND()&lt;0.85,F_Baseline_data!C6+1,IF(F_Baseline_data!C6&gt;3,C6-1,F_Baseline_data!C6)))</f>
        <v>10</v>
      </c>
      <c r="D6">
        <f ca="1">MAX(5000,ROUND(F_Baseline_data!D6*(1+_xlfn.NORM.INV(RAND(),0.12,0.1)),-2))</f>
        <v>22100</v>
      </c>
      <c r="E6" t="str">
        <f ca="1">IF(I6=1,IF(RAND()&lt;0.95,"Piped Water",F_Baseline_data!E6),F_Baseline_data!E6)</f>
        <v>Rainwater</v>
      </c>
      <c r="F6">
        <f t="shared" ca="1" si="0"/>
        <v>62</v>
      </c>
      <c r="G6">
        <v>4.0999999999999996</v>
      </c>
      <c r="H6">
        <f ca="1">MAX(0,ROUND(F_Baseline_data!H6+(F_Baseline_data!C6-5)*200+(D6-30000)*0.015+(F6-50)*15-IF(I6=1,1200,0)+_xlfn.NORM.INV(RAND(),0,2500),-2))</f>
        <v>14400</v>
      </c>
      <c r="I6">
        <v>0</v>
      </c>
      <c r="J6">
        <f>1</f>
        <v>1</v>
      </c>
      <c r="K6">
        <f>1</f>
        <v>1</v>
      </c>
      <c r="L6">
        <v>0</v>
      </c>
      <c r="M6">
        <f t="shared" ca="1" si="1"/>
        <v>0.5189764560158604</v>
      </c>
      <c r="N6">
        <v>0</v>
      </c>
      <c r="O6">
        <v>0</v>
      </c>
      <c r="P6">
        <v>0</v>
      </c>
    </row>
    <row r="7" spans="1:16" x14ac:dyDescent="0.3">
      <c r="A7" t="s">
        <v>115</v>
      </c>
      <c r="B7" t="s">
        <v>65</v>
      </c>
      <c r="C7">
        <f ca="1">IF(RAND()&lt;0.8,F_Baseline_data!C7,IF(RAND()&lt;0.85,F_Baseline_data!C7+1,IF(F_Baseline_data!C7&gt;3,C7-1,F_Baseline_data!C7)))</f>
        <v>7</v>
      </c>
      <c r="D7">
        <f ca="1">MAX(5000,ROUND(F_Baseline_data!D7*(1+_xlfn.NORM.INV(RAND(),0.12,0.1)),-2))</f>
        <v>28500</v>
      </c>
      <c r="E7" t="str">
        <f ca="1">IF(I7=1,IF(RAND()&lt;0.95,"Piped Water",F_Baseline_data!E7),F_Baseline_data!E7)</f>
        <v>River</v>
      </c>
      <c r="F7">
        <f t="shared" ca="1" si="0"/>
        <v>110</v>
      </c>
      <c r="G7">
        <v>11.4</v>
      </c>
      <c r="H7">
        <f ca="1">MAX(0,ROUND(F_Baseline_data!H7+(F_Baseline_data!C7-5)*200+(D7-30000)*0.015+(F7-50)*15-IF(I7=1,1200,0)+_xlfn.NORM.INV(RAND(),0,2500),-2))</f>
        <v>11800</v>
      </c>
      <c r="I7">
        <v>0</v>
      </c>
      <c r="J7">
        <f>1</f>
        <v>1</v>
      </c>
      <c r="K7">
        <f>1</f>
        <v>1</v>
      </c>
      <c r="L7">
        <v>0</v>
      </c>
      <c r="M7">
        <f t="shared" ca="1" si="1"/>
        <v>0.29713477760998885</v>
      </c>
      <c r="N7">
        <v>0</v>
      </c>
      <c r="O7">
        <v>0</v>
      </c>
      <c r="P7">
        <v>0</v>
      </c>
    </row>
    <row r="8" spans="1:16" x14ac:dyDescent="0.3">
      <c r="A8" t="s">
        <v>116</v>
      </c>
      <c r="B8" t="s">
        <v>62</v>
      </c>
      <c r="C8">
        <f ca="1">IF(RAND()&lt;0.8,F_Baseline_data!C8,IF(RAND()&lt;0.85,F_Baseline_data!C8+1,IF(F_Baseline_data!C8&gt;3,C8-1,F_Baseline_data!C8)))</f>
        <v>3</v>
      </c>
      <c r="D8">
        <f ca="1">MAX(5000,ROUND(F_Baseline_data!D8*(1+_xlfn.NORM.INV(RAND(),0.12,0.1)),-2))</f>
        <v>44800</v>
      </c>
      <c r="E8" t="str">
        <f ca="1">IF(I8=1,IF(RAND()&lt;0.95,"Piped Water",F_Baseline_data!E8),F_Baseline_data!E8)</f>
        <v>Borehole</v>
      </c>
      <c r="F8">
        <f t="shared" ca="1" si="0"/>
        <v>74</v>
      </c>
      <c r="G8">
        <v>9.8000000000000007</v>
      </c>
      <c r="H8">
        <f ca="1">MAX(0,ROUND(F_Baseline_data!H8+(F_Baseline_data!C8-5)*200+(D8-30000)*0.015+(F8-50)*15-IF(I8=1,1200,0)+_xlfn.NORM.INV(RAND(),0,2500),-2))</f>
        <v>0</v>
      </c>
      <c r="I8">
        <v>0</v>
      </c>
      <c r="J8">
        <f>1</f>
        <v>1</v>
      </c>
      <c r="K8">
        <f>1</f>
        <v>1</v>
      </c>
      <c r="L8">
        <v>0</v>
      </c>
      <c r="M8">
        <f t="shared" ca="1" si="1"/>
        <v>0.2027374219498923</v>
      </c>
      <c r="N8">
        <v>0</v>
      </c>
      <c r="O8">
        <v>0</v>
      </c>
      <c r="P8">
        <v>0</v>
      </c>
    </row>
    <row r="9" spans="1:16" x14ac:dyDescent="0.3">
      <c r="A9" t="s">
        <v>117</v>
      </c>
      <c r="B9" t="s">
        <v>513</v>
      </c>
      <c r="C9">
        <f ca="1">IF(RAND()&lt;0.8,F_Baseline_data!C9,IF(RAND()&lt;0.85,F_Baseline_data!C9+1,IF(F_Baseline_data!C9&gt;3,C9-1,F_Baseline_data!C9)))</f>
        <v>6</v>
      </c>
      <c r="D9">
        <f ca="1">MAX(5000,ROUND(F_Baseline_data!D9*(1+_xlfn.NORM.INV(RAND(),0.12,0.1)),-2))</f>
        <v>23900</v>
      </c>
      <c r="E9" t="str">
        <f ca="1">IF(I9=1,IF(RAND()&lt;0.95,"Piped Water",F_Baseline_data!E9),F_Baseline_data!E9)</f>
        <v>Rainwater</v>
      </c>
      <c r="F9">
        <f t="shared" ca="1" si="0"/>
        <v>53</v>
      </c>
      <c r="G9">
        <v>5.2</v>
      </c>
      <c r="H9">
        <f ca="1">MAX(0,ROUND(F_Baseline_data!H9+(F_Baseline_data!C9-5)*200+(D9-30000)*0.015+(F9-50)*15-IF(I9=1,1200,0)+_xlfn.NORM.INV(RAND(),0,2500),-2))</f>
        <v>5400</v>
      </c>
      <c r="I9">
        <v>0</v>
      </c>
      <c r="J9">
        <f>1</f>
        <v>1</v>
      </c>
      <c r="K9">
        <f>1</f>
        <v>1</v>
      </c>
      <c r="L9">
        <v>0</v>
      </c>
      <c r="M9">
        <f t="shared" ca="1" si="1"/>
        <v>0.28328091770403696</v>
      </c>
      <c r="N9">
        <v>0</v>
      </c>
      <c r="O9">
        <v>0</v>
      </c>
      <c r="P9">
        <v>0</v>
      </c>
    </row>
    <row r="10" spans="1:16" x14ac:dyDescent="0.3">
      <c r="A10" t="s">
        <v>118</v>
      </c>
      <c r="B10" t="s">
        <v>65</v>
      </c>
      <c r="C10">
        <f ca="1">IF(RAND()&lt;0.8,F_Baseline_data!C10,IF(RAND()&lt;0.85,F_Baseline_data!C10+1,IF(F_Baseline_data!C10&gt;3,C10-1,F_Baseline_data!C10)))</f>
        <v>6</v>
      </c>
      <c r="D10">
        <f ca="1">MAX(5000,ROUND(F_Baseline_data!D10*(1+_xlfn.NORM.INV(RAND(),0.12,0.1)),-2))</f>
        <v>18800</v>
      </c>
      <c r="E10" t="str">
        <f ca="1">IF(I10=1,IF(RAND()&lt;0.95,"Piped Water",F_Baseline_data!E10),F_Baseline_data!E10)</f>
        <v>River</v>
      </c>
      <c r="F10">
        <f t="shared" ca="1" si="0"/>
        <v>76</v>
      </c>
      <c r="G10">
        <v>8.9</v>
      </c>
      <c r="H10">
        <f ca="1">MAX(0,ROUND(F_Baseline_data!H10+(F_Baseline_data!C10-5)*200+(D10-30000)*0.015+(F10-50)*15-IF(I10=1,1200,0)+_xlfn.NORM.INV(RAND(),0,2500),-2))</f>
        <v>13000</v>
      </c>
      <c r="I10">
        <v>0</v>
      </c>
      <c r="J10">
        <f>1</f>
        <v>1</v>
      </c>
      <c r="K10">
        <f>1</f>
        <v>1</v>
      </c>
      <c r="L10">
        <v>0</v>
      </c>
      <c r="M10">
        <f t="shared" ca="1" si="1"/>
        <v>0.832304159751596</v>
      </c>
      <c r="N10">
        <v>0</v>
      </c>
      <c r="O10">
        <v>0</v>
      </c>
      <c r="P10">
        <v>0</v>
      </c>
    </row>
    <row r="11" spans="1:16" x14ac:dyDescent="0.3">
      <c r="A11" t="s">
        <v>119</v>
      </c>
      <c r="B11" t="s">
        <v>64</v>
      </c>
      <c r="C11">
        <f ca="1">IF(RAND()&lt;0.8,F_Baseline_data!C11,IF(RAND()&lt;0.85,F_Baseline_data!C11+1,IF(F_Baseline_data!C11&gt;3,C11-1,F_Baseline_data!C11)))</f>
        <v>3</v>
      </c>
      <c r="D11">
        <f ca="1">MAX(5000,ROUND(F_Baseline_data!D11*(1+_xlfn.NORM.INV(RAND(),0.12,0.1)),-2))</f>
        <v>27000</v>
      </c>
      <c r="E11" t="str">
        <f ca="1">IF(I11=1,IF(RAND()&lt;0.95,"Piped Water",F_Baseline_data!E11),F_Baseline_data!E11)</f>
        <v>Rainwater</v>
      </c>
      <c r="F11">
        <f t="shared" ca="1" si="0"/>
        <v>29</v>
      </c>
      <c r="G11">
        <v>6.4</v>
      </c>
      <c r="H11">
        <f ca="1">MAX(0,ROUND(F_Baseline_data!H11+(F_Baseline_data!C11-5)*200+(D11-30000)*0.015+(F11-50)*15-IF(I11=1,1200,0)+_xlfn.NORM.INV(RAND(),0,2500),-2))</f>
        <v>7600</v>
      </c>
      <c r="I11">
        <v>0</v>
      </c>
      <c r="J11">
        <f>1</f>
        <v>1</v>
      </c>
      <c r="K11">
        <f>1</f>
        <v>1</v>
      </c>
      <c r="L11">
        <v>0</v>
      </c>
      <c r="M11">
        <f t="shared" ca="1" si="1"/>
        <v>0.28589412873087627</v>
      </c>
      <c r="N11">
        <v>0</v>
      </c>
      <c r="O11">
        <v>0</v>
      </c>
      <c r="P11">
        <v>0</v>
      </c>
    </row>
    <row r="12" spans="1:16" x14ac:dyDescent="0.3">
      <c r="A12" t="s">
        <v>120</v>
      </c>
      <c r="B12" t="s">
        <v>513</v>
      </c>
      <c r="C12">
        <f ca="1">IF(RAND()&lt;0.8,F_Baseline_data!C12,IF(RAND()&lt;0.85,F_Baseline_data!C12+1,IF(F_Baseline_data!C12&gt;3,C12-1,F_Baseline_data!C12)))</f>
        <v>8</v>
      </c>
      <c r="D12">
        <f ca="1">MAX(5000,ROUND(F_Baseline_data!D12*(1+_xlfn.NORM.INV(RAND(),0.12,0.1)),-2))</f>
        <v>18900</v>
      </c>
      <c r="E12" t="str">
        <f ca="1">IF(I12=1,IF(RAND()&lt;0.95,"Piped Water",F_Baseline_data!E12),F_Baseline_data!E12)</f>
        <v>Borehole</v>
      </c>
      <c r="F12">
        <f t="shared" ca="1" si="0"/>
        <v>40</v>
      </c>
      <c r="G12">
        <v>1.2</v>
      </c>
      <c r="H12">
        <f ca="1">MAX(0,ROUND(F_Baseline_data!H12+(F_Baseline_data!C12-5)*200+(D12-30000)*0.015+(F12-50)*15-IF(I12=1,1200,0)+_xlfn.NORM.INV(RAND(),0,2500),-2))</f>
        <v>4100</v>
      </c>
      <c r="I12">
        <v>0</v>
      </c>
      <c r="J12">
        <f>1</f>
        <v>1</v>
      </c>
      <c r="K12">
        <f>1</f>
        <v>1</v>
      </c>
      <c r="L12">
        <v>0</v>
      </c>
      <c r="M12">
        <f t="shared" ca="1" si="1"/>
        <v>0.81272359715546771</v>
      </c>
      <c r="N12">
        <v>0</v>
      </c>
      <c r="O12">
        <v>0</v>
      </c>
      <c r="P12">
        <v>0</v>
      </c>
    </row>
    <row r="13" spans="1:16" x14ac:dyDescent="0.3">
      <c r="A13" t="s">
        <v>121</v>
      </c>
      <c r="B13" t="s">
        <v>62</v>
      </c>
      <c r="C13">
        <f ca="1">IF(RAND()&lt;0.8,F_Baseline_data!C13,IF(RAND()&lt;0.85,F_Baseline_data!C13+1,IF(F_Baseline_data!C13&gt;3,C13-1,F_Baseline_data!C13)))</f>
        <v>8</v>
      </c>
      <c r="D13">
        <f ca="1">MAX(5000,ROUND(F_Baseline_data!D13*(1+_xlfn.NORM.INV(RAND(),0.12,0.1)),-2))</f>
        <v>53000</v>
      </c>
      <c r="E13" t="str">
        <f ca="1">IF(I13=1,IF(RAND()&lt;0.95,"Piped Water",F_Baseline_data!E13),F_Baseline_data!E13)</f>
        <v>Rainwater</v>
      </c>
      <c r="F13">
        <f t="shared" ca="1" si="0"/>
        <v>32</v>
      </c>
      <c r="G13">
        <v>5.3</v>
      </c>
      <c r="H13">
        <f ca="1">MAX(0,ROUND(F_Baseline_data!H13+(F_Baseline_data!C13-5)*200+(D13-30000)*0.015+(F13-50)*15-IF(I13=1,1200,0)+_xlfn.NORM.INV(RAND(),0,2500),-2))</f>
        <v>1900</v>
      </c>
      <c r="I13">
        <v>0</v>
      </c>
      <c r="J13">
        <f>1</f>
        <v>1</v>
      </c>
      <c r="K13">
        <f>1</f>
        <v>1</v>
      </c>
      <c r="L13">
        <v>0</v>
      </c>
      <c r="M13">
        <f t="shared" ca="1" si="1"/>
        <v>0.24309582214518466</v>
      </c>
      <c r="N13">
        <v>0</v>
      </c>
      <c r="O13">
        <v>0</v>
      </c>
      <c r="P13">
        <v>0</v>
      </c>
    </row>
    <row r="14" spans="1:16" x14ac:dyDescent="0.3">
      <c r="A14" t="s">
        <v>122</v>
      </c>
      <c r="B14" t="s">
        <v>65</v>
      </c>
      <c r="C14">
        <f ca="1">IF(RAND()&lt;0.8,F_Baseline_data!C14,IF(RAND()&lt;0.85,F_Baseline_data!C14+1,IF(F_Baseline_data!C14&gt;3,C14-1,F_Baseline_data!C14)))</f>
        <v>3</v>
      </c>
      <c r="D14">
        <f ca="1">MAX(5000,ROUND(F_Baseline_data!D14*(1+_xlfn.NORM.INV(RAND(),0.12,0.1)),-2))</f>
        <v>35100</v>
      </c>
      <c r="E14" t="str">
        <f ca="1">IF(I14=1,IF(RAND()&lt;0.95,"Piped Water",F_Baseline_data!E14),F_Baseline_data!E14)</f>
        <v>Borehole</v>
      </c>
      <c r="F14">
        <f t="shared" ca="1" si="0"/>
        <v>20</v>
      </c>
      <c r="G14">
        <v>10.9</v>
      </c>
      <c r="H14">
        <f ca="1">MAX(0,ROUND(F_Baseline_data!H14+(F_Baseline_data!C14-5)*200+(D14-30000)*0.015+(F14-50)*15-IF(I14=1,1200,0)+_xlfn.NORM.INV(RAND(),0,2500),-2))</f>
        <v>6500</v>
      </c>
      <c r="I14">
        <v>0</v>
      </c>
      <c r="J14">
        <f>1</f>
        <v>1</v>
      </c>
      <c r="K14">
        <f>1</f>
        <v>1</v>
      </c>
      <c r="L14">
        <v>0</v>
      </c>
      <c r="M14">
        <f t="shared" ca="1" si="1"/>
        <v>0.40990382489570099</v>
      </c>
      <c r="N14">
        <v>0</v>
      </c>
      <c r="O14">
        <v>0</v>
      </c>
      <c r="P14">
        <v>0</v>
      </c>
    </row>
    <row r="15" spans="1:16" x14ac:dyDescent="0.3">
      <c r="A15" t="s">
        <v>123</v>
      </c>
      <c r="B15" t="s">
        <v>62</v>
      </c>
      <c r="C15">
        <f ca="1">IF(RAND()&lt;0.8,F_Baseline_data!C15,IF(RAND()&lt;0.85,F_Baseline_data!C15+1,IF(F_Baseline_data!C15&gt;3,C15-1,F_Baseline_data!C15)))</f>
        <v>4</v>
      </c>
      <c r="D15">
        <f ca="1">MAX(5000,ROUND(F_Baseline_data!D15*(1+_xlfn.NORM.INV(RAND(),0.12,0.1)),-2))</f>
        <v>27700</v>
      </c>
      <c r="E15" t="str">
        <f ca="1">IF(I15=1,IF(RAND()&lt;0.95,"Piped Water",F_Baseline_data!E15),F_Baseline_data!E15)</f>
        <v>River</v>
      </c>
      <c r="F15">
        <f t="shared" ca="1" si="0"/>
        <v>90</v>
      </c>
      <c r="G15">
        <v>3.7</v>
      </c>
      <c r="H15">
        <f ca="1">MAX(0,ROUND(F_Baseline_data!H15+(F_Baseline_data!C15-5)*200+(D15-30000)*0.015+(F15-50)*15-IF(I15=1,1200,0)+_xlfn.NORM.INV(RAND(),0,2500),-2))</f>
        <v>1100</v>
      </c>
      <c r="I15">
        <v>0</v>
      </c>
      <c r="J15">
        <f>1</f>
        <v>1</v>
      </c>
      <c r="K15">
        <f>1</f>
        <v>1</v>
      </c>
      <c r="L15">
        <v>0</v>
      </c>
      <c r="M15">
        <f t="shared" ca="1" si="1"/>
        <v>1.8922337043415172E-2</v>
      </c>
      <c r="N15">
        <v>0</v>
      </c>
      <c r="O15">
        <v>0</v>
      </c>
      <c r="P15">
        <v>0</v>
      </c>
    </row>
    <row r="16" spans="1:16" x14ac:dyDescent="0.3">
      <c r="A16" t="s">
        <v>124</v>
      </c>
      <c r="B16" t="s">
        <v>62</v>
      </c>
      <c r="C16">
        <f ca="1">IF(RAND()&lt;0.8,F_Baseline_data!C16,IF(RAND()&lt;0.85,F_Baseline_data!C16+1,IF(F_Baseline_data!C16&gt;3,C16-1,F_Baseline_data!C16)))</f>
        <v>4</v>
      </c>
      <c r="D16">
        <f ca="1">MAX(5000,ROUND(F_Baseline_data!D16*(1+_xlfn.NORM.INV(RAND(),0.12,0.1)),-2))</f>
        <v>39600</v>
      </c>
      <c r="E16" t="str">
        <f ca="1">IF(I16=1,IF(RAND()&lt;0.95,"Piped Water",F_Baseline_data!E16),F_Baseline_data!E16)</f>
        <v>Vendor</v>
      </c>
      <c r="F16">
        <f t="shared" ca="1" si="0"/>
        <v>23</v>
      </c>
      <c r="G16">
        <v>8.9</v>
      </c>
      <c r="H16">
        <f ca="1">MAX(0,ROUND(F_Baseline_data!H16+(F_Baseline_data!C16-5)*200+(D16-30000)*0.015+(F16-50)*15-IF(I16=1,1200,0)+_xlfn.NORM.INV(RAND(),0,2500),-2))</f>
        <v>12900</v>
      </c>
      <c r="I16">
        <v>0</v>
      </c>
      <c r="J16">
        <f>1</f>
        <v>1</v>
      </c>
      <c r="K16">
        <f>1</f>
        <v>1</v>
      </c>
      <c r="L16">
        <v>0</v>
      </c>
      <c r="M16">
        <f t="shared" ca="1" si="1"/>
        <v>0.62029240508689454</v>
      </c>
      <c r="N16">
        <v>0</v>
      </c>
      <c r="O16">
        <v>0</v>
      </c>
      <c r="P16">
        <v>0</v>
      </c>
    </row>
    <row r="17" spans="1:16" x14ac:dyDescent="0.3">
      <c r="A17" t="s">
        <v>125</v>
      </c>
      <c r="B17" t="s">
        <v>62</v>
      </c>
      <c r="C17">
        <f ca="1">IF(RAND()&lt;0.8,F_Baseline_data!C17,IF(RAND()&lt;0.85,F_Baseline_data!C17+1,IF(F_Baseline_data!C17&gt;3,C17-1,F_Baseline_data!C17)))</f>
        <v>4</v>
      </c>
      <c r="D17">
        <f ca="1">MAX(5000,ROUND(F_Baseline_data!D17*(1+_xlfn.NORM.INV(RAND(),0.12,0.1)),-2))</f>
        <v>61200</v>
      </c>
      <c r="E17" t="str">
        <f ca="1">IF(I17=1,IF(RAND()&lt;0.95,"Piped Water",F_Baseline_data!E17),F_Baseline_data!E17)</f>
        <v>Vendor</v>
      </c>
      <c r="F17">
        <f t="shared" ca="1" si="0"/>
        <v>15</v>
      </c>
      <c r="G17">
        <v>4.5</v>
      </c>
      <c r="H17">
        <f ca="1">MAX(0,ROUND(F_Baseline_data!H17+(F_Baseline_data!C17-5)*200+(D17-30000)*0.015+(F17-50)*15-IF(I17=1,1200,0)+_xlfn.NORM.INV(RAND(),0,2500),-2))</f>
        <v>4700</v>
      </c>
      <c r="I17">
        <v>0</v>
      </c>
      <c r="J17">
        <f>1</f>
        <v>1</v>
      </c>
      <c r="K17">
        <f>1</f>
        <v>1</v>
      </c>
      <c r="L17">
        <v>0</v>
      </c>
      <c r="M17">
        <f t="shared" ca="1" si="1"/>
        <v>0.86202166695639493</v>
      </c>
      <c r="N17">
        <v>0</v>
      </c>
      <c r="O17">
        <v>0</v>
      </c>
      <c r="P17">
        <v>0</v>
      </c>
    </row>
    <row r="18" spans="1:16" x14ac:dyDescent="0.3">
      <c r="A18" t="s">
        <v>126</v>
      </c>
      <c r="B18" t="s">
        <v>513</v>
      </c>
      <c r="C18">
        <f ca="1">IF(RAND()&lt;0.8,F_Baseline_data!C18,IF(RAND()&lt;0.85,F_Baseline_data!C18+1,IF(F_Baseline_data!C18&gt;3,C18-1,F_Baseline_data!C18)))</f>
        <v>4</v>
      </c>
      <c r="D18">
        <f ca="1">MAX(5000,ROUND(F_Baseline_data!D18*(1+_xlfn.NORM.INV(RAND(),0.12,0.1)),-2))</f>
        <v>26300</v>
      </c>
      <c r="E18" t="str">
        <f ca="1">IF(I18=1,IF(RAND()&lt;0.95,"Piped Water",F_Baseline_data!E18),F_Baseline_data!E18)</f>
        <v>Rainwater</v>
      </c>
      <c r="F18">
        <f t="shared" ca="1" si="0"/>
        <v>69</v>
      </c>
      <c r="G18">
        <v>4.2</v>
      </c>
      <c r="H18">
        <f ca="1">MAX(0,ROUND(F_Baseline_data!H18+(F_Baseline_data!C18-5)*200+(D18-30000)*0.015+(F18-50)*15-IF(I18=1,1200,0)+_xlfn.NORM.INV(RAND(),0,2500),-2))</f>
        <v>1100</v>
      </c>
      <c r="I18">
        <v>0</v>
      </c>
      <c r="J18">
        <f>1</f>
        <v>1</v>
      </c>
      <c r="K18">
        <f>1</f>
        <v>1</v>
      </c>
      <c r="L18">
        <v>0</v>
      </c>
      <c r="M18">
        <f t="shared" ca="1" si="1"/>
        <v>0.3670234427444633</v>
      </c>
      <c r="N18">
        <v>0</v>
      </c>
      <c r="O18">
        <v>0</v>
      </c>
      <c r="P18">
        <v>0</v>
      </c>
    </row>
    <row r="19" spans="1:16" x14ac:dyDescent="0.3">
      <c r="A19" t="s">
        <v>127</v>
      </c>
      <c r="B19" t="s">
        <v>65</v>
      </c>
      <c r="C19">
        <f ca="1">IF(RAND()&lt;0.8,F_Baseline_data!C19,IF(RAND()&lt;0.85,F_Baseline_data!C19+1,IF(F_Baseline_data!C19&gt;3,C19-1,F_Baseline_data!C19)))</f>
        <v>7</v>
      </c>
      <c r="D19">
        <f ca="1">MAX(5000,ROUND(F_Baseline_data!D19*(1+_xlfn.NORM.INV(RAND(),0.12,0.1)),-2))</f>
        <v>35100</v>
      </c>
      <c r="E19" t="str">
        <f ca="1">IF(I19=1,IF(RAND()&lt;0.95,"Piped Water",F_Baseline_data!E19),F_Baseline_data!E19)</f>
        <v>Rainwater</v>
      </c>
      <c r="F19">
        <f t="shared" ca="1" si="0"/>
        <v>26</v>
      </c>
      <c r="G19">
        <v>2.7</v>
      </c>
      <c r="H19">
        <f ca="1">MAX(0,ROUND(F_Baseline_data!H19+(F_Baseline_data!C19-5)*200+(D19-30000)*0.015+(F19-50)*15-IF(I19=1,1200,0)+_xlfn.NORM.INV(RAND(),0,2500),-2))</f>
        <v>6900</v>
      </c>
      <c r="I19">
        <v>0</v>
      </c>
      <c r="J19">
        <f>1</f>
        <v>1</v>
      </c>
      <c r="K19">
        <f>1</f>
        <v>1</v>
      </c>
      <c r="L19">
        <v>0</v>
      </c>
      <c r="M19">
        <f t="shared" ca="1" si="1"/>
        <v>0.43354520701292076</v>
      </c>
      <c r="N19">
        <v>0</v>
      </c>
      <c r="O19">
        <v>0</v>
      </c>
      <c r="P19">
        <v>0</v>
      </c>
    </row>
    <row r="20" spans="1:16" x14ac:dyDescent="0.3">
      <c r="A20" t="s">
        <v>128</v>
      </c>
      <c r="B20" t="s">
        <v>513</v>
      </c>
      <c r="C20">
        <f ca="1">IF(RAND()&lt;0.8,F_Baseline_data!C20,IF(RAND()&lt;0.85,F_Baseline_data!C20+1,IF(F_Baseline_data!C20&gt;3,C20-1,F_Baseline_data!C20)))</f>
        <v>7</v>
      </c>
      <c r="D20">
        <f ca="1">MAX(5000,ROUND(F_Baseline_data!D20*(1+_xlfn.NORM.INV(RAND(),0.12,0.1)),-2))</f>
        <v>53200</v>
      </c>
      <c r="E20" t="str">
        <f ca="1">IF(I20=1,IF(RAND()&lt;0.95,"Piped Water",F_Baseline_data!E20),F_Baseline_data!E20)</f>
        <v>Rainwater</v>
      </c>
      <c r="F20">
        <f t="shared" ca="1" si="0"/>
        <v>28</v>
      </c>
      <c r="G20">
        <v>6.6</v>
      </c>
      <c r="H20">
        <f ca="1">MAX(0,ROUND(F_Baseline_data!H20+(F_Baseline_data!C20-5)*200+(D20-30000)*0.015+(F20-50)*15-IF(I20=1,1200,0)+_xlfn.NORM.INV(RAND(),0,2500),-2))</f>
        <v>8400</v>
      </c>
      <c r="I20">
        <v>0</v>
      </c>
      <c r="J20">
        <f>1</f>
        <v>1</v>
      </c>
      <c r="K20">
        <f>1</f>
        <v>1</v>
      </c>
      <c r="L20">
        <v>0</v>
      </c>
      <c r="M20">
        <f t="shared" ca="1" si="1"/>
        <v>0.99013876595350814</v>
      </c>
      <c r="N20">
        <v>0</v>
      </c>
      <c r="O20">
        <v>0</v>
      </c>
      <c r="P20">
        <v>0</v>
      </c>
    </row>
    <row r="21" spans="1:16" x14ac:dyDescent="0.3">
      <c r="A21" t="s">
        <v>129</v>
      </c>
      <c r="B21" t="s">
        <v>62</v>
      </c>
      <c r="C21">
        <f ca="1">IF(RAND()&lt;0.8,F_Baseline_data!C21,IF(RAND()&lt;0.85,F_Baseline_data!C21+1,IF(F_Baseline_data!C21&gt;3,C21-1,F_Baseline_data!C21)))</f>
        <v>4</v>
      </c>
      <c r="D21">
        <f ca="1">MAX(5000,ROUND(F_Baseline_data!D21*(1+_xlfn.NORM.INV(RAND(),0.12,0.1)),-2))</f>
        <v>38900</v>
      </c>
      <c r="E21" t="str">
        <f ca="1">IF(I21=1,IF(RAND()&lt;0.95,"Piped Water",F_Baseline_data!E21),F_Baseline_data!E21)</f>
        <v>River</v>
      </c>
      <c r="F21">
        <f t="shared" ca="1" si="0"/>
        <v>64</v>
      </c>
      <c r="G21">
        <v>1.2</v>
      </c>
      <c r="H21">
        <f ca="1">MAX(0,ROUND(F_Baseline_data!H21+(F_Baseline_data!C21-5)*200+(D21-30000)*0.015+(F21-50)*15-IF(I21=1,1200,0)+_xlfn.NORM.INV(RAND(),0,2500),-2))</f>
        <v>8300</v>
      </c>
      <c r="I21">
        <v>0</v>
      </c>
      <c r="J21">
        <f>1</f>
        <v>1</v>
      </c>
      <c r="K21">
        <f>1</f>
        <v>1</v>
      </c>
      <c r="L21">
        <v>0</v>
      </c>
      <c r="M21">
        <f t="shared" ca="1" si="1"/>
        <v>0.60923399104915787</v>
      </c>
      <c r="N21">
        <v>0</v>
      </c>
      <c r="O21">
        <v>0</v>
      </c>
      <c r="P21">
        <v>0</v>
      </c>
    </row>
    <row r="22" spans="1:16" x14ac:dyDescent="0.3">
      <c r="A22" t="s">
        <v>130</v>
      </c>
      <c r="B22" t="s">
        <v>513</v>
      </c>
      <c r="C22">
        <f ca="1">IF(RAND()&lt;0.8,F_Baseline_data!C22,IF(RAND()&lt;0.85,F_Baseline_data!C22+1,IF(F_Baseline_data!C22&gt;3,C22-1,F_Baseline_data!C22)))</f>
        <v>9</v>
      </c>
      <c r="D22">
        <f ca="1">MAX(5000,ROUND(F_Baseline_data!D22*(1+_xlfn.NORM.INV(RAND(),0.12,0.1)),-2))</f>
        <v>37100</v>
      </c>
      <c r="E22" t="str">
        <f ca="1">IF(I22=1,IF(RAND()&lt;0.95,"Piped Water",F_Baseline_data!E22),F_Baseline_data!E22)</f>
        <v>Rainwater</v>
      </c>
      <c r="F22">
        <f t="shared" ca="1" si="0"/>
        <v>23</v>
      </c>
      <c r="G22">
        <v>4.8</v>
      </c>
      <c r="H22">
        <f ca="1">MAX(0,ROUND(F_Baseline_data!H22+(F_Baseline_data!C22-5)*200+(D22-30000)*0.015+(F22-50)*15-IF(I22=1,1200,0)+_xlfn.NORM.INV(RAND(),0,2500),-2))</f>
        <v>5100</v>
      </c>
      <c r="I22">
        <v>0</v>
      </c>
      <c r="J22">
        <f>1</f>
        <v>1</v>
      </c>
      <c r="K22">
        <f>1</f>
        <v>1</v>
      </c>
      <c r="L22">
        <v>0</v>
      </c>
      <c r="M22">
        <f t="shared" ca="1" si="1"/>
        <v>0.12273123198378422</v>
      </c>
      <c r="N22">
        <v>0</v>
      </c>
      <c r="O22">
        <v>0</v>
      </c>
      <c r="P22">
        <v>0</v>
      </c>
    </row>
    <row r="23" spans="1:16" x14ac:dyDescent="0.3">
      <c r="A23" t="s">
        <v>131</v>
      </c>
      <c r="B23" t="s">
        <v>62</v>
      </c>
      <c r="C23">
        <f ca="1">IF(RAND()&lt;0.8,F_Baseline_data!C23,IF(RAND()&lt;0.85,F_Baseline_data!C23+1,IF(F_Baseline_data!C23&gt;3,C23-1,F_Baseline_data!C23)))</f>
        <v>6</v>
      </c>
      <c r="D23">
        <f ca="1">MAX(5000,ROUND(F_Baseline_data!D23*(1+_xlfn.NORM.INV(RAND(),0.12,0.1)),-2))</f>
        <v>30600</v>
      </c>
      <c r="E23" t="str">
        <f ca="1">IF(I23=1,IF(RAND()&lt;0.95,"Piped Water",F_Baseline_data!E23),F_Baseline_data!E23)</f>
        <v>Vendor</v>
      </c>
      <c r="F23">
        <f t="shared" ca="1" si="0"/>
        <v>46</v>
      </c>
      <c r="G23">
        <v>6.6</v>
      </c>
      <c r="H23">
        <f ca="1">MAX(0,ROUND(F_Baseline_data!H23+(F_Baseline_data!C23-5)*200+(D23-30000)*0.015+(F23-50)*15-IF(I23=1,1200,0)+_xlfn.NORM.INV(RAND(),0,2500),-2))</f>
        <v>10200</v>
      </c>
      <c r="I23">
        <v>0</v>
      </c>
      <c r="J23">
        <f>1</f>
        <v>1</v>
      </c>
      <c r="K23">
        <f>1</f>
        <v>1</v>
      </c>
      <c r="L23">
        <v>0</v>
      </c>
      <c r="M23">
        <f t="shared" ca="1" si="1"/>
        <v>0.60904006105770614</v>
      </c>
      <c r="N23">
        <v>0</v>
      </c>
      <c r="O23">
        <v>0</v>
      </c>
      <c r="P23">
        <v>0</v>
      </c>
    </row>
    <row r="24" spans="1:16" x14ac:dyDescent="0.3">
      <c r="A24" t="s">
        <v>132</v>
      </c>
      <c r="B24" t="s">
        <v>64</v>
      </c>
      <c r="C24">
        <f ca="1">IF(RAND()&lt;0.8,F_Baseline_data!C24,IF(RAND()&lt;0.85,F_Baseline_data!C24+1,IF(F_Baseline_data!C24&gt;3,C24-1,F_Baseline_data!C24)))</f>
        <v>4</v>
      </c>
      <c r="D24">
        <f ca="1">MAX(5000,ROUND(F_Baseline_data!D24*(1+_xlfn.NORM.INV(RAND(),0.12,0.1)),-2))</f>
        <v>53900</v>
      </c>
      <c r="E24" t="str">
        <f ca="1">IF(I24=1,IF(RAND()&lt;0.95,"Piped Water",F_Baseline_data!E24),F_Baseline_data!E24)</f>
        <v>Rainwater</v>
      </c>
      <c r="F24">
        <f t="shared" ca="1" si="0"/>
        <v>15</v>
      </c>
      <c r="G24">
        <v>4.5999999999999996</v>
      </c>
      <c r="H24">
        <f ca="1">MAX(0,ROUND(F_Baseline_data!H24+(F_Baseline_data!C24-5)*200+(D24-30000)*0.015+(F24-50)*15-IF(I24=1,1200,0)+_xlfn.NORM.INV(RAND(),0,2500),-2))</f>
        <v>2800</v>
      </c>
      <c r="I24">
        <v>0</v>
      </c>
      <c r="J24">
        <f>1</f>
        <v>1</v>
      </c>
      <c r="K24">
        <f>1</f>
        <v>1</v>
      </c>
      <c r="L24">
        <v>0</v>
      </c>
      <c r="M24">
        <f t="shared" ca="1" si="1"/>
        <v>0.36505219092726937</v>
      </c>
      <c r="N24">
        <v>0</v>
      </c>
      <c r="O24">
        <v>0</v>
      </c>
      <c r="P24">
        <v>0</v>
      </c>
    </row>
    <row r="25" spans="1:16" x14ac:dyDescent="0.3">
      <c r="A25" t="s">
        <v>133</v>
      </c>
      <c r="B25" t="s">
        <v>513</v>
      </c>
      <c r="C25">
        <f ca="1">IF(RAND()&lt;0.8,F_Baseline_data!C25,IF(RAND()&lt;0.85,F_Baseline_data!C25+1,IF(F_Baseline_data!C25&gt;3,C25-1,F_Baseline_data!C25)))</f>
        <v>5</v>
      </c>
      <c r="D25">
        <f ca="1">MAX(5000,ROUND(F_Baseline_data!D25*(1+_xlfn.NORM.INV(RAND(),0.12,0.1)),-2))</f>
        <v>83800</v>
      </c>
      <c r="E25" t="str">
        <f ca="1">IF(I25=1,IF(RAND()&lt;0.95,"Piped Water",F_Baseline_data!E25),F_Baseline_data!E25)</f>
        <v>Vendor</v>
      </c>
      <c r="F25">
        <f t="shared" ca="1" si="0"/>
        <v>56</v>
      </c>
      <c r="G25">
        <v>14.3</v>
      </c>
      <c r="H25">
        <f ca="1">MAX(0,ROUND(F_Baseline_data!H25+(F_Baseline_data!C25-5)*200+(D25-30000)*0.015+(F25-50)*15-IF(I25=1,1200,0)+_xlfn.NORM.INV(RAND(),0,2500),-2))</f>
        <v>3900</v>
      </c>
      <c r="I25">
        <v>0</v>
      </c>
      <c r="J25">
        <f>1</f>
        <v>1</v>
      </c>
      <c r="K25">
        <f>1</f>
        <v>1</v>
      </c>
      <c r="L25">
        <v>0</v>
      </c>
      <c r="M25">
        <f t="shared" ca="1" si="1"/>
        <v>0.23342423243559607</v>
      </c>
      <c r="N25">
        <v>0</v>
      </c>
      <c r="O25">
        <v>0</v>
      </c>
      <c r="P25">
        <v>0</v>
      </c>
    </row>
    <row r="26" spans="1:16" x14ac:dyDescent="0.3">
      <c r="A26" t="s">
        <v>134</v>
      </c>
      <c r="B26" t="s">
        <v>513</v>
      </c>
      <c r="C26">
        <f ca="1">IF(RAND()&lt;0.8,F_Baseline_data!C26,IF(RAND()&lt;0.85,F_Baseline_data!C26+1,IF(F_Baseline_data!C26&gt;3,C26-1,F_Baseline_data!C26)))</f>
        <v>5</v>
      </c>
      <c r="D26">
        <f ca="1">MAX(5000,ROUND(F_Baseline_data!D26*(1+_xlfn.NORM.INV(RAND(),0.12,0.1)),-2))</f>
        <v>69500</v>
      </c>
      <c r="E26" t="str">
        <f ca="1">IF(I26=1,IF(RAND()&lt;0.95,"Piped Water",F_Baseline_data!E26),F_Baseline_data!E26)</f>
        <v>Borehole</v>
      </c>
      <c r="F26">
        <f t="shared" ca="1" si="0"/>
        <v>58</v>
      </c>
      <c r="G26">
        <v>2.1</v>
      </c>
      <c r="H26">
        <f ca="1">MAX(0,ROUND(F_Baseline_data!H26+(F_Baseline_data!C26-5)*200+(D26-30000)*0.015+(F26-50)*15-IF(I26=1,1200,0)+_xlfn.NORM.INV(RAND(),0,2500),-2))</f>
        <v>0</v>
      </c>
      <c r="I26">
        <v>0</v>
      </c>
      <c r="J26">
        <f>1</f>
        <v>1</v>
      </c>
      <c r="K26">
        <f>1</f>
        <v>1</v>
      </c>
      <c r="L26">
        <v>0</v>
      </c>
      <c r="M26">
        <f t="shared" ca="1" si="1"/>
        <v>0.58232062153182762</v>
      </c>
      <c r="N26">
        <v>0</v>
      </c>
      <c r="O26">
        <v>0</v>
      </c>
      <c r="P26">
        <v>0</v>
      </c>
    </row>
    <row r="27" spans="1:16" x14ac:dyDescent="0.3">
      <c r="A27" t="s">
        <v>135</v>
      </c>
      <c r="B27" t="s">
        <v>513</v>
      </c>
      <c r="C27">
        <f ca="1">IF(RAND()&lt;0.8,F_Baseline_data!C27,IF(RAND()&lt;0.85,F_Baseline_data!C27+1,IF(F_Baseline_data!C27&gt;3,C27-1,F_Baseline_data!C27)))</f>
        <v>10</v>
      </c>
      <c r="D27">
        <f ca="1">MAX(5000,ROUND(F_Baseline_data!D27*(1+_xlfn.NORM.INV(RAND(),0.12,0.1)),-2))</f>
        <v>48100</v>
      </c>
      <c r="E27" t="str">
        <f ca="1">IF(I27=1,IF(RAND()&lt;0.95,"Piped Water",F_Baseline_data!E27),F_Baseline_data!E27)</f>
        <v>Borehole</v>
      </c>
      <c r="F27">
        <f t="shared" ca="1" si="0"/>
        <v>71</v>
      </c>
      <c r="G27">
        <v>9.5</v>
      </c>
      <c r="H27">
        <f ca="1">MAX(0,ROUND(F_Baseline_data!H27+(F_Baseline_data!C27-5)*200+(D27-30000)*0.015+(F27-50)*15-IF(I27=1,1200,0)+_xlfn.NORM.INV(RAND(),0,2500),-2))</f>
        <v>13800</v>
      </c>
      <c r="I27">
        <v>0</v>
      </c>
      <c r="J27">
        <f>1</f>
        <v>1</v>
      </c>
      <c r="K27">
        <f>1</f>
        <v>1</v>
      </c>
      <c r="L27">
        <v>0</v>
      </c>
      <c r="M27">
        <f t="shared" ca="1" si="1"/>
        <v>1.5510525591777236E-2</v>
      </c>
      <c r="N27">
        <v>0</v>
      </c>
      <c r="O27">
        <v>0</v>
      </c>
      <c r="P27">
        <v>0</v>
      </c>
    </row>
    <row r="28" spans="1:16" x14ac:dyDescent="0.3">
      <c r="A28" t="s">
        <v>136</v>
      </c>
      <c r="B28" t="s">
        <v>62</v>
      </c>
      <c r="C28">
        <f ca="1">IF(RAND()&lt;0.8,F_Baseline_data!C28,IF(RAND()&lt;0.85,F_Baseline_data!C28+1,IF(F_Baseline_data!C28&gt;3,C28-1,F_Baseline_data!C28)))</f>
        <v>2</v>
      </c>
      <c r="D28">
        <f ca="1">MAX(5000,ROUND(F_Baseline_data!D28*(1+_xlfn.NORM.INV(RAND(),0.12,0.1)),-2))</f>
        <v>13200</v>
      </c>
      <c r="E28" t="str">
        <f ca="1">IF(I28=1,IF(RAND()&lt;0.95,"Piped Water",F_Baseline_data!E28),F_Baseline_data!E28)</f>
        <v>Rainwater</v>
      </c>
      <c r="F28">
        <f t="shared" ca="1" si="0"/>
        <v>39</v>
      </c>
      <c r="G28">
        <v>1.3</v>
      </c>
      <c r="H28">
        <f ca="1">MAX(0,ROUND(F_Baseline_data!H28+(F_Baseline_data!C28-5)*200+(D28-30000)*0.015+(F28-50)*15-IF(I28=1,1200,0)+_xlfn.NORM.INV(RAND(),0,2500),-2))</f>
        <v>3300</v>
      </c>
      <c r="I28">
        <v>0</v>
      </c>
      <c r="J28">
        <f>1</f>
        <v>1</v>
      </c>
      <c r="K28">
        <f>1</f>
        <v>1</v>
      </c>
      <c r="L28">
        <v>0</v>
      </c>
      <c r="M28">
        <f t="shared" ca="1" si="1"/>
        <v>0.82651982637536336</v>
      </c>
      <c r="N28">
        <v>0</v>
      </c>
      <c r="O28">
        <v>0</v>
      </c>
      <c r="P28">
        <v>0</v>
      </c>
    </row>
    <row r="29" spans="1:16" x14ac:dyDescent="0.3">
      <c r="A29" t="s">
        <v>137</v>
      </c>
      <c r="B29" t="s">
        <v>62</v>
      </c>
      <c r="C29">
        <f ca="1">IF(RAND()&lt;0.8,F_Baseline_data!C29,IF(RAND()&lt;0.85,F_Baseline_data!C29+1,IF(F_Baseline_data!C29&gt;3,C29-1,F_Baseline_data!C29)))</f>
        <v>4</v>
      </c>
      <c r="D29">
        <f ca="1">MAX(5000,ROUND(F_Baseline_data!D29*(1+_xlfn.NORM.INV(RAND(),0.12,0.1)),-2))</f>
        <v>25700</v>
      </c>
      <c r="E29" t="str">
        <f ca="1">IF(I29=1,IF(RAND()&lt;0.95,"Piped Water",F_Baseline_data!E29),F_Baseline_data!E29)</f>
        <v>Rainwater</v>
      </c>
      <c r="F29">
        <f t="shared" ca="1" si="0"/>
        <v>44</v>
      </c>
      <c r="G29">
        <v>3.5</v>
      </c>
      <c r="H29">
        <f ca="1">MAX(0,ROUND(F_Baseline_data!H29+(F_Baseline_data!C29-5)*200+(D29-30000)*0.015+(F29-50)*15-IF(I29=1,1200,0)+_xlfn.NORM.INV(RAND(),0,2500),-2))</f>
        <v>1800</v>
      </c>
      <c r="I29">
        <v>0</v>
      </c>
      <c r="J29">
        <f>1</f>
        <v>1</v>
      </c>
      <c r="K29">
        <f>1</f>
        <v>1</v>
      </c>
      <c r="L29">
        <v>0</v>
      </c>
      <c r="M29">
        <f t="shared" ca="1" si="1"/>
        <v>0.25794943788875691</v>
      </c>
      <c r="N29">
        <v>0</v>
      </c>
      <c r="O29">
        <v>0</v>
      </c>
      <c r="P29">
        <v>0</v>
      </c>
    </row>
    <row r="30" spans="1:16" x14ac:dyDescent="0.3">
      <c r="A30" t="s">
        <v>138</v>
      </c>
      <c r="B30" t="s">
        <v>513</v>
      </c>
      <c r="C30">
        <f ca="1">IF(RAND()&lt;0.8,F_Baseline_data!C30,IF(RAND()&lt;0.85,F_Baseline_data!C30+1,IF(F_Baseline_data!C30&gt;3,C30-1,F_Baseline_data!C30)))</f>
        <v>5</v>
      </c>
      <c r="D30">
        <f ca="1">MAX(5000,ROUND(F_Baseline_data!D30*(1+_xlfn.NORM.INV(RAND(),0.12,0.1)),-2))</f>
        <v>49200</v>
      </c>
      <c r="E30" t="str">
        <f ca="1">IF(I30=1,IF(RAND()&lt;0.95,"Piped Water",F_Baseline_data!E30),F_Baseline_data!E30)</f>
        <v>Rainwater</v>
      </c>
      <c r="F30">
        <f t="shared" ca="1" si="0"/>
        <v>43</v>
      </c>
      <c r="G30">
        <v>4.8</v>
      </c>
      <c r="H30">
        <f ca="1">MAX(0,ROUND(F_Baseline_data!H30+(F_Baseline_data!C30-5)*200+(D30-30000)*0.015+(F30-50)*15-IF(I30=1,1200,0)+_xlfn.NORM.INV(RAND(),0,2500),-2))</f>
        <v>0</v>
      </c>
      <c r="I30">
        <v>0</v>
      </c>
      <c r="J30">
        <f>1</f>
        <v>1</v>
      </c>
      <c r="K30">
        <f>1</f>
        <v>1</v>
      </c>
      <c r="L30">
        <v>0</v>
      </c>
      <c r="M30">
        <f t="shared" ca="1" si="1"/>
        <v>0.78552280112042872</v>
      </c>
      <c r="N30">
        <v>0</v>
      </c>
      <c r="O30">
        <v>0</v>
      </c>
      <c r="P30">
        <v>0</v>
      </c>
    </row>
    <row r="31" spans="1:16" x14ac:dyDescent="0.3">
      <c r="A31" t="s">
        <v>139</v>
      </c>
      <c r="B31" t="s">
        <v>65</v>
      </c>
      <c r="C31">
        <f ca="1">IF(RAND()&lt;0.8,F_Baseline_data!C31,IF(RAND()&lt;0.85,F_Baseline_data!C31+1,IF(F_Baseline_data!C31&gt;3,C31-1,F_Baseline_data!C31)))</f>
        <v>2</v>
      </c>
      <c r="D31">
        <f ca="1">MAX(5000,ROUND(F_Baseline_data!D31*(1+_xlfn.NORM.INV(RAND(),0.12,0.1)),-2))</f>
        <v>52300</v>
      </c>
      <c r="E31" t="str">
        <f ca="1">IF(I31=1,IF(RAND()&lt;0.95,"Piped Water",F_Baseline_data!E31),F_Baseline_data!E31)</f>
        <v>Vendor</v>
      </c>
      <c r="F31">
        <f t="shared" ca="1" si="0"/>
        <v>24</v>
      </c>
      <c r="G31">
        <v>11.4</v>
      </c>
      <c r="H31">
        <f ca="1">MAX(0,ROUND(F_Baseline_data!H31+(F_Baseline_data!C31-5)*200+(D31-30000)*0.015+(F31-50)*15-IF(I31=1,1200,0)+_xlfn.NORM.INV(RAND(),0,2500),-2))</f>
        <v>0</v>
      </c>
      <c r="I31">
        <v>0</v>
      </c>
      <c r="J31">
        <f>1</f>
        <v>1</v>
      </c>
      <c r="K31">
        <f>1</f>
        <v>1</v>
      </c>
      <c r="L31">
        <v>0</v>
      </c>
      <c r="M31">
        <f t="shared" ca="1" si="1"/>
        <v>0.28341538673345312</v>
      </c>
      <c r="N31">
        <v>0</v>
      </c>
      <c r="O31">
        <v>0</v>
      </c>
      <c r="P31">
        <v>0</v>
      </c>
    </row>
    <row r="32" spans="1:16" x14ac:dyDescent="0.3">
      <c r="A32" t="s">
        <v>140</v>
      </c>
      <c r="B32" t="s">
        <v>64</v>
      </c>
      <c r="C32">
        <f ca="1">IF(RAND()&lt;0.8,F_Baseline_data!C32,IF(RAND()&lt;0.85,F_Baseline_data!C32+1,IF(F_Baseline_data!C32&gt;3,C32-1,F_Baseline_data!C32)))</f>
        <v>2</v>
      </c>
      <c r="D32">
        <f ca="1">MAX(5000,ROUND(F_Baseline_data!D32*(1+_xlfn.NORM.INV(RAND(),0.12,0.1)),-2))</f>
        <v>22800</v>
      </c>
      <c r="E32" t="str">
        <f ca="1">IF(I32=1,IF(RAND()&lt;0.95,"Piped Water",F_Baseline_data!E32),F_Baseline_data!E32)</f>
        <v>Borehole</v>
      </c>
      <c r="F32">
        <f t="shared" ca="1" si="0"/>
        <v>42</v>
      </c>
      <c r="G32">
        <v>5.0999999999999996</v>
      </c>
      <c r="H32">
        <f ca="1">MAX(0,ROUND(F_Baseline_data!H32+(F_Baseline_data!C32-5)*200+(D32-30000)*0.015+(F32-50)*15-IF(I32=1,1200,0)+_xlfn.NORM.INV(RAND(),0,2500),-2))</f>
        <v>10300</v>
      </c>
      <c r="I32">
        <v>0</v>
      </c>
      <c r="J32">
        <f>1</f>
        <v>1</v>
      </c>
      <c r="K32">
        <f>1</f>
        <v>1</v>
      </c>
      <c r="L32">
        <v>0</v>
      </c>
      <c r="M32">
        <f t="shared" ca="1" si="1"/>
        <v>0.30861761256229003</v>
      </c>
      <c r="N32">
        <v>0</v>
      </c>
      <c r="O32">
        <v>0</v>
      </c>
      <c r="P32">
        <v>0</v>
      </c>
    </row>
    <row r="33" spans="1:16" x14ac:dyDescent="0.3">
      <c r="A33" t="s">
        <v>141</v>
      </c>
      <c r="B33" t="s">
        <v>65</v>
      </c>
      <c r="C33">
        <f ca="1">IF(RAND()&lt;0.8,F_Baseline_data!C33,IF(RAND()&lt;0.85,F_Baseline_data!C33+1,IF(F_Baseline_data!C33&gt;3,C33-1,F_Baseline_data!C33)))</f>
        <v>7</v>
      </c>
      <c r="D33">
        <f ca="1">MAX(5000,ROUND(F_Baseline_data!D33*(1+_xlfn.NORM.INV(RAND(),0.12,0.1)),-2))</f>
        <v>77700</v>
      </c>
      <c r="E33" t="str">
        <f ca="1">IF(I33=1,IF(RAND()&lt;0.95,"Piped Water",F_Baseline_data!E33),F_Baseline_data!E33)</f>
        <v>Borehole</v>
      </c>
      <c r="F33">
        <f t="shared" ca="1" si="0"/>
        <v>34</v>
      </c>
      <c r="G33">
        <v>11.3</v>
      </c>
      <c r="H33">
        <f ca="1">MAX(0,ROUND(F_Baseline_data!H33+(F_Baseline_data!C33-5)*200+(D33-30000)*0.015+(F33-50)*15-IF(I33=1,1200,0)+_xlfn.NORM.INV(RAND(),0,2500),-2))</f>
        <v>2600</v>
      </c>
      <c r="I33">
        <v>0</v>
      </c>
      <c r="J33">
        <f>1</f>
        <v>1</v>
      </c>
      <c r="K33">
        <f>1</f>
        <v>1</v>
      </c>
      <c r="L33">
        <v>0</v>
      </c>
      <c r="M33">
        <f t="shared" ca="1" si="1"/>
        <v>3.8668236516932186E-2</v>
      </c>
      <c r="N33">
        <v>0</v>
      </c>
      <c r="O33">
        <v>0</v>
      </c>
      <c r="P33">
        <v>0</v>
      </c>
    </row>
    <row r="34" spans="1:16" x14ac:dyDescent="0.3">
      <c r="A34" t="s">
        <v>142</v>
      </c>
      <c r="B34" t="s">
        <v>62</v>
      </c>
      <c r="C34">
        <f ca="1">IF(RAND()&lt;0.8,F_Baseline_data!C34,IF(RAND()&lt;0.85,F_Baseline_data!C34+1,IF(F_Baseline_data!C34&gt;3,C34-1,F_Baseline_data!C34)))</f>
        <v>7</v>
      </c>
      <c r="D34">
        <f ca="1">MAX(5000,ROUND(F_Baseline_data!D34*(1+_xlfn.NORM.INV(RAND(),0.12,0.1)),-2))</f>
        <v>75400</v>
      </c>
      <c r="E34" t="str">
        <f ca="1">IF(I34=1,IF(RAND()&lt;0.95,"Piped Water",F_Baseline_data!E34),F_Baseline_data!E34)</f>
        <v>Vendor</v>
      </c>
      <c r="F34">
        <f t="shared" ca="1" si="0"/>
        <v>46</v>
      </c>
      <c r="G34">
        <v>9.8000000000000007</v>
      </c>
      <c r="H34">
        <f ca="1">MAX(0,ROUND(F_Baseline_data!H34+(F_Baseline_data!C34-5)*200+(D34-30000)*0.015+(F34-50)*15-IF(I34=1,1200,0)+_xlfn.NORM.INV(RAND(),0,2500),-2))</f>
        <v>1200</v>
      </c>
      <c r="I34">
        <v>0</v>
      </c>
      <c r="J34">
        <f>1</f>
        <v>1</v>
      </c>
      <c r="K34">
        <f>1</f>
        <v>1</v>
      </c>
      <c r="L34">
        <v>0</v>
      </c>
      <c r="M34">
        <f t="shared" ca="1" si="1"/>
        <v>0.614774801046161</v>
      </c>
      <c r="N34">
        <v>0</v>
      </c>
      <c r="O34">
        <v>0</v>
      </c>
      <c r="P34">
        <v>0</v>
      </c>
    </row>
    <row r="35" spans="1:16" x14ac:dyDescent="0.3">
      <c r="A35" t="s">
        <v>143</v>
      </c>
      <c r="B35" t="s">
        <v>62</v>
      </c>
      <c r="C35">
        <f ca="1">IF(RAND()&lt;0.8,F_Baseline_data!C35,IF(RAND()&lt;0.85,F_Baseline_data!C35+1,IF(F_Baseline_data!C35&gt;3,C35-1,F_Baseline_data!C35)))</f>
        <v>5</v>
      </c>
      <c r="D35">
        <f ca="1">MAX(5000,ROUND(F_Baseline_data!D35*(1+_xlfn.NORM.INV(RAND(),0.12,0.1)),-2))</f>
        <v>69700</v>
      </c>
      <c r="E35" t="str">
        <f ca="1">IF(I35=1,IF(RAND()&lt;0.95,"Piped Water",F_Baseline_data!E35),F_Baseline_data!E35)</f>
        <v>Vendor</v>
      </c>
      <c r="F35">
        <f t="shared" ca="1" si="0"/>
        <v>43</v>
      </c>
      <c r="G35">
        <v>7.3</v>
      </c>
      <c r="H35">
        <f ca="1">MAX(0,ROUND(F_Baseline_data!H35+(F_Baseline_data!C35-5)*200+(D35-30000)*0.015+(F35-50)*15-IF(I35=1,1200,0)+_xlfn.NORM.INV(RAND(),0,2500),-2))</f>
        <v>5000</v>
      </c>
      <c r="I35">
        <v>0</v>
      </c>
      <c r="J35">
        <f>1</f>
        <v>1</v>
      </c>
      <c r="K35">
        <f>1</f>
        <v>1</v>
      </c>
      <c r="L35">
        <v>0</v>
      </c>
      <c r="M35">
        <f t="shared" ca="1" si="1"/>
        <v>0.63321612456556065</v>
      </c>
      <c r="N35">
        <v>0</v>
      </c>
      <c r="O35">
        <v>0</v>
      </c>
      <c r="P35">
        <v>0</v>
      </c>
    </row>
    <row r="36" spans="1:16" x14ac:dyDescent="0.3">
      <c r="A36" t="s">
        <v>144</v>
      </c>
      <c r="B36" t="s">
        <v>65</v>
      </c>
      <c r="C36">
        <f ca="1">IF(RAND()&lt;0.8,F_Baseline_data!C36,IF(RAND()&lt;0.85,F_Baseline_data!C36+1,IF(F_Baseline_data!C36&gt;3,C36-1,F_Baseline_data!C36)))</f>
        <v>9</v>
      </c>
      <c r="D36">
        <f ca="1">MAX(5000,ROUND(F_Baseline_data!D36*(1+_xlfn.NORM.INV(RAND(),0.12,0.1)),-2))</f>
        <v>31000</v>
      </c>
      <c r="E36" t="str">
        <f ca="1">IF(I36=1,IF(RAND()&lt;0.95,"Piped Water",F_Baseline_data!E36),F_Baseline_data!E36)</f>
        <v>Rainwater</v>
      </c>
      <c r="F36">
        <f t="shared" ca="1" si="0"/>
        <v>28</v>
      </c>
      <c r="G36">
        <v>13.2</v>
      </c>
      <c r="H36">
        <f ca="1">MAX(0,ROUND(F_Baseline_data!H36+(F_Baseline_data!C36-5)*200+(D36-30000)*0.015+(F36-50)*15-IF(I36=1,1200,0)+_xlfn.NORM.INV(RAND(),0,2500),-2))</f>
        <v>4100</v>
      </c>
      <c r="I36">
        <v>0</v>
      </c>
      <c r="J36">
        <f>1</f>
        <v>1</v>
      </c>
      <c r="K36">
        <f>1</f>
        <v>1</v>
      </c>
      <c r="L36">
        <v>0</v>
      </c>
      <c r="M36">
        <f t="shared" ca="1" si="1"/>
        <v>9.7229797894434977E-2</v>
      </c>
      <c r="N36">
        <v>0</v>
      </c>
      <c r="O36">
        <v>0</v>
      </c>
      <c r="P36">
        <v>0</v>
      </c>
    </row>
    <row r="37" spans="1:16" x14ac:dyDescent="0.3">
      <c r="A37" t="s">
        <v>145</v>
      </c>
      <c r="B37" t="s">
        <v>64</v>
      </c>
      <c r="C37">
        <f ca="1">IF(RAND()&lt;0.8,F_Baseline_data!C37,IF(RAND()&lt;0.85,F_Baseline_data!C37+1,IF(F_Baseline_data!C37&gt;3,C37-1,F_Baseline_data!C37)))</f>
        <v>7</v>
      </c>
      <c r="D37">
        <f ca="1">MAX(5000,ROUND(F_Baseline_data!D37*(1+_xlfn.NORM.INV(RAND(),0.12,0.1)),-2))</f>
        <v>13700</v>
      </c>
      <c r="E37" t="str">
        <f ca="1">IF(I37=1,IF(RAND()&lt;0.95,"Piped Water",F_Baseline_data!E37),F_Baseline_data!E37)</f>
        <v>River</v>
      </c>
      <c r="F37">
        <f t="shared" ca="1" si="0"/>
        <v>90</v>
      </c>
      <c r="G37">
        <v>4.3</v>
      </c>
      <c r="H37">
        <f ca="1">MAX(0,ROUND(F_Baseline_data!H37+(F_Baseline_data!C37-5)*200+(D37-30000)*0.015+(F37-50)*15-IF(I37=1,1200,0)+_xlfn.NORM.INV(RAND(),0,2500),-2))</f>
        <v>0</v>
      </c>
      <c r="I37">
        <v>0</v>
      </c>
      <c r="J37">
        <f>1</f>
        <v>1</v>
      </c>
      <c r="K37">
        <f>1</f>
        <v>1</v>
      </c>
      <c r="L37">
        <v>0</v>
      </c>
      <c r="M37">
        <f t="shared" ca="1" si="1"/>
        <v>0.2765583642909617</v>
      </c>
      <c r="N37">
        <v>0</v>
      </c>
      <c r="O37">
        <v>0</v>
      </c>
      <c r="P37">
        <v>0</v>
      </c>
    </row>
    <row r="38" spans="1:16" x14ac:dyDescent="0.3">
      <c r="A38" t="s">
        <v>146</v>
      </c>
      <c r="B38" t="s">
        <v>513</v>
      </c>
      <c r="C38">
        <f ca="1">IF(RAND()&lt;0.8,F_Baseline_data!C38,IF(RAND()&lt;0.85,F_Baseline_data!C38+1,IF(F_Baseline_data!C38&gt;3,C38-1,F_Baseline_data!C38)))</f>
        <v>8</v>
      </c>
      <c r="D38">
        <f ca="1">MAX(5000,ROUND(F_Baseline_data!D38*(1+_xlfn.NORM.INV(RAND(),0.12,0.1)),-2))</f>
        <v>54400</v>
      </c>
      <c r="E38" t="str">
        <f ca="1">IF(I38=1,IF(RAND()&lt;0.95,"Piped Water",F_Baseline_data!E38),F_Baseline_data!E38)</f>
        <v>Borehole</v>
      </c>
      <c r="F38">
        <f t="shared" ca="1" si="0"/>
        <v>29</v>
      </c>
      <c r="G38">
        <v>12</v>
      </c>
      <c r="H38">
        <f ca="1">MAX(0,ROUND(F_Baseline_data!H38+(F_Baseline_data!C38-5)*200+(D38-30000)*0.015+(F38-50)*15-IF(I38=1,1200,0)+_xlfn.NORM.INV(RAND(),0,2500),-2))</f>
        <v>600</v>
      </c>
      <c r="I38">
        <v>0</v>
      </c>
      <c r="J38">
        <f>1</f>
        <v>1</v>
      </c>
      <c r="K38">
        <f>1</f>
        <v>1</v>
      </c>
      <c r="L38">
        <v>0</v>
      </c>
      <c r="M38">
        <f t="shared" ca="1" si="1"/>
        <v>0.47858536500272841</v>
      </c>
      <c r="N38">
        <v>0</v>
      </c>
      <c r="O38">
        <v>0</v>
      </c>
      <c r="P38">
        <v>0</v>
      </c>
    </row>
    <row r="39" spans="1:16" x14ac:dyDescent="0.3">
      <c r="A39" t="s">
        <v>147</v>
      </c>
      <c r="B39" t="s">
        <v>513</v>
      </c>
      <c r="C39">
        <f ca="1">IF(RAND()&lt;0.8,F_Baseline_data!C39,IF(RAND()&lt;0.85,F_Baseline_data!C39+1,IF(F_Baseline_data!C39&gt;3,C39-1,F_Baseline_data!C39)))</f>
        <v>4</v>
      </c>
      <c r="D39">
        <f ca="1">MAX(5000,ROUND(F_Baseline_data!D39*(1+_xlfn.NORM.INV(RAND(),0.12,0.1)),-2))</f>
        <v>20800</v>
      </c>
      <c r="E39" t="str">
        <f ca="1">IF(I39=1,IF(RAND()&lt;0.95,"Piped Water",F_Baseline_data!E39),F_Baseline_data!E39)</f>
        <v>River</v>
      </c>
      <c r="F39">
        <f t="shared" ca="1" si="0"/>
        <v>100</v>
      </c>
      <c r="G39">
        <v>2.5</v>
      </c>
      <c r="H39">
        <f ca="1">MAX(0,ROUND(F_Baseline_data!H39+(F_Baseline_data!C39-5)*200+(D39-30000)*0.015+(F39-50)*15-IF(I39=1,1200,0)+_xlfn.NORM.INV(RAND(),0,2500),-2))</f>
        <v>3900</v>
      </c>
      <c r="I39">
        <v>0</v>
      </c>
      <c r="J39">
        <f>1</f>
        <v>1</v>
      </c>
      <c r="K39">
        <f>1</f>
        <v>1</v>
      </c>
      <c r="L39">
        <v>0</v>
      </c>
      <c r="M39">
        <f t="shared" ca="1" si="1"/>
        <v>0.61880265942363066</v>
      </c>
      <c r="N39">
        <v>0</v>
      </c>
      <c r="O39">
        <v>0</v>
      </c>
      <c r="P39">
        <v>0</v>
      </c>
    </row>
    <row r="40" spans="1:16" x14ac:dyDescent="0.3">
      <c r="A40" t="s">
        <v>148</v>
      </c>
      <c r="B40" t="s">
        <v>64</v>
      </c>
      <c r="C40">
        <f ca="1">IF(RAND()&lt;0.8,F_Baseline_data!C40,IF(RAND()&lt;0.85,F_Baseline_data!C40+1,IF(F_Baseline_data!C40&gt;3,C40-1,F_Baseline_data!C40)))</f>
        <v>7</v>
      </c>
      <c r="D40">
        <f ca="1">MAX(5000,ROUND(F_Baseline_data!D40*(1+_xlfn.NORM.INV(RAND(),0.12,0.1)),-2))</f>
        <v>45400</v>
      </c>
      <c r="E40" t="str">
        <f ca="1">IF(I40=1,IF(RAND()&lt;0.95,"Piped Water",F_Baseline_data!E40),F_Baseline_data!E40)</f>
        <v>Vendor</v>
      </c>
      <c r="F40">
        <f t="shared" ca="1" si="0"/>
        <v>33</v>
      </c>
      <c r="G40">
        <v>1.2</v>
      </c>
      <c r="H40">
        <f ca="1">MAX(0,ROUND(F_Baseline_data!H40+(F_Baseline_data!C40-5)*200+(D40-30000)*0.015+(F40-50)*15-IF(I40=1,1200,0)+_xlfn.NORM.INV(RAND(),0,2500),-2))</f>
        <v>6100</v>
      </c>
      <c r="I40">
        <v>0</v>
      </c>
      <c r="J40">
        <f>1</f>
        <v>1</v>
      </c>
      <c r="K40">
        <f>1</f>
        <v>1</v>
      </c>
      <c r="L40">
        <v>0</v>
      </c>
      <c r="M40">
        <f t="shared" ca="1" si="1"/>
        <v>0.57009885582383113</v>
      </c>
      <c r="N40">
        <v>0</v>
      </c>
      <c r="O40">
        <v>0</v>
      </c>
      <c r="P40">
        <v>0</v>
      </c>
    </row>
    <row r="41" spans="1:16" x14ac:dyDescent="0.3">
      <c r="A41" t="s">
        <v>149</v>
      </c>
      <c r="B41" t="s">
        <v>65</v>
      </c>
      <c r="C41">
        <f ca="1">IF(RAND()&lt;0.8,F_Baseline_data!C41,IF(RAND()&lt;0.85,F_Baseline_data!C41+1,IF(F_Baseline_data!C41&gt;3,C41-1,F_Baseline_data!C41)))</f>
        <v>7</v>
      </c>
      <c r="D41">
        <f ca="1">MAX(5000,ROUND(F_Baseline_data!D41*(1+_xlfn.NORM.INV(RAND(),0.12,0.1)),-2))</f>
        <v>32400</v>
      </c>
      <c r="E41" t="str">
        <f ca="1">IF(I41=1,IF(RAND()&lt;0.95,"Piped Water",F_Baseline_data!E41),F_Baseline_data!E41)</f>
        <v>Rainwater</v>
      </c>
      <c r="F41">
        <f t="shared" ca="1" si="0"/>
        <v>23</v>
      </c>
      <c r="G41">
        <v>13.4</v>
      </c>
      <c r="H41">
        <f ca="1">MAX(0,ROUND(F_Baseline_data!H41+(F_Baseline_data!C41-5)*200+(D41-30000)*0.015+(F41-50)*15-IF(I41=1,1200,0)+_xlfn.NORM.INV(RAND(),0,2500),-2))</f>
        <v>2800</v>
      </c>
      <c r="I41">
        <v>0</v>
      </c>
      <c r="J41">
        <f>1</f>
        <v>1</v>
      </c>
      <c r="K41">
        <f>1</f>
        <v>1</v>
      </c>
      <c r="L41">
        <v>0</v>
      </c>
      <c r="M41">
        <f t="shared" ca="1" si="1"/>
        <v>0.53473779596821647</v>
      </c>
      <c r="N41">
        <v>0</v>
      </c>
      <c r="O41">
        <v>0</v>
      </c>
      <c r="P41">
        <v>0</v>
      </c>
    </row>
    <row r="42" spans="1:16" x14ac:dyDescent="0.3">
      <c r="A42" t="s">
        <v>150</v>
      </c>
      <c r="B42" t="s">
        <v>62</v>
      </c>
      <c r="C42">
        <f ca="1">IF(RAND()&lt;0.8,F_Baseline_data!C42,IF(RAND()&lt;0.85,F_Baseline_data!C42+1,IF(F_Baseline_data!C42&gt;3,C42-1,F_Baseline_data!C42)))</f>
        <v>6</v>
      </c>
      <c r="D42">
        <f ca="1">MAX(5000,ROUND(F_Baseline_data!D42*(1+_xlfn.NORM.INV(RAND(),0.12,0.1)),-2))</f>
        <v>91600</v>
      </c>
      <c r="E42" t="str">
        <f ca="1">IF(I42=1,IF(RAND()&lt;0.95,"Piped Water",F_Baseline_data!E42),F_Baseline_data!E42)</f>
        <v>Vendor</v>
      </c>
      <c r="F42">
        <f t="shared" ca="1" si="0"/>
        <v>33</v>
      </c>
      <c r="G42">
        <v>8.1999999999999993</v>
      </c>
      <c r="H42">
        <f ca="1">MAX(0,ROUND(F_Baseline_data!H42+(F_Baseline_data!C42-5)*200+(D42-30000)*0.015+(F42-50)*15-IF(I42=1,1200,0)+_xlfn.NORM.INV(RAND(),0,2500),-2))</f>
        <v>9000</v>
      </c>
      <c r="I42">
        <v>0</v>
      </c>
      <c r="J42">
        <f>1</f>
        <v>1</v>
      </c>
      <c r="K42">
        <f>1</f>
        <v>1</v>
      </c>
      <c r="L42">
        <v>0</v>
      </c>
      <c r="M42">
        <f t="shared" ca="1" si="1"/>
        <v>0.4022577215298947</v>
      </c>
      <c r="N42">
        <v>0</v>
      </c>
      <c r="O42">
        <v>0</v>
      </c>
      <c r="P42">
        <v>0</v>
      </c>
    </row>
    <row r="43" spans="1:16" x14ac:dyDescent="0.3">
      <c r="A43" t="s">
        <v>151</v>
      </c>
      <c r="B43" t="s">
        <v>62</v>
      </c>
      <c r="C43">
        <f ca="1">IF(RAND()&lt;0.8,F_Baseline_data!C43,IF(RAND()&lt;0.85,F_Baseline_data!C43+1,IF(F_Baseline_data!C43&gt;3,C43-1,F_Baseline_data!C43)))</f>
        <v>5</v>
      </c>
      <c r="D43">
        <f ca="1">MAX(5000,ROUND(F_Baseline_data!D43*(1+_xlfn.NORM.INV(RAND(),0.12,0.1)),-2))</f>
        <v>127700</v>
      </c>
      <c r="E43" t="str">
        <f ca="1">IF(I43=1,IF(RAND()&lt;0.95,"Piped Water",F_Baseline_data!E43),F_Baseline_data!E43)</f>
        <v>Borehole</v>
      </c>
      <c r="F43">
        <f t="shared" ca="1" si="0"/>
        <v>43</v>
      </c>
      <c r="G43">
        <v>8.1999999999999993</v>
      </c>
      <c r="H43">
        <f ca="1">MAX(0,ROUND(F_Baseline_data!H43+(F_Baseline_data!C43-5)*200+(D43-30000)*0.015+(F43-50)*15-IF(I43=1,1200,0)+_xlfn.NORM.INV(RAND(),0,2500),-2))</f>
        <v>14500</v>
      </c>
      <c r="I43">
        <v>0</v>
      </c>
      <c r="J43">
        <f>1</f>
        <v>1</v>
      </c>
      <c r="K43">
        <f>1</f>
        <v>1</v>
      </c>
      <c r="L43">
        <v>0</v>
      </c>
      <c r="M43">
        <f t="shared" ca="1" si="1"/>
        <v>0.16468771340260435</v>
      </c>
      <c r="N43">
        <v>0</v>
      </c>
      <c r="O43">
        <v>0</v>
      </c>
      <c r="P43">
        <v>0</v>
      </c>
    </row>
    <row r="44" spans="1:16" x14ac:dyDescent="0.3">
      <c r="A44" t="s">
        <v>152</v>
      </c>
      <c r="B44" t="s">
        <v>513</v>
      </c>
      <c r="C44">
        <f ca="1">IF(RAND()&lt;0.8,F_Baseline_data!C44,IF(RAND()&lt;0.85,F_Baseline_data!C44+1,IF(F_Baseline_data!C44&gt;3,C44-1,F_Baseline_data!C44)))</f>
        <v>6</v>
      </c>
      <c r="D44">
        <f ca="1">MAX(5000,ROUND(F_Baseline_data!D44*(1+_xlfn.NORM.INV(RAND(),0.12,0.1)),-2))</f>
        <v>36700</v>
      </c>
      <c r="E44" t="str">
        <f ca="1">IF(I44=1,IF(RAND()&lt;0.95,"Piped Water",F_Baseline_data!E44),F_Baseline_data!E44)</f>
        <v>Rainwater</v>
      </c>
      <c r="F44">
        <f t="shared" ca="1" si="0"/>
        <v>26</v>
      </c>
      <c r="G44">
        <v>5.7</v>
      </c>
      <c r="H44">
        <f ca="1">MAX(0,ROUND(F_Baseline_data!H44+(F_Baseline_data!C44-5)*200+(D44-30000)*0.015+(F44-50)*15-IF(I44=1,1200,0)+_xlfn.NORM.INV(RAND(),0,2500),-2))</f>
        <v>4900</v>
      </c>
      <c r="I44">
        <v>0</v>
      </c>
      <c r="J44">
        <f>1</f>
        <v>1</v>
      </c>
      <c r="K44">
        <f>1</f>
        <v>1</v>
      </c>
      <c r="L44">
        <v>0</v>
      </c>
      <c r="M44">
        <f t="shared" ca="1" si="1"/>
        <v>0.83301918570571032</v>
      </c>
      <c r="N44">
        <v>0</v>
      </c>
      <c r="O44">
        <v>0</v>
      </c>
      <c r="P44">
        <v>0</v>
      </c>
    </row>
    <row r="45" spans="1:16" x14ac:dyDescent="0.3">
      <c r="A45" t="s">
        <v>153</v>
      </c>
      <c r="B45" t="s">
        <v>64</v>
      </c>
      <c r="C45">
        <f ca="1">IF(RAND()&lt;0.8,F_Baseline_data!C45,IF(RAND()&lt;0.85,F_Baseline_data!C45+1,IF(F_Baseline_data!C45&gt;3,C45-1,F_Baseline_data!C45)))</f>
        <v>4</v>
      </c>
      <c r="D45">
        <f ca="1">MAX(5000,ROUND(F_Baseline_data!D45*(1+_xlfn.NORM.INV(RAND(),0.12,0.1)),-2))</f>
        <v>62800</v>
      </c>
      <c r="E45" t="str">
        <f ca="1">IF(I45=1,IF(RAND()&lt;0.95,"Piped Water",F_Baseline_data!E45),F_Baseline_data!E45)</f>
        <v>Rainwater</v>
      </c>
      <c r="F45">
        <f t="shared" ca="1" si="0"/>
        <v>33</v>
      </c>
      <c r="G45">
        <v>3.6</v>
      </c>
      <c r="H45">
        <f ca="1">MAX(0,ROUND(F_Baseline_data!H45+(F_Baseline_data!C45-5)*200+(D45-30000)*0.015+(F45-50)*15-IF(I45=1,1200,0)+_xlfn.NORM.INV(RAND(),0,2500),-2))</f>
        <v>5800</v>
      </c>
      <c r="I45">
        <v>0</v>
      </c>
      <c r="J45">
        <f>1</f>
        <v>1</v>
      </c>
      <c r="K45">
        <f>1</f>
        <v>1</v>
      </c>
      <c r="L45">
        <v>0</v>
      </c>
      <c r="M45">
        <f t="shared" ca="1" si="1"/>
        <v>0.74886598876164345</v>
      </c>
      <c r="N45">
        <v>0</v>
      </c>
      <c r="O45">
        <v>0</v>
      </c>
      <c r="P45">
        <v>0</v>
      </c>
    </row>
    <row r="46" spans="1:16" x14ac:dyDescent="0.3">
      <c r="A46" t="s">
        <v>154</v>
      </c>
      <c r="B46" t="s">
        <v>65</v>
      </c>
      <c r="C46">
        <f ca="1">IF(RAND()&lt;0.8,F_Baseline_data!C46,IF(RAND()&lt;0.85,F_Baseline_data!C46+1,IF(F_Baseline_data!C46&gt;3,C46-1,F_Baseline_data!C46)))</f>
        <v>3</v>
      </c>
      <c r="D46">
        <f ca="1">MAX(5000,ROUND(F_Baseline_data!D46*(1+_xlfn.NORM.INV(RAND(),0.12,0.1)),-2))</f>
        <v>52600</v>
      </c>
      <c r="E46" t="str">
        <f ca="1">IF(I46=1,IF(RAND()&lt;0.95,"Piped Water",F_Baseline_data!E46),F_Baseline_data!E46)</f>
        <v>Vendor</v>
      </c>
      <c r="F46">
        <f t="shared" ca="1" si="0"/>
        <v>37</v>
      </c>
      <c r="G46">
        <v>2.6</v>
      </c>
      <c r="H46">
        <f ca="1">MAX(0,ROUND(F_Baseline_data!H46+(F_Baseline_data!C46-5)*200+(D46-30000)*0.015+(F46-50)*15-IF(I46=1,1200,0)+_xlfn.NORM.INV(RAND(),0,2500),-2))</f>
        <v>10200</v>
      </c>
      <c r="I46">
        <v>0</v>
      </c>
      <c r="J46">
        <f>1</f>
        <v>1</v>
      </c>
      <c r="K46">
        <f>1</f>
        <v>1</v>
      </c>
      <c r="L46">
        <v>0</v>
      </c>
      <c r="M46">
        <f t="shared" ca="1" si="1"/>
        <v>0.52250770786086065</v>
      </c>
      <c r="N46">
        <v>0</v>
      </c>
      <c r="O46">
        <v>0</v>
      </c>
      <c r="P46">
        <v>0</v>
      </c>
    </row>
    <row r="47" spans="1:16" x14ac:dyDescent="0.3">
      <c r="A47" t="s">
        <v>155</v>
      </c>
      <c r="B47" t="s">
        <v>65</v>
      </c>
      <c r="C47">
        <f ca="1">IF(RAND()&lt;0.8,F_Baseline_data!C47,IF(RAND()&lt;0.85,F_Baseline_data!C47+1,IF(F_Baseline_data!C47&gt;3,C47-1,F_Baseline_data!C47)))</f>
        <v>1</v>
      </c>
      <c r="D47">
        <f ca="1">MAX(5000,ROUND(F_Baseline_data!D47*(1+_xlfn.NORM.INV(RAND(),0.12,0.1)),-2))</f>
        <v>24600</v>
      </c>
      <c r="E47" t="str">
        <f ca="1">IF(I47=1,IF(RAND()&lt;0.95,"Piped Water",F_Baseline_data!E47),F_Baseline_data!E47)</f>
        <v>River</v>
      </c>
      <c r="F47">
        <f t="shared" ca="1" si="0"/>
        <v>110</v>
      </c>
      <c r="G47">
        <v>4.8</v>
      </c>
      <c r="H47">
        <f ca="1">MAX(0,ROUND(F_Baseline_data!H47+(F_Baseline_data!C47-5)*200+(D47-30000)*0.015+(F47-50)*15-IF(I47=1,1200,0)+_xlfn.NORM.INV(RAND(),0,2500),-2))</f>
        <v>0</v>
      </c>
      <c r="I47">
        <v>0</v>
      </c>
      <c r="J47">
        <f>1</f>
        <v>1</v>
      </c>
      <c r="K47">
        <f>1</f>
        <v>1</v>
      </c>
      <c r="L47">
        <v>0</v>
      </c>
      <c r="M47">
        <f t="shared" ca="1" si="1"/>
        <v>0.70451808907225688</v>
      </c>
      <c r="N47">
        <v>0</v>
      </c>
      <c r="O47">
        <v>0</v>
      </c>
      <c r="P47">
        <v>0</v>
      </c>
    </row>
    <row r="48" spans="1:16" x14ac:dyDescent="0.3">
      <c r="A48" t="s">
        <v>156</v>
      </c>
      <c r="B48" t="s">
        <v>62</v>
      </c>
      <c r="C48">
        <f ca="1">IF(RAND()&lt;0.8,F_Baseline_data!C48,IF(RAND()&lt;0.85,F_Baseline_data!C48+1,IF(F_Baseline_data!C48&gt;3,C48-1,F_Baseline_data!C48)))</f>
        <v>3</v>
      </c>
      <c r="D48">
        <f ca="1">MAX(5000,ROUND(F_Baseline_data!D48*(1+_xlfn.NORM.INV(RAND(),0.12,0.1)),-2))</f>
        <v>24300</v>
      </c>
      <c r="E48" t="str">
        <f ca="1">IF(I48=1,IF(RAND()&lt;0.95,"Piped Water",F_Baseline_data!E48),F_Baseline_data!E48)</f>
        <v>Rainwater</v>
      </c>
      <c r="F48">
        <f t="shared" ca="1" si="0"/>
        <v>39</v>
      </c>
      <c r="G48">
        <v>8.8000000000000007</v>
      </c>
      <c r="H48">
        <f ca="1">MAX(0,ROUND(F_Baseline_data!H48+(F_Baseline_data!C48-5)*200+(D48-30000)*0.015+(F48-50)*15-IF(I48=1,1200,0)+_xlfn.NORM.INV(RAND(),0,2500),-2))</f>
        <v>4500</v>
      </c>
      <c r="I48">
        <v>0</v>
      </c>
      <c r="J48">
        <f>1</f>
        <v>1</v>
      </c>
      <c r="K48">
        <f>1</f>
        <v>1</v>
      </c>
      <c r="L48">
        <v>0</v>
      </c>
      <c r="M48">
        <f t="shared" ca="1" si="1"/>
        <v>0.10972513170321196</v>
      </c>
      <c r="N48">
        <v>0</v>
      </c>
      <c r="O48">
        <v>0</v>
      </c>
      <c r="P48">
        <v>0</v>
      </c>
    </row>
    <row r="49" spans="1:16" x14ac:dyDescent="0.3">
      <c r="A49" t="s">
        <v>157</v>
      </c>
      <c r="B49" t="s">
        <v>65</v>
      </c>
      <c r="C49">
        <f ca="1">IF(RAND()&lt;0.8,F_Baseline_data!C49,IF(RAND()&lt;0.85,F_Baseline_data!C49+1,IF(F_Baseline_data!C49&gt;3,C49-1,F_Baseline_data!C49)))</f>
        <v>4</v>
      </c>
      <c r="D49">
        <f ca="1">MAX(5000,ROUND(F_Baseline_data!D49*(1+_xlfn.NORM.INV(RAND(),0.12,0.1)),-2))</f>
        <v>35400</v>
      </c>
      <c r="E49" t="str">
        <f ca="1">IF(I49=1,IF(RAND()&lt;0.95,"Piped Water",F_Baseline_data!E49),F_Baseline_data!E49)</f>
        <v>Rainwater</v>
      </c>
      <c r="F49">
        <f t="shared" ca="1" si="0"/>
        <v>25</v>
      </c>
      <c r="G49">
        <v>9.8000000000000007</v>
      </c>
      <c r="H49">
        <f ca="1">MAX(0,ROUND(F_Baseline_data!H49+(F_Baseline_data!C49-5)*200+(D49-30000)*0.015+(F49-50)*15-IF(I49=1,1200,0)+_xlfn.NORM.INV(RAND(),0,2500),-2))</f>
        <v>15200</v>
      </c>
      <c r="I49">
        <v>0</v>
      </c>
      <c r="J49">
        <f>1</f>
        <v>1</v>
      </c>
      <c r="K49">
        <f>1</f>
        <v>1</v>
      </c>
      <c r="L49">
        <v>0</v>
      </c>
      <c r="M49">
        <f t="shared" ca="1" si="1"/>
        <v>0.26825239346543617</v>
      </c>
      <c r="N49">
        <v>0</v>
      </c>
      <c r="O49">
        <v>0</v>
      </c>
      <c r="P49">
        <v>0</v>
      </c>
    </row>
    <row r="50" spans="1:16" x14ac:dyDescent="0.3">
      <c r="A50" t="s">
        <v>158</v>
      </c>
      <c r="B50" t="s">
        <v>65</v>
      </c>
      <c r="C50">
        <f ca="1">IF(RAND()&lt;0.8,F_Baseline_data!C50,IF(RAND()&lt;0.85,F_Baseline_data!C50+1,IF(F_Baseline_data!C50&gt;3,C50-1,F_Baseline_data!C50)))</f>
        <v>6</v>
      </c>
      <c r="D50">
        <f ca="1">MAX(5000,ROUND(F_Baseline_data!D50*(1+_xlfn.NORM.INV(RAND(),0.12,0.1)),-2))</f>
        <v>92100</v>
      </c>
      <c r="E50" t="str">
        <f ca="1">IF(I50=1,IF(RAND()&lt;0.95,"Piped Water",F_Baseline_data!E50),F_Baseline_data!E50)</f>
        <v>Rainwater</v>
      </c>
      <c r="F50">
        <f t="shared" ca="1" si="0"/>
        <v>15</v>
      </c>
      <c r="G50">
        <v>11.9</v>
      </c>
      <c r="H50">
        <f ca="1">MAX(0,ROUND(F_Baseline_data!H50+(F_Baseline_data!C50-5)*200+(D50-30000)*0.015+(F50-50)*15-IF(I50=1,1200,0)+_xlfn.NORM.INV(RAND(),0,2500),-2))</f>
        <v>8900</v>
      </c>
      <c r="I50">
        <v>0</v>
      </c>
      <c r="J50">
        <f>1</f>
        <v>1</v>
      </c>
      <c r="K50">
        <f>1</f>
        <v>1</v>
      </c>
      <c r="L50">
        <v>0</v>
      </c>
      <c r="M50">
        <f t="shared" ca="1" si="1"/>
        <v>0.43913399403817399</v>
      </c>
      <c r="N50">
        <v>0</v>
      </c>
      <c r="O50">
        <v>0</v>
      </c>
      <c r="P50">
        <v>0</v>
      </c>
    </row>
    <row r="51" spans="1:16" x14ac:dyDescent="0.3">
      <c r="A51" t="s">
        <v>159</v>
      </c>
      <c r="B51" t="s">
        <v>64</v>
      </c>
      <c r="C51">
        <f ca="1">IF(RAND()&lt;0.8,F_Baseline_data!C51,IF(RAND()&lt;0.85,F_Baseline_data!C51+1,IF(F_Baseline_data!C51&gt;3,C51-1,F_Baseline_data!C51)))</f>
        <v>7</v>
      </c>
      <c r="D51">
        <f ca="1">MAX(5000,ROUND(F_Baseline_data!D51*(1+_xlfn.NORM.INV(RAND(),0.12,0.1)),-2))</f>
        <v>20500</v>
      </c>
      <c r="E51" t="str">
        <f ca="1">IF(I51=1,IF(RAND()&lt;0.95,"Piped Water",F_Baseline_data!E51),F_Baseline_data!E51)</f>
        <v>River</v>
      </c>
      <c r="F51">
        <f t="shared" ca="1" si="0"/>
        <v>50</v>
      </c>
      <c r="G51">
        <v>7.5</v>
      </c>
      <c r="H51">
        <f ca="1">MAX(0,ROUND(F_Baseline_data!H51+(F_Baseline_data!C51-5)*200+(D51-30000)*0.015+(F51-50)*15-IF(I51=1,1200,0)+_xlfn.NORM.INV(RAND(),0,2500),-2))</f>
        <v>11100</v>
      </c>
      <c r="I51">
        <v>0</v>
      </c>
      <c r="J51">
        <f>1</f>
        <v>1</v>
      </c>
      <c r="K51">
        <f>1</f>
        <v>1</v>
      </c>
      <c r="L51">
        <v>0</v>
      </c>
      <c r="M51">
        <f t="shared" ca="1" si="1"/>
        <v>0.9862487910607699</v>
      </c>
      <c r="N51">
        <v>0</v>
      </c>
      <c r="O51">
        <v>0</v>
      </c>
      <c r="P51">
        <v>0</v>
      </c>
    </row>
    <row r="52" spans="1:16" x14ac:dyDescent="0.3">
      <c r="A52" t="s">
        <v>160</v>
      </c>
      <c r="B52" t="s">
        <v>65</v>
      </c>
      <c r="C52">
        <f ca="1">IF(RAND()&lt;0.8,F_Baseline_data!C52,IF(RAND()&lt;0.85,F_Baseline_data!C52+1,IF(F_Baseline_data!C52&gt;3,C52-1,F_Baseline_data!C52)))</f>
        <v>4</v>
      </c>
      <c r="D52">
        <f ca="1">MAX(5000,ROUND(F_Baseline_data!D52*(1+_xlfn.NORM.INV(RAND(),0.12,0.1)),-2))</f>
        <v>33300</v>
      </c>
      <c r="E52" t="str">
        <f ca="1">IF(I52=1,IF(RAND()&lt;0.95,"Piped Water",F_Baseline_data!E52),F_Baseline_data!E52)</f>
        <v>Vendor</v>
      </c>
      <c r="F52">
        <f t="shared" ca="1" si="0"/>
        <v>23</v>
      </c>
      <c r="G52">
        <v>4</v>
      </c>
      <c r="H52">
        <f ca="1">MAX(0,ROUND(F_Baseline_data!H52+(F_Baseline_data!C52-5)*200+(D52-30000)*0.015+(F52-50)*15-IF(I52=1,1200,0)+_xlfn.NORM.INV(RAND(),0,2500),-2))</f>
        <v>8000</v>
      </c>
      <c r="I52">
        <v>0</v>
      </c>
      <c r="J52">
        <f>1</f>
        <v>1</v>
      </c>
      <c r="K52">
        <f>1</f>
        <v>1</v>
      </c>
      <c r="L52">
        <v>0</v>
      </c>
      <c r="M52">
        <f t="shared" ca="1" si="1"/>
        <v>0.10094718440674155</v>
      </c>
      <c r="N52">
        <v>0</v>
      </c>
      <c r="O52">
        <v>0</v>
      </c>
      <c r="P52">
        <v>0</v>
      </c>
    </row>
    <row r="53" spans="1:16" x14ac:dyDescent="0.3">
      <c r="A53" t="s">
        <v>161</v>
      </c>
      <c r="B53" t="s">
        <v>513</v>
      </c>
      <c r="C53">
        <f ca="1">IF(RAND()&lt;0.8,F_Baseline_data!C53,IF(RAND()&lt;0.85,F_Baseline_data!C53+1,IF(F_Baseline_data!C53&gt;3,C53-1,F_Baseline_data!C53)))</f>
        <v>9</v>
      </c>
      <c r="D53">
        <f ca="1">MAX(5000,ROUND(F_Baseline_data!D53*(1+_xlfn.NORM.INV(RAND(),0.12,0.1)),-2))</f>
        <v>21700</v>
      </c>
      <c r="E53" t="str">
        <f ca="1">IF(I53=1,IF(RAND()&lt;0.95,"Piped Water",F_Baseline_data!E53),F_Baseline_data!E53)</f>
        <v>River</v>
      </c>
      <c r="F53">
        <f t="shared" ca="1" si="0"/>
        <v>92</v>
      </c>
      <c r="G53">
        <v>12</v>
      </c>
      <c r="H53">
        <f ca="1">MAX(0,ROUND(F_Baseline_data!H53+(F_Baseline_data!C53-5)*200+(D53-30000)*0.015+(F53-50)*15-IF(I53=1,1200,0)+_xlfn.NORM.INV(RAND(),0,2500),-2))</f>
        <v>13900</v>
      </c>
      <c r="I53">
        <v>0</v>
      </c>
      <c r="J53">
        <f>1</f>
        <v>1</v>
      </c>
      <c r="K53">
        <f>1</f>
        <v>1</v>
      </c>
      <c r="L53">
        <v>0</v>
      </c>
      <c r="M53">
        <f t="shared" ca="1" si="1"/>
        <v>0.95755593447234044</v>
      </c>
      <c r="N53">
        <v>0</v>
      </c>
      <c r="O53">
        <v>0</v>
      </c>
      <c r="P53">
        <v>0</v>
      </c>
    </row>
    <row r="54" spans="1:16" x14ac:dyDescent="0.3">
      <c r="A54" t="s">
        <v>162</v>
      </c>
      <c r="B54" t="s">
        <v>513</v>
      </c>
      <c r="C54">
        <f ca="1">IF(RAND()&lt;0.8,F_Baseline_data!C54,IF(RAND()&lt;0.85,F_Baseline_data!C54+1,IF(F_Baseline_data!C54&gt;3,C54-1,F_Baseline_data!C54)))</f>
        <v>1</v>
      </c>
      <c r="D54">
        <f ca="1">MAX(5000,ROUND(F_Baseline_data!D54*(1+_xlfn.NORM.INV(RAND(),0.12,0.1)),-2))</f>
        <v>37000</v>
      </c>
      <c r="E54" t="str">
        <f ca="1">IF(I54=1,IF(RAND()&lt;0.95,"Piped Water",F_Baseline_data!E54),F_Baseline_data!E54)</f>
        <v>Vendor</v>
      </c>
      <c r="F54">
        <f t="shared" ca="1" si="0"/>
        <v>12</v>
      </c>
      <c r="G54">
        <v>2.2000000000000002</v>
      </c>
      <c r="H54">
        <f ca="1">MAX(0,ROUND(F_Baseline_data!H54+(F_Baseline_data!C54-5)*200+(D54-30000)*0.015+(F54-50)*15-IF(I54=1,1200,0)+_xlfn.NORM.INV(RAND(),0,2500),-2))</f>
        <v>11200</v>
      </c>
      <c r="I54">
        <v>0</v>
      </c>
      <c r="J54">
        <f>1</f>
        <v>1</v>
      </c>
      <c r="K54">
        <f>1</f>
        <v>1</v>
      </c>
      <c r="L54">
        <v>0</v>
      </c>
      <c r="M54">
        <f t="shared" ca="1" si="1"/>
        <v>0.61217956761803749</v>
      </c>
      <c r="N54">
        <v>0</v>
      </c>
      <c r="O54">
        <v>0</v>
      </c>
      <c r="P54">
        <v>0</v>
      </c>
    </row>
    <row r="55" spans="1:16" x14ac:dyDescent="0.3">
      <c r="A55" t="s">
        <v>163</v>
      </c>
      <c r="B55" t="s">
        <v>513</v>
      </c>
      <c r="C55">
        <f ca="1">IF(RAND()&lt;0.8,F_Baseline_data!C55,IF(RAND()&lt;0.85,F_Baseline_data!C55+1,IF(F_Baseline_data!C55&gt;3,C55-1,F_Baseline_data!C55)))</f>
        <v>5</v>
      </c>
      <c r="D55">
        <f ca="1">MAX(5000,ROUND(F_Baseline_data!D55*(1+_xlfn.NORM.INV(RAND(),0.12,0.1)),-2))</f>
        <v>32900</v>
      </c>
      <c r="E55" t="str">
        <f ca="1">IF(I55=1,IF(RAND()&lt;0.95,"Piped Water",F_Baseline_data!E55),F_Baseline_data!E55)</f>
        <v>River</v>
      </c>
      <c r="F55">
        <f t="shared" ca="1" si="0"/>
        <v>69</v>
      </c>
      <c r="G55">
        <v>11.7</v>
      </c>
      <c r="H55">
        <f ca="1">MAX(0,ROUND(F_Baseline_data!H55+(F_Baseline_data!C55-5)*200+(D55-30000)*0.015+(F55-50)*15-IF(I55=1,1200,0)+_xlfn.NORM.INV(RAND(),0,2500),-2))</f>
        <v>9600</v>
      </c>
      <c r="I55">
        <v>0</v>
      </c>
      <c r="J55">
        <f>1</f>
        <v>1</v>
      </c>
      <c r="K55">
        <f>1</f>
        <v>1</v>
      </c>
      <c r="L55">
        <v>0</v>
      </c>
      <c r="M55">
        <f t="shared" ca="1" si="1"/>
        <v>0.92618162873208454</v>
      </c>
      <c r="N55">
        <v>0</v>
      </c>
      <c r="O55">
        <v>0</v>
      </c>
      <c r="P55">
        <v>0</v>
      </c>
    </row>
    <row r="56" spans="1:16" x14ac:dyDescent="0.3">
      <c r="A56" t="s">
        <v>164</v>
      </c>
      <c r="B56" t="s">
        <v>62</v>
      </c>
      <c r="C56">
        <f ca="1">IF(RAND()&lt;0.8,F_Baseline_data!C56,IF(RAND()&lt;0.85,F_Baseline_data!C56+1,IF(F_Baseline_data!C56&gt;3,C56-1,F_Baseline_data!C56)))</f>
        <v>4</v>
      </c>
      <c r="D56">
        <f ca="1">MAX(5000,ROUND(F_Baseline_data!D56*(1+_xlfn.NORM.INV(RAND(),0.12,0.1)),-2))</f>
        <v>41400</v>
      </c>
      <c r="E56" t="str">
        <f ca="1">IF(I56=1,IF(RAND()&lt;0.95,"Piped Water",F_Baseline_data!E56),F_Baseline_data!E56)</f>
        <v>Vendor</v>
      </c>
      <c r="F56">
        <f t="shared" ca="1" si="0"/>
        <v>20</v>
      </c>
      <c r="G56">
        <v>0.6</v>
      </c>
      <c r="H56">
        <f ca="1">MAX(0,ROUND(F_Baseline_data!H56+(F_Baseline_data!C56-5)*200+(D56-30000)*0.015+(F56-50)*15-IF(I56=1,1200,0)+_xlfn.NORM.INV(RAND(),0,2500),-2))</f>
        <v>9900</v>
      </c>
      <c r="I56">
        <v>0</v>
      </c>
      <c r="J56">
        <f>1</f>
        <v>1</v>
      </c>
      <c r="K56">
        <f>1</f>
        <v>1</v>
      </c>
      <c r="L56">
        <v>0</v>
      </c>
      <c r="M56">
        <f t="shared" ca="1" si="1"/>
        <v>0.99752457808901618</v>
      </c>
      <c r="N56">
        <v>0</v>
      </c>
      <c r="O56">
        <v>0</v>
      </c>
      <c r="P56">
        <v>0</v>
      </c>
    </row>
    <row r="57" spans="1:16" x14ac:dyDescent="0.3">
      <c r="A57" t="s">
        <v>165</v>
      </c>
      <c r="B57" t="s">
        <v>65</v>
      </c>
      <c r="C57">
        <f ca="1">IF(RAND()&lt;0.8,F_Baseline_data!C57,IF(RAND()&lt;0.85,F_Baseline_data!C57+1,IF(F_Baseline_data!C57&gt;3,C57-1,F_Baseline_data!C57)))</f>
        <v>4</v>
      </c>
      <c r="D57">
        <f ca="1">MAX(5000,ROUND(F_Baseline_data!D57*(1+_xlfn.NORM.INV(RAND(),0.12,0.1)),-2))</f>
        <v>25800</v>
      </c>
      <c r="E57" t="str">
        <f ca="1">IF(I57=1,IF(RAND()&lt;0.95,"Piped Water",F_Baseline_data!E57),F_Baseline_data!E57)</f>
        <v>River</v>
      </c>
      <c r="F57">
        <f t="shared" ca="1" si="0"/>
        <v>112</v>
      </c>
      <c r="G57">
        <v>4.9000000000000004</v>
      </c>
      <c r="H57">
        <f ca="1">MAX(0,ROUND(F_Baseline_data!H57+(F_Baseline_data!C57-5)*200+(D57-30000)*0.015+(F57-50)*15-IF(I57=1,1200,0)+_xlfn.NORM.INV(RAND(),0,2500),-2))</f>
        <v>8600</v>
      </c>
      <c r="I57">
        <v>0</v>
      </c>
      <c r="J57">
        <f>1</f>
        <v>1</v>
      </c>
      <c r="K57">
        <f>1</f>
        <v>1</v>
      </c>
      <c r="L57">
        <v>0</v>
      </c>
      <c r="M57">
        <f t="shared" ca="1" si="1"/>
        <v>0.69688912289679483</v>
      </c>
      <c r="N57">
        <v>0</v>
      </c>
      <c r="O57">
        <v>0</v>
      </c>
      <c r="P57">
        <v>0</v>
      </c>
    </row>
    <row r="58" spans="1:16" x14ac:dyDescent="0.3">
      <c r="A58" t="s">
        <v>166</v>
      </c>
      <c r="B58" t="s">
        <v>64</v>
      </c>
      <c r="C58">
        <f ca="1">IF(RAND()&lt;0.8,F_Baseline_data!C58,IF(RAND()&lt;0.85,F_Baseline_data!C58+1,IF(F_Baseline_data!C58&gt;3,C58-1,F_Baseline_data!C58)))</f>
        <v>3</v>
      </c>
      <c r="D58">
        <f ca="1">MAX(5000,ROUND(F_Baseline_data!D58*(1+_xlfn.NORM.INV(RAND(),0.12,0.1)),-2))</f>
        <v>42200</v>
      </c>
      <c r="E58" t="str">
        <f ca="1">IF(I58=1,IF(RAND()&lt;0.95,"Piped Water",F_Baseline_data!E58),F_Baseline_data!E58)</f>
        <v>River</v>
      </c>
      <c r="F58">
        <f t="shared" ca="1" si="0"/>
        <v>117</v>
      </c>
      <c r="G58">
        <v>7.5</v>
      </c>
      <c r="H58">
        <f ca="1">MAX(0,ROUND(F_Baseline_data!H58+(F_Baseline_data!C58-5)*200+(D58-30000)*0.015+(F58-50)*15-IF(I58=1,1200,0)+_xlfn.NORM.INV(RAND(),0,2500),-2))</f>
        <v>2100</v>
      </c>
      <c r="I58">
        <v>0</v>
      </c>
      <c r="J58">
        <f>1</f>
        <v>1</v>
      </c>
      <c r="K58">
        <f>1</f>
        <v>1</v>
      </c>
      <c r="L58">
        <v>0</v>
      </c>
      <c r="M58">
        <f t="shared" ca="1" si="1"/>
        <v>0.18493933692495201</v>
      </c>
      <c r="N58">
        <v>0</v>
      </c>
      <c r="O58">
        <v>0</v>
      </c>
      <c r="P58">
        <v>0</v>
      </c>
    </row>
    <row r="59" spans="1:16" x14ac:dyDescent="0.3">
      <c r="A59" t="s">
        <v>167</v>
      </c>
      <c r="B59" t="s">
        <v>62</v>
      </c>
      <c r="C59">
        <f ca="1">IF(RAND()&lt;0.8,F_Baseline_data!C59,IF(RAND()&lt;0.85,F_Baseline_data!C59+1,IF(F_Baseline_data!C59&gt;3,C59-1,F_Baseline_data!C59)))</f>
        <v>8</v>
      </c>
      <c r="D59">
        <f ca="1">MAX(5000,ROUND(F_Baseline_data!D59*(1+_xlfn.NORM.INV(RAND(),0.12,0.1)),-2))</f>
        <v>101700</v>
      </c>
      <c r="E59" t="str">
        <f ca="1">IF(I59=1,IF(RAND()&lt;0.95,"Piped Water",F_Baseline_data!E59),F_Baseline_data!E59)</f>
        <v>Rainwater</v>
      </c>
      <c r="F59">
        <f t="shared" ca="1" si="0"/>
        <v>54</v>
      </c>
      <c r="G59">
        <v>8.5</v>
      </c>
      <c r="H59">
        <f ca="1">MAX(0,ROUND(F_Baseline_data!H59+(F_Baseline_data!C59-5)*200+(D59-30000)*0.015+(F59-50)*15-IF(I59=1,1200,0)+_xlfn.NORM.INV(RAND(),0,2500),-2))</f>
        <v>7500</v>
      </c>
      <c r="I59">
        <v>0</v>
      </c>
      <c r="J59">
        <f>1</f>
        <v>1</v>
      </c>
      <c r="K59">
        <f>1</f>
        <v>1</v>
      </c>
      <c r="L59">
        <v>0</v>
      </c>
      <c r="M59">
        <f t="shared" ca="1" si="1"/>
        <v>0.85177296713304085</v>
      </c>
      <c r="N59">
        <v>0</v>
      </c>
      <c r="O59">
        <v>0</v>
      </c>
      <c r="P59">
        <v>0</v>
      </c>
    </row>
    <row r="60" spans="1:16" x14ac:dyDescent="0.3">
      <c r="A60" t="s">
        <v>168</v>
      </c>
      <c r="B60" t="s">
        <v>65</v>
      </c>
      <c r="C60">
        <f ca="1">IF(RAND()&lt;0.8,F_Baseline_data!C60,IF(RAND()&lt;0.85,F_Baseline_data!C60+1,IF(F_Baseline_data!C60&gt;3,C60-1,F_Baseline_data!C60)))</f>
        <v>8</v>
      </c>
      <c r="D60">
        <f ca="1">MAX(5000,ROUND(F_Baseline_data!D60*(1+_xlfn.NORM.INV(RAND(),0.12,0.1)),-2))</f>
        <v>58000</v>
      </c>
      <c r="E60" t="str">
        <f ca="1">IF(I60=1,IF(RAND()&lt;0.95,"Piped Water",F_Baseline_data!E60),F_Baseline_data!E60)</f>
        <v>Vendor</v>
      </c>
      <c r="F60">
        <f t="shared" ca="1" si="0"/>
        <v>32</v>
      </c>
      <c r="G60">
        <v>12.3</v>
      </c>
      <c r="H60">
        <f ca="1">MAX(0,ROUND(F_Baseline_data!H60+(F_Baseline_data!C60-5)*200+(D60-30000)*0.015+(F60-50)*15-IF(I60=1,1200,0)+_xlfn.NORM.INV(RAND(),0,2500),-2))</f>
        <v>5300</v>
      </c>
      <c r="I60">
        <v>0</v>
      </c>
      <c r="J60">
        <f>1</f>
        <v>1</v>
      </c>
      <c r="K60">
        <f>1</f>
        <v>1</v>
      </c>
      <c r="L60">
        <v>0</v>
      </c>
      <c r="M60">
        <f t="shared" ca="1" si="1"/>
        <v>0.12588972261431264</v>
      </c>
      <c r="N60">
        <v>0</v>
      </c>
      <c r="O60">
        <v>0</v>
      </c>
      <c r="P60">
        <v>0</v>
      </c>
    </row>
    <row r="61" spans="1:16" x14ac:dyDescent="0.3">
      <c r="A61" t="s">
        <v>169</v>
      </c>
      <c r="B61" t="s">
        <v>513</v>
      </c>
      <c r="C61">
        <f ca="1">IF(RAND()&lt;0.8,F_Baseline_data!C61,IF(RAND()&lt;0.85,F_Baseline_data!C61+1,IF(F_Baseline_data!C61&gt;3,C61-1,F_Baseline_data!C61)))</f>
        <v>6</v>
      </c>
      <c r="D61">
        <f ca="1">MAX(5000,ROUND(F_Baseline_data!D61*(1+_xlfn.NORM.INV(RAND(),0.12,0.1)),-2))</f>
        <v>25300</v>
      </c>
      <c r="E61" t="str">
        <f ca="1">IF(I61=1,IF(RAND()&lt;0.95,"Piped Water",F_Baseline_data!E61),F_Baseline_data!E61)</f>
        <v>River</v>
      </c>
      <c r="F61">
        <f t="shared" ca="1" si="0"/>
        <v>54</v>
      </c>
      <c r="G61">
        <v>11.4</v>
      </c>
      <c r="H61">
        <f ca="1">MAX(0,ROUND(F_Baseline_data!H61+(F_Baseline_data!C61-5)*200+(D61-30000)*0.015+(F61-50)*15-IF(I61=1,1200,0)+_xlfn.NORM.INV(RAND(),0,2500),-2))</f>
        <v>7300</v>
      </c>
      <c r="I61">
        <v>0</v>
      </c>
      <c r="J61">
        <f>1</f>
        <v>1</v>
      </c>
      <c r="K61">
        <f>1</f>
        <v>1</v>
      </c>
      <c r="L61">
        <v>0</v>
      </c>
      <c r="M61">
        <f t="shared" ca="1" si="1"/>
        <v>0.68019867293367609</v>
      </c>
      <c r="N61">
        <v>0</v>
      </c>
      <c r="O61">
        <v>0</v>
      </c>
      <c r="P61">
        <v>0</v>
      </c>
    </row>
    <row r="62" spans="1:16" x14ac:dyDescent="0.3">
      <c r="A62" t="s">
        <v>170</v>
      </c>
      <c r="B62" t="s">
        <v>65</v>
      </c>
      <c r="C62">
        <f ca="1">IF(RAND()&lt;0.8,F_Baseline_data!C62,IF(RAND()&lt;0.85,F_Baseline_data!C62+1,IF(F_Baseline_data!C62&gt;3,C62-1,F_Baseline_data!C62)))</f>
        <v>3</v>
      </c>
      <c r="D62">
        <f ca="1">MAX(5000,ROUND(F_Baseline_data!D62*(1+_xlfn.NORM.INV(RAND(),0.12,0.1)),-2))</f>
        <v>27300</v>
      </c>
      <c r="E62" t="str">
        <f ca="1">IF(I62=1,IF(RAND()&lt;0.95,"Piped Water",F_Baseline_data!E62),F_Baseline_data!E62)</f>
        <v>River</v>
      </c>
      <c r="F62">
        <f t="shared" ca="1" si="0"/>
        <v>110</v>
      </c>
      <c r="G62">
        <v>8.1999999999999993</v>
      </c>
      <c r="H62">
        <f ca="1">MAX(0,ROUND(F_Baseline_data!H62+(F_Baseline_data!C62-5)*200+(D62-30000)*0.015+(F62-50)*15-IF(I62=1,1200,0)+_xlfn.NORM.INV(RAND(),0,2500),-2))</f>
        <v>2200</v>
      </c>
      <c r="I62">
        <v>0</v>
      </c>
      <c r="J62">
        <f>1</f>
        <v>1</v>
      </c>
      <c r="K62">
        <f>1</f>
        <v>1</v>
      </c>
      <c r="L62">
        <v>0</v>
      </c>
      <c r="M62">
        <f t="shared" ca="1" si="1"/>
        <v>9.8516939486462229E-2</v>
      </c>
      <c r="N62">
        <v>0</v>
      </c>
      <c r="O62">
        <v>0</v>
      </c>
      <c r="P62">
        <v>0</v>
      </c>
    </row>
    <row r="63" spans="1:16" x14ac:dyDescent="0.3">
      <c r="A63" t="s">
        <v>171</v>
      </c>
      <c r="B63" t="s">
        <v>513</v>
      </c>
      <c r="C63">
        <f ca="1">IF(RAND()&lt;0.8,F_Baseline_data!C63,IF(RAND()&lt;0.85,F_Baseline_data!C63+1,IF(F_Baseline_data!C63&gt;3,C63-1,F_Baseline_data!C63)))</f>
        <v>5</v>
      </c>
      <c r="D63">
        <f ca="1">MAX(5000,ROUND(F_Baseline_data!D63*(1+_xlfn.NORM.INV(RAND(),0.12,0.1)),-2))</f>
        <v>96300</v>
      </c>
      <c r="E63" t="str">
        <f ca="1">IF(I63=1,IF(RAND()&lt;0.95,"Piped Water",F_Baseline_data!E63),F_Baseline_data!E63)</f>
        <v>Borehole</v>
      </c>
      <c r="F63">
        <f t="shared" ca="1" si="0"/>
        <v>73</v>
      </c>
      <c r="G63">
        <v>6.9</v>
      </c>
      <c r="H63">
        <f ca="1">MAX(0,ROUND(F_Baseline_data!H63+(F_Baseline_data!C63-5)*200+(D63-30000)*0.015+(F63-50)*15-IF(I63=1,1200,0)+_xlfn.NORM.INV(RAND(),0,2500),-2))</f>
        <v>8800</v>
      </c>
      <c r="I63">
        <v>0</v>
      </c>
      <c r="J63">
        <f>1</f>
        <v>1</v>
      </c>
      <c r="K63">
        <f>1</f>
        <v>1</v>
      </c>
      <c r="L63">
        <v>0</v>
      </c>
      <c r="M63">
        <f t="shared" ca="1" si="1"/>
        <v>0.9327593170329298</v>
      </c>
      <c r="N63">
        <v>0</v>
      </c>
      <c r="O63">
        <v>0</v>
      </c>
      <c r="P63">
        <v>0</v>
      </c>
    </row>
    <row r="64" spans="1:16" x14ac:dyDescent="0.3">
      <c r="A64" t="s">
        <v>172</v>
      </c>
      <c r="B64" t="s">
        <v>65</v>
      </c>
      <c r="C64">
        <f ca="1">IF(RAND()&lt;0.8,F_Baseline_data!C64,IF(RAND()&lt;0.85,F_Baseline_data!C64+1,IF(F_Baseline_data!C64&gt;3,C64-1,F_Baseline_data!C64)))</f>
        <v>3</v>
      </c>
      <c r="D64">
        <f ca="1">MAX(5000,ROUND(F_Baseline_data!D64*(1+_xlfn.NORM.INV(RAND(),0.12,0.1)),-2))</f>
        <v>23200</v>
      </c>
      <c r="E64" t="str">
        <f ca="1">IF(I64=1,IF(RAND()&lt;0.95,"Piped Water",F_Baseline_data!E64),F_Baseline_data!E64)</f>
        <v>River</v>
      </c>
      <c r="F64">
        <f t="shared" ca="1" si="0"/>
        <v>120</v>
      </c>
      <c r="G64">
        <v>7.6</v>
      </c>
      <c r="H64">
        <f ca="1">MAX(0,ROUND(F_Baseline_data!H64+(F_Baseline_data!C64-5)*200+(D64-30000)*0.015+(F64-50)*15-IF(I64=1,1200,0)+_xlfn.NORM.INV(RAND(),0,2500),-2))</f>
        <v>1600</v>
      </c>
      <c r="I64">
        <v>0</v>
      </c>
      <c r="J64">
        <f>1</f>
        <v>1</v>
      </c>
      <c r="K64">
        <f>1</f>
        <v>1</v>
      </c>
      <c r="L64">
        <v>0</v>
      </c>
      <c r="M64">
        <f t="shared" ca="1" si="1"/>
        <v>0.74365725064712507</v>
      </c>
      <c r="N64">
        <v>0</v>
      </c>
      <c r="O64">
        <v>0</v>
      </c>
      <c r="P64">
        <v>0</v>
      </c>
    </row>
    <row r="65" spans="1:16" x14ac:dyDescent="0.3">
      <c r="A65" t="s">
        <v>173</v>
      </c>
      <c r="B65" t="s">
        <v>513</v>
      </c>
      <c r="C65">
        <f ca="1">IF(RAND()&lt;0.8,F_Baseline_data!C65,IF(RAND()&lt;0.85,F_Baseline_data!C65+1,IF(F_Baseline_data!C65&gt;3,C65-1,F_Baseline_data!C65)))</f>
        <v>5</v>
      </c>
      <c r="D65">
        <f ca="1">MAX(5000,ROUND(F_Baseline_data!D65*(1+_xlfn.NORM.INV(RAND(),0.12,0.1)),-2))</f>
        <v>33600</v>
      </c>
      <c r="E65" t="str">
        <f ca="1">IF(I65=1,IF(RAND()&lt;0.95,"Piped Water",F_Baseline_data!E65),F_Baseline_data!E65)</f>
        <v>Borehole</v>
      </c>
      <c r="F65">
        <f t="shared" ca="1" si="0"/>
        <v>54</v>
      </c>
      <c r="G65">
        <v>2.2000000000000002</v>
      </c>
      <c r="H65">
        <f ca="1">MAX(0,ROUND(F_Baseline_data!H65+(F_Baseline_data!C65-5)*200+(D65-30000)*0.015+(F65-50)*15-IF(I65=1,1200,0)+_xlfn.NORM.INV(RAND(),0,2500),-2))</f>
        <v>2200</v>
      </c>
      <c r="I65">
        <v>0</v>
      </c>
      <c r="J65">
        <f>1</f>
        <v>1</v>
      </c>
      <c r="K65">
        <f>1</f>
        <v>1</v>
      </c>
      <c r="L65">
        <v>0</v>
      </c>
      <c r="M65">
        <f t="shared" ca="1" si="1"/>
        <v>0.84822915597612114</v>
      </c>
      <c r="N65">
        <v>0</v>
      </c>
      <c r="O65">
        <v>0</v>
      </c>
      <c r="P65">
        <v>0</v>
      </c>
    </row>
    <row r="66" spans="1:16" x14ac:dyDescent="0.3">
      <c r="A66" t="s">
        <v>174</v>
      </c>
      <c r="B66" t="s">
        <v>62</v>
      </c>
      <c r="C66">
        <f ca="1">IF(RAND()&lt;0.8,F_Baseline_data!C66,IF(RAND()&lt;0.85,F_Baseline_data!C66+1,IF(F_Baseline_data!C66&gt;3,C66-1,F_Baseline_data!C66)))</f>
        <v>9</v>
      </c>
      <c r="D66">
        <f ca="1">MAX(5000,ROUND(F_Baseline_data!D66*(1+_xlfn.NORM.INV(RAND(),0.12,0.1)),-2))</f>
        <v>57500</v>
      </c>
      <c r="E66" t="str">
        <f ca="1">IF(I66=1,IF(RAND()&lt;0.95,"Piped Water",F_Baseline_data!E66),F_Baseline_data!E66)</f>
        <v>Vendor</v>
      </c>
      <c r="F66">
        <f t="shared" ref="F66:F129" ca="1" si="2">IF(E66="Piped Water",RANDBETWEEN(0,10),IF(E66="River",RANDBETWEEN(45,120),IF(E66="Rainwater",RANDBETWEEN(15,70),IF(E66="Borehole",RANDBETWEEN(20,75),RANDBETWEEN(10,60)))))</f>
        <v>28</v>
      </c>
      <c r="G66">
        <v>4.5999999999999996</v>
      </c>
      <c r="H66">
        <f ca="1">MAX(0,ROUND(F_Baseline_data!H66+(F_Baseline_data!C66-5)*200+(D66-30000)*0.015+(F66-50)*15-IF(I66=1,1200,0)+_xlfn.NORM.INV(RAND(),0,2500),-2))</f>
        <v>10400</v>
      </c>
      <c r="I66">
        <v>0</v>
      </c>
      <c r="J66">
        <f>1</f>
        <v>1</v>
      </c>
      <c r="K66">
        <f>1</f>
        <v>1</v>
      </c>
      <c r="L66">
        <v>0</v>
      </c>
      <c r="M66">
        <f t="shared" ref="M66:M129" ca="1" si="3">RAND()</f>
        <v>0.45535224126003715</v>
      </c>
      <c r="N66">
        <v>0</v>
      </c>
      <c r="O66">
        <v>0</v>
      </c>
      <c r="P66">
        <v>0</v>
      </c>
    </row>
    <row r="67" spans="1:16" x14ac:dyDescent="0.3">
      <c r="A67" t="s">
        <v>175</v>
      </c>
      <c r="B67" t="s">
        <v>65</v>
      </c>
      <c r="C67">
        <f ca="1">IF(RAND()&lt;0.8,F_Baseline_data!C67,IF(RAND()&lt;0.85,F_Baseline_data!C67+1,IF(F_Baseline_data!C67&gt;3,C67-1,F_Baseline_data!C67)))</f>
        <v>5</v>
      </c>
      <c r="D67">
        <f ca="1">MAX(5000,ROUND(F_Baseline_data!D67*(1+_xlfn.NORM.INV(RAND(),0.12,0.1)),-2))</f>
        <v>46000</v>
      </c>
      <c r="E67" t="str">
        <f ca="1">IF(I67=1,IF(RAND()&lt;0.95,"Piped Water",F_Baseline_data!E67),F_Baseline_data!E67)</f>
        <v>River</v>
      </c>
      <c r="F67">
        <f t="shared" ca="1" si="2"/>
        <v>81</v>
      </c>
      <c r="G67">
        <v>12.6</v>
      </c>
      <c r="H67">
        <f ca="1">MAX(0,ROUND(F_Baseline_data!H67+(F_Baseline_data!C67-5)*200+(D67-30000)*0.015+(F67-50)*15-IF(I67=1,1200,0)+_xlfn.NORM.INV(RAND(),0,2500),-2))</f>
        <v>11000</v>
      </c>
      <c r="I67">
        <v>0</v>
      </c>
      <c r="J67">
        <f>1</f>
        <v>1</v>
      </c>
      <c r="K67">
        <f>1</f>
        <v>1</v>
      </c>
      <c r="L67">
        <v>0</v>
      </c>
      <c r="M67">
        <f t="shared" ca="1" si="3"/>
        <v>0.3660774569387919</v>
      </c>
      <c r="N67">
        <v>0</v>
      </c>
      <c r="O67">
        <v>0</v>
      </c>
      <c r="P67">
        <v>0</v>
      </c>
    </row>
    <row r="68" spans="1:16" x14ac:dyDescent="0.3">
      <c r="A68" t="s">
        <v>176</v>
      </c>
      <c r="B68" t="s">
        <v>64</v>
      </c>
      <c r="C68">
        <f ca="1">IF(RAND()&lt;0.8,F_Baseline_data!C68,IF(RAND()&lt;0.85,F_Baseline_data!C68+1,IF(F_Baseline_data!C68&gt;3,C68-1,F_Baseline_data!C68)))</f>
        <v>7</v>
      </c>
      <c r="D68">
        <f ca="1">MAX(5000,ROUND(F_Baseline_data!D68*(1+_xlfn.NORM.INV(RAND(),0.12,0.1)),-2))</f>
        <v>72300</v>
      </c>
      <c r="E68" t="str">
        <f ca="1">IF(I68=1,IF(RAND()&lt;0.95,"Piped Water",F_Baseline_data!E68),F_Baseline_data!E68)</f>
        <v>River</v>
      </c>
      <c r="F68">
        <f t="shared" ca="1" si="2"/>
        <v>101</v>
      </c>
      <c r="G68">
        <v>4</v>
      </c>
      <c r="H68">
        <f ca="1">MAX(0,ROUND(F_Baseline_data!H68+(F_Baseline_data!C68-5)*200+(D68-30000)*0.015+(F68-50)*15-IF(I68=1,1200,0)+_xlfn.NORM.INV(RAND(),0,2500),-2))</f>
        <v>8000</v>
      </c>
      <c r="I68">
        <v>0</v>
      </c>
      <c r="J68">
        <f>1</f>
        <v>1</v>
      </c>
      <c r="K68">
        <f>1</f>
        <v>1</v>
      </c>
      <c r="L68">
        <v>0</v>
      </c>
      <c r="M68">
        <f t="shared" ca="1" si="3"/>
        <v>0.57650699260214744</v>
      </c>
      <c r="N68">
        <v>0</v>
      </c>
      <c r="O68">
        <v>0</v>
      </c>
      <c r="P68">
        <v>0</v>
      </c>
    </row>
    <row r="69" spans="1:16" x14ac:dyDescent="0.3">
      <c r="A69" t="s">
        <v>177</v>
      </c>
      <c r="B69" t="s">
        <v>65</v>
      </c>
      <c r="C69">
        <f ca="1">IF(RAND()&lt;0.8,F_Baseline_data!C69,IF(RAND()&lt;0.85,F_Baseline_data!C69+1,IF(F_Baseline_data!C69&gt;3,C69-1,F_Baseline_data!C69)))</f>
        <v>5</v>
      </c>
      <c r="D69">
        <f ca="1">MAX(5000,ROUND(F_Baseline_data!D69*(1+_xlfn.NORM.INV(RAND(),0.12,0.1)),-2))</f>
        <v>107500</v>
      </c>
      <c r="E69" t="str">
        <f ca="1">IF(I69=1,IF(RAND()&lt;0.95,"Piped Water",F_Baseline_data!E69),F_Baseline_data!E69)</f>
        <v>Vendor</v>
      </c>
      <c r="F69">
        <f t="shared" ca="1" si="2"/>
        <v>19</v>
      </c>
      <c r="G69">
        <v>12.8</v>
      </c>
      <c r="H69">
        <f ca="1">MAX(0,ROUND(F_Baseline_data!H69+(F_Baseline_data!C69-5)*200+(D69-30000)*0.015+(F69-50)*15-IF(I69=1,1200,0)+_xlfn.NORM.INV(RAND(),0,2500),-2))</f>
        <v>16000</v>
      </c>
      <c r="I69">
        <v>0</v>
      </c>
      <c r="J69">
        <f>1</f>
        <v>1</v>
      </c>
      <c r="K69">
        <f>1</f>
        <v>1</v>
      </c>
      <c r="L69">
        <v>0</v>
      </c>
      <c r="M69">
        <f t="shared" ca="1" si="3"/>
        <v>0.39393615816429339</v>
      </c>
      <c r="N69">
        <v>0</v>
      </c>
      <c r="O69">
        <v>0</v>
      </c>
      <c r="P69">
        <v>0</v>
      </c>
    </row>
    <row r="70" spans="1:16" x14ac:dyDescent="0.3">
      <c r="A70" t="s">
        <v>178</v>
      </c>
      <c r="B70" t="s">
        <v>64</v>
      </c>
      <c r="C70">
        <f ca="1">IF(RAND()&lt;0.8,F_Baseline_data!C70,IF(RAND()&lt;0.85,F_Baseline_data!C70+1,IF(F_Baseline_data!C70&gt;3,C70-1,F_Baseline_data!C70)))</f>
        <v>6</v>
      </c>
      <c r="D70">
        <f ca="1">MAX(5000,ROUND(F_Baseline_data!D70*(1+_xlfn.NORM.INV(RAND(),0.12,0.1)),-2))</f>
        <v>39000</v>
      </c>
      <c r="E70" t="str">
        <f ca="1">IF(I70=1,IF(RAND()&lt;0.95,"Piped Water",F_Baseline_data!E70),F_Baseline_data!E70)</f>
        <v>Vendor</v>
      </c>
      <c r="F70">
        <f t="shared" ca="1" si="2"/>
        <v>38</v>
      </c>
      <c r="G70">
        <v>4.5999999999999996</v>
      </c>
      <c r="H70">
        <f ca="1">MAX(0,ROUND(F_Baseline_data!H70+(F_Baseline_data!C70-5)*200+(D70-30000)*0.015+(F70-50)*15-IF(I70=1,1200,0)+_xlfn.NORM.INV(RAND(),0,2500),-2))</f>
        <v>5100</v>
      </c>
      <c r="I70">
        <v>0</v>
      </c>
      <c r="J70">
        <f>1</f>
        <v>1</v>
      </c>
      <c r="K70">
        <f>1</f>
        <v>1</v>
      </c>
      <c r="L70">
        <v>0</v>
      </c>
      <c r="M70">
        <f t="shared" ca="1" si="3"/>
        <v>0.57005091948397824</v>
      </c>
      <c r="N70">
        <v>0</v>
      </c>
      <c r="O70">
        <v>0</v>
      </c>
      <c r="P70">
        <v>0</v>
      </c>
    </row>
    <row r="71" spans="1:16" x14ac:dyDescent="0.3">
      <c r="A71" t="s">
        <v>179</v>
      </c>
      <c r="B71" t="s">
        <v>64</v>
      </c>
      <c r="C71">
        <f ca="1">IF(RAND()&lt;0.8,F_Baseline_data!C71,IF(RAND()&lt;0.85,F_Baseline_data!C71+1,IF(F_Baseline_data!C71&gt;3,C71-1,F_Baseline_data!C71)))</f>
        <v>3</v>
      </c>
      <c r="D71">
        <f ca="1">MAX(5000,ROUND(F_Baseline_data!D71*(1+_xlfn.NORM.INV(RAND(),0.12,0.1)),-2))</f>
        <v>31200</v>
      </c>
      <c r="E71" t="str">
        <f ca="1">IF(I71=1,IF(RAND()&lt;0.95,"Piped Water",F_Baseline_data!E71),F_Baseline_data!E71)</f>
        <v>River</v>
      </c>
      <c r="F71">
        <f t="shared" ca="1" si="2"/>
        <v>64</v>
      </c>
      <c r="G71">
        <v>3</v>
      </c>
      <c r="H71">
        <f ca="1">MAX(0,ROUND(F_Baseline_data!H71+(F_Baseline_data!C71-5)*200+(D71-30000)*0.015+(F71-50)*15-IF(I71=1,1200,0)+_xlfn.NORM.INV(RAND(),0,2500),-2))</f>
        <v>8100</v>
      </c>
      <c r="I71">
        <v>0</v>
      </c>
      <c r="J71">
        <f>1</f>
        <v>1</v>
      </c>
      <c r="K71">
        <f>1</f>
        <v>1</v>
      </c>
      <c r="L71">
        <v>0</v>
      </c>
      <c r="M71">
        <f t="shared" ca="1" si="3"/>
        <v>0.52834083247116204</v>
      </c>
      <c r="N71">
        <v>0</v>
      </c>
      <c r="O71">
        <v>0</v>
      </c>
      <c r="P71">
        <v>0</v>
      </c>
    </row>
    <row r="72" spans="1:16" x14ac:dyDescent="0.3">
      <c r="A72" t="s">
        <v>180</v>
      </c>
      <c r="B72" t="s">
        <v>513</v>
      </c>
      <c r="C72">
        <f ca="1">IF(RAND()&lt;0.8,F_Baseline_data!C72,IF(RAND()&lt;0.85,F_Baseline_data!C72+1,IF(F_Baseline_data!C72&gt;3,C72-1,F_Baseline_data!C72)))</f>
        <v>4</v>
      </c>
      <c r="D72">
        <f ca="1">MAX(5000,ROUND(F_Baseline_data!D72*(1+_xlfn.NORM.INV(RAND(),0.12,0.1)),-2))</f>
        <v>44000</v>
      </c>
      <c r="E72" t="str">
        <f ca="1">IF(I72=1,IF(RAND()&lt;0.95,"Piped Water",F_Baseline_data!E72),F_Baseline_data!E72)</f>
        <v>Borehole</v>
      </c>
      <c r="F72">
        <f t="shared" ca="1" si="2"/>
        <v>30</v>
      </c>
      <c r="G72">
        <v>11.5</v>
      </c>
      <c r="H72">
        <f ca="1">MAX(0,ROUND(F_Baseline_data!H72+(F_Baseline_data!C72-5)*200+(D72-30000)*0.015+(F72-50)*15-IF(I72=1,1200,0)+_xlfn.NORM.INV(RAND(),0,2500),-2))</f>
        <v>6900</v>
      </c>
      <c r="I72">
        <v>0</v>
      </c>
      <c r="J72">
        <f>1</f>
        <v>1</v>
      </c>
      <c r="K72">
        <f>1</f>
        <v>1</v>
      </c>
      <c r="L72">
        <v>0</v>
      </c>
      <c r="M72">
        <f t="shared" ca="1" si="3"/>
        <v>0.64289403624528052</v>
      </c>
      <c r="N72">
        <v>0</v>
      </c>
      <c r="O72">
        <v>0</v>
      </c>
      <c r="P72">
        <v>0</v>
      </c>
    </row>
    <row r="73" spans="1:16" x14ac:dyDescent="0.3">
      <c r="A73" t="s">
        <v>181</v>
      </c>
      <c r="B73" t="s">
        <v>64</v>
      </c>
      <c r="C73">
        <f ca="1">IF(RAND()&lt;0.8,F_Baseline_data!C73,IF(RAND()&lt;0.85,F_Baseline_data!C73+1,IF(F_Baseline_data!C73&gt;3,C73-1,F_Baseline_data!C73)))</f>
        <v>3</v>
      </c>
      <c r="D73">
        <f ca="1">MAX(5000,ROUND(F_Baseline_data!D73*(1+_xlfn.NORM.INV(RAND(),0.12,0.1)),-2))</f>
        <v>36900</v>
      </c>
      <c r="E73" t="str">
        <f ca="1">IF(I73=1,IF(RAND()&lt;0.95,"Piped Water",F_Baseline_data!E73),F_Baseline_data!E73)</f>
        <v>Rainwater</v>
      </c>
      <c r="F73">
        <f t="shared" ca="1" si="2"/>
        <v>68</v>
      </c>
      <c r="G73">
        <v>8.8000000000000007</v>
      </c>
      <c r="H73">
        <f ca="1">MAX(0,ROUND(F_Baseline_data!H73+(F_Baseline_data!C73-5)*200+(D73-30000)*0.015+(F73-50)*15-IF(I73=1,1200,0)+_xlfn.NORM.INV(RAND(),0,2500),-2))</f>
        <v>2600</v>
      </c>
      <c r="I73">
        <v>0</v>
      </c>
      <c r="J73">
        <f>1</f>
        <v>1</v>
      </c>
      <c r="K73">
        <f>1</f>
        <v>1</v>
      </c>
      <c r="L73">
        <v>0</v>
      </c>
      <c r="M73">
        <f t="shared" ca="1" si="3"/>
        <v>0.44318911926686577</v>
      </c>
      <c r="N73">
        <v>0</v>
      </c>
      <c r="O73">
        <v>0</v>
      </c>
      <c r="P73">
        <v>0</v>
      </c>
    </row>
    <row r="74" spans="1:16" x14ac:dyDescent="0.3">
      <c r="A74" t="s">
        <v>182</v>
      </c>
      <c r="B74" t="s">
        <v>65</v>
      </c>
      <c r="C74">
        <f ca="1">IF(RAND()&lt;0.8,F_Baseline_data!C74,IF(RAND()&lt;0.85,F_Baseline_data!C74+1,IF(F_Baseline_data!C74&gt;3,C74-1,F_Baseline_data!C74)))</f>
        <v>2</v>
      </c>
      <c r="D74">
        <f ca="1">MAX(5000,ROUND(F_Baseline_data!D74*(1+_xlfn.NORM.INV(RAND(),0.12,0.1)),-2))</f>
        <v>24700</v>
      </c>
      <c r="E74" t="str">
        <f ca="1">IF(I74=1,IF(RAND()&lt;0.95,"Piped Water",F_Baseline_data!E74),F_Baseline_data!E74)</f>
        <v>Rainwater</v>
      </c>
      <c r="F74">
        <f t="shared" ca="1" si="2"/>
        <v>28</v>
      </c>
      <c r="G74">
        <v>4.0999999999999996</v>
      </c>
      <c r="H74">
        <f ca="1">MAX(0,ROUND(F_Baseline_data!H74+(F_Baseline_data!C74-5)*200+(D74-30000)*0.015+(F74-50)*15-IF(I74=1,1200,0)+_xlfn.NORM.INV(RAND(),0,2500),-2))</f>
        <v>12400</v>
      </c>
      <c r="I74">
        <v>0</v>
      </c>
      <c r="J74">
        <f>1</f>
        <v>1</v>
      </c>
      <c r="K74">
        <f>1</f>
        <v>1</v>
      </c>
      <c r="L74">
        <v>0</v>
      </c>
      <c r="M74">
        <f t="shared" ca="1" si="3"/>
        <v>0.51203788067406986</v>
      </c>
      <c r="N74">
        <v>0</v>
      </c>
      <c r="O74">
        <v>0</v>
      </c>
      <c r="P74">
        <v>0</v>
      </c>
    </row>
    <row r="75" spans="1:16" x14ac:dyDescent="0.3">
      <c r="A75" t="s">
        <v>183</v>
      </c>
      <c r="B75" t="s">
        <v>513</v>
      </c>
      <c r="C75">
        <f ca="1">IF(RAND()&lt;0.8,F_Baseline_data!C75,IF(RAND()&lt;0.85,F_Baseline_data!C75+1,IF(F_Baseline_data!C75&gt;3,C75-1,F_Baseline_data!C75)))</f>
        <v>3</v>
      </c>
      <c r="D75">
        <f ca="1">MAX(5000,ROUND(F_Baseline_data!D75*(1+_xlfn.NORM.INV(RAND(),0.12,0.1)),-2))</f>
        <v>34400</v>
      </c>
      <c r="E75" t="str">
        <f ca="1">IF(I75=1,IF(RAND()&lt;0.95,"Piped Water",F_Baseline_data!E75),F_Baseline_data!E75)</f>
        <v>Vendor</v>
      </c>
      <c r="F75">
        <f t="shared" ca="1" si="2"/>
        <v>56</v>
      </c>
      <c r="G75">
        <v>2.6</v>
      </c>
      <c r="H75">
        <f ca="1">MAX(0,ROUND(F_Baseline_data!H75+(F_Baseline_data!C75-5)*200+(D75-30000)*0.015+(F75-50)*15-IF(I75=1,1200,0)+_xlfn.NORM.INV(RAND(),0,2500),-2))</f>
        <v>4900</v>
      </c>
      <c r="I75">
        <v>0</v>
      </c>
      <c r="J75">
        <f>1</f>
        <v>1</v>
      </c>
      <c r="K75">
        <f>1</f>
        <v>1</v>
      </c>
      <c r="L75">
        <v>0</v>
      </c>
      <c r="M75">
        <f t="shared" ca="1" si="3"/>
        <v>7.5482717144445877E-2</v>
      </c>
      <c r="N75">
        <v>0</v>
      </c>
      <c r="O75">
        <v>0</v>
      </c>
      <c r="P75">
        <v>0</v>
      </c>
    </row>
    <row r="76" spans="1:16" x14ac:dyDescent="0.3">
      <c r="A76" t="s">
        <v>184</v>
      </c>
      <c r="B76" t="s">
        <v>65</v>
      </c>
      <c r="C76">
        <f ca="1">IF(RAND()&lt;0.8,F_Baseline_data!C76,IF(RAND()&lt;0.85,F_Baseline_data!C76+1,IF(F_Baseline_data!C76&gt;3,C76-1,F_Baseline_data!C76)))</f>
        <v>4</v>
      </c>
      <c r="D76">
        <f ca="1">MAX(5000,ROUND(F_Baseline_data!D76*(1+_xlfn.NORM.INV(RAND(),0.12,0.1)),-2))</f>
        <v>34400</v>
      </c>
      <c r="E76" t="str">
        <f ca="1">IF(I76=1,IF(RAND()&lt;0.95,"Piped Water",F_Baseline_data!E76),F_Baseline_data!E76)</f>
        <v>Borehole</v>
      </c>
      <c r="F76">
        <f t="shared" ca="1" si="2"/>
        <v>48</v>
      </c>
      <c r="G76">
        <v>6.1</v>
      </c>
      <c r="H76">
        <f ca="1">MAX(0,ROUND(F_Baseline_data!H76+(F_Baseline_data!C76-5)*200+(D76-30000)*0.015+(F76-50)*15-IF(I76=1,1200,0)+_xlfn.NORM.INV(RAND(),0,2500),-2))</f>
        <v>5500</v>
      </c>
      <c r="I76">
        <v>0</v>
      </c>
      <c r="J76">
        <f>1</f>
        <v>1</v>
      </c>
      <c r="K76">
        <f>1</f>
        <v>1</v>
      </c>
      <c r="L76">
        <v>0</v>
      </c>
      <c r="M76">
        <f t="shared" ca="1" si="3"/>
        <v>0.45742318914261959</v>
      </c>
      <c r="N76">
        <v>0</v>
      </c>
      <c r="O76">
        <v>0</v>
      </c>
      <c r="P76">
        <v>0</v>
      </c>
    </row>
    <row r="77" spans="1:16" x14ac:dyDescent="0.3">
      <c r="A77" t="s">
        <v>185</v>
      </c>
      <c r="B77" t="s">
        <v>62</v>
      </c>
      <c r="C77">
        <f ca="1">IF(RAND()&lt;0.8,F_Baseline_data!C77,IF(RAND()&lt;0.85,F_Baseline_data!C77+1,IF(F_Baseline_data!C77&gt;3,C77-1,F_Baseline_data!C77)))</f>
        <v>8</v>
      </c>
      <c r="D77">
        <f ca="1">MAX(5000,ROUND(F_Baseline_data!D77*(1+_xlfn.NORM.INV(RAND(),0.12,0.1)),-2))</f>
        <v>30300</v>
      </c>
      <c r="E77" t="str">
        <f ca="1">IF(I77=1,IF(RAND()&lt;0.95,"Piped Water",F_Baseline_data!E77),F_Baseline_data!E77)</f>
        <v>River</v>
      </c>
      <c r="F77">
        <f t="shared" ca="1" si="2"/>
        <v>59</v>
      </c>
      <c r="G77">
        <v>3.8</v>
      </c>
      <c r="H77">
        <f ca="1">MAX(0,ROUND(F_Baseline_data!H77+(F_Baseline_data!C77-5)*200+(D77-30000)*0.015+(F77-50)*15-IF(I77=1,1200,0)+_xlfn.NORM.INV(RAND(),0,2500),-2))</f>
        <v>7400</v>
      </c>
      <c r="I77">
        <v>0</v>
      </c>
      <c r="J77">
        <f>1</f>
        <v>1</v>
      </c>
      <c r="K77">
        <f>1</f>
        <v>1</v>
      </c>
      <c r="L77">
        <v>0</v>
      </c>
      <c r="M77">
        <f t="shared" ca="1" si="3"/>
        <v>0.45594072193927082</v>
      </c>
      <c r="N77">
        <v>0</v>
      </c>
      <c r="O77">
        <v>0</v>
      </c>
      <c r="P77">
        <v>0</v>
      </c>
    </row>
    <row r="78" spans="1:16" x14ac:dyDescent="0.3">
      <c r="A78" t="s">
        <v>186</v>
      </c>
      <c r="B78" t="s">
        <v>65</v>
      </c>
      <c r="C78">
        <f ca="1">IF(RAND()&lt;0.8,F_Baseline_data!C78,IF(RAND()&lt;0.85,F_Baseline_data!C78+1,IF(F_Baseline_data!C78&gt;3,C78-1,F_Baseline_data!C78)))</f>
        <v>8</v>
      </c>
      <c r="D78">
        <f ca="1">MAX(5000,ROUND(F_Baseline_data!D78*(1+_xlfn.NORM.INV(RAND(),0.12,0.1)),-2))</f>
        <v>46100</v>
      </c>
      <c r="E78" t="str">
        <f ca="1">IF(I78=1,IF(RAND()&lt;0.95,"Piped Water",F_Baseline_data!E78),F_Baseline_data!E78)</f>
        <v>River</v>
      </c>
      <c r="F78">
        <f t="shared" ca="1" si="2"/>
        <v>46</v>
      </c>
      <c r="G78">
        <v>9.1</v>
      </c>
      <c r="H78">
        <f ca="1">MAX(0,ROUND(F_Baseline_data!H78+(F_Baseline_data!C78-5)*200+(D78-30000)*0.015+(F78-50)*15-IF(I78=1,1200,0)+_xlfn.NORM.INV(RAND(),0,2500),-2))</f>
        <v>10900</v>
      </c>
      <c r="I78">
        <v>0</v>
      </c>
      <c r="J78">
        <f>1</f>
        <v>1</v>
      </c>
      <c r="K78">
        <f>1</f>
        <v>1</v>
      </c>
      <c r="L78">
        <v>0</v>
      </c>
      <c r="M78">
        <f t="shared" ca="1" si="3"/>
        <v>0.60008008744391972</v>
      </c>
      <c r="N78">
        <v>0</v>
      </c>
      <c r="O78">
        <v>0</v>
      </c>
      <c r="P78">
        <v>0</v>
      </c>
    </row>
    <row r="79" spans="1:16" x14ac:dyDescent="0.3">
      <c r="A79" t="s">
        <v>187</v>
      </c>
      <c r="B79" t="s">
        <v>513</v>
      </c>
      <c r="C79">
        <f ca="1">IF(RAND()&lt;0.8,F_Baseline_data!C79,IF(RAND()&lt;0.85,F_Baseline_data!C79+1,IF(F_Baseline_data!C79&gt;3,C79-1,F_Baseline_data!C79)))</f>
        <v>5</v>
      </c>
      <c r="D79">
        <f ca="1">MAX(5000,ROUND(F_Baseline_data!D79*(1+_xlfn.NORM.INV(RAND(),0.12,0.1)),-2))</f>
        <v>21100</v>
      </c>
      <c r="E79" t="str">
        <f ca="1">IF(I79=1,IF(RAND()&lt;0.95,"Piped Water",F_Baseline_data!E79),F_Baseline_data!E79)</f>
        <v>Rainwater</v>
      </c>
      <c r="F79">
        <f t="shared" ca="1" si="2"/>
        <v>64</v>
      </c>
      <c r="G79">
        <v>10.7</v>
      </c>
      <c r="H79">
        <f ca="1">MAX(0,ROUND(F_Baseline_data!H79+(F_Baseline_data!C79-5)*200+(D79-30000)*0.015+(F79-50)*15-IF(I79=1,1200,0)+_xlfn.NORM.INV(RAND(),0,2500),-2))</f>
        <v>10100</v>
      </c>
      <c r="I79">
        <v>0</v>
      </c>
      <c r="J79">
        <f>1</f>
        <v>1</v>
      </c>
      <c r="K79">
        <f>1</f>
        <v>1</v>
      </c>
      <c r="L79">
        <v>0</v>
      </c>
      <c r="M79">
        <f t="shared" ca="1" si="3"/>
        <v>7.4148342310417448E-2</v>
      </c>
      <c r="N79">
        <v>0</v>
      </c>
      <c r="O79">
        <v>0</v>
      </c>
      <c r="P79">
        <v>0</v>
      </c>
    </row>
    <row r="80" spans="1:16" x14ac:dyDescent="0.3">
      <c r="A80" t="s">
        <v>188</v>
      </c>
      <c r="B80" t="s">
        <v>65</v>
      </c>
      <c r="C80">
        <f ca="1">IF(RAND()&lt;0.8,F_Baseline_data!C80,IF(RAND()&lt;0.85,F_Baseline_data!C80+1,IF(F_Baseline_data!C80&gt;3,C80-1,F_Baseline_data!C80)))</f>
        <v>6</v>
      </c>
      <c r="D80">
        <f ca="1">MAX(5000,ROUND(F_Baseline_data!D80*(1+_xlfn.NORM.INV(RAND(),0.12,0.1)),-2))</f>
        <v>21800</v>
      </c>
      <c r="E80" t="str">
        <f ca="1">IF(I80=1,IF(RAND()&lt;0.95,"Piped Water",F_Baseline_data!E80),F_Baseline_data!E80)</f>
        <v>River</v>
      </c>
      <c r="F80">
        <f t="shared" ca="1" si="2"/>
        <v>61</v>
      </c>
      <c r="G80">
        <v>6.1</v>
      </c>
      <c r="H80">
        <f ca="1">MAX(0,ROUND(F_Baseline_data!H80+(F_Baseline_data!C80-5)*200+(D80-30000)*0.015+(F80-50)*15-IF(I80=1,1200,0)+_xlfn.NORM.INV(RAND(),0,2500),-2))</f>
        <v>2700</v>
      </c>
      <c r="I80">
        <v>0</v>
      </c>
      <c r="J80">
        <f>1</f>
        <v>1</v>
      </c>
      <c r="K80">
        <f>1</f>
        <v>1</v>
      </c>
      <c r="L80">
        <v>0</v>
      </c>
      <c r="M80">
        <f t="shared" ca="1" si="3"/>
        <v>0.43350701336658415</v>
      </c>
      <c r="N80">
        <v>0</v>
      </c>
      <c r="O80">
        <v>0</v>
      </c>
      <c r="P80">
        <v>0</v>
      </c>
    </row>
    <row r="81" spans="1:16" x14ac:dyDescent="0.3">
      <c r="A81" t="s">
        <v>189</v>
      </c>
      <c r="B81" t="s">
        <v>65</v>
      </c>
      <c r="C81">
        <f ca="1">IF(RAND()&lt;0.8,F_Baseline_data!C81,IF(RAND()&lt;0.85,F_Baseline_data!C81+1,IF(F_Baseline_data!C81&gt;3,C81-1,F_Baseline_data!C81)))</f>
        <v>4</v>
      </c>
      <c r="D81">
        <f ca="1">MAX(5000,ROUND(F_Baseline_data!D81*(1+_xlfn.NORM.INV(RAND(),0.12,0.1)),-2))</f>
        <v>48200</v>
      </c>
      <c r="E81" t="str">
        <f ca="1">IF(I81=1,IF(RAND()&lt;0.95,"Piped Water",F_Baseline_data!E81),F_Baseline_data!E81)</f>
        <v>Rainwater</v>
      </c>
      <c r="F81">
        <f t="shared" ca="1" si="2"/>
        <v>43</v>
      </c>
      <c r="G81">
        <v>12.5</v>
      </c>
      <c r="H81">
        <f ca="1">MAX(0,ROUND(F_Baseline_data!H81+(F_Baseline_data!C81-5)*200+(D81-30000)*0.015+(F81-50)*15-IF(I81=1,1200,0)+_xlfn.NORM.INV(RAND(),0,2500),-2))</f>
        <v>3400</v>
      </c>
      <c r="I81">
        <v>0</v>
      </c>
      <c r="J81">
        <f>1</f>
        <v>1</v>
      </c>
      <c r="K81">
        <f>1</f>
        <v>1</v>
      </c>
      <c r="L81">
        <v>0</v>
      </c>
      <c r="M81">
        <f t="shared" ca="1" si="3"/>
        <v>0.27926023906390063</v>
      </c>
      <c r="N81">
        <v>0</v>
      </c>
      <c r="O81">
        <v>0</v>
      </c>
      <c r="P81">
        <v>0</v>
      </c>
    </row>
    <row r="82" spans="1:16" x14ac:dyDescent="0.3">
      <c r="A82" t="s">
        <v>190</v>
      </c>
      <c r="B82" t="s">
        <v>513</v>
      </c>
      <c r="C82">
        <f ca="1">IF(RAND()&lt;0.8,F_Baseline_data!C82,IF(RAND()&lt;0.85,F_Baseline_data!C82+1,IF(F_Baseline_data!C82&gt;3,C82-1,F_Baseline_data!C82)))</f>
        <v>6</v>
      </c>
      <c r="D82">
        <f ca="1">MAX(5000,ROUND(F_Baseline_data!D82*(1+_xlfn.NORM.INV(RAND(),0.12,0.1)),-2))</f>
        <v>42900</v>
      </c>
      <c r="E82" t="str">
        <f ca="1">IF(I82=1,IF(RAND()&lt;0.95,"Piped Water",F_Baseline_data!E82),F_Baseline_data!E82)</f>
        <v>Vendor</v>
      </c>
      <c r="F82">
        <f t="shared" ca="1" si="2"/>
        <v>34</v>
      </c>
      <c r="G82">
        <v>9.9</v>
      </c>
      <c r="H82">
        <f ca="1">MAX(0,ROUND(F_Baseline_data!H82+(F_Baseline_data!C82-5)*200+(D82-30000)*0.015+(F82-50)*15-IF(I82=1,1200,0)+_xlfn.NORM.INV(RAND(),0,2500),-2))</f>
        <v>10400</v>
      </c>
      <c r="I82">
        <v>0</v>
      </c>
      <c r="J82">
        <f>1</f>
        <v>1</v>
      </c>
      <c r="K82">
        <f>1</f>
        <v>1</v>
      </c>
      <c r="L82">
        <v>0</v>
      </c>
      <c r="M82">
        <f t="shared" ca="1" si="3"/>
        <v>0.60956771608357374</v>
      </c>
      <c r="N82">
        <v>0</v>
      </c>
      <c r="O82">
        <v>0</v>
      </c>
      <c r="P82">
        <v>0</v>
      </c>
    </row>
    <row r="83" spans="1:16" x14ac:dyDescent="0.3">
      <c r="A83" t="s">
        <v>191</v>
      </c>
      <c r="B83" t="s">
        <v>513</v>
      </c>
      <c r="C83">
        <f ca="1">IF(RAND()&lt;0.8,F_Baseline_data!C83,IF(RAND()&lt;0.85,F_Baseline_data!C83+1,IF(F_Baseline_data!C83&gt;3,C83-1,F_Baseline_data!C83)))</f>
        <v>5</v>
      </c>
      <c r="D83">
        <f ca="1">MAX(5000,ROUND(F_Baseline_data!D83*(1+_xlfn.NORM.INV(RAND(),0.12,0.1)),-2))</f>
        <v>56100</v>
      </c>
      <c r="E83" t="str">
        <f ca="1">IF(I83=1,IF(RAND()&lt;0.95,"Piped Water",F_Baseline_data!E83),F_Baseline_data!E83)</f>
        <v>Vendor</v>
      </c>
      <c r="F83">
        <f t="shared" ca="1" si="2"/>
        <v>40</v>
      </c>
      <c r="G83">
        <v>13.9</v>
      </c>
      <c r="H83">
        <f ca="1">MAX(0,ROUND(F_Baseline_data!H83+(F_Baseline_data!C83-5)*200+(D83-30000)*0.015+(F83-50)*15-IF(I83=1,1200,0)+_xlfn.NORM.INV(RAND(),0,2500),-2))</f>
        <v>2300</v>
      </c>
      <c r="I83">
        <v>0</v>
      </c>
      <c r="J83">
        <f>1</f>
        <v>1</v>
      </c>
      <c r="K83">
        <f>1</f>
        <v>1</v>
      </c>
      <c r="L83">
        <v>0</v>
      </c>
      <c r="M83">
        <f t="shared" ca="1" si="3"/>
        <v>0.6479354475803909</v>
      </c>
      <c r="N83">
        <v>0</v>
      </c>
      <c r="O83">
        <v>0</v>
      </c>
      <c r="P83">
        <v>0</v>
      </c>
    </row>
    <row r="84" spans="1:16" x14ac:dyDescent="0.3">
      <c r="A84" t="s">
        <v>192</v>
      </c>
      <c r="B84" t="s">
        <v>62</v>
      </c>
      <c r="C84">
        <f ca="1">IF(RAND()&lt;0.8,F_Baseline_data!C84,IF(RAND()&lt;0.85,F_Baseline_data!C84+1,IF(F_Baseline_data!C84&gt;3,C84-1,F_Baseline_data!C84)))</f>
        <v>5</v>
      </c>
      <c r="D84">
        <f ca="1">MAX(5000,ROUND(F_Baseline_data!D84*(1+_xlfn.NORM.INV(RAND(),0.12,0.1)),-2))</f>
        <v>39300</v>
      </c>
      <c r="E84" t="str">
        <f ca="1">IF(I84=1,IF(RAND()&lt;0.95,"Piped Water",F_Baseline_data!E84),F_Baseline_data!E84)</f>
        <v>Borehole</v>
      </c>
      <c r="F84">
        <f t="shared" ca="1" si="2"/>
        <v>52</v>
      </c>
      <c r="G84">
        <v>6.6</v>
      </c>
      <c r="H84">
        <f ca="1">MAX(0,ROUND(F_Baseline_data!H84+(F_Baseline_data!C84-5)*200+(D84-30000)*0.015+(F84-50)*15-IF(I84=1,1200,0)+_xlfn.NORM.INV(RAND(),0,2500),-2))</f>
        <v>2900</v>
      </c>
      <c r="I84">
        <v>0</v>
      </c>
      <c r="J84">
        <f>1</f>
        <v>1</v>
      </c>
      <c r="K84">
        <f>1</f>
        <v>1</v>
      </c>
      <c r="L84">
        <v>0</v>
      </c>
      <c r="M84">
        <f t="shared" ca="1" si="3"/>
        <v>0.32071802332417754</v>
      </c>
      <c r="N84">
        <v>0</v>
      </c>
      <c r="O84">
        <v>0</v>
      </c>
      <c r="P84">
        <v>0</v>
      </c>
    </row>
    <row r="85" spans="1:16" x14ac:dyDescent="0.3">
      <c r="A85" t="s">
        <v>193</v>
      </c>
      <c r="B85" t="s">
        <v>513</v>
      </c>
      <c r="C85">
        <f ca="1">IF(RAND()&lt;0.8,F_Baseline_data!C85,IF(RAND()&lt;0.85,F_Baseline_data!C85+1,IF(F_Baseline_data!C85&gt;3,C85-1,F_Baseline_data!C85)))</f>
        <v>3</v>
      </c>
      <c r="D85">
        <f ca="1">MAX(5000,ROUND(F_Baseline_data!D85*(1+_xlfn.NORM.INV(RAND(),0.12,0.1)),-2))</f>
        <v>95500</v>
      </c>
      <c r="E85" t="str">
        <f ca="1">IF(I85=1,IF(RAND()&lt;0.95,"Piped Water",F_Baseline_data!E85),F_Baseline_data!E85)</f>
        <v>Rainwater</v>
      </c>
      <c r="F85">
        <f t="shared" ca="1" si="2"/>
        <v>39</v>
      </c>
      <c r="G85">
        <v>11.7</v>
      </c>
      <c r="H85">
        <f ca="1">MAX(0,ROUND(F_Baseline_data!H85+(F_Baseline_data!C85-5)*200+(D85-30000)*0.015+(F85-50)*15-IF(I85=1,1200,0)+_xlfn.NORM.INV(RAND(),0,2500),-2))</f>
        <v>5800</v>
      </c>
      <c r="I85">
        <v>0</v>
      </c>
      <c r="J85">
        <f>1</f>
        <v>1</v>
      </c>
      <c r="K85">
        <f>1</f>
        <v>1</v>
      </c>
      <c r="L85">
        <v>0</v>
      </c>
      <c r="M85">
        <f t="shared" ca="1" si="3"/>
        <v>0.92084927615730328</v>
      </c>
      <c r="N85">
        <v>0</v>
      </c>
      <c r="O85">
        <v>0</v>
      </c>
      <c r="P85">
        <v>0</v>
      </c>
    </row>
    <row r="86" spans="1:16" x14ac:dyDescent="0.3">
      <c r="A86" t="s">
        <v>194</v>
      </c>
      <c r="B86" t="s">
        <v>513</v>
      </c>
      <c r="C86">
        <f ca="1">IF(RAND()&lt;0.8,F_Baseline_data!C86,IF(RAND()&lt;0.85,F_Baseline_data!C86+1,IF(F_Baseline_data!C86&gt;3,C86-1,F_Baseline_data!C86)))</f>
        <v>3</v>
      </c>
      <c r="D86">
        <f ca="1">MAX(5000,ROUND(F_Baseline_data!D86*(1+_xlfn.NORM.INV(RAND(),0.12,0.1)),-2))</f>
        <v>15100</v>
      </c>
      <c r="E86" t="str">
        <f ca="1">IF(I86=1,IF(RAND()&lt;0.95,"Piped Water",F_Baseline_data!E86),F_Baseline_data!E86)</f>
        <v>Rainwater</v>
      </c>
      <c r="F86">
        <f t="shared" ca="1" si="2"/>
        <v>55</v>
      </c>
      <c r="G86">
        <v>2.2000000000000002</v>
      </c>
      <c r="H86">
        <f ca="1">MAX(0,ROUND(F_Baseline_data!H86+(F_Baseline_data!C86-5)*200+(D86-30000)*0.015+(F86-50)*15-IF(I86=1,1200,0)+_xlfn.NORM.INV(RAND(),0,2500),-2))</f>
        <v>6200</v>
      </c>
      <c r="I86">
        <v>0</v>
      </c>
      <c r="J86">
        <f>1</f>
        <v>1</v>
      </c>
      <c r="K86">
        <f>1</f>
        <v>1</v>
      </c>
      <c r="L86">
        <v>0</v>
      </c>
      <c r="M86">
        <f t="shared" ca="1" si="3"/>
        <v>0.77080223995688646</v>
      </c>
      <c r="N86">
        <v>0</v>
      </c>
      <c r="O86">
        <v>0</v>
      </c>
      <c r="P86">
        <v>0</v>
      </c>
    </row>
    <row r="87" spans="1:16" x14ac:dyDescent="0.3">
      <c r="A87" t="s">
        <v>195</v>
      </c>
      <c r="B87" t="s">
        <v>62</v>
      </c>
      <c r="C87">
        <f ca="1">IF(RAND()&lt;0.8,F_Baseline_data!C87,IF(RAND()&lt;0.85,F_Baseline_data!C87+1,IF(F_Baseline_data!C87&gt;3,C87-1,F_Baseline_data!C87)))</f>
        <v>6</v>
      </c>
      <c r="D87">
        <f ca="1">MAX(5000,ROUND(F_Baseline_data!D87*(1+_xlfn.NORM.INV(RAND(),0.12,0.1)),-2))</f>
        <v>12800</v>
      </c>
      <c r="E87" t="str">
        <f ca="1">IF(I87=1,IF(RAND()&lt;0.95,"Piped Water",F_Baseline_data!E87),F_Baseline_data!E87)</f>
        <v>River</v>
      </c>
      <c r="F87">
        <f t="shared" ca="1" si="2"/>
        <v>75</v>
      </c>
      <c r="G87">
        <v>2</v>
      </c>
      <c r="H87">
        <f ca="1">MAX(0,ROUND(F_Baseline_data!H87+(F_Baseline_data!C87-5)*200+(D87-30000)*0.015+(F87-50)*15-IF(I87=1,1200,0)+_xlfn.NORM.INV(RAND(),0,2500),-2))</f>
        <v>6800</v>
      </c>
      <c r="I87">
        <v>0</v>
      </c>
      <c r="J87">
        <f>1</f>
        <v>1</v>
      </c>
      <c r="K87">
        <f>1</f>
        <v>1</v>
      </c>
      <c r="L87">
        <v>0</v>
      </c>
      <c r="M87">
        <f t="shared" ca="1" si="3"/>
        <v>0.70991383729950475</v>
      </c>
      <c r="N87">
        <v>0</v>
      </c>
      <c r="O87">
        <v>0</v>
      </c>
      <c r="P87">
        <v>0</v>
      </c>
    </row>
    <row r="88" spans="1:16" x14ac:dyDescent="0.3">
      <c r="A88" t="s">
        <v>196</v>
      </c>
      <c r="B88" t="s">
        <v>65</v>
      </c>
      <c r="C88">
        <f ca="1">IF(RAND()&lt;0.8,F_Baseline_data!C88,IF(RAND()&lt;0.85,F_Baseline_data!C88+1,IF(F_Baseline_data!C88&gt;3,C88-1,F_Baseline_data!C88)))</f>
        <v>2</v>
      </c>
      <c r="D88">
        <f ca="1">MAX(5000,ROUND(F_Baseline_data!D88*(1+_xlfn.NORM.INV(RAND(),0.12,0.1)),-2))</f>
        <v>21700</v>
      </c>
      <c r="E88" t="str">
        <f ca="1">IF(I88=1,IF(RAND()&lt;0.95,"Piped Water",F_Baseline_data!E88),F_Baseline_data!E88)</f>
        <v>River</v>
      </c>
      <c r="F88">
        <f t="shared" ca="1" si="2"/>
        <v>49</v>
      </c>
      <c r="G88">
        <v>0.9</v>
      </c>
      <c r="H88">
        <f ca="1">MAX(0,ROUND(F_Baseline_data!H88+(F_Baseline_data!C88-5)*200+(D88-30000)*0.015+(F88-50)*15-IF(I88=1,1200,0)+_xlfn.NORM.INV(RAND(),0,2500),-2))</f>
        <v>3700</v>
      </c>
      <c r="I88">
        <v>0</v>
      </c>
      <c r="J88">
        <f>1</f>
        <v>1</v>
      </c>
      <c r="K88">
        <f>1</f>
        <v>1</v>
      </c>
      <c r="L88">
        <v>0</v>
      </c>
      <c r="M88">
        <f t="shared" ca="1" si="3"/>
        <v>0.1140846202631064</v>
      </c>
      <c r="N88">
        <v>0</v>
      </c>
      <c r="O88">
        <v>0</v>
      </c>
      <c r="P88">
        <v>0</v>
      </c>
    </row>
    <row r="89" spans="1:16" x14ac:dyDescent="0.3">
      <c r="A89" t="s">
        <v>197</v>
      </c>
      <c r="B89" t="s">
        <v>513</v>
      </c>
      <c r="C89">
        <f ca="1">IF(RAND()&lt;0.8,F_Baseline_data!C89,IF(RAND()&lt;0.85,F_Baseline_data!C89+1,IF(F_Baseline_data!C89&gt;3,C89-1,F_Baseline_data!C89)))</f>
        <v>8</v>
      </c>
      <c r="D89">
        <f ca="1">MAX(5000,ROUND(F_Baseline_data!D89*(1+_xlfn.NORM.INV(RAND(),0.12,0.1)),-2))</f>
        <v>54600</v>
      </c>
      <c r="E89" t="str">
        <f ca="1">IF(I89=1,IF(RAND()&lt;0.95,"Piped Water",F_Baseline_data!E89),F_Baseline_data!E89)</f>
        <v>River</v>
      </c>
      <c r="F89">
        <f t="shared" ca="1" si="2"/>
        <v>101</v>
      </c>
      <c r="G89">
        <v>14.5</v>
      </c>
      <c r="H89">
        <f ca="1">MAX(0,ROUND(F_Baseline_data!H89+(F_Baseline_data!C89-5)*200+(D89-30000)*0.015+(F89-50)*15-IF(I89=1,1200,0)+_xlfn.NORM.INV(RAND(),0,2500),-2))</f>
        <v>3600</v>
      </c>
      <c r="I89">
        <v>0</v>
      </c>
      <c r="J89">
        <f>1</f>
        <v>1</v>
      </c>
      <c r="K89">
        <f>1</f>
        <v>1</v>
      </c>
      <c r="L89">
        <v>0</v>
      </c>
      <c r="M89">
        <f t="shared" ca="1" si="3"/>
        <v>0.19857472741905713</v>
      </c>
      <c r="N89">
        <v>0</v>
      </c>
      <c r="O89">
        <v>0</v>
      </c>
      <c r="P89">
        <v>0</v>
      </c>
    </row>
    <row r="90" spans="1:16" x14ac:dyDescent="0.3">
      <c r="A90" t="s">
        <v>198</v>
      </c>
      <c r="B90" t="s">
        <v>62</v>
      </c>
      <c r="C90">
        <f ca="1">IF(RAND()&lt;0.8,F_Baseline_data!C90,IF(RAND()&lt;0.85,F_Baseline_data!C90+1,IF(F_Baseline_data!C90&gt;3,C90-1,F_Baseline_data!C90)))</f>
        <v>7</v>
      </c>
      <c r="D90">
        <f ca="1">MAX(5000,ROUND(F_Baseline_data!D90*(1+_xlfn.NORM.INV(RAND(),0.12,0.1)),-2))</f>
        <v>41200</v>
      </c>
      <c r="E90" t="str">
        <f ca="1">IF(I90=1,IF(RAND()&lt;0.95,"Piped Water",F_Baseline_data!E90),F_Baseline_data!E90)</f>
        <v>River</v>
      </c>
      <c r="F90">
        <f t="shared" ca="1" si="2"/>
        <v>105</v>
      </c>
      <c r="G90">
        <v>9.4</v>
      </c>
      <c r="H90">
        <f ca="1">MAX(0,ROUND(F_Baseline_data!H90+(F_Baseline_data!C90-5)*200+(D90-30000)*0.015+(F90-50)*15-IF(I90=1,1200,0)+_xlfn.NORM.INV(RAND(),0,2500),-2))</f>
        <v>8800</v>
      </c>
      <c r="I90">
        <v>0</v>
      </c>
      <c r="J90">
        <f>1</f>
        <v>1</v>
      </c>
      <c r="K90">
        <f>1</f>
        <v>1</v>
      </c>
      <c r="L90">
        <v>0</v>
      </c>
      <c r="M90">
        <f t="shared" ca="1" si="3"/>
        <v>0.84067436744684509</v>
      </c>
      <c r="N90">
        <v>0</v>
      </c>
      <c r="O90">
        <v>0</v>
      </c>
      <c r="P90">
        <v>0</v>
      </c>
    </row>
    <row r="91" spans="1:16" x14ac:dyDescent="0.3">
      <c r="A91" t="s">
        <v>199</v>
      </c>
      <c r="B91" t="s">
        <v>64</v>
      </c>
      <c r="C91">
        <f ca="1">IF(RAND()&lt;0.8,F_Baseline_data!C91,IF(RAND()&lt;0.85,F_Baseline_data!C91+1,IF(F_Baseline_data!C91&gt;3,C91-1,F_Baseline_data!C91)))</f>
        <v>3</v>
      </c>
      <c r="D91">
        <f ca="1">MAX(5000,ROUND(F_Baseline_data!D91*(1+_xlfn.NORM.INV(RAND(),0.12,0.1)),-2))</f>
        <v>33400</v>
      </c>
      <c r="E91" t="str">
        <f ca="1">IF(I91=1,IF(RAND()&lt;0.95,"Piped Water",F_Baseline_data!E91),F_Baseline_data!E91)</f>
        <v>Rainwater</v>
      </c>
      <c r="F91">
        <f t="shared" ca="1" si="2"/>
        <v>31</v>
      </c>
      <c r="G91">
        <v>1</v>
      </c>
      <c r="H91">
        <f ca="1">MAX(0,ROUND(F_Baseline_data!H91+(F_Baseline_data!C91-5)*200+(D91-30000)*0.015+(F91-50)*15-IF(I91=1,1200,0)+_xlfn.NORM.INV(RAND(),0,2500),-2))</f>
        <v>0</v>
      </c>
      <c r="I91">
        <v>0</v>
      </c>
      <c r="J91">
        <f>1</f>
        <v>1</v>
      </c>
      <c r="K91">
        <f>1</f>
        <v>1</v>
      </c>
      <c r="L91">
        <v>0</v>
      </c>
      <c r="M91">
        <f t="shared" ca="1" si="3"/>
        <v>0.31538863310538723</v>
      </c>
      <c r="N91">
        <v>0</v>
      </c>
      <c r="O91">
        <v>0</v>
      </c>
      <c r="P91">
        <v>0</v>
      </c>
    </row>
    <row r="92" spans="1:16" x14ac:dyDescent="0.3">
      <c r="A92" t="s">
        <v>200</v>
      </c>
      <c r="B92" t="s">
        <v>513</v>
      </c>
      <c r="C92">
        <f ca="1">IF(RAND()&lt;0.8,F_Baseline_data!C92,IF(RAND()&lt;0.85,F_Baseline_data!C92+1,IF(F_Baseline_data!C92&gt;3,C92-1,F_Baseline_data!C92)))</f>
        <v>3</v>
      </c>
      <c r="D92">
        <f ca="1">MAX(5000,ROUND(F_Baseline_data!D92*(1+_xlfn.NORM.INV(RAND(),0.12,0.1)),-2))</f>
        <v>22600</v>
      </c>
      <c r="E92" t="str">
        <f ca="1">IF(I92=1,IF(RAND()&lt;0.95,"Piped Water",F_Baseline_data!E92),F_Baseline_data!E92)</f>
        <v>Rainwater</v>
      </c>
      <c r="F92">
        <f t="shared" ca="1" si="2"/>
        <v>19</v>
      </c>
      <c r="G92">
        <v>4.5</v>
      </c>
      <c r="H92">
        <f ca="1">MAX(0,ROUND(F_Baseline_data!H92+(F_Baseline_data!C92-5)*200+(D92-30000)*0.015+(F92-50)*15-IF(I92=1,1200,0)+_xlfn.NORM.INV(RAND(),0,2500),-2))</f>
        <v>0</v>
      </c>
      <c r="I92">
        <v>0</v>
      </c>
      <c r="J92">
        <f>1</f>
        <v>1</v>
      </c>
      <c r="K92">
        <f>1</f>
        <v>1</v>
      </c>
      <c r="L92">
        <v>0</v>
      </c>
      <c r="M92">
        <f t="shared" ca="1" si="3"/>
        <v>0.33173321301033298</v>
      </c>
      <c r="N92">
        <v>0</v>
      </c>
      <c r="O92">
        <v>0</v>
      </c>
      <c r="P92">
        <v>0</v>
      </c>
    </row>
    <row r="93" spans="1:16" x14ac:dyDescent="0.3">
      <c r="A93" t="s">
        <v>201</v>
      </c>
      <c r="B93" t="s">
        <v>65</v>
      </c>
      <c r="C93">
        <f ca="1">IF(RAND()&lt;0.8,F_Baseline_data!C93,IF(RAND()&lt;0.85,F_Baseline_data!C93+1,IF(F_Baseline_data!C93&gt;3,C93-1,F_Baseline_data!C93)))</f>
        <v>4</v>
      </c>
      <c r="D93">
        <f ca="1">MAX(5000,ROUND(F_Baseline_data!D93*(1+_xlfn.NORM.INV(RAND(),0.12,0.1)),-2))</f>
        <v>29100</v>
      </c>
      <c r="E93" t="str">
        <f ca="1">IF(I93=1,IF(RAND()&lt;0.95,"Piped Water",F_Baseline_data!E93),F_Baseline_data!E93)</f>
        <v>Borehole</v>
      </c>
      <c r="F93">
        <f t="shared" ca="1" si="2"/>
        <v>36</v>
      </c>
      <c r="G93">
        <v>9.1</v>
      </c>
      <c r="H93">
        <f ca="1">MAX(0,ROUND(F_Baseline_data!H93+(F_Baseline_data!C93-5)*200+(D93-30000)*0.015+(F93-50)*15-IF(I93=1,1200,0)+_xlfn.NORM.INV(RAND(),0,2500),-2))</f>
        <v>4900</v>
      </c>
      <c r="I93">
        <v>0</v>
      </c>
      <c r="J93">
        <f>1</f>
        <v>1</v>
      </c>
      <c r="K93">
        <f>1</f>
        <v>1</v>
      </c>
      <c r="L93">
        <v>0</v>
      </c>
      <c r="M93">
        <f t="shared" ca="1" si="3"/>
        <v>0.81969200841583623</v>
      </c>
      <c r="N93">
        <v>0</v>
      </c>
      <c r="O93">
        <v>0</v>
      </c>
      <c r="P93">
        <v>0</v>
      </c>
    </row>
    <row r="94" spans="1:16" x14ac:dyDescent="0.3">
      <c r="A94" t="s">
        <v>202</v>
      </c>
      <c r="B94" t="s">
        <v>62</v>
      </c>
      <c r="C94">
        <f ca="1">IF(RAND()&lt;0.8,F_Baseline_data!C94,IF(RAND()&lt;0.85,F_Baseline_data!C94+1,IF(F_Baseline_data!C94&gt;3,C94-1,F_Baseline_data!C94)))</f>
        <v>3</v>
      </c>
      <c r="D94">
        <f ca="1">MAX(5000,ROUND(F_Baseline_data!D94*(1+_xlfn.NORM.INV(RAND(),0.12,0.1)),-2))</f>
        <v>66800</v>
      </c>
      <c r="E94" t="str">
        <f ca="1">IF(I94=1,IF(RAND()&lt;0.95,"Piped Water",F_Baseline_data!E94),F_Baseline_data!E94)</f>
        <v>Borehole</v>
      </c>
      <c r="F94">
        <f t="shared" ca="1" si="2"/>
        <v>49</v>
      </c>
      <c r="G94">
        <v>5.5</v>
      </c>
      <c r="H94">
        <f ca="1">MAX(0,ROUND(F_Baseline_data!H94+(F_Baseline_data!C94-5)*200+(D94-30000)*0.015+(F94-50)*15-IF(I94=1,1200,0)+_xlfn.NORM.INV(RAND(),0,2500),-2))</f>
        <v>2100</v>
      </c>
      <c r="I94">
        <v>0</v>
      </c>
      <c r="J94">
        <f>1</f>
        <v>1</v>
      </c>
      <c r="K94">
        <f>1</f>
        <v>1</v>
      </c>
      <c r="L94">
        <v>0</v>
      </c>
      <c r="M94">
        <f t="shared" ca="1" si="3"/>
        <v>0.33153536387377636</v>
      </c>
      <c r="N94">
        <v>0</v>
      </c>
      <c r="O94">
        <v>0</v>
      </c>
      <c r="P94">
        <v>0</v>
      </c>
    </row>
    <row r="95" spans="1:16" x14ac:dyDescent="0.3">
      <c r="A95" t="s">
        <v>203</v>
      </c>
      <c r="B95" t="s">
        <v>513</v>
      </c>
      <c r="C95">
        <f ca="1">IF(RAND()&lt;0.8,F_Baseline_data!C95,IF(RAND()&lt;0.85,F_Baseline_data!C95+1,IF(F_Baseline_data!C95&gt;3,C95-1,F_Baseline_data!C95)))</f>
        <v>6</v>
      </c>
      <c r="D95">
        <f ca="1">MAX(5000,ROUND(F_Baseline_data!D95*(1+_xlfn.NORM.INV(RAND(),0.12,0.1)),-2))</f>
        <v>65600</v>
      </c>
      <c r="E95" t="str">
        <f ca="1">IF(I95=1,IF(RAND()&lt;0.95,"Piped Water",F_Baseline_data!E95),F_Baseline_data!E95)</f>
        <v>River</v>
      </c>
      <c r="F95">
        <f t="shared" ca="1" si="2"/>
        <v>58</v>
      </c>
      <c r="G95">
        <v>7.3</v>
      </c>
      <c r="H95">
        <f ca="1">MAX(0,ROUND(F_Baseline_data!H95+(F_Baseline_data!C95-5)*200+(D95-30000)*0.015+(F95-50)*15-IF(I95=1,1200,0)+_xlfn.NORM.INV(RAND(),0,2500),-2))</f>
        <v>11400</v>
      </c>
      <c r="I95">
        <v>0</v>
      </c>
      <c r="J95">
        <f>1</f>
        <v>1</v>
      </c>
      <c r="K95">
        <f>1</f>
        <v>1</v>
      </c>
      <c r="L95">
        <v>0</v>
      </c>
      <c r="M95">
        <f t="shared" ca="1" si="3"/>
        <v>0.66300800929709947</v>
      </c>
      <c r="N95">
        <v>0</v>
      </c>
      <c r="O95">
        <v>0</v>
      </c>
      <c r="P95">
        <v>0</v>
      </c>
    </row>
    <row r="96" spans="1:16" x14ac:dyDescent="0.3">
      <c r="A96" t="s">
        <v>204</v>
      </c>
      <c r="B96" t="s">
        <v>65</v>
      </c>
      <c r="C96">
        <f ca="1">IF(RAND()&lt;0.8,F_Baseline_data!C96,IF(RAND()&lt;0.85,F_Baseline_data!C96+1,IF(F_Baseline_data!C96&gt;3,C96-1,F_Baseline_data!C96)))</f>
        <v>3</v>
      </c>
      <c r="D96">
        <f ca="1">MAX(5000,ROUND(F_Baseline_data!D96*(1+_xlfn.NORM.INV(RAND(),0.12,0.1)),-2))</f>
        <v>9900</v>
      </c>
      <c r="E96" t="str">
        <f ca="1">IF(I96=1,IF(RAND()&lt;0.95,"Piped Water",F_Baseline_data!E96),F_Baseline_data!E96)</f>
        <v>River</v>
      </c>
      <c r="F96">
        <f t="shared" ca="1" si="2"/>
        <v>67</v>
      </c>
      <c r="G96">
        <v>1.7</v>
      </c>
      <c r="H96">
        <f ca="1">MAX(0,ROUND(F_Baseline_data!H96+(F_Baseline_data!C96-5)*200+(D96-30000)*0.015+(F96-50)*15-IF(I96=1,1200,0)+_xlfn.NORM.INV(RAND(),0,2500),-2))</f>
        <v>7700</v>
      </c>
      <c r="I96">
        <v>0</v>
      </c>
      <c r="J96">
        <f>1</f>
        <v>1</v>
      </c>
      <c r="K96">
        <f>1</f>
        <v>1</v>
      </c>
      <c r="L96">
        <v>0</v>
      </c>
      <c r="M96">
        <f t="shared" ca="1" si="3"/>
        <v>0.30806425269192417</v>
      </c>
      <c r="N96">
        <v>0</v>
      </c>
      <c r="O96">
        <v>0</v>
      </c>
      <c r="P96">
        <v>0</v>
      </c>
    </row>
    <row r="97" spans="1:16" x14ac:dyDescent="0.3">
      <c r="A97" t="s">
        <v>205</v>
      </c>
      <c r="B97" t="s">
        <v>65</v>
      </c>
      <c r="C97">
        <f ca="1">IF(RAND()&lt;0.8,F_Baseline_data!C97,IF(RAND()&lt;0.85,F_Baseline_data!C97+1,IF(F_Baseline_data!C97&gt;3,C97-1,F_Baseline_data!C97)))</f>
        <v>3</v>
      </c>
      <c r="D97">
        <f ca="1">MAX(5000,ROUND(F_Baseline_data!D97*(1+_xlfn.NORM.INV(RAND(),0.12,0.1)),-2))</f>
        <v>63100</v>
      </c>
      <c r="E97" t="str">
        <f ca="1">IF(I97=1,IF(RAND()&lt;0.95,"Piped Water",F_Baseline_data!E97),F_Baseline_data!E97)</f>
        <v>Vendor</v>
      </c>
      <c r="F97">
        <f t="shared" ca="1" si="2"/>
        <v>41</v>
      </c>
      <c r="G97">
        <v>13.6</v>
      </c>
      <c r="H97">
        <f ca="1">MAX(0,ROUND(F_Baseline_data!H97+(F_Baseline_data!C97-5)*200+(D97-30000)*0.015+(F97-50)*15-IF(I97=1,1200,0)+_xlfn.NORM.INV(RAND(),0,2500),-2))</f>
        <v>6100</v>
      </c>
      <c r="I97">
        <v>0</v>
      </c>
      <c r="J97">
        <f>1</f>
        <v>1</v>
      </c>
      <c r="K97">
        <f>1</f>
        <v>1</v>
      </c>
      <c r="L97">
        <v>0</v>
      </c>
      <c r="M97">
        <f t="shared" ca="1" si="3"/>
        <v>0.56382611586405251</v>
      </c>
      <c r="N97">
        <v>0</v>
      </c>
      <c r="O97">
        <v>0</v>
      </c>
      <c r="P97">
        <v>0</v>
      </c>
    </row>
    <row r="98" spans="1:16" x14ac:dyDescent="0.3">
      <c r="A98" t="s">
        <v>206</v>
      </c>
      <c r="B98" t="s">
        <v>65</v>
      </c>
      <c r="C98">
        <f ca="1">IF(RAND()&lt;0.8,F_Baseline_data!C98,IF(RAND()&lt;0.85,F_Baseline_data!C98+1,IF(F_Baseline_data!C98&gt;3,C98-1,F_Baseline_data!C98)))</f>
        <v>6</v>
      </c>
      <c r="D98">
        <f ca="1">MAX(5000,ROUND(F_Baseline_data!D98*(1+_xlfn.NORM.INV(RAND(),0.12,0.1)),-2))</f>
        <v>44800</v>
      </c>
      <c r="E98" t="str">
        <f ca="1">IF(I98=1,IF(RAND()&lt;0.95,"Piped Water",F_Baseline_data!E98),F_Baseline_data!E98)</f>
        <v>Borehole</v>
      </c>
      <c r="F98">
        <f t="shared" ca="1" si="2"/>
        <v>67</v>
      </c>
      <c r="G98">
        <v>0.8</v>
      </c>
      <c r="H98">
        <f ca="1">MAX(0,ROUND(F_Baseline_data!H98+(F_Baseline_data!C98-5)*200+(D98-30000)*0.015+(F98-50)*15-IF(I98=1,1200,0)+_xlfn.NORM.INV(RAND(),0,2500),-2))</f>
        <v>6600</v>
      </c>
      <c r="I98">
        <v>0</v>
      </c>
      <c r="J98">
        <f>1</f>
        <v>1</v>
      </c>
      <c r="K98">
        <f>1</f>
        <v>1</v>
      </c>
      <c r="L98">
        <v>0</v>
      </c>
      <c r="M98">
        <f t="shared" ca="1" si="3"/>
        <v>0.89375354641786176</v>
      </c>
      <c r="N98">
        <v>0</v>
      </c>
      <c r="O98">
        <v>0</v>
      </c>
      <c r="P98">
        <v>0</v>
      </c>
    </row>
    <row r="99" spans="1:16" x14ac:dyDescent="0.3">
      <c r="A99" t="s">
        <v>207</v>
      </c>
      <c r="B99" t="s">
        <v>65</v>
      </c>
      <c r="C99">
        <f ca="1">IF(RAND()&lt;0.8,F_Baseline_data!C99,IF(RAND()&lt;0.85,F_Baseline_data!C99+1,IF(F_Baseline_data!C99&gt;3,C99-1,F_Baseline_data!C99)))</f>
        <v>2</v>
      </c>
      <c r="D99">
        <f ca="1">MAX(5000,ROUND(F_Baseline_data!D99*(1+_xlfn.NORM.INV(RAND(),0.12,0.1)),-2))</f>
        <v>12900</v>
      </c>
      <c r="E99" t="str">
        <f ca="1">IF(I99=1,IF(RAND()&lt;0.95,"Piped Water",F_Baseline_data!E99),F_Baseline_data!E99)</f>
        <v>Rainwater</v>
      </c>
      <c r="F99">
        <f t="shared" ca="1" si="2"/>
        <v>24</v>
      </c>
      <c r="G99">
        <v>12.8</v>
      </c>
      <c r="H99">
        <f ca="1">MAX(0,ROUND(F_Baseline_data!H99+(F_Baseline_data!C99-5)*200+(D99-30000)*0.015+(F99-50)*15-IF(I99=1,1200,0)+_xlfn.NORM.INV(RAND(),0,2500),-2))</f>
        <v>1600</v>
      </c>
      <c r="I99">
        <v>0</v>
      </c>
      <c r="J99">
        <f>1</f>
        <v>1</v>
      </c>
      <c r="K99">
        <f>1</f>
        <v>1</v>
      </c>
      <c r="L99">
        <v>0</v>
      </c>
      <c r="M99">
        <f t="shared" ca="1" si="3"/>
        <v>0.60698314154403465</v>
      </c>
      <c r="N99">
        <v>0</v>
      </c>
      <c r="O99">
        <v>0</v>
      </c>
      <c r="P99">
        <v>0</v>
      </c>
    </row>
    <row r="100" spans="1:16" x14ac:dyDescent="0.3">
      <c r="A100" t="s">
        <v>208</v>
      </c>
      <c r="B100" t="s">
        <v>62</v>
      </c>
      <c r="C100">
        <f ca="1">IF(RAND()&lt;0.8,F_Baseline_data!C100,IF(RAND()&lt;0.85,F_Baseline_data!C100+1,IF(F_Baseline_data!C100&gt;3,C100-1,F_Baseline_data!C100)))</f>
        <v>5</v>
      </c>
      <c r="D100">
        <f ca="1">MAX(5000,ROUND(F_Baseline_data!D100*(1+_xlfn.NORM.INV(RAND(),0.12,0.1)),-2))</f>
        <v>25300</v>
      </c>
      <c r="E100" t="str">
        <f ca="1">IF(I100=1,IF(RAND()&lt;0.95,"Piped Water",F_Baseline_data!E100),F_Baseline_data!E100)</f>
        <v>Rainwater</v>
      </c>
      <c r="F100">
        <f t="shared" ca="1" si="2"/>
        <v>49</v>
      </c>
      <c r="G100">
        <v>2.2000000000000002</v>
      </c>
      <c r="H100">
        <f ca="1">MAX(0,ROUND(F_Baseline_data!H100+(F_Baseline_data!C100-5)*200+(D100-30000)*0.015+(F100-50)*15-IF(I100=1,1200,0)+_xlfn.NORM.INV(RAND(),0,2500),-2))</f>
        <v>6000</v>
      </c>
      <c r="I100">
        <v>0</v>
      </c>
      <c r="J100">
        <f>1</f>
        <v>1</v>
      </c>
      <c r="K100">
        <f>1</f>
        <v>1</v>
      </c>
      <c r="L100">
        <v>0</v>
      </c>
      <c r="M100">
        <f t="shared" ca="1" si="3"/>
        <v>0.1771634864070073</v>
      </c>
      <c r="N100">
        <v>0</v>
      </c>
      <c r="O100">
        <v>0</v>
      </c>
      <c r="P100">
        <v>0</v>
      </c>
    </row>
    <row r="101" spans="1:16" x14ac:dyDescent="0.3">
      <c r="A101" t="s">
        <v>209</v>
      </c>
      <c r="B101" t="s">
        <v>64</v>
      </c>
      <c r="C101">
        <f ca="1">IF(RAND()&lt;0.8,F_Baseline_data!C101,IF(RAND()&lt;0.85,F_Baseline_data!C101+1,IF(F_Baseline_data!C101&gt;3,C101-1,F_Baseline_data!C101)))</f>
        <v>2</v>
      </c>
      <c r="D101">
        <f ca="1">MAX(5000,ROUND(F_Baseline_data!D101*(1+_xlfn.NORM.INV(RAND(),0.12,0.1)),-2))</f>
        <v>71700</v>
      </c>
      <c r="E101" t="str">
        <f ca="1">IF(I101=1,IF(RAND()&lt;0.95,"Piped Water",F_Baseline_data!E101),F_Baseline_data!E101)</f>
        <v>Rainwater</v>
      </c>
      <c r="F101">
        <f t="shared" ca="1" si="2"/>
        <v>26</v>
      </c>
      <c r="G101">
        <v>11.5</v>
      </c>
      <c r="H101">
        <f ca="1">MAX(0,ROUND(F_Baseline_data!H101+(F_Baseline_data!C101-5)*200+(D101-30000)*0.015+(F101-50)*15-IF(I101=1,1200,0)+_xlfn.NORM.INV(RAND(),0,2500),-2))</f>
        <v>6800</v>
      </c>
      <c r="I101">
        <v>0</v>
      </c>
      <c r="J101">
        <f>1</f>
        <v>1</v>
      </c>
      <c r="K101">
        <f>1</f>
        <v>1</v>
      </c>
      <c r="L101">
        <v>0</v>
      </c>
      <c r="M101">
        <f t="shared" ca="1" si="3"/>
        <v>0.38011531415373689</v>
      </c>
      <c r="N101">
        <v>0</v>
      </c>
      <c r="O101">
        <v>0</v>
      </c>
      <c r="P101">
        <v>0</v>
      </c>
    </row>
    <row r="102" spans="1:16" x14ac:dyDescent="0.3">
      <c r="A102" t="s">
        <v>210</v>
      </c>
      <c r="B102" t="s">
        <v>513</v>
      </c>
      <c r="C102">
        <f ca="1">IF(RAND()&lt;0.8,F_Baseline_data!C102,IF(RAND()&lt;0.85,F_Baseline_data!C102+1,IF(F_Baseline_data!C102&gt;3,C102-1,F_Baseline_data!C102)))</f>
        <v>2</v>
      </c>
      <c r="D102">
        <f ca="1">MAX(5000,ROUND(F_Baseline_data!D102*(1+_xlfn.NORM.INV(RAND(),0.12,0.1)),-2))</f>
        <v>28900</v>
      </c>
      <c r="E102" t="str">
        <f ca="1">IF(I102=1,IF(RAND()&lt;0.95,"Piped Water",F_Baseline_data!E102),F_Baseline_data!E102)</f>
        <v>Rainwater</v>
      </c>
      <c r="F102">
        <f t="shared" ca="1" si="2"/>
        <v>66</v>
      </c>
      <c r="G102">
        <v>7.9</v>
      </c>
      <c r="H102">
        <f ca="1">MAX(0,ROUND(F_Baseline_data!H102+(F_Baseline_data!C102-5)*200+(D102-30000)*0.015+(F102-50)*15-IF(I102=1,1200,0)+_xlfn.NORM.INV(RAND(),0,2500),-2))</f>
        <v>10200</v>
      </c>
      <c r="I102">
        <v>0</v>
      </c>
      <c r="J102">
        <f>1</f>
        <v>1</v>
      </c>
      <c r="K102">
        <f>1</f>
        <v>1</v>
      </c>
      <c r="L102">
        <v>0</v>
      </c>
      <c r="M102">
        <f t="shared" ca="1" si="3"/>
        <v>0.74637799529069082</v>
      </c>
      <c r="N102">
        <v>0</v>
      </c>
      <c r="O102">
        <v>0</v>
      </c>
      <c r="P102">
        <v>0</v>
      </c>
    </row>
    <row r="103" spans="1:16" x14ac:dyDescent="0.3">
      <c r="A103" t="s">
        <v>211</v>
      </c>
      <c r="B103" t="s">
        <v>64</v>
      </c>
      <c r="C103">
        <f ca="1">IF(RAND()&lt;0.8,F_Baseline_data!C103,IF(RAND()&lt;0.85,F_Baseline_data!C103+1,IF(F_Baseline_data!C103&gt;3,C103-1,F_Baseline_data!C103)))</f>
        <v>4</v>
      </c>
      <c r="D103">
        <f ca="1">MAX(5000,ROUND(F_Baseline_data!D103*(1+_xlfn.NORM.INV(RAND(),0.12,0.1)),-2))</f>
        <v>64600</v>
      </c>
      <c r="E103" t="str">
        <f ca="1">IF(I103=1,IF(RAND()&lt;0.95,"Piped Water",F_Baseline_data!E103),F_Baseline_data!E103)</f>
        <v>Borehole</v>
      </c>
      <c r="F103">
        <f t="shared" ca="1" si="2"/>
        <v>32</v>
      </c>
      <c r="G103">
        <v>11.3</v>
      </c>
      <c r="H103">
        <f ca="1">MAX(0,ROUND(F_Baseline_data!H103+(F_Baseline_data!C103-5)*200+(D103-30000)*0.015+(F103-50)*15-IF(I103=1,1200,0)+_xlfn.NORM.INV(RAND(),0,2500),-2))</f>
        <v>1600</v>
      </c>
      <c r="I103">
        <v>0</v>
      </c>
      <c r="J103">
        <f>1</f>
        <v>1</v>
      </c>
      <c r="K103">
        <f>1</f>
        <v>1</v>
      </c>
      <c r="L103">
        <v>0</v>
      </c>
      <c r="M103">
        <f t="shared" ca="1" si="3"/>
        <v>0.45461675082579533</v>
      </c>
      <c r="N103">
        <v>0</v>
      </c>
      <c r="O103">
        <v>0</v>
      </c>
      <c r="P103">
        <v>0</v>
      </c>
    </row>
    <row r="104" spans="1:16" x14ac:dyDescent="0.3">
      <c r="A104" t="s">
        <v>212</v>
      </c>
      <c r="B104" t="s">
        <v>64</v>
      </c>
      <c r="C104">
        <f ca="1">IF(RAND()&lt;0.8,F_Baseline_data!C104,IF(RAND()&lt;0.85,F_Baseline_data!C104+1,IF(F_Baseline_data!C104&gt;3,C104-1,F_Baseline_data!C104)))</f>
        <v>4</v>
      </c>
      <c r="D104">
        <f ca="1">MAX(5000,ROUND(F_Baseline_data!D104*(1+_xlfn.NORM.INV(RAND(),0.12,0.1)),-2))</f>
        <v>48200</v>
      </c>
      <c r="E104" t="str">
        <f ca="1">IF(I104=1,IF(RAND()&lt;0.95,"Piped Water",F_Baseline_data!E104),F_Baseline_data!E104)</f>
        <v>Vendor</v>
      </c>
      <c r="F104">
        <f t="shared" ca="1" si="2"/>
        <v>23</v>
      </c>
      <c r="G104">
        <v>8.8000000000000007</v>
      </c>
      <c r="H104">
        <f ca="1">MAX(0,ROUND(F_Baseline_data!H104+(F_Baseline_data!C104-5)*200+(D104-30000)*0.015+(F104-50)*15-IF(I104=1,1200,0)+_xlfn.NORM.INV(RAND(),0,2500),-2))</f>
        <v>9100</v>
      </c>
      <c r="I104">
        <v>0</v>
      </c>
      <c r="J104">
        <f>1</f>
        <v>1</v>
      </c>
      <c r="K104">
        <f>1</f>
        <v>1</v>
      </c>
      <c r="L104">
        <v>0</v>
      </c>
      <c r="M104">
        <f t="shared" ca="1" si="3"/>
        <v>0.41591251772219817</v>
      </c>
      <c r="N104">
        <v>0</v>
      </c>
      <c r="O104">
        <v>0</v>
      </c>
      <c r="P104">
        <v>0</v>
      </c>
    </row>
    <row r="105" spans="1:16" x14ac:dyDescent="0.3">
      <c r="A105" t="s">
        <v>213</v>
      </c>
      <c r="B105" t="s">
        <v>64</v>
      </c>
      <c r="C105">
        <f ca="1">IF(RAND()&lt;0.8,F_Baseline_data!C105,IF(RAND()&lt;0.85,F_Baseline_data!C105+1,IF(F_Baseline_data!C105&gt;3,C105-1,F_Baseline_data!C105)))</f>
        <v>3</v>
      </c>
      <c r="D105">
        <f ca="1">MAX(5000,ROUND(F_Baseline_data!D105*(1+_xlfn.NORM.INV(RAND(),0.12,0.1)),-2))</f>
        <v>38800</v>
      </c>
      <c r="E105" t="str">
        <f ca="1">IF(I105=1,IF(RAND()&lt;0.95,"Piped Water",F_Baseline_data!E105),F_Baseline_data!E105)</f>
        <v>Vendor</v>
      </c>
      <c r="F105">
        <f t="shared" ca="1" si="2"/>
        <v>49</v>
      </c>
      <c r="G105">
        <v>11.5</v>
      </c>
      <c r="H105">
        <f ca="1">MAX(0,ROUND(F_Baseline_data!H105+(F_Baseline_data!C105-5)*200+(D105-30000)*0.015+(F105-50)*15-IF(I105=1,1200,0)+_xlfn.NORM.INV(RAND(),0,2500),-2))</f>
        <v>12100</v>
      </c>
      <c r="I105">
        <v>0</v>
      </c>
      <c r="J105">
        <f>1</f>
        <v>1</v>
      </c>
      <c r="K105">
        <f>1</f>
        <v>1</v>
      </c>
      <c r="L105">
        <v>0</v>
      </c>
      <c r="M105">
        <f t="shared" ca="1" si="3"/>
        <v>0.31436055734607116</v>
      </c>
      <c r="N105">
        <v>0</v>
      </c>
      <c r="O105">
        <v>0</v>
      </c>
      <c r="P105">
        <v>0</v>
      </c>
    </row>
    <row r="106" spans="1:16" x14ac:dyDescent="0.3">
      <c r="A106" t="s">
        <v>214</v>
      </c>
      <c r="B106" t="s">
        <v>64</v>
      </c>
      <c r="C106">
        <f ca="1">IF(RAND()&lt;0.8,F_Baseline_data!C106,IF(RAND()&lt;0.85,F_Baseline_data!C106+1,IF(F_Baseline_data!C106&gt;3,C106-1,F_Baseline_data!C106)))</f>
        <v>4</v>
      </c>
      <c r="D106">
        <f ca="1">MAX(5000,ROUND(F_Baseline_data!D106*(1+_xlfn.NORM.INV(RAND(),0.12,0.1)),-2))</f>
        <v>27300</v>
      </c>
      <c r="E106" t="str">
        <f ca="1">IF(I106=1,IF(RAND()&lt;0.95,"Piped Water",F_Baseline_data!E106),F_Baseline_data!E106)</f>
        <v>Vendor</v>
      </c>
      <c r="F106">
        <f t="shared" ca="1" si="2"/>
        <v>42</v>
      </c>
      <c r="G106">
        <v>3.2</v>
      </c>
      <c r="H106">
        <f ca="1">MAX(0,ROUND(F_Baseline_data!H106+(F_Baseline_data!C106-5)*200+(D106-30000)*0.015+(F106-50)*15-IF(I106=1,1200,0)+_xlfn.NORM.INV(RAND(),0,2500),-2))</f>
        <v>4900</v>
      </c>
      <c r="I106">
        <v>0</v>
      </c>
      <c r="J106">
        <f>1</f>
        <v>1</v>
      </c>
      <c r="K106">
        <f>1</f>
        <v>1</v>
      </c>
      <c r="L106">
        <v>0</v>
      </c>
      <c r="M106">
        <f t="shared" ca="1" si="3"/>
        <v>6.937341911917394E-2</v>
      </c>
      <c r="N106">
        <v>0</v>
      </c>
      <c r="O106">
        <v>0</v>
      </c>
      <c r="P106">
        <v>0</v>
      </c>
    </row>
    <row r="107" spans="1:16" x14ac:dyDescent="0.3">
      <c r="A107" t="s">
        <v>215</v>
      </c>
      <c r="B107" t="s">
        <v>513</v>
      </c>
      <c r="C107">
        <f ca="1">IF(RAND()&lt;0.8,F_Baseline_data!C107,IF(RAND()&lt;0.85,F_Baseline_data!C107+1,IF(F_Baseline_data!C107&gt;3,C107-1,F_Baseline_data!C107)))</f>
        <v>6</v>
      </c>
      <c r="D107">
        <f ca="1">MAX(5000,ROUND(F_Baseline_data!D107*(1+_xlfn.NORM.INV(RAND(),0.12,0.1)),-2))</f>
        <v>105600</v>
      </c>
      <c r="E107" t="str">
        <f ca="1">IF(I107=1,IF(RAND()&lt;0.95,"Piped Water",F_Baseline_data!E107),F_Baseline_data!E107)</f>
        <v>Rainwater</v>
      </c>
      <c r="F107">
        <f t="shared" ca="1" si="2"/>
        <v>16</v>
      </c>
      <c r="G107">
        <v>6.3</v>
      </c>
      <c r="H107">
        <f ca="1">MAX(0,ROUND(F_Baseline_data!H107+(F_Baseline_data!C107-5)*200+(D107-30000)*0.015+(F107-50)*15-IF(I107=1,1200,0)+_xlfn.NORM.INV(RAND(),0,2500),-2))</f>
        <v>12300</v>
      </c>
      <c r="I107">
        <v>0</v>
      </c>
      <c r="J107">
        <f>1</f>
        <v>1</v>
      </c>
      <c r="K107">
        <f>1</f>
        <v>1</v>
      </c>
      <c r="L107">
        <v>0</v>
      </c>
      <c r="M107">
        <f t="shared" ca="1" si="3"/>
        <v>0.56671690511427275</v>
      </c>
      <c r="N107">
        <v>0</v>
      </c>
      <c r="O107">
        <v>0</v>
      </c>
      <c r="P107">
        <v>0</v>
      </c>
    </row>
    <row r="108" spans="1:16" x14ac:dyDescent="0.3">
      <c r="A108" t="s">
        <v>216</v>
      </c>
      <c r="B108" t="s">
        <v>62</v>
      </c>
      <c r="C108">
        <f ca="1">IF(RAND()&lt;0.8,F_Baseline_data!C108,IF(RAND()&lt;0.85,F_Baseline_data!C108+1,IF(F_Baseline_data!C108&gt;3,C108-1,F_Baseline_data!C108)))</f>
        <v>4</v>
      </c>
      <c r="D108">
        <f ca="1">MAX(5000,ROUND(F_Baseline_data!D108*(1+_xlfn.NORM.INV(RAND(),0.12,0.1)),-2))</f>
        <v>25000</v>
      </c>
      <c r="E108" t="str">
        <f ca="1">IF(I108=1,IF(RAND()&lt;0.95,"Piped Water",F_Baseline_data!E108),F_Baseline_data!E108)</f>
        <v>Borehole</v>
      </c>
      <c r="F108">
        <f t="shared" ca="1" si="2"/>
        <v>41</v>
      </c>
      <c r="G108">
        <v>5.4</v>
      </c>
      <c r="H108">
        <f ca="1">MAX(0,ROUND(F_Baseline_data!H108+(F_Baseline_data!C108-5)*200+(D108-30000)*0.015+(F108-50)*15-IF(I108=1,1200,0)+_xlfn.NORM.INV(RAND(),0,2500),-2))</f>
        <v>2900</v>
      </c>
      <c r="I108">
        <v>0</v>
      </c>
      <c r="J108">
        <f>1</f>
        <v>1</v>
      </c>
      <c r="K108">
        <f>1</f>
        <v>1</v>
      </c>
      <c r="L108">
        <v>0</v>
      </c>
      <c r="M108">
        <f t="shared" ca="1" si="3"/>
        <v>0.44729072642284695</v>
      </c>
      <c r="N108">
        <v>0</v>
      </c>
      <c r="O108">
        <v>0</v>
      </c>
      <c r="P108">
        <v>0</v>
      </c>
    </row>
    <row r="109" spans="1:16" x14ac:dyDescent="0.3">
      <c r="A109" t="s">
        <v>217</v>
      </c>
      <c r="B109" t="s">
        <v>62</v>
      </c>
      <c r="C109">
        <f ca="1">IF(RAND()&lt;0.8,F_Baseline_data!C109,IF(RAND()&lt;0.85,F_Baseline_data!C109+1,IF(F_Baseline_data!C109&gt;3,C109-1,F_Baseline_data!C109)))</f>
        <v>3</v>
      </c>
      <c r="D109">
        <f ca="1">MAX(5000,ROUND(F_Baseline_data!D109*(1+_xlfn.NORM.INV(RAND(),0.12,0.1)),-2))</f>
        <v>47200</v>
      </c>
      <c r="E109" t="str">
        <f ca="1">IF(I109=1,IF(RAND()&lt;0.95,"Piped Water",F_Baseline_data!E109),F_Baseline_data!E109)</f>
        <v>Vendor</v>
      </c>
      <c r="F109">
        <f t="shared" ca="1" si="2"/>
        <v>10</v>
      </c>
      <c r="G109">
        <v>8.3000000000000007</v>
      </c>
      <c r="H109">
        <f ca="1">MAX(0,ROUND(F_Baseline_data!H109+(F_Baseline_data!C109-5)*200+(D109-30000)*0.015+(F109-50)*15-IF(I109=1,1200,0)+_xlfn.NORM.INV(RAND(),0,2500),-2))</f>
        <v>9600</v>
      </c>
      <c r="I109">
        <v>0</v>
      </c>
      <c r="J109">
        <f>1</f>
        <v>1</v>
      </c>
      <c r="K109">
        <f>1</f>
        <v>1</v>
      </c>
      <c r="L109">
        <v>0</v>
      </c>
      <c r="M109">
        <f t="shared" ca="1" si="3"/>
        <v>0.45103823848093894</v>
      </c>
      <c r="N109">
        <v>0</v>
      </c>
      <c r="O109">
        <v>0</v>
      </c>
      <c r="P109">
        <v>0</v>
      </c>
    </row>
    <row r="110" spans="1:16" x14ac:dyDescent="0.3">
      <c r="A110" t="s">
        <v>218</v>
      </c>
      <c r="B110" t="s">
        <v>64</v>
      </c>
      <c r="C110">
        <f ca="1">IF(RAND()&lt;0.8,F_Baseline_data!C110,IF(RAND()&lt;0.85,F_Baseline_data!C110+1,IF(F_Baseline_data!C110&gt;3,C110-1,F_Baseline_data!C110)))</f>
        <v>8</v>
      </c>
      <c r="D110">
        <f ca="1">MAX(5000,ROUND(F_Baseline_data!D110*(1+_xlfn.NORM.INV(RAND(),0.12,0.1)),-2))</f>
        <v>37500</v>
      </c>
      <c r="E110" t="str">
        <f ca="1">IF(I110=1,IF(RAND()&lt;0.95,"Piped Water",F_Baseline_data!E110),F_Baseline_data!E110)</f>
        <v>Rainwater</v>
      </c>
      <c r="F110">
        <f t="shared" ca="1" si="2"/>
        <v>20</v>
      </c>
      <c r="G110">
        <v>10.1</v>
      </c>
      <c r="H110">
        <f ca="1">MAX(0,ROUND(F_Baseline_data!H110+(F_Baseline_data!C110-5)*200+(D110-30000)*0.015+(F110-50)*15-IF(I110=1,1200,0)+_xlfn.NORM.INV(RAND(),0,2500),-2))</f>
        <v>9400</v>
      </c>
      <c r="I110">
        <v>0</v>
      </c>
      <c r="J110">
        <f>1</f>
        <v>1</v>
      </c>
      <c r="K110">
        <f>1</f>
        <v>1</v>
      </c>
      <c r="L110">
        <v>0</v>
      </c>
      <c r="M110">
        <f t="shared" ca="1" si="3"/>
        <v>0.32645818755301925</v>
      </c>
      <c r="N110">
        <v>0</v>
      </c>
      <c r="O110">
        <v>0</v>
      </c>
      <c r="P110">
        <v>0</v>
      </c>
    </row>
    <row r="111" spans="1:16" x14ac:dyDescent="0.3">
      <c r="A111" t="s">
        <v>219</v>
      </c>
      <c r="B111" t="s">
        <v>65</v>
      </c>
      <c r="C111">
        <f ca="1">IF(RAND()&lt;0.8,F_Baseline_data!C111,IF(RAND()&lt;0.85,F_Baseline_data!C111+1,IF(F_Baseline_data!C111&gt;3,C111-1,F_Baseline_data!C111)))</f>
        <v>9</v>
      </c>
      <c r="D111">
        <f ca="1">MAX(5000,ROUND(F_Baseline_data!D111*(1+_xlfn.NORM.INV(RAND(),0.12,0.1)),-2))</f>
        <v>84400</v>
      </c>
      <c r="E111" t="str">
        <f ca="1">IF(I111=1,IF(RAND()&lt;0.95,"Piped Water",F_Baseline_data!E111),F_Baseline_data!E111)</f>
        <v>River</v>
      </c>
      <c r="F111">
        <f t="shared" ca="1" si="2"/>
        <v>101</v>
      </c>
      <c r="G111">
        <v>8.9</v>
      </c>
      <c r="H111">
        <f ca="1">MAX(0,ROUND(F_Baseline_data!H111+(F_Baseline_data!C111-5)*200+(D111-30000)*0.015+(F111-50)*15-IF(I111=1,1200,0)+_xlfn.NORM.INV(RAND(),0,2500),-2))</f>
        <v>2200</v>
      </c>
      <c r="I111">
        <v>0</v>
      </c>
      <c r="J111">
        <f>1</f>
        <v>1</v>
      </c>
      <c r="K111">
        <f>1</f>
        <v>1</v>
      </c>
      <c r="L111">
        <v>0</v>
      </c>
      <c r="M111">
        <f t="shared" ca="1" si="3"/>
        <v>0.41166531967934927</v>
      </c>
      <c r="N111">
        <v>0</v>
      </c>
      <c r="O111">
        <v>0</v>
      </c>
      <c r="P111">
        <v>0</v>
      </c>
    </row>
    <row r="112" spans="1:16" x14ac:dyDescent="0.3">
      <c r="A112" t="s">
        <v>220</v>
      </c>
      <c r="B112" t="s">
        <v>62</v>
      </c>
      <c r="C112">
        <f ca="1">IF(RAND()&lt;0.8,F_Baseline_data!C112,IF(RAND()&lt;0.85,F_Baseline_data!C112+1,IF(F_Baseline_data!C112&gt;3,C112-1,F_Baseline_data!C112)))</f>
        <v>4</v>
      </c>
      <c r="D112">
        <f ca="1">MAX(5000,ROUND(F_Baseline_data!D112*(1+_xlfn.NORM.INV(RAND(),0.12,0.1)),-2))</f>
        <v>13300</v>
      </c>
      <c r="E112" t="str">
        <f ca="1">IF(I112=1,IF(RAND()&lt;0.95,"Piped Water",F_Baseline_data!E112),F_Baseline_data!E112)</f>
        <v>River</v>
      </c>
      <c r="F112">
        <f t="shared" ca="1" si="2"/>
        <v>75</v>
      </c>
      <c r="G112">
        <v>1.7</v>
      </c>
      <c r="H112">
        <f ca="1">MAX(0,ROUND(F_Baseline_data!H112+(F_Baseline_data!C112-5)*200+(D112-30000)*0.015+(F112-50)*15-IF(I112=1,1200,0)+_xlfn.NORM.INV(RAND(),0,2500),-2))</f>
        <v>5300</v>
      </c>
      <c r="I112">
        <v>0</v>
      </c>
      <c r="J112">
        <f>1</f>
        <v>1</v>
      </c>
      <c r="K112">
        <f>1</f>
        <v>1</v>
      </c>
      <c r="L112">
        <v>0</v>
      </c>
      <c r="M112">
        <f t="shared" ca="1" si="3"/>
        <v>0.91608985343641136</v>
      </c>
      <c r="N112">
        <v>0</v>
      </c>
      <c r="O112">
        <v>0</v>
      </c>
      <c r="P112">
        <v>0</v>
      </c>
    </row>
    <row r="113" spans="1:16" x14ac:dyDescent="0.3">
      <c r="A113" t="s">
        <v>221</v>
      </c>
      <c r="B113" t="s">
        <v>64</v>
      </c>
      <c r="C113">
        <f ca="1">IF(RAND()&lt;0.8,F_Baseline_data!C113,IF(RAND()&lt;0.85,F_Baseline_data!C113+1,IF(F_Baseline_data!C113&gt;3,C113-1,F_Baseline_data!C113)))</f>
        <v>7</v>
      </c>
      <c r="D113">
        <f ca="1">MAX(5000,ROUND(F_Baseline_data!D113*(1+_xlfn.NORM.INV(RAND(),0.12,0.1)),-2))</f>
        <v>41100</v>
      </c>
      <c r="E113" t="str">
        <f ca="1">IF(I113=1,IF(RAND()&lt;0.95,"Piped Water",F_Baseline_data!E113),F_Baseline_data!E113)</f>
        <v>Vendor</v>
      </c>
      <c r="F113">
        <f t="shared" ca="1" si="2"/>
        <v>35</v>
      </c>
      <c r="G113">
        <v>0.7</v>
      </c>
      <c r="H113">
        <f ca="1">MAX(0,ROUND(F_Baseline_data!H113+(F_Baseline_data!C113-5)*200+(D113-30000)*0.015+(F113-50)*15-IF(I113=1,1200,0)+_xlfn.NORM.INV(RAND(),0,2500),-2))</f>
        <v>10500</v>
      </c>
      <c r="I113">
        <v>0</v>
      </c>
      <c r="J113">
        <f>1</f>
        <v>1</v>
      </c>
      <c r="K113">
        <f>1</f>
        <v>1</v>
      </c>
      <c r="L113">
        <v>0</v>
      </c>
      <c r="M113">
        <f t="shared" ca="1" si="3"/>
        <v>0.1483534563520309</v>
      </c>
      <c r="N113">
        <v>0</v>
      </c>
      <c r="O113">
        <v>0</v>
      </c>
      <c r="P113">
        <v>0</v>
      </c>
    </row>
    <row r="114" spans="1:16" x14ac:dyDescent="0.3">
      <c r="A114" t="s">
        <v>222</v>
      </c>
      <c r="B114" t="s">
        <v>62</v>
      </c>
      <c r="C114">
        <f ca="1">IF(RAND()&lt;0.8,F_Baseline_data!C114,IF(RAND()&lt;0.85,F_Baseline_data!C114+1,IF(F_Baseline_data!C114&gt;3,C114-1,F_Baseline_data!C114)))</f>
        <v>7</v>
      </c>
      <c r="D114">
        <f ca="1">MAX(5000,ROUND(F_Baseline_data!D114*(1+_xlfn.NORM.INV(RAND(),0.12,0.1)),-2))</f>
        <v>53300</v>
      </c>
      <c r="E114" t="str">
        <f ca="1">IF(I114=1,IF(RAND()&lt;0.95,"Piped Water",F_Baseline_data!E114),F_Baseline_data!E114)</f>
        <v>Borehole</v>
      </c>
      <c r="F114">
        <f t="shared" ca="1" si="2"/>
        <v>65</v>
      </c>
      <c r="G114">
        <v>7.7</v>
      </c>
      <c r="H114">
        <f ca="1">MAX(0,ROUND(F_Baseline_data!H114+(F_Baseline_data!C114-5)*200+(D114-30000)*0.015+(F114-50)*15-IF(I114=1,1200,0)+_xlfn.NORM.INV(RAND(),0,2500),-2))</f>
        <v>10300</v>
      </c>
      <c r="I114">
        <v>0</v>
      </c>
      <c r="J114">
        <f>1</f>
        <v>1</v>
      </c>
      <c r="K114">
        <f>1</f>
        <v>1</v>
      </c>
      <c r="L114">
        <v>0</v>
      </c>
      <c r="M114">
        <f t="shared" ca="1" si="3"/>
        <v>0.28298666045218046</v>
      </c>
      <c r="N114">
        <v>0</v>
      </c>
      <c r="O114">
        <v>0</v>
      </c>
      <c r="P114">
        <v>0</v>
      </c>
    </row>
    <row r="115" spans="1:16" x14ac:dyDescent="0.3">
      <c r="A115" t="s">
        <v>223</v>
      </c>
      <c r="B115" t="s">
        <v>64</v>
      </c>
      <c r="C115">
        <f ca="1">IF(RAND()&lt;0.8,F_Baseline_data!C115,IF(RAND()&lt;0.85,F_Baseline_data!C115+1,IF(F_Baseline_data!C115&gt;3,C115-1,F_Baseline_data!C115)))</f>
        <v>5</v>
      </c>
      <c r="D115">
        <f ca="1">MAX(5000,ROUND(F_Baseline_data!D115*(1+_xlfn.NORM.INV(RAND(),0.12,0.1)),-2))</f>
        <v>27100</v>
      </c>
      <c r="E115" t="str">
        <f ca="1">IF(I115=1,IF(RAND()&lt;0.95,"Piped Water",F_Baseline_data!E115),F_Baseline_data!E115)</f>
        <v>Vendor</v>
      </c>
      <c r="F115">
        <f t="shared" ca="1" si="2"/>
        <v>29</v>
      </c>
      <c r="G115">
        <v>1.3</v>
      </c>
      <c r="H115">
        <f ca="1">MAX(0,ROUND(F_Baseline_data!H115+(F_Baseline_data!C115-5)*200+(D115-30000)*0.015+(F115-50)*15-IF(I115=1,1200,0)+_xlfn.NORM.INV(RAND(),0,2500),-2))</f>
        <v>0</v>
      </c>
      <c r="I115">
        <v>0</v>
      </c>
      <c r="J115">
        <f>1</f>
        <v>1</v>
      </c>
      <c r="K115">
        <f>1</f>
        <v>1</v>
      </c>
      <c r="L115">
        <v>0</v>
      </c>
      <c r="M115">
        <f t="shared" ca="1" si="3"/>
        <v>0.94982232043449488</v>
      </c>
      <c r="N115">
        <v>0</v>
      </c>
      <c r="O115">
        <v>0</v>
      </c>
      <c r="P115">
        <v>0</v>
      </c>
    </row>
    <row r="116" spans="1:16" x14ac:dyDescent="0.3">
      <c r="A116" t="s">
        <v>224</v>
      </c>
      <c r="B116" t="s">
        <v>64</v>
      </c>
      <c r="C116">
        <f ca="1">IF(RAND()&lt;0.8,F_Baseline_data!C116,IF(RAND()&lt;0.85,F_Baseline_data!C116+1,IF(F_Baseline_data!C116&gt;3,C116-1,F_Baseline_data!C116)))</f>
        <v>3</v>
      </c>
      <c r="D116">
        <f ca="1">MAX(5000,ROUND(F_Baseline_data!D116*(1+_xlfn.NORM.INV(RAND(),0.12,0.1)),-2))</f>
        <v>29100</v>
      </c>
      <c r="E116" t="str">
        <f ca="1">IF(I116=1,IF(RAND()&lt;0.95,"Piped Water",F_Baseline_data!E116),F_Baseline_data!E116)</f>
        <v>Borehole</v>
      </c>
      <c r="F116">
        <f t="shared" ca="1" si="2"/>
        <v>73</v>
      </c>
      <c r="G116">
        <v>8.6</v>
      </c>
      <c r="H116">
        <f ca="1">MAX(0,ROUND(F_Baseline_data!H116+(F_Baseline_data!C116-5)*200+(D116-30000)*0.015+(F116-50)*15-IF(I116=1,1200,0)+_xlfn.NORM.INV(RAND(),0,2500),-2))</f>
        <v>6600</v>
      </c>
      <c r="I116">
        <v>0</v>
      </c>
      <c r="J116">
        <f>1</f>
        <v>1</v>
      </c>
      <c r="K116">
        <f>1</f>
        <v>1</v>
      </c>
      <c r="L116">
        <v>0</v>
      </c>
      <c r="M116">
        <f t="shared" ca="1" si="3"/>
        <v>0.79585097791527637</v>
      </c>
      <c r="N116">
        <v>0</v>
      </c>
      <c r="O116">
        <v>0</v>
      </c>
      <c r="P116">
        <v>0</v>
      </c>
    </row>
    <row r="117" spans="1:16" x14ac:dyDescent="0.3">
      <c r="A117" t="s">
        <v>225</v>
      </c>
      <c r="B117" t="s">
        <v>65</v>
      </c>
      <c r="C117">
        <f ca="1">IF(RAND()&lt;0.8,F_Baseline_data!C117,IF(RAND()&lt;0.85,F_Baseline_data!C117+1,IF(F_Baseline_data!C117&gt;3,C117-1,F_Baseline_data!C117)))</f>
        <v>4</v>
      </c>
      <c r="D117">
        <f ca="1">MAX(5000,ROUND(F_Baseline_data!D117*(1+_xlfn.NORM.INV(RAND(),0.12,0.1)),-2))</f>
        <v>42500</v>
      </c>
      <c r="E117" t="str">
        <f ca="1">IF(I117=1,IF(RAND()&lt;0.95,"Piped Water",F_Baseline_data!E117),F_Baseline_data!E117)</f>
        <v>River</v>
      </c>
      <c r="F117">
        <f t="shared" ca="1" si="2"/>
        <v>70</v>
      </c>
      <c r="G117">
        <v>8.9</v>
      </c>
      <c r="H117">
        <f ca="1">MAX(0,ROUND(F_Baseline_data!H117+(F_Baseline_data!C117-5)*200+(D117-30000)*0.015+(F117-50)*15-IF(I117=1,1200,0)+_xlfn.NORM.INV(RAND(),0,2500),-2))</f>
        <v>0</v>
      </c>
      <c r="I117">
        <v>0</v>
      </c>
      <c r="J117">
        <f>1</f>
        <v>1</v>
      </c>
      <c r="K117">
        <f>1</f>
        <v>1</v>
      </c>
      <c r="L117">
        <v>0</v>
      </c>
      <c r="M117">
        <f t="shared" ca="1" si="3"/>
        <v>0.74727706711402664</v>
      </c>
      <c r="N117">
        <v>0</v>
      </c>
      <c r="O117">
        <v>0</v>
      </c>
      <c r="P117">
        <v>0</v>
      </c>
    </row>
    <row r="118" spans="1:16" x14ac:dyDescent="0.3">
      <c r="A118" t="s">
        <v>226</v>
      </c>
      <c r="B118" t="s">
        <v>64</v>
      </c>
      <c r="C118">
        <f ca="1">IF(RAND()&lt;0.8,F_Baseline_data!C118,IF(RAND()&lt;0.85,F_Baseline_data!C118+1,IF(F_Baseline_data!C118&gt;3,C118-1,F_Baseline_data!C118)))</f>
        <v>5</v>
      </c>
      <c r="D118">
        <f ca="1">MAX(5000,ROUND(F_Baseline_data!D118*(1+_xlfn.NORM.INV(RAND(),0.12,0.1)),-2))</f>
        <v>98800</v>
      </c>
      <c r="E118" t="str">
        <f ca="1">IF(I118=1,IF(RAND()&lt;0.95,"Piped Water",F_Baseline_data!E118),F_Baseline_data!E118)</f>
        <v>Borehole</v>
      </c>
      <c r="F118">
        <f t="shared" ca="1" si="2"/>
        <v>75</v>
      </c>
      <c r="G118">
        <v>10.8</v>
      </c>
      <c r="H118">
        <f ca="1">MAX(0,ROUND(F_Baseline_data!H118+(F_Baseline_data!C118-5)*200+(D118-30000)*0.015+(F118-50)*15-IF(I118=1,1200,0)+_xlfn.NORM.INV(RAND(),0,2500),-2))</f>
        <v>8800</v>
      </c>
      <c r="I118">
        <v>0</v>
      </c>
      <c r="J118">
        <f>1</f>
        <v>1</v>
      </c>
      <c r="K118">
        <f>1</f>
        <v>1</v>
      </c>
      <c r="L118">
        <v>0</v>
      </c>
      <c r="M118">
        <f t="shared" ca="1" si="3"/>
        <v>0.99858625173284876</v>
      </c>
      <c r="N118">
        <v>0</v>
      </c>
      <c r="O118">
        <v>0</v>
      </c>
      <c r="P118">
        <v>0</v>
      </c>
    </row>
    <row r="119" spans="1:16" x14ac:dyDescent="0.3">
      <c r="A119" t="s">
        <v>227</v>
      </c>
      <c r="B119" t="s">
        <v>62</v>
      </c>
      <c r="C119">
        <f ca="1">IF(RAND()&lt;0.8,F_Baseline_data!C119,IF(RAND()&lt;0.85,F_Baseline_data!C119+1,IF(F_Baseline_data!C119&gt;3,C119-1,F_Baseline_data!C119)))</f>
        <v>7</v>
      </c>
      <c r="D119">
        <f ca="1">MAX(5000,ROUND(F_Baseline_data!D119*(1+_xlfn.NORM.INV(RAND(),0.12,0.1)),-2))</f>
        <v>65500</v>
      </c>
      <c r="E119" t="str">
        <f ca="1">IF(I119=1,IF(RAND()&lt;0.95,"Piped Water",F_Baseline_data!E119),F_Baseline_data!E119)</f>
        <v>Vendor</v>
      </c>
      <c r="F119">
        <f t="shared" ca="1" si="2"/>
        <v>59</v>
      </c>
      <c r="G119">
        <v>9</v>
      </c>
      <c r="H119">
        <f ca="1">MAX(0,ROUND(F_Baseline_data!H119+(F_Baseline_data!C119-5)*200+(D119-30000)*0.015+(F119-50)*15-IF(I119=1,1200,0)+_xlfn.NORM.INV(RAND(),0,2500),-2))</f>
        <v>3000</v>
      </c>
      <c r="I119">
        <v>0</v>
      </c>
      <c r="J119">
        <f>1</f>
        <v>1</v>
      </c>
      <c r="K119">
        <f>1</f>
        <v>1</v>
      </c>
      <c r="L119">
        <v>0</v>
      </c>
      <c r="M119">
        <f t="shared" ca="1" si="3"/>
        <v>0.8769315472143947</v>
      </c>
      <c r="N119">
        <v>0</v>
      </c>
      <c r="O119">
        <v>0</v>
      </c>
      <c r="P119">
        <v>0</v>
      </c>
    </row>
    <row r="120" spans="1:16" x14ac:dyDescent="0.3">
      <c r="A120" t="s">
        <v>228</v>
      </c>
      <c r="B120" t="s">
        <v>65</v>
      </c>
      <c r="C120">
        <f ca="1">IF(RAND()&lt;0.8,F_Baseline_data!C120,IF(RAND()&lt;0.85,F_Baseline_data!C120+1,IF(F_Baseline_data!C120&gt;3,C120-1,F_Baseline_data!C120)))</f>
        <v>4</v>
      </c>
      <c r="D120">
        <f ca="1">MAX(5000,ROUND(F_Baseline_data!D120*(1+_xlfn.NORM.INV(RAND(),0.12,0.1)),-2))</f>
        <v>30400</v>
      </c>
      <c r="E120" t="str">
        <f ca="1">IF(I120=1,IF(RAND()&lt;0.95,"Piped Water",F_Baseline_data!E120),F_Baseline_data!E120)</f>
        <v>River</v>
      </c>
      <c r="F120">
        <f t="shared" ca="1" si="2"/>
        <v>82</v>
      </c>
      <c r="G120">
        <v>2.9</v>
      </c>
      <c r="H120">
        <f ca="1">MAX(0,ROUND(F_Baseline_data!H120+(F_Baseline_data!C120-5)*200+(D120-30000)*0.015+(F120-50)*15-IF(I120=1,1200,0)+_xlfn.NORM.INV(RAND(),0,2500),-2))</f>
        <v>6300</v>
      </c>
      <c r="I120">
        <v>0</v>
      </c>
      <c r="J120">
        <f>1</f>
        <v>1</v>
      </c>
      <c r="K120">
        <f>1</f>
        <v>1</v>
      </c>
      <c r="L120">
        <v>0</v>
      </c>
      <c r="M120">
        <f t="shared" ca="1" si="3"/>
        <v>0.52491940030863293</v>
      </c>
      <c r="N120">
        <v>0</v>
      </c>
      <c r="O120">
        <v>0</v>
      </c>
      <c r="P120">
        <v>0</v>
      </c>
    </row>
    <row r="121" spans="1:16" x14ac:dyDescent="0.3">
      <c r="A121" t="s">
        <v>229</v>
      </c>
      <c r="B121" t="s">
        <v>513</v>
      </c>
      <c r="C121">
        <f ca="1">IF(RAND()&lt;0.8,F_Baseline_data!C121,IF(RAND()&lt;0.85,F_Baseline_data!C121+1,IF(F_Baseline_data!C121&gt;3,C121-1,F_Baseline_data!C121)))</f>
        <v>3</v>
      </c>
      <c r="D121">
        <f ca="1">MAX(5000,ROUND(F_Baseline_data!D121*(1+_xlfn.NORM.INV(RAND(),0.12,0.1)),-2))</f>
        <v>58100</v>
      </c>
      <c r="E121" t="str">
        <f ca="1">IF(I121=1,IF(RAND()&lt;0.95,"Piped Water",F_Baseline_data!E121),F_Baseline_data!E121)</f>
        <v>Vendor</v>
      </c>
      <c r="F121">
        <f t="shared" ca="1" si="2"/>
        <v>14</v>
      </c>
      <c r="G121">
        <v>10</v>
      </c>
      <c r="H121">
        <f ca="1">MAX(0,ROUND(F_Baseline_data!H121+(F_Baseline_data!C121-5)*200+(D121-30000)*0.015+(F121-50)*15-IF(I121=1,1200,0)+_xlfn.NORM.INV(RAND(),0,2500),-2))</f>
        <v>13700</v>
      </c>
      <c r="I121">
        <v>0</v>
      </c>
      <c r="J121">
        <f>1</f>
        <v>1</v>
      </c>
      <c r="K121">
        <f>1</f>
        <v>1</v>
      </c>
      <c r="L121">
        <v>0</v>
      </c>
      <c r="M121">
        <f t="shared" ca="1" si="3"/>
        <v>0.55563195025478729</v>
      </c>
      <c r="N121">
        <v>0</v>
      </c>
      <c r="O121">
        <v>0</v>
      </c>
      <c r="P121">
        <v>0</v>
      </c>
    </row>
    <row r="122" spans="1:16" x14ac:dyDescent="0.3">
      <c r="A122" t="s">
        <v>230</v>
      </c>
      <c r="B122" t="s">
        <v>64</v>
      </c>
      <c r="C122">
        <f ca="1">IF(RAND()&lt;0.8,F_Baseline_data!C122,IF(RAND()&lt;0.85,F_Baseline_data!C122+1,IF(F_Baseline_data!C122&gt;3,C122-1,F_Baseline_data!C122)))</f>
        <v>3</v>
      </c>
      <c r="D122">
        <f ca="1">MAX(5000,ROUND(F_Baseline_data!D122*(1+_xlfn.NORM.INV(RAND(),0.12,0.1)),-2))</f>
        <v>48200</v>
      </c>
      <c r="E122" t="str">
        <f ca="1">IF(I122=1,IF(RAND()&lt;0.95,"Piped Water",F_Baseline_data!E122),F_Baseline_data!E122)</f>
        <v>Rainwater</v>
      </c>
      <c r="F122">
        <f t="shared" ca="1" si="2"/>
        <v>55</v>
      </c>
      <c r="G122">
        <v>1.7</v>
      </c>
      <c r="H122">
        <f ca="1">MAX(0,ROUND(F_Baseline_data!H122+(F_Baseline_data!C122-5)*200+(D122-30000)*0.015+(F122-50)*15-IF(I122=1,1200,0)+_xlfn.NORM.INV(RAND(),0,2500),-2))</f>
        <v>700</v>
      </c>
      <c r="I122">
        <v>0</v>
      </c>
      <c r="J122">
        <f>1</f>
        <v>1</v>
      </c>
      <c r="K122">
        <f>1</f>
        <v>1</v>
      </c>
      <c r="L122">
        <v>0</v>
      </c>
      <c r="M122">
        <f t="shared" ca="1" si="3"/>
        <v>0.38485806904548492</v>
      </c>
      <c r="N122">
        <v>0</v>
      </c>
      <c r="O122">
        <v>0</v>
      </c>
      <c r="P122">
        <v>0</v>
      </c>
    </row>
    <row r="123" spans="1:16" x14ac:dyDescent="0.3">
      <c r="A123" t="s">
        <v>231</v>
      </c>
      <c r="B123" t="s">
        <v>513</v>
      </c>
      <c r="C123">
        <f ca="1">IF(RAND()&lt;0.8,F_Baseline_data!C123,IF(RAND()&lt;0.85,F_Baseline_data!C123+1,IF(F_Baseline_data!C123&gt;3,C123-1,F_Baseline_data!C123)))</f>
        <v>5</v>
      </c>
      <c r="D123">
        <f ca="1">MAX(5000,ROUND(F_Baseline_data!D123*(1+_xlfn.NORM.INV(RAND(),0.12,0.1)),-2))</f>
        <v>60200</v>
      </c>
      <c r="E123" t="str">
        <f ca="1">IF(I123=1,IF(RAND()&lt;0.95,"Piped Water",F_Baseline_data!E123),F_Baseline_data!E123)</f>
        <v>Vendor</v>
      </c>
      <c r="F123">
        <f t="shared" ca="1" si="2"/>
        <v>11</v>
      </c>
      <c r="G123">
        <v>5.9</v>
      </c>
      <c r="H123">
        <f ca="1">MAX(0,ROUND(F_Baseline_data!H123+(F_Baseline_data!C123-5)*200+(D123-30000)*0.015+(F123-50)*15-IF(I123=1,1200,0)+_xlfn.NORM.INV(RAND(),0,2500),-2))</f>
        <v>5600</v>
      </c>
      <c r="I123">
        <v>0</v>
      </c>
      <c r="J123">
        <f>1</f>
        <v>1</v>
      </c>
      <c r="K123">
        <f>1</f>
        <v>1</v>
      </c>
      <c r="L123">
        <v>0</v>
      </c>
      <c r="M123">
        <f t="shared" ca="1" si="3"/>
        <v>0.1081676903677129</v>
      </c>
      <c r="N123">
        <v>0</v>
      </c>
      <c r="O123">
        <v>0</v>
      </c>
      <c r="P123">
        <v>0</v>
      </c>
    </row>
    <row r="124" spans="1:16" x14ac:dyDescent="0.3">
      <c r="A124" t="s">
        <v>232</v>
      </c>
      <c r="B124" t="s">
        <v>64</v>
      </c>
      <c r="C124">
        <f ca="1">IF(RAND()&lt;0.8,F_Baseline_data!C124,IF(RAND()&lt;0.85,F_Baseline_data!C124+1,IF(F_Baseline_data!C124&gt;3,C124-1,F_Baseline_data!C124)))</f>
        <v>8</v>
      </c>
      <c r="D124">
        <f ca="1">MAX(5000,ROUND(F_Baseline_data!D124*(1+_xlfn.NORM.INV(RAND(),0.12,0.1)),-2))</f>
        <v>30600</v>
      </c>
      <c r="E124" t="str">
        <f ca="1">IF(I124=1,IF(RAND()&lt;0.95,"Piped Water",F_Baseline_data!E124),F_Baseline_data!E124)</f>
        <v>River</v>
      </c>
      <c r="F124">
        <f t="shared" ca="1" si="2"/>
        <v>91</v>
      </c>
      <c r="G124">
        <v>0.3</v>
      </c>
      <c r="H124">
        <f ca="1">MAX(0,ROUND(F_Baseline_data!H124+(F_Baseline_data!C124-5)*200+(D124-30000)*0.015+(F124-50)*15-IF(I124=1,1200,0)+_xlfn.NORM.INV(RAND(),0,2500),-2))</f>
        <v>5500</v>
      </c>
      <c r="I124">
        <v>0</v>
      </c>
      <c r="J124">
        <f>1</f>
        <v>1</v>
      </c>
      <c r="K124">
        <f>1</f>
        <v>1</v>
      </c>
      <c r="L124">
        <v>0</v>
      </c>
      <c r="M124">
        <f t="shared" ca="1" si="3"/>
        <v>0.81402281944504185</v>
      </c>
      <c r="N124">
        <v>0</v>
      </c>
      <c r="O124">
        <v>0</v>
      </c>
      <c r="P124">
        <v>0</v>
      </c>
    </row>
    <row r="125" spans="1:16" x14ac:dyDescent="0.3">
      <c r="A125" t="s">
        <v>233</v>
      </c>
      <c r="B125" t="s">
        <v>65</v>
      </c>
      <c r="C125">
        <f ca="1">IF(RAND()&lt;0.8,F_Baseline_data!C125,IF(RAND()&lt;0.85,F_Baseline_data!C125+1,IF(F_Baseline_data!C125&gt;3,C125-1,F_Baseline_data!C125)))</f>
        <v>4</v>
      </c>
      <c r="D125">
        <f ca="1">MAX(5000,ROUND(F_Baseline_data!D125*(1+_xlfn.NORM.INV(RAND(),0.12,0.1)),-2))</f>
        <v>51400</v>
      </c>
      <c r="E125" t="str">
        <f ca="1">IF(I125=1,IF(RAND()&lt;0.95,"Piped Water",F_Baseline_data!E125),F_Baseline_data!E125)</f>
        <v>Borehole</v>
      </c>
      <c r="F125">
        <f t="shared" ca="1" si="2"/>
        <v>39</v>
      </c>
      <c r="G125">
        <v>7.3</v>
      </c>
      <c r="H125">
        <f ca="1">MAX(0,ROUND(F_Baseline_data!H125+(F_Baseline_data!C125-5)*200+(D125-30000)*0.015+(F125-50)*15-IF(I125=1,1200,0)+_xlfn.NORM.INV(RAND(),0,2500),-2))</f>
        <v>0</v>
      </c>
      <c r="I125">
        <v>0</v>
      </c>
      <c r="J125">
        <f>1</f>
        <v>1</v>
      </c>
      <c r="K125">
        <f>1</f>
        <v>1</v>
      </c>
      <c r="L125">
        <v>0</v>
      </c>
      <c r="M125">
        <f t="shared" ca="1" si="3"/>
        <v>0.84515706677372471</v>
      </c>
      <c r="N125">
        <v>0</v>
      </c>
      <c r="O125">
        <v>0</v>
      </c>
      <c r="P125">
        <v>0</v>
      </c>
    </row>
    <row r="126" spans="1:16" x14ac:dyDescent="0.3">
      <c r="A126" t="s">
        <v>234</v>
      </c>
      <c r="B126" t="s">
        <v>65</v>
      </c>
      <c r="C126">
        <f ca="1">IF(RAND()&lt;0.8,F_Baseline_data!C126,IF(RAND()&lt;0.85,F_Baseline_data!C126+1,IF(F_Baseline_data!C126&gt;3,C126-1,F_Baseline_data!C126)))</f>
        <v>9</v>
      </c>
      <c r="D126">
        <f ca="1">MAX(5000,ROUND(F_Baseline_data!D126*(1+_xlfn.NORM.INV(RAND(),0.12,0.1)),-2))</f>
        <v>35000</v>
      </c>
      <c r="E126" t="str">
        <f ca="1">IF(I126=1,IF(RAND()&lt;0.95,"Piped Water",F_Baseline_data!E126),F_Baseline_data!E126)</f>
        <v>Vendor</v>
      </c>
      <c r="F126">
        <f t="shared" ca="1" si="2"/>
        <v>54</v>
      </c>
      <c r="G126">
        <v>3.3</v>
      </c>
      <c r="H126">
        <f ca="1">MAX(0,ROUND(F_Baseline_data!H126+(F_Baseline_data!C126-5)*200+(D126-30000)*0.015+(F126-50)*15-IF(I126=1,1200,0)+_xlfn.NORM.INV(RAND(),0,2500),-2))</f>
        <v>9000</v>
      </c>
      <c r="I126">
        <v>0</v>
      </c>
      <c r="J126">
        <f>1</f>
        <v>1</v>
      </c>
      <c r="K126">
        <f>1</f>
        <v>1</v>
      </c>
      <c r="L126">
        <v>0</v>
      </c>
      <c r="M126">
        <f t="shared" ca="1" si="3"/>
        <v>0.9806943407945905</v>
      </c>
      <c r="N126">
        <v>0</v>
      </c>
      <c r="O126">
        <v>0</v>
      </c>
      <c r="P126">
        <v>0</v>
      </c>
    </row>
    <row r="127" spans="1:16" x14ac:dyDescent="0.3">
      <c r="A127" t="s">
        <v>235</v>
      </c>
      <c r="B127" t="s">
        <v>513</v>
      </c>
      <c r="C127">
        <f ca="1">IF(RAND()&lt;0.8,F_Baseline_data!C127,IF(RAND()&lt;0.85,F_Baseline_data!C127+1,IF(F_Baseline_data!C127&gt;3,C127-1,F_Baseline_data!C127)))</f>
        <v>8</v>
      </c>
      <c r="D127">
        <f ca="1">MAX(5000,ROUND(F_Baseline_data!D127*(1+_xlfn.NORM.INV(RAND(),0.12,0.1)),-2))</f>
        <v>14100</v>
      </c>
      <c r="E127" t="str">
        <f ca="1">IF(I127=1,IF(RAND()&lt;0.95,"Piped Water",F_Baseline_data!E127),F_Baseline_data!E127)</f>
        <v>Rainwater</v>
      </c>
      <c r="F127">
        <f t="shared" ca="1" si="2"/>
        <v>26</v>
      </c>
      <c r="G127">
        <v>8.6</v>
      </c>
      <c r="H127">
        <f ca="1">MAX(0,ROUND(F_Baseline_data!H127+(F_Baseline_data!C127-5)*200+(D127-30000)*0.015+(F127-50)*15-IF(I127=1,1200,0)+_xlfn.NORM.INV(RAND(),0,2500),-2))</f>
        <v>9100</v>
      </c>
      <c r="I127">
        <v>0</v>
      </c>
      <c r="J127">
        <f>1</f>
        <v>1</v>
      </c>
      <c r="K127">
        <f>1</f>
        <v>1</v>
      </c>
      <c r="L127">
        <v>0</v>
      </c>
      <c r="M127">
        <f t="shared" ca="1" si="3"/>
        <v>0.26585091024377616</v>
      </c>
      <c r="N127">
        <v>0</v>
      </c>
      <c r="O127">
        <v>0</v>
      </c>
      <c r="P127">
        <v>0</v>
      </c>
    </row>
    <row r="128" spans="1:16" x14ac:dyDescent="0.3">
      <c r="A128" t="s">
        <v>236</v>
      </c>
      <c r="B128" t="s">
        <v>65</v>
      </c>
      <c r="C128">
        <f ca="1">IF(RAND()&lt;0.8,F_Baseline_data!C128,IF(RAND()&lt;0.85,F_Baseline_data!C128+1,IF(F_Baseline_data!C128&gt;3,C128-1,F_Baseline_data!C128)))</f>
        <v>6</v>
      </c>
      <c r="D128">
        <f ca="1">MAX(5000,ROUND(F_Baseline_data!D128*(1+_xlfn.NORM.INV(RAND(),0.12,0.1)),-2))</f>
        <v>34400</v>
      </c>
      <c r="E128" t="str">
        <f ca="1">IF(I128=1,IF(RAND()&lt;0.95,"Piped Water",F_Baseline_data!E128),F_Baseline_data!E128)</f>
        <v>River</v>
      </c>
      <c r="F128">
        <f t="shared" ca="1" si="2"/>
        <v>102</v>
      </c>
      <c r="G128">
        <v>0.9</v>
      </c>
      <c r="H128">
        <f ca="1">MAX(0,ROUND(F_Baseline_data!H128+(F_Baseline_data!C128-5)*200+(D128-30000)*0.015+(F128-50)*15-IF(I128=1,1200,0)+_xlfn.NORM.INV(RAND(),0,2500),-2))</f>
        <v>5700</v>
      </c>
      <c r="I128">
        <v>0</v>
      </c>
      <c r="J128">
        <f>1</f>
        <v>1</v>
      </c>
      <c r="K128">
        <f>1</f>
        <v>1</v>
      </c>
      <c r="L128">
        <v>0</v>
      </c>
      <c r="M128">
        <f t="shared" ca="1" si="3"/>
        <v>0.86789330295131695</v>
      </c>
      <c r="N128">
        <v>0</v>
      </c>
      <c r="O128">
        <v>0</v>
      </c>
      <c r="P128">
        <v>0</v>
      </c>
    </row>
    <row r="129" spans="1:16" x14ac:dyDescent="0.3">
      <c r="A129" t="s">
        <v>237</v>
      </c>
      <c r="B129" t="s">
        <v>513</v>
      </c>
      <c r="C129">
        <f ca="1">IF(RAND()&lt;0.8,F_Baseline_data!C129,IF(RAND()&lt;0.85,F_Baseline_data!C129+1,IF(F_Baseline_data!C129&gt;3,C129-1,F_Baseline_data!C129)))</f>
        <v>3</v>
      </c>
      <c r="D129">
        <f ca="1">MAX(5000,ROUND(F_Baseline_data!D129*(1+_xlfn.NORM.INV(RAND(),0.12,0.1)),-2))</f>
        <v>79500</v>
      </c>
      <c r="E129" t="str">
        <f ca="1">IF(I129=1,IF(RAND()&lt;0.95,"Piped Water",F_Baseline_data!E129),F_Baseline_data!E129)</f>
        <v>Rainwater</v>
      </c>
      <c r="F129">
        <f t="shared" ca="1" si="2"/>
        <v>22</v>
      </c>
      <c r="G129">
        <v>13.5</v>
      </c>
      <c r="H129">
        <f ca="1">MAX(0,ROUND(F_Baseline_data!H129+(F_Baseline_data!C129-5)*200+(D129-30000)*0.015+(F129-50)*15-IF(I129=1,1200,0)+_xlfn.NORM.INV(RAND(),0,2500),-2))</f>
        <v>12800</v>
      </c>
      <c r="I129">
        <v>0</v>
      </c>
      <c r="J129">
        <f>1</f>
        <v>1</v>
      </c>
      <c r="K129">
        <f>1</f>
        <v>1</v>
      </c>
      <c r="L129">
        <v>0</v>
      </c>
      <c r="M129">
        <f t="shared" ca="1" si="3"/>
        <v>0.47819312312862972</v>
      </c>
      <c r="N129">
        <v>0</v>
      </c>
      <c r="O129">
        <v>0</v>
      </c>
      <c r="P129">
        <v>0</v>
      </c>
    </row>
    <row r="130" spans="1:16" x14ac:dyDescent="0.3">
      <c r="A130" t="s">
        <v>238</v>
      </c>
      <c r="B130" t="s">
        <v>62</v>
      </c>
      <c r="C130">
        <f ca="1">IF(RAND()&lt;0.8,F_Baseline_data!C130,IF(RAND()&lt;0.85,F_Baseline_data!C130+1,IF(F_Baseline_data!C130&gt;3,C130-1,F_Baseline_data!C130)))</f>
        <v>7</v>
      </c>
      <c r="D130">
        <f ca="1">MAX(5000,ROUND(F_Baseline_data!D130*(1+_xlfn.NORM.INV(RAND(),0.12,0.1)),-2))</f>
        <v>27400</v>
      </c>
      <c r="E130" t="str">
        <f ca="1">IF(I130=1,IF(RAND()&lt;0.95,"Piped Water",F_Baseline_data!E130),F_Baseline_data!E130)</f>
        <v>Vendor</v>
      </c>
      <c r="F130">
        <f t="shared" ref="F130:F193" ca="1" si="4">IF(E130="Piped Water",RANDBETWEEN(0,10),IF(E130="River",RANDBETWEEN(45,120),IF(E130="Rainwater",RANDBETWEEN(15,70),IF(E130="Borehole",RANDBETWEEN(20,75),RANDBETWEEN(10,60)))))</f>
        <v>22</v>
      </c>
      <c r="G130">
        <v>6.8</v>
      </c>
      <c r="H130">
        <f ca="1">MAX(0,ROUND(F_Baseline_data!H130+(F_Baseline_data!C130-5)*200+(D130-30000)*0.015+(F130-50)*15-IF(I130=1,1200,0)+_xlfn.NORM.INV(RAND(),0,2500),-2))</f>
        <v>4100</v>
      </c>
      <c r="I130">
        <v>0</v>
      </c>
      <c r="J130">
        <f>1</f>
        <v>1</v>
      </c>
      <c r="K130">
        <f>1</f>
        <v>1</v>
      </c>
      <c r="L130">
        <v>0</v>
      </c>
      <c r="M130">
        <f t="shared" ref="M130:M193" ca="1" si="5">RAND()</f>
        <v>0.72500591145432791</v>
      </c>
      <c r="N130">
        <v>0</v>
      </c>
      <c r="O130">
        <v>0</v>
      </c>
      <c r="P130">
        <v>0</v>
      </c>
    </row>
    <row r="131" spans="1:16" x14ac:dyDescent="0.3">
      <c r="A131" t="s">
        <v>239</v>
      </c>
      <c r="B131" t="s">
        <v>513</v>
      </c>
      <c r="C131">
        <f ca="1">IF(RAND()&lt;0.8,F_Baseline_data!C131,IF(RAND()&lt;0.85,F_Baseline_data!C131+1,IF(F_Baseline_data!C131&gt;3,C131-1,F_Baseline_data!C131)))</f>
        <v>8</v>
      </c>
      <c r="D131">
        <f ca="1">MAX(5000,ROUND(F_Baseline_data!D131*(1+_xlfn.NORM.INV(RAND(),0.12,0.1)),-2))</f>
        <v>61600</v>
      </c>
      <c r="E131" t="str">
        <f ca="1">IF(I131=1,IF(RAND()&lt;0.95,"Piped Water",F_Baseline_data!E131),F_Baseline_data!E131)</f>
        <v>Vendor</v>
      </c>
      <c r="F131">
        <f t="shared" ca="1" si="4"/>
        <v>47</v>
      </c>
      <c r="G131">
        <v>11.3</v>
      </c>
      <c r="H131">
        <f ca="1">MAX(0,ROUND(F_Baseline_data!H131+(F_Baseline_data!C131-5)*200+(D131-30000)*0.015+(F131-50)*15-IF(I131=1,1200,0)+_xlfn.NORM.INV(RAND(),0,2500),-2))</f>
        <v>4700</v>
      </c>
      <c r="I131">
        <v>0</v>
      </c>
      <c r="J131">
        <f>1</f>
        <v>1</v>
      </c>
      <c r="K131">
        <f>1</f>
        <v>1</v>
      </c>
      <c r="L131">
        <v>0</v>
      </c>
      <c r="M131">
        <f t="shared" ca="1" si="5"/>
        <v>0.40105229406534815</v>
      </c>
      <c r="N131">
        <v>0</v>
      </c>
      <c r="O131">
        <v>0</v>
      </c>
      <c r="P131">
        <v>0</v>
      </c>
    </row>
    <row r="132" spans="1:16" x14ac:dyDescent="0.3">
      <c r="A132" t="s">
        <v>240</v>
      </c>
      <c r="B132" t="s">
        <v>513</v>
      </c>
      <c r="C132">
        <f ca="1">IF(RAND()&lt;0.8,F_Baseline_data!C132,IF(RAND()&lt;0.85,F_Baseline_data!C132+1,IF(F_Baseline_data!C132&gt;3,C132-1,F_Baseline_data!C132)))</f>
        <v>5</v>
      </c>
      <c r="D132">
        <f ca="1">MAX(5000,ROUND(F_Baseline_data!D132*(1+_xlfn.NORM.INV(RAND(),0.12,0.1)),-2))</f>
        <v>15100</v>
      </c>
      <c r="E132" t="str">
        <f ca="1">IF(I132=1,IF(RAND()&lt;0.95,"Piped Water",F_Baseline_data!E132),F_Baseline_data!E132)</f>
        <v>River</v>
      </c>
      <c r="F132">
        <f t="shared" ca="1" si="4"/>
        <v>84</v>
      </c>
      <c r="G132">
        <v>4</v>
      </c>
      <c r="H132">
        <f ca="1">MAX(0,ROUND(F_Baseline_data!H132+(F_Baseline_data!C132-5)*200+(D132-30000)*0.015+(F132-50)*15-IF(I132=1,1200,0)+_xlfn.NORM.INV(RAND(),0,2500),-2))</f>
        <v>11300</v>
      </c>
      <c r="I132">
        <v>0</v>
      </c>
      <c r="J132">
        <f>1</f>
        <v>1</v>
      </c>
      <c r="K132">
        <f>1</f>
        <v>1</v>
      </c>
      <c r="L132">
        <v>0</v>
      </c>
      <c r="M132">
        <f t="shared" ca="1" si="5"/>
        <v>0.64256552943800893</v>
      </c>
      <c r="N132">
        <v>0</v>
      </c>
      <c r="O132">
        <v>0</v>
      </c>
      <c r="P132">
        <v>0</v>
      </c>
    </row>
    <row r="133" spans="1:16" x14ac:dyDescent="0.3">
      <c r="A133" t="s">
        <v>241</v>
      </c>
      <c r="B133" t="s">
        <v>513</v>
      </c>
      <c r="C133">
        <f ca="1">IF(RAND()&lt;0.8,F_Baseline_data!C133,IF(RAND()&lt;0.85,F_Baseline_data!C133+1,IF(F_Baseline_data!C133&gt;3,C133-1,F_Baseline_data!C133)))</f>
        <v>7</v>
      </c>
      <c r="D133">
        <f ca="1">MAX(5000,ROUND(F_Baseline_data!D133*(1+_xlfn.NORM.INV(RAND(),0.12,0.1)),-2))</f>
        <v>76500</v>
      </c>
      <c r="E133" t="str">
        <f ca="1">IF(I133=1,IF(RAND()&lt;0.95,"Piped Water",F_Baseline_data!E133),F_Baseline_data!E133)</f>
        <v>Rainwater</v>
      </c>
      <c r="F133">
        <f t="shared" ca="1" si="4"/>
        <v>26</v>
      </c>
      <c r="G133">
        <v>1.3</v>
      </c>
      <c r="H133">
        <f ca="1">MAX(0,ROUND(F_Baseline_data!H133+(F_Baseline_data!C133-5)*200+(D133-30000)*0.015+(F133-50)*15-IF(I133=1,1200,0)+_xlfn.NORM.INV(RAND(),0,2500),-2))</f>
        <v>11000</v>
      </c>
      <c r="I133">
        <v>0</v>
      </c>
      <c r="J133">
        <f>1</f>
        <v>1</v>
      </c>
      <c r="K133">
        <f>1</f>
        <v>1</v>
      </c>
      <c r="L133">
        <v>0</v>
      </c>
      <c r="M133">
        <f t="shared" ca="1" si="5"/>
        <v>0.58672666871570156</v>
      </c>
      <c r="N133">
        <v>0</v>
      </c>
      <c r="O133">
        <v>0</v>
      </c>
      <c r="P133">
        <v>0</v>
      </c>
    </row>
    <row r="134" spans="1:16" x14ac:dyDescent="0.3">
      <c r="A134" t="s">
        <v>242</v>
      </c>
      <c r="B134" t="s">
        <v>62</v>
      </c>
      <c r="C134">
        <f ca="1">IF(RAND()&lt;0.8,F_Baseline_data!C134,IF(RAND()&lt;0.85,F_Baseline_data!C134+1,IF(F_Baseline_data!C134&gt;3,C134-1,F_Baseline_data!C134)))</f>
        <v>5</v>
      </c>
      <c r="D134">
        <f ca="1">MAX(5000,ROUND(F_Baseline_data!D134*(1+_xlfn.NORM.INV(RAND(),0.12,0.1)),-2))</f>
        <v>53800</v>
      </c>
      <c r="E134" t="str">
        <f ca="1">IF(I134=1,IF(RAND()&lt;0.95,"Piped Water",F_Baseline_data!E134),F_Baseline_data!E134)</f>
        <v>Vendor</v>
      </c>
      <c r="F134">
        <f t="shared" ca="1" si="4"/>
        <v>42</v>
      </c>
      <c r="G134">
        <v>7.9</v>
      </c>
      <c r="H134">
        <f ca="1">MAX(0,ROUND(F_Baseline_data!H134+(F_Baseline_data!C134-5)*200+(D134-30000)*0.015+(F134-50)*15-IF(I134=1,1200,0)+_xlfn.NORM.INV(RAND(),0,2500),-2))</f>
        <v>10500</v>
      </c>
      <c r="I134">
        <v>0</v>
      </c>
      <c r="J134">
        <f>1</f>
        <v>1</v>
      </c>
      <c r="K134">
        <f>1</f>
        <v>1</v>
      </c>
      <c r="L134">
        <v>0</v>
      </c>
      <c r="M134">
        <f t="shared" ca="1" si="5"/>
        <v>0.58765385057767283</v>
      </c>
      <c r="N134">
        <v>0</v>
      </c>
      <c r="O134">
        <v>0</v>
      </c>
      <c r="P134">
        <v>0</v>
      </c>
    </row>
    <row r="135" spans="1:16" x14ac:dyDescent="0.3">
      <c r="A135" t="s">
        <v>243</v>
      </c>
      <c r="B135" t="s">
        <v>513</v>
      </c>
      <c r="C135">
        <f ca="1">IF(RAND()&lt;0.8,F_Baseline_data!C135,IF(RAND()&lt;0.85,F_Baseline_data!C135+1,IF(F_Baseline_data!C135&gt;3,C135-1,F_Baseline_data!C135)))</f>
        <v>6</v>
      </c>
      <c r="D135">
        <f ca="1">MAX(5000,ROUND(F_Baseline_data!D135*(1+_xlfn.NORM.INV(RAND(),0.12,0.1)),-2))</f>
        <v>70400</v>
      </c>
      <c r="E135" t="str">
        <f ca="1">IF(I135=1,IF(RAND()&lt;0.95,"Piped Water",F_Baseline_data!E135),F_Baseline_data!E135)</f>
        <v>Vendor</v>
      </c>
      <c r="F135">
        <f t="shared" ca="1" si="4"/>
        <v>15</v>
      </c>
      <c r="G135">
        <v>9.1</v>
      </c>
      <c r="H135">
        <f ca="1">MAX(0,ROUND(F_Baseline_data!H135+(F_Baseline_data!C135-5)*200+(D135-30000)*0.015+(F135-50)*15-IF(I135=1,1200,0)+_xlfn.NORM.INV(RAND(),0,2500),-2))</f>
        <v>12400</v>
      </c>
      <c r="I135">
        <v>0</v>
      </c>
      <c r="J135">
        <f>1</f>
        <v>1</v>
      </c>
      <c r="K135">
        <f>1</f>
        <v>1</v>
      </c>
      <c r="L135">
        <v>0</v>
      </c>
      <c r="M135">
        <f t="shared" ca="1" si="5"/>
        <v>7.6498666181413211E-2</v>
      </c>
      <c r="N135">
        <v>0</v>
      </c>
      <c r="O135">
        <v>0</v>
      </c>
      <c r="P135">
        <v>0</v>
      </c>
    </row>
    <row r="136" spans="1:16" x14ac:dyDescent="0.3">
      <c r="A136" t="s">
        <v>244</v>
      </c>
      <c r="B136" t="s">
        <v>513</v>
      </c>
      <c r="C136">
        <f ca="1">IF(RAND()&lt;0.8,F_Baseline_data!C136,IF(RAND()&lt;0.85,F_Baseline_data!C136+1,IF(F_Baseline_data!C136&gt;3,C136-1,F_Baseline_data!C136)))</f>
        <v>6</v>
      </c>
      <c r="D136">
        <f ca="1">MAX(5000,ROUND(F_Baseline_data!D136*(1+_xlfn.NORM.INV(RAND(),0.12,0.1)),-2))</f>
        <v>75300</v>
      </c>
      <c r="E136" t="str">
        <f ca="1">IF(I136=1,IF(RAND()&lt;0.95,"Piped Water",F_Baseline_data!E136),F_Baseline_data!E136)</f>
        <v>Vendor</v>
      </c>
      <c r="F136">
        <f t="shared" ca="1" si="4"/>
        <v>24</v>
      </c>
      <c r="G136">
        <v>2.6</v>
      </c>
      <c r="H136">
        <f ca="1">MAX(0,ROUND(F_Baseline_data!H136+(F_Baseline_data!C136-5)*200+(D136-30000)*0.015+(F136-50)*15-IF(I136=1,1200,0)+_xlfn.NORM.INV(RAND(),0,2500),-2))</f>
        <v>9500</v>
      </c>
      <c r="I136">
        <v>0</v>
      </c>
      <c r="J136">
        <f>1</f>
        <v>1</v>
      </c>
      <c r="K136">
        <f>1</f>
        <v>1</v>
      </c>
      <c r="L136">
        <v>0</v>
      </c>
      <c r="M136">
        <f t="shared" ca="1" si="5"/>
        <v>0.94657217131804716</v>
      </c>
      <c r="N136">
        <v>0</v>
      </c>
      <c r="O136">
        <v>0</v>
      </c>
      <c r="P136">
        <v>0</v>
      </c>
    </row>
    <row r="137" spans="1:16" x14ac:dyDescent="0.3">
      <c r="A137" t="s">
        <v>245</v>
      </c>
      <c r="B137" t="s">
        <v>62</v>
      </c>
      <c r="C137">
        <f ca="1">IF(RAND()&lt;0.8,F_Baseline_data!C137,IF(RAND()&lt;0.85,F_Baseline_data!C137+1,IF(F_Baseline_data!C137&gt;3,C137-1,F_Baseline_data!C137)))</f>
        <v>2</v>
      </c>
      <c r="D137">
        <f ca="1">MAX(5000,ROUND(F_Baseline_data!D137*(1+_xlfn.NORM.INV(RAND(),0.12,0.1)),-2))</f>
        <v>38700</v>
      </c>
      <c r="E137" t="str">
        <f ca="1">IF(I137=1,IF(RAND()&lt;0.95,"Piped Water",F_Baseline_data!E137),F_Baseline_data!E137)</f>
        <v>Borehole</v>
      </c>
      <c r="F137">
        <f t="shared" ca="1" si="4"/>
        <v>38</v>
      </c>
      <c r="G137">
        <v>8.6</v>
      </c>
      <c r="H137">
        <f ca="1">MAX(0,ROUND(F_Baseline_data!H137+(F_Baseline_data!C137-5)*200+(D137-30000)*0.015+(F137-50)*15-IF(I137=1,1200,0)+_xlfn.NORM.INV(RAND(),0,2500),-2))</f>
        <v>5200</v>
      </c>
      <c r="I137">
        <v>0</v>
      </c>
      <c r="J137">
        <f>1</f>
        <v>1</v>
      </c>
      <c r="K137">
        <f>1</f>
        <v>1</v>
      </c>
      <c r="L137">
        <v>0</v>
      </c>
      <c r="M137">
        <f t="shared" ca="1" si="5"/>
        <v>0.27311351242260273</v>
      </c>
      <c r="N137">
        <v>0</v>
      </c>
      <c r="O137">
        <v>0</v>
      </c>
      <c r="P137">
        <v>0</v>
      </c>
    </row>
    <row r="138" spans="1:16" x14ac:dyDescent="0.3">
      <c r="A138" t="s">
        <v>246</v>
      </c>
      <c r="B138" t="s">
        <v>65</v>
      </c>
      <c r="C138">
        <f ca="1">IF(RAND()&lt;0.8,F_Baseline_data!C138,IF(RAND()&lt;0.85,F_Baseline_data!C138+1,IF(F_Baseline_data!C138&gt;3,C138-1,F_Baseline_data!C138)))</f>
        <v>6</v>
      </c>
      <c r="D138">
        <f ca="1">MAX(5000,ROUND(F_Baseline_data!D138*(1+_xlfn.NORM.INV(RAND(),0.12,0.1)),-2))</f>
        <v>56300</v>
      </c>
      <c r="E138" t="str">
        <f ca="1">IF(I138=1,IF(RAND()&lt;0.95,"Piped Water",F_Baseline_data!E138),F_Baseline_data!E138)</f>
        <v>River</v>
      </c>
      <c r="F138">
        <f t="shared" ca="1" si="4"/>
        <v>67</v>
      </c>
      <c r="G138">
        <v>5.8</v>
      </c>
      <c r="H138">
        <f ca="1">MAX(0,ROUND(F_Baseline_data!H138+(F_Baseline_data!C138-5)*200+(D138-30000)*0.015+(F138-50)*15-IF(I138=1,1200,0)+_xlfn.NORM.INV(RAND(),0,2500),-2))</f>
        <v>6500</v>
      </c>
      <c r="I138">
        <v>0</v>
      </c>
      <c r="J138">
        <f>1</f>
        <v>1</v>
      </c>
      <c r="K138">
        <f>1</f>
        <v>1</v>
      </c>
      <c r="L138">
        <v>0</v>
      </c>
      <c r="M138">
        <f t="shared" ca="1" si="5"/>
        <v>0.67293939167869499</v>
      </c>
      <c r="N138">
        <v>0</v>
      </c>
      <c r="O138">
        <v>0</v>
      </c>
      <c r="P138">
        <v>0</v>
      </c>
    </row>
    <row r="139" spans="1:16" x14ac:dyDescent="0.3">
      <c r="A139" t="s">
        <v>247</v>
      </c>
      <c r="B139" t="s">
        <v>62</v>
      </c>
      <c r="C139">
        <f ca="1">IF(RAND()&lt;0.8,F_Baseline_data!C139,IF(RAND()&lt;0.85,F_Baseline_data!C139+1,IF(F_Baseline_data!C139&gt;3,C139-1,F_Baseline_data!C139)))</f>
        <v>5</v>
      </c>
      <c r="D139">
        <f ca="1">MAX(5000,ROUND(F_Baseline_data!D139*(1+_xlfn.NORM.INV(RAND(),0.12,0.1)),-2))</f>
        <v>47300</v>
      </c>
      <c r="E139" t="str">
        <f ca="1">IF(I139=1,IF(RAND()&lt;0.95,"Piped Water",F_Baseline_data!E139),F_Baseline_data!E139)</f>
        <v>Borehole</v>
      </c>
      <c r="F139">
        <f t="shared" ca="1" si="4"/>
        <v>40</v>
      </c>
      <c r="G139">
        <v>2.9</v>
      </c>
      <c r="H139">
        <f ca="1">MAX(0,ROUND(F_Baseline_data!H139+(F_Baseline_data!C139-5)*200+(D139-30000)*0.015+(F139-50)*15-IF(I139=1,1200,0)+_xlfn.NORM.INV(RAND(),0,2500),-2))</f>
        <v>6600</v>
      </c>
      <c r="I139">
        <v>0</v>
      </c>
      <c r="J139">
        <f>1</f>
        <v>1</v>
      </c>
      <c r="K139">
        <f>1</f>
        <v>1</v>
      </c>
      <c r="L139">
        <v>0</v>
      </c>
      <c r="M139">
        <f t="shared" ca="1" si="5"/>
        <v>0.15553426269256443</v>
      </c>
      <c r="N139">
        <v>0</v>
      </c>
      <c r="O139">
        <v>0</v>
      </c>
      <c r="P139">
        <v>0</v>
      </c>
    </row>
    <row r="140" spans="1:16" x14ac:dyDescent="0.3">
      <c r="A140" t="s">
        <v>248</v>
      </c>
      <c r="B140" t="s">
        <v>513</v>
      </c>
      <c r="C140">
        <f ca="1">IF(RAND()&lt;0.8,F_Baseline_data!C140,IF(RAND()&lt;0.85,F_Baseline_data!C140+1,IF(F_Baseline_data!C140&gt;3,C140-1,F_Baseline_data!C140)))</f>
        <v>10</v>
      </c>
      <c r="D140">
        <f ca="1">MAX(5000,ROUND(F_Baseline_data!D140*(1+_xlfn.NORM.INV(RAND(),0.12,0.1)),-2))</f>
        <v>76000</v>
      </c>
      <c r="E140" t="str">
        <f ca="1">IF(I140=1,IF(RAND()&lt;0.95,"Piped Water",F_Baseline_data!E140),F_Baseline_data!E140)</f>
        <v>River</v>
      </c>
      <c r="F140">
        <f t="shared" ca="1" si="4"/>
        <v>75</v>
      </c>
      <c r="G140">
        <v>3.6</v>
      </c>
      <c r="H140">
        <f ca="1">MAX(0,ROUND(F_Baseline_data!H140+(F_Baseline_data!C140-5)*200+(D140-30000)*0.015+(F140-50)*15-IF(I140=1,1200,0)+_xlfn.NORM.INV(RAND(),0,2500),-2))</f>
        <v>12200</v>
      </c>
      <c r="I140">
        <v>0</v>
      </c>
      <c r="J140">
        <f>1</f>
        <v>1</v>
      </c>
      <c r="K140">
        <f>1</f>
        <v>1</v>
      </c>
      <c r="L140">
        <v>0</v>
      </c>
      <c r="M140">
        <f t="shared" ca="1" si="5"/>
        <v>0.75198217182204785</v>
      </c>
      <c r="N140">
        <v>0</v>
      </c>
      <c r="O140">
        <v>0</v>
      </c>
      <c r="P140">
        <v>0</v>
      </c>
    </row>
    <row r="141" spans="1:16" x14ac:dyDescent="0.3">
      <c r="A141" t="s">
        <v>249</v>
      </c>
      <c r="B141" t="s">
        <v>513</v>
      </c>
      <c r="C141">
        <f ca="1">IF(RAND()&lt;0.8,F_Baseline_data!C141,IF(RAND()&lt;0.85,F_Baseline_data!C141+1,IF(F_Baseline_data!C141&gt;3,C141-1,F_Baseline_data!C141)))</f>
        <v>4</v>
      </c>
      <c r="D141">
        <f ca="1">MAX(5000,ROUND(F_Baseline_data!D141*(1+_xlfn.NORM.INV(RAND(),0.12,0.1)),-2))</f>
        <v>35500</v>
      </c>
      <c r="E141" t="str">
        <f ca="1">IF(I141=1,IF(RAND()&lt;0.95,"Piped Water",F_Baseline_data!E141),F_Baseline_data!E141)</f>
        <v>Vendor</v>
      </c>
      <c r="F141">
        <f t="shared" ca="1" si="4"/>
        <v>56</v>
      </c>
      <c r="G141">
        <v>5.5</v>
      </c>
      <c r="H141">
        <f ca="1">MAX(0,ROUND(F_Baseline_data!H141+(F_Baseline_data!C141-5)*200+(D141-30000)*0.015+(F141-50)*15-IF(I141=1,1200,0)+_xlfn.NORM.INV(RAND(),0,2500),-2))</f>
        <v>9600</v>
      </c>
      <c r="I141">
        <v>0</v>
      </c>
      <c r="J141">
        <f>1</f>
        <v>1</v>
      </c>
      <c r="K141">
        <f>1</f>
        <v>1</v>
      </c>
      <c r="L141">
        <v>0</v>
      </c>
      <c r="M141">
        <f t="shared" ca="1" si="5"/>
        <v>0.83816049032225637</v>
      </c>
      <c r="N141">
        <v>0</v>
      </c>
      <c r="O141">
        <v>0</v>
      </c>
      <c r="P141">
        <v>0</v>
      </c>
    </row>
    <row r="142" spans="1:16" x14ac:dyDescent="0.3">
      <c r="A142" t="s">
        <v>250</v>
      </c>
      <c r="B142" t="s">
        <v>64</v>
      </c>
      <c r="C142">
        <f ca="1">IF(RAND()&lt;0.8,F_Baseline_data!C142,IF(RAND()&lt;0.85,F_Baseline_data!C142+1,IF(F_Baseline_data!C142&gt;3,C142-1,F_Baseline_data!C142)))</f>
        <v>5</v>
      </c>
      <c r="D142">
        <f ca="1">MAX(5000,ROUND(F_Baseline_data!D142*(1+_xlfn.NORM.INV(RAND(),0.12,0.1)),-2))</f>
        <v>112100</v>
      </c>
      <c r="E142" t="str">
        <f ca="1">IF(I142=1,IF(RAND()&lt;0.95,"Piped Water",F_Baseline_data!E142),F_Baseline_data!E142)</f>
        <v>Borehole</v>
      </c>
      <c r="F142">
        <f t="shared" ca="1" si="4"/>
        <v>48</v>
      </c>
      <c r="G142">
        <v>7.1</v>
      </c>
      <c r="H142">
        <f ca="1">MAX(0,ROUND(F_Baseline_data!H142+(F_Baseline_data!C142-5)*200+(D142-30000)*0.015+(F142-50)*15-IF(I142=1,1200,0)+_xlfn.NORM.INV(RAND(),0,2500),-2))</f>
        <v>8600</v>
      </c>
      <c r="I142">
        <v>0</v>
      </c>
      <c r="J142">
        <f>1</f>
        <v>1</v>
      </c>
      <c r="K142">
        <f>1</f>
        <v>1</v>
      </c>
      <c r="L142">
        <v>0</v>
      </c>
      <c r="M142">
        <f t="shared" ca="1" si="5"/>
        <v>0.69443065409100579</v>
      </c>
      <c r="N142">
        <v>0</v>
      </c>
      <c r="O142">
        <v>0</v>
      </c>
      <c r="P142">
        <v>0</v>
      </c>
    </row>
    <row r="143" spans="1:16" x14ac:dyDescent="0.3">
      <c r="A143" t="s">
        <v>251</v>
      </c>
      <c r="B143" t="s">
        <v>62</v>
      </c>
      <c r="C143">
        <f ca="1">IF(RAND()&lt;0.8,F_Baseline_data!C143,IF(RAND()&lt;0.85,F_Baseline_data!C143+1,IF(F_Baseline_data!C143&gt;3,C143-1,F_Baseline_data!C143)))</f>
        <v>1</v>
      </c>
      <c r="D143">
        <f ca="1">MAX(5000,ROUND(F_Baseline_data!D143*(1+_xlfn.NORM.INV(RAND(),0.12,0.1)),-2))</f>
        <v>68700</v>
      </c>
      <c r="E143" t="str">
        <f ca="1">IF(I143=1,IF(RAND()&lt;0.95,"Piped Water",F_Baseline_data!E143),F_Baseline_data!E143)</f>
        <v>Rainwater</v>
      </c>
      <c r="F143">
        <f t="shared" ca="1" si="4"/>
        <v>55</v>
      </c>
      <c r="G143">
        <v>1.5</v>
      </c>
      <c r="H143">
        <f ca="1">MAX(0,ROUND(F_Baseline_data!H143+(F_Baseline_data!C143-5)*200+(D143-30000)*0.015+(F143-50)*15-IF(I143=1,1200,0)+_xlfn.NORM.INV(RAND(),0,2500),-2))</f>
        <v>4700</v>
      </c>
      <c r="I143">
        <v>0</v>
      </c>
      <c r="J143">
        <f>1</f>
        <v>1</v>
      </c>
      <c r="K143">
        <f>1</f>
        <v>1</v>
      </c>
      <c r="L143">
        <v>0</v>
      </c>
      <c r="M143">
        <f t="shared" ca="1" si="5"/>
        <v>0.98593795667284057</v>
      </c>
      <c r="N143">
        <v>0</v>
      </c>
      <c r="O143">
        <v>0</v>
      </c>
      <c r="P143">
        <v>0</v>
      </c>
    </row>
    <row r="144" spans="1:16" x14ac:dyDescent="0.3">
      <c r="A144" t="s">
        <v>252</v>
      </c>
      <c r="B144" t="s">
        <v>64</v>
      </c>
      <c r="C144">
        <f ca="1">IF(RAND()&lt;0.8,F_Baseline_data!C144,IF(RAND()&lt;0.85,F_Baseline_data!C144+1,IF(F_Baseline_data!C144&gt;3,C144-1,F_Baseline_data!C144)))</f>
        <v>8</v>
      </c>
      <c r="D144">
        <f ca="1">MAX(5000,ROUND(F_Baseline_data!D144*(1+_xlfn.NORM.INV(RAND(),0.12,0.1)),-2))</f>
        <v>65500</v>
      </c>
      <c r="E144" t="str">
        <f ca="1">IF(I144=1,IF(RAND()&lt;0.95,"Piped Water",F_Baseline_data!E144),F_Baseline_data!E144)</f>
        <v>Rainwater</v>
      </c>
      <c r="F144">
        <f t="shared" ca="1" si="4"/>
        <v>26</v>
      </c>
      <c r="G144">
        <v>4.0999999999999996</v>
      </c>
      <c r="H144">
        <f ca="1">MAX(0,ROUND(F_Baseline_data!H144+(F_Baseline_data!C144-5)*200+(D144-30000)*0.015+(F144-50)*15-IF(I144=1,1200,0)+_xlfn.NORM.INV(RAND(),0,2500),-2))</f>
        <v>0</v>
      </c>
      <c r="I144">
        <v>0</v>
      </c>
      <c r="J144">
        <f>1</f>
        <v>1</v>
      </c>
      <c r="K144">
        <f>1</f>
        <v>1</v>
      </c>
      <c r="L144">
        <v>0</v>
      </c>
      <c r="M144">
        <f t="shared" ca="1" si="5"/>
        <v>0.75380215654502014</v>
      </c>
      <c r="N144">
        <v>0</v>
      </c>
      <c r="O144">
        <v>0</v>
      </c>
      <c r="P144">
        <v>0</v>
      </c>
    </row>
    <row r="145" spans="1:16" x14ac:dyDescent="0.3">
      <c r="A145" t="s">
        <v>253</v>
      </c>
      <c r="B145" t="s">
        <v>64</v>
      </c>
      <c r="C145">
        <f ca="1">IF(RAND()&lt;0.8,F_Baseline_data!C145,IF(RAND()&lt;0.85,F_Baseline_data!C145+1,IF(F_Baseline_data!C145&gt;3,C145-1,F_Baseline_data!C145)))</f>
        <v>6</v>
      </c>
      <c r="D145">
        <f ca="1">MAX(5000,ROUND(F_Baseline_data!D145*(1+_xlfn.NORM.INV(RAND(),0.12,0.1)),-2))</f>
        <v>59700</v>
      </c>
      <c r="E145" t="str">
        <f ca="1">IF(I145=1,IF(RAND()&lt;0.95,"Piped Water",F_Baseline_data!E145),F_Baseline_data!E145)</f>
        <v>River</v>
      </c>
      <c r="F145">
        <f t="shared" ca="1" si="4"/>
        <v>60</v>
      </c>
      <c r="G145">
        <v>7.9</v>
      </c>
      <c r="H145">
        <f ca="1">MAX(0,ROUND(F_Baseline_data!H145+(F_Baseline_data!C145-5)*200+(D145-30000)*0.015+(F145-50)*15-IF(I145=1,1200,0)+_xlfn.NORM.INV(RAND(),0,2500),-2))</f>
        <v>2800</v>
      </c>
      <c r="I145">
        <v>0</v>
      </c>
      <c r="J145">
        <f>1</f>
        <v>1</v>
      </c>
      <c r="K145">
        <f>1</f>
        <v>1</v>
      </c>
      <c r="L145">
        <v>0</v>
      </c>
      <c r="M145">
        <f t="shared" ca="1" si="5"/>
        <v>0.77521663531982432</v>
      </c>
      <c r="N145">
        <v>0</v>
      </c>
      <c r="O145">
        <v>0</v>
      </c>
      <c r="P145">
        <v>0</v>
      </c>
    </row>
    <row r="146" spans="1:16" x14ac:dyDescent="0.3">
      <c r="A146" t="s">
        <v>254</v>
      </c>
      <c r="B146" t="s">
        <v>513</v>
      </c>
      <c r="C146">
        <f ca="1">IF(RAND()&lt;0.8,F_Baseline_data!C146,IF(RAND()&lt;0.85,F_Baseline_data!C146+1,IF(F_Baseline_data!C146&gt;3,C146-1,F_Baseline_data!C146)))</f>
        <v>5</v>
      </c>
      <c r="D146">
        <f ca="1">MAX(5000,ROUND(F_Baseline_data!D146*(1+_xlfn.NORM.INV(RAND(),0.12,0.1)),-2))</f>
        <v>21800</v>
      </c>
      <c r="E146" t="str">
        <f ca="1">IF(I146=1,IF(RAND()&lt;0.95,"Piped Water",F_Baseline_data!E146),F_Baseline_data!E146)</f>
        <v>Borehole</v>
      </c>
      <c r="F146">
        <f t="shared" ca="1" si="4"/>
        <v>48</v>
      </c>
      <c r="G146">
        <v>4.0999999999999996</v>
      </c>
      <c r="H146">
        <f ca="1">MAX(0,ROUND(F_Baseline_data!H146+(F_Baseline_data!C146-5)*200+(D146-30000)*0.015+(F146-50)*15-IF(I146=1,1200,0)+_xlfn.NORM.INV(RAND(),0,2500),-2))</f>
        <v>0</v>
      </c>
      <c r="I146">
        <v>0</v>
      </c>
      <c r="J146">
        <f>1</f>
        <v>1</v>
      </c>
      <c r="K146">
        <f>1</f>
        <v>1</v>
      </c>
      <c r="L146">
        <v>0</v>
      </c>
      <c r="M146">
        <f t="shared" ca="1" si="5"/>
        <v>0.49731307862604723</v>
      </c>
      <c r="N146">
        <v>0</v>
      </c>
      <c r="O146">
        <v>0</v>
      </c>
      <c r="P146">
        <v>0</v>
      </c>
    </row>
    <row r="147" spans="1:16" x14ac:dyDescent="0.3">
      <c r="A147" t="s">
        <v>255</v>
      </c>
      <c r="B147" t="s">
        <v>62</v>
      </c>
      <c r="C147">
        <f ca="1">IF(RAND()&lt;0.8,F_Baseline_data!C147,IF(RAND()&lt;0.85,F_Baseline_data!C147+1,IF(F_Baseline_data!C147&gt;3,C147-1,F_Baseline_data!C147)))</f>
        <v>2</v>
      </c>
      <c r="D147">
        <f ca="1">MAX(5000,ROUND(F_Baseline_data!D147*(1+_xlfn.NORM.INV(RAND(),0.12,0.1)),-2))</f>
        <v>21600</v>
      </c>
      <c r="E147" t="str">
        <f ca="1">IF(I147=1,IF(RAND()&lt;0.95,"Piped Water",F_Baseline_data!E147),F_Baseline_data!E147)</f>
        <v>River</v>
      </c>
      <c r="F147">
        <f t="shared" ca="1" si="4"/>
        <v>83</v>
      </c>
      <c r="G147">
        <v>0.3</v>
      </c>
      <c r="H147">
        <f ca="1">MAX(0,ROUND(F_Baseline_data!H147+(F_Baseline_data!C147-5)*200+(D147-30000)*0.015+(F147-50)*15-IF(I147=1,1200,0)+_xlfn.NORM.INV(RAND(),0,2500),-2))</f>
        <v>8200</v>
      </c>
      <c r="I147">
        <v>0</v>
      </c>
      <c r="J147">
        <f>1</f>
        <v>1</v>
      </c>
      <c r="K147">
        <f>1</f>
        <v>1</v>
      </c>
      <c r="L147">
        <v>0</v>
      </c>
      <c r="M147">
        <f t="shared" ca="1" si="5"/>
        <v>0.69390161387645244</v>
      </c>
      <c r="N147">
        <v>0</v>
      </c>
      <c r="O147">
        <v>0</v>
      </c>
      <c r="P147">
        <v>0</v>
      </c>
    </row>
    <row r="148" spans="1:16" x14ac:dyDescent="0.3">
      <c r="A148" t="s">
        <v>256</v>
      </c>
      <c r="B148" t="s">
        <v>62</v>
      </c>
      <c r="C148">
        <f ca="1">IF(RAND()&lt;0.8,F_Baseline_data!C148,IF(RAND()&lt;0.85,F_Baseline_data!C148+1,IF(F_Baseline_data!C148&gt;3,C148-1,F_Baseline_data!C148)))</f>
        <v>8</v>
      </c>
      <c r="D148">
        <f ca="1">MAX(5000,ROUND(F_Baseline_data!D148*(1+_xlfn.NORM.INV(RAND(),0.12,0.1)),-2))</f>
        <v>45800</v>
      </c>
      <c r="E148" t="str">
        <f ca="1">IF(I148=1,IF(RAND()&lt;0.95,"Piped Water",F_Baseline_data!E148),F_Baseline_data!E148)</f>
        <v>Vendor</v>
      </c>
      <c r="F148">
        <f t="shared" ca="1" si="4"/>
        <v>15</v>
      </c>
      <c r="G148">
        <v>6</v>
      </c>
      <c r="H148">
        <f ca="1">MAX(0,ROUND(F_Baseline_data!H148+(F_Baseline_data!C148-5)*200+(D148-30000)*0.015+(F148-50)*15-IF(I148=1,1200,0)+_xlfn.NORM.INV(RAND(),0,2500),-2))</f>
        <v>800</v>
      </c>
      <c r="I148">
        <v>0</v>
      </c>
      <c r="J148">
        <f>1</f>
        <v>1</v>
      </c>
      <c r="K148">
        <f>1</f>
        <v>1</v>
      </c>
      <c r="L148">
        <v>0</v>
      </c>
      <c r="M148">
        <f t="shared" ca="1" si="5"/>
        <v>0.90109253885689422</v>
      </c>
      <c r="N148">
        <v>0</v>
      </c>
      <c r="O148">
        <v>0</v>
      </c>
      <c r="P148">
        <v>0</v>
      </c>
    </row>
    <row r="149" spans="1:16" x14ac:dyDescent="0.3">
      <c r="A149" t="s">
        <v>257</v>
      </c>
      <c r="B149" t="s">
        <v>513</v>
      </c>
      <c r="C149">
        <f ca="1">IF(RAND()&lt;0.8,F_Baseline_data!C149,IF(RAND()&lt;0.85,F_Baseline_data!C149+1,IF(F_Baseline_data!C149&gt;3,C149-1,F_Baseline_data!C149)))</f>
        <v>9</v>
      </c>
      <c r="D149">
        <f ca="1">MAX(5000,ROUND(F_Baseline_data!D149*(1+_xlfn.NORM.INV(RAND(),0.12,0.1)),-2))</f>
        <v>56000</v>
      </c>
      <c r="E149" t="str">
        <f ca="1">IF(I149=1,IF(RAND()&lt;0.95,"Piped Water",F_Baseline_data!E149),F_Baseline_data!E149)</f>
        <v>River</v>
      </c>
      <c r="F149">
        <f t="shared" ca="1" si="4"/>
        <v>68</v>
      </c>
      <c r="G149">
        <v>12.9</v>
      </c>
      <c r="H149">
        <f ca="1">MAX(0,ROUND(F_Baseline_data!H149+(F_Baseline_data!C149-5)*200+(D149-30000)*0.015+(F149-50)*15-IF(I149=1,1200,0)+_xlfn.NORM.INV(RAND(),0,2500),-2))</f>
        <v>900</v>
      </c>
      <c r="I149">
        <v>0</v>
      </c>
      <c r="J149">
        <f>1</f>
        <v>1</v>
      </c>
      <c r="K149">
        <f>1</f>
        <v>1</v>
      </c>
      <c r="L149">
        <v>0</v>
      </c>
      <c r="M149">
        <f t="shared" ca="1" si="5"/>
        <v>0.33105503656541957</v>
      </c>
      <c r="N149">
        <v>0</v>
      </c>
      <c r="O149">
        <v>0</v>
      </c>
      <c r="P149">
        <v>0</v>
      </c>
    </row>
    <row r="150" spans="1:16" x14ac:dyDescent="0.3">
      <c r="A150" t="s">
        <v>258</v>
      </c>
      <c r="B150" t="s">
        <v>65</v>
      </c>
      <c r="C150">
        <f ca="1">IF(RAND()&lt;0.8,F_Baseline_data!C150,IF(RAND()&lt;0.85,F_Baseline_data!C150+1,IF(F_Baseline_data!C150&gt;3,C150-1,F_Baseline_data!C150)))</f>
        <v>6</v>
      </c>
      <c r="D150">
        <f ca="1">MAX(5000,ROUND(F_Baseline_data!D150*(1+_xlfn.NORM.INV(RAND(),0.12,0.1)),-2))</f>
        <v>16800</v>
      </c>
      <c r="E150" t="str">
        <f ca="1">IF(I150=1,IF(RAND()&lt;0.95,"Piped Water",F_Baseline_data!E150),F_Baseline_data!E150)</f>
        <v>River</v>
      </c>
      <c r="F150">
        <f t="shared" ca="1" si="4"/>
        <v>59</v>
      </c>
      <c r="G150">
        <v>2.7</v>
      </c>
      <c r="H150">
        <f ca="1">MAX(0,ROUND(F_Baseline_data!H150+(F_Baseline_data!C150-5)*200+(D150-30000)*0.015+(F150-50)*15-IF(I150=1,1200,0)+_xlfn.NORM.INV(RAND(),0,2500),-2))</f>
        <v>7300</v>
      </c>
      <c r="I150">
        <v>0</v>
      </c>
      <c r="J150">
        <f>1</f>
        <v>1</v>
      </c>
      <c r="K150">
        <f>1</f>
        <v>1</v>
      </c>
      <c r="L150">
        <v>0</v>
      </c>
      <c r="M150">
        <f t="shared" ca="1" si="5"/>
        <v>0.27679538837216322</v>
      </c>
      <c r="N150">
        <v>0</v>
      </c>
      <c r="O150">
        <v>0</v>
      </c>
      <c r="P150">
        <v>0</v>
      </c>
    </row>
    <row r="151" spans="1:16" x14ac:dyDescent="0.3">
      <c r="A151" t="s">
        <v>259</v>
      </c>
      <c r="B151" t="s">
        <v>62</v>
      </c>
      <c r="C151">
        <f ca="1">IF(RAND()&lt;0.8,F_Baseline_data!C151,IF(RAND()&lt;0.85,F_Baseline_data!C151+1,IF(F_Baseline_data!C151&gt;3,C151-1,F_Baseline_data!C151)))</f>
        <v>6</v>
      </c>
      <c r="D151">
        <f ca="1">MAX(5000,ROUND(F_Baseline_data!D151*(1+_xlfn.NORM.INV(RAND(),0.12,0.1)),-2))</f>
        <v>43800</v>
      </c>
      <c r="E151" t="str">
        <f ca="1">IF(I151=1,IF(RAND()&lt;0.95,"Piped Water",F_Baseline_data!E151),F_Baseline_data!E151)</f>
        <v>Vendor</v>
      </c>
      <c r="F151">
        <f t="shared" ca="1" si="4"/>
        <v>26</v>
      </c>
      <c r="G151">
        <v>0.9</v>
      </c>
      <c r="H151">
        <f ca="1">MAX(0,ROUND(F_Baseline_data!H151+(F_Baseline_data!C151-5)*200+(D151-30000)*0.015+(F151-50)*15-IF(I151=1,1200,0)+_xlfn.NORM.INV(RAND(),0,2500),-2))</f>
        <v>3300</v>
      </c>
      <c r="I151">
        <v>0</v>
      </c>
      <c r="J151">
        <f>1</f>
        <v>1</v>
      </c>
      <c r="K151">
        <f>1</f>
        <v>1</v>
      </c>
      <c r="L151">
        <v>0</v>
      </c>
      <c r="M151">
        <f t="shared" ca="1" si="5"/>
        <v>0.25253826803001145</v>
      </c>
      <c r="N151">
        <v>0</v>
      </c>
      <c r="O151">
        <v>0</v>
      </c>
      <c r="P151">
        <v>0</v>
      </c>
    </row>
    <row r="152" spans="1:16" x14ac:dyDescent="0.3">
      <c r="A152" t="s">
        <v>260</v>
      </c>
      <c r="B152" t="s">
        <v>65</v>
      </c>
      <c r="C152">
        <f ca="1">IF(RAND()&lt;0.8,F_Baseline_data!C152,IF(RAND()&lt;0.85,F_Baseline_data!C152+1,IF(F_Baseline_data!C152&gt;3,C152-1,F_Baseline_data!C152)))</f>
        <v>3</v>
      </c>
      <c r="D152">
        <f ca="1">MAX(5000,ROUND(F_Baseline_data!D152*(1+_xlfn.NORM.INV(RAND(),0.12,0.1)),-2))</f>
        <v>92800</v>
      </c>
      <c r="E152" t="str">
        <f ca="1">IF(I152=1,IF(RAND()&lt;0.95,"Piped Water",F_Baseline_data!E152),F_Baseline_data!E152)</f>
        <v>Rainwater</v>
      </c>
      <c r="F152">
        <f t="shared" ca="1" si="4"/>
        <v>34</v>
      </c>
      <c r="G152">
        <v>9.6</v>
      </c>
      <c r="H152">
        <f ca="1">MAX(0,ROUND(F_Baseline_data!H152+(F_Baseline_data!C152-5)*200+(D152-30000)*0.015+(F152-50)*15-IF(I152=1,1200,0)+_xlfn.NORM.INV(RAND(),0,2500),-2))</f>
        <v>12300</v>
      </c>
      <c r="I152">
        <v>0</v>
      </c>
      <c r="J152">
        <f>1</f>
        <v>1</v>
      </c>
      <c r="K152">
        <f>1</f>
        <v>1</v>
      </c>
      <c r="L152">
        <v>0</v>
      </c>
      <c r="M152">
        <f t="shared" ca="1" si="5"/>
        <v>0.24617821577542054</v>
      </c>
      <c r="N152">
        <v>0</v>
      </c>
      <c r="O152">
        <v>0</v>
      </c>
      <c r="P152">
        <v>0</v>
      </c>
    </row>
    <row r="153" spans="1:16" x14ac:dyDescent="0.3">
      <c r="A153" t="s">
        <v>261</v>
      </c>
      <c r="B153" t="s">
        <v>513</v>
      </c>
      <c r="C153">
        <f ca="1">IF(RAND()&lt;0.8,F_Baseline_data!C153,IF(RAND()&lt;0.85,F_Baseline_data!C153+1,IF(F_Baseline_data!C153&gt;3,C153-1,F_Baseline_data!C153)))</f>
        <v>10</v>
      </c>
      <c r="D153">
        <f ca="1">MAX(5000,ROUND(F_Baseline_data!D153*(1+_xlfn.NORM.INV(RAND(),0.12,0.1)),-2))</f>
        <v>20400</v>
      </c>
      <c r="E153" t="str">
        <f ca="1">IF(I153=1,IF(RAND()&lt;0.95,"Piped Water",F_Baseline_data!E153),F_Baseline_data!E153)</f>
        <v>River</v>
      </c>
      <c r="F153">
        <f t="shared" ca="1" si="4"/>
        <v>88</v>
      </c>
      <c r="G153">
        <v>12.3</v>
      </c>
      <c r="H153">
        <f ca="1">MAX(0,ROUND(F_Baseline_data!H153+(F_Baseline_data!C153-5)*200+(D153-30000)*0.015+(F153-50)*15-IF(I153=1,1200,0)+_xlfn.NORM.INV(RAND(),0,2500),-2))</f>
        <v>0</v>
      </c>
      <c r="I153">
        <v>0</v>
      </c>
      <c r="J153">
        <f>1</f>
        <v>1</v>
      </c>
      <c r="K153">
        <f>1</f>
        <v>1</v>
      </c>
      <c r="L153">
        <v>0</v>
      </c>
      <c r="M153">
        <f t="shared" ca="1" si="5"/>
        <v>0.22524282528671957</v>
      </c>
      <c r="N153">
        <v>0</v>
      </c>
      <c r="O153">
        <v>0</v>
      </c>
      <c r="P153">
        <v>0</v>
      </c>
    </row>
    <row r="154" spans="1:16" x14ac:dyDescent="0.3">
      <c r="A154" t="s">
        <v>262</v>
      </c>
      <c r="B154" t="s">
        <v>62</v>
      </c>
      <c r="C154">
        <f ca="1">IF(RAND()&lt;0.8,F_Baseline_data!C154,IF(RAND()&lt;0.85,F_Baseline_data!C154+1,IF(F_Baseline_data!C154&gt;3,C154-1,F_Baseline_data!C154)))</f>
        <v>9</v>
      </c>
      <c r="D154">
        <f ca="1">MAX(5000,ROUND(F_Baseline_data!D154*(1+_xlfn.NORM.INV(RAND(),0.12,0.1)),-2))</f>
        <v>72200</v>
      </c>
      <c r="E154" t="str">
        <f ca="1">IF(I154=1,IF(RAND()&lt;0.95,"Piped Water",F_Baseline_data!E154),F_Baseline_data!E154)</f>
        <v>River</v>
      </c>
      <c r="F154">
        <f t="shared" ca="1" si="4"/>
        <v>117</v>
      </c>
      <c r="G154">
        <v>6.8</v>
      </c>
      <c r="H154">
        <f ca="1">MAX(0,ROUND(F_Baseline_data!H154+(F_Baseline_data!C154-5)*200+(D154-30000)*0.015+(F154-50)*15-IF(I154=1,1200,0)+_xlfn.NORM.INV(RAND(),0,2500),-2))</f>
        <v>5400</v>
      </c>
      <c r="I154">
        <v>0</v>
      </c>
      <c r="J154">
        <f>1</f>
        <v>1</v>
      </c>
      <c r="K154">
        <f>1</f>
        <v>1</v>
      </c>
      <c r="L154">
        <v>0</v>
      </c>
      <c r="M154">
        <f t="shared" ca="1" si="5"/>
        <v>0.34641572334160597</v>
      </c>
      <c r="N154">
        <v>0</v>
      </c>
      <c r="O154">
        <v>0</v>
      </c>
      <c r="P154">
        <v>0</v>
      </c>
    </row>
    <row r="155" spans="1:16" x14ac:dyDescent="0.3">
      <c r="A155" t="s">
        <v>263</v>
      </c>
      <c r="B155" t="s">
        <v>64</v>
      </c>
      <c r="C155">
        <f ca="1">IF(RAND()&lt;0.8,F_Baseline_data!C155,IF(RAND()&lt;0.85,F_Baseline_data!C155+1,IF(F_Baseline_data!C155&gt;3,C155-1,F_Baseline_data!C155)))</f>
        <v>4</v>
      </c>
      <c r="D155">
        <f ca="1">MAX(5000,ROUND(F_Baseline_data!D155*(1+_xlfn.NORM.INV(RAND(),0.12,0.1)),-2))</f>
        <v>129600</v>
      </c>
      <c r="E155" t="str">
        <f ca="1">IF(I155=1,IF(RAND()&lt;0.95,"Piped Water",F_Baseline_data!E155),F_Baseline_data!E155)</f>
        <v>River</v>
      </c>
      <c r="F155">
        <f t="shared" ca="1" si="4"/>
        <v>63</v>
      </c>
      <c r="G155">
        <v>7.1</v>
      </c>
      <c r="H155">
        <f ca="1">MAX(0,ROUND(F_Baseline_data!H155+(F_Baseline_data!C155-5)*200+(D155-30000)*0.015+(F155-50)*15-IF(I155=1,1200,0)+_xlfn.NORM.INV(RAND(),0,2500),-2))</f>
        <v>7900</v>
      </c>
      <c r="I155">
        <v>0</v>
      </c>
      <c r="J155">
        <f>1</f>
        <v>1</v>
      </c>
      <c r="K155">
        <f>1</f>
        <v>1</v>
      </c>
      <c r="L155">
        <v>0</v>
      </c>
      <c r="M155">
        <f t="shared" ca="1" si="5"/>
        <v>0.42259676159972404</v>
      </c>
      <c r="N155">
        <v>0</v>
      </c>
      <c r="O155">
        <v>0</v>
      </c>
      <c r="P155">
        <v>0</v>
      </c>
    </row>
    <row r="156" spans="1:16" x14ac:dyDescent="0.3">
      <c r="A156" t="s">
        <v>264</v>
      </c>
      <c r="B156" t="s">
        <v>64</v>
      </c>
      <c r="C156">
        <f ca="1">IF(RAND()&lt;0.8,F_Baseline_data!C156,IF(RAND()&lt;0.85,F_Baseline_data!C156+1,IF(F_Baseline_data!C156&gt;3,C156-1,F_Baseline_data!C156)))</f>
        <v>1</v>
      </c>
      <c r="D156">
        <f ca="1">MAX(5000,ROUND(F_Baseline_data!D156*(1+_xlfn.NORM.INV(RAND(),0.12,0.1)),-2))</f>
        <v>28400</v>
      </c>
      <c r="E156" t="str">
        <f ca="1">IF(I156=1,IF(RAND()&lt;0.95,"Piped Water",F_Baseline_data!E156),F_Baseline_data!E156)</f>
        <v>Rainwater</v>
      </c>
      <c r="F156">
        <f t="shared" ca="1" si="4"/>
        <v>65</v>
      </c>
      <c r="G156">
        <v>7.3</v>
      </c>
      <c r="H156">
        <f ca="1">MAX(0,ROUND(F_Baseline_data!H156+(F_Baseline_data!C156-5)*200+(D156-30000)*0.015+(F156-50)*15-IF(I156=1,1200,0)+_xlfn.NORM.INV(RAND(),0,2500),-2))</f>
        <v>1000</v>
      </c>
      <c r="I156">
        <v>0</v>
      </c>
      <c r="J156">
        <f>1</f>
        <v>1</v>
      </c>
      <c r="K156">
        <f>1</f>
        <v>1</v>
      </c>
      <c r="L156">
        <v>0</v>
      </c>
      <c r="M156">
        <f t="shared" ca="1" si="5"/>
        <v>0.92732641903196722</v>
      </c>
      <c r="N156">
        <v>0</v>
      </c>
      <c r="O156">
        <v>0</v>
      </c>
      <c r="P156">
        <v>0</v>
      </c>
    </row>
    <row r="157" spans="1:16" x14ac:dyDescent="0.3">
      <c r="A157" t="s">
        <v>265</v>
      </c>
      <c r="B157" t="s">
        <v>513</v>
      </c>
      <c r="C157">
        <f ca="1">IF(RAND()&lt;0.8,F_Baseline_data!C157,IF(RAND()&lt;0.85,F_Baseline_data!C157+1,IF(F_Baseline_data!C157&gt;3,C157-1,F_Baseline_data!C157)))</f>
        <v>9</v>
      </c>
      <c r="D157">
        <f ca="1">MAX(5000,ROUND(F_Baseline_data!D157*(1+_xlfn.NORM.INV(RAND(),0.12,0.1)),-2))</f>
        <v>120500</v>
      </c>
      <c r="E157" t="str">
        <f ca="1">IF(I157=1,IF(RAND()&lt;0.95,"Piped Water",F_Baseline_data!E157),F_Baseline_data!E157)</f>
        <v>River</v>
      </c>
      <c r="F157">
        <f t="shared" ca="1" si="4"/>
        <v>103</v>
      </c>
      <c r="G157">
        <v>4.9000000000000004</v>
      </c>
      <c r="H157">
        <f ca="1">MAX(0,ROUND(F_Baseline_data!H157+(F_Baseline_data!C157-5)*200+(D157-30000)*0.015+(F157-50)*15-IF(I157=1,1200,0)+_xlfn.NORM.INV(RAND(),0,2500),-2))</f>
        <v>11200</v>
      </c>
      <c r="I157">
        <v>0</v>
      </c>
      <c r="J157">
        <f>1</f>
        <v>1</v>
      </c>
      <c r="K157">
        <f>1</f>
        <v>1</v>
      </c>
      <c r="L157">
        <v>0</v>
      </c>
      <c r="M157">
        <f t="shared" ca="1" si="5"/>
        <v>0.34837306236785737</v>
      </c>
      <c r="N157">
        <v>0</v>
      </c>
      <c r="O157">
        <v>0</v>
      </c>
      <c r="P157">
        <v>0</v>
      </c>
    </row>
    <row r="158" spans="1:16" x14ac:dyDescent="0.3">
      <c r="A158" t="s">
        <v>266</v>
      </c>
      <c r="B158" t="s">
        <v>62</v>
      </c>
      <c r="C158">
        <f ca="1">IF(RAND()&lt;0.8,F_Baseline_data!C158,IF(RAND()&lt;0.85,F_Baseline_data!C158+1,IF(F_Baseline_data!C158&gt;3,C158-1,F_Baseline_data!C158)))</f>
        <v>5</v>
      </c>
      <c r="D158">
        <f ca="1">MAX(5000,ROUND(F_Baseline_data!D158*(1+_xlfn.NORM.INV(RAND(),0.12,0.1)),-2))</f>
        <v>26600</v>
      </c>
      <c r="E158" t="str">
        <f ca="1">IF(I158=1,IF(RAND()&lt;0.95,"Piped Water",F_Baseline_data!E158),F_Baseline_data!E158)</f>
        <v>River</v>
      </c>
      <c r="F158">
        <f t="shared" ca="1" si="4"/>
        <v>101</v>
      </c>
      <c r="G158">
        <v>7.4</v>
      </c>
      <c r="H158">
        <f ca="1">MAX(0,ROUND(F_Baseline_data!H158+(F_Baseline_data!C158-5)*200+(D158-30000)*0.015+(F158-50)*15-IF(I158=1,1200,0)+_xlfn.NORM.INV(RAND(),0,2500),-2))</f>
        <v>4300</v>
      </c>
      <c r="I158">
        <v>0</v>
      </c>
      <c r="J158">
        <f>1</f>
        <v>1</v>
      </c>
      <c r="K158">
        <f>1</f>
        <v>1</v>
      </c>
      <c r="L158">
        <v>0</v>
      </c>
      <c r="M158">
        <f t="shared" ca="1" si="5"/>
        <v>0.64403423852892427</v>
      </c>
      <c r="N158">
        <v>0</v>
      </c>
      <c r="O158">
        <v>0</v>
      </c>
      <c r="P158">
        <v>0</v>
      </c>
    </row>
    <row r="159" spans="1:16" x14ac:dyDescent="0.3">
      <c r="A159" t="s">
        <v>267</v>
      </c>
      <c r="B159" t="s">
        <v>65</v>
      </c>
      <c r="C159">
        <f ca="1">IF(RAND()&lt;0.8,F_Baseline_data!C159,IF(RAND()&lt;0.85,F_Baseline_data!C159+1,IF(F_Baseline_data!C159&gt;3,C159-1,F_Baseline_data!C159)))</f>
        <v>3</v>
      </c>
      <c r="D159">
        <f ca="1">MAX(5000,ROUND(F_Baseline_data!D159*(1+_xlfn.NORM.INV(RAND(),0.12,0.1)),-2))</f>
        <v>21900</v>
      </c>
      <c r="E159" t="str">
        <f ca="1">IF(I159=1,IF(RAND()&lt;0.95,"Piped Water",F_Baseline_data!E159),F_Baseline_data!E159)</f>
        <v>Vendor</v>
      </c>
      <c r="F159">
        <f t="shared" ca="1" si="4"/>
        <v>60</v>
      </c>
      <c r="G159">
        <v>8.1999999999999993</v>
      </c>
      <c r="H159">
        <f ca="1">MAX(0,ROUND(F_Baseline_data!H159+(F_Baseline_data!C159-5)*200+(D159-30000)*0.015+(F159-50)*15-IF(I159=1,1200,0)+_xlfn.NORM.INV(RAND(),0,2500),-2))</f>
        <v>9100</v>
      </c>
      <c r="I159">
        <v>0</v>
      </c>
      <c r="J159">
        <f>1</f>
        <v>1</v>
      </c>
      <c r="K159">
        <f>1</f>
        <v>1</v>
      </c>
      <c r="L159">
        <v>0</v>
      </c>
      <c r="M159">
        <f t="shared" ca="1" si="5"/>
        <v>0.61228468164201399</v>
      </c>
      <c r="N159">
        <v>0</v>
      </c>
      <c r="O159">
        <v>0</v>
      </c>
      <c r="P159">
        <v>0</v>
      </c>
    </row>
    <row r="160" spans="1:16" x14ac:dyDescent="0.3">
      <c r="A160" t="s">
        <v>268</v>
      </c>
      <c r="B160" t="s">
        <v>64</v>
      </c>
      <c r="C160">
        <f ca="1">IF(RAND()&lt;0.8,F_Baseline_data!C160,IF(RAND()&lt;0.85,F_Baseline_data!C160+1,IF(F_Baseline_data!C160&gt;3,C160-1,F_Baseline_data!C160)))</f>
        <v>4</v>
      </c>
      <c r="D160">
        <f ca="1">MAX(5000,ROUND(F_Baseline_data!D160*(1+_xlfn.NORM.INV(RAND(),0.12,0.1)),-2))</f>
        <v>19200</v>
      </c>
      <c r="E160" t="str">
        <f ca="1">IF(I160=1,IF(RAND()&lt;0.95,"Piped Water",F_Baseline_data!E160),F_Baseline_data!E160)</f>
        <v>Borehole</v>
      </c>
      <c r="F160">
        <f t="shared" ca="1" si="4"/>
        <v>31</v>
      </c>
      <c r="G160">
        <v>5</v>
      </c>
      <c r="H160">
        <f ca="1">MAX(0,ROUND(F_Baseline_data!H160+(F_Baseline_data!C160-5)*200+(D160-30000)*0.015+(F160-50)*15-IF(I160=1,1200,0)+_xlfn.NORM.INV(RAND(),0,2500),-2))</f>
        <v>11800</v>
      </c>
      <c r="I160">
        <v>0</v>
      </c>
      <c r="J160">
        <f>1</f>
        <v>1</v>
      </c>
      <c r="K160">
        <f>1</f>
        <v>1</v>
      </c>
      <c r="L160">
        <v>0</v>
      </c>
      <c r="M160">
        <f t="shared" ca="1" si="5"/>
        <v>0.68863145039305362</v>
      </c>
      <c r="N160">
        <v>0</v>
      </c>
      <c r="O160">
        <v>0</v>
      </c>
      <c r="P160">
        <v>0</v>
      </c>
    </row>
    <row r="161" spans="1:16" x14ac:dyDescent="0.3">
      <c r="A161" t="s">
        <v>269</v>
      </c>
      <c r="B161" t="s">
        <v>65</v>
      </c>
      <c r="C161">
        <f ca="1">IF(RAND()&lt;0.8,F_Baseline_data!C161,IF(RAND()&lt;0.85,F_Baseline_data!C161+1,IF(F_Baseline_data!C161&gt;3,C161-1,F_Baseline_data!C161)))</f>
        <v>4</v>
      </c>
      <c r="D161">
        <f ca="1">MAX(5000,ROUND(F_Baseline_data!D161*(1+_xlfn.NORM.INV(RAND(),0.12,0.1)),-2))</f>
        <v>69700</v>
      </c>
      <c r="E161" t="str">
        <f ca="1">IF(I161=1,IF(RAND()&lt;0.95,"Piped Water",F_Baseline_data!E161),F_Baseline_data!E161)</f>
        <v>River</v>
      </c>
      <c r="F161">
        <f t="shared" ca="1" si="4"/>
        <v>59</v>
      </c>
      <c r="G161">
        <v>2.1</v>
      </c>
      <c r="H161">
        <f ca="1">MAX(0,ROUND(F_Baseline_data!H161+(F_Baseline_data!C161-5)*200+(D161-30000)*0.015+(F161-50)*15-IF(I161=1,1200,0)+_xlfn.NORM.INV(RAND(),0,2500),-2))</f>
        <v>10900</v>
      </c>
      <c r="I161">
        <v>0</v>
      </c>
      <c r="J161">
        <f>1</f>
        <v>1</v>
      </c>
      <c r="K161">
        <f>1</f>
        <v>1</v>
      </c>
      <c r="L161">
        <v>0</v>
      </c>
      <c r="M161">
        <f t="shared" ca="1" si="5"/>
        <v>0.660650359473821</v>
      </c>
      <c r="N161">
        <v>0</v>
      </c>
      <c r="O161">
        <v>0</v>
      </c>
      <c r="P161">
        <v>0</v>
      </c>
    </row>
    <row r="162" spans="1:16" x14ac:dyDescent="0.3">
      <c r="A162" t="s">
        <v>270</v>
      </c>
      <c r="B162" t="s">
        <v>513</v>
      </c>
      <c r="C162">
        <f ca="1">IF(RAND()&lt;0.8,F_Baseline_data!C162,IF(RAND()&lt;0.85,F_Baseline_data!C162+1,IF(F_Baseline_data!C162&gt;3,C162-1,F_Baseline_data!C162)))</f>
        <v>8</v>
      </c>
      <c r="D162">
        <f ca="1">MAX(5000,ROUND(F_Baseline_data!D162*(1+_xlfn.NORM.INV(RAND(),0.12,0.1)),-2))</f>
        <v>150200</v>
      </c>
      <c r="E162" t="str">
        <f ca="1">IF(I162=1,IF(RAND()&lt;0.95,"Piped Water",F_Baseline_data!E162),F_Baseline_data!E162)</f>
        <v>Rainwater</v>
      </c>
      <c r="F162">
        <f t="shared" ca="1" si="4"/>
        <v>48</v>
      </c>
      <c r="G162">
        <v>11.3</v>
      </c>
      <c r="H162">
        <f ca="1">MAX(0,ROUND(F_Baseline_data!H162+(F_Baseline_data!C162-5)*200+(D162-30000)*0.015+(F162-50)*15-IF(I162=1,1200,0)+_xlfn.NORM.INV(RAND(),0,2500),-2))</f>
        <v>17800</v>
      </c>
      <c r="I162">
        <v>0</v>
      </c>
      <c r="J162">
        <f>1</f>
        <v>1</v>
      </c>
      <c r="K162">
        <f>1</f>
        <v>1</v>
      </c>
      <c r="L162">
        <v>0</v>
      </c>
      <c r="M162">
        <f t="shared" ca="1" si="5"/>
        <v>0.69290686758175613</v>
      </c>
      <c r="N162">
        <v>0</v>
      </c>
      <c r="O162">
        <v>0</v>
      </c>
      <c r="P162">
        <v>0</v>
      </c>
    </row>
    <row r="163" spans="1:16" x14ac:dyDescent="0.3">
      <c r="A163" t="s">
        <v>271</v>
      </c>
      <c r="B163" t="s">
        <v>62</v>
      </c>
      <c r="C163">
        <f ca="1">IF(RAND()&lt;0.8,F_Baseline_data!C163,IF(RAND()&lt;0.85,F_Baseline_data!C163+1,IF(F_Baseline_data!C163&gt;3,C163-1,F_Baseline_data!C163)))</f>
        <v>6</v>
      </c>
      <c r="D163">
        <f ca="1">MAX(5000,ROUND(F_Baseline_data!D163*(1+_xlfn.NORM.INV(RAND(),0.12,0.1)),-2))</f>
        <v>69100</v>
      </c>
      <c r="E163" t="str">
        <f ca="1">IF(I163=1,IF(RAND()&lt;0.95,"Piped Water",F_Baseline_data!E163),F_Baseline_data!E163)</f>
        <v>Vendor</v>
      </c>
      <c r="F163">
        <f t="shared" ca="1" si="4"/>
        <v>39</v>
      </c>
      <c r="G163">
        <v>8.8000000000000007</v>
      </c>
      <c r="H163">
        <f ca="1">MAX(0,ROUND(F_Baseline_data!H163+(F_Baseline_data!C163-5)*200+(D163-30000)*0.015+(F163-50)*15-IF(I163=1,1200,0)+_xlfn.NORM.INV(RAND(),0,2500),-2))</f>
        <v>4300</v>
      </c>
      <c r="I163">
        <v>0</v>
      </c>
      <c r="J163">
        <f>1</f>
        <v>1</v>
      </c>
      <c r="K163">
        <f>1</f>
        <v>1</v>
      </c>
      <c r="L163">
        <v>0</v>
      </c>
      <c r="M163">
        <f t="shared" ca="1" si="5"/>
        <v>0.46679280761201714</v>
      </c>
      <c r="N163">
        <v>0</v>
      </c>
      <c r="O163">
        <v>0</v>
      </c>
      <c r="P163">
        <v>0</v>
      </c>
    </row>
    <row r="164" spans="1:16" x14ac:dyDescent="0.3">
      <c r="A164" t="s">
        <v>272</v>
      </c>
      <c r="B164" t="s">
        <v>64</v>
      </c>
      <c r="C164">
        <f ca="1">IF(RAND()&lt;0.8,F_Baseline_data!C164,IF(RAND()&lt;0.85,F_Baseline_data!C164+1,IF(F_Baseline_data!C164&gt;3,C164-1,F_Baseline_data!C164)))</f>
        <v>5</v>
      </c>
      <c r="D164">
        <f ca="1">MAX(5000,ROUND(F_Baseline_data!D164*(1+_xlfn.NORM.INV(RAND(),0.12,0.1)),-2))</f>
        <v>50200</v>
      </c>
      <c r="E164" t="str">
        <f ca="1">IF(I164=1,IF(RAND()&lt;0.95,"Piped Water",F_Baseline_data!E164),F_Baseline_data!E164)</f>
        <v>Vendor</v>
      </c>
      <c r="F164">
        <f t="shared" ca="1" si="4"/>
        <v>12</v>
      </c>
      <c r="G164">
        <v>4.0999999999999996</v>
      </c>
      <c r="H164">
        <f ca="1">MAX(0,ROUND(F_Baseline_data!H164+(F_Baseline_data!C164-5)*200+(D164-30000)*0.015+(F164-50)*15-IF(I164=1,1200,0)+_xlfn.NORM.INV(RAND(),0,2500),-2))</f>
        <v>8700</v>
      </c>
      <c r="I164">
        <v>0</v>
      </c>
      <c r="J164">
        <f>1</f>
        <v>1</v>
      </c>
      <c r="K164">
        <f>1</f>
        <v>1</v>
      </c>
      <c r="L164">
        <v>0</v>
      </c>
      <c r="M164">
        <f t="shared" ca="1" si="5"/>
        <v>0.1477106302996628</v>
      </c>
      <c r="N164">
        <v>0</v>
      </c>
      <c r="O164">
        <v>0</v>
      </c>
      <c r="P164">
        <v>0</v>
      </c>
    </row>
    <row r="165" spans="1:16" x14ac:dyDescent="0.3">
      <c r="A165" t="s">
        <v>273</v>
      </c>
      <c r="B165" t="s">
        <v>65</v>
      </c>
      <c r="C165">
        <f ca="1">IF(RAND()&lt;0.8,F_Baseline_data!C165,IF(RAND()&lt;0.85,F_Baseline_data!C165+1,IF(F_Baseline_data!C165&gt;3,C165-1,F_Baseline_data!C165)))</f>
        <v>8</v>
      </c>
      <c r="D165">
        <f ca="1">MAX(5000,ROUND(F_Baseline_data!D165*(1+_xlfn.NORM.INV(RAND(),0.12,0.1)),-2))</f>
        <v>46400</v>
      </c>
      <c r="E165" t="str">
        <f ca="1">IF(I165=1,IF(RAND()&lt;0.95,"Piped Water",F_Baseline_data!E165),F_Baseline_data!E165)</f>
        <v>Rainwater</v>
      </c>
      <c r="F165">
        <f t="shared" ca="1" si="4"/>
        <v>49</v>
      </c>
      <c r="G165">
        <v>9.8000000000000007</v>
      </c>
      <c r="H165">
        <f ca="1">MAX(0,ROUND(F_Baseline_data!H165+(F_Baseline_data!C165-5)*200+(D165-30000)*0.015+(F165-50)*15-IF(I165=1,1200,0)+_xlfn.NORM.INV(RAND(),0,2500),-2))</f>
        <v>6500</v>
      </c>
      <c r="I165">
        <v>0</v>
      </c>
      <c r="J165">
        <f>1</f>
        <v>1</v>
      </c>
      <c r="K165">
        <f>1</f>
        <v>1</v>
      </c>
      <c r="L165">
        <v>0</v>
      </c>
      <c r="M165">
        <f t="shared" ca="1" si="5"/>
        <v>0.20615930389900017</v>
      </c>
      <c r="N165">
        <v>0</v>
      </c>
      <c r="O165">
        <v>0</v>
      </c>
      <c r="P165">
        <v>0</v>
      </c>
    </row>
    <row r="166" spans="1:16" x14ac:dyDescent="0.3">
      <c r="A166" t="s">
        <v>274</v>
      </c>
      <c r="B166" t="s">
        <v>513</v>
      </c>
      <c r="C166">
        <f ca="1">IF(RAND()&lt;0.8,F_Baseline_data!C166,IF(RAND()&lt;0.85,F_Baseline_data!C166+1,IF(F_Baseline_data!C166&gt;3,C166-1,F_Baseline_data!C166)))</f>
        <v>7</v>
      </c>
      <c r="D166">
        <f ca="1">MAX(5000,ROUND(F_Baseline_data!D166*(1+_xlfn.NORM.INV(RAND(),0.12,0.1)),-2))</f>
        <v>118700</v>
      </c>
      <c r="E166" t="str">
        <f ca="1">IF(I166=1,IF(RAND()&lt;0.95,"Piped Water",F_Baseline_data!E166),F_Baseline_data!E166)</f>
        <v>River</v>
      </c>
      <c r="F166">
        <f t="shared" ca="1" si="4"/>
        <v>64</v>
      </c>
      <c r="G166">
        <v>9.6</v>
      </c>
      <c r="H166">
        <f ca="1">MAX(0,ROUND(F_Baseline_data!H166+(F_Baseline_data!C166-5)*200+(D166-30000)*0.015+(F166-50)*15-IF(I166=1,1200,0)+_xlfn.NORM.INV(RAND(),0,2500),-2))</f>
        <v>12600</v>
      </c>
      <c r="I166">
        <v>0</v>
      </c>
      <c r="J166">
        <f>1</f>
        <v>1</v>
      </c>
      <c r="K166">
        <f>1</f>
        <v>1</v>
      </c>
      <c r="L166">
        <v>0</v>
      </c>
      <c r="M166">
        <f t="shared" ca="1" si="5"/>
        <v>0.69067340235553021</v>
      </c>
      <c r="N166">
        <v>0</v>
      </c>
      <c r="O166">
        <v>0</v>
      </c>
      <c r="P166">
        <v>0</v>
      </c>
    </row>
    <row r="167" spans="1:16" x14ac:dyDescent="0.3">
      <c r="A167" t="s">
        <v>275</v>
      </c>
      <c r="B167" t="s">
        <v>64</v>
      </c>
      <c r="C167">
        <f ca="1">IF(RAND()&lt;0.8,F_Baseline_data!C167,IF(RAND()&lt;0.85,F_Baseline_data!C167+1,IF(F_Baseline_data!C167&gt;3,C167-1,F_Baseline_data!C167)))</f>
        <v>6</v>
      </c>
      <c r="D167">
        <f ca="1">MAX(5000,ROUND(F_Baseline_data!D167*(1+_xlfn.NORM.INV(RAND(),0.12,0.1)),-2))</f>
        <v>57600</v>
      </c>
      <c r="E167" t="str">
        <f ca="1">IF(I167=1,IF(RAND()&lt;0.95,"Piped Water",F_Baseline_data!E167),F_Baseline_data!E167)</f>
        <v>Rainwater</v>
      </c>
      <c r="F167">
        <f t="shared" ca="1" si="4"/>
        <v>34</v>
      </c>
      <c r="G167">
        <v>4.7</v>
      </c>
      <c r="H167">
        <f ca="1">MAX(0,ROUND(F_Baseline_data!H167+(F_Baseline_data!C167-5)*200+(D167-30000)*0.015+(F167-50)*15-IF(I167=1,1200,0)+_xlfn.NORM.INV(RAND(),0,2500),-2))</f>
        <v>10100</v>
      </c>
      <c r="I167">
        <v>0</v>
      </c>
      <c r="J167">
        <f>1</f>
        <v>1</v>
      </c>
      <c r="K167">
        <f>1</f>
        <v>1</v>
      </c>
      <c r="L167">
        <v>0</v>
      </c>
      <c r="M167">
        <f t="shared" ca="1" si="5"/>
        <v>0.25072785746908743</v>
      </c>
      <c r="N167">
        <v>0</v>
      </c>
      <c r="O167">
        <v>0</v>
      </c>
      <c r="P167">
        <v>0</v>
      </c>
    </row>
    <row r="168" spans="1:16" x14ac:dyDescent="0.3">
      <c r="A168" t="s">
        <v>276</v>
      </c>
      <c r="B168" t="s">
        <v>62</v>
      </c>
      <c r="C168">
        <f ca="1">IF(RAND()&lt;0.8,F_Baseline_data!C168,IF(RAND()&lt;0.85,F_Baseline_data!C168+1,IF(F_Baseline_data!C168&gt;3,C168-1,F_Baseline_data!C168)))</f>
        <v>3</v>
      </c>
      <c r="D168">
        <f ca="1">MAX(5000,ROUND(F_Baseline_data!D168*(1+_xlfn.NORM.INV(RAND(),0.12,0.1)),-2))</f>
        <v>57100</v>
      </c>
      <c r="E168" t="str">
        <f ca="1">IF(I168=1,IF(RAND()&lt;0.95,"Piped Water",F_Baseline_data!E168),F_Baseline_data!E168)</f>
        <v>Rainwater</v>
      </c>
      <c r="F168">
        <f t="shared" ca="1" si="4"/>
        <v>62</v>
      </c>
      <c r="G168">
        <v>1.1000000000000001</v>
      </c>
      <c r="H168">
        <f ca="1">MAX(0,ROUND(F_Baseline_data!H168+(F_Baseline_data!C168-5)*200+(D168-30000)*0.015+(F168-50)*15-IF(I168=1,1200,0)+_xlfn.NORM.INV(RAND(),0,2500),-2))</f>
        <v>7300</v>
      </c>
      <c r="I168">
        <v>0</v>
      </c>
      <c r="J168">
        <f>1</f>
        <v>1</v>
      </c>
      <c r="K168">
        <f>1</f>
        <v>1</v>
      </c>
      <c r="L168">
        <v>0</v>
      </c>
      <c r="M168">
        <f t="shared" ca="1" si="5"/>
        <v>0.27775824072211341</v>
      </c>
      <c r="N168">
        <v>0</v>
      </c>
      <c r="O168">
        <v>0</v>
      </c>
      <c r="P168">
        <v>0</v>
      </c>
    </row>
    <row r="169" spans="1:16" x14ac:dyDescent="0.3">
      <c r="A169" t="s">
        <v>277</v>
      </c>
      <c r="B169" t="s">
        <v>513</v>
      </c>
      <c r="C169">
        <f ca="1">IF(RAND()&lt;0.8,F_Baseline_data!C169,IF(RAND()&lt;0.85,F_Baseline_data!C169+1,IF(F_Baseline_data!C169&gt;3,C169-1,F_Baseline_data!C169)))</f>
        <v>9</v>
      </c>
      <c r="D169">
        <f ca="1">MAX(5000,ROUND(F_Baseline_data!D169*(1+_xlfn.NORM.INV(RAND(),0.12,0.1)),-2))</f>
        <v>72800</v>
      </c>
      <c r="E169" t="str">
        <f ca="1">IF(I169=1,IF(RAND()&lt;0.95,"Piped Water",F_Baseline_data!E169),F_Baseline_data!E169)</f>
        <v>Borehole</v>
      </c>
      <c r="F169">
        <f t="shared" ca="1" si="4"/>
        <v>24</v>
      </c>
      <c r="G169">
        <v>12.5</v>
      </c>
      <c r="H169">
        <f ca="1">MAX(0,ROUND(F_Baseline_data!H169+(F_Baseline_data!C169-5)*200+(D169-30000)*0.015+(F169-50)*15-IF(I169=1,1200,0)+_xlfn.NORM.INV(RAND(),0,2500),-2))</f>
        <v>8900</v>
      </c>
      <c r="I169">
        <v>0</v>
      </c>
      <c r="J169">
        <f>1</f>
        <v>1</v>
      </c>
      <c r="K169">
        <f>1</f>
        <v>1</v>
      </c>
      <c r="L169">
        <v>0</v>
      </c>
      <c r="M169">
        <f t="shared" ca="1" si="5"/>
        <v>0.17107340238754143</v>
      </c>
      <c r="N169">
        <v>0</v>
      </c>
      <c r="O169">
        <v>0</v>
      </c>
      <c r="P169">
        <v>0</v>
      </c>
    </row>
    <row r="170" spans="1:16" x14ac:dyDescent="0.3">
      <c r="A170" t="s">
        <v>278</v>
      </c>
      <c r="B170" t="s">
        <v>65</v>
      </c>
      <c r="C170">
        <f ca="1">IF(RAND()&lt;0.8,F_Baseline_data!C170,IF(RAND()&lt;0.85,F_Baseline_data!C170+1,IF(F_Baseline_data!C170&gt;3,C170-1,F_Baseline_data!C170)))</f>
        <v>8</v>
      </c>
      <c r="D170">
        <f ca="1">MAX(5000,ROUND(F_Baseline_data!D170*(1+_xlfn.NORM.INV(RAND(),0.12,0.1)),-2))</f>
        <v>17000</v>
      </c>
      <c r="E170" t="str">
        <f ca="1">IF(I170=1,IF(RAND()&lt;0.95,"Piped Water",F_Baseline_data!E170),F_Baseline_data!E170)</f>
        <v>Rainwater</v>
      </c>
      <c r="F170">
        <f t="shared" ca="1" si="4"/>
        <v>54</v>
      </c>
      <c r="G170">
        <v>9.8000000000000007</v>
      </c>
      <c r="H170">
        <f ca="1">MAX(0,ROUND(F_Baseline_data!H170+(F_Baseline_data!C170-5)*200+(D170-30000)*0.015+(F170-50)*15-IF(I170=1,1200,0)+_xlfn.NORM.INV(RAND(),0,2500),-2))</f>
        <v>6000</v>
      </c>
      <c r="I170">
        <v>0</v>
      </c>
      <c r="J170">
        <f>1</f>
        <v>1</v>
      </c>
      <c r="K170">
        <f>1</f>
        <v>1</v>
      </c>
      <c r="L170">
        <v>0</v>
      </c>
      <c r="M170">
        <f t="shared" ca="1" si="5"/>
        <v>0.61609702254357857</v>
      </c>
      <c r="N170">
        <v>0</v>
      </c>
      <c r="O170">
        <v>0</v>
      </c>
      <c r="P170">
        <v>0</v>
      </c>
    </row>
    <row r="171" spans="1:16" x14ac:dyDescent="0.3">
      <c r="A171" t="s">
        <v>279</v>
      </c>
      <c r="B171" t="s">
        <v>62</v>
      </c>
      <c r="C171">
        <f ca="1">IF(RAND()&lt;0.8,F_Baseline_data!C171,IF(RAND()&lt;0.85,F_Baseline_data!C171+1,IF(F_Baseline_data!C171&gt;3,C171-1,F_Baseline_data!C171)))</f>
        <v>3</v>
      </c>
      <c r="D171">
        <f ca="1">MAX(5000,ROUND(F_Baseline_data!D171*(1+_xlfn.NORM.INV(RAND(),0.12,0.1)),-2))</f>
        <v>38800</v>
      </c>
      <c r="E171" t="str">
        <f ca="1">IF(I171=1,IF(RAND()&lt;0.95,"Piped Water",F_Baseline_data!E171),F_Baseline_data!E171)</f>
        <v>Vendor</v>
      </c>
      <c r="F171">
        <f t="shared" ca="1" si="4"/>
        <v>45</v>
      </c>
      <c r="G171">
        <v>7.4</v>
      </c>
      <c r="H171">
        <f ca="1">MAX(0,ROUND(F_Baseline_data!H171+(F_Baseline_data!C171-5)*200+(D171-30000)*0.015+(F171-50)*15-IF(I171=1,1200,0)+_xlfn.NORM.INV(RAND(),0,2500),-2))</f>
        <v>3500</v>
      </c>
      <c r="I171">
        <v>0</v>
      </c>
      <c r="J171">
        <f>1</f>
        <v>1</v>
      </c>
      <c r="K171">
        <f>1</f>
        <v>1</v>
      </c>
      <c r="L171">
        <v>0</v>
      </c>
      <c r="M171">
        <f t="shared" ca="1" si="5"/>
        <v>0.59794909731180301</v>
      </c>
      <c r="N171">
        <v>0</v>
      </c>
      <c r="O171">
        <v>0</v>
      </c>
      <c r="P171">
        <v>0</v>
      </c>
    </row>
    <row r="172" spans="1:16" x14ac:dyDescent="0.3">
      <c r="A172" t="s">
        <v>280</v>
      </c>
      <c r="B172" t="s">
        <v>62</v>
      </c>
      <c r="C172">
        <f ca="1">IF(RAND()&lt;0.8,F_Baseline_data!C172,IF(RAND()&lt;0.85,F_Baseline_data!C172+1,IF(F_Baseline_data!C172&gt;3,C172-1,F_Baseline_data!C172)))</f>
        <v>4</v>
      </c>
      <c r="D172">
        <f ca="1">MAX(5000,ROUND(F_Baseline_data!D172*(1+_xlfn.NORM.INV(RAND(),0.12,0.1)),-2))</f>
        <v>46600</v>
      </c>
      <c r="E172" t="str">
        <f ca="1">IF(I172=1,IF(RAND()&lt;0.95,"Piped Water",F_Baseline_data!E172),F_Baseline_data!E172)</f>
        <v>Rainwater</v>
      </c>
      <c r="F172">
        <f t="shared" ca="1" si="4"/>
        <v>24</v>
      </c>
      <c r="G172">
        <v>3</v>
      </c>
      <c r="H172">
        <f ca="1">MAX(0,ROUND(F_Baseline_data!H172+(F_Baseline_data!C172-5)*200+(D172-30000)*0.015+(F172-50)*15-IF(I172=1,1200,0)+_xlfn.NORM.INV(RAND(),0,2500),-2))</f>
        <v>4300</v>
      </c>
      <c r="I172">
        <v>0</v>
      </c>
      <c r="J172">
        <f>1</f>
        <v>1</v>
      </c>
      <c r="K172">
        <f>1</f>
        <v>1</v>
      </c>
      <c r="L172">
        <v>0</v>
      </c>
      <c r="M172">
        <f t="shared" ca="1" si="5"/>
        <v>0.361384993725544</v>
      </c>
      <c r="N172">
        <v>0</v>
      </c>
      <c r="O172">
        <v>0</v>
      </c>
      <c r="P172">
        <v>0</v>
      </c>
    </row>
    <row r="173" spans="1:16" x14ac:dyDescent="0.3">
      <c r="A173" t="s">
        <v>281</v>
      </c>
      <c r="B173" t="s">
        <v>513</v>
      </c>
      <c r="C173">
        <f ca="1">IF(RAND()&lt;0.8,F_Baseline_data!C173,IF(RAND()&lt;0.85,F_Baseline_data!C173+1,IF(F_Baseline_data!C173&gt;3,C173-1,F_Baseline_data!C173)))</f>
        <v>6</v>
      </c>
      <c r="D173">
        <f ca="1">MAX(5000,ROUND(F_Baseline_data!D173*(1+_xlfn.NORM.INV(RAND(),0.12,0.1)),-2))</f>
        <v>39100</v>
      </c>
      <c r="E173" t="str">
        <f ca="1">IF(I173=1,IF(RAND()&lt;0.95,"Piped Water",F_Baseline_data!E173),F_Baseline_data!E173)</f>
        <v>River</v>
      </c>
      <c r="F173">
        <f t="shared" ca="1" si="4"/>
        <v>118</v>
      </c>
      <c r="G173">
        <v>14.2</v>
      </c>
      <c r="H173">
        <f ca="1">MAX(0,ROUND(F_Baseline_data!H173+(F_Baseline_data!C173-5)*200+(D173-30000)*0.015+(F173-50)*15-IF(I173=1,1200,0)+_xlfn.NORM.INV(RAND(),0,2500),-2))</f>
        <v>10600</v>
      </c>
      <c r="I173">
        <v>0</v>
      </c>
      <c r="J173">
        <f>1</f>
        <v>1</v>
      </c>
      <c r="K173">
        <f>1</f>
        <v>1</v>
      </c>
      <c r="L173">
        <v>0</v>
      </c>
      <c r="M173">
        <f t="shared" ca="1" si="5"/>
        <v>0.87356884241199195</v>
      </c>
      <c r="N173">
        <v>0</v>
      </c>
      <c r="O173">
        <v>0</v>
      </c>
      <c r="P173">
        <v>0</v>
      </c>
    </row>
    <row r="174" spans="1:16" x14ac:dyDescent="0.3">
      <c r="A174" t="s">
        <v>282</v>
      </c>
      <c r="B174" t="s">
        <v>513</v>
      </c>
      <c r="C174">
        <f ca="1">IF(RAND()&lt;0.8,F_Baseline_data!C174,IF(RAND()&lt;0.85,F_Baseline_data!C174+1,IF(F_Baseline_data!C174&gt;3,C174-1,F_Baseline_data!C174)))</f>
        <v>10</v>
      </c>
      <c r="D174">
        <f ca="1">MAX(5000,ROUND(F_Baseline_data!D174*(1+_xlfn.NORM.INV(RAND(),0.12,0.1)),-2))</f>
        <v>87600</v>
      </c>
      <c r="E174" t="str">
        <f ca="1">IF(I174=1,IF(RAND()&lt;0.95,"Piped Water",F_Baseline_data!E174),F_Baseline_data!E174)</f>
        <v>Vendor</v>
      </c>
      <c r="F174">
        <f t="shared" ca="1" si="4"/>
        <v>40</v>
      </c>
      <c r="G174">
        <v>0.5</v>
      </c>
      <c r="H174">
        <f ca="1">MAX(0,ROUND(F_Baseline_data!H174+(F_Baseline_data!C174-5)*200+(D174-30000)*0.015+(F174-50)*15-IF(I174=1,1200,0)+_xlfn.NORM.INV(RAND(),0,2500),-2))</f>
        <v>5100</v>
      </c>
      <c r="I174">
        <v>0</v>
      </c>
      <c r="J174">
        <f>1</f>
        <v>1</v>
      </c>
      <c r="K174">
        <f>1</f>
        <v>1</v>
      </c>
      <c r="L174">
        <v>0</v>
      </c>
      <c r="M174">
        <f t="shared" ca="1" si="5"/>
        <v>0.98334614323768876</v>
      </c>
      <c r="N174">
        <v>0</v>
      </c>
      <c r="O174">
        <v>0</v>
      </c>
      <c r="P174">
        <v>0</v>
      </c>
    </row>
    <row r="175" spans="1:16" x14ac:dyDescent="0.3">
      <c r="A175" t="s">
        <v>283</v>
      </c>
      <c r="B175" t="s">
        <v>62</v>
      </c>
      <c r="C175">
        <f ca="1">IF(RAND()&lt;0.8,F_Baseline_data!C175,IF(RAND()&lt;0.85,F_Baseline_data!C175+1,IF(F_Baseline_data!C175&gt;3,C175-1,F_Baseline_data!C175)))</f>
        <v>8</v>
      </c>
      <c r="D175">
        <f ca="1">MAX(5000,ROUND(F_Baseline_data!D175*(1+_xlfn.NORM.INV(RAND(),0.12,0.1)),-2))</f>
        <v>32800</v>
      </c>
      <c r="E175" t="str">
        <f ca="1">IF(I175=1,IF(RAND()&lt;0.95,"Piped Water",F_Baseline_data!E175),F_Baseline_data!E175)</f>
        <v>Borehole</v>
      </c>
      <c r="F175">
        <f t="shared" ca="1" si="4"/>
        <v>38</v>
      </c>
      <c r="G175">
        <v>2</v>
      </c>
      <c r="H175">
        <f ca="1">MAX(0,ROUND(F_Baseline_data!H175+(F_Baseline_data!C175-5)*200+(D175-30000)*0.015+(F175-50)*15-IF(I175=1,1200,0)+_xlfn.NORM.INV(RAND(),0,2500),-2))</f>
        <v>5800</v>
      </c>
      <c r="I175">
        <v>0</v>
      </c>
      <c r="J175">
        <f>1</f>
        <v>1</v>
      </c>
      <c r="K175">
        <f>1</f>
        <v>1</v>
      </c>
      <c r="L175">
        <v>0</v>
      </c>
      <c r="M175">
        <f t="shared" ca="1" si="5"/>
        <v>0.43083731649934898</v>
      </c>
      <c r="N175">
        <v>0</v>
      </c>
      <c r="O175">
        <v>0</v>
      </c>
      <c r="P175">
        <v>0</v>
      </c>
    </row>
    <row r="176" spans="1:16" x14ac:dyDescent="0.3">
      <c r="A176" t="s">
        <v>284</v>
      </c>
      <c r="B176" t="s">
        <v>62</v>
      </c>
      <c r="C176">
        <f ca="1">IF(RAND()&lt;0.8,F_Baseline_data!C176,IF(RAND()&lt;0.85,F_Baseline_data!C176+1,IF(F_Baseline_data!C176&gt;3,C176-1,F_Baseline_data!C176)))</f>
        <v>4</v>
      </c>
      <c r="D176">
        <f ca="1">MAX(5000,ROUND(F_Baseline_data!D176*(1+_xlfn.NORM.INV(RAND(),0.12,0.1)),-2))</f>
        <v>53000</v>
      </c>
      <c r="E176" t="str">
        <f ca="1">IF(I176=1,IF(RAND()&lt;0.95,"Piped Water",F_Baseline_data!E176),F_Baseline_data!E176)</f>
        <v>River</v>
      </c>
      <c r="F176">
        <f t="shared" ca="1" si="4"/>
        <v>52</v>
      </c>
      <c r="G176">
        <v>4.0999999999999996</v>
      </c>
      <c r="H176">
        <f ca="1">MAX(0,ROUND(F_Baseline_data!H176+(F_Baseline_data!C176-5)*200+(D176-30000)*0.015+(F176-50)*15-IF(I176=1,1200,0)+_xlfn.NORM.INV(RAND(),0,2500),-2))</f>
        <v>0</v>
      </c>
      <c r="I176">
        <v>0</v>
      </c>
      <c r="J176">
        <f>1</f>
        <v>1</v>
      </c>
      <c r="K176">
        <f>1</f>
        <v>1</v>
      </c>
      <c r="L176">
        <v>0</v>
      </c>
      <c r="M176">
        <f t="shared" ca="1" si="5"/>
        <v>0.4956181081199027</v>
      </c>
      <c r="N176">
        <v>0</v>
      </c>
      <c r="O176">
        <v>0</v>
      </c>
      <c r="P176">
        <v>0</v>
      </c>
    </row>
    <row r="177" spans="1:16" x14ac:dyDescent="0.3">
      <c r="A177" t="s">
        <v>285</v>
      </c>
      <c r="B177" t="s">
        <v>65</v>
      </c>
      <c r="C177">
        <f ca="1">IF(RAND()&lt;0.8,F_Baseline_data!C177,IF(RAND()&lt;0.85,F_Baseline_data!C177+1,IF(F_Baseline_data!C177&gt;3,C177-1,F_Baseline_data!C177)))</f>
        <v>9</v>
      </c>
      <c r="D177">
        <f ca="1">MAX(5000,ROUND(F_Baseline_data!D177*(1+_xlfn.NORM.INV(RAND(),0.12,0.1)),-2))</f>
        <v>114900</v>
      </c>
      <c r="E177" t="str">
        <f ca="1">IF(I177=1,IF(RAND()&lt;0.95,"Piped Water",F_Baseline_data!E177),F_Baseline_data!E177)</f>
        <v>River</v>
      </c>
      <c r="F177">
        <f t="shared" ca="1" si="4"/>
        <v>99</v>
      </c>
      <c r="G177">
        <v>3</v>
      </c>
      <c r="H177">
        <f ca="1">MAX(0,ROUND(F_Baseline_data!H177+(F_Baseline_data!C177-5)*200+(D177-30000)*0.015+(F177-50)*15-IF(I177=1,1200,0)+_xlfn.NORM.INV(RAND(),0,2500),-2))</f>
        <v>13400</v>
      </c>
      <c r="I177">
        <v>0</v>
      </c>
      <c r="J177">
        <f>1</f>
        <v>1</v>
      </c>
      <c r="K177">
        <f>1</f>
        <v>1</v>
      </c>
      <c r="L177">
        <v>0</v>
      </c>
      <c r="M177">
        <f t="shared" ca="1" si="5"/>
        <v>0.55141073195488355</v>
      </c>
      <c r="N177">
        <v>0</v>
      </c>
      <c r="O177">
        <v>0</v>
      </c>
      <c r="P177">
        <v>0</v>
      </c>
    </row>
    <row r="178" spans="1:16" x14ac:dyDescent="0.3">
      <c r="A178" t="s">
        <v>286</v>
      </c>
      <c r="B178" t="s">
        <v>64</v>
      </c>
      <c r="C178">
        <f ca="1">IF(RAND()&lt;0.8,F_Baseline_data!C178,IF(RAND()&lt;0.85,F_Baseline_data!C178+1,IF(F_Baseline_data!C178&gt;3,C178-1,F_Baseline_data!C178)))</f>
        <v>7</v>
      </c>
      <c r="D178">
        <f ca="1">MAX(5000,ROUND(F_Baseline_data!D178*(1+_xlfn.NORM.INV(RAND(),0.12,0.1)),-2))</f>
        <v>21900</v>
      </c>
      <c r="E178" t="str">
        <f ca="1">IF(I178=1,IF(RAND()&lt;0.95,"Piped Water",F_Baseline_data!E178),F_Baseline_data!E178)</f>
        <v>Vendor</v>
      </c>
      <c r="F178">
        <f t="shared" ca="1" si="4"/>
        <v>15</v>
      </c>
      <c r="G178">
        <v>7.1</v>
      </c>
      <c r="H178">
        <f ca="1">MAX(0,ROUND(F_Baseline_data!H178+(F_Baseline_data!C178-5)*200+(D178-30000)*0.015+(F178-50)*15-IF(I178=1,1200,0)+_xlfn.NORM.INV(RAND(),0,2500),-2))</f>
        <v>1600</v>
      </c>
      <c r="I178">
        <v>0</v>
      </c>
      <c r="J178">
        <f>1</f>
        <v>1</v>
      </c>
      <c r="K178">
        <f>1</f>
        <v>1</v>
      </c>
      <c r="L178">
        <v>0</v>
      </c>
      <c r="M178">
        <f t="shared" ca="1" si="5"/>
        <v>4.41907812451654E-2</v>
      </c>
      <c r="N178">
        <v>0</v>
      </c>
      <c r="O178">
        <v>0</v>
      </c>
      <c r="P178">
        <v>0</v>
      </c>
    </row>
    <row r="179" spans="1:16" x14ac:dyDescent="0.3">
      <c r="A179" t="s">
        <v>287</v>
      </c>
      <c r="B179" t="s">
        <v>65</v>
      </c>
      <c r="C179">
        <f ca="1">IF(RAND()&lt;0.8,F_Baseline_data!C179,IF(RAND()&lt;0.85,F_Baseline_data!C179+1,IF(F_Baseline_data!C179&gt;3,C179-1,F_Baseline_data!C179)))</f>
        <v>5</v>
      </c>
      <c r="D179">
        <f ca="1">MAX(5000,ROUND(F_Baseline_data!D179*(1+_xlfn.NORM.INV(RAND(),0.12,0.1)),-2))</f>
        <v>40100</v>
      </c>
      <c r="E179" t="str">
        <f ca="1">IF(I179=1,IF(RAND()&lt;0.95,"Piped Water",F_Baseline_data!E179),F_Baseline_data!E179)</f>
        <v>Rainwater</v>
      </c>
      <c r="F179">
        <f t="shared" ca="1" si="4"/>
        <v>22</v>
      </c>
      <c r="G179">
        <v>12.8</v>
      </c>
      <c r="H179">
        <f ca="1">MAX(0,ROUND(F_Baseline_data!H179+(F_Baseline_data!C179-5)*200+(D179-30000)*0.015+(F179-50)*15-IF(I179=1,1200,0)+_xlfn.NORM.INV(RAND(),0,2500),-2))</f>
        <v>0</v>
      </c>
      <c r="I179">
        <v>0</v>
      </c>
      <c r="J179">
        <f>1</f>
        <v>1</v>
      </c>
      <c r="K179">
        <f>1</f>
        <v>1</v>
      </c>
      <c r="L179">
        <v>0</v>
      </c>
      <c r="M179">
        <f t="shared" ca="1" si="5"/>
        <v>7.31636462300157E-2</v>
      </c>
      <c r="N179">
        <v>0</v>
      </c>
      <c r="O179">
        <v>0</v>
      </c>
      <c r="P179">
        <v>0</v>
      </c>
    </row>
    <row r="180" spans="1:16" x14ac:dyDescent="0.3">
      <c r="A180" t="s">
        <v>288</v>
      </c>
      <c r="B180" t="s">
        <v>65</v>
      </c>
      <c r="C180">
        <f ca="1">IF(RAND()&lt;0.8,F_Baseline_data!C180,IF(RAND()&lt;0.85,F_Baseline_data!C180+1,IF(F_Baseline_data!C180&gt;3,C180-1,F_Baseline_data!C180)))</f>
        <v>5</v>
      </c>
      <c r="D180">
        <f ca="1">MAX(5000,ROUND(F_Baseline_data!D180*(1+_xlfn.NORM.INV(RAND(),0.12,0.1)),-2))</f>
        <v>38100</v>
      </c>
      <c r="E180" t="str">
        <f ca="1">IF(I180=1,IF(RAND()&lt;0.95,"Piped Water",F_Baseline_data!E180),F_Baseline_data!E180)</f>
        <v>River</v>
      </c>
      <c r="F180">
        <f t="shared" ca="1" si="4"/>
        <v>52</v>
      </c>
      <c r="G180">
        <v>12.7</v>
      </c>
      <c r="H180">
        <f ca="1">MAX(0,ROUND(F_Baseline_data!H180+(F_Baseline_data!C180-5)*200+(D180-30000)*0.015+(F180-50)*15-IF(I180=1,1200,0)+_xlfn.NORM.INV(RAND(),0,2500),-2))</f>
        <v>1900</v>
      </c>
      <c r="I180">
        <v>0</v>
      </c>
      <c r="J180">
        <f>1</f>
        <v>1</v>
      </c>
      <c r="K180">
        <f>1</f>
        <v>1</v>
      </c>
      <c r="L180">
        <v>0</v>
      </c>
      <c r="M180">
        <f t="shared" ca="1" si="5"/>
        <v>0.10681644400100698</v>
      </c>
      <c r="N180">
        <v>0</v>
      </c>
      <c r="O180">
        <v>0</v>
      </c>
      <c r="P180">
        <v>0</v>
      </c>
    </row>
    <row r="181" spans="1:16" x14ac:dyDescent="0.3">
      <c r="A181" t="s">
        <v>289</v>
      </c>
      <c r="B181" t="s">
        <v>62</v>
      </c>
      <c r="C181">
        <f ca="1">IF(RAND()&lt;0.8,F_Baseline_data!C181,IF(RAND()&lt;0.85,F_Baseline_data!C181+1,IF(F_Baseline_data!C181&gt;3,C181-1,F_Baseline_data!C181)))</f>
        <v>8</v>
      </c>
      <c r="D181">
        <f ca="1">MAX(5000,ROUND(F_Baseline_data!D181*(1+_xlfn.NORM.INV(RAND(),0.12,0.1)),-2))</f>
        <v>44300</v>
      </c>
      <c r="E181" t="str">
        <f ca="1">IF(I181=1,IF(RAND()&lt;0.95,"Piped Water",F_Baseline_data!E181),F_Baseline_data!E181)</f>
        <v>Vendor</v>
      </c>
      <c r="F181">
        <f t="shared" ca="1" si="4"/>
        <v>39</v>
      </c>
      <c r="G181">
        <v>7.3</v>
      </c>
      <c r="H181">
        <f ca="1">MAX(0,ROUND(F_Baseline_data!H181+(F_Baseline_data!C181-5)*200+(D181-30000)*0.015+(F181-50)*15-IF(I181=1,1200,0)+_xlfn.NORM.INV(RAND(),0,2500),-2))</f>
        <v>4500</v>
      </c>
      <c r="I181">
        <v>0</v>
      </c>
      <c r="J181">
        <f>1</f>
        <v>1</v>
      </c>
      <c r="K181">
        <f>1</f>
        <v>1</v>
      </c>
      <c r="L181">
        <v>0</v>
      </c>
      <c r="M181">
        <f t="shared" ca="1" si="5"/>
        <v>6.3976863167023112E-2</v>
      </c>
      <c r="N181">
        <v>0</v>
      </c>
      <c r="O181">
        <v>0</v>
      </c>
      <c r="P181">
        <v>0</v>
      </c>
    </row>
    <row r="182" spans="1:16" x14ac:dyDescent="0.3">
      <c r="A182" t="s">
        <v>290</v>
      </c>
      <c r="B182" t="s">
        <v>513</v>
      </c>
      <c r="C182">
        <f ca="1">IF(RAND()&lt;0.8,F_Baseline_data!C182,IF(RAND()&lt;0.85,F_Baseline_data!C182+1,IF(F_Baseline_data!C182&gt;3,C182-1,F_Baseline_data!C182)))</f>
        <v>5</v>
      </c>
      <c r="D182">
        <f ca="1">MAX(5000,ROUND(F_Baseline_data!D182*(1+_xlfn.NORM.INV(RAND(),0.12,0.1)),-2))</f>
        <v>45700</v>
      </c>
      <c r="E182" t="str">
        <f ca="1">IF(I182=1,IF(RAND()&lt;0.95,"Piped Water",F_Baseline_data!E182),F_Baseline_data!E182)</f>
        <v>River</v>
      </c>
      <c r="F182">
        <f t="shared" ca="1" si="4"/>
        <v>116</v>
      </c>
      <c r="G182">
        <v>1.3</v>
      </c>
      <c r="H182">
        <f ca="1">MAX(0,ROUND(F_Baseline_data!H182+(F_Baseline_data!C182-5)*200+(D182-30000)*0.015+(F182-50)*15-IF(I182=1,1200,0)+_xlfn.NORM.INV(RAND(),0,2500),-2))</f>
        <v>8200</v>
      </c>
      <c r="I182">
        <v>0</v>
      </c>
      <c r="J182">
        <f>1</f>
        <v>1</v>
      </c>
      <c r="K182">
        <f>1</f>
        <v>1</v>
      </c>
      <c r="L182">
        <v>0</v>
      </c>
      <c r="M182">
        <f t="shared" ca="1" si="5"/>
        <v>0.71348123005918063</v>
      </c>
      <c r="N182">
        <v>0</v>
      </c>
      <c r="O182">
        <v>0</v>
      </c>
      <c r="P182">
        <v>0</v>
      </c>
    </row>
    <row r="183" spans="1:16" x14ac:dyDescent="0.3">
      <c r="A183" t="s">
        <v>291</v>
      </c>
      <c r="B183" t="s">
        <v>62</v>
      </c>
      <c r="C183">
        <f ca="1">IF(RAND()&lt;0.8,F_Baseline_data!C183,IF(RAND()&lt;0.85,F_Baseline_data!C183+1,IF(F_Baseline_data!C183&gt;3,C183-1,F_Baseline_data!C183)))</f>
        <v>6</v>
      </c>
      <c r="D183">
        <f ca="1">MAX(5000,ROUND(F_Baseline_data!D183*(1+_xlfn.NORM.INV(RAND(),0.12,0.1)),-2))</f>
        <v>39500</v>
      </c>
      <c r="E183" t="str">
        <f ca="1">IF(I183=1,IF(RAND()&lt;0.95,"Piped Water",F_Baseline_data!E183),F_Baseline_data!E183)</f>
        <v>Vendor</v>
      </c>
      <c r="F183">
        <f t="shared" ca="1" si="4"/>
        <v>35</v>
      </c>
      <c r="G183">
        <v>3.1</v>
      </c>
      <c r="H183">
        <f ca="1">MAX(0,ROUND(F_Baseline_data!H183+(F_Baseline_data!C183-5)*200+(D183-30000)*0.015+(F183-50)*15-IF(I183=1,1200,0)+_xlfn.NORM.INV(RAND(),0,2500),-2))</f>
        <v>2500</v>
      </c>
      <c r="I183">
        <v>0</v>
      </c>
      <c r="J183">
        <f>1</f>
        <v>1</v>
      </c>
      <c r="K183">
        <f>1</f>
        <v>1</v>
      </c>
      <c r="L183">
        <v>0</v>
      </c>
      <c r="M183">
        <f t="shared" ca="1" si="5"/>
        <v>0.57693433716384313</v>
      </c>
      <c r="N183">
        <v>0</v>
      </c>
      <c r="O183">
        <v>0</v>
      </c>
      <c r="P183">
        <v>0</v>
      </c>
    </row>
    <row r="184" spans="1:16" x14ac:dyDescent="0.3">
      <c r="A184" t="s">
        <v>292</v>
      </c>
      <c r="B184" t="s">
        <v>513</v>
      </c>
      <c r="C184">
        <f ca="1">IF(RAND()&lt;0.8,F_Baseline_data!C184,IF(RAND()&lt;0.85,F_Baseline_data!C184+1,IF(F_Baseline_data!C184&gt;3,C184-1,F_Baseline_data!C184)))</f>
        <v>1</v>
      </c>
      <c r="D184">
        <f ca="1">MAX(5000,ROUND(F_Baseline_data!D184*(1+_xlfn.NORM.INV(RAND(),0.12,0.1)),-2))</f>
        <v>43500</v>
      </c>
      <c r="E184" t="str">
        <f ca="1">IF(I184=1,IF(RAND()&lt;0.95,"Piped Water",F_Baseline_data!E184),F_Baseline_data!E184)</f>
        <v>Borehole</v>
      </c>
      <c r="F184">
        <f t="shared" ca="1" si="4"/>
        <v>65</v>
      </c>
      <c r="G184">
        <v>5.9</v>
      </c>
      <c r="H184">
        <f ca="1">MAX(0,ROUND(F_Baseline_data!H184+(F_Baseline_data!C184-5)*200+(D184-30000)*0.015+(F184-50)*15-IF(I184=1,1200,0)+_xlfn.NORM.INV(RAND(),0,2500),-2))</f>
        <v>700</v>
      </c>
      <c r="I184">
        <v>0</v>
      </c>
      <c r="J184">
        <f>1</f>
        <v>1</v>
      </c>
      <c r="K184">
        <f>1</f>
        <v>1</v>
      </c>
      <c r="L184">
        <v>0</v>
      </c>
      <c r="M184">
        <f t="shared" ca="1" si="5"/>
        <v>0.84648524038872708</v>
      </c>
      <c r="N184">
        <v>0</v>
      </c>
      <c r="O184">
        <v>0</v>
      </c>
      <c r="P184">
        <v>0</v>
      </c>
    </row>
    <row r="185" spans="1:16" x14ac:dyDescent="0.3">
      <c r="A185" t="s">
        <v>293</v>
      </c>
      <c r="B185" t="s">
        <v>513</v>
      </c>
      <c r="C185">
        <f ca="1">IF(RAND()&lt;0.8,F_Baseline_data!C185,IF(RAND()&lt;0.85,F_Baseline_data!C185+1,IF(F_Baseline_data!C185&gt;3,C185-1,F_Baseline_data!C185)))</f>
        <v>6</v>
      </c>
      <c r="D185">
        <f ca="1">MAX(5000,ROUND(F_Baseline_data!D185*(1+_xlfn.NORM.INV(RAND(),0.12,0.1)),-2))</f>
        <v>64300</v>
      </c>
      <c r="E185" t="str">
        <f ca="1">IF(I185=1,IF(RAND()&lt;0.95,"Piped Water",F_Baseline_data!E185),F_Baseline_data!E185)</f>
        <v>Borehole</v>
      </c>
      <c r="F185">
        <f t="shared" ca="1" si="4"/>
        <v>71</v>
      </c>
      <c r="G185">
        <v>6.2</v>
      </c>
      <c r="H185">
        <f ca="1">MAX(0,ROUND(F_Baseline_data!H185+(F_Baseline_data!C185-5)*200+(D185-30000)*0.015+(F185-50)*15-IF(I185=1,1200,0)+_xlfn.NORM.INV(RAND(),0,2500),-2))</f>
        <v>3600</v>
      </c>
      <c r="I185">
        <v>0</v>
      </c>
      <c r="J185">
        <f>1</f>
        <v>1</v>
      </c>
      <c r="K185">
        <f>1</f>
        <v>1</v>
      </c>
      <c r="L185">
        <v>0</v>
      </c>
      <c r="M185">
        <f t="shared" ca="1" si="5"/>
        <v>0.36180406636601381</v>
      </c>
      <c r="N185">
        <v>0</v>
      </c>
      <c r="O185">
        <v>0</v>
      </c>
      <c r="P185">
        <v>0</v>
      </c>
    </row>
    <row r="186" spans="1:16" x14ac:dyDescent="0.3">
      <c r="A186" t="s">
        <v>294</v>
      </c>
      <c r="B186" t="s">
        <v>62</v>
      </c>
      <c r="C186">
        <f ca="1">IF(RAND()&lt;0.8,F_Baseline_data!C186,IF(RAND()&lt;0.85,F_Baseline_data!C186+1,IF(F_Baseline_data!C186&gt;3,C186-1,F_Baseline_data!C186)))</f>
        <v>6</v>
      </c>
      <c r="D186">
        <f ca="1">MAX(5000,ROUND(F_Baseline_data!D186*(1+_xlfn.NORM.INV(RAND(),0.12,0.1)),-2))</f>
        <v>63800</v>
      </c>
      <c r="E186" t="str">
        <f ca="1">IF(I186=1,IF(RAND()&lt;0.95,"Piped Water",F_Baseline_data!E186),F_Baseline_data!E186)</f>
        <v>Borehole</v>
      </c>
      <c r="F186">
        <f t="shared" ca="1" si="4"/>
        <v>23</v>
      </c>
      <c r="G186">
        <v>9.3000000000000007</v>
      </c>
      <c r="H186">
        <f ca="1">MAX(0,ROUND(F_Baseline_data!H186+(F_Baseline_data!C186-5)*200+(D186-30000)*0.015+(F186-50)*15-IF(I186=1,1200,0)+_xlfn.NORM.INV(RAND(),0,2500),-2))</f>
        <v>4800</v>
      </c>
      <c r="I186">
        <v>0</v>
      </c>
      <c r="J186">
        <f>1</f>
        <v>1</v>
      </c>
      <c r="K186">
        <f>1</f>
        <v>1</v>
      </c>
      <c r="L186">
        <v>0</v>
      </c>
      <c r="M186">
        <f t="shared" ca="1" si="5"/>
        <v>0.95362394103148374</v>
      </c>
      <c r="N186">
        <v>0</v>
      </c>
      <c r="O186">
        <v>0</v>
      </c>
      <c r="P186">
        <v>0</v>
      </c>
    </row>
    <row r="187" spans="1:16" x14ac:dyDescent="0.3">
      <c r="A187" t="s">
        <v>295</v>
      </c>
      <c r="B187" t="s">
        <v>513</v>
      </c>
      <c r="C187">
        <f ca="1">IF(RAND()&lt;0.8,F_Baseline_data!C187,IF(RAND()&lt;0.85,F_Baseline_data!C187+1,IF(F_Baseline_data!C187&gt;3,C187-1,F_Baseline_data!C187)))</f>
        <v>2</v>
      </c>
      <c r="D187">
        <f ca="1">MAX(5000,ROUND(F_Baseline_data!D187*(1+_xlfn.NORM.INV(RAND(),0.12,0.1)),-2))</f>
        <v>8800</v>
      </c>
      <c r="E187" t="str">
        <f ca="1">IF(I187=1,IF(RAND()&lt;0.95,"Piped Water",F_Baseline_data!E187),F_Baseline_data!E187)</f>
        <v>River</v>
      </c>
      <c r="F187">
        <f t="shared" ca="1" si="4"/>
        <v>114</v>
      </c>
      <c r="G187">
        <v>6.5</v>
      </c>
      <c r="H187">
        <f ca="1">MAX(0,ROUND(F_Baseline_data!H187+(F_Baseline_data!C187-5)*200+(D187-30000)*0.015+(F187-50)*15-IF(I187=1,1200,0)+_xlfn.NORM.INV(RAND(),0,2500),-2))</f>
        <v>9700</v>
      </c>
      <c r="I187">
        <v>0</v>
      </c>
      <c r="J187">
        <f>1</f>
        <v>1</v>
      </c>
      <c r="K187">
        <f>1</f>
        <v>1</v>
      </c>
      <c r="L187">
        <v>0</v>
      </c>
      <c r="M187">
        <f t="shared" ca="1" si="5"/>
        <v>0.80650718708124725</v>
      </c>
      <c r="N187">
        <v>0</v>
      </c>
      <c r="O187">
        <v>0</v>
      </c>
      <c r="P187">
        <v>0</v>
      </c>
    </row>
    <row r="188" spans="1:16" x14ac:dyDescent="0.3">
      <c r="A188" t="s">
        <v>296</v>
      </c>
      <c r="B188" t="s">
        <v>513</v>
      </c>
      <c r="C188">
        <f ca="1">IF(RAND()&lt;0.8,F_Baseline_data!C188,IF(RAND()&lt;0.85,F_Baseline_data!C188+1,IF(F_Baseline_data!C188&gt;3,C188-1,F_Baseline_data!C188)))</f>
        <v>9</v>
      </c>
      <c r="D188">
        <f ca="1">MAX(5000,ROUND(F_Baseline_data!D188*(1+_xlfn.NORM.INV(RAND(),0.12,0.1)),-2))</f>
        <v>11700</v>
      </c>
      <c r="E188" t="str">
        <f ca="1">IF(I188=1,IF(RAND()&lt;0.95,"Piped Water",F_Baseline_data!E188),F_Baseline_data!E188)</f>
        <v>Borehole</v>
      </c>
      <c r="F188">
        <f t="shared" ca="1" si="4"/>
        <v>43</v>
      </c>
      <c r="G188">
        <v>12</v>
      </c>
      <c r="H188">
        <f ca="1">MAX(0,ROUND(F_Baseline_data!H188+(F_Baseline_data!C188-5)*200+(D188-30000)*0.015+(F188-50)*15-IF(I188=1,1200,0)+_xlfn.NORM.INV(RAND(),0,2500),-2))</f>
        <v>6500</v>
      </c>
      <c r="I188">
        <v>0</v>
      </c>
      <c r="J188">
        <f>1</f>
        <v>1</v>
      </c>
      <c r="K188">
        <f>1</f>
        <v>1</v>
      </c>
      <c r="L188">
        <v>0</v>
      </c>
      <c r="M188">
        <f t="shared" ca="1" si="5"/>
        <v>0.38915327526170351</v>
      </c>
      <c r="N188">
        <v>0</v>
      </c>
      <c r="O188">
        <v>0</v>
      </c>
      <c r="P188">
        <v>0</v>
      </c>
    </row>
    <row r="189" spans="1:16" x14ac:dyDescent="0.3">
      <c r="A189" t="s">
        <v>297</v>
      </c>
      <c r="B189" t="s">
        <v>513</v>
      </c>
      <c r="C189">
        <f ca="1">IF(RAND()&lt;0.8,F_Baseline_data!C189,IF(RAND()&lt;0.85,F_Baseline_data!C189+1,IF(F_Baseline_data!C189&gt;3,C189-1,F_Baseline_data!C189)))</f>
        <v>10</v>
      </c>
      <c r="D189">
        <f ca="1">MAX(5000,ROUND(F_Baseline_data!D189*(1+_xlfn.NORM.INV(RAND(),0.12,0.1)),-2))</f>
        <v>34400</v>
      </c>
      <c r="E189" t="str">
        <f ca="1">IF(I189=1,IF(RAND()&lt;0.95,"Piped Water",F_Baseline_data!E189),F_Baseline_data!E189)</f>
        <v>Vendor</v>
      </c>
      <c r="F189">
        <f t="shared" ca="1" si="4"/>
        <v>11</v>
      </c>
      <c r="G189">
        <v>6.5</v>
      </c>
      <c r="H189">
        <f ca="1">MAX(0,ROUND(F_Baseline_data!H189+(F_Baseline_data!C189-5)*200+(D189-30000)*0.015+(F189-50)*15-IF(I189=1,1200,0)+_xlfn.NORM.INV(RAND(),0,2500),-2))</f>
        <v>1900</v>
      </c>
      <c r="I189">
        <v>0</v>
      </c>
      <c r="J189">
        <f>1</f>
        <v>1</v>
      </c>
      <c r="K189">
        <f>1</f>
        <v>1</v>
      </c>
      <c r="L189">
        <v>0</v>
      </c>
      <c r="M189">
        <f t="shared" ca="1" si="5"/>
        <v>0.13020421290801976</v>
      </c>
      <c r="N189">
        <v>0</v>
      </c>
      <c r="O189">
        <v>0</v>
      </c>
      <c r="P189">
        <v>0</v>
      </c>
    </row>
    <row r="190" spans="1:16" x14ac:dyDescent="0.3">
      <c r="A190" t="s">
        <v>298</v>
      </c>
      <c r="B190" t="s">
        <v>65</v>
      </c>
      <c r="C190">
        <f ca="1">IF(RAND()&lt;0.8,F_Baseline_data!C190,IF(RAND()&lt;0.85,F_Baseline_data!C190+1,IF(F_Baseline_data!C190&gt;3,C190-1,F_Baseline_data!C190)))</f>
        <v>5</v>
      </c>
      <c r="D190">
        <f ca="1">MAX(5000,ROUND(F_Baseline_data!D190*(1+_xlfn.NORM.INV(RAND(),0.12,0.1)),-2))</f>
        <v>49500</v>
      </c>
      <c r="E190" t="str">
        <f ca="1">IF(I190=1,IF(RAND()&lt;0.95,"Piped Water",F_Baseline_data!E190),F_Baseline_data!E190)</f>
        <v>Borehole</v>
      </c>
      <c r="F190">
        <f t="shared" ca="1" si="4"/>
        <v>39</v>
      </c>
      <c r="G190">
        <v>7</v>
      </c>
      <c r="H190">
        <f ca="1">MAX(0,ROUND(F_Baseline_data!H190+(F_Baseline_data!C190-5)*200+(D190-30000)*0.015+(F190-50)*15-IF(I190=1,1200,0)+_xlfn.NORM.INV(RAND(),0,2500),-2))</f>
        <v>3100</v>
      </c>
      <c r="I190">
        <v>0</v>
      </c>
      <c r="J190">
        <f>1</f>
        <v>1</v>
      </c>
      <c r="K190">
        <f>1</f>
        <v>1</v>
      </c>
      <c r="L190">
        <v>0</v>
      </c>
      <c r="M190">
        <f t="shared" ca="1" si="5"/>
        <v>0.73492677496940129</v>
      </c>
      <c r="N190">
        <v>0</v>
      </c>
      <c r="O190">
        <v>0</v>
      </c>
      <c r="P190">
        <v>0</v>
      </c>
    </row>
    <row r="191" spans="1:16" x14ac:dyDescent="0.3">
      <c r="A191" t="s">
        <v>299</v>
      </c>
      <c r="B191" t="s">
        <v>62</v>
      </c>
      <c r="C191">
        <f ca="1">IF(RAND()&lt;0.8,F_Baseline_data!C191,IF(RAND()&lt;0.85,F_Baseline_data!C191+1,IF(F_Baseline_data!C191&gt;3,C191-1,F_Baseline_data!C191)))</f>
        <v>4</v>
      </c>
      <c r="D191">
        <f ca="1">MAX(5000,ROUND(F_Baseline_data!D191*(1+_xlfn.NORM.INV(RAND(),0.12,0.1)),-2))</f>
        <v>18800</v>
      </c>
      <c r="E191" t="str">
        <f ca="1">IF(I191=1,IF(RAND()&lt;0.95,"Piped Water",F_Baseline_data!E191),F_Baseline_data!E191)</f>
        <v>River</v>
      </c>
      <c r="F191">
        <f t="shared" ca="1" si="4"/>
        <v>113</v>
      </c>
      <c r="G191">
        <v>8.5</v>
      </c>
      <c r="H191">
        <f ca="1">MAX(0,ROUND(F_Baseline_data!H191+(F_Baseline_data!C191-5)*200+(D191-30000)*0.015+(F191-50)*15-IF(I191=1,1200,0)+_xlfn.NORM.INV(RAND(),0,2500),-2))</f>
        <v>1500</v>
      </c>
      <c r="I191">
        <v>0</v>
      </c>
      <c r="J191">
        <f>1</f>
        <v>1</v>
      </c>
      <c r="K191">
        <f>1</f>
        <v>1</v>
      </c>
      <c r="L191">
        <v>0</v>
      </c>
      <c r="M191">
        <f t="shared" ca="1" si="5"/>
        <v>0.4561468467253158</v>
      </c>
      <c r="N191">
        <v>0</v>
      </c>
      <c r="O191">
        <v>0</v>
      </c>
      <c r="P191">
        <v>0</v>
      </c>
    </row>
    <row r="192" spans="1:16" x14ac:dyDescent="0.3">
      <c r="A192" t="s">
        <v>300</v>
      </c>
      <c r="B192" t="s">
        <v>64</v>
      </c>
      <c r="C192">
        <f ca="1">IF(RAND()&lt;0.8,F_Baseline_data!C192,IF(RAND()&lt;0.85,F_Baseline_data!C192+1,IF(F_Baseline_data!C192&gt;3,C192-1,F_Baseline_data!C192)))</f>
        <v>7</v>
      </c>
      <c r="D192">
        <f ca="1">MAX(5000,ROUND(F_Baseline_data!D192*(1+_xlfn.NORM.INV(RAND(),0.12,0.1)),-2))</f>
        <v>28900</v>
      </c>
      <c r="E192" t="str">
        <f ca="1">IF(I192=1,IF(RAND()&lt;0.95,"Piped Water",F_Baseline_data!E192),F_Baseline_data!E192)</f>
        <v>River</v>
      </c>
      <c r="F192">
        <f t="shared" ca="1" si="4"/>
        <v>108</v>
      </c>
      <c r="G192">
        <v>7.4</v>
      </c>
      <c r="H192">
        <f ca="1">MAX(0,ROUND(F_Baseline_data!H192+(F_Baseline_data!C192-5)*200+(D192-30000)*0.015+(F192-50)*15-IF(I192=1,1200,0)+_xlfn.NORM.INV(RAND(),0,2500),-2))</f>
        <v>6600</v>
      </c>
      <c r="I192">
        <v>0</v>
      </c>
      <c r="J192">
        <f>1</f>
        <v>1</v>
      </c>
      <c r="K192">
        <f>1</f>
        <v>1</v>
      </c>
      <c r="L192">
        <v>0</v>
      </c>
      <c r="M192">
        <f t="shared" ca="1" si="5"/>
        <v>0.47004921739899086</v>
      </c>
      <c r="N192">
        <v>0</v>
      </c>
      <c r="O192">
        <v>0</v>
      </c>
      <c r="P192">
        <v>0</v>
      </c>
    </row>
    <row r="193" spans="1:16" x14ac:dyDescent="0.3">
      <c r="A193" t="s">
        <v>301</v>
      </c>
      <c r="B193" t="s">
        <v>65</v>
      </c>
      <c r="C193">
        <f ca="1">IF(RAND()&lt;0.8,F_Baseline_data!C193,IF(RAND()&lt;0.85,F_Baseline_data!C193+1,IF(F_Baseline_data!C193&gt;3,C193-1,F_Baseline_data!C193)))</f>
        <v>7</v>
      </c>
      <c r="D193">
        <f ca="1">MAX(5000,ROUND(F_Baseline_data!D193*(1+_xlfn.NORM.INV(RAND(),0.12,0.1)),-2))</f>
        <v>42000</v>
      </c>
      <c r="E193" t="str">
        <f ca="1">IF(I193=1,IF(RAND()&lt;0.95,"Piped Water",F_Baseline_data!E193),F_Baseline_data!E193)</f>
        <v>River</v>
      </c>
      <c r="F193">
        <f t="shared" ca="1" si="4"/>
        <v>51</v>
      </c>
      <c r="G193">
        <v>1.5</v>
      </c>
      <c r="H193">
        <f ca="1">MAX(0,ROUND(F_Baseline_data!H193+(F_Baseline_data!C193-5)*200+(D193-30000)*0.015+(F193-50)*15-IF(I193=1,1200,0)+_xlfn.NORM.INV(RAND(),0,2500),-2))</f>
        <v>6800</v>
      </c>
      <c r="I193">
        <v>0</v>
      </c>
      <c r="J193">
        <f>1</f>
        <v>1</v>
      </c>
      <c r="K193">
        <f>1</f>
        <v>1</v>
      </c>
      <c r="L193">
        <v>0</v>
      </c>
      <c r="M193">
        <f t="shared" ca="1" si="5"/>
        <v>0.59491477578780039</v>
      </c>
      <c r="N193">
        <v>0</v>
      </c>
      <c r="O193">
        <v>0</v>
      </c>
      <c r="P193">
        <v>0</v>
      </c>
    </row>
    <row r="194" spans="1:16" x14ac:dyDescent="0.3">
      <c r="A194" t="s">
        <v>302</v>
      </c>
      <c r="B194" t="s">
        <v>62</v>
      </c>
      <c r="C194">
        <f ca="1">IF(RAND()&lt;0.8,F_Baseline_data!C194,IF(RAND()&lt;0.85,F_Baseline_data!C194+1,IF(F_Baseline_data!C194&gt;3,C194-1,F_Baseline_data!C194)))</f>
        <v>8</v>
      </c>
      <c r="D194">
        <f ca="1">MAX(5000,ROUND(F_Baseline_data!D194*(1+_xlfn.NORM.INV(RAND(),0.12,0.1)),-2))</f>
        <v>45500</v>
      </c>
      <c r="E194" t="str">
        <f ca="1">IF(I194=1,IF(RAND()&lt;0.95,"Piped Water",F_Baseline_data!E194),F_Baseline_data!E194)</f>
        <v>Borehole</v>
      </c>
      <c r="F194">
        <f t="shared" ref="F194:F257" ca="1" si="6">IF(E194="Piped Water",RANDBETWEEN(0,10),IF(E194="River",RANDBETWEEN(45,120),IF(E194="Rainwater",RANDBETWEEN(15,70),IF(E194="Borehole",RANDBETWEEN(20,75),RANDBETWEEN(10,60)))))</f>
        <v>48</v>
      </c>
      <c r="G194">
        <v>6.4</v>
      </c>
      <c r="H194">
        <f ca="1">MAX(0,ROUND(F_Baseline_data!H194+(F_Baseline_data!C194-5)*200+(D194-30000)*0.015+(F194-50)*15-IF(I194=1,1200,0)+_xlfn.NORM.INV(RAND(),0,2500),-2))</f>
        <v>6600</v>
      </c>
      <c r="I194">
        <v>0</v>
      </c>
      <c r="J194">
        <f>1</f>
        <v>1</v>
      </c>
      <c r="K194">
        <f>1</f>
        <v>1</v>
      </c>
      <c r="L194">
        <v>0</v>
      </c>
      <c r="M194">
        <f t="shared" ref="M194:M257" ca="1" si="7">RAND()</f>
        <v>0.33045482189872954</v>
      </c>
      <c r="N194">
        <v>0</v>
      </c>
      <c r="O194">
        <v>0</v>
      </c>
      <c r="P194">
        <v>0</v>
      </c>
    </row>
    <row r="195" spans="1:16" x14ac:dyDescent="0.3">
      <c r="A195" t="s">
        <v>303</v>
      </c>
      <c r="B195" t="s">
        <v>62</v>
      </c>
      <c r="C195">
        <f ca="1">IF(RAND()&lt;0.8,F_Baseline_data!C195,IF(RAND()&lt;0.85,F_Baseline_data!C195+1,IF(F_Baseline_data!C195&gt;3,C195-1,F_Baseline_data!C195)))</f>
        <v>6</v>
      </c>
      <c r="D195">
        <f ca="1">MAX(5000,ROUND(F_Baseline_data!D195*(1+_xlfn.NORM.INV(RAND(),0.12,0.1)),-2))</f>
        <v>31200</v>
      </c>
      <c r="E195" t="str">
        <f ca="1">IF(I195=1,IF(RAND()&lt;0.95,"Piped Water",F_Baseline_data!E195),F_Baseline_data!E195)</f>
        <v>River</v>
      </c>
      <c r="F195">
        <f t="shared" ca="1" si="6"/>
        <v>49</v>
      </c>
      <c r="G195">
        <v>7.7</v>
      </c>
      <c r="H195">
        <f ca="1">MAX(0,ROUND(F_Baseline_data!H195+(F_Baseline_data!C195-5)*200+(D195-30000)*0.015+(F195-50)*15-IF(I195=1,1200,0)+_xlfn.NORM.INV(RAND(),0,2500),-2))</f>
        <v>10700</v>
      </c>
      <c r="I195">
        <v>0</v>
      </c>
      <c r="J195">
        <f>1</f>
        <v>1</v>
      </c>
      <c r="K195">
        <f>1</f>
        <v>1</v>
      </c>
      <c r="L195">
        <v>0</v>
      </c>
      <c r="M195">
        <f t="shared" ca="1" si="7"/>
        <v>0.4791977456932407</v>
      </c>
      <c r="N195">
        <v>0</v>
      </c>
      <c r="O195">
        <v>0</v>
      </c>
      <c r="P195">
        <v>0</v>
      </c>
    </row>
    <row r="196" spans="1:16" x14ac:dyDescent="0.3">
      <c r="A196" t="s">
        <v>304</v>
      </c>
      <c r="B196" t="s">
        <v>62</v>
      </c>
      <c r="C196">
        <f ca="1">IF(RAND()&lt;0.8,F_Baseline_data!C196,IF(RAND()&lt;0.85,F_Baseline_data!C196+1,IF(F_Baseline_data!C196&gt;3,C196-1,F_Baseline_data!C196)))</f>
        <v>9</v>
      </c>
      <c r="D196">
        <f ca="1">MAX(5000,ROUND(F_Baseline_data!D196*(1+_xlfn.NORM.INV(RAND(),0.12,0.1)),-2))</f>
        <v>47600</v>
      </c>
      <c r="E196" t="str">
        <f ca="1">IF(I196=1,IF(RAND()&lt;0.95,"Piped Water",F_Baseline_data!E196),F_Baseline_data!E196)</f>
        <v>Rainwater</v>
      </c>
      <c r="F196">
        <f t="shared" ca="1" si="6"/>
        <v>52</v>
      </c>
      <c r="G196">
        <v>3</v>
      </c>
      <c r="H196">
        <f ca="1">MAX(0,ROUND(F_Baseline_data!H196+(F_Baseline_data!C196-5)*200+(D196-30000)*0.015+(F196-50)*15-IF(I196=1,1200,0)+_xlfn.NORM.INV(RAND(),0,2500),-2))</f>
        <v>14100</v>
      </c>
      <c r="I196">
        <v>0</v>
      </c>
      <c r="J196">
        <f>1</f>
        <v>1</v>
      </c>
      <c r="K196">
        <f>1</f>
        <v>1</v>
      </c>
      <c r="L196">
        <v>0</v>
      </c>
      <c r="M196">
        <f t="shared" ca="1" si="7"/>
        <v>0.96365302229897698</v>
      </c>
      <c r="N196">
        <v>0</v>
      </c>
      <c r="O196">
        <v>0</v>
      </c>
      <c r="P196">
        <v>0</v>
      </c>
    </row>
    <row r="197" spans="1:16" x14ac:dyDescent="0.3">
      <c r="A197" t="s">
        <v>305</v>
      </c>
      <c r="B197" t="s">
        <v>513</v>
      </c>
      <c r="C197">
        <f ca="1">IF(RAND()&lt;0.8,F_Baseline_data!C197,IF(RAND()&lt;0.85,F_Baseline_data!C197+1,IF(F_Baseline_data!C197&gt;3,C197-1,F_Baseline_data!C197)))</f>
        <v>8</v>
      </c>
      <c r="D197">
        <f ca="1">MAX(5000,ROUND(F_Baseline_data!D197*(1+_xlfn.NORM.INV(RAND(),0.12,0.1)),-2))</f>
        <v>35900</v>
      </c>
      <c r="E197" t="str">
        <f ca="1">IF(I197=1,IF(RAND()&lt;0.95,"Piped Water",F_Baseline_data!E197),F_Baseline_data!E197)</f>
        <v>Borehole</v>
      </c>
      <c r="F197">
        <f t="shared" ca="1" si="6"/>
        <v>32</v>
      </c>
      <c r="G197">
        <v>14</v>
      </c>
      <c r="H197">
        <f ca="1">MAX(0,ROUND(F_Baseline_data!H197+(F_Baseline_data!C197-5)*200+(D197-30000)*0.015+(F197-50)*15-IF(I197=1,1200,0)+_xlfn.NORM.INV(RAND(),0,2500),-2))</f>
        <v>5500</v>
      </c>
      <c r="I197">
        <v>0</v>
      </c>
      <c r="J197">
        <f>1</f>
        <v>1</v>
      </c>
      <c r="K197">
        <f>1</f>
        <v>1</v>
      </c>
      <c r="L197">
        <v>0</v>
      </c>
      <c r="M197">
        <f t="shared" ca="1" si="7"/>
        <v>0.89962663755743133</v>
      </c>
      <c r="N197">
        <v>0</v>
      </c>
      <c r="O197">
        <v>0</v>
      </c>
      <c r="P197">
        <v>0</v>
      </c>
    </row>
    <row r="198" spans="1:16" x14ac:dyDescent="0.3">
      <c r="A198" t="s">
        <v>306</v>
      </c>
      <c r="B198" t="s">
        <v>62</v>
      </c>
      <c r="C198">
        <f ca="1">IF(RAND()&lt;0.8,F_Baseline_data!C198,IF(RAND()&lt;0.85,F_Baseline_data!C198+1,IF(F_Baseline_data!C198&gt;3,C198-1,F_Baseline_data!C198)))</f>
        <v>2</v>
      </c>
      <c r="D198">
        <f ca="1">MAX(5000,ROUND(F_Baseline_data!D198*(1+_xlfn.NORM.INV(RAND(),0.12,0.1)),-2))</f>
        <v>42600</v>
      </c>
      <c r="E198" t="str">
        <f ca="1">IF(I198=1,IF(RAND()&lt;0.95,"Piped Water",F_Baseline_data!E198),F_Baseline_data!E198)</f>
        <v>Rainwater</v>
      </c>
      <c r="F198">
        <f t="shared" ca="1" si="6"/>
        <v>56</v>
      </c>
      <c r="G198">
        <v>2.2000000000000002</v>
      </c>
      <c r="H198">
        <f ca="1">MAX(0,ROUND(F_Baseline_data!H198+(F_Baseline_data!C198-5)*200+(D198-30000)*0.015+(F198-50)*15-IF(I198=1,1200,0)+_xlfn.NORM.INV(RAND(),0,2500),-2))</f>
        <v>10300</v>
      </c>
      <c r="I198">
        <v>0</v>
      </c>
      <c r="J198">
        <f>1</f>
        <v>1</v>
      </c>
      <c r="K198">
        <f>1</f>
        <v>1</v>
      </c>
      <c r="L198">
        <v>0</v>
      </c>
      <c r="M198">
        <f t="shared" ca="1" si="7"/>
        <v>0.77483506505550936</v>
      </c>
      <c r="N198">
        <v>0</v>
      </c>
      <c r="O198">
        <v>0</v>
      </c>
      <c r="P198">
        <v>0</v>
      </c>
    </row>
    <row r="199" spans="1:16" x14ac:dyDescent="0.3">
      <c r="A199" t="s">
        <v>307</v>
      </c>
      <c r="B199" t="s">
        <v>65</v>
      </c>
      <c r="C199">
        <f ca="1">IF(RAND()&lt;0.8,F_Baseline_data!C199,IF(RAND()&lt;0.85,F_Baseline_data!C199+1,IF(F_Baseline_data!C199&gt;3,C199-1,F_Baseline_data!C199)))</f>
        <v>2</v>
      </c>
      <c r="D199">
        <f ca="1">MAX(5000,ROUND(F_Baseline_data!D199*(1+_xlfn.NORM.INV(RAND(),0.12,0.1)),-2))</f>
        <v>110400</v>
      </c>
      <c r="E199" t="str">
        <f ca="1">IF(I199=1,IF(RAND()&lt;0.95,"Piped Water",F_Baseline_data!E199),F_Baseline_data!E199)</f>
        <v>Rainwater</v>
      </c>
      <c r="F199">
        <f t="shared" ca="1" si="6"/>
        <v>45</v>
      </c>
      <c r="G199">
        <v>3.2</v>
      </c>
      <c r="H199">
        <f ca="1">MAX(0,ROUND(F_Baseline_data!H199+(F_Baseline_data!C199-5)*200+(D199-30000)*0.015+(F199-50)*15-IF(I199=1,1200,0)+_xlfn.NORM.INV(RAND(),0,2500),-2))</f>
        <v>3000</v>
      </c>
      <c r="I199">
        <v>0</v>
      </c>
      <c r="J199">
        <f>1</f>
        <v>1</v>
      </c>
      <c r="K199">
        <f>1</f>
        <v>1</v>
      </c>
      <c r="L199">
        <v>0</v>
      </c>
      <c r="M199">
        <f t="shared" ca="1" si="7"/>
        <v>0.72243198448548795</v>
      </c>
      <c r="N199">
        <v>0</v>
      </c>
      <c r="O199">
        <v>0</v>
      </c>
      <c r="P199">
        <v>0</v>
      </c>
    </row>
    <row r="200" spans="1:16" x14ac:dyDescent="0.3">
      <c r="A200" t="s">
        <v>308</v>
      </c>
      <c r="B200" t="s">
        <v>64</v>
      </c>
      <c r="C200">
        <f ca="1">IF(RAND()&lt;0.8,F_Baseline_data!C200,IF(RAND()&lt;0.85,F_Baseline_data!C200+1,IF(F_Baseline_data!C200&gt;3,C200-1,F_Baseline_data!C200)))</f>
        <v>8</v>
      </c>
      <c r="D200">
        <f ca="1">MAX(5000,ROUND(F_Baseline_data!D200*(1+_xlfn.NORM.INV(RAND(),0.12,0.1)),-2))</f>
        <v>30700</v>
      </c>
      <c r="E200" t="str">
        <f ca="1">IF(I200=1,IF(RAND()&lt;0.95,"Piped Water",F_Baseline_data!E200),F_Baseline_data!E200)</f>
        <v>Vendor</v>
      </c>
      <c r="F200">
        <f t="shared" ca="1" si="6"/>
        <v>35</v>
      </c>
      <c r="G200">
        <v>10.4</v>
      </c>
      <c r="H200">
        <f ca="1">MAX(0,ROUND(F_Baseline_data!H200+(F_Baseline_data!C200-5)*200+(D200-30000)*0.015+(F200-50)*15-IF(I200=1,1200,0)+_xlfn.NORM.INV(RAND(),0,2500),-2))</f>
        <v>4400</v>
      </c>
      <c r="I200">
        <v>0</v>
      </c>
      <c r="J200">
        <f>1</f>
        <v>1</v>
      </c>
      <c r="K200">
        <f>1</f>
        <v>1</v>
      </c>
      <c r="L200">
        <v>0</v>
      </c>
      <c r="M200">
        <f t="shared" ca="1" si="7"/>
        <v>0.76880419802415423</v>
      </c>
      <c r="N200">
        <v>0</v>
      </c>
      <c r="O200">
        <v>0</v>
      </c>
      <c r="P200">
        <v>0</v>
      </c>
    </row>
    <row r="201" spans="1:16" x14ac:dyDescent="0.3">
      <c r="A201" t="s">
        <v>309</v>
      </c>
      <c r="B201" t="s">
        <v>65</v>
      </c>
      <c r="C201">
        <f ca="1">IF(RAND()&lt;0.8,F_Baseline_data!C201,IF(RAND()&lt;0.85,F_Baseline_data!C201+1,IF(F_Baseline_data!C201&gt;3,C201-1,F_Baseline_data!C201)))</f>
        <v>6</v>
      </c>
      <c r="D201">
        <f ca="1">MAX(5000,ROUND(F_Baseline_data!D201*(1+_xlfn.NORM.INV(RAND(),0.12,0.1)),-2))</f>
        <v>67400</v>
      </c>
      <c r="E201" t="str">
        <f ca="1">IF(I201=1,IF(RAND()&lt;0.95,"Piped Water",F_Baseline_data!E201),F_Baseline_data!E201)</f>
        <v>River</v>
      </c>
      <c r="F201">
        <f t="shared" ca="1" si="6"/>
        <v>45</v>
      </c>
      <c r="G201">
        <v>3.5</v>
      </c>
      <c r="H201">
        <f ca="1">MAX(0,ROUND(F_Baseline_data!H201+(F_Baseline_data!C201-5)*200+(D201-30000)*0.015+(F201-50)*15-IF(I201=1,1200,0)+_xlfn.NORM.INV(RAND(),0,2500),-2))</f>
        <v>11300</v>
      </c>
      <c r="I201">
        <v>0</v>
      </c>
      <c r="J201">
        <f>1</f>
        <v>1</v>
      </c>
      <c r="K201">
        <f>1</f>
        <v>1</v>
      </c>
      <c r="L201">
        <v>0</v>
      </c>
      <c r="M201">
        <f t="shared" ca="1" si="7"/>
        <v>0.85067001751930749</v>
      </c>
      <c r="N201">
        <v>0</v>
      </c>
      <c r="O201">
        <v>0</v>
      </c>
      <c r="P201">
        <v>0</v>
      </c>
    </row>
    <row r="202" spans="1:16" x14ac:dyDescent="0.3">
      <c r="A202" t="s">
        <v>310</v>
      </c>
      <c r="B202" t="s">
        <v>64</v>
      </c>
      <c r="C202">
        <f ca="1">IF(RAND()&lt;0.8,F_Baseline_data!C202,IF(RAND()&lt;0.85,F_Baseline_data!C202+1,IF(F_Baseline_data!C202&gt;3,C202-1,F_Baseline_data!C202)))</f>
        <v>2</v>
      </c>
      <c r="D202">
        <f ca="1">MAX(5000,ROUND(F_Baseline_data!D202*(1+_xlfn.NORM.INV(RAND(),0.12,0.1)),-2))</f>
        <v>21500</v>
      </c>
      <c r="E202" t="str">
        <f ca="1">IF(I202=1,IF(RAND()&lt;0.95,"Piped Water",F_Baseline_data!E202),F_Baseline_data!E202)</f>
        <v>Vendor</v>
      </c>
      <c r="F202">
        <f t="shared" ca="1" si="6"/>
        <v>19</v>
      </c>
      <c r="G202">
        <v>2.5</v>
      </c>
      <c r="H202">
        <f ca="1">MAX(0,ROUND(F_Baseline_data!H202+(F_Baseline_data!C202-5)*200+(D202-30000)*0.015+(F202-50)*15-IF(I202=1,1200,0)+_xlfn.NORM.INV(RAND(),0,2500),-2))</f>
        <v>5100</v>
      </c>
      <c r="I202">
        <v>0</v>
      </c>
      <c r="J202">
        <f>1</f>
        <v>1</v>
      </c>
      <c r="K202">
        <f>1</f>
        <v>1</v>
      </c>
      <c r="L202">
        <v>0</v>
      </c>
      <c r="M202">
        <f t="shared" ca="1" si="7"/>
        <v>0.83033217035479123</v>
      </c>
      <c r="N202">
        <v>0</v>
      </c>
      <c r="O202">
        <v>0</v>
      </c>
      <c r="P202">
        <v>0</v>
      </c>
    </row>
    <row r="203" spans="1:16" x14ac:dyDescent="0.3">
      <c r="A203" t="s">
        <v>311</v>
      </c>
      <c r="B203" t="s">
        <v>62</v>
      </c>
      <c r="C203">
        <f ca="1">IF(RAND()&lt;0.8,F_Baseline_data!C203,IF(RAND()&lt;0.85,F_Baseline_data!C203+1,IF(F_Baseline_data!C203&gt;3,C203-1,F_Baseline_data!C203)))</f>
        <v>6</v>
      </c>
      <c r="D203">
        <f ca="1">MAX(5000,ROUND(F_Baseline_data!D203*(1+_xlfn.NORM.INV(RAND(),0.12,0.1)),-2))</f>
        <v>31500</v>
      </c>
      <c r="E203" t="str">
        <f ca="1">IF(I203=1,IF(RAND()&lt;0.95,"Piped Water",F_Baseline_data!E203),F_Baseline_data!E203)</f>
        <v>Rainwater</v>
      </c>
      <c r="F203">
        <f t="shared" ca="1" si="6"/>
        <v>69</v>
      </c>
      <c r="G203">
        <v>6.5</v>
      </c>
      <c r="H203">
        <f ca="1">MAX(0,ROUND(F_Baseline_data!H203+(F_Baseline_data!C203-5)*200+(D203-30000)*0.015+(F203-50)*15-IF(I203=1,1200,0)+_xlfn.NORM.INV(RAND(),0,2500),-2))</f>
        <v>0</v>
      </c>
      <c r="I203">
        <v>0</v>
      </c>
      <c r="J203">
        <f>1</f>
        <v>1</v>
      </c>
      <c r="K203">
        <f>1</f>
        <v>1</v>
      </c>
      <c r="L203">
        <v>0</v>
      </c>
      <c r="M203">
        <f t="shared" ca="1" si="7"/>
        <v>0.74190407454280993</v>
      </c>
      <c r="N203">
        <v>0</v>
      </c>
      <c r="O203">
        <v>0</v>
      </c>
      <c r="P203">
        <v>0</v>
      </c>
    </row>
    <row r="204" spans="1:16" x14ac:dyDescent="0.3">
      <c r="A204" t="s">
        <v>312</v>
      </c>
      <c r="B204" t="s">
        <v>513</v>
      </c>
      <c r="C204">
        <f ca="1">IF(RAND()&lt;0.8,F_Baseline_data!C204,IF(RAND()&lt;0.85,F_Baseline_data!C204+1,IF(F_Baseline_data!C204&gt;3,C204-1,F_Baseline_data!C204)))</f>
        <v>6</v>
      </c>
      <c r="D204">
        <f ca="1">MAX(5000,ROUND(F_Baseline_data!D204*(1+_xlfn.NORM.INV(RAND(),0.12,0.1)),-2))</f>
        <v>44600</v>
      </c>
      <c r="E204" t="str">
        <f ca="1">IF(I204=1,IF(RAND()&lt;0.95,"Piped Water",F_Baseline_data!E204),F_Baseline_data!E204)</f>
        <v>Borehole</v>
      </c>
      <c r="F204">
        <f t="shared" ca="1" si="6"/>
        <v>31</v>
      </c>
      <c r="G204">
        <v>8.3000000000000007</v>
      </c>
      <c r="H204">
        <f ca="1">MAX(0,ROUND(F_Baseline_data!H204+(F_Baseline_data!C204-5)*200+(D204-30000)*0.015+(F204-50)*15-IF(I204=1,1200,0)+_xlfn.NORM.INV(RAND(),0,2500),-2))</f>
        <v>3600</v>
      </c>
      <c r="I204">
        <v>0</v>
      </c>
      <c r="J204">
        <f>1</f>
        <v>1</v>
      </c>
      <c r="K204">
        <f>1</f>
        <v>1</v>
      </c>
      <c r="L204">
        <v>0</v>
      </c>
      <c r="M204">
        <f t="shared" ca="1" si="7"/>
        <v>4.964191094173187E-2</v>
      </c>
      <c r="N204">
        <v>0</v>
      </c>
      <c r="O204">
        <v>0</v>
      </c>
      <c r="P204">
        <v>0</v>
      </c>
    </row>
    <row r="205" spans="1:16" x14ac:dyDescent="0.3">
      <c r="A205" t="s">
        <v>313</v>
      </c>
      <c r="B205" t="s">
        <v>62</v>
      </c>
      <c r="C205">
        <f ca="1">IF(RAND()&lt;0.8,F_Baseline_data!C205,IF(RAND()&lt;0.85,F_Baseline_data!C205+1,IF(F_Baseline_data!C205&gt;3,C205-1,F_Baseline_data!C205)))</f>
        <v>7</v>
      </c>
      <c r="D205">
        <f ca="1">MAX(5000,ROUND(F_Baseline_data!D205*(1+_xlfn.NORM.INV(RAND(),0.12,0.1)),-2))</f>
        <v>75100</v>
      </c>
      <c r="E205" t="str">
        <f ca="1">IF(I205=1,IF(RAND()&lt;0.95,"Piped Water",F_Baseline_data!E205),F_Baseline_data!E205)</f>
        <v>River</v>
      </c>
      <c r="F205">
        <f t="shared" ca="1" si="6"/>
        <v>92</v>
      </c>
      <c r="G205">
        <v>7.2</v>
      </c>
      <c r="H205">
        <f ca="1">MAX(0,ROUND(F_Baseline_data!H205+(F_Baseline_data!C205-5)*200+(D205-30000)*0.015+(F205-50)*15-IF(I205=1,1200,0)+_xlfn.NORM.INV(RAND(),0,2500),-2))</f>
        <v>13100</v>
      </c>
      <c r="I205">
        <v>0</v>
      </c>
      <c r="J205">
        <f>1</f>
        <v>1</v>
      </c>
      <c r="K205">
        <f>1</f>
        <v>1</v>
      </c>
      <c r="L205">
        <v>0</v>
      </c>
      <c r="M205">
        <f t="shared" ca="1" si="7"/>
        <v>0.10276743887647</v>
      </c>
      <c r="N205">
        <v>0</v>
      </c>
      <c r="O205">
        <v>0</v>
      </c>
      <c r="P205">
        <v>0</v>
      </c>
    </row>
    <row r="206" spans="1:16" x14ac:dyDescent="0.3">
      <c r="A206" t="s">
        <v>314</v>
      </c>
      <c r="B206" t="s">
        <v>65</v>
      </c>
      <c r="C206">
        <f ca="1">IF(RAND()&lt;0.8,F_Baseline_data!C206,IF(RAND()&lt;0.85,F_Baseline_data!C206+1,IF(F_Baseline_data!C206&gt;3,C206-1,F_Baseline_data!C206)))</f>
        <v>4</v>
      </c>
      <c r="D206">
        <f ca="1">MAX(5000,ROUND(F_Baseline_data!D206*(1+_xlfn.NORM.INV(RAND(),0.12,0.1)),-2))</f>
        <v>58000</v>
      </c>
      <c r="E206" t="str">
        <f ca="1">IF(I206=1,IF(RAND()&lt;0.95,"Piped Water",F_Baseline_data!E206),F_Baseline_data!E206)</f>
        <v>Vendor</v>
      </c>
      <c r="F206">
        <f t="shared" ca="1" si="6"/>
        <v>23</v>
      </c>
      <c r="G206">
        <v>10</v>
      </c>
      <c r="H206">
        <f ca="1">MAX(0,ROUND(F_Baseline_data!H206+(F_Baseline_data!C206-5)*200+(D206-30000)*0.015+(F206-50)*15-IF(I206=1,1200,0)+_xlfn.NORM.INV(RAND(),0,2500),-2))</f>
        <v>10600</v>
      </c>
      <c r="I206">
        <v>0</v>
      </c>
      <c r="J206">
        <f>1</f>
        <v>1</v>
      </c>
      <c r="K206">
        <f>1</f>
        <v>1</v>
      </c>
      <c r="L206">
        <v>0</v>
      </c>
      <c r="M206">
        <f t="shared" ca="1" si="7"/>
        <v>0.14288528285311741</v>
      </c>
      <c r="N206">
        <v>0</v>
      </c>
      <c r="O206">
        <v>0</v>
      </c>
      <c r="P206">
        <v>0</v>
      </c>
    </row>
    <row r="207" spans="1:16" x14ac:dyDescent="0.3">
      <c r="A207" t="s">
        <v>315</v>
      </c>
      <c r="B207" t="s">
        <v>513</v>
      </c>
      <c r="C207">
        <f ca="1">IF(RAND()&lt;0.8,F_Baseline_data!C207,IF(RAND()&lt;0.85,F_Baseline_data!C207+1,IF(F_Baseline_data!C207&gt;3,C207-1,F_Baseline_data!C207)))</f>
        <v>2</v>
      </c>
      <c r="D207">
        <f ca="1">MAX(5000,ROUND(F_Baseline_data!D207*(1+_xlfn.NORM.INV(RAND(),0.12,0.1)),-2))</f>
        <v>39500</v>
      </c>
      <c r="E207" t="str">
        <f ca="1">IF(I207=1,IF(RAND()&lt;0.95,"Piped Water",F_Baseline_data!E207),F_Baseline_data!E207)</f>
        <v>Vendor</v>
      </c>
      <c r="F207">
        <f t="shared" ca="1" si="6"/>
        <v>59</v>
      </c>
      <c r="G207">
        <v>7.3</v>
      </c>
      <c r="H207">
        <f ca="1">MAX(0,ROUND(F_Baseline_data!H207+(F_Baseline_data!C207-5)*200+(D207-30000)*0.015+(F207-50)*15-IF(I207=1,1200,0)+_xlfn.NORM.INV(RAND(),0,2500),-2))</f>
        <v>4700</v>
      </c>
      <c r="I207">
        <v>0</v>
      </c>
      <c r="J207">
        <f>1</f>
        <v>1</v>
      </c>
      <c r="K207">
        <f>1</f>
        <v>1</v>
      </c>
      <c r="L207">
        <v>0</v>
      </c>
      <c r="M207">
        <f t="shared" ca="1" si="7"/>
        <v>0.71069207483337504</v>
      </c>
      <c r="N207">
        <v>0</v>
      </c>
      <c r="O207">
        <v>0</v>
      </c>
      <c r="P207">
        <v>0</v>
      </c>
    </row>
    <row r="208" spans="1:16" x14ac:dyDescent="0.3">
      <c r="A208" t="s">
        <v>316</v>
      </c>
      <c r="B208" t="s">
        <v>513</v>
      </c>
      <c r="C208">
        <f ca="1">IF(RAND()&lt;0.8,F_Baseline_data!C208,IF(RAND()&lt;0.85,F_Baseline_data!C208+1,IF(F_Baseline_data!C208&gt;3,C208-1,F_Baseline_data!C208)))</f>
        <v>9</v>
      </c>
      <c r="D208">
        <f ca="1">MAX(5000,ROUND(F_Baseline_data!D208*(1+_xlfn.NORM.INV(RAND(),0.12,0.1)),-2))</f>
        <v>74300</v>
      </c>
      <c r="E208" t="str">
        <f ca="1">IF(I208=1,IF(RAND()&lt;0.95,"Piped Water",F_Baseline_data!E208),F_Baseline_data!E208)</f>
        <v>River</v>
      </c>
      <c r="F208">
        <f t="shared" ca="1" si="6"/>
        <v>51</v>
      </c>
      <c r="G208">
        <v>12.1</v>
      </c>
      <c r="H208">
        <f ca="1">MAX(0,ROUND(F_Baseline_data!H208+(F_Baseline_data!C208-5)*200+(D208-30000)*0.015+(F208-50)*15-IF(I208=1,1200,0)+_xlfn.NORM.INV(RAND(),0,2500),-2))</f>
        <v>0</v>
      </c>
      <c r="I208">
        <v>0</v>
      </c>
      <c r="J208">
        <f>1</f>
        <v>1</v>
      </c>
      <c r="K208">
        <f>1</f>
        <v>1</v>
      </c>
      <c r="L208">
        <v>0</v>
      </c>
      <c r="M208">
        <f t="shared" ca="1" si="7"/>
        <v>0.17274297357721358</v>
      </c>
      <c r="N208">
        <v>0</v>
      </c>
      <c r="O208">
        <v>0</v>
      </c>
      <c r="P208">
        <v>0</v>
      </c>
    </row>
    <row r="209" spans="1:16" x14ac:dyDescent="0.3">
      <c r="A209" t="s">
        <v>317</v>
      </c>
      <c r="B209" t="s">
        <v>64</v>
      </c>
      <c r="C209">
        <f ca="1">IF(RAND()&lt;0.8,F_Baseline_data!C209,IF(RAND()&lt;0.85,F_Baseline_data!C209+1,IF(F_Baseline_data!C209&gt;3,C209-1,F_Baseline_data!C209)))</f>
        <v>7</v>
      </c>
      <c r="D209">
        <f ca="1">MAX(5000,ROUND(F_Baseline_data!D209*(1+_xlfn.NORM.INV(RAND(),0.12,0.1)),-2))</f>
        <v>74800</v>
      </c>
      <c r="E209" t="str">
        <f ca="1">IF(I209=1,IF(RAND()&lt;0.95,"Piped Water",F_Baseline_data!E209),F_Baseline_data!E209)</f>
        <v>Rainwater</v>
      </c>
      <c r="F209">
        <f t="shared" ca="1" si="6"/>
        <v>68</v>
      </c>
      <c r="G209">
        <v>10</v>
      </c>
      <c r="H209">
        <f ca="1">MAX(0,ROUND(F_Baseline_data!H209+(F_Baseline_data!C209-5)*200+(D209-30000)*0.015+(F209-50)*15-IF(I209=1,1200,0)+_xlfn.NORM.INV(RAND(),0,2500),-2))</f>
        <v>4200</v>
      </c>
      <c r="I209">
        <v>0</v>
      </c>
      <c r="J209">
        <f>1</f>
        <v>1</v>
      </c>
      <c r="K209">
        <f>1</f>
        <v>1</v>
      </c>
      <c r="L209">
        <v>0</v>
      </c>
      <c r="M209">
        <f t="shared" ca="1" si="7"/>
        <v>0.10573195906699306</v>
      </c>
      <c r="N209">
        <v>0</v>
      </c>
      <c r="O209">
        <v>0</v>
      </c>
      <c r="P209">
        <v>0</v>
      </c>
    </row>
    <row r="210" spans="1:16" x14ac:dyDescent="0.3">
      <c r="A210" t="s">
        <v>318</v>
      </c>
      <c r="B210" t="s">
        <v>65</v>
      </c>
      <c r="C210">
        <f ca="1">IF(RAND()&lt;0.8,F_Baseline_data!C210,IF(RAND()&lt;0.85,F_Baseline_data!C210+1,IF(F_Baseline_data!C210&gt;3,C210-1,F_Baseline_data!C210)))</f>
        <v>10</v>
      </c>
      <c r="D210">
        <f ca="1">MAX(5000,ROUND(F_Baseline_data!D210*(1+_xlfn.NORM.INV(RAND(),0.12,0.1)),-2))</f>
        <v>18200</v>
      </c>
      <c r="E210" t="str">
        <f ca="1">IF(I210=1,IF(RAND()&lt;0.95,"Piped Water",F_Baseline_data!E210),F_Baseline_data!E210)</f>
        <v>River</v>
      </c>
      <c r="F210">
        <f t="shared" ca="1" si="6"/>
        <v>116</v>
      </c>
      <c r="G210">
        <v>6.2</v>
      </c>
      <c r="H210">
        <f ca="1">MAX(0,ROUND(F_Baseline_data!H210+(F_Baseline_data!C210-5)*200+(D210-30000)*0.015+(F210-50)*15-IF(I210=1,1200,0)+_xlfn.NORM.INV(RAND(),0,2500),-2))</f>
        <v>10400</v>
      </c>
      <c r="I210">
        <v>0</v>
      </c>
      <c r="J210">
        <f>1</f>
        <v>1</v>
      </c>
      <c r="K210">
        <f>1</f>
        <v>1</v>
      </c>
      <c r="L210">
        <v>0</v>
      </c>
      <c r="M210">
        <f t="shared" ca="1" si="7"/>
        <v>6.4517037584814418E-2</v>
      </c>
      <c r="N210">
        <v>0</v>
      </c>
      <c r="O210">
        <v>0</v>
      </c>
      <c r="P210">
        <v>0</v>
      </c>
    </row>
    <row r="211" spans="1:16" x14ac:dyDescent="0.3">
      <c r="A211" t="s">
        <v>319</v>
      </c>
      <c r="B211" t="s">
        <v>62</v>
      </c>
      <c r="C211">
        <f ca="1">IF(RAND()&lt;0.8,F_Baseline_data!C211,IF(RAND()&lt;0.85,F_Baseline_data!C211+1,IF(F_Baseline_data!C211&gt;3,C211-1,F_Baseline_data!C211)))</f>
        <v>9</v>
      </c>
      <c r="D211">
        <f ca="1">MAX(5000,ROUND(F_Baseline_data!D211*(1+_xlfn.NORM.INV(RAND(),0.12,0.1)),-2))</f>
        <v>23100</v>
      </c>
      <c r="E211" t="str">
        <f ca="1">IF(I211=1,IF(RAND()&lt;0.95,"Piped Water",F_Baseline_data!E211),F_Baseline_data!E211)</f>
        <v>Borehole</v>
      </c>
      <c r="F211">
        <f t="shared" ca="1" si="6"/>
        <v>35</v>
      </c>
      <c r="G211">
        <v>7.1</v>
      </c>
      <c r="H211">
        <f ca="1">MAX(0,ROUND(F_Baseline_data!H211+(F_Baseline_data!C211-5)*200+(D211-30000)*0.015+(F211-50)*15-IF(I211=1,1200,0)+_xlfn.NORM.INV(RAND(),0,2500),-2))</f>
        <v>7900</v>
      </c>
      <c r="I211">
        <v>0</v>
      </c>
      <c r="J211">
        <f>1</f>
        <v>1</v>
      </c>
      <c r="K211">
        <f>1</f>
        <v>1</v>
      </c>
      <c r="L211">
        <v>0</v>
      </c>
      <c r="M211">
        <f t="shared" ca="1" si="7"/>
        <v>0.66374938468951239</v>
      </c>
      <c r="N211">
        <v>0</v>
      </c>
      <c r="O211">
        <v>0</v>
      </c>
      <c r="P211">
        <v>0</v>
      </c>
    </row>
    <row r="212" spans="1:16" x14ac:dyDescent="0.3">
      <c r="A212" t="s">
        <v>320</v>
      </c>
      <c r="B212" t="s">
        <v>62</v>
      </c>
      <c r="C212">
        <f ca="1">IF(RAND()&lt;0.8,F_Baseline_data!C212,IF(RAND()&lt;0.85,F_Baseline_data!C212+1,IF(F_Baseline_data!C212&gt;3,C212-1,F_Baseline_data!C212)))</f>
        <v>5</v>
      </c>
      <c r="D212">
        <f ca="1">MAX(5000,ROUND(F_Baseline_data!D212*(1+_xlfn.NORM.INV(RAND(),0.12,0.1)),-2))</f>
        <v>38100</v>
      </c>
      <c r="E212" t="str">
        <f ca="1">IF(I212=1,IF(RAND()&lt;0.95,"Piped Water",F_Baseline_data!E212),F_Baseline_data!E212)</f>
        <v>Borehole</v>
      </c>
      <c r="F212">
        <f t="shared" ca="1" si="6"/>
        <v>20</v>
      </c>
      <c r="G212">
        <v>2.8</v>
      </c>
      <c r="H212">
        <f ca="1">MAX(0,ROUND(F_Baseline_data!H212+(F_Baseline_data!C212-5)*200+(D212-30000)*0.015+(F212-50)*15-IF(I212=1,1200,0)+_xlfn.NORM.INV(RAND(),0,2500),-2))</f>
        <v>4700</v>
      </c>
      <c r="I212">
        <v>0</v>
      </c>
      <c r="J212">
        <f>1</f>
        <v>1</v>
      </c>
      <c r="K212">
        <f>1</f>
        <v>1</v>
      </c>
      <c r="L212">
        <v>0</v>
      </c>
      <c r="M212">
        <f t="shared" ca="1" si="7"/>
        <v>0.39507517740725084</v>
      </c>
      <c r="N212">
        <v>0</v>
      </c>
      <c r="O212">
        <v>0</v>
      </c>
      <c r="P212">
        <v>0</v>
      </c>
    </row>
    <row r="213" spans="1:16" x14ac:dyDescent="0.3">
      <c r="A213" t="s">
        <v>321</v>
      </c>
      <c r="B213" t="s">
        <v>65</v>
      </c>
      <c r="C213">
        <f ca="1">IF(RAND()&lt;0.8,F_Baseline_data!C213,IF(RAND()&lt;0.85,F_Baseline_data!C213+1,IF(F_Baseline_data!C213&gt;3,C213-1,F_Baseline_data!C213)))</f>
        <v>5</v>
      </c>
      <c r="D213">
        <f ca="1">MAX(5000,ROUND(F_Baseline_data!D213*(1+_xlfn.NORM.INV(RAND(),0.12,0.1)),-2))</f>
        <v>82200</v>
      </c>
      <c r="E213" t="str">
        <f ca="1">IF(I213=1,IF(RAND()&lt;0.95,"Piped Water",F_Baseline_data!E213),F_Baseline_data!E213)</f>
        <v>River</v>
      </c>
      <c r="F213">
        <f t="shared" ca="1" si="6"/>
        <v>47</v>
      </c>
      <c r="G213">
        <v>0.8</v>
      </c>
      <c r="H213">
        <f ca="1">MAX(0,ROUND(F_Baseline_data!H213+(F_Baseline_data!C213-5)*200+(D213-30000)*0.015+(F213-50)*15-IF(I213=1,1200,0)+_xlfn.NORM.INV(RAND(),0,2500),-2))</f>
        <v>9700</v>
      </c>
      <c r="I213">
        <v>0</v>
      </c>
      <c r="J213">
        <f>1</f>
        <v>1</v>
      </c>
      <c r="K213">
        <f>1</f>
        <v>1</v>
      </c>
      <c r="L213">
        <v>0</v>
      </c>
      <c r="M213">
        <f t="shared" ca="1" si="7"/>
        <v>0.7560939267978346</v>
      </c>
      <c r="N213">
        <v>0</v>
      </c>
      <c r="O213">
        <v>0</v>
      </c>
      <c r="P213">
        <v>0</v>
      </c>
    </row>
    <row r="214" spans="1:16" x14ac:dyDescent="0.3">
      <c r="A214" t="s">
        <v>322</v>
      </c>
      <c r="B214" t="s">
        <v>65</v>
      </c>
      <c r="C214">
        <f ca="1">IF(RAND()&lt;0.8,F_Baseline_data!C214,IF(RAND()&lt;0.85,F_Baseline_data!C214+1,IF(F_Baseline_data!C214&gt;3,C214-1,F_Baseline_data!C214)))</f>
        <v>3</v>
      </c>
      <c r="D214">
        <f ca="1">MAX(5000,ROUND(F_Baseline_data!D214*(1+_xlfn.NORM.INV(RAND(),0.12,0.1)),-2))</f>
        <v>22300</v>
      </c>
      <c r="E214" t="str">
        <f ca="1">IF(I214=1,IF(RAND()&lt;0.95,"Piped Water",F_Baseline_data!E214),F_Baseline_data!E214)</f>
        <v>River</v>
      </c>
      <c r="F214">
        <f t="shared" ca="1" si="6"/>
        <v>91</v>
      </c>
      <c r="G214">
        <v>3</v>
      </c>
      <c r="H214">
        <f ca="1">MAX(0,ROUND(F_Baseline_data!H214+(F_Baseline_data!C214-5)*200+(D214-30000)*0.015+(F214-50)*15-IF(I214=1,1200,0)+_xlfn.NORM.INV(RAND(),0,2500),-2))</f>
        <v>11500</v>
      </c>
      <c r="I214">
        <v>0</v>
      </c>
      <c r="J214">
        <f>1</f>
        <v>1</v>
      </c>
      <c r="K214">
        <f>1</f>
        <v>1</v>
      </c>
      <c r="L214">
        <v>0</v>
      </c>
      <c r="M214">
        <f t="shared" ca="1" si="7"/>
        <v>0.7987462245618504</v>
      </c>
      <c r="N214">
        <v>0</v>
      </c>
      <c r="O214">
        <v>0</v>
      </c>
      <c r="P214">
        <v>0</v>
      </c>
    </row>
    <row r="215" spans="1:16" x14ac:dyDescent="0.3">
      <c r="A215" t="s">
        <v>323</v>
      </c>
      <c r="B215" t="s">
        <v>65</v>
      </c>
      <c r="C215">
        <f ca="1">IF(RAND()&lt;0.8,F_Baseline_data!C215,IF(RAND()&lt;0.85,F_Baseline_data!C215+1,IF(F_Baseline_data!C215&gt;3,C215-1,F_Baseline_data!C215)))</f>
        <v>11</v>
      </c>
      <c r="D215">
        <f ca="1">MAX(5000,ROUND(F_Baseline_data!D215*(1+_xlfn.NORM.INV(RAND(),0.12,0.1)),-2))</f>
        <v>63200</v>
      </c>
      <c r="E215" t="str">
        <f ca="1">IF(I215=1,IF(RAND()&lt;0.95,"Piped Water",F_Baseline_data!E215),F_Baseline_data!E215)</f>
        <v>Vendor</v>
      </c>
      <c r="F215">
        <f t="shared" ca="1" si="6"/>
        <v>55</v>
      </c>
      <c r="G215">
        <v>10.5</v>
      </c>
      <c r="H215">
        <f ca="1">MAX(0,ROUND(F_Baseline_data!H215+(F_Baseline_data!C215-5)*200+(D215-30000)*0.015+(F215-50)*15-IF(I215=1,1200,0)+_xlfn.NORM.INV(RAND(),0,2500),-2))</f>
        <v>8500</v>
      </c>
      <c r="I215">
        <v>0</v>
      </c>
      <c r="J215">
        <f>1</f>
        <v>1</v>
      </c>
      <c r="K215">
        <f>1</f>
        <v>1</v>
      </c>
      <c r="L215">
        <v>0</v>
      </c>
      <c r="M215">
        <f t="shared" ca="1" si="7"/>
        <v>0.7801353303337174</v>
      </c>
      <c r="N215">
        <v>0</v>
      </c>
      <c r="O215">
        <v>0</v>
      </c>
      <c r="P215">
        <v>0</v>
      </c>
    </row>
    <row r="216" spans="1:16" x14ac:dyDescent="0.3">
      <c r="A216" t="s">
        <v>324</v>
      </c>
      <c r="B216" t="s">
        <v>65</v>
      </c>
      <c r="C216">
        <f ca="1">IF(RAND()&lt;0.8,F_Baseline_data!C216,IF(RAND()&lt;0.85,F_Baseline_data!C216+1,IF(F_Baseline_data!C216&gt;3,C216-1,F_Baseline_data!C216)))</f>
        <v>7</v>
      </c>
      <c r="D216">
        <f ca="1">MAX(5000,ROUND(F_Baseline_data!D216*(1+_xlfn.NORM.INV(RAND(),0.12,0.1)),-2))</f>
        <v>84300</v>
      </c>
      <c r="E216" t="str">
        <f ca="1">IF(I216=1,IF(RAND()&lt;0.95,"Piped Water",F_Baseline_data!E216),F_Baseline_data!E216)</f>
        <v>River</v>
      </c>
      <c r="F216">
        <f t="shared" ca="1" si="6"/>
        <v>59</v>
      </c>
      <c r="G216">
        <v>6.5</v>
      </c>
      <c r="H216">
        <f ca="1">MAX(0,ROUND(F_Baseline_data!H216+(F_Baseline_data!C216-5)*200+(D216-30000)*0.015+(F216-50)*15-IF(I216=1,1200,0)+_xlfn.NORM.INV(RAND(),0,2500),-2))</f>
        <v>10500</v>
      </c>
      <c r="I216">
        <v>0</v>
      </c>
      <c r="J216">
        <f>1</f>
        <v>1</v>
      </c>
      <c r="K216">
        <f>1</f>
        <v>1</v>
      </c>
      <c r="L216">
        <v>0</v>
      </c>
      <c r="M216">
        <f t="shared" ca="1" si="7"/>
        <v>0.94061738633926106</v>
      </c>
      <c r="N216">
        <v>0</v>
      </c>
      <c r="O216">
        <v>0</v>
      </c>
      <c r="P216">
        <v>0</v>
      </c>
    </row>
    <row r="217" spans="1:16" x14ac:dyDescent="0.3">
      <c r="A217" t="s">
        <v>325</v>
      </c>
      <c r="B217" t="s">
        <v>65</v>
      </c>
      <c r="C217">
        <f ca="1">IF(RAND()&lt;0.8,F_Baseline_data!C217,IF(RAND()&lt;0.85,F_Baseline_data!C217+1,IF(F_Baseline_data!C217&gt;3,C217-1,F_Baseline_data!C217)))</f>
        <v>4</v>
      </c>
      <c r="D217">
        <f ca="1">MAX(5000,ROUND(F_Baseline_data!D217*(1+_xlfn.NORM.INV(RAND(),0.12,0.1)),-2))</f>
        <v>34600</v>
      </c>
      <c r="E217" t="str">
        <f ca="1">IF(I217=1,IF(RAND()&lt;0.95,"Piped Water",F_Baseline_data!E217),F_Baseline_data!E217)</f>
        <v>Rainwater</v>
      </c>
      <c r="F217">
        <f t="shared" ca="1" si="6"/>
        <v>35</v>
      </c>
      <c r="G217">
        <v>13.9</v>
      </c>
      <c r="H217">
        <f ca="1">MAX(0,ROUND(F_Baseline_data!H217+(F_Baseline_data!C217-5)*200+(D217-30000)*0.015+(F217-50)*15-IF(I217=1,1200,0)+_xlfn.NORM.INV(RAND(),0,2500),-2))</f>
        <v>2200</v>
      </c>
      <c r="I217">
        <v>0</v>
      </c>
      <c r="J217">
        <f>1</f>
        <v>1</v>
      </c>
      <c r="K217">
        <f>1</f>
        <v>1</v>
      </c>
      <c r="L217">
        <v>0</v>
      </c>
      <c r="M217">
        <f t="shared" ca="1" si="7"/>
        <v>0.85258153385587665</v>
      </c>
      <c r="N217">
        <v>0</v>
      </c>
      <c r="O217">
        <v>0</v>
      </c>
      <c r="P217">
        <v>0</v>
      </c>
    </row>
    <row r="218" spans="1:16" x14ac:dyDescent="0.3">
      <c r="A218" t="s">
        <v>326</v>
      </c>
      <c r="B218" t="s">
        <v>513</v>
      </c>
      <c r="C218">
        <f ca="1">IF(RAND()&lt;0.8,F_Baseline_data!C218,IF(RAND()&lt;0.85,F_Baseline_data!C218+1,IF(F_Baseline_data!C218&gt;3,C218-1,F_Baseline_data!C218)))</f>
        <v>3</v>
      </c>
      <c r="D218">
        <f ca="1">MAX(5000,ROUND(F_Baseline_data!D218*(1+_xlfn.NORM.INV(RAND(),0.12,0.1)),-2))</f>
        <v>33500</v>
      </c>
      <c r="E218" t="str">
        <f ca="1">IF(I218=1,IF(RAND()&lt;0.95,"Piped Water",F_Baseline_data!E218),F_Baseline_data!E218)</f>
        <v>Rainwater</v>
      </c>
      <c r="F218">
        <f t="shared" ca="1" si="6"/>
        <v>41</v>
      </c>
      <c r="G218">
        <v>9.8000000000000007</v>
      </c>
      <c r="H218">
        <f ca="1">MAX(0,ROUND(F_Baseline_data!H218+(F_Baseline_data!C218-5)*200+(D218-30000)*0.015+(F218-50)*15-IF(I218=1,1200,0)+_xlfn.NORM.INV(RAND(),0,2500),-2))</f>
        <v>3700</v>
      </c>
      <c r="I218">
        <v>0</v>
      </c>
      <c r="J218">
        <f>1</f>
        <v>1</v>
      </c>
      <c r="K218">
        <f>1</f>
        <v>1</v>
      </c>
      <c r="L218">
        <v>0</v>
      </c>
      <c r="M218">
        <f t="shared" ca="1" si="7"/>
        <v>0.88239509417596174</v>
      </c>
      <c r="N218">
        <v>0</v>
      </c>
      <c r="O218">
        <v>0</v>
      </c>
      <c r="P218">
        <v>0</v>
      </c>
    </row>
    <row r="219" spans="1:16" x14ac:dyDescent="0.3">
      <c r="A219" t="s">
        <v>327</v>
      </c>
      <c r="B219" t="s">
        <v>62</v>
      </c>
      <c r="C219">
        <f ca="1">IF(RAND()&lt;0.8,F_Baseline_data!C219,IF(RAND()&lt;0.85,F_Baseline_data!C219+1,IF(F_Baseline_data!C219&gt;3,C219-1,F_Baseline_data!C219)))</f>
        <v>7</v>
      </c>
      <c r="D219">
        <f ca="1">MAX(5000,ROUND(F_Baseline_data!D219*(1+_xlfn.NORM.INV(RAND(),0.12,0.1)),-2))</f>
        <v>28800</v>
      </c>
      <c r="E219" t="str">
        <f ca="1">IF(I219=1,IF(RAND()&lt;0.95,"Piped Water",F_Baseline_data!E219),F_Baseline_data!E219)</f>
        <v>Vendor</v>
      </c>
      <c r="F219">
        <f t="shared" ca="1" si="6"/>
        <v>30</v>
      </c>
      <c r="G219">
        <v>4.3</v>
      </c>
      <c r="H219">
        <f ca="1">MAX(0,ROUND(F_Baseline_data!H219+(F_Baseline_data!C219-5)*200+(D219-30000)*0.015+(F219-50)*15-IF(I219=1,1200,0)+_xlfn.NORM.INV(RAND(),0,2500),-2))</f>
        <v>2100</v>
      </c>
      <c r="I219">
        <v>0</v>
      </c>
      <c r="J219">
        <f>1</f>
        <v>1</v>
      </c>
      <c r="K219">
        <f>1</f>
        <v>1</v>
      </c>
      <c r="L219">
        <v>0</v>
      </c>
      <c r="M219">
        <f t="shared" ca="1" si="7"/>
        <v>0.62762656019653951</v>
      </c>
      <c r="N219">
        <v>0</v>
      </c>
      <c r="O219">
        <v>0</v>
      </c>
      <c r="P219">
        <v>0</v>
      </c>
    </row>
    <row r="220" spans="1:16" x14ac:dyDescent="0.3">
      <c r="A220" t="s">
        <v>328</v>
      </c>
      <c r="B220" t="s">
        <v>64</v>
      </c>
      <c r="C220">
        <f ca="1">IF(RAND()&lt;0.8,F_Baseline_data!C220,IF(RAND()&lt;0.85,F_Baseline_data!C220+1,IF(F_Baseline_data!C220&gt;3,C220-1,F_Baseline_data!C220)))</f>
        <v>6</v>
      </c>
      <c r="D220">
        <f ca="1">MAX(5000,ROUND(F_Baseline_data!D220*(1+_xlfn.NORM.INV(RAND(),0.12,0.1)),-2))</f>
        <v>30200</v>
      </c>
      <c r="E220" t="str">
        <f ca="1">IF(I220=1,IF(RAND()&lt;0.95,"Piped Water",F_Baseline_data!E220),F_Baseline_data!E220)</f>
        <v>River</v>
      </c>
      <c r="F220">
        <f t="shared" ca="1" si="6"/>
        <v>116</v>
      </c>
      <c r="G220">
        <v>0.9</v>
      </c>
      <c r="H220">
        <f ca="1">MAX(0,ROUND(F_Baseline_data!H220+(F_Baseline_data!C220-5)*200+(D220-30000)*0.015+(F220-50)*15-IF(I220=1,1200,0)+_xlfn.NORM.INV(RAND(),0,2500),-2))</f>
        <v>8500</v>
      </c>
      <c r="I220">
        <v>0</v>
      </c>
      <c r="J220">
        <f>1</f>
        <v>1</v>
      </c>
      <c r="K220">
        <f>1</f>
        <v>1</v>
      </c>
      <c r="L220">
        <v>0</v>
      </c>
      <c r="M220">
        <f t="shared" ca="1" si="7"/>
        <v>0.68096332049039565</v>
      </c>
      <c r="N220">
        <v>0</v>
      </c>
      <c r="O220">
        <v>0</v>
      </c>
      <c r="P220">
        <v>0</v>
      </c>
    </row>
    <row r="221" spans="1:16" x14ac:dyDescent="0.3">
      <c r="A221" t="s">
        <v>329</v>
      </c>
      <c r="B221" t="s">
        <v>62</v>
      </c>
      <c r="C221">
        <f ca="1">IF(RAND()&lt;0.8,F_Baseline_data!C221,IF(RAND()&lt;0.85,F_Baseline_data!C221+1,IF(F_Baseline_data!C221&gt;3,C221-1,F_Baseline_data!C221)))</f>
        <v>6</v>
      </c>
      <c r="D221">
        <f ca="1">MAX(5000,ROUND(F_Baseline_data!D221*(1+_xlfn.NORM.INV(RAND(),0.12,0.1)),-2))</f>
        <v>129600</v>
      </c>
      <c r="E221" t="str">
        <f ca="1">IF(I221=1,IF(RAND()&lt;0.95,"Piped Water",F_Baseline_data!E221),F_Baseline_data!E221)</f>
        <v>Borehole</v>
      </c>
      <c r="F221">
        <f t="shared" ca="1" si="6"/>
        <v>29</v>
      </c>
      <c r="G221">
        <v>1.6</v>
      </c>
      <c r="H221">
        <f ca="1">MAX(0,ROUND(F_Baseline_data!H221+(F_Baseline_data!C221-5)*200+(D221-30000)*0.015+(F221-50)*15-IF(I221=1,1200,0)+_xlfn.NORM.INV(RAND(),0,2500),-2))</f>
        <v>8700</v>
      </c>
      <c r="I221">
        <v>0</v>
      </c>
      <c r="J221">
        <f>1</f>
        <v>1</v>
      </c>
      <c r="K221">
        <f>1</f>
        <v>1</v>
      </c>
      <c r="L221">
        <v>0</v>
      </c>
      <c r="M221">
        <f t="shared" ca="1" si="7"/>
        <v>0.30835208435036798</v>
      </c>
      <c r="N221">
        <v>0</v>
      </c>
      <c r="O221">
        <v>0</v>
      </c>
      <c r="P221">
        <v>0</v>
      </c>
    </row>
    <row r="222" spans="1:16" x14ac:dyDescent="0.3">
      <c r="A222" t="s">
        <v>330</v>
      </c>
      <c r="B222" t="s">
        <v>65</v>
      </c>
      <c r="C222">
        <f ca="1">IF(RAND()&lt;0.8,F_Baseline_data!C222,IF(RAND()&lt;0.85,F_Baseline_data!C222+1,IF(F_Baseline_data!C222&gt;3,C222-1,F_Baseline_data!C222)))</f>
        <v>6</v>
      </c>
      <c r="D222">
        <f ca="1">MAX(5000,ROUND(F_Baseline_data!D222*(1+_xlfn.NORM.INV(RAND(),0.12,0.1)),-2))</f>
        <v>39800</v>
      </c>
      <c r="E222" t="str">
        <f ca="1">IF(I222=1,IF(RAND()&lt;0.95,"Piped Water",F_Baseline_data!E222),F_Baseline_data!E222)</f>
        <v>River</v>
      </c>
      <c r="F222">
        <f t="shared" ca="1" si="6"/>
        <v>99</v>
      </c>
      <c r="G222">
        <v>1.2</v>
      </c>
      <c r="H222">
        <f ca="1">MAX(0,ROUND(F_Baseline_data!H222+(F_Baseline_data!C222-5)*200+(D222-30000)*0.015+(F222-50)*15-IF(I222=1,1200,0)+_xlfn.NORM.INV(RAND(),0,2500),-2))</f>
        <v>10100</v>
      </c>
      <c r="I222">
        <v>0</v>
      </c>
      <c r="J222">
        <f>1</f>
        <v>1</v>
      </c>
      <c r="K222">
        <f>1</f>
        <v>1</v>
      </c>
      <c r="L222">
        <v>0</v>
      </c>
      <c r="M222">
        <f t="shared" ca="1" si="7"/>
        <v>0.90603077082156658</v>
      </c>
      <c r="N222">
        <v>0</v>
      </c>
      <c r="O222">
        <v>0</v>
      </c>
      <c r="P222">
        <v>0</v>
      </c>
    </row>
    <row r="223" spans="1:16" x14ac:dyDescent="0.3">
      <c r="A223" t="s">
        <v>331</v>
      </c>
      <c r="B223" t="s">
        <v>64</v>
      </c>
      <c r="C223">
        <f ca="1">IF(RAND()&lt;0.8,F_Baseline_data!C223,IF(RAND()&lt;0.85,F_Baseline_data!C223+1,IF(F_Baseline_data!C223&gt;3,C223-1,F_Baseline_data!C223)))</f>
        <v>4</v>
      </c>
      <c r="D223">
        <f ca="1">MAX(5000,ROUND(F_Baseline_data!D223*(1+_xlfn.NORM.INV(RAND(),0.12,0.1)),-2))</f>
        <v>26100</v>
      </c>
      <c r="E223" t="str">
        <f ca="1">IF(I223=1,IF(RAND()&lt;0.95,"Piped Water",F_Baseline_data!E223),F_Baseline_data!E223)</f>
        <v>River</v>
      </c>
      <c r="F223">
        <f t="shared" ca="1" si="6"/>
        <v>63</v>
      </c>
      <c r="G223">
        <v>10.1</v>
      </c>
      <c r="H223">
        <f ca="1">MAX(0,ROUND(F_Baseline_data!H223+(F_Baseline_data!C223-5)*200+(D223-30000)*0.015+(F223-50)*15-IF(I223=1,1200,0)+_xlfn.NORM.INV(RAND(),0,2500),-2))</f>
        <v>300</v>
      </c>
      <c r="I223">
        <v>0</v>
      </c>
      <c r="J223">
        <f>1</f>
        <v>1</v>
      </c>
      <c r="K223">
        <f>1</f>
        <v>1</v>
      </c>
      <c r="L223">
        <v>0</v>
      </c>
      <c r="M223">
        <f t="shared" ca="1" si="7"/>
        <v>0.79385682917045686</v>
      </c>
      <c r="N223">
        <v>0</v>
      </c>
      <c r="O223">
        <v>0</v>
      </c>
      <c r="P223">
        <v>0</v>
      </c>
    </row>
    <row r="224" spans="1:16" x14ac:dyDescent="0.3">
      <c r="A224" t="s">
        <v>332</v>
      </c>
      <c r="B224" t="s">
        <v>513</v>
      </c>
      <c r="C224">
        <f ca="1">IF(RAND()&lt;0.8,F_Baseline_data!C224,IF(RAND()&lt;0.85,F_Baseline_data!C224+1,IF(F_Baseline_data!C224&gt;3,C224-1,F_Baseline_data!C224)))</f>
        <v>2</v>
      </c>
      <c r="D224">
        <f ca="1">MAX(5000,ROUND(F_Baseline_data!D224*(1+_xlfn.NORM.INV(RAND(),0.12,0.1)),-2))</f>
        <v>17700</v>
      </c>
      <c r="E224" t="str">
        <f ca="1">IF(I224=1,IF(RAND()&lt;0.95,"Piped Water",F_Baseline_data!E224),F_Baseline_data!E224)</f>
        <v>River</v>
      </c>
      <c r="F224">
        <f t="shared" ca="1" si="6"/>
        <v>110</v>
      </c>
      <c r="G224">
        <v>2.8</v>
      </c>
      <c r="H224">
        <f ca="1">MAX(0,ROUND(F_Baseline_data!H224+(F_Baseline_data!C224-5)*200+(D224-30000)*0.015+(F224-50)*15-IF(I224=1,1200,0)+_xlfn.NORM.INV(RAND(),0,2500),-2))</f>
        <v>5500</v>
      </c>
      <c r="I224">
        <v>0</v>
      </c>
      <c r="J224">
        <f>1</f>
        <v>1</v>
      </c>
      <c r="K224">
        <f>1</f>
        <v>1</v>
      </c>
      <c r="L224">
        <v>0</v>
      </c>
      <c r="M224">
        <f t="shared" ca="1" si="7"/>
        <v>0.42611350540345694</v>
      </c>
      <c r="N224">
        <v>0</v>
      </c>
      <c r="O224">
        <v>0</v>
      </c>
      <c r="P224">
        <v>0</v>
      </c>
    </row>
    <row r="225" spans="1:16" x14ac:dyDescent="0.3">
      <c r="A225" t="s">
        <v>333</v>
      </c>
      <c r="B225" t="s">
        <v>64</v>
      </c>
      <c r="C225">
        <f ca="1">IF(RAND()&lt;0.8,F_Baseline_data!C225,IF(RAND()&lt;0.85,F_Baseline_data!C225+1,IF(F_Baseline_data!C225&gt;3,C225-1,F_Baseline_data!C225)))</f>
        <v>5</v>
      </c>
      <c r="D225">
        <f ca="1">MAX(5000,ROUND(F_Baseline_data!D225*(1+_xlfn.NORM.INV(RAND(),0.12,0.1)),-2))</f>
        <v>31900</v>
      </c>
      <c r="E225" t="str">
        <f ca="1">IF(I225=1,IF(RAND()&lt;0.95,"Piped Water",F_Baseline_data!E225),F_Baseline_data!E225)</f>
        <v>River</v>
      </c>
      <c r="F225">
        <f t="shared" ca="1" si="6"/>
        <v>97</v>
      </c>
      <c r="G225">
        <v>2.4</v>
      </c>
      <c r="H225">
        <f ca="1">MAX(0,ROUND(F_Baseline_data!H225+(F_Baseline_data!C225-5)*200+(D225-30000)*0.015+(F225-50)*15-IF(I225=1,1200,0)+_xlfn.NORM.INV(RAND(),0,2500),-2))</f>
        <v>13900</v>
      </c>
      <c r="I225">
        <v>0</v>
      </c>
      <c r="J225">
        <f>1</f>
        <v>1</v>
      </c>
      <c r="K225">
        <f>1</f>
        <v>1</v>
      </c>
      <c r="L225">
        <v>0</v>
      </c>
      <c r="M225">
        <f t="shared" ca="1" si="7"/>
        <v>0.94638600492075053</v>
      </c>
      <c r="N225">
        <v>0</v>
      </c>
      <c r="O225">
        <v>0</v>
      </c>
      <c r="P225">
        <v>0</v>
      </c>
    </row>
    <row r="226" spans="1:16" x14ac:dyDescent="0.3">
      <c r="A226" t="s">
        <v>334</v>
      </c>
      <c r="B226" t="s">
        <v>64</v>
      </c>
      <c r="C226">
        <f ca="1">IF(RAND()&lt;0.8,F_Baseline_data!C226,IF(RAND()&lt;0.85,F_Baseline_data!C226+1,IF(F_Baseline_data!C226&gt;3,C226-1,F_Baseline_data!C226)))</f>
        <v>7</v>
      </c>
      <c r="D226">
        <f ca="1">MAX(5000,ROUND(F_Baseline_data!D226*(1+_xlfn.NORM.INV(RAND(),0.12,0.1)),-2))</f>
        <v>59600</v>
      </c>
      <c r="E226" t="str">
        <f ca="1">IF(I226=1,IF(RAND()&lt;0.95,"Piped Water",F_Baseline_data!E226),F_Baseline_data!E226)</f>
        <v>Borehole</v>
      </c>
      <c r="F226">
        <f t="shared" ca="1" si="6"/>
        <v>41</v>
      </c>
      <c r="G226">
        <v>10.7</v>
      </c>
      <c r="H226">
        <f ca="1">MAX(0,ROUND(F_Baseline_data!H226+(F_Baseline_data!C226-5)*200+(D226-30000)*0.015+(F226-50)*15-IF(I226=1,1200,0)+_xlfn.NORM.INV(RAND(),0,2500),-2))</f>
        <v>3800</v>
      </c>
      <c r="I226">
        <v>0</v>
      </c>
      <c r="J226">
        <f>1</f>
        <v>1</v>
      </c>
      <c r="K226">
        <f>1</f>
        <v>1</v>
      </c>
      <c r="L226">
        <v>0</v>
      </c>
      <c r="M226">
        <f t="shared" ca="1" si="7"/>
        <v>0.52487820700130594</v>
      </c>
      <c r="N226">
        <v>0</v>
      </c>
      <c r="O226">
        <v>0</v>
      </c>
      <c r="P226">
        <v>0</v>
      </c>
    </row>
    <row r="227" spans="1:16" x14ac:dyDescent="0.3">
      <c r="A227" t="s">
        <v>335</v>
      </c>
      <c r="B227" t="s">
        <v>65</v>
      </c>
      <c r="C227">
        <f ca="1">IF(RAND()&lt;0.8,F_Baseline_data!C227,IF(RAND()&lt;0.85,F_Baseline_data!C227+1,IF(F_Baseline_data!C227&gt;3,C227-1,F_Baseline_data!C227)))</f>
        <v>5</v>
      </c>
      <c r="D227">
        <f ca="1">MAX(5000,ROUND(F_Baseline_data!D227*(1+_xlfn.NORM.INV(RAND(),0.12,0.1)),-2))</f>
        <v>25300</v>
      </c>
      <c r="E227" t="str">
        <f ca="1">IF(I227=1,IF(RAND()&lt;0.95,"Piped Water",F_Baseline_data!E227),F_Baseline_data!E227)</f>
        <v>Vendor</v>
      </c>
      <c r="F227">
        <f t="shared" ca="1" si="6"/>
        <v>17</v>
      </c>
      <c r="G227">
        <v>12.2</v>
      </c>
      <c r="H227">
        <f ca="1">MAX(0,ROUND(F_Baseline_data!H227+(F_Baseline_data!C227-5)*200+(D227-30000)*0.015+(F227-50)*15-IF(I227=1,1200,0)+_xlfn.NORM.INV(RAND(),0,2500),-2))</f>
        <v>8100</v>
      </c>
      <c r="I227">
        <v>0</v>
      </c>
      <c r="J227">
        <f>1</f>
        <v>1</v>
      </c>
      <c r="K227">
        <f>1</f>
        <v>1</v>
      </c>
      <c r="L227">
        <v>0</v>
      </c>
      <c r="M227">
        <f t="shared" ca="1" si="7"/>
        <v>0.15775002273080918</v>
      </c>
      <c r="N227">
        <v>0</v>
      </c>
      <c r="O227">
        <v>0</v>
      </c>
      <c r="P227">
        <v>0</v>
      </c>
    </row>
    <row r="228" spans="1:16" x14ac:dyDescent="0.3">
      <c r="A228" t="s">
        <v>336</v>
      </c>
      <c r="B228" t="s">
        <v>64</v>
      </c>
      <c r="C228">
        <f ca="1">IF(RAND()&lt;0.8,F_Baseline_data!C228,IF(RAND()&lt;0.85,F_Baseline_data!C228+1,IF(F_Baseline_data!C228&gt;3,C228-1,F_Baseline_data!C228)))</f>
        <v>4</v>
      </c>
      <c r="D228">
        <f ca="1">MAX(5000,ROUND(F_Baseline_data!D228*(1+_xlfn.NORM.INV(RAND(),0.12,0.1)),-2))</f>
        <v>61400</v>
      </c>
      <c r="E228" t="str">
        <f ca="1">IF(I228=1,IF(RAND()&lt;0.95,"Piped Water",F_Baseline_data!E228),F_Baseline_data!E228)</f>
        <v>Vendor</v>
      </c>
      <c r="F228">
        <f t="shared" ca="1" si="6"/>
        <v>34</v>
      </c>
      <c r="G228">
        <v>5.6</v>
      </c>
      <c r="H228">
        <f ca="1">MAX(0,ROUND(F_Baseline_data!H228+(F_Baseline_data!C228-5)*200+(D228-30000)*0.015+(F228-50)*15-IF(I228=1,1200,0)+_xlfn.NORM.INV(RAND(),0,2500),-2))</f>
        <v>5800</v>
      </c>
      <c r="I228">
        <v>0</v>
      </c>
      <c r="J228">
        <f>1</f>
        <v>1</v>
      </c>
      <c r="K228">
        <f>1</f>
        <v>1</v>
      </c>
      <c r="L228">
        <v>0</v>
      </c>
      <c r="M228">
        <f t="shared" ca="1" si="7"/>
        <v>0.94224119810528328</v>
      </c>
      <c r="N228">
        <v>0</v>
      </c>
      <c r="O228">
        <v>0</v>
      </c>
      <c r="P228">
        <v>0</v>
      </c>
    </row>
    <row r="229" spans="1:16" x14ac:dyDescent="0.3">
      <c r="A229" t="s">
        <v>337</v>
      </c>
      <c r="B229" t="s">
        <v>62</v>
      </c>
      <c r="C229">
        <f ca="1">IF(RAND()&lt;0.8,F_Baseline_data!C229,IF(RAND()&lt;0.85,F_Baseline_data!C229+1,IF(F_Baseline_data!C229&gt;3,C229-1,F_Baseline_data!C229)))</f>
        <v>8</v>
      </c>
      <c r="D229">
        <f ca="1">MAX(5000,ROUND(F_Baseline_data!D229*(1+_xlfn.NORM.INV(RAND(),0.12,0.1)),-2))</f>
        <v>65200</v>
      </c>
      <c r="E229" t="str">
        <f ca="1">IF(I229=1,IF(RAND()&lt;0.95,"Piped Water",F_Baseline_data!E229),F_Baseline_data!E229)</f>
        <v>Rainwater</v>
      </c>
      <c r="F229">
        <f t="shared" ca="1" si="6"/>
        <v>22</v>
      </c>
      <c r="G229">
        <v>4.9000000000000004</v>
      </c>
      <c r="H229">
        <f ca="1">MAX(0,ROUND(F_Baseline_data!H229+(F_Baseline_data!C229-5)*200+(D229-30000)*0.015+(F229-50)*15-IF(I229=1,1200,0)+_xlfn.NORM.INV(RAND(),0,2500),-2))</f>
        <v>3100</v>
      </c>
      <c r="I229">
        <v>0</v>
      </c>
      <c r="J229">
        <f>1</f>
        <v>1</v>
      </c>
      <c r="K229">
        <f>1</f>
        <v>1</v>
      </c>
      <c r="L229">
        <v>0</v>
      </c>
      <c r="M229">
        <f t="shared" ca="1" si="7"/>
        <v>0.56523446872803085</v>
      </c>
      <c r="N229">
        <v>0</v>
      </c>
      <c r="O229">
        <v>0</v>
      </c>
      <c r="P229">
        <v>0</v>
      </c>
    </row>
    <row r="230" spans="1:16" x14ac:dyDescent="0.3">
      <c r="A230" t="s">
        <v>338</v>
      </c>
      <c r="B230" t="s">
        <v>64</v>
      </c>
      <c r="C230">
        <f ca="1">IF(RAND()&lt;0.8,F_Baseline_data!C230,IF(RAND()&lt;0.85,F_Baseline_data!C230+1,IF(F_Baseline_data!C230&gt;3,C230-1,F_Baseline_data!C230)))</f>
        <v>7</v>
      </c>
      <c r="D230">
        <f ca="1">MAX(5000,ROUND(F_Baseline_data!D230*(1+_xlfn.NORM.INV(RAND(),0.12,0.1)),-2))</f>
        <v>38600</v>
      </c>
      <c r="E230" t="str">
        <f ca="1">IF(I230=1,IF(RAND()&lt;0.95,"Piped Water",F_Baseline_data!E230),F_Baseline_data!E230)</f>
        <v>Borehole</v>
      </c>
      <c r="F230">
        <f t="shared" ca="1" si="6"/>
        <v>55</v>
      </c>
      <c r="G230">
        <v>2.9</v>
      </c>
      <c r="H230">
        <f ca="1">MAX(0,ROUND(F_Baseline_data!H230+(F_Baseline_data!C230-5)*200+(D230-30000)*0.015+(F230-50)*15-IF(I230=1,1200,0)+_xlfn.NORM.INV(RAND(),0,2500),-2))</f>
        <v>0</v>
      </c>
      <c r="I230">
        <v>0</v>
      </c>
      <c r="J230">
        <f>1</f>
        <v>1</v>
      </c>
      <c r="K230">
        <f>1</f>
        <v>1</v>
      </c>
      <c r="L230">
        <v>0</v>
      </c>
      <c r="M230">
        <f t="shared" ca="1" si="7"/>
        <v>0.54804318948485042</v>
      </c>
      <c r="N230">
        <v>0</v>
      </c>
      <c r="O230">
        <v>0</v>
      </c>
      <c r="P230">
        <v>0</v>
      </c>
    </row>
    <row r="231" spans="1:16" x14ac:dyDescent="0.3">
      <c r="A231" t="s">
        <v>339</v>
      </c>
      <c r="B231" t="s">
        <v>64</v>
      </c>
      <c r="C231">
        <f ca="1">IF(RAND()&lt;0.8,F_Baseline_data!C231,IF(RAND()&lt;0.85,F_Baseline_data!C231+1,IF(F_Baseline_data!C231&gt;3,C231-1,F_Baseline_data!C231)))</f>
        <v>7</v>
      </c>
      <c r="D231">
        <f ca="1">MAX(5000,ROUND(F_Baseline_data!D231*(1+_xlfn.NORM.INV(RAND(),0.12,0.1)),-2))</f>
        <v>46900</v>
      </c>
      <c r="E231" t="str">
        <f ca="1">IF(I231=1,IF(RAND()&lt;0.95,"Piped Water",F_Baseline_data!E231),F_Baseline_data!E231)</f>
        <v>Rainwater</v>
      </c>
      <c r="F231">
        <f t="shared" ca="1" si="6"/>
        <v>17</v>
      </c>
      <c r="G231">
        <v>4.8</v>
      </c>
      <c r="H231">
        <f ca="1">MAX(0,ROUND(F_Baseline_data!H231+(F_Baseline_data!C231-5)*200+(D231-30000)*0.015+(F231-50)*15-IF(I231=1,1200,0)+_xlfn.NORM.INV(RAND(),0,2500),-2))</f>
        <v>11000</v>
      </c>
      <c r="I231">
        <v>0</v>
      </c>
      <c r="J231">
        <f>1</f>
        <v>1</v>
      </c>
      <c r="K231">
        <f>1</f>
        <v>1</v>
      </c>
      <c r="L231">
        <v>0</v>
      </c>
      <c r="M231">
        <f t="shared" ca="1" si="7"/>
        <v>5.891858307942599E-2</v>
      </c>
      <c r="N231">
        <v>0</v>
      </c>
      <c r="O231">
        <v>0</v>
      </c>
      <c r="P231">
        <v>0</v>
      </c>
    </row>
    <row r="232" spans="1:16" x14ac:dyDescent="0.3">
      <c r="A232" t="s">
        <v>340</v>
      </c>
      <c r="B232" t="s">
        <v>65</v>
      </c>
      <c r="C232">
        <f ca="1">IF(RAND()&lt;0.8,F_Baseline_data!C232,IF(RAND()&lt;0.85,F_Baseline_data!C232+1,IF(F_Baseline_data!C232&gt;3,C232-1,F_Baseline_data!C232)))</f>
        <v>2</v>
      </c>
      <c r="D232">
        <f ca="1">MAX(5000,ROUND(F_Baseline_data!D232*(1+_xlfn.NORM.INV(RAND(),0.12,0.1)),-2))</f>
        <v>30200</v>
      </c>
      <c r="E232" t="str">
        <f ca="1">IF(I232=1,IF(RAND()&lt;0.95,"Piped Water",F_Baseline_data!E232),F_Baseline_data!E232)</f>
        <v>Borehole</v>
      </c>
      <c r="F232">
        <f t="shared" ca="1" si="6"/>
        <v>49</v>
      </c>
      <c r="G232">
        <v>5.4</v>
      </c>
      <c r="H232">
        <f ca="1">MAX(0,ROUND(F_Baseline_data!H232+(F_Baseline_data!C232-5)*200+(D232-30000)*0.015+(F232-50)*15-IF(I232=1,1200,0)+_xlfn.NORM.INV(RAND(),0,2500),-2))</f>
        <v>0</v>
      </c>
      <c r="I232">
        <v>0</v>
      </c>
      <c r="J232">
        <f>1</f>
        <v>1</v>
      </c>
      <c r="K232">
        <f>1</f>
        <v>1</v>
      </c>
      <c r="L232">
        <v>0</v>
      </c>
      <c r="M232">
        <f t="shared" ca="1" si="7"/>
        <v>0.77111758891987747</v>
      </c>
      <c r="N232">
        <v>0</v>
      </c>
      <c r="O232">
        <v>0</v>
      </c>
      <c r="P232">
        <v>0</v>
      </c>
    </row>
    <row r="233" spans="1:16" x14ac:dyDescent="0.3">
      <c r="A233" t="s">
        <v>341</v>
      </c>
      <c r="B233" t="s">
        <v>513</v>
      </c>
      <c r="C233">
        <f ca="1">IF(RAND()&lt;0.8,F_Baseline_data!C233,IF(RAND()&lt;0.85,F_Baseline_data!C233+1,IF(F_Baseline_data!C233&gt;3,C233-1,F_Baseline_data!C233)))</f>
        <v>7</v>
      </c>
      <c r="D233">
        <f ca="1">MAX(5000,ROUND(F_Baseline_data!D233*(1+_xlfn.NORM.INV(RAND(),0.12,0.1)),-2))</f>
        <v>36900</v>
      </c>
      <c r="E233" t="str">
        <f ca="1">IF(I233=1,IF(RAND()&lt;0.95,"Piped Water",F_Baseline_data!E233),F_Baseline_data!E233)</f>
        <v>River</v>
      </c>
      <c r="F233">
        <f t="shared" ca="1" si="6"/>
        <v>48</v>
      </c>
      <c r="G233">
        <v>13.2</v>
      </c>
      <c r="H233">
        <f ca="1">MAX(0,ROUND(F_Baseline_data!H233+(F_Baseline_data!C233-5)*200+(D233-30000)*0.015+(F233-50)*15-IF(I233=1,1200,0)+_xlfn.NORM.INV(RAND(),0,2500),-2))</f>
        <v>4300</v>
      </c>
      <c r="I233">
        <v>0</v>
      </c>
      <c r="J233">
        <f>1</f>
        <v>1</v>
      </c>
      <c r="K233">
        <f>1</f>
        <v>1</v>
      </c>
      <c r="L233">
        <v>0</v>
      </c>
      <c r="M233">
        <f t="shared" ca="1" si="7"/>
        <v>0.43625465327704827</v>
      </c>
      <c r="N233">
        <v>0</v>
      </c>
      <c r="O233">
        <v>0</v>
      </c>
      <c r="P233">
        <v>0</v>
      </c>
    </row>
    <row r="234" spans="1:16" x14ac:dyDescent="0.3">
      <c r="A234" t="s">
        <v>342</v>
      </c>
      <c r="B234" t="s">
        <v>62</v>
      </c>
      <c r="C234">
        <f ca="1">IF(RAND()&lt;0.8,F_Baseline_data!C234,IF(RAND()&lt;0.85,F_Baseline_data!C234+1,IF(F_Baseline_data!C234&gt;3,C234-1,F_Baseline_data!C234)))</f>
        <v>4</v>
      </c>
      <c r="D234">
        <f ca="1">MAX(5000,ROUND(F_Baseline_data!D234*(1+_xlfn.NORM.INV(RAND(),0.12,0.1)),-2))</f>
        <v>22300</v>
      </c>
      <c r="E234" t="str">
        <f ca="1">IF(I234=1,IF(RAND()&lt;0.95,"Piped Water",F_Baseline_data!E234),F_Baseline_data!E234)</f>
        <v>Rainwater</v>
      </c>
      <c r="F234">
        <f t="shared" ca="1" si="6"/>
        <v>66</v>
      </c>
      <c r="G234">
        <v>0.4</v>
      </c>
      <c r="H234">
        <f ca="1">MAX(0,ROUND(F_Baseline_data!H234+(F_Baseline_data!C234-5)*200+(D234-30000)*0.015+(F234-50)*15-IF(I234=1,1200,0)+_xlfn.NORM.INV(RAND(),0,2500),-2))</f>
        <v>0</v>
      </c>
      <c r="I234">
        <v>0</v>
      </c>
      <c r="J234">
        <f>1</f>
        <v>1</v>
      </c>
      <c r="K234">
        <f>1</f>
        <v>1</v>
      </c>
      <c r="L234">
        <v>0</v>
      </c>
      <c r="M234">
        <f t="shared" ca="1" si="7"/>
        <v>0.27717654481342413</v>
      </c>
      <c r="N234">
        <v>0</v>
      </c>
      <c r="O234">
        <v>0</v>
      </c>
      <c r="P234">
        <v>0</v>
      </c>
    </row>
    <row r="235" spans="1:16" x14ac:dyDescent="0.3">
      <c r="A235" t="s">
        <v>343</v>
      </c>
      <c r="B235" t="s">
        <v>62</v>
      </c>
      <c r="C235">
        <f ca="1">IF(RAND()&lt;0.8,F_Baseline_data!C235,IF(RAND()&lt;0.85,F_Baseline_data!C235+1,IF(F_Baseline_data!C235&gt;3,C235-1,F_Baseline_data!C235)))</f>
        <v>8</v>
      </c>
      <c r="D235">
        <f ca="1">MAX(5000,ROUND(F_Baseline_data!D235*(1+_xlfn.NORM.INV(RAND(),0.12,0.1)),-2))</f>
        <v>34700</v>
      </c>
      <c r="E235" t="str">
        <f ca="1">IF(I235=1,IF(RAND()&lt;0.95,"Piped Water",F_Baseline_data!E235),F_Baseline_data!E235)</f>
        <v>Borehole</v>
      </c>
      <c r="F235">
        <f t="shared" ca="1" si="6"/>
        <v>55</v>
      </c>
      <c r="G235">
        <v>0.2</v>
      </c>
      <c r="H235">
        <f ca="1">MAX(0,ROUND(F_Baseline_data!H235+(F_Baseline_data!C235-5)*200+(D235-30000)*0.015+(F235-50)*15-IF(I235=1,1200,0)+_xlfn.NORM.INV(RAND(),0,2500),-2))</f>
        <v>1400</v>
      </c>
      <c r="I235">
        <v>0</v>
      </c>
      <c r="J235">
        <f>1</f>
        <v>1</v>
      </c>
      <c r="K235">
        <f>1</f>
        <v>1</v>
      </c>
      <c r="L235">
        <v>0</v>
      </c>
      <c r="M235">
        <f t="shared" ca="1" si="7"/>
        <v>0.95645732454652188</v>
      </c>
      <c r="N235">
        <v>0</v>
      </c>
      <c r="O235">
        <v>0</v>
      </c>
      <c r="P235">
        <v>0</v>
      </c>
    </row>
    <row r="236" spans="1:16" x14ac:dyDescent="0.3">
      <c r="A236" t="s">
        <v>344</v>
      </c>
      <c r="B236" t="s">
        <v>513</v>
      </c>
      <c r="C236">
        <f ca="1">IF(RAND()&lt;0.8,F_Baseline_data!C236,IF(RAND()&lt;0.85,F_Baseline_data!C236+1,IF(F_Baseline_data!C236&gt;3,C236-1,F_Baseline_data!C236)))</f>
        <v>9</v>
      </c>
      <c r="D236">
        <f ca="1">MAX(5000,ROUND(F_Baseline_data!D236*(1+_xlfn.NORM.INV(RAND(),0.12,0.1)),-2))</f>
        <v>56300</v>
      </c>
      <c r="E236" t="str">
        <f ca="1">IF(I236=1,IF(RAND()&lt;0.95,"Piped Water",F_Baseline_data!E236),F_Baseline_data!E236)</f>
        <v>Vendor</v>
      </c>
      <c r="F236">
        <f t="shared" ca="1" si="6"/>
        <v>17</v>
      </c>
      <c r="G236">
        <v>6.3</v>
      </c>
      <c r="H236">
        <f ca="1">MAX(0,ROUND(F_Baseline_data!H236+(F_Baseline_data!C236-5)*200+(D236-30000)*0.015+(F236-50)*15-IF(I236=1,1200,0)+_xlfn.NORM.INV(RAND(),0,2500),-2))</f>
        <v>5700</v>
      </c>
      <c r="I236">
        <v>0</v>
      </c>
      <c r="J236">
        <f>1</f>
        <v>1</v>
      </c>
      <c r="K236">
        <f>1</f>
        <v>1</v>
      </c>
      <c r="L236">
        <v>0</v>
      </c>
      <c r="M236">
        <f t="shared" ca="1" si="7"/>
        <v>0.22582843130732178</v>
      </c>
      <c r="N236">
        <v>0</v>
      </c>
      <c r="O236">
        <v>0</v>
      </c>
      <c r="P236">
        <v>0</v>
      </c>
    </row>
    <row r="237" spans="1:16" x14ac:dyDescent="0.3">
      <c r="A237" t="s">
        <v>345</v>
      </c>
      <c r="B237" t="s">
        <v>513</v>
      </c>
      <c r="C237">
        <f ca="1">IF(RAND()&lt;0.8,F_Baseline_data!C237,IF(RAND()&lt;0.85,F_Baseline_data!C237+1,IF(F_Baseline_data!C237&gt;3,C237-1,F_Baseline_data!C237)))</f>
        <v>1</v>
      </c>
      <c r="D237">
        <f ca="1">MAX(5000,ROUND(F_Baseline_data!D237*(1+_xlfn.NORM.INV(RAND(),0.12,0.1)),-2))</f>
        <v>30200</v>
      </c>
      <c r="E237" t="str">
        <f ca="1">IF(I237=1,IF(RAND()&lt;0.95,"Piped Water",F_Baseline_data!E237),F_Baseline_data!E237)</f>
        <v>Rainwater</v>
      </c>
      <c r="F237">
        <f t="shared" ca="1" si="6"/>
        <v>16</v>
      </c>
      <c r="G237">
        <v>4.4000000000000004</v>
      </c>
      <c r="H237">
        <f ca="1">MAX(0,ROUND(F_Baseline_data!H237+(F_Baseline_data!C237-5)*200+(D237-30000)*0.015+(F237-50)*15-IF(I237=1,1200,0)+_xlfn.NORM.INV(RAND(),0,2500),-2))</f>
        <v>7000</v>
      </c>
      <c r="I237">
        <v>0</v>
      </c>
      <c r="J237">
        <f>1</f>
        <v>1</v>
      </c>
      <c r="K237">
        <f>1</f>
        <v>1</v>
      </c>
      <c r="L237">
        <v>0</v>
      </c>
      <c r="M237">
        <f t="shared" ca="1" si="7"/>
        <v>0.41062956860256539</v>
      </c>
      <c r="N237">
        <v>0</v>
      </c>
      <c r="O237">
        <v>0</v>
      </c>
      <c r="P237">
        <v>0</v>
      </c>
    </row>
    <row r="238" spans="1:16" x14ac:dyDescent="0.3">
      <c r="A238" t="s">
        <v>346</v>
      </c>
      <c r="B238" t="s">
        <v>513</v>
      </c>
      <c r="C238">
        <f ca="1">IF(RAND()&lt;0.8,F_Baseline_data!C238,IF(RAND()&lt;0.85,F_Baseline_data!C238+1,IF(F_Baseline_data!C238&gt;3,C238-1,F_Baseline_data!C238)))</f>
        <v>4</v>
      </c>
      <c r="D238">
        <f ca="1">MAX(5000,ROUND(F_Baseline_data!D238*(1+_xlfn.NORM.INV(RAND(),0.12,0.1)),-2))</f>
        <v>59300</v>
      </c>
      <c r="E238" t="str">
        <f ca="1">IF(I238=1,IF(RAND()&lt;0.95,"Piped Water",F_Baseline_data!E238),F_Baseline_data!E238)</f>
        <v>Rainwater</v>
      </c>
      <c r="F238">
        <f t="shared" ca="1" si="6"/>
        <v>30</v>
      </c>
      <c r="G238">
        <v>7.8</v>
      </c>
      <c r="H238">
        <f ca="1">MAX(0,ROUND(F_Baseline_data!H238+(F_Baseline_data!C238-5)*200+(D238-30000)*0.015+(F238-50)*15-IF(I238=1,1200,0)+_xlfn.NORM.INV(RAND(),0,2500),-2))</f>
        <v>8700</v>
      </c>
      <c r="I238">
        <v>0</v>
      </c>
      <c r="J238">
        <f>1</f>
        <v>1</v>
      </c>
      <c r="K238">
        <f>1</f>
        <v>1</v>
      </c>
      <c r="L238">
        <v>0</v>
      </c>
      <c r="M238">
        <f t="shared" ca="1" si="7"/>
        <v>0.72356648357358244</v>
      </c>
      <c r="N238">
        <v>0</v>
      </c>
      <c r="O238">
        <v>0</v>
      </c>
      <c r="P238">
        <v>0</v>
      </c>
    </row>
    <row r="239" spans="1:16" x14ac:dyDescent="0.3">
      <c r="A239" t="s">
        <v>347</v>
      </c>
      <c r="B239" t="s">
        <v>513</v>
      </c>
      <c r="C239">
        <f ca="1">IF(RAND()&lt;0.8,F_Baseline_data!C239,IF(RAND()&lt;0.85,F_Baseline_data!C239+1,IF(F_Baseline_data!C239&gt;3,C239-1,F_Baseline_data!C239)))</f>
        <v>5</v>
      </c>
      <c r="D239">
        <f ca="1">MAX(5000,ROUND(F_Baseline_data!D239*(1+_xlfn.NORM.INV(RAND(),0.12,0.1)),-2))</f>
        <v>89200</v>
      </c>
      <c r="E239" t="str">
        <f ca="1">IF(I239=1,IF(RAND()&lt;0.95,"Piped Water",F_Baseline_data!E239),F_Baseline_data!E239)</f>
        <v>Rainwater</v>
      </c>
      <c r="F239">
        <f t="shared" ca="1" si="6"/>
        <v>63</v>
      </c>
      <c r="G239">
        <v>1.9</v>
      </c>
      <c r="H239">
        <f ca="1">MAX(0,ROUND(F_Baseline_data!H239+(F_Baseline_data!C239-5)*200+(D239-30000)*0.015+(F239-50)*15-IF(I239=1,1200,0)+_xlfn.NORM.INV(RAND(),0,2500),-2))</f>
        <v>0</v>
      </c>
      <c r="I239">
        <v>0</v>
      </c>
      <c r="J239">
        <f>1</f>
        <v>1</v>
      </c>
      <c r="K239">
        <f>1</f>
        <v>1</v>
      </c>
      <c r="L239">
        <v>0</v>
      </c>
      <c r="M239">
        <f t="shared" ca="1" si="7"/>
        <v>0.49121122334620293</v>
      </c>
      <c r="N239">
        <v>0</v>
      </c>
      <c r="O239">
        <v>0</v>
      </c>
      <c r="P239">
        <v>0</v>
      </c>
    </row>
    <row r="240" spans="1:16" x14ac:dyDescent="0.3">
      <c r="A240" t="s">
        <v>348</v>
      </c>
      <c r="B240" t="s">
        <v>62</v>
      </c>
      <c r="C240">
        <f ca="1">IF(RAND()&lt;0.8,F_Baseline_data!C240,IF(RAND()&lt;0.85,F_Baseline_data!C240+1,IF(F_Baseline_data!C240&gt;3,C240-1,F_Baseline_data!C240)))</f>
        <v>6</v>
      </c>
      <c r="D240">
        <f ca="1">MAX(5000,ROUND(F_Baseline_data!D240*(1+_xlfn.NORM.INV(RAND(),0.12,0.1)),-2))</f>
        <v>50500</v>
      </c>
      <c r="E240" t="str">
        <f ca="1">IF(I240=1,IF(RAND()&lt;0.95,"Piped Water",F_Baseline_data!E240),F_Baseline_data!E240)</f>
        <v>Vendor</v>
      </c>
      <c r="F240">
        <f t="shared" ca="1" si="6"/>
        <v>50</v>
      </c>
      <c r="G240">
        <v>2.5</v>
      </c>
      <c r="H240">
        <f ca="1">MAX(0,ROUND(F_Baseline_data!H240+(F_Baseline_data!C240-5)*200+(D240-30000)*0.015+(F240-50)*15-IF(I240=1,1200,0)+_xlfn.NORM.INV(RAND(),0,2500),-2))</f>
        <v>0</v>
      </c>
      <c r="I240">
        <v>0</v>
      </c>
      <c r="J240">
        <f>1</f>
        <v>1</v>
      </c>
      <c r="K240">
        <f>1</f>
        <v>1</v>
      </c>
      <c r="L240">
        <v>0</v>
      </c>
      <c r="M240">
        <f t="shared" ca="1" si="7"/>
        <v>0.11617540068603316</v>
      </c>
      <c r="N240">
        <v>0</v>
      </c>
      <c r="O240">
        <v>0</v>
      </c>
      <c r="P240">
        <v>0</v>
      </c>
    </row>
    <row r="241" spans="1:16" x14ac:dyDescent="0.3">
      <c r="A241" t="s">
        <v>349</v>
      </c>
      <c r="B241" t="s">
        <v>513</v>
      </c>
      <c r="C241">
        <f ca="1">IF(RAND()&lt;0.8,F_Baseline_data!C241,IF(RAND()&lt;0.85,F_Baseline_data!C241+1,IF(F_Baseline_data!C241&gt;3,C241-1,F_Baseline_data!C241)))</f>
        <v>3</v>
      </c>
      <c r="D241">
        <f ca="1">MAX(5000,ROUND(F_Baseline_data!D241*(1+_xlfn.NORM.INV(RAND(),0.12,0.1)),-2))</f>
        <v>20200</v>
      </c>
      <c r="E241" t="str">
        <f ca="1">IF(I241=1,IF(RAND()&lt;0.95,"Piped Water",F_Baseline_data!E241),F_Baseline_data!E241)</f>
        <v>Vendor</v>
      </c>
      <c r="F241">
        <f t="shared" ca="1" si="6"/>
        <v>25</v>
      </c>
      <c r="G241">
        <v>3.3</v>
      </c>
      <c r="H241">
        <f ca="1">MAX(0,ROUND(F_Baseline_data!H241+(F_Baseline_data!C241-5)*200+(D241-30000)*0.015+(F241-50)*15-IF(I241=1,1200,0)+_xlfn.NORM.INV(RAND(),0,2500),-2))</f>
        <v>6700</v>
      </c>
      <c r="I241">
        <v>0</v>
      </c>
      <c r="J241">
        <f>1</f>
        <v>1</v>
      </c>
      <c r="K241">
        <f>1</f>
        <v>1</v>
      </c>
      <c r="L241">
        <v>0</v>
      </c>
      <c r="M241">
        <f t="shared" ca="1" si="7"/>
        <v>0.22362998568119474</v>
      </c>
      <c r="N241">
        <v>0</v>
      </c>
      <c r="O241">
        <v>0</v>
      </c>
      <c r="P241">
        <v>0</v>
      </c>
    </row>
    <row r="242" spans="1:16" x14ac:dyDescent="0.3">
      <c r="A242" t="s">
        <v>350</v>
      </c>
      <c r="B242" t="s">
        <v>65</v>
      </c>
      <c r="C242">
        <f ca="1">IF(RAND()&lt;0.8,F_Baseline_data!C242,IF(RAND()&lt;0.85,F_Baseline_data!C242+1,IF(F_Baseline_data!C242&gt;3,C242-1,F_Baseline_data!C242)))</f>
        <v>8</v>
      </c>
      <c r="D242">
        <f ca="1">MAX(5000,ROUND(F_Baseline_data!D242*(1+_xlfn.NORM.INV(RAND(),0.12,0.1)),-2))</f>
        <v>32900</v>
      </c>
      <c r="E242" t="str">
        <f ca="1">IF(I242=1,IF(RAND()&lt;0.95,"Piped Water",F_Baseline_data!E242),F_Baseline_data!E242)</f>
        <v>River</v>
      </c>
      <c r="F242">
        <f t="shared" ca="1" si="6"/>
        <v>79</v>
      </c>
      <c r="G242">
        <v>4.4000000000000004</v>
      </c>
      <c r="H242">
        <f ca="1">MAX(0,ROUND(F_Baseline_data!H242+(F_Baseline_data!C242-5)*200+(D242-30000)*0.015+(F242-50)*15-IF(I242=1,1200,0)+_xlfn.NORM.INV(RAND(),0,2500),-2))</f>
        <v>5000</v>
      </c>
      <c r="I242">
        <v>0</v>
      </c>
      <c r="J242">
        <f>1</f>
        <v>1</v>
      </c>
      <c r="K242">
        <f>1</f>
        <v>1</v>
      </c>
      <c r="L242">
        <v>0</v>
      </c>
      <c r="M242">
        <f t="shared" ca="1" si="7"/>
        <v>0.14362472996989184</v>
      </c>
      <c r="N242">
        <v>0</v>
      </c>
      <c r="O242">
        <v>0</v>
      </c>
      <c r="P242">
        <v>0</v>
      </c>
    </row>
    <row r="243" spans="1:16" x14ac:dyDescent="0.3">
      <c r="A243" t="s">
        <v>351</v>
      </c>
      <c r="B243" t="s">
        <v>65</v>
      </c>
      <c r="C243">
        <f ca="1">IF(RAND()&lt;0.8,F_Baseline_data!C243,IF(RAND()&lt;0.85,F_Baseline_data!C243+1,IF(F_Baseline_data!C243&gt;3,C243-1,F_Baseline_data!C243)))</f>
        <v>5</v>
      </c>
      <c r="D243">
        <f ca="1">MAX(5000,ROUND(F_Baseline_data!D243*(1+_xlfn.NORM.INV(RAND(),0.12,0.1)),-2))</f>
        <v>26000</v>
      </c>
      <c r="E243" t="str">
        <f ca="1">IF(I243=1,IF(RAND()&lt;0.95,"Piped Water",F_Baseline_data!E243),F_Baseline_data!E243)</f>
        <v>River</v>
      </c>
      <c r="F243">
        <f t="shared" ca="1" si="6"/>
        <v>111</v>
      </c>
      <c r="G243">
        <v>10.3</v>
      </c>
      <c r="H243">
        <f ca="1">MAX(0,ROUND(F_Baseline_data!H243+(F_Baseline_data!C243-5)*200+(D243-30000)*0.015+(F243-50)*15-IF(I243=1,1200,0)+_xlfn.NORM.INV(RAND(),0,2500),-2))</f>
        <v>6900</v>
      </c>
      <c r="I243">
        <v>0</v>
      </c>
      <c r="J243">
        <f>1</f>
        <v>1</v>
      </c>
      <c r="K243">
        <f>1</f>
        <v>1</v>
      </c>
      <c r="L243">
        <v>0</v>
      </c>
      <c r="M243">
        <f t="shared" ca="1" si="7"/>
        <v>0.4640790963883199</v>
      </c>
      <c r="N243">
        <v>0</v>
      </c>
      <c r="O243">
        <v>0</v>
      </c>
      <c r="P243">
        <v>0</v>
      </c>
    </row>
    <row r="244" spans="1:16" x14ac:dyDescent="0.3">
      <c r="A244" t="s">
        <v>352</v>
      </c>
      <c r="B244" t="s">
        <v>62</v>
      </c>
      <c r="C244">
        <f ca="1">IF(RAND()&lt;0.8,F_Baseline_data!C244,IF(RAND()&lt;0.85,F_Baseline_data!C244+1,IF(F_Baseline_data!C244&gt;3,C244-1,F_Baseline_data!C244)))</f>
        <v>4</v>
      </c>
      <c r="D244">
        <f ca="1">MAX(5000,ROUND(F_Baseline_data!D244*(1+_xlfn.NORM.INV(RAND(),0.12,0.1)),-2))</f>
        <v>28400</v>
      </c>
      <c r="E244" t="str">
        <f ca="1">IF(I244=1,IF(RAND()&lt;0.95,"Piped Water",F_Baseline_data!E244),F_Baseline_data!E244)</f>
        <v>Borehole</v>
      </c>
      <c r="F244">
        <f t="shared" ca="1" si="6"/>
        <v>60</v>
      </c>
      <c r="G244">
        <v>6</v>
      </c>
      <c r="H244">
        <f ca="1">MAX(0,ROUND(F_Baseline_data!H244+(F_Baseline_data!C244-5)*200+(D244-30000)*0.015+(F244-50)*15-IF(I244=1,1200,0)+_xlfn.NORM.INV(RAND(),0,2500),-2))</f>
        <v>7900</v>
      </c>
      <c r="I244">
        <v>0</v>
      </c>
      <c r="J244">
        <f>1</f>
        <v>1</v>
      </c>
      <c r="K244">
        <f>1</f>
        <v>1</v>
      </c>
      <c r="L244">
        <v>0</v>
      </c>
      <c r="M244">
        <f t="shared" ca="1" si="7"/>
        <v>1.8357357678824293E-2</v>
      </c>
      <c r="N244">
        <v>0</v>
      </c>
      <c r="O244">
        <v>0</v>
      </c>
      <c r="P244">
        <v>0</v>
      </c>
    </row>
    <row r="245" spans="1:16" x14ac:dyDescent="0.3">
      <c r="A245" t="s">
        <v>353</v>
      </c>
      <c r="B245" t="s">
        <v>65</v>
      </c>
      <c r="C245">
        <f ca="1">IF(RAND()&lt;0.8,F_Baseline_data!C245,IF(RAND()&lt;0.85,F_Baseline_data!C245+1,IF(F_Baseline_data!C245&gt;3,C245-1,F_Baseline_data!C245)))</f>
        <v>4</v>
      </c>
      <c r="D245">
        <f ca="1">MAX(5000,ROUND(F_Baseline_data!D245*(1+_xlfn.NORM.INV(RAND(),0.12,0.1)),-2))</f>
        <v>51300</v>
      </c>
      <c r="E245" t="str">
        <f ca="1">IF(I245=1,IF(RAND()&lt;0.95,"Piped Water",F_Baseline_data!E245),F_Baseline_data!E245)</f>
        <v>Vendor</v>
      </c>
      <c r="F245">
        <f t="shared" ca="1" si="6"/>
        <v>28</v>
      </c>
      <c r="G245">
        <v>9.1</v>
      </c>
      <c r="H245">
        <f ca="1">MAX(0,ROUND(F_Baseline_data!H245+(F_Baseline_data!C245-5)*200+(D245-30000)*0.015+(F245-50)*15-IF(I245=1,1200,0)+_xlfn.NORM.INV(RAND(),0,2500),-2))</f>
        <v>10500</v>
      </c>
      <c r="I245">
        <v>0</v>
      </c>
      <c r="J245">
        <f>1</f>
        <v>1</v>
      </c>
      <c r="K245">
        <f>1</f>
        <v>1</v>
      </c>
      <c r="L245">
        <v>0</v>
      </c>
      <c r="M245">
        <f t="shared" ca="1" si="7"/>
        <v>0.41287953677358724</v>
      </c>
      <c r="N245">
        <v>0</v>
      </c>
      <c r="O245">
        <v>0</v>
      </c>
      <c r="P245">
        <v>0</v>
      </c>
    </row>
    <row r="246" spans="1:16" x14ac:dyDescent="0.3">
      <c r="A246" t="s">
        <v>354</v>
      </c>
      <c r="B246" t="s">
        <v>513</v>
      </c>
      <c r="C246">
        <f ca="1">IF(RAND()&lt;0.8,F_Baseline_data!C246,IF(RAND()&lt;0.85,F_Baseline_data!C246+1,IF(F_Baseline_data!C246&gt;3,C246-1,F_Baseline_data!C246)))</f>
        <v>8</v>
      </c>
      <c r="D246">
        <f ca="1">MAX(5000,ROUND(F_Baseline_data!D246*(1+_xlfn.NORM.INV(RAND(),0.12,0.1)),-2))</f>
        <v>47900</v>
      </c>
      <c r="E246" t="str">
        <f ca="1">IF(I246=1,IF(RAND()&lt;0.95,"Piped Water",F_Baseline_data!E246),F_Baseline_data!E246)</f>
        <v>Borehole</v>
      </c>
      <c r="F246">
        <f t="shared" ca="1" si="6"/>
        <v>42</v>
      </c>
      <c r="G246">
        <v>4</v>
      </c>
      <c r="H246">
        <f ca="1">MAX(0,ROUND(F_Baseline_data!H246+(F_Baseline_data!C246-5)*200+(D246-30000)*0.015+(F246-50)*15-IF(I246=1,1200,0)+_xlfn.NORM.INV(RAND(),0,2500),-2))</f>
        <v>6400</v>
      </c>
      <c r="I246">
        <v>0</v>
      </c>
      <c r="J246">
        <f>1</f>
        <v>1</v>
      </c>
      <c r="K246">
        <f>1</f>
        <v>1</v>
      </c>
      <c r="L246">
        <v>0</v>
      </c>
      <c r="M246">
        <f t="shared" ca="1" si="7"/>
        <v>0.21060917792559708</v>
      </c>
      <c r="N246">
        <v>0</v>
      </c>
      <c r="O246">
        <v>0</v>
      </c>
      <c r="P246">
        <v>0</v>
      </c>
    </row>
    <row r="247" spans="1:16" x14ac:dyDescent="0.3">
      <c r="A247" t="s">
        <v>355</v>
      </c>
      <c r="B247" t="s">
        <v>65</v>
      </c>
      <c r="C247">
        <f ca="1">IF(RAND()&lt;0.8,F_Baseline_data!C247,IF(RAND()&lt;0.85,F_Baseline_data!C247+1,IF(F_Baseline_data!C247&gt;3,C247-1,F_Baseline_data!C247)))</f>
        <v>4</v>
      </c>
      <c r="D247">
        <f ca="1">MAX(5000,ROUND(F_Baseline_data!D247*(1+_xlfn.NORM.INV(RAND(),0.12,0.1)),-2))</f>
        <v>95700</v>
      </c>
      <c r="E247" t="str">
        <f ca="1">IF(I247=1,IF(RAND()&lt;0.95,"Piped Water",F_Baseline_data!E247),F_Baseline_data!E247)</f>
        <v>Vendor</v>
      </c>
      <c r="F247">
        <f t="shared" ca="1" si="6"/>
        <v>53</v>
      </c>
      <c r="G247">
        <v>9.3000000000000007</v>
      </c>
      <c r="H247">
        <f ca="1">MAX(0,ROUND(F_Baseline_data!H247+(F_Baseline_data!C247-5)*200+(D247-30000)*0.015+(F247-50)*15-IF(I247=1,1200,0)+_xlfn.NORM.INV(RAND(),0,2500),-2))</f>
        <v>8800</v>
      </c>
      <c r="I247">
        <v>0</v>
      </c>
      <c r="J247">
        <f>1</f>
        <v>1</v>
      </c>
      <c r="K247">
        <f>1</f>
        <v>1</v>
      </c>
      <c r="L247">
        <v>0</v>
      </c>
      <c r="M247">
        <f t="shared" ca="1" si="7"/>
        <v>0.42491478075775968</v>
      </c>
      <c r="N247">
        <v>0</v>
      </c>
      <c r="O247">
        <v>0</v>
      </c>
      <c r="P247">
        <v>0</v>
      </c>
    </row>
    <row r="248" spans="1:16" x14ac:dyDescent="0.3">
      <c r="A248" t="s">
        <v>356</v>
      </c>
      <c r="B248" t="s">
        <v>513</v>
      </c>
      <c r="C248">
        <f ca="1">IF(RAND()&lt;0.8,F_Baseline_data!C248,IF(RAND()&lt;0.85,F_Baseline_data!C248+1,IF(F_Baseline_data!C248&gt;3,C248-1,F_Baseline_data!C248)))</f>
        <v>2</v>
      </c>
      <c r="D248">
        <f ca="1">MAX(5000,ROUND(F_Baseline_data!D248*(1+_xlfn.NORM.INV(RAND(),0.12,0.1)),-2))</f>
        <v>15800</v>
      </c>
      <c r="E248" t="str">
        <f ca="1">IF(I248=1,IF(RAND()&lt;0.95,"Piped Water",F_Baseline_data!E248),F_Baseline_data!E248)</f>
        <v>River</v>
      </c>
      <c r="F248">
        <f t="shared" ca="1" si="6"/>
        <v>80</v>
      </c>
      <c r="G248">
        <v>6.8</v>
      </c>
      <c r="H248">
        <f ca="1">MAX(0,ROUND(F_Baseline_data!H248+(F_Baseline_data!C248-5)*200+(D248-30000)*0.015+(F248-50)*15-IF(I248=1,1200,0)+_xlfn.NORM.INV(RAND(),0,2500),-2))</f>
        <v>11100</v>
      </c>
      <c r="I248">
        <v>0</v>
      </c>
      <c r="J248">
        <f>1</f>
        <v>1</v>
      </c>
      <c r="K248">
        <f>1</f>
        <v>1</v>
      </c>
      <c r="L248">
        <v>0</v>
      </c>
      <c r="M248">
        <f t="shared" ca="1" si="7"/>
        <v>0.78415731211505524</v>
      </c>
      <c r="N248">
        <v>0</v>
      </c>
      <c r="O248">
        <v>0</v>
      </c>
      <c r="P248">
        <v>0</v>
      </c>
    </row>
    <row r="249" spans="1:16" x14ac:dyDescent="0.3">
      <c r="A249" t="s">
        <v>357</v>
      </c>
      <c r="B249" t="s">
        <v>64</v>
      </c>
      <c r="C249">
        <f ca="1">IF(RAND()&lt;0.8,F_Baseline_data!C249,IF(RAND()&lt;0.85,F_Baseline_data!C249+1,IF(F_Baseline_data!C249&gt;3,C249-1,F_Baseline_data!C249)))</f>
        <v>3</v>
      </c>
      <c r="D249">
        <f ca="1">MAX(5000,ROUND(F_Baseline_data!D249*(1+_xlfn.NORM.INV(RAND(),0.12,0.1)),-2))</f>
        <v>54300</v>
      </c>
      <c r="E249" t="str">
        <f ca="1">IF(I249=1,IF(RAND()&lt;0.95,"Piped Water",F_Baseline_data!E249),F_Baseline_data!E249)</f>
        <v>Vendor</v>
      </c>
      <c r="F249">
        <f t="shared" ca="1" si="6"/>
        <v>56</v>
      </c>
      <c r="G249">
        <v>10.7</v>
      </c>
      <c r="H249">
        <f ca="1">MAX(0,ROUND(F_Baseline_data!H249+(F_Baseline_data!C249-5)*200+(D249-30000)*0.015+(F249-50)*15-IF(I249=1,1200,0)+_xlfn.NORM.INV(RAND(),0,2500),-2))</f>
        <v>0</v>
      </c>
      <c r="I249">
        <v>0</v>
      </c>
      <c r="J249">
        <f>1</f>
        <v>1</v>
      </c>
      <c r="K249">
        <f>1</f>
        <v>1</v>
      </c>
      <c r="L249">
        <v>0</v>
      </c>
      <c r="M249">
        <f t="shared" ca="1" si="7"/>
        <v>0.88480447660470196</v>
      </c>
      <c r="N249">
        <v>0</v>
      </c>
      <c r="O249">
        <v>0</v>
      </c>
      <c r="P249">
        <v>0</v>
      </c>
    </row>
    <row r="250" spans="1:16" x14ac:dyDescent="0.3">
      <c r="A250" t="s">
        <v>358</v>
      </c>
      <c r="B250" t="s">
        <v>64</v>
      </c>
      <c r="C250">
        <f ca="1">IF(RAND()&lt;0.8,F_Baseline_data!C250,IF(RAND()&lt;0.85,F_Baseline_data!C250+1,IF(F_Baseline_data!C250&gt;3,C250-1,F_Baseline_data!C250)))</f>
        <v>6</v>
      </c>
      <c r="D250">
        <f ca="1">MAX(5000,ROUND(F_Baseline_data!D250*(1+_xlfn.NORM.INV(RAND(),0.12,0.1)),-2))</f>
        <v>162800</v>
      </c>
      <c r="E250" t="str">
        <f ca="1">IF(I250=1,IF(RAND()&lt;0.95,"Piped Water",F_Baseline_data!E250),F_Baseline_data!E250)</f>
        <v>Rainwater</v>
      </c>
      <c r="F250">
        <f t="shared" ca="1" si="6"/>
        <v>44</v>
      </c>
      <c r="G250">
        <v>11.3</v>
      </c>
      <c r="H250">
        <f ca="1">MAX(0,ROUND(F_Baseline_data!H250+(F_Baseline_data!C250-5)*200+(D250-30000)*0.015+(F250-50)*15-IF(I250=1,1200,0)+_xlfn.NORM.INV(RAND(),0,2500),-2))</f>
        <v>10300</v>
      </c>
      <c r="I250">
        <v>0</v>
      </c>
      <c r="J250">
        <f>1</f>
        <v>1</v>
      </c>
      <c r="K250">
        <f>1</f>
        <v>1</v>
      </c>
      <c r="L250">
        <v>0</v>
      </c>
      <c r="M250">
        <f t="shared" ca="1" si="7"/>
        <v>5.1370099117935775E-2</v>
      </c>
      <c r="N250">
        <v>0</v>
      </c>
      <c r="O250">
        <v>0</v>
      </c>
      <c r="P250">
        <v>0</v>
      </c>
    </row>
    <row r="251" spans="1:16" x14ac:dyDescent="0.3">
      <c r="A251" t="s">
        <v>359</v>
      </c>
      <c r="B251" t="s">
        <v>64</v>
      </c>
      <c r="C251">
        <f ca="1">IF(RAND()&lt;0.8,F_Baseline_data!C251,IF(RAND()&lt;0.85,F_Baseline_data!C251+1,IF(F_Baseline_data!C251&gt;3,C251-1,F_Baseline_data!C251)))</f>
        <v>6</v>
      </c>
      <c r="D251">
        <f ca="1">MAX(5000,ROUND(F_Baseline_data!D251*(1+_xlfn.NORM.INV(RAND(),0.12,0.1)),-2))</f>
        <v>36000</v>
      </c>
      <c r="E251" t="str">
        <f ca="1">IF(I251=1,IF(RAND()&lt;0.95,"Piped Water",F_Baseline_data!E251),F_Baseline_data!E251)</f>
        <v>Rainwater</v>
      </c>
      <c r="F251">
        <f t="shared" ca="1" si="6"/>
        <v>65</v>
      </c>
      <c r="G251">
        <v>11.1</v>
      </c>
      <c r="H251">
        <f ca="1">MAX(0,ROUND(F_Baseline_data!H251+(F_Baseline_data!C251-5)*200+(D251-30000)*0.015+(F251-50)*15-IF(I251=1,1200,0)+_xlfn.NORM.INV(RAND(),0,2500),-2))</f>
        <v>3400</v>
      </c>
      <c r="I251">
        <v>0</v>
      </c>
      <c r="J251">
        <f>1</f>
        <v>1</v>
      </c>
      <c r="K251">
        <f>1</f>
        <v>1</v>
      </c>
      <c r="L251">
        <v>0</v>
      </c>
      <c r="M251">
        <f t="shared" ca="1" si="7"/>
        <v>0.44208197277191763</v>
      </c>
      <c r="N251">
        <v>0</v>
      </c>
      <c r="O251">
        <v>0</v>
      </c>
      <c r="P251">
        <v>0</v>
      </c>
    </row>
    <row r="252" spans="1:16" x14ac:dyDescent="0.3">
      <c r="A252" t="s">
        <v>360</v>
      </c>
      <c r="B252" t="s">
        <v>513</v>
      </c>
      <c r="C252">
        <f ca="1">IF(RAND()&lt;0.8,F_Baseline_data!C252,IF(RAND()&lt;0.85,F_Baseline_data!C252+1,IF(F_Baseline_data!C252&gt;3,C252-1,F_Baseline_data!C252)))</f>
        <v>8</v>
      </c>
      <c r="D252">
        <f ca="1">MAX(5000,ROUND(F_Baseline_data!D252*(1+_xlfn.NORM.INV(RAND(),0.12,0.1)),-2))</f>
        <v>36700</v>
      </c>
      <c r="E252" t="str">
        <f ca="1">IF(I252=1,IF(RAND()&lt;0.95,"Piped Water",F_Baseline_data!E252),F_Baseline_data!E252)</f>
        <v>Borehole</v>
      </c>
      <c r="F252">
        <f t="shared" ca="1" si="6"/>
        <v>23</v>
      </c>
      <c r="G252">
        <v>4</v>
      </c>
      <c r="H252">
        <f ca="1">MAX(0,ROUND(F_Baseline_data!H252+(F_Baseline_data!C252-5)*200+(D252-30000)*0.015+(F252-50)*15-IF(I252=1,1200,0)+_xlfn.NORM.INV(RAND(),0,2500),-2))</f>
        <v>3000</v>
      </c>
      <c r="I252">
        <v>0</v>
      </c>
      <c r="J252">
        <f>1</f>
        <v>1</v>
      </c>
      <c r="K252">
        <f>1</f>
        <v>1</v>
      </c>
      <c r="L252">
        <v>0</v>
      </c>
      <c r="M252">
        <f t="shared" ca="1" si="7"/>
        <v>0.43327415606057285</v>
      </c>
      <c r="N252">
        <v>0</v>
      </c>
      <c r="O252">
        <v>0</v>
      </c>
      <c r="P252">
        <v>0</v>
      </c>
    </row>
    <row r="253" spans="1:16" x14ac:dyDescent="0.3">
      <c r="A253" t="s">
        <v>361</v>
      </c>
      <c r="B253" t="s">
        <v>64</v>
      </c>
      <c r="C253">
        <f ca="1">IF(RAND()&lt;0.8,F_Baseline_data!C253,IF(RAND()&lt;0.85,F_Baseline_data!C253+1,IF(F_Baseline_data!C253&gt;3,C253-1,F_Baseline_data!C253)))</f>
        <v>9</v>
      </c>
      <c r="D253">
        <f ca="1">MAX(5000,ROUND(F_Baseline_data!D253*(1+_xlfn.NORM.INV(RAND(),0.12,0.1)),-2))</f>
        <v>29200</v>
      </c>
      <c r="E253" t="str">
        <f ca="1">IF(I253=1,IF(RAND()&lt;0.95,"Piped Water",F_Baseline_data!E253),F_Baseline_data!E253)</f>
        <v>Borehole</v>
      </c>
      <c r="F253">
        <f t="shared" ca="1" si="6"/>
        <v>52</v>
      </c>
      <c r="G253">
        <v>8.4</v>
      </c>
      <c r="H253">
        <f ca="1">MAX(0,ROUND(F_Baseline_data!H253+(F_Baseline_data!C253-5)*200+(D253-30000)*0.015+(F253-50)*15-IF(I253=1,1200,0)+_xlfn.NORM.INV(RAND(),0,2500),-2))</f>
        <v>0</v>
      </c>
      <c r="I253">
        <v>0</v>
      </c>
      <c r="J253">
        <f>1</f>
        <v>1</v>
      </c>
      <c r="K253">
        <f>1</f>
        <v>1</v>
      </c>
      <c r="L253">
        <v>0</v>
      </c>
      <c r="M253">
        <f t="shared" ca="1" si="7"/>
        <v>0.98775037913633412</v>
      </c>
      <c r="N253">
        <v>0</v>
      </c>
      <c r="O253">
        <v>0</v>
      </c>
      <c r="P253">
        <v>0</v>
      </c>
    </row>
    <row r="254" spans="1:16" x14ac:dyDescent="0.3">
      <c r="A254" t="s">
        <v>362</v>
      </c>
      <c r="B254" t="s">
        <v>513</v>
      </c>
      <c r="C254">
        <f ca="1">IF(RAND()&lt;0.8,F_Baseline_data!C254,IF(RAND()&lt;0.85,F_Baseline_data!C254+1,IF(F_Baseline_data!C254&gt;3,C254-1,F_Baseline_data!C254)))</f>
        <v>7</v>
      </c>
      <c r="D254">
        <f ca="1">MAX(5000,ROUND(F_Baseline_data!D254*(1+_xlfn.NORM.INV(RAND(),0.12,0.1)),-2))</f>
        <v>33700</v>
      </c>
      <c r="E254" t="str">
        <f ca="1">IF(I254=1,IF(RAND()&lt;0.95,"Piped Water",F_Baseline_data!E254),F_Baseline_data!E254)</f>
        <v>River</v>
      </c>
      <c r="F254">
        <f t="shared" ca="1" si="6"/>
        <v>64</v>
      </c>
      <c r="G254">
        <v>2.5</v>
      </c>
      <c r="H254">
        <f ca="1">MAX(0,ROUND(F_Baseline_data!H254+(F_Baseline_data!C254-5)*200+(D254-30000)*0.015+(F254-50)*15-IF(I254=1,1200,0)+_xlfn.NORM.INV(RAND(),0,2500),-2))</f>
        <v>5700</v>
      </c>
      <c r="I254">
        <v>0</v>
      </c>
      <c r="J254">
        <f>1</f>
        <v>1</v>
      </c>
      <c r="K254">
        <f>1</f>
        <v>1</v>
      </c>
      <c r="L254">
        <v>0</v>
      </c>
      <c r="M254">
        <f t="shared" ca="1" si="7"/>
        <v>0.4520997550968997</v>
      </c>
      <c r="N254">
        <v>0</v>
      </c>
      <c r="O254">
        <v>0</v>
      </c>
      <c r="P254">
        <v>0</v>
      </c>
    </row>
    <row r="255" spans="1:16" x14ac:dyDescent="0.3">
      <c r="A255" t="s">
        <v>363</v>
      </c>
      <c r="B255" t="s">
        <v>62</v>
      </c>
      <c r="C255">
        <f ca="1">IF(RAND()&lt;0.8,F_Baseline_data!C255,IF(RAND()&lt;0.85,F_Baseline_data!C255+1,IF(F_Baseline_data!C255&gt;3,C255-1,F_Baseline_data!C255)))</f>
        <v>4</v>
      </c>
      <c r="D255">
        <f ca="1">MAX(5000,ROUND(F_Baseline_data!D255*(1+_xlfn.NORM.INV(RAND(),0.12,0.1)),-2))</f>
        <v>32900</v>
      </c>
      <c r="E255" t="str">
        <f ca="1">IF(I255=1,IF(RAND()&lt;0.95,"Piped Water",F_Baseline_data!E255),F_Baseline_data!E255)</f>
        <v>Borehole</v>
      </c>
      <c r="F255">
        <f t="shared" ca="1" si="6"/>
        <v>47</v>
      </c>
      <c r="G255">
        <v>3</v>
      </c>
      <c r="H255">
        <f ca="1">MAX(0,ROUND(F_Baseline_data!H255+(F_Baseline_data!C255-5)*200+(D255-30000)*0.015+(F255-50)*15-IF(I255=1,1200,0)+_xlfn.NORM.INV(RAND(),0,2500),-2))</f>
        <v>13000</v>
      </c>
      <c r="I255">
        <v>0</v>
      </c>
      <c r="J255">
        <f>1</f>
        <v>1</v>
      </c>
      <c r="K255">
        <f>1</f>
        <v>1</v>
      </c>
      <c r="L255">
        <v>0</v>
      </c>
      <c r="M255">
        <f t="shared" ca="1" si="7"/>
        <v>0.85166389664510755</v>
      </c>
      <c r="N255">
        <v>0</v>
      </c>
      <c r="O255">
        <v>0</v>
      </c>
      <c r="P255">
        <v>0</v>
      </c>
    </row>
    <row r="256" spans="1:16" x14ac:dyDescent="0.3">
      <c r="A256" t="s">
        <v>364</v>
      </c>
      <c r="B256" t="s">
        <v>65</v>
      </c>
      <c r="C256">
        <f ca="1">IF(RAND()&lt;0.8,F_Baseline_data!C256,IF(RAND()&lt;0.85,F_Baseline_data!C256+1,IF(F_Baseline_data!C256&gt;3,C256-1,F_Baseline_data!C256)))</f>
        <v>9</v>
      </c>
      <c r="D256">
        <f ca="1">MAX(5000,ROUND(F_Baseline_data!D256*(1+_xlfn.NORM.INV(RAND(),0.12,0.1)),-2))</f>
        <v>42600</v>
      </c>
      <c r="E256" t="str">
        <f ca="1">IF(I256=1,IF(RAND()&lt;0.95,"Piped Water",F_Baseline_data!E256),F_Baseline_data!E256)</f>
        <v>River</v>
      </c>
      <c r="F256">
        <f t="shared" ca="1" si="6"/>
        <v>68</v>
      </c>
      <c r="G256">
        <v>4.7</v>
      </c>
      <c r="H256">
        <f ca="1">MAX(0,ROUND(F_Baseline_data!H256+(F_Baseline_data!C256-5)*200+(D256-30000)*0.015+(F256-50)*15-IF(I256=1,1200,0)+_xlfn.NORM.INV(RAND(),0,2500),-2))</f>
        <v>13400</v>
      </c>
      <c r="I256">
        <v>0</v>
      </c>
      <c r="J256">
        <f>1</f>
        <v>1</v>
      </c>
      <c r="K256">
        <f>1</f>
        <v>1</v>
      </c>
      <c r="L256">
        <v>0</v>
      </c>
      <c r="M256">
        <f t="shared" ca="1" si="7"/>
        <v>0.43654647912603517</v>
      </c>
      <c r="N256">
        <v>0</v>
      </c>
      <c r="O256">
        <v>0</v>
      </c>
      <c r="P256">
        <v>0</v>
      </c>
    </row>
    <row r="257" spans="1:16" x14ac:dyDescent="0.3">
      <c r="A257" t="s">
        <v>365</v>
      </c>
      <c r="B257" t="s">
        <v>65</v>
      </c>
      <c r="C257">
        <f ca="1">IF(RAND()&lt;0.8,F_Baseline_data!C257,IF(RAND()&lt;0.85,F_Baseline_data!C257+1,IF(F_Baseline_data!C257&gt;3,C257-1,F_Baseline_data!C257)))</f>
        <v>5</v>
      </c>
      <c r="D257">
        <f ca="1">MAX(5000,ROUND(F_Baseline_data!D257*(1+_xlfn.NORM.INV(RAND(),0.12,0.1)),-2))</f>
        <v>41900</v>
      </c>
      <c r="E257" t="str">
        <f ca="1">IF(I257=1,IF(RAND()&lt;0.95,"Piped Water",F_Baseline_data!E257),F_Baseline_data!E257)</f>
        <v>River</v>
      </c>
      <c r="F257">
        <f t="shared" ca="1" si="6"/>
        <v>105</v>
      </c>
      <c r="G257">
        <v>3.5</v>
      </c>
      <c r="H257">
        <f ca="1">MAX(0,ROUND(F_Baseline_data!H257+(F_Baseline_data!C257-5)*200+(D257-30000)*0.015+(F257-50)*15-IF(I257=1,1200,0)+_xlfn.NORM.INV(RAND(),0,2500),-2))</f>
        <v>9400</v>
      </c>
      <c r="I257">
        <v>0</v>
      </c>
      <c r="J257">
        <f>1</f>
        <v>1</v>
      </c>
      <c r="K257">
        <f>1</f>
        <v>1</v>
      </c>
      <c r="L257">
        <v>0</v>
      </c>
      <c r="M257">
        <f t="shared" ca="1" si="7"/>
        <v>0.70353843788272874</v>
      </c>
      <c r="N257">
        <v>0</v>
      </c>
      <c r="O257">
        <v>0</v>
      </c>
      <c r="P257">
        <v>0</v>
      </c>
    </row>
    <row r="258" spans="1:16" x14ac:dyDescent="0.3">
      <c r="A258" t="s">
        <v>366</v>
      </c>
      <c r="B258" t="s">
        <v>62</v>
      </c>
      <c r="C258">
        <f ca="1">IF(RAND()&lt;0.8,F_Baseline_data!C258,IF(RAND()&lt;0.85,F_Baseline_data!C258+1,IF(F_Baseline_data!C258&gt;3,C258-1,F_Baseline_data!C258)))</f>
        <v>3</v>
      </c>
      <c r="D258">
        <f ca="1">MAX(5000,ROUND(F_Baseline_data!D258*(1+_xlfn.NORM.INV(RAND(),0.12,0.1)),-2))</f>
        <v>58100</v>
      </c>
      <c r="E258" t="str">
        <f ca="1">IF(I258=1,IF(RAND()&lt;0.95,"Piped Water",F_Baseline_data!E258),F_Baseline_data!E258)</f>
        <v>Borehole</v>
      </c>
      <c r="F258">
        <f t="shared" ref="F258:F321" ca="1" si="8">IF(E258="Piped Water",RANDBETWEEN(0,10),IF(E258="River",RANDBETWEEN(45,120),IF(E258="Rainwater",RANDBETWEEN(15,70),IF(E258="Borehole",RANDBETWEEN(20,75),RANDBETWEEN(10,60)))))</f>
        <v>55</v>
      </c>
      <c r="G258">
        <v>9.5</v>
      </c>
      <c r="H258">
        <f ca="1">MAX(0,ROUND(F_Baseline_data!H258+(F_Baseline_data!C258-5)*200+(D258-30000)*0.015+(F258-50)*15-IF(I258=1,1200,0)+_xlfn.NORM.INV(RAND(),0,2500),-2))</f>
        <v>0</v>
      </c>
      <c r="I258">
        <v>0</v>
      </c>
      <c r="J258">
        <f>1</f>
        <v>1</v>
      </c>
      <c r="K258">
        <f>1</f>
        <v>1</v>
      </c>
      <c r="L258">
        <v>0</v>
      </c>
      <c r="M258">
        <f t="shared" ref="M258:M321" ca="1" si="9">RAND()</f>
        <v>0.32547963821255199</v>
      </c>
      <c r="N258">
        <v>0</v>
      </c>
      <c r="O258">
        <v>0</v>
      </c>
      <c r="P258">
        <v>0</v>
      </c>
    </row>
    <row r="259" spans="1:16" x14ac:dyDescent="0.3">
      <c r="A259" t="s">
        <v>367</v>
      </c>
      <c r="B259" t="s">
        <v>513</v>
      </c>
      <c r="C259">
        <f ca="1">IF(RAND()&lt;0.8,F_Baseline_data!C259,IF(RAND()&lt;0.85,F_Baseline_data!C259+1,IF(F_Baseline_data!C259&gt;3,C259-1,F_Baseline_data!C259)))</f>
        <v>7</v>
      </c>
      <c r="D259">
        <f ca="1">MAX(5000,ROUND(F_Baseline_data!D259*(1+_xlfn.NORM.INV(RAND(),0.12,0.1)),-2))</f>
        <v>41400</v>
      </c>
      <c r="E259" t="str">
        <f ca="1">IF(I259=1,IF(RAND()&lt;0.95,"Piped Water",F_Baseline_data!E259),F_Baseline_data!E259)</f>
        <v>Rainwater</v>
      </c>
      <c r="F259">
        <f t="shared" ca="1" si="8"/>
        <v>66</v>
      </c>
      <c r="G259">
        <v>12.6</v>
      </c>
      <c r="H259">
        <f ca="1">MAX(0,ROUND(F_Baseline_data!H259+(F_Baseline_data!C259-5)*200+(D259-30000)*0.015+(F259-50)*15-IF(I259=1,1200,0)+_xlfn.NORM.INV(RAND(),0,2500),-2))</f>
        <v>11000</v>
      </c>
      <c r="I259">
        <v>0</v>
      </c>
      <c r="J259">
        <f>1</f>
        <v>1</v>
      </c>
      <c r="K259">
        <f>1</f>
        <v>1</v>
      </c>
      <c r="L259">
        <v>0</v>
      </c>
      <c r="M259">
        <f t="shared" ca="1" si="9"/>
        <v>9.2291128184916027E-2</v>
      </c>
      <c r="N259">
        <v>0</v>
      </c>
      <c r="O259">
        <v>0</v>
      </c>
      <c r="P259">
        <v>0</v>
      </c>
    </row>
    <row r="260" spans="1:16" x14ac:dyDescent="0.3">
      <c r="A260" t="s">
        <v>368</v>
      </c>
      <c r="B260" t="s">
        <v>62</v>
      </c>
      <c r="C260">
        <f ca="1">IF(RAND()&lt;0.8,F_Baseline_data!C260,IF(RAND()&lt;0.85,F_Baseline_data!C260+1,IF(F_Baseline_data!C260&gt;3,C260-1,F_Baseline_data!C260)))</f>
        <v>7</v>
      </c>
      <c r="D260">
        <f ca="1">MAX(5000,ROUND(F_Baseline_data!D260*(1+_xlfn.NORM.INV(RAND(),0.12,0.1)),-2))</f>
        <v>67400</v>
      </c>
      <c r="E260" t="str">
        <f ca="1">IF(I260=1,IF(RAND()&lt;0.95,"Piped Water",F_Baseline_data!E260),F_Baseline_data!E260)</f>
        <v>Vendor</v>
      </c>
      <c r="F260">
        <f t="shared" ca="1" si="8"/>
        <v>57</v>
      </c>
      <c r="G260">
        <v>3.8</v>
      </c>
      <c r="H260">
        <f ca="1">MAX(0,ROUND(F_Baseline_data!H260+(F_Baseline_data!C260-5)*200+(D260-30000)*0.015+(F260-50)*15-IF(I260=1,1200,0)+_xlfn.NORM.INV(RAND(),0,2500),-2))</f>
        <v>5800</v>
      </c>
      <c r="I260">
        <v>0</v>
      </c>
      <c r="J260">
        <f>1</f>
        <v>1</v>
      </c>
      <c r="K260">
        <f>1</f>
        <v>1</v>
      </c>
      <c r="L260">
        <v>0</v>
      </c>
      <c r="M260">
        <f t="shared" ca="1" si="9"/>
        <v>0.29883501930778245</v>
      </c>
      <c r="N260">
        <v>0</v>
      </c>
      <c r="O260">
        <v>0</v>
      </c>
      <c r="P260">
        <v>0</v>
      </c>
    </row>
    <row r="261" spans="1:16" x14ac:dyDescent="0.3">
      <c r="A261" t="s">
        <v>369</v>
      </c>
      <c r="B261" t="s">
        <v>62</v>
      </c>
      <c r="C261">
        <f ca="1">IF(RAND()&lt;0.8,F_Baseline_data!C261,IF(RAND()&lt;0.85,F_Baseline_data!C261+1,IF(F_Baseline_data!C261&gt;3,C261-1,F_Baseline_data!C261)))</f>
        <v>5</v>
      </c>
      <c r="D261">
        <f ca="1">MAX(5000,ROUND(F_Baseline_data!D261*(1+_xlfn.NORM.INV(RAND(),0.12,0.1)),-2))</f>
        <v>73200</v>
      </c>
      <c r="E261" t="str">
        <f ca="1">IF(I261=1,IF(RAND()&lt;0.95,"Piped Water",F_Baseline_data!E261),F_Baseline_data!E261)</f>
        <v>River</v>
      </c>
      <c r="F261">
        <f t="shared" ca="1" si="8"/>
        <v>93</v>
      </c>
      <c r="G261">
        <v>2.9</v>
      </c>
      <c r="H261">
        <f ca="1">MAX(0,ROUND(F_Baseline_data!H261+(F_Baseline_data!C261-5)*200+(D261-30000)*0.015+(F261-50)*15-IF(I261=1,1200,0)+_xlfn.NORM.INV(RAND(),0,2500),-2))</f>
        <v>14000</v>
      </c>
      <c r="I261">
        <v>0</v>
      </c>
      <c r="J261">
        <f>1</f>
        <v>1</v>
      </c>
      <c r="K261">
        <f>1</f>
        <v>1</v>
      </c>
      <c r="L261">
        <v>0</v>
      </c>
      <c r="M261">
        <f t="shared" ca="1" si="9"/>
        <v>0.43296748275192587</v>
      </c>
      <c r="N261">
        <v>0</v>
      </c>
      <c r="O261">
        <v>0</v>
      </c>
      <c r="P261">
        <v>0</v>
      </c>
    </row>
    <row r="262" spans="1:16" x14ac:dyDescent="0.3">
      <c r="A262" t="s">
        <v>370</v>
      </c>
      <c r="B262" t="s">
        <v>513</v>
      </c>
      <c r="C262">
        <f ca="1">IF(RAND()&lt;0.8,F_Baseline_data!C262,IF(RAND()&lt;0.85,F_Baseline_data!C262+1,IF(F_Baseline_data!C262&gt;3,C262-1,F_Baseline_data!C262)))</f>
        <v>10</v>
      </c>
      <c r="D262">
        <f ca="1">MAX(5000,ROUND(F_Baseline_data!D262*(1+_xlfn.NORM.INV(RAND(),0.12,0.1)),-2))</f>
        <v>23300</v>
      </c>
      <c r="E262" t="str">
        <f ca="1">IF(I262=1,IF(RAND()&lt;0.95,"Piped Water",F_Baseline_data!E262),F_Baseline_data!E262)</f>
        <v>Rainwater</v>
      </c>
      <c r="F262">
        <f t="shared" ca="1" si="8"/>
        <v>59</v>
      </c>
      <c r="G262">
        <v>7.6</v>
      </c>
      <c r="H262">
        <f ca="1">MAX(0,ROUND(F_Baseline_data!H262+(F_Baseline_data!C262-5)*200+(D262-30000)*0.015+(F262-50)*15-IF(I262=1,1200,0)+_xlfn.NORM.INV(RAND(),0,2500),-2))</f>
        <v>14900</v>
      </c>
      <c r="I262">
        <v>0</v>
      </c>
      <c r="J262">
        <f>1</f>
        <v>1</v>
      </c>
      <c r="K262">
        <f>1</f>
        <v>1</v>
      </c>
      <c r="L262">
        <v>0</v>
      </c>
      <c r="M262">
        <f t="shared" ca="1" si="9"/>
        <v>7.3814099579458281E-2</v>
      </c>
      <c r="N262">
        <v>0</v>
      </c>
      <c r="O262">
        <v>0</v>
      </c>
      <c r="P262">
        <v>0</v>
      </c>
    </row>
    <row r="263" spans="1:16" x14ac:dyDescent="0.3">
      <c r="A263" t="s">
        <v>371</v>
      </c>
      <c r="B263" t="s">
        <v>65</v>
      </c>
      <c r="C263">
        <f ca="1">IF(RAND()&lt;0.8,F_Baseline_data!C263,IF(RAND()&lt;0.85,F_Baseline_data!C263+1,IF(F_Baseline_data!C263&gt;3,C263-1,F_Baseline_data!C263)))</f>
        <v>7</v>
      </c>
      <c r="D263">
        <f ca="1">MAX(5000,ROUND(F_Baseline_data!D263*(1+_xlfn.NORM.INV(RAND(),0.12,0.1)),-2))</f>
        <v>43300</v>
      </c>
      <c r="E263" t="str">
        <f ca="1">IF(I263=1,IF(RAND()&lt;0.95,"Piped Water",F_Baseline_data!E263),F_Baseline_data!E263)</f>
        <v>River</v>
      </c>
      <c r="F263">
        <f t="shared" ca="1" si="8"/>
        <v>62</v>
      </c>
      <c r="G263">
        <v>5.9</v>
      </c>
      <c r="H263">
        <f ca="1">MAX(0,ROUND(F_Baseline_data!H263+(F_Baseline_data!C263-5)*200+(D263-30000)*0.015+(F263-50)*15-IF(I263=1,1200,0)+_xlfn.NORM.INV(RAND(),0,2500),-2))</f>
        <v>600</v>
      </c>
      <c r="I263">
        <v>0</v>
      </c>
      <c r="J263">
        <f>1</f>
        <v>1</v>
      </c>
      <c r="K263">
        <f>1</f>
        <v>1</v>
      </c>
      <c r="L263">
        <v>0</v>
      </c>
      <c r="M263">
        <f t="shared" ca="1" si="9"/>
        <v>0.97206965288544767</v>
      </c>
      <c r="N263">
        <v>0</v>
      </c>
      <c r="O263">
        <v>0</v>
      </c>
      <c r="P263">
        <v>0</v>
      </c>
    </row>
    <row r="264" spans="1:16" x14ac:dyDescent="0.3">
      <c r="A264" t="s">
        <v>372</v>
      </c>
      <c r="B264" t="s">
        <v>513</v>
      </c>
      <c r="C264">
        <f ca="1">IF(RAND()&lt;0.8,F_Baseline_data!C264,IF(RAND()&lt;0.85,F_Baseline_data!C264+1,IF(F_Baseline_data!C264&gt;3,C264-1,F_Baseline_data!C264)))</f>
        <v>8</v>
      </c>
      <c r="D264">
        <f ca="1">MAX(5000,ROUND(F_Baseline_data!D264*(1+_xlfn.NORM.INV(RAND(),0.12,0.1)),-2))</f>
        <v>33100</v>
      </c>
      <c r="E264" t="str">
        <f ca="1">IF(I264=1,IF(RAND()&lt;0.95,"Piped Water",F_Baseline_data!E264),F_Baseline_data!E264)</f>
        <v>Vendor</v>
      </c>
      <c r="F264">
        <f t="shared" ca="1" si="8"/>
        <v>48</v>
      </c>
      <c r="G264">
        <v>5.9</v>
      </c>
      <c r="H264">
        <f ca="1">MAX(0,ROUND(F_Baseline_data!H264+(F_Baseline_data!C264-5)*200+(D264-30000)*0.015+(F264-50)*15-IF(I264=1,1200,0)+_xlfn.NORM.INV(RAND(),0,2500),-2))</f>
        <v>10000</v>
      </c>
      <c r="I264">
        <v>0</v>
      </c>
      <c r="J264">
        <f>1</f>
        <v>1</v>
      </c>
      <c r="K264">
        <f>1</f>
        <v>1</v>
      </c>
      <c r="L264">
        <v>0</v>
      </c>
      <c r="M264">
        <f t="shared" ca="1" si="9"/>
        <v>0.72633862961554507</v>
      </c>
      <c r="N264">
        <v>0</v>
      </c>
      <c r="O264">
        <v>0</v>
      </c>
      <c r="P264">
        <v>0</v>
      </c>
    </row>
    <row r="265" spans="1:16" x14ac:dyDescent="0.3">
      <c r="A265" t="s">
        <v>373</v>
      </c>
      <c r="B265" t="s">
        <v>62</v>
      </c>
      <c r="C265">
        <f ca="1">IF(RAND()&lt;0.8,F_Baseline_data!C265,IF(RAND()&lt;0.85,F_Baseline_data!C265+1,IF(F_Baseline_data!C265&gt;3,C265-1,F_Baseline_data!C265)))</f>
        <v>3</v>
      </c>
      <c r="D265">
        <f ca="1">MAX(5000,ROUND(F_Baseline_data!D265*(1+_xlfn.NORM.INV(RAND(),0.12,0.1)),-2))</f>
        <v>49300</v>
      </c>
      <c r="E265" t="str">
        <f ca="1">IF(I265=1,IF(RAND()&lt;0.95,"Piped Water",F_Baseline_data!E265),F_Baseline_data!E265)</f>
        <v>Borehole</v>
      </c>
      <c r="F265">
        <f t="shared" ca="1" si="8"/>
        <v>51</v>
      </c>
      <c r="G265">
        <v>7.5</v>
      </c>
      <c r="H265">
        <f ca="1">MAX(0,ROUND(F_Baseline_data!H265+(F_Baseline_data!C265-5)*200+(D265-30000)*0.015+(F265-50)*15-IF(I265=1,1200,0)+_xlfn.NORM.INV(RAND(),0,2500),-2))</f>
        <v>7900</v>
      </c>
      <c r="I265">
        <v>0</v>
      </c>
      <c r="J265">
        <f>1</f>
        <v>1</v>
      </c>
      <c r="K265">
        <f>1</f>
        <v>1</v>
      </c>
      <c r="L265">
        <v>0</v>
      </c>
      <c r="M265">
        <f t="shared" ca="1" si="9"/>
        <v>0.4057981405819282</v>
      </c>
      <c r="N265">
        <v>0</v>
      </c>
      <c r="O265">
        <v>0</v>
      </c>
      <c r="P265">
        <v>0</v>
      </c>
    </row>
    <row r="266" spans="1:16" x14ac:dyDescent="0.3">
      <c r="A266" t="s">
        <v>374</v>
      </c>
      <c r="B266" t="s">
        <v>62</v>
      </c>
      <c r="C266">
        <f ca="1">IF(RAND()&lt;0.8,F_Baseline_data!C266,IF(RAND()&lt;0.85,F_Baseline_data!C266+1,IF(F_Baseline_data!C266&gt;3,C266-1,F_Baseline_data!C266)))</f>
        <v>6</v>
      </c>
      <c r="D266">
        <f ca="1">MAX(5000,ROUND(F_Baseline_data!D266*(1+_xlfn.NORM.INV(RAND(),0.12,0.1)),-2))</f>
        <v>38400</v>
      </c>
      <c r="E266" t="str">
        <f ca="1">IF(I266=1,IF(RAND()&lt;0.95,"Piped Water",F_Baseline_data!E266),F_Baseline_data!E266)</f>
        <v>Rainwater</v>
      </c>
      <c r="F266">
        <f t="shared" ca="1" si="8"/>
        <v>45</v>
      </c>
      <c r="G266">
        <v>3.9</v>
      </c>
      <c r="H266">
        <f ca="1">MAX(0,ROUND(F_Baseline_data!H266+(F_Baseline_data!C266-5)*200+(D266-30000)*0.015+(F266-50)*15-IF(I266=1,1200,0)+_xlfn.NORM.INV(RAND(),0,2500),-2))</f>
        <v>4900</v>
      </c>
      <c r="I266">
        <v>0</v>
      </c>
      <c r="J266">
        <f>1</f>
        <v>1</v>
      </c>
      <c r="K266">
        <f>1</f>
        <v>1</v>
      </c>
      <c r="L266">
        <v>0</v>
      </c>
      <c r="M266">
        <f t="shared" ca="1" si="9"/>
        <v>0.29145822815557065</v>
      </c>
      <c r="N266">
        <v>0</v>
      </c>
      <c r="O266">
        <v>0</v>
      </c>
      <c r="P266">
        <v>0</v>
      </c>
    </row>
    <row r="267" spans="1:16" x14ac:dyDescent="0.3">
      <c r="A267" t="s">
        <v>375</v>
      </c>
      <c r="B267" t="s">
        <v>64</v>
      </c>
      <c r="C267">
        <f ca="1">IF(RAND()&lt;0.8,F_Baseline_data!C267,IF(RAND()&lt;0.85,F_Baseline_data!C267+1,IF(F_Baseline_data!C267&gt;3,C267-1,F_Baseline_data!C267)))</f>
        <v>2</v>
      </c>
      <c r="D267">
        <f ca="1">MAX(5000,ROUND(F_Baseline_data!D267*(1+_xlfn.NORM.INV(RAND(),0.12,0.1)),-2))</f>
        <v>15600</v>
      </c>
      <c r="E267" t="str">
        <f ca="1">IF(I267=1,IF(RAND()&lt;0.95,"Piped Water",F_Baseline_data!E267),F_Baseline_data!E267)</f>
        <v>River</v>
      </c>
      <c r="F267">
        <f t="shared" ca="1" si="8"/>
        <v>90</v>
      </c>
      <c r="G267">
        <v>8</v>
      </c>
      <c r="H267">
        <f ca="1">MAX(0,ROUND(F_Baseline_data!H267+(F_Baseline_data!C267-5)*200+(D267-30000)*0.015+(F267-50)*15-IF(I267=1,1200,0)+_xlfn.NORM.INV(RAND(),0,2500),-2))</f>
        <v>0</v>
      </c>
      <c r="I267">
        <v>0</v>
      </c>
      <c r="J267">
        <f>1</f>
        <v>1</v>
      </c>
      <c r="K267">
        <f>1</f>
        <v>1</v>
      </c>
      <c r="L267">
        <v>0</v>
      </c>
      <c r="M267">
        <f t="shared" ca="1" si="9"/>
        <v>0.65889714998071858</v>
      </c>
      <c r="N267">
        <v>0</v>
      </c>
      <c r="O267">
        <v>0</v>
      </c>
      <c r="P267">
        <v>0</v>
      </c>
    </row>
    <row r="268" spans="1:16" x14ac:dyDescent="0.3">
      <c r="A268" t="s">
        <v>376</v>
      </c>
      <c r="B268" t="s">
        <v>65</v>
      </c>
      <c r="C268">
        <f ca="1">IF(RAND()&lt;0.8,F_Baseline_data!C268,IF(RAND()&lt;0.85,F_Baseline_data!C268+1,IF(F_Baseline_data!C268&gt;3,C268-1,F_Baseline_data!C268)))</f>
        <v>9</v>
      </c>
      <c r="D268">
        <f ca="1">MAX(5000,ROUND(F_Baseline_data!D268*(1+_xlfn.NORM.INV(RAND(),0.12,0.1)),-2))</f>
        <v>56300</v>
      </c>
      <c r="E268" t="str">
        <f ca="1">IF(I268=1,IF(RAND()&lt;0.95,"Piped Water",F_Baseline_data!E268),F_Baseline_data!E268)</f>
        <v>Rainwater</v>
      </c>
      <c r="F268">
        <f t="shared" ca="1" si="8"/>
        <v>54</v>
      </c>
      <c r="G268">
        <v>5.3</v>
      </c>
      <c r="H268">
        <f ca="1">MAX(0,ROUND(F_Baseline_data!H268+(F_Baseline_data!C268-5)*200+(D268-30000)*0.015+(F268-50)*15-IF(I268=1,1200,0)+_xlfn.NORM.INV(RAND(),0,2500),-2))</f>
        <v>5300</v>
      </c>
      <c r="I268">
        <v>0</v>
      </c>
      <c r="J268">
        <f>1</f>
        <v>1</v>
      </c>
      <c r="K268">
        <f>1</f>
        <v>1</v>
      </c>
      <c r="L268">
        <v>0</v>
      </c>
      <c r="M268">
        <f t="shared" ca="1" si="9"/>
        <v>0.53059704149858711</v>
      </c>
      <c r="N268">
        <v>0</v>
      </c>
      <c r="O268">
        <v>0</v>
      </c>
      <c r="P268">
        <v>0</v>
      </c>
    </row>
    <row r="269" spans="1:16" x14ac:dyDescent="0.3">
      <c r="A269" t="s">
        <v>377</v>
      </c>
      <c r="B269" t="s">
        <v>513</v>
      </c>
      <c r="C269">
        <f ca="1">IF(RAND()&lt;0.8,F_Baseline_data!C269,IF(RAND()&lt;0.85,F_Baseline_data!C269+1,IF(F_Baseline_data!C269&gt;3,C269-1,F_Baseline_data!C269)))</f>
        <v>7</v>
      </c>
      <c r="D269">
        <f ca="1">MAX(5000,ROUND(F_Baseline_data!D269*(1+_xlfn.NORM.INV(RAND(),0.12,0.1)),-2))</f>
        <v>58700</v>
      </c>
      <c r="E269" t="str">
        <f ca="1">IF(I269=1,IF(RAND()&lt;0.95,"Piped Water",F_Baseline_data!E269),F_Baseline_data!E269)</f>
        <v>Vendor</v>
      </c>
      <c r="F269">
        <f t="shared" ca="1" si="8"/>
        <v>49</v>
      </c>
      <c r="G269">
        <v>6.9</v>
      </c>
      <c r="H269">
        <f ca="1">MAX(0,ROUND(F_Baseline_data!H269+(F_Baseline_data!C269-5)*200+(D269-30000)*0.015+(F269-50)*15-IF(I269=1,1200,0)+_xlfn.NORM.INV(RAND(),0,2500),-2))</f>
        <v>2000</v>
      </c>
      <c r="I269">
        <v>0</v>
      </c>
      <c r="J269">
        <f>1</f>
        <v>1</v>
      </c>
      <c r="K269">
        <f>1</f>
        <v>1</v>
      </c>
      <c r="L269">
        <v>0</v>
      </c>
      <c r="M269">
        <f t="shared" ca="1" si="9"/>
        <v>0.20828488433737202</v>
      </c>
      <c r="N269">
        <v>0</v>
      </c>
      <c r="O269">
        <v>0</v>
      </c>
      <c r="P269">
        <v>0</v>
      </c>
    </row>
    <row r="270" spans="1:16" x14ac:dyDescent="0.3">
      <c r="A270" t="s">
        <v>378</v>
      </c>
      <c r="B270" t="s">
        <v>65</v>
      </c>
      <c r="C270">
        <f ca="1">IF(RAND()&lt;0.8,F_Baseline_data!C270,IF(RAND()&lt;0.85,F_Baseline_data!C270+1,IF(F_Baseline_data!C270&gt;3,C270-1,F_Baseline_data!C270)))</f>
        <v>7</v>
      </c>
      <c r="D270">
        <f ca="1">MAX(5000,ROUND(F_Baseline_data!D270*(1+_xlfn.NORM.INV(RAND(),0.12,0.1)),-2))</f>
        <v>81600</v>
      </c>
      <c r="E270" t="str">
        <f ca="1">IF(I270=1,IF(RAND()&lt;0.95,"Piped Water",F_Baseline_data!E270),F_Baseline_data!E270)</f>
        <v>Vendor</v>
      </c>
      <c r="F270">
        <f t="shared" ca="1" si="8"/>
        <v>45</v>
      </c>
      <c r="G270">
        <v>3.4</v>
      </c>
      <c r="H270">
        <f ca="1">MAX(0,ROUND(F_Baseline_data!H270+(F_Baseline_data!C270-5)*200+(D270-30000)*0.015+(F270-50)*15-IF(I270=1,1200,0)+_xlfn.NORM.INV(RAND(),0,2500),-2))</f>
        <v>9800</v>
      </c>
      <c r="I270">
        <v>0</v>
      </c>
      <c r="J270">
        <f>1</f>
        <v>1</v>
      </c>
      <c r="K270">
        <f>1</f>
        <v>1</v>
      </c>
      <c r="L270">
        <v>0</v>
      </c>
      <c r="M270">
        <f t="shared" ca="1" si="9"/>
        <v>0.43431345358968332</v>
      </c>
      <c r="N270">
        <v>0</v>
      </c>
      <c r="O270">
        <v>0</v>
      </c>
      <c r="P270">
        <v>0</v>
      </c>
    </row>
    <row r="271" spans="1:16" x14ac:dyDescent="0.3">
      <c r="A271" t="s">
        <v>379</v>
      </c>
      <c r="B271" t="s">
        <v>64</v>
      </c>
      <c r="C271">
        <f ca="1">IF(RAND()&lt;0.8,F_Baseline_data!C271,IF(RAND()&lt;0.85,F_Baseline_data!C271+1,IF(F_Baseline_data!C271&gt;3,C271-1,F_Baseline_data!C271)))</f>
        <v>4</v>
      </c>
      <c r="D271">
        <f ca="1">MAX(5000,ROUND(F_Baseline_data!D271*(1+_xlfn.NORM.INV(RAND(),0.12,0.1)),-2))</f>
        <v>70800</v>
      </c>
      <c r="E271" t="str">
        <f ca="1">IF(I271=1,IF(RAND()&lt;0.95,"Piped Water",F_Baseline_data!E271),F_Baseline_data!E271)</f>
        <v>Rainwater</v>
      </c>
      <c r="F271">
        <f t="shared" ca="1" si="8"/>
        <v>23</v>
      </c>
      <c r="G271">
        <v>0.8</v>
      </c>
      <c r="H271">
        <f ca="1">MAX(0,ROUND(F_Baseline_data!H271+(F_Baseline_data!C271-5)*200+(D271-30000)*0.015+(F271-50)*15-IF(I271=1,1200,0)+_xlfn.NORM.INV(RAND(),0,2500),-2))</f>
        <v>11300</v>
      </c>
      <c r="I271">
        <v>0</v>
      </c>
      <c r="J271">
        <f>1</f>
        <v>1</v>
      </c>
      <c r="K271">
        <f>1</f>
        <v>1</v>
      </c>
      <c r="L271">
        <v>0</v>
      </c>
      <c r="M271">
        <f t="shared" ca="1" si="9"/>
        <v>0.52970479029592077</v>
      </c>
      <c r="N271">
        <v>0</v>
      </c>
      <c r="O271">
        <v>0</v>
      </c>
      <c r="P271">
        <v>0</v>
      </c>
    </row>
    <row r="272" spans="1:16" x14ac:dyDescent="0.3">
      <c r="A272" t="s">
        <v>380</v>
      </c>
      <c r="B272" t="s">
        <v>65</v>
      </c>
      <c r="C272">
        <f ca="1">IF(RAND()&lt;0.8,F_Baseline_data!C272,IF(RAND()&lt;0.85,F_Baseline_data!C272+1,IF(F_Baseline_data!C272&gt;3,C272-1,F_Baseline_data!C272)))</f>
        <v>6</v>
      </c>
      <c r="D272">
        <f ca="1">MAX(5000,ROUND(F_Baseline_data!D272*(1+_xlfn.NORM.INV(RAND(),0.12,0.1)),-2))</f>
        <v>83600</v>
      </c>
      <c r="E272" t="str">
        <f ca="1">IF(I272=1,IF(RAND()&lt;0.95,"Piped Water",F_Baseline_data!E272),F_Baseline_data!E272)</f>
        <v>Borehole</v>
      </c>
      <c r="F272">
        <f t="shared" ca="1" si="8"/>
        <v>50</v>
      </c>
      <c r="G272">
        <v>12.3</v>
      </c>
      <c r="H272">
        <f ca="1">MAX(0,ROUND(F_Baseline_data!H272+(F_Baseline_data!C272-5)*200+(D272-30000)*0.015+(F272-50)*15-IF(I272=1,1200,0)+_xlfn.NORM.INV(RAND(),0,2500),-2))</f>
        <v>7100</v>
      </c>
      <c r="I272">
        <v>0</v>
      </c>
      <c r="J272">
        <f>1</f>
        <v>1</v>
      </c>
      <c r="K272">
        <f>1</f>
        <v>1</v>
      </c>
      <c r="L272">
        <v>0</v>
      </c>
      <c r="M272">
        <f t="shared" ca="1" si="9"/>
        <v>0.9553124077353965</v>
      </c>
      <c r="N272">
        <v>0</v>
      </c>
      <c r="O272">
        <v>0</v>
      </c>
      <c r="P272">
        <v>0</v>
      </c>
    </row>
    <row r="273" spans="1:16" x14ac:dyDescent="0.3">
      <c r="A273" t="s">
        <v>381</v>
      </c>
      <c r="B273" t="s">
        <v>62</v>
      </c>
      <c r="C273">
        <f ca="1">IF(RAND()&lt;0.8,F_Baseline_data!C273,IF(RAND()&lt;0.85,F_Baseline_data!C273+1,IF(F_Baseline_data!C273&gt;3,C273-1,F_Baseline_data!C273)))</f>
        <v>10</v>
      </c>
      <c r="D273">
        <f ca="1">MAX(5000,ROUND(F_Baseline_data!D273*(1+_xlfn.NORM.INV(RAND(),0.12,0.1)),-2))</f>
        <v>22100</v>
      </c>
      <c r="E273" t="str">
        <f ca="1">IF(I273=1,IF(RAND()&lt;0.95,"Piped Water",F_Baseline_data!E273),F_Baseline_data!E273)</f>
        <v>Borehole</v>
      </c>
      <c r="F273">
        <f t="shared" ca="1" si="8"/>
        <v>60</v>
      </c>
      <c r="G273">
        <v>6.9</v>
      </c>
      <c r="H273">
        <f ca="1">MAX(0,ROUND(F_Baseline_data!H273+(F_Baseline_data!C273-5)*200+(D273-30000)*0.015+(F273-50)*15-IF(I273=1,1200,0)+_xlfn.NORM.INV(RAND(),0,2500),-2))</f>
        <v>4800</v>
      </c>
      <c r="I273">
        <v>0</v>
      </c>
      <c r="J273">
        <f>1</f>
        <v>1</v>
      </c>
      <c r="K273">
        <f>1</f>
        <v>1</v>
      </c>
      <c r="L273">
        <v>0</v>
      </c>
      <c r="M273">
        <f t="shared" ca="1" si="9"/>
        <v>0.28907674417413221</v>
      </c>
      <c r="N273">
        <v>0</v>
      </c>
      <c r="O273">
        <v>0</v>
      </c>
      <c r="P273">
        <v>0</v>
      </c>
    </row>
    <row r="274" spans="1:16" x14ac:dyDescent="0.3">
      <c r="A274" t="s">
        <v>382</v>
      </c>
      <c r="B274" t="s">
        <v>513</v>
      </c>
      <c r="C274">
        <f ca="1">IF(RAND()&lt;0.8,F_Baseline_data!C274,IF(RAND()&lt;0.85,F_Baseline_data!C274+1,IF(F_Baseline_data!C274&gt;3,C274-1,F_Baseline_data!C274)))</f>
        <v>7</v>
      </c>
      <c r="D274">
        <f ca="1">MAX(5000,ROUND(F_Baseline_data!D274*(1+_xlfn.NORM.INV(RAND(),0.12,0.1)),-2))</f>
        <v>43200</v>
      </c>
      <c r="E274" t="str">
        <f ca="1">IF(I274=1,IF(RAND()&lt;0.95,"Piped Water",F_Baseline_data!E274),F_Baseline_data!E274)</f>
        <v>River</v>
      </c>
      <c r="F274">
        <f t="shared" ca="1" si="8"/>
        <v>47</v>
      </c>
      <c r="G274">
        <v>12.9</v>
      </c>
      <c r="H274">
        <f ca="1">MAX(0,ROUND(F_Baseline_data!H274+(F_Baseline_data!C274-5)*200+(D274-30000)*0.015+(F274-50)*15-IF(I274=1,1200,0)+_xlfn.NORM.INV(RAND(),0,2500),-2))</f>
        <v>7400</v>
      </c>
      <c r="I274">
        <v>0</v>
      </c>
      <c r="J274">
        <f>1</f>
        <v>1</v>
      </c>
      <c r="K274">
        <f>1</f>
        <v>1</v>
      </c>
      <c r="L274">
        <v>0</v>
      </c>
      <c r="M274">
        <f t="shared" ca="1" si="9"/>
        <v>0.2032299905355468</v>
      </c>
      <c r="N274">
        <v>0</v>
      </c>
      <c r="O274">
        <v>0</v>
      </c>
      <c r="P274">
        <v>0</v>
      </c>
    </row>
    <row r="275" spans="1:16" x14ac:dyDescent="0.3">
      <c r="A275" t="s">
        <v>383</v>
      </c>
      <c r="B275" t="s">
        <v>65</v>
      </c>
      <c r="C275">
        <f ca="1">IF(RAND()&lt;0.8,F_Baseline_data!C275,IF(RAND()&lt;0.85,F_Baseline_data!C275+1,IF(F_Baseline_data!C275&gt;3,C275-1,F_Baseline_data!C275)))</f>
        <v>3</v>
      </c>
      <c r="D275">
        <f ca="1">MAX(5000,ROUND(F_Baseline_data!D275*(1+_xlfn.NORM.INV(RAND(),0.12,0.1)),-2))</f>
        <v>79300</v>
      </c>
      <c r="E275" t="str">
        <f ca="1">IF(I275=1,IF(RAND()&lt;0.95,"Piped Water",F_Baseline_data!E275),F_Baseline_data!E275)</f>
        <v>Vendor</v>
      </c>
      <c r="F275">
        <f t="shared" ca="1" si="8"/>
        <v>13</v>
      </c>
      <c r="G275">
        <v>5.5</v>
      </c>
      <c r="H275">
        <f ca="1">MAX(0,ROUND(F_Baseline_data!H275+(F_Baseline_data!C275-5)*200+(D275-30000)*0.015+(F275-50)*15-IF(I275=1,1200,0)+_xlfn.NORM.INV(RAND(),0,2500),-2))</f>
        <v>6300</v>
      </c>
      <c r="I275">
        <v>0</v>
      </c>
      <c r="J275">
        <f>1</f>
        <v>1</v>
      </c>
      <c r="K275">
        <f>1</f>
        <v>1</v>
      </c>
      <c r="L275">
        <v>0</v>
      </c>
      <c r="M275">
        <f t="shared" ca="1" si="9"/>
        <v>0.73326960714044065</v>
      </c>
      <c r="N275">
        <v>0</v>
      </c>
      <c r="O275">
        <v>0</v>
      </c>
      <c r="P275">
        <v>0</v>
      </c>
    </row>
    <row r="276" spans="1:16" x14ac:dyDescent="0.3">
      <c r="A276" t="s">
        <v>384</v>
      </c>
      <c r="B276" t="s">
        <v>64</v>
      </c>
      <c r="C276">
        <f ca="1">IF(RAND()&lt;0.8,F_Baseline_data!C276,IF(RAND()&lt;0.85,F_Baseline_data!C276+1,IF(F_Baseline_data!C276&gt;3,C276-1,F_Baseline_data!C276)))</f>
        <v>9</v>
      </c>
      <c r="D276">
        <f ca="1">MAX(5000,ROUND(F_Baseline_data!D276*(1+_xlfn.NORM.INV(RAND(),0.12,0.1)),-2))</f>
        <v>38400</v>
      </c>
      <c r="E276" t="str">
        <f ca="1">IF(I276=1,IF(RAND()&lt;0.95,"Piped Water",F_Baseline_data!E276),F_Baseline_data!E276)</f>
        <v>Vendor</v>
      </c>
      <c r="F276">
        <f t="shared" ca="1" si="8"/>
        <v>19</v>
      </c>
      <c r="G276">
        <v>11</v>
      </c>
      <c r="H276">
        <f ca="1">MAX(0,ROUND(F_Baseline_data!H276+(F_Baseline_data!C276-5)*200+(D276-30000)*0.015+(F276-50)*15-IF(I276=1,1200,0)+_xlfn.NORM.INV(RAND(),0,2500),-2))</f>
        <v>6600</v>
      </c>
      <c r="I276">
        <v>0</v>
      </c>
      <c r="J276">
        <f>1</f>
        <v>1</v>
      </c>
      <c r="K276">
        <f>1</f>
        <v>1</v>
      </c>
      <c r="L276">
        <v>0</v>
      </c>
      <c r="M276">
        <f t="shared" ca="1" si="9"/>
        <v>0.43611335933163009</v>
      </c>
      <c r="N276">
        <v>0</v>
      </c>
      <c r="O276">
        <v>0</v>
      </c>
      <c r="P276">
        <v>0</v>
      </c>
    </row>
    <row r="277" spans="1:16" x14ac:dyDescent="0.3">
      <c r="A277" t="s">
        <v>385</v>
      </c>
      <c r="B277" t="s">
        <v>65</v>
      </c>
      <c r="C277">
        <f ca="1">IF(RAND()&lt;0.8,F_Baseline_data!C277,IF(RAND()&lt;0.85,F_Baseline_data!C277+1,IF(F_Baseline_data!C277&gt;3,C277-1,F_Baseline_data!C277)))</f>
        <v>8</v>
      </c>
      <c r="D277">
        <f ca="1">MAX(5000,ROUND(F_Baseline_data!D277*(1+_xlfn.NORM.INV(RAND(),0.12,0.1)),-2))</f>
        <v>34600</v>
      </c>
      <c r="E277" t="str">
        <f ca="1">IF(I277=1,IF(RAND()&lt;0.95,"Piped Water",F_Baseline_data!E277),F_Baseline_data!E277)</f>
        <v>River</v>
      </c>
      <c r="F277">
        <f t="shared" ca="1" si="8"/>
        <v>118</v>
      </c>
      <c r="G277">
        <v>7.4</v>
      </c>
      <c r="H277">
        <f ca="1">MAX(0,ROUND(F_Baseline_data!H277+(F_Baseline_data!C277-5)*200+(D277-30000)*0.015+(F277-50)*15-IF(I277=1,1200,0)+_xlfn.NORM.INV(RAND(),0,2500),-2))</f>
        <v>13600</v>
      </c>
      <c r="I277">
        <v>0</v>
      </c>
      <c r="J277">
        <f>1</f>
        <v>1</v>
      </c>
      <c r="K277">
        <f>1</f>
        <v>1</v>
      </c>
      <c r="L277">
        <v>0</v>
      </c>
      <c r="M277">
        <f t="shared" ca="1" si="9"/>
        <v>0.45317492805424764</v>
      </c>
      <c r="N277">
        <v>0</v>
      </c>
      <c r="O277">
        <v>0</v>
      </c>
      <c r="P277">
        <v>0</v>
      </c>
    </row>
    <row r="278" spans="1:16" x14ac:dyDescent="0.3">
      <c r="A278" t="s">
        <v>386</v>
      </c>
      <c r="B278" t="s">
        <v>65</v>
      </c>
      <c r="C278">
        <f ca="1">IF(RAND()&lt;0.8,F_Baseline_data!C278,IF(RAND()&lt;0.85,F_Baseline_data!C278+1,IF(F_Baseline_data!C278&gt;3,C278-1,F_Baseline_data!C278)))</f>
        <v>7</v>
      </c>
      <c r="D278">
        <f ca="1">MAX(5000,ROUND(F_Baseline_data!D278*(1+_xlfn.NORM.INV(RAND(),0.12,0.1)),-2))</f>
        <v>22000</v>
      </c>
      <c r="E278" t="str">
        <f ca="1">IF(I278=1,IF(RAND()&lt;0.95,"Piped Water",F_Baseline_data!E278),F_Baseline_data!E278)</f>
        <v>Vendor</v>
      </c>
      <c r="F278">
        <f t="shared" ca="1" si="8"/>
        <v>31</v>
      </c>
      <c r="G278">
        <v>9.1</v>
      </c>
      <c r="H278">
        <f ca="1">MAX(0,ROUND(F_Baseline_data!H278+(F_Baseline_data!C278-5)*200+(D278-30000)*0.015+(F278-50)*15-IF(I278=1,1200,0)+_xlfn.NORM.INV(RAND(),0,2500),-2))</f>
        <v>600</v>
      </c>
      <c r="I278">
        <v>0</v>
      </c>
      <c r="J278">
        <f>1</f>
        <v>1</v>
      </c>
      <c r="K278">
        <f>1</f>
        <v>1</v>
      </c>
      <c r="L278">
        <v>0</v>
      </c>
      <c r="M278">
        <f t="shared" ca="1" si="9"/>
        <v>0.83596265843477868</v>
      </c>
      <c r="N278">
        <v>0</v>
      </c>
      <c r="O278">
        <v>0</v>
      </c>
      <c r="P278">
        <v>0</v>
      </c>
    </row>
    <row r="279" spans="1:16" x14ac:dyDescent="0.3">
      <c r="A279" t="s">
        <v>387</v>
      </c>
      <c r="B279" t="s">
        <v>62</v>
      </c>
      <c r="C279">
        <f ca="1">IF(RAND()&lt;0.8,F_Baseline_data!C279,IF(RAND()&lt;0.85,F_Baseline_data!C279+1,IF(F_Baseline_data!C279&gt;3,C279-1,F_Baseline_data!C279)))</f>
        <v>4</v>
      </c>
      <c r="D279">
        <f ca="1">MAX(5000,ROUND(F_Baseline_data!D279*(1+_xlfn.NORM.INV(RAND(),0.12,0.1)),-2))</f>
        <v>44100</v>
      </c>
      <c r="E279" t="str">
        <f ca="1">IF(I279=1,IF(RAND()&lt;0.95,"Piped Water",F_Baseline_data!E279),F_Baseline_data!E279)</f>
        <v>Rainwater</v>
      </c>
      <c r="F279">
        <f t="shared" ca="1" si="8"/>
        <v>39</v>
      </c>
      <c r="G279">
        <v>8.6</v>
      </c>
      <c r="H279">
        <f ca="1">MAX(0,ROUND(F_Baseline_data!H279+(F_Baseline_data!C279-5)*200+(D279-30000)*0.015+(F279-50)*15-IF(I279=1,1200,0)+_xlfn.NORM.INV(RAND(),0,2500),-2))</f>
        <v>11700</v>
      </c>
      <c r="I279">
        <v>0</v>
      </c>
      <c r="J279">
        <f>1</f>
        <v>1</v>
      </c>
      <c r="K279">
        <f>1</f>
        <v>1</v>
      </c>
      <c r="L279">
        <v>0</v>
      </c>
      <c r="M279">
        <f t="shared" ca="1" si="9"/>
        <v>0.15094174183188214</v>
      </c>
      <c r="N279">
        <v>0</v>
      </c>
      <c r="O279">
        <v>0</v>
      </c>
      <c r="P279">
        <v>0</v>
      </c>
    </row>
    <row r="280" spans="1:16" x14ac:dyDescent="0.3">
      <c r="A280" t="s">
        <v>388</v>
      </c>
      <c r="B280" t="s">
        <v>513</v>
      </c>
      <c r="C280">
        <f ca="1">IF(RAND()&lt;0.8,F_Baseline_data!C280,IF(RAND()&lt;0.85,F_Baseline_data!C280+1,IF(F_Baseline_data!C280&gt;3,C280-1,F_Baseline_data!C280)))</f>
        <v>3</v>
      </c>
      <c r="D280">
        <f ca="1">MAX(5000,ROUND(F_Baseline_data!D280*(1+_xlfn.NORM.INV(RAND(),0.12,0.1)),-2))</f>
        <v>32500</v>
      </c>
      <c r="E280" t="str">
        <f ca="1">IF(I280=1,IF(RAND()&lt;0.95,"Piped Water",F_Baseline_data!E280),F_Baseline_data!E280)</f>
        <v>River</v>
      </c>
      <c r="F280">
        <f t="shared" ca="1" si="8"/>
        <v>57</v>
      </c>
      <c r="G280">
        <v>15</v>
      </c>
      <c r="H280">
        <f ca="1">MAX(0,ROUND(F_Baseline_data!H280+(F_Baseline_data!C280-5)*200+(D280-30000)*0.015+(F280-50)*15-IF(I280=1,1200,0)+_xlfn.NORM.INV(RAND(),0,2500),-2))</f>
        <v>9800</v>
      </c>
      <c r="I280">
        <v>0</v>
      </c>
      <c r="J280">
        <f>1</f>
        <v>1</v>
      </c>
      <c r="K280">
        <f>1</f>
        <v>1</v>
      </c>
      <c r="L280">
        <v>0</v>
      </c>
      <c r="M280">
        <f t="shared" ca="1" si="9"/>
        <v>0.93826888211342885</v>
      </c>
      <c r="N280">
        <v>0</v>
      </c>
      <c r="O280">
        <v>0</v>
      </c>
      <c r="P280">
        <v>0</v>
      </c>
    </row>
    <row r="281" spans="1:16" x14ac:dyDescent="0.3">
      <c r="A281" t="s">
        <v>389</v>
      </c>
      <c r="B281" t="s">
        <v>64</v>
      </c>
      <c r="C281">
        <f ca="1">IF(RAND()&lt;0.8,F_Baseline_data!C281,IF(RAND()&lt;0.85,F_Baseline_data!C281+1,IF(F_Baseline_data!C281&gt;3,C281-1,F_Baseline_data!C281)))</f>
        <v>5</v>
      </c>
      <c r="D281">
        <f ca="1">MAX(5000,ROUND(F_Baseline_data!D281*(1+_xlfn.NORM.INV(RAND(),0.12,0.1)),-2))</f>
        <v>24200</v>
      </c>
      <c r="E281" t="str">
        <f ca="1">IF(I281=1,IF(RAND()&lt;0.95,"Piped Water",F_Baseline_data!E281),F_Baseline_data!E281)</f>
        <v>Borehole</v>
      </c>
      <c r="F281">
        <f t="shared" ca="1" si="8"/>
        <v>72</v>
      </c>
      <c r="G281">
        <v>7.4</v>
      </c>
      <c r="H281">
        <f ca="1">MAX(0,ROUND(F_Baseline_data!H281+(F_Baseline_data!C281-5)*200+(D281-30000)*0.015+(F281-50)*15-IF(I281=1,1200,0)+_xlfn.NORM.INV(RAND(),0,2500),-2))</f>
        <v>5800</v>
      </c>
      <c r="I281">
        <v>0</v>
      </c>
      <c r="J281">
        <f>1</f>
        <v>1</v>
      </c>
      <c r="K281">
        <f>1</f>
        <v>1</v>
      </c>
      <c r="L281">
        <v>0</v>
      </c>
      <c r="M281">
        <f t="shared" ca="1" si="9"/>
        <v>0.36175007667089665</v>
      </c>
      <c r="N281">
        <v>0</v>
      </c>
      <c r="O281">
        <v>0</v>
      </c>
      <c r="P281">
        <v>0</v>
      </c>
    </row>
    <row r="282" spans="1:16" x14ac:dyDescent="0.3">
      <c r="A282" t="s">
        <v>390</v>
      </c>
      <c r="B282" t="s">
        <v>62</v>
      </c>
      <c r="C282">
        <f ca="1">IF(RAND()&lt;0.8,F_Baseline_data!C282,IF(RAND()&lt;0.85,F_Baseline_data!C282+1,IF(F_Baseline_data!C282&gt;3,C282-1,F_Baseline_data!C282)))</f>
        <v>3</v>
      </c>
      <c r="D282">
        <f ca="1">MAX(5000,ROUND(F_Baseline_data!D282*(1+_xlfn.NORM.INV(RAND(),0.12,0.1)),-2))</f>
        <v>96300</v>
      </c>
      <c r="E282" t="str">
        <f ca="1">IF(I282=1,IF(RAND()&lt;0.95,"Piped Water",F_Baseline_data!E282),F_Baseline_data!E282)</f>
        <v>Rainwater</v>
      </c>
      <c r="F282">
        <f t="shared" ca="1" si="8"/>
        <v>51</v>
      </c>
      <c r="G282">
        <v>0.3</v>
      </c>
      <c r="H282">
        <f ca="1">MAX(0,ROUND(F_Baseline_data!H282+(F_Baseline_data!C282-5)*200+(D282-30000)*0.015+(F282-50)*15-IF(I282=1,1200,0)+_xlfn.NORM.INV(RAND(),0,2500),-2))</f>
        <v>11600</v>
      </c>
      <c r="I282">
        <v>0</v>
      </c>
      <c r="J282">
        <f>1</f>
        <v>1</v>
      </c>
      <c r="K282">
        <f>1</f>
        <v>1</v>
      </c>
      <c r="L282">
        <v>0</v>
      </c>
      <c r="M282">
        <f t="shared" ca="1" si="9"/>
        <v>4.4353647740136282E-3</v>
      </c>
      <c r="N282">
        <v>0</v>
      </c>
      <c r="O282">
        <v>0</v>
      </c>
      <c r="P282">
        <v>0</v>
      </c>
    </row>
    <row r="283" spans="1:16" x14ac:dyDescent="0.3">
      <c r="A283" t="s">
        <v>391</v>
      </c>
      <c r="B283" t="s">
        <v>64</v>
      </c>
      <c r="C283">
        <f ca="1">IF(RAND()&lt;0.8,F_Baseline_data!C283,IF(RAND()&lt;0.85,F_Baseline_data!C283+1,IF(F_Baseline_data!C283&gt;3,C283-1,F_Baseline_data!C283)))</f>
        <v>10</v>
      </c>
      <c r="D283">
        <f ca="1">MAX(5000,ROUND(F_Baseline_data!D283*(1+_xlfn.NORM.INV(RAND(),0.12,0.1)),-2))</f>
        <v>27300</v>
      </c>
      <c r="E283" t="str">
        <f ca="1">IF(I283=1,IF(RAND()&lt;0.95,"Piped Water",F_Baseline_data!E283),F_Baseline_data!E283)</f>
        <v>River</v>
      </c>
      <c r="F283">
        <f t="shared" ca="1" si="8"/>
        <v>107</v>
      </c>
      <c r="G283">
        <v>4.7</v>
      </c>
      <c r="H283">
        <f ca="1">MAX(0,ROUND(F_Baseline_data!H283+(F_Baseline_data!C283-5)*200+(D283-30000)*0.015+(F283-50)*15-IF(I283=1,1200,0)+_xlfn.NORM.INV(RAND(),0,2500),-2))</f>
        <v>3900</v>
      </c>
      <c r="I283">
        <v>0</v>
      </c>
      <c r="J283">
        <f>1</f>
        <v>1</v>
      </c>
      <c r="K283">
        <f>1</f>
        <v>1</v>
      </c>
      <c r="L283">
        <v>0</v>
      </c>
      <c r="M283">
        <f t="shared" ca="1" si="9"/>
        <v>0.66973275096875795</v>
      </c>
      <c r="N283">
        <v>0</v>
      </c>
      <c r="O283">
        <v>0</v>
      </c>
      <c r="P283">
        <v>0</v>
      </c>
    </row>
    <row r="284" spans="1:16" x14ac:dyDescent="0.3">
      <c r="A284" t="s">
        <v>392</v>
      </c>
      <c r="B284" t="s">
        <v>65</v>
      </c>
      <c r="C284">
        <f ca="1">IF(RAND()&lt;0.8,F_Baseline_data!C284,IF(RAND()&lt;0.85,F_Baseline_data!C284+1,IF(F_Baseline_data!C284&gt;3,C284-1,F_Baseline_data!C284)))</f>
        <v>5</v>
      </c>
      <c r="D284">
        <f ca="1">MAX(5000,ROUND(F_Baseline_data!D284*(1+_xlfn.NORM.INV(RAND(),0.12,0.1)),-2))</f>
        <v>14700</v>
      </c>
      <c r="E284" t="str">
        <f ca="1">IF(I284=1,IF(RAND()&lt;0.95,"Piped Water",F_Baseline_data!E284),F_Baseline_data!E284)</f>
        <v>Rainwater</v>
      </c>
      <c r="F284">
        <f t="shared" ca="1" si="8"/>
        <v>39</v>
      </c>
      <c r="G284">
        <v>10</v>
      </c>
      <c r="H284">
        <f ca="1">MAX(0,ROUND(F_Baseline_data!H284+(F_Baseline_data!C284-5)*200+(D284-30000)*0.015+(F284-50)*15-IF(I284=1,1200,0)+_xlfn.NORM.INV(RAND(),0,2500),-2))</f>
        <v>7700</v>
      </c>
      <c r="I284">
        <v>0</v>
      </c>
      <c r="J284">
        <f>1</f>
        <v>1</v>
      </c>
      <c r="K284">
        <f>1</f>
        <v>1</v>
      </c>
      <c r="L284">
        <v>0</v>
      </c>
      <c r="M284">
        <f t="shared" ca="1" si="9"/>
        <v>0.26441567628164742</v>
      </c>
      <c r="N284">
        <v>0</v>
      </c>
      <c r="O284">
        <v>0</v>
      </c>
      <c r="P284">
        <v>0</v>
      </c>
    </row>
    <row r="285" spans="1:16" x14ac:dyDescent="0.3">
      <c r="A285" t="s">
        <v>393</v>
      </c>
      <c r="B285" t="s">
        <v>65</v>
      </c>
      <c r="C285">
        <f ca="1">IF(RAND()&lt;0.8,F_Baseline_data!C285,IF(RAND()&lt;0.85,F_Baseline_data!C285+1,IF(F_Baseline_data!C285&gt;3,C285-1,F_Baseline_data!C285)))</f>
        <v>2</v>
      </c>
      <c r="D285">
        <f ca="1">MAX(5000,ROUND(F_Baseline_data!D285*(1+_xlfn.NORM.INV(RAND(),0.12,0.1)),-2))</f>
        <v>31500</v>
      </c>
      <c r="E285" t="str">
        <f ca="1">IF(I285=1,IF(RAND()&lt;0.95,"Piped Water",F_Baseline_data!E285),F_Baseline_data!E285)</f>
        <v>River</v>
      </c>
      <c r="F285">
        <f t="shared" ca="1" si="8"/>
        <v>80</v>
      </c>
      <c r="G285">
        <v>4</v>
      </c>
      <c r="H285">
        <f ca="1">MAX(0,ROUND(F_Baseline_data!H285+(F_Baseline_data!C285-5)*200+(D285-30000)*0.015+(F285-50)*15-IF(I285=1,1200,0)+_xlfn.NORM.INV(RAND(),0,2500),-2))</f>
        <v>9100</v>
      </c>
      <c r="I285">
        <v>0</v>
      </c>
      <c r="J285">
        <f>1</f>
        <v>1</v>
      </c>
      <c r="K285">
        <f>1</f>
        <v>1</v>
      </c>
      <c r="L285">
        <v>0</v>
      </c>
      <c r="M285">
        <f t="shared" ca="1" si="9"/>
        <v>0.99360979925921833</v>
      </c>
      <c r="N285">
        <v>0</v>
      </c>
      <c r="O285">
        <v>0</v>
      </c>
      <c r="P285">
        <v>0</v>
      </c>
    </row>
    <row r="286" spans="1:16" x14ac:dyDescent="0.3">
      <c r="A286" t="s">
        <v>394</v>
      </c>
      <c r="B286" t="s">
        <v>62</v>
      </c>
      <c r="C286">
        <f ca="1">IF(RAND()&lt;0.8,F_Baseline_data!C286,IF(RAND()&lt;0.85,F_Baseline_data!C286+1,IF(F_Baseline_data!C286&gt;3,C286-1,F_Baseline_data!C286)))</f>
        <v>5</v>
      </c>
      <c r="D286">
        <f ca="1">MAX(5000,ROUND(F_Baseline_data!D286*(1+_xlfn.NORM.INV(RAND(),0.12,0.1)),-2))</f>
        <v>13000</v>
      </c>
      <c r="E286" t="str">
        <f ca="1">IF(I286=1,IF(RAND()&lt;0.95,"Piped Water",F_Baseline_data!E286),F_Baseline_data!E286)</f>
        <v>Borehole</v>
      </c>
      <c r="F286">
        <f t="shared" ca="1" si="8"/>
        <v>55</v>
      </c>
      <c r="G286">
        <v>0.5</v>
      </c>
      <c r="H286">
        <f ca="1">MAX(0,ROUND(F_Baseline_data!H286+(F_Baseline_data!C286-5)*200+(D286-30000)*0.015+(F286-50)*15-IF(I286=1,1200,0)+_xlfn.NORM.INV(RAND(),0,2500),-2))</f>
        <v>3600</v>
      </c>
      <c r="I286">
        <v>0</v>
      </c>
      <c r="J286">
        <f>1</f>
        <v>1</v>
      </c>
      <c r="K286">
        <f>1</f>
        <v>1</v>
      </c>
      <c r="L286">
        <v>0</v>
      </c>
      <c r="M286">
        <f t="shared" ca="1" si="9"/>
        <v>0.11227213327439078</v>
      </c>
      <c r="N286">
        <v>0</v>
      </c>
      <c r="O286">
        <v>0</v>
      </c>
      <c r="P286">
        <v>0</v>
      </c>
    </row>
    <row r="287" spans="1:16" x14ac:dyDescent="0.3">
      <c r="A287" t="s">
        <v>395</v>
      </c>
      <c r="B287" t="s">
        <v>65</v>
      </c>
      <c r="C287">
        <f ca="1">IF(RAND()&lt;0.8,F_Baseline_data!C287,IF(RAND()&lt;0.85,F_Baseline_data!C287+1,IF(F_Baseline_data!C287&gt;3,C287-1,F_Baseline_data!C287)))</f>
        <v>5</v>
      </c>
      <c r="D287">
        <f ca="1">MAX(5000,ROUND(F_Baseline_data!D287*(1+_xlfn.NORM.INV(RAND(),0.12,0.1)),-2))</f>
        <v>54200</v>
      </c>
      <c r="E287" t="str">
        <f ca="1">IF(I287=1,IF(RAND()&lt;0.95,"Piped Water",F_Baseline_data!E287),F_Baseline_data!E287)</f>
        <v>Vendor</v>
      </c>
      <c r="F287">
        <f t="shared" ca="1" si="8"/>
        <v>45</v>
      </c>
      <c r="G287">
        <v>11.4</v>
      </c>
      <c r="H287">
        <f ca="1">MAX(0,ROUND(F_Baseline_data!H287+(F_Baseline_data!C287-5)*200+(D287-30000)*0.015+(F287-50)*15-IF(I287=1,1200,0)+_xlfn.NORM.INV(RAND(),0,2500),-2))</f>
        <v>18200</v>
      </c>
      <c r="I287">
        <v>0</v>
      </c>
      <c r="J287">
        <f>1</f>
        <v>1</v>
      </c>
      <c r="K287">
        <f>1</f>
        <v>1</v>
      </c>
      <c r="L287">
        <v>0</v>
      </c>
      <c r="M287">
        <f t="shared" ca="1" si="9"/>
        <v>0.83581177840666931</v>
      </c>
      <c r="N287">
        <v>0</v>
      </c>
      <c r="O287">
        <v>0</v>
      </c>
      <c r="P287">
        <v>0</v>
      </c>
    </row>
    <row r="288" spans="1:16" x14ac:dyDescent="0.3">
      <c r="A288" t="s">
        <v>396</v>
      </c>
      <c r="B288" t="s">
        <v>513</v>
      </c>
      <c r="C288">
        <f ca="1">IF(RAND()&lt;0.8,F_Baseline_data!C288,IF(RAND()&lt;0.85,F_Baseline_data!C288+1,IF(F_Baseline_data!C288&gt;3,C288-1,F_Baseline_data!C288)))</f>
        <v>9</v>
      </c>
      <c r="D288">
        <f ca="1">MAX(5000,ROUND(F_Baseline_data!D288*(1+_xlfn.NORM.INV(RAND(),0.12,0.1)),-2))</f>
        <v>143300</v>
      </c>
      <c r="E288" t="str">
        <f ca="1">IF(I288=1,IF(RAND()&lt;0.95,"Piped Water",F_Baseline_data!E288),F_Baseline_data!E288)</f>
        <v>River</v>
      </c>
      <c r="F288">
        <f t="shared" ca="1" si="8"/>
        <v>76</v>
      </c>
      <c r="G288">
        <v>6.5</v>
      </c>
      <c r="H288">
        <f ca="1">MAX(0,ROUND(F_Baseline_data!H288+(F_Baseline_data!C288-5)*200+(D288-30000)*0.015+(F288-50)*15-IF(I288=1,1200,0)+_xlfn.NORM.INV(RAND(),0,2500),-2))</f>
        <v>10600</v>
      </c>
      <c r="I288">
        <v>0</v>
      </c>
      <c r="J288">
        <f>1</f>
        <v>1</v>
      </c>
      <c r="K288">
        <f>1</f>
        <v>1</v>
      </c>
      <c r="L288">
        <v>0</v>
      </c>
      <c r="M288">
        <f t="shared" ca="1" si="9"/>
        <v>8.694712756905465E-2</v>
      </c>
      <c r="N288">
        <v>0</v>
      </c>
      <c r="O288">
        <v>0</v>
      </c>
      <c r="P288">
        <v>0</v>
      </c>
    </row>
    <row r="289" spans="1:16" x14ac:dyDescent="0.3">
      <c r="A289" t="s">
        <v>397</v>
      </c>
      <c r="B289" t="s">
        <v>513</v>
      </c>
      <c r="C289">
        <f ca="1">IF(RAND()&lt;0.8,F_Baseline_data!C289,IF(RAND()&lt;0.85,F_Baseline_data!C289+1,IF(F_Baseline_data!C289&gt;3,C289-1,F_Baseline_data!C289)))</f>
        <v>5</v>
      </c>
      <c r="D289">
        <f ca="1">MAX(5000,ROUND(F_Baseline_data!D289*(1+_xlfn.NORM.INV(RAND(),0.12,0.1)),-2))</f>
        <v>44500</v>
      </c>
      <c r="E289" t="str">
        <f ca="1">IF(I289=1,IF(RAND()&lt;0.95,"Piped Water",F_Baseline_data!E289),F_Baseline_data!E289)</f>
        <v>Vendor</v>
      </c>
      <c r="F289">
        <f t="shared" ca="1" si="8"/>
        <v>46</v>
      </c>
      <c r="G289">
        <v>6.6</v>
      </c>
      <c r="H289">
        <f ca="1">MAX(0,ROUND(F_Baseline_data!H289+(F_Baseline_data!C289-5)*200+(D289-30000)*0.015+(F289-50)*15-IF(I289=1,1200,0)+_xlfn.NORM.INV(RAND(),0,2500),-2))</f>
        <v>3200</v>
      </c>
      <c r="I289">
        <v>0</v>
      </c>
      <c r="J289">
        <f>1</f>
        <v>1</v>
      </c>
      <c r="K289">
        <f>1</f>
        <v>1</v>
      </c>
      <c r="L289">
        <v>0</v>
      </c>
      <c r="M289">
        <f t="shared" ca="1" si="9"/>
        <v>0.96452239134942708</v>
      </c>
      <c r="N289">
        <v>0</v>
      </c>
      <c r="O289">
        <v>0</v>
      </c>
      <c r="P289">
        <v>0</v>
      </c>
    </row>
    <row r="290" spans="1:16" x14ac:dyDescent="0.3">
      <c r="A290" t="s">
        <v>398</v>
      </c>
      <c r="B290" t="s">
        <v>513</v>
      </c>
      <c r="C290">
        <f ca="1">IF(RAND()&lt;0.8,F_Baseline_data!C290,IF(RAND()&lt;0.85,F_Baseline_data!C290+1,IF(F_Baseline_data!C290&gt;3,C290-1,F_Baseline_data!C290)))</f>
        <v>3</v>
      </c>
      <c r="D290">
        <f ca="1">MAX(5000,ROUND(F_Baseline_data!D290*(1+_xlfn.NORM.INV(RAND(),0.12,0.1)),-2))</f>
        <v>44300</v>
      </c>
      <c r="E290" t="str">
        <f ca="1">IF(I290=1,IF(RAND()&lt;0.95,"Piped Water",F_Baseline_data!E290),F_Baseline_data!E290)</f>
        <v>River</v>
      </c>
      <c r="F290">
        <f t="shared" ca="1" si="8"/>
        <v>97</v>
      </c>
      <c r="G290">
        <v>12.7</v>
      </c>
      <c r="H290">
        <f ca="1">MAX(0,ROUND(F_Baseline_data!H290+(F_Baseline_data!C290-5)*200+(D290-30000)*0.015+(F290-50)*15-IF(I290=1,1200,0)+_xlfn.NORM.INV(RAND(),0,2500),-2))</f>
        <v>1900</v>
      </c>
      <c r="I290">
        <v>0</v>
      </c>
      <c r="J290">
        <f>1</f>
        <v>1</v>
      </c>
      <c r="K290">
        <f>1</f>
        <v>1</v>
      </c>
      <c r="L290">
        <v>0</v>
      </c>
      <c r="M290">
        <f t="shared" ca="1" si="9"/>
        <v>0.34074980976537905</v>
      </c>
      <c r="N290">
        <v>0</v>
      </c>
      <c r="O290">
        <v>0</v>
      </c>
      <c r="P290">
        <v>0</v>
      </c>
    </row>
    <row r="291" spans="1:16" x14ac:dyDescent="0.3">
      <c r="A291" t="s">
        <v>399</v>
      </c>
      <c r="B291" t="s">
        <v>64</v>
      </c>
      <c r="C291">
        <f ca="1">IF(RAND()&lt;0.8,F_Baseline_data!C291,IF(RAND()&lt;0.85,F_Baseline_data!C291+1,IF(F_Baseline_data!C291&gt;3,C291-1,F_Baseline_data!C291)))</f>
        <v>6</v>
      </c>
      <c r="D291">
        <f ca="1">MAX(5000,ROUND(F_Baseline_data!D291*(1+_xlfn.NORM.INV(RAND(),0.12,0.1)),-2))</f>
        <v>26400</v>
      </c>
      <c r="E291" t="str">
        <f ca="1">IF(I291=1,IF(RAND()&lt;0.95,"Piped Water",F_Baseline_data!E291),F_Baseline_data!E291)</f>
        <v>Borehole</v>
      </c>
      <c r="F291">
        <f t="shared" ca="1" si="8"/>
        <v>29</v>
      </c>
      <c r="G291">
        <v>7.2</v>
      </c>
      <c r="H291">
        <f ca="1">MAX(0,ROUND(F_Baseline_data!H291+(F_Baseline_data!C291-5)*200+(D291-30000)*0.015+(F291-50)*15-IF(I291=1,1200,0)+_xlfn.NORM.INV(RAND(),0,2500),-2))</f>
        <v>4900</v>
      </c>
      <c r="I291">
        <v>0</v>
      </c>
      <c r="J291">
        <f>1</f>
        <v>1</v>
      </c>
      <c r="K291">
        <f>1</f>
        <v>1</v>
      </c>
      <c r="L291">
        <v>0</v>
      </c>
      <c r="M291">
        <f t="shared" ca="1" si="9"/>
        <v>0.68257910285809198</v>
      </c>
      <c r="N291">
        <v>0</v>
      </c>
      <c r="O291">
        <v>0</v>
      </c>
      <c r="P291">
        <v>0</v>
      </c>
    </row>
    <row r="292" spans="1:16" x14ac:dyDescent="0.3">
      <c r="A292" t="s">
        <v>400</v>
      </c>
      <c r="B292" t="s">
        <v>64</v>
      </c>
      <c r="C292">
        <f ca="1">IF(RAND()&lt;0.8,F_Baseline_data!C292,IF(RAND()&lt;0.85,F_Baseline_data!C292+1,IF(F_Baseline_data!C292&gt;3,C292-1,F_Baseline_data!C292)))</f>
        <v>7</v>
      </c>
      <c r="D292">
        <f ca="1">MAX(5000,ROUND(F_Baseline_data!D292*(1+_xlfn.NORM.INV(RAND(),0.12,0.1)),-2))</f>
        <v>28400</v>
      </c>
      <c r="E292" t="str">
        <f ca="1">IF(I292=1,IF(RAND()&lt;0.95,"Piped Water",F_Baseline_data!E292),F_Baseline_data!E292)</f>
        <v>Vendor</v>
      </c>
      <c r="F292">
        <f t="shared" ca="1" si="8"/>
        <v>13</v>
      </c>
      <c r="G292">
        <v>2</v>
      </c>
      <c r="H292">
        <f ca="1">MAX(0,ROUND(F_Baseline_data!H292+(F_Baseline_data!C292-5)*200+(D292-30000)*0.015+(F292-50)*15-IF(I292=1,1200,0)+_xlfn.NORM.INV(RAND(),0,2500),-2))</f>
        <v>2800</v>
      </c>
      <c r="I292">
        <v>0</v>
      </c>
      <c r="J292">
        <f>1</f>
        <v>1</v>
      </c>
      <c r="K292">
        <f>1</f>
        <v>1</v>
      </c>
      <c r="L292">
        <v>0</v>
      </c>
      <c r="M292">
        <f t="shared" ca="1" si="9"/>
        <v>0.21555701006624817</v>
      </c>
      <c r="N292">
        <v>0</v>
      </c>
      <c r="O292">
        <v>0</v>
      </c>
      <c r="P292">
        <v>0</v>
      </c>
    </row>
    <row r="293" spans="1:16" x14ac:dyDescent="0.3">
      <c r="A293" t="s">
        <v>401</v>
      </c>
      <c r="B293" t="s">
        <v>513</v>
      </c>
      <c r="C293">
        <f ca="1">IF(RAND()&lt;0.8,F_Baseline_data!C293,IF(RAND()&lt;0.85,F_Baseline_data!C293+1,IF(F_Baseline_data!C293&gt;3,C293-1,F_Baseline_data!C293)))</f>
        <v>2</v>
      </c>
      <c r="D293">
        <f ca="1">MAX(5000,ROUND(F_Baseline_data!D293*(1+_xlfn.NORM.INV(RAND(),0.12,0.1)),-2))</f>
        <v>32100</v>
      </c>
      <c r="E293" t="str">
        <f ca="1">IF(I293=1,IF(RAND()&lt;0.95,"Piped Water",F_Baseline_data!E293),F_Baseline_data!E293)</f>
        <v>River</v>
      </c>
      <c r="F293">
        <f t="shared" ca="1" si="8"/>
        <v>46</v>
      </c>
      <c r="G293">
        <v>11.6</v>
      </c>
      <c r="H293">
        <f ca="1">MAX(0,ROUND(F_Baseline_data!H293+(F_Baseline_data!C293-5)*200+(D293-30000)*0.015+(F293-50)*15-IF(I293=1,1200,0)+_xlfn.NORM.INV(RAND(),0,2500),-2))</f>
        <v>7100</v>
      </c>
      <c r="I293">
        <v>0</v>
      </c>
      <c r="J293">
        <f>1</f>
        <v>1</v>
      </c>
      <c r="K293">
        <f>1</f>
        <v>1</v>
      </c>
      <c r="L293">
        <v>0</v>
      </c>
      <c r="M293">
        <f t="shared" ca="1" si="9"/>
        <v>0.67841268257738008</v>
      </c>
      <c r="N293">
        <v>0</v>
      </c>
      <c r="O293">
        <v>0</v>
      </c>
      <c r="P293">
        <v>0</v>
      </c>
    </row>
    <row r="294" spans="1:16" x14ac:dyDescent="0.3">
      <c r="A294" t="s">
        <v>402</v>
      </c>
      <c r="B294" t="s">
        <v>513</v>
      </c>
      <c r="C294">
        <f ca="1">IF(RAND()&lt;0.8,F_Baseline_data!C294,IF(RAND()&lt;0.85,F_Baseline_data!C294+1,IF(F_Baseline_data!C294&gt;3,C294-1,F_Baseline_data!C294)))</f>
        <v>8</v>
      </c>
      <c r="D294">
        <f ca="1">MAX(5000,ROUND(F_Baseline_data!D294*(1+_xlfn.NORM.INV(RAND(),0.12,0.1)),-2))</f>
        <v>76600</v>
      </c>
      <c r="E294" t="str">
        <f ca="1">IF(I294=1,IF(RAND()&lt;0.95,"Piped Water",F_Baseline_data!E294),F_Baseline_data!E294)</f>
        <v>Rainwater</v>
      </c>
      <c r="F294">
        <f t="shared" ca="1" si="8"/>
        <v>68</v>
      </c>
      <c r="G294">
        <v>3.2</v>
      </c>
      <c r="H294">
        <f ca="1">MAX(0,ROUND(F_Baseline_data!H294+(F_Baseline_data!C294-5)*200+(D294-30000)*0.015+(F294-50)*15-IF(I294=1,1200,0)+_xlfn.NORM.INV(RAND(),0,2500),-2))</f>
        <v>6200</v>
      </c>
      <c r="I294">
        <v>0</v>
      </c>
      <c r="J294">
        <f>1</f>
        <v>1</v>
      </c>
      <c r="K294">
        <f>1</f>
        <v>1</v>
      </c>
      <c r="L294">
        <v>0</v>
      </c>
      <c r="M294">
        <f t="shared" ca="1" si="9"/>
        <v>7.0707718583147949E-2</v>
      </c>
      <c r="N294">
        <v>0</v>
      </c>
      <c r="O294">
        <v>0</v>
      </c>
      <c r="P294">
        <v>0</v>
      </c>
    </row>
    <row r="295" spans="1:16" x14ac:dyDescent="0.3">
      <c r="A295" t="s">
        <v>403</v>
      </c>
      <c r="B295" t="s">
        <v>64</v>
      </c>
      <c r="C295">
        <f ca="1">IF(RAND()&lt;0.8,F_Baseline_data!C295,IF(RAND()&lt;0.85,F_Baseline_data!C295+1,IF(F_Baseline_data!C295&gt;3,C295-1,F_Baseline_data!C295)))</f>
        <v>3</v>
      </c>
      <c r="D295">
        <f ca="1">MAX(5000,ROUND(F_Baseline_data!D295*(1+_xlfn.NORM.INV(RAND(),0.12,0.1)),-2))</f>
        <v>13900</v>
      </c>
      <c r="E295" t="str">
        <f ca="1">IF(I295=1,IF(RAND()&lt;0.95,"Piped Water",F_Baseline_data!E295),F_Baseline_data!E295)</f>
        <v>Rainwater</v>
      </c>
      <c r="F295">
        <f t="shared" ca="1" si="8"/>
        <v>28</v>
      </c>
      <c r="G295">
        <v>1</v>
      </c>
      <c r="H295">
        <f ca="1">MAX(0,ROUND(F_Baseline_data!H295+(F_Baseline_data!C295-5)*200+(D295-30000)*0.015+(F295-50)*15-IF(I295=1,1200,0)+_xlfn.NORM.INV(RAND(),0,2500),-2))</f>
        <v>2300</v>
      </c>
      <c r="I295">
        <v>0</v>
      </c>
      <c r="J295">
        <f>1</f>
        <v>1</v>
      </c>
      <c r="K295">
        <f>1</f>
        <v>1</v>
      </c>
      <c r="L295">
        <v>0</v>
      </c>
      <c r="M295">
        <f t="shared" ca="1" si="9"/>
        <v>0.92222545279772139</v>
      </c>
      <c r="N295">
        <v>0</v>
      </c>
      <c r="O295">
        <v>0</v>
      </c>
      <c r="P295">
        <v>0</v>
      </c>
    </row>
    <row r="296" spans="1:16" x14ac:dyDescent="0.3">
      <c r="A296" t="s">
        <v>404</v>
      </c>
      <c r="B296" t="s">
        <v>64</v>
      </c>
      <c r="C296">
        <f ca="1">IF(RAND()&lt;0.8,F_Baseline_data!C296,IF(RAND()&lt;0.85,F_Baseline_data!C296+1,IF(F_Baseline_data!C296&gt;3,C296-1,F_Baseline_data!C296)))</f>
        <v>4</v>
      </c>
      <c r="D296">
        <f ca="1">MAX(5000,ROUND(F_Baseline_data!D296*(1+_xlfn.NORM.INV(RAND(),0.12,0.1)),-2))</f>
        <v>62500</v>
      </c>
      <c r="E296" t="str">
        <f ca="1">IF(I296=1,IF(RAND()&lt;0.95,"Piped Water",F_Baseline_data!E296),F_Baseline_data!E296)</f>
        <v>Rainwater</v>
      </c>
      <c r="F296">
        <f t="shared" ca="1" si="8"/>
        <v>53</v>
      </c>
      <c r="G296">
        <v>2.4</v>
      </c>
      <c r="H296">
        <f ca="1">MAX(0,ROUND(F_Baseline_data!H296+(F_Baseline_data!C296-5)*200+(D296-30000)*0.015+(F296-50)*15-IF(I296=1,1200,0)+_xlfn.NORM.INV(RAND(),0,2500),-2))</f>
        <v>9400</v>
      </c>
      <c r="I296">
        <v>0</v>
      </c>
      <c r="J296">
        <f>1</f>
        <v>1</v>
      </c>
      <c r="K296">
        <f>1</f>
        <v>1</v>
      </c>
      <c r="L296">
        <v>0</v>
      </c>
      <c r="M296">
        <f t="shared" ca="1" si="9"/>
        <v>0.3472326344669856</v>
      </c>
      <c r="N296">
        <v>0</v>
      </c>
      <c r="O296">
        <v>0</v>
      </c>
      <c r="P296">
        <v>0</v>
      </c>
    </row>
    <row r="297" spans="1:16" x14ac:dyDescent="0.3">
      <c r="A297" t="s">
        <v>405</v>
      </c>
      <c r="B297" t="s">
        <v>64</v>
      </c>
      <c r="C297">
        <f ca="1">IF(RAND()&lt;0.8,F_Baseline_data!C297,IF(RAND()&lt;0.85,F_Baseline_data!C297+1,IF(F_Baseline_data!C297&gt;3,C297-1,F_Baseline_data!C297)))</f>
        <v>6</v>
      </c>
      <c r="D297">
        <f ca="1">MAX(5000,ROUND(F_Baseline_data!D297*(1+_xlfn.NORM.INV(RAND(),0.12,0.1)),-2))</f>
        <v>27900</v>
      </c>
      <c r="E297" t="str">
        <f ca="1">IF(I297=1,IF(RAND()&lt;0.95,"Piped Water",F_Baseline_data!E297),F_Baseline_data!E297)</f>
        <v>River</v>
      </c>
      <c r="F297">
        <f t="shared" ca="1" si="8"/>
        <v>106</v>
      </c>
      <c r="G297">
        <v>11.8</v>
      </c>
      <c r="H297">
        <f ca="1">MAX(0,ROUND(F_Baseline_data!H297+(F_Baseline_data!C297-5)*200+(D297-30000)*0.015+(F297-50)*15-IF(I297=1,1200,0)+_xlfn.NORM.INV(RAND(),0,2500),-2))</f>
        <v>4200</v>
      </c>
      <c r="I297">
        <v>0</v>
      </c>
      <c r="J297">
        <f>1</f>
        <v>1</v>
      </c>
      <c r="K297">
        <f>1</f>
        <v>1</v>
      </c>
      <c r="L297">
        <v>0</v>
      </c>
      <c r="M297">
        <f t="shared" ca="1" si="9"/>
        <v>0.96504741424043872</v>
      </c>
      <c r="N297">
        <v>0</v>
      </c>
      <c r="O297">
        <v>0</v>
      </c>
      <c r="P297">
        <v>0</v>
      </c>
    </row>
    <row r="298" spans="1:16" x14ac:dyDescent="0.3">
      <c r="A298" t="s">
        <v>406</v>
      </c>
      <c r="B298" t="s">
        <v>62</v>
      </c>
      <c r="C298">
        <f ca="1">IF(RAND()&lt;0.8,F_Baseline_data!C298,IF(RAND()&lt;0.85,F_Baseline_data!C298+1,IF(F_Baseline_data!C298&gt;3,C298-1,F_Baseline_data!C298)))</f>
        <v>7</v>
      </c>
      <c r="D298">
        <f ca="1">MAX(5000,ROUND(F_Baseline_data!D298*(1+_xlfn.NORM.INV(RAND(),0.12,0.1)),-2))</f>
        <v>23100</v>
      </c>
      <c r="E298" t="str">
        <f ca="1">IF(I298=1,IF(RAND()&lt;0.95,"Piped Water",F_Baseline_data!E298),F_Baseline_data!E298)</f>
        <v>Rainwater</v>
      </c>
      <c r="F298">
        <f t="shared" ca="1" si="8"/>
        <v>38</v>
      </c>
      <c r="G298">
        <v>0.2</v>
      </c>
      <c r="H298">
        <f ca="1">MAX(0,ROUND(F_Baseline_data!H298+(F_Baseline_data!C298-5)*200+(D298-30000)*0.015+(F298-50)*15-IF(I298=1,1200,0)+_xlfn.NORM.INV(RAND(),0,2500),-2))</f>
        <v>3700</v>
      </c>
      <c r="I298">
        <v>0</v>
      </c>
      <c r="J298">
        <f>1</f>
        <v>1</v>
      </c>
      <c r="K298">
        <f>1</f>
        <v>1</v>
      </c>
      <c r="L298">
        <v>0</v>
      </c>
      <c r="M298">
        <f t="shared" ca="1" si="9"/>
        <v>0.7822762359194112</v>
      </c>
      <c r="N298">
        <v>0</v>
      </c>
      <c r="O298">
        <v>0</v>
      </c>
      <c r="P298">
        <v>0</v>
      </c>
    </row>
    <row r="299" spans="1:16" x14ac:dyDescent="0.3">
      <c r="A299" t="s">
        <v>407</v>
      </c>
      <c r="B299" t="s">
        <v>513</v>
      </c>
      <c r="C299">
        <f ca="1">IF(RAND()&lt;0.8,F_Baseline_data!C299,IF(RAND()&lt;0.85,F_Baseline_data!C299+1,IF(F_Baseline_data!C299&gt;3,C299-1,F_Baseline_data!C299)))</f>
        <v>4</v>
      </c>
      <c r="D299">
        <f ca="1">MAX(5000,ROUND(F_Baseline_data!D299*(1+_xlfn.NORM.INV(RAND(),0.12,0.1)),-2))</f>
        <v>38500</v>
      </c>
      <c r="E299" t="str">
        <f ca="1">IF(I299=1,IF(RAND()&lt;0.95,"Piped Water",F_Baseline_data!E299),F_Baseline_data!E299)</f>
        <v>Rainwater</v>
      </c>
      <c r="F299">
        <f t="shared" ca="1" si="8"/>
        <v>58</v>
      </c>
      <c r="G299">
        <v>0.8</v>
      </c>
      <c r="H299">
        <f ca="1">MAX(0,ROUND(F_Baseline_data!H299+(F_Baseline_data!C299-5)*200+(D299-30000)*0.015+(F299-50)*15-IF(I299=1,1200,0)+_xlfn.NORM.INV(RAND(),0,2500),-2))</f>
        <v>1600</v>
      </c>
      <c r="I299">
        <v>0</v>
      </c>
      <c r="J299">
        <f>1</f>
        <v>1</v>
      </c>
      <c r="K299">
        <f>1</f>
        <v>1</v>
      </c>
      <c r="L299">
        <v>0</v>
      </c>
      <c r="M299">
        <f t="shared" ca="1" si="9"/>
        <v>0.41701233537018789</v>
      </c>
      <c r="N299">
        <v>0</v>
      </c>
      <c r="O299">
        <v>0</v>
      </c>
      <c r="P299">
        <v>0</v>
      </c>
    </row>
    <row r="300" spans="1:16" x14ac:dyDescent="0.3">
      <c r="A300" t="s">
        <v>408</v>
      </c>
      <c r="B300" t="s">
        <v>62</v>
      </c>
      <c r="C300">
        <f ca="1">IF(RAND()&lt;0.8,F_Baseline_data!C300,IF(RAND()&lt;0.85,F_Baseline_data!C300+1,IF(F_Baseline_data!C300&gt;3,C300-1,F_Baseline_data!C300)))</f>
        <v>6</v>
      </c>
      <c r="D300">
        <f ca="1">MAX(5000,ROUND(F_Baseline_data!D300*(1+_xlfn.NORM.INV(RAND(),0.12,0.1)),-2))</f>
        <v>54700</v>
      </c>
      <c r="E300" t="str">
        <f ca="1">IF(I300=1,IF(RAND()&lt;0.95,"Piped Water",F_Baseline_data!E300),F_Baseline_data!E300)</f>
        <v>Vendor</v>
      </c>
      <c r="F300">
        <f t="shared" ca="1" si="8"/>
        <v>13</v>
      </c>
      <c r="G300">
        <v>5.7</v>
      </c>
      <c r="H300">
        <f ca="1">MAX(0,ROUND(F_Baseline_data!H300+(F_Baseline_data!C300-5)*200+(D300-30000)*0.015+(F300-50)*15-IF(I300=1,1200,0)+_xlfn.NORM.INV(RAND(),0,2500),-2))</f>
        <v>11800</v>
      </c>
      <c r="I300">
        <v>0</v>
      </c>
      <c r="J300">
        <f>1</f>
        <v>1</v>
      </c>
      <c r="K300">
        <f>1</f>
        <v>1</v>
      </c>
      <c r="L300">
        <v>0</v>
      </c>
      <c r="M300">
        <f t="shared" ca="1" si="9"/>
        <v>0.30079093933390555</v>
      </c>
      <c r="N300">
        <v>0</v>
      </c>
      <c r="O300">
        <v>0</v>
      </c>
      <c r="P300">
        <v>0</v>
      </c>
    </row>
    <row r="301" spans="1:16" x14ac:dyDescent="0.3">
      <c r="A301" t="s">
        <v>409</v>
      </c>
      <c r="B301" t="s">
        <v>64</v>
      </c>
      <c r="C301">
        <f ca="1">IF(RAND()&lt;0.8,F_Baseline_data!C301,IF(RAND()&lt;0.85,F_Baseline_data!C301+1,IF(F_Baseline_data!C301&gt;3,C301-1,F_Baseline_data!C301)))</f>
        <v>2</v>
      </c>
      <c r="D301">
        <f ca="1">MAX(5000,ROUND(F_Baseline_data!D301*(1+_xlfn.NORM.INV(RAND(),0.12,0.1)),-2))</f>
        <v>34000</v>
      </c>
      <c r="E301" t="str">
        <f ca="1">IF(I301=1,IF(RAND()&lt;0.95,"Piped Water",F_Baseline_data!E301),F_Baseline_data!E301)</f>
        <v>River</v>
      </c>
      <c r="F301">
        <f t="shared" ca="1" si="8"/>
        <v>81</v>
      </c>
      <c r="G301">
        <v>5.9</v>
      </c>
      <c r="H301">
        <f ca="1">MAX(0,ROUND(F_Baseline_data!H301+(F_Baseline_data!C301-5)*200+(D301-30000)*0.015+(F301-50)*15-IF(I301=1,1200,0)+_xlfn.NORM.INV(RAND(),0,2500),-2))</f>
        <v>0</v>
      </c>
      <c r="I301">
        <v>0</v>
      </c>
      <c r="J301">
        <f>1</f>
        <v>1</v>
      </c>
      <c r="K301">
        <f>1</f>
        <v>1</v>
      </c>
      <c r="L301">
        <v>0</v>
      </c>
      <c r="M301">
        <f t="shared" ca="1" si="9"/>
        <v>5.0000019315168398E-3</v>
      </c>
      <c r="N301">
        <v>0</v>
      </c>
      <c r="O301">
        <v>0</v>
      </c>
      <c r="P301">
        <v>0</v>
      </c>
    </row>
    <row r="302" spans="1:16" x14ac:dyDescent="0.3">
      <c r="A302" t="s">
        <v>410</v>
      </c>
      <c r="B302" t="s">
        <v>65</v>
      </c>
      <c r="C302">
        <f ca="1">IF(RAND()&lt;0.8,F_Baseline_data!C302,IF(RAND()&lt;0.85,F_Baseline_data!C302+1,IF(F_Baseline_data!C302&gt;3,C302-1,F_Baseline_data!C302)))</f>
        <v>8</v>
      </c>
      <c r="D302">
        <f ca="1">MAX(5000,ROUND(F_Baseline_data!D302*(1+_xlfn.NORM.INV(RAND(),0.12,0.1)),-2))</f>
        <v>32300</v>
      </c>
      <c r="E302" t="str">
        <f ca="1">IF(I302=1,IF(RAND()&lt;0.95,"Piped Water",F_Baseline_data!E302),F_Baseline_data!E302)</f>
        <v>Rainwater</v>
      </c>
      <c r="F302">
        <f t="shared" ca="1" si="8"/>
        <v>51</v>
      </c>
      <c r="G302">
        <v>11.7</v>
      </c>
      <c r="H302">
        <f ca="1">MAX(0,ROUND(F_Baseline_data!H302+(F_Baseline_data!C302-5)*200+(D302-30000)*0.015+(F302-50)*15-IF(I302=1,1200,0)+_xlfn.NORM.INV(RAND(),0,2500),-2))</f>
        <v>6500</v>
      </c>
      <c r="I302">
        <v>0</v>
      </c>
      <c r="J302">
        <f>1</f>
        <v>1</v>
      </c>
      <c r="K302">
        <f>1</f>
        <v>1</v>
      </c>
      <c r="L302">
        <v>0</v>
      </c>
      <c r="M302">
        <f t="shared" ca="1" si="9"/>
        <v>0.50096307921885963</v>
      </c>
      <c r="N302">
        <v>0</v>
      </c>
      <c r="O302">
        <v>0</v>
      </c>
      <c r="P302">
        <v>0</v>
      </c>
    </row>
    <row r="303" spans="1:16" x14ac:dyDescent="0.3">
      <c r="A303" t="s">
        <v>411</v>
      </c>
      <c r="B303" t="s">
        <v>64</v>
      </c>
      <c r="C303">
        <f ca="1">IF(RAND()&lt;0.8,F_Baseline_data!C303,IF(RAND()&lt;0.85,F_Baseline_data!C303+1,IF(F_Baseline_data!C303&gt;3,C303-1,F_Baseline_data!C303)))</f>
        <v>5</v>
      </c>
      <c r="D303">
        <f ca="1">MAX(5000,ROUND(F_Baseline_data!D303*(1+_xlfn.NORM.INV(RAND(),0.12,0.1)),-2))</f>
        <v>64600</v>
      </c>
      <c r="E303" t="str">
        <f ca="1">IF(I303=1,IF(RAND()&lt;0.95,"Piped Water",F_Baseline_data!E303),F_Baseline_data!E303)</f>
        <v>Rainwater</v>
      </c>
      <c r="F303">
        <f t="shared" ca="1" si="8"/>
        <v>64</v>
      </c>
      <c r="G303">
        <v>8</v>
      </c>
      <c r="H303">
        <f ca="1">MAX(0,ROUND(F_Baseline_data!H303+(F_Baseline_data!C303-5)*200+(D303-30000)*0.015+(F303-50)*15-IF(I303=1,1200,0)+_xlfn.NORM.INV(RAND(),0,2500),-2))</f>
        <v>0</v>
      </c>
      <c r="I303">
        <v>0</v>
      </c>
      <c r="J303">
        <f>1</f>
        <v>1</v>
      </c>
      <c r="K303">
        <f>1</f>
        <v>1</v>
      </c>
      <c r="L303">
        <v>0</v>
      </c>
      <c r="M303">
        <f t="shared" ca="1" si="9"/>
        <v>0.97978615945935943</v>
      </c>
      <c r="N303">
        <v>0</v>
      </c>
      <c r="O303">
        <v>0</v>
      </c>
      <c r="P303">
        <v>0</v>
      </c>
    </row>
    <row r="304" spans="1:16" x14ac:dyDescent="0.3">
      <c r="A304" t="s">
        <v>412</v>
      </c>
      <c r="B304" t="s">
        <v>513</v>
      </c>
      <c r="C304">
        <f ca="1">IF(RAND()&lt;0.8,F_Baseline_data!C304,IF(RAND()&lt;0.85,F_Baseline_data!C304+1,IF(F_Baseline_data!C304&gt;3,C304-1,F_Baseline_data!C304)))</f>
        <v>4</v>
      </c>
      <c r="D304">
        <f ca="1">MAX(5000,ROUND(F_Baseline_data!D304*(1+_xlfn.NORM.INV(RAND(),0.12,0.1)),-2))</f>
        <v>78400</v>
      </c>
      <c r="E304" t="str">
        <f ca="1">IF(I304=1,IF(RAND()&lt;0.95,"Piped Water",F_Baseline_data!E304),F_Baseline_data!E304)</f>
        <v>Rainwater</v>
      </c>
      <c r="F304">
        <f t="shared" ca="1" si="8"/>
        <v>57</v>
      </c>
      <c r="G304">
        <v>5.6</v>
      </c>
      <c r="H304">
        <f ca="1">MAX(0,ROUND(F_Baseline_data!H304+(F_Baseline_data!C304-5)*200+(D304-30000)*0.015+(F304-50)*15-IF(I304=1,1200,0)+_xlfn.NORM.INV(RAND(),0,2500),-2))</f>
        <v>6800</v>
      </c>
      <c r="I304">
        <v>0</v>
      </c>
      <c r="J304">
        <f>1</f>
        <v>1</v>
      </c>
      <c r="K304">
        <f>1</f>
        <v>1</v>
      </c>
      <c r="L304">
        <v>0</v>
      </c>
      <c r="M304">
        <f t="shared" ca="1" si="9"/>
        <v>0.6242411377855549</v>
      </c>
      <c r="N304">
        <v>0</v>
      </c>
      <c r="O304">
        <v>0</v>
      </c>
      <c r="P304">
        <v>0</v>
      </c>
    </row>
    <row r="305" spans="1:16" x14ac:dyDescent="0.3">
      <c r="A305" t="s">
        <v>413</v>
      </c>
      <c r="B305" t="s">
        <v>513</v>
      </c>
      <c r="C305">
        <f ca="1">IF(RAND()&lt;0.8,F_Baseline_data!C305,IF(RAND()&lt;0.85,F_Baseline_data!C305+1,IF(F_Baseline_data!C305&gt;3,C305-1,F_Baseline_data!C305)))</f>
        <v>6</v>
      </c>
      <c r="D305">
        <f ca="1">MAX(5000,ROUND(F_Baseline_data!D305*(1+_xlfn.NORM.INV(RAND(),0.12,0.1)),-2))</f>
        <v>32200</v>
      </c>
      <c r="E305" t="str">
        <f ca="1">IF(I305=1,IF(RAND()&lt;0.95,"Piped Water",F_Baseline_data!E305),F_Baseline_data!E305)</f>
        <v>Borehole</v>
      </c>
      <c r="F305">
        <f t="shared" ca="1" si="8"/>
        <v>48</v>
      </c>
      <c r="G305">
        <v>8</v>
      </c>
      <c r="H305">
        <f ca="1">MAX(0,ROUND(F_Baseline_data!H305+(F_Baseline_data!C305-5)*200+(D305-30000)*0.015+(F305-50)*15-IF(I305=1,1200,0)+_xlfn.NORM.INV(RAND(),0,2500),-2))</f>
        <v>3600</v>
      </c>
      <c r="I305">
        <v>0</v>
      </c>
      <c r="J305">
        <f>1</f>
        <v>1</v>
      </c>
      <c r="K305">
        <f>1</f>
        <v>1</v>
      </c>
      <c r="L305">
        <v>0</v>
      </c>
      <c r="M305">
        <f t="shared" ca="1" si="9"/>
        <v>0.30782360331921232</v>
      </c>
      <c r="N305">
        <v>0</v>
      </c>
      <c r="O305">
        <v>0</v>
      </c>
      <c r="P305">
        <v>0</v>
      </c>
    </row>
    <row r="306" spans="1:16" x14ac:dyDescent="0.3">
      <c r="A306" t="s">
        <v>414</v>
      </c>
      <c r="B306" t="s">
        <v>65</v>
      </c>
      <c r="C306">
        <f ca="1">IF(RAND()&lt;0.8,F_Baseline_data!C306,IF(RAND()&lt;0.85,F_Baseline_data!C306+1,IF(F_Baseline_data!C306&gt;3,C306-1,F_Baseline_data!C306)))</f>
        <v>4</v>
      </c>
      <c r="D306">
        <f ca="1">MAX(5000,ROUND(F_Baseline_data!D306*(1+_xlfn.NORM.INV(RAND(),0.12,0.1)),-2))</f>
        <v>11900</v>
      </c>
      <c r="E306" t="str">
        <f ca="1">IF(I306=1,IF(RAND()&lt;0.95,"Piped Water",F_Baseline_data!E306),F_Baseline_data!E306)</f>
        <v>Rainwater</v>
      </c>
      <c r="F306">
        <f t="shared" ca="1" si="8"/>
        <v>40</v>
      </c>
      <c r="G306">
        <v>5.9</v>
      </c>
      <c r="H306">
        <f ca="1">MAX(0,ROUND(F_Baseline_data!H306+(F_Baseline_data!C306-5)*200+(D306-30000)*0.015+(F306-50)*15-IF(I306=1,1200,0)+_xlfn.NORM.INV(RAND(),0,2500),-2))</f>
        <v>2000</v>
      </c>
      <c r="I306">
        <v>0</v>
      </c>
      <c r="J306">
        <f>1</f>
        <v>1</v>
      </c>
      <c r="K306">
        <f>1</f>
        <v>1</v>
      </c>
      <c r="L306">
        <v>0</v>
      </c>
      <c r="M306">
        <f t="shared" ca="1" si="9"/>
        <v>0.73627970907574758</v>
      </c>
      <c r="N306">
        <v>0</v>
      </c>
      <c r="O306">
        <v>0</v>
      </c>
      <c r="P306">
        <v>0</v>
      </c>
    </row>
    <row r="307" spans="1:16" x14ac:dyDescent="0.3">
      <c r="A307" t="s">
        <v>415</v>
      </c>
      <c r="B307" t="s">
        <v>513</v>
      </c>
      <c r="C307">
        <f ca="1">IF(RAND()&lt;0.8,F_Baseline_data!C307,IF(RAND()&lt;0.85,F_Baseline_data!C307+1,IF(F_Baseline_data!C307&gt;3,C307-1,F_Baseline_data!C307)))</f>
        <v>3</v>
      </c>
      <c r="D307">
        <f ca="1">MAX(5000,ROUND(F_Baseline_data!D307*(1+_xlfn.NORM.INV(RAND(),0.12,0.1)),-2))</f>
        <v>110200</v>
      </c>
      <c r="E307" t="str">
        <f ca="1">IF(I307=1,IF(RAND()&lt;0.95,"Piped Water",F_Baseline_data!E307),F_Baseline_data!E307)</f>
        <v>Rainwater</v>
      </c>
      <c r="F307">
        <f t="shared" ca="1" si="8"/>
        <v>25</v>
      </c>
      <c r="G307">
        <v>9.5</v>
      </c>
      <c r="H307">
        <f ca="1">MAX(0,ROUND(F_Baseline_data!H307+(F_Baseline_data!C307-5)*200+(D307-30000)*0.015+(F307-50)*15-IF(I307=1,1200,0)+_xlfn.NORM.INV(RAND(),0,2500),-2))</f>
        <v>4200</v>
      </c>
      <c r="I307">
        <v>0</v>
      </c>
      <c r="J307">
        <f>1</f>
        <v>1</v>
      </c>
      <c r="K307">
        <f>1</f>
        <v>1</v>
      </c>
      <c r="L307">
        <v>0</v>
      </c>
      <c r="M307">
        <f t="shared" ca="1" si="9"/>
        <v>0.25620022196713599</v>
      </c>
      <c r="N307">
        <v>0</v>
      </c>
      <c r="O307">
        <v>0</v>
      </c>
      <c r="P307">
        <v>0</v>
      </c>
    </row>
    <row r="308" spans="1:16" x14ac:dyDescent="0.3">
      <c r="A308" t="s">
        <v>416</v>
      </c>
      <c r="B308" t="s">
        <v>513</v>
      </c>
      <c r="C308">
        <f ca="1">IF(RAND()&lt;0.8,F_Baseline_data!C308,IF(RAND()&lt;0.85,F_Baseline_data!C308+1,IF(F_Baseline_data!C308&gt;3,C308-1,F_Baseline_data!C308)))</f>
        <v>4</v>
      </c>
      <c r="D308">
        <f ca="1">MAX(5000,ROUND(F_Baseline_data!D308*(1+_xlfn.NORM.INV(RAND(),0.12,0.1)),-2))</f>
        <v>24900</v>
      </c>
      <c r="E308" t="str">
        <f ca="1">IF(I308=1,IF(RAND()&lt;0.95,"Piped Water",F_Baseline_data!E308),F_Baseline_data!E308)</f>
        <v>Rainwater</v>
      </c>
      <c r="F308">
        <f t="shared" ca="1" si="8"/>
        <v>27</v>
      </c>
      <c r="G308">
        <v>4.9000000000000004</v>
      </c>
      <c r="H308">
        <f ca="1">MAX(0,ROUND(F_Baseline_data!H308+(F_Baseline_data!C308-5)*200+(D308-30000)*0.015+(F308-50)*15-IF(I308=1,1200,0)+_xlfn.NORM.INV(RAND(),0,2500),-2))</f>
        <v>3800</v>
      </c>
      <c r="I308">
        <v>0</v>
      </c>
      <c r="J308">
        <f>1</f>
        <v>1</v>
      </c>
      <c r="K308">
        <f>1</f>
        <v>1</v>
      </c>
      <c r="L308">
        <v>0</v>
      </c>
      <c r="M308">
        <f t="shared" ca="1" si="9"/>
        <v>0.98656742337206238</v>
      </c>
      <c r="N308">
        <v>0</v>
      </c>
      <c r="O308">
        <v>0</v>
      </c>
      <c r="P308">
        <v>0</v>
      </c>
    </row>
    <row r="309" spans="1:16" x14ac:dyDescent="0.3">
      <c r="A309" t="s">
        <v>417</v>
      </c>
      <c r="B309" t="s">
        <v>513</v>
      </c>
      <c r="C309">
        <f ca="1">IF(RAND()&lt;0.8,F_Baseline_data!C309,IF(RAND()&lt;0.85,F_Baseline_data!C309+1,IF(F_Baseline_data!C309&gt;3,C309-1,F_Baseline_data!C309)))</f>
        <v>6</v>
      </c>
      <c r="D309">
        <f ca="1">MAX(5000,ROUND(F_Baseline_data!D309*(1+_xlfn.NORM.INV(RAND(),0.12,0.1)),-2))</f>
        <v>49100</v>
      </c>
      <c r="E309" t="str">
        <f ca="1">IF(I309=1,IF(RAND()&lt;0.95,"Piped Water",F_Baseline_data!E309),F_Baseline_data!E309)</f>
        <v>River</v>
      </c>
      <c r="F309">
        <f t="shared" ca="1" si="8"/>
        <v>72</v>
      </c>
      <c r="G309">
        <v>12.2</v>
      </c>
      <c r="H309">
        <f ca="1">MAX(0,ROUND(F_Baseline_data!H309+(F_Baseline_data!C309-5)*200+(D309-30000)*0.015+(F309-50)*15-IF(I309=1,1200,0)+_xlfn.NORM.INV(RAND(),0,2500),-2))</f>
        <v>6800</v>
      </c>
      <c r="I309">
        <v>0</v>
      </c>
      <c r="J309">
        <f>1</f>
        <v>1</v>
      </c>
      <c r="K309">
        <f>1</f>
        <v>1</v>
      </c>
      <c r="L309">
        <v>0</v>
      </c>
      <c r="M309">
        <f t="shared" ca="1" si="9"/>
        <v>1.4865094500225218E-2</v>
      </c>
      <c r="N309">
        <v>0</v>
      </c>
      <c r="O309">
        <v>0</v>
      </c>
      <c r="P309">
        <v>0</v>
      </c>
    </row>
    <row r="310" spans="1:16" x14ac:dyDescent="0.3">
      <c r="A310" t="s">
        <v>418</v>
      </c>
      <c r="B310" t="s">
        <v>513</v>
      </c>
      <c r="C310">
        <f ca="1">IF(RAND()&lt;0.8,F_Baseline_data!C310,IF(RAND()&lt;0.85,F_Baseline_data!C310+1,IF(F_Baseline_data!C310&gt;3,C310-1,F_Baseline_data!C310)))</f>
        <v>3</v>
      </c>
      <c r="D310">
        <f ca="1">MAX(5000,ROUND(F_Baseline_data!D310*(1+_xlfn.NORM.INV(RAND(),0.12,0.1)),-2))</f>
        <v>42300</v>
      </c>
      <c r="E310" t="str">
        <f ca="1">IF(I310=1,IF(RAND()&lt;0.95,"Piped Water",F_Baseline_data!E310),F_Baseline_data!E310)</f>
        <v>River</v>
      </c>
      <c r="F310">
        <f t="shared" ca="1" si="8"/>
        <v>57</v>
      </c>
      <c r="G310">
        <v>2.8</v>
      </c>
      <c r="H310">
        <f ca="1">MAX(0,ROUND(F_Baseline_data!H310+(F_Baseline_data!C310-5)*200+(D310-30000)*0.015+(F310-50)*15-IF(I310=1,1200,0)+_xlfn.NORM.INV(RAND(),0,2500),-2))</f>
        <v>1600</v>
      </c>
      <c r="I310">
        <v>0</v>
      </c>
      <c r="J310">
        <f>1</f>
        <v>1</v>
      </c>
      <c r="K310">
        <f>1</f>
        <v>1</v>
      </c>
      <c r="L310">
        <v>0</v>
      </c>
      <c r="M310">
        <f t="shared" ca="1" si="9"/>
        <v>0.44827450588492668</v>
      </c>
      <c r="N310">
        <v>0</v>
      </c>
      <c r="O310">
        <v>0</v>
      </c>
      <c r="P310">
        <v>0</v>
      </c>
    </row>
    <row r="311" spans="1:16" x14ac:dyDescent="0.3">
      <c r="A311" t="s">
        <v>419</v>
      </c>
      <c r="B311" t="s">
        <v>513</v>
      </c>
      <c r="C311">
        <f ca="1">IF(RAND()&lt;0.8,F_Baseline_data!C311,IF(RAND()&lt;0.85,F_Baseline_data!C311+1,IF(F_Baseline_data!C311&gt;3,C311-1,F_Baseline_data!C311)))</f>
        <v>3</v>
      </c>
      <c r="D311">
        <f ca="1">MAX(5000,ROUND(F_Baseline_data!D311*(1+_xlfn.NORM.INV(RAND(),0.12,0.1)),-2))</f>
        <v>63500</v>
      </c>
      <c r="E311" t="str">
        <f ca="1">IF(I311=1,IF(RAND()&lt;0.95,"Piped Water",F_Baseline_data!E311),F_Baseline_data!E311)</f>
        <v>River</v>
      </c>
      <c r="F311">
        <f t="shared" ca="1" si="8"/>
        <v>112</v>
      </c>
      <c r="G311">
        <v>3.7</v>
      </c>
      <c r="H311">
        <f ca="1">MAX(0,ROUND(F_Baseline_data!H311+(F_Baseline_data!C311-5)*200+(D311-30000)*0.015+(F311-50)*15-IF(I311=1,1200,0)+_xlfn.NORM.INV(RAND(),0,2500),-2))</f>
        <v>13600</v>
      </c>
      <c r="I311">
        <v>0</v>
      </c>
      <c r="J311">
        <f>1</f>
        <v>1</v>
      </c>
      <c r="K311">
        <f>1</f>
        <v>1</v>
      </c>
      <c r="L311">
        <v>0</v>
      </c>
      <c r="M311">
        <f t="shared" ca="1" si="9"/>
        <v>0.68281226941258</v>
      </c>
      <c r="N311">
        <v>0</v>
      </c>
      <c r="O311">
        <v>0</v>
      </c>
      <c r="P311">
        <v>0</v>
      </c>
    </row>
    <row r="312" spans="1:16" x14ac:dyDescent="0.3">
      <c r="A312" t="s">
        <v>420</v>
      </c>
      <c r="B312" t="s">
        <v>64</v>
      </c>
      <c r="C312">
        <f ca="1">IF(RAND()&lt;0.8,F_Baseline_data!C312,IF(RAND()&lt;0.85,F_Baseline_data!C312+1,IF(F_Baseline_data!C312&gt;3,C312-1,F_Baseline_data!C312)))</f>
        <v>4</v>
      </c>
      <c r="D312">
        <f ca="1">MAX(5000,ROUND(F_Baseline_data!D312*(1+_xlfn.NORM.INV(RAND(),0.12,0.1)),-2))</f>
        <v>37400</v>
      </c>
      <c r="E312" t="str">
        <f ca="1">IF(I312=1,IF(RAND()&lt;0.95,"Piped Water",F_Baseline_data!E312),F_Baseline_data!E312)</f>
        <v>River</v>
      </c>
      <c r="F312">
        <f t="shared" ca="1" si="8"/>
        <v>89</v>
      </c>
      <c r="G312">
        <v>8.3000000000000007</v>
      </c>
      <c r="H312">
        <f ca="1">MAX(0,ROUND(F_Baseline_data!H312+(F_Baseline_data!C312-5)*200+(D312-30000)*0.015+(F312-50)*15-IF(I312=1,1200,0)+_xlfn.NORM.INV(RAND(),0,2500),-2))</f>
        <v>2800</v>
      </c>
      <c r="I312">
        <v>0</v>
      </c>
      <c r="J312">
        <f>1</f>
        <v>1</v>
      </c>
      <c r="K312">
        <f>1</f>
        <v>1</v>
      </c>
      <c r="L312">
        <v>0</v>
      </c>
      <c r="M312">
        <f t="shared" ca="1" si="9"/>
        <v>0.4784346405095079</v>
      </c>
      <c r="N312">
        <v>0</v>
      </c>
      <c r="O312">
        <v>0</v>
      </c>
      <c r="P312">
        <v>0</v>
      </c>
    </row>
    <row r="313" spans="1:16" x14ac:dyDescent="0.3">
      <c r="A313" t="s">
        <v>421</v>
      </c>
      <c r="B313" t="s">
        <v>513</v>
      </c>
      <c r="C313">
        <f ca="1">IF(RAND()&lt;0.8,F_Baseline_data!C313,IF(RAND()&lt;0.85,F_Baseline_data!C313+1,IF(F_Baseline_data!C313&gt;3,C313-1,F_Baseline_data!C313)))</f>
        <v>3</v>
      </c>
      <c r="D313">
        <f ca="1">MAX(5000,ROUND(F_Baseline_data!D313*(1+_xlfn.NORM.INV(RAND(),0.12,0.1)),-2))</f>
        <v>54900</v>
      </c>
      <c r="E313" t="str">
        <f ca="1">IF(I313=1,IF(RAND()&lt;0.95,"Piped Water",F_Baseline_data!E313),F_Baseline_data!E313)</f>
        <v>River</v>
      </c>
      <c r="F313">
        <f t="shared" ca="1" si="8"/>
        <v>120</v>
      </c>
      <c r="G313">
        <v>4.8</v>
      </c>
      <c r="H313">
        <f ca="1">MAX(0,ROUND(F_Baseline_data!H313+(F_Baseline_data!C313-5)*200+(D313-30000)*0.015+(F313-50)*15-IF(I313=1,1200,0)+_xlfn.NORM.INV(RAND(),0,2500),-2))</f>
        <v>9100</v>
      </c>
      <c r="I313">
        <v>0</v>
      </c>
      <c r="J313">
        <f>1</f>
        <v>1</v>
      </c>
      <c r="K313">
        <f>1</f>
        <v>1</v>
      </c>
      <c r="L313">
        <v>0</v>
      </c>
      <c r="M313">
        <f t="shared" ca="1" si="9"/>
        <v>0.17040766299966825</v>
      </c>
      <c r="N313">
        <v>0</v>
      </c>
      <c r="O313">
        <v>0</v>
      </c>
      <c r="P313">
        <v>0</v>
      </c>
    </row>
    <row r="314" spans="1:16" x14ac:dyDescent="0.3">
      <c r="A314" t="s">
        <v>422</v>
      </c>
      <c r="B314" t="s">
        <v>513</v>
      </c>
      <c r="C314">
        <f ca="1">IF(RAND()&lt;0.8,F_Baseline_data!C314,IF(RAND()&lt;0.85,F_Baseline_data!C314+1,IF(F_Baseline_data!C314&gt;3,C314-1,F_Baseline_data!C314)))</f>
        <v>10</v>
      </c>
      <c r="D314">
        <f ca="1">MAX(5000,ROUND(F_Baseline_data!D314*(1+_xlfn.NORM.INV(RAND(),0.12,0.1)),-2))</f>
        <v>59800</v>
      </c>
      <c r="E314" t="str">
        <f ca="1">IF(I314=1,IF(RAND()&lt;0.95,"Piped Water",F_Baseline_data!E314),F_Baseline_data!E314)</f>
        <v>River</v>
      </c>
      <c r="F314">
        <f t="shared" ca="1" si="8"/>
        <v>96</v>
      </c>
      <c r="G314">
        <v>14.5</v>
      </c>
      <c r="H314">
        <f ca="1">MAX(0,ROUND(F_Baseline_data!H314+(F_Baseline_data!C314-5)*200+(D314-30000)*0.015+(F314-50)*15-IF(I314=1,1200,0)+_xlfn.NORM.INV(RAND(),0,2500),-2))</f>
        <v>14500</v>
      </c>
      <c r="I314">
        <v>0</v>
      </c>
      <c r="J314">
        <f>1</f>
        <v>1</v>
      </c>
      <c r="K314">
        <f>1</f>
        <v>1</v>
      </c>
      <c r="L314">
        <v>0</v>
      </c>
      <c r="M314">
        <f t="shared" ca="1" si="9"/>
        <v>0.11729327845893611</v>
      </c>
      <c r="N314">
        <v>0</v>
      </c>
      <c r="O314">
        <v>0</v>
      </c>
      <c r="P314">
        <v>0</v>
      </c>
    </row>
    <row r="315" spans="1:16" x14ac:dyDescent="0.3">
      <c r="A315" t="s">
        <v>423</v>
      </c>
      <c r="B315" t="s">
        <v>513</v>
      </c>
      <c r="C315">
        <f ca="1">IF(RAND()&lt;0.8,F_Baseline_data!C315,IF(RAND()&lt;0.85,F_Baseline_data!C315+1,IF(F_Baseline_data!C315&gt;3,C315-1,F_Baseline_data!C315)))</f>
        <v>5</v>
      </c>
      <c r="D315">
        <f ca="1">MAX(5000,ROUND(F_Baseline_data!D315*(1+_xlfn.NORM.INV(RAND(),0.12,0.1)),-2))</f>
        <v>35900</v>
      </c>
      <c r="E315" t="str">
        <f ca="1">IF(I315=1,IF(RAND()&lt;0.95,"Piped Water",F_Baseline_data!E315),F_Baseline_data!E315)</f>
        <v>Rainwater</v>
      </c>
      <c r="F315">
        <f t="shared" ca="1" si="8"/>
        <v>27</v>
      </c>
      <c r="G315">
        <v>13</v>
      </c>
      <c r="H315">
        <f ca="1">MAX(0,ROUND(F_Baseline_data!H315+(F_Baseline_data!C315-5)*200+(D315-30000)*0.015+(F315-50)*15-IF(I315=1,1200,0)+_xlfn.NORM.INV(RAND(),0,2500),-2))</f>
        <v>10700</v>
      </c>
      <c r="I315">
        <v>0</v>
      </c>
      <c r="J315">
        <f>1</f>
        <v>1</v>
      </c>
      <c r="K315">
        <f>1</f>
        <v>1</v>
      </c>
      <c r="L315">
        <v>0</v>
      </c>
      <c r="M315">
        <f t="shared" ca="1" si="9"/>
        <v>0.61524855030135039</v>
      </c>
      <c r="N315">
        <v>0</v>
      </c>
      <c r="O315">
        <v>0</v>
      </c>
      <c r="P315">
        <v>0</v>
      </c>
    </row>
    <row r="316" spans="1:16" x14ac:dyDescent="0.3">
      <c r="A316" t="s">
        <v>424</v>
      </c>
      <c r="B316" t="s">
        <v>65</v>
      </c>
      <c r="C316">
        <f ca="1">IF(RAND()&lt;0.8,F_Baseline_data!C316,IF(RAND()&lt;0.85,F_Baseline_data!C316+1,IF(F_Baseline_data!C316&gt;3,C316-1,F_Baseline_data!C316)))</f>
        <v>6</v>
      </c>
      <c r="D316">
        <f ca="1">MAX(5000,ROUND(F_Baseline_data!D316*(1+_xlfn.NORM.INV(RAND(),0.12,0.1)),-2))</f>
        <v>62100</v>
      </c>
      <c r="E316" t="str">
        <f ca="1">IF(I316=1,IF(RAND()&lt;0.95,"Piped Water",F_Baseline_data!E316),F_Baseline_data!E316)</f>
        <v>Borehole</v>
      </c>
      <c r="F316">
        <f t="shared" ca="1" si="8"/>
        <v>75</v>
      </c>
      <c r="G316">
        <v>0.9</v>
      </c>
      <c r="H316">
        <f ca="1">MAX(0,ROUND(F_Baseline_data!H316+(F_Baseline_data!C316-5)*200+(D316-30000)*0.015+(F316-50)*15-IF(I316=1,1200,0)+_xlfn.NORM.INV(RAND(),0,2500),-2))</f>
        <v>4300</v>
      </c>
      <c r="I316">
        <v>0</v>
      </c>
      <c r="J316">
        <f>1</f>
        <v>1</v>
      </c>
      <c r="K316">
        <f>1</f>
        <v>1</v>
      </c>
      <c r="L316">
        <v>0</v>
      </c>
      <c r="M316">
        <f t="shared" ca="1" si="9"/>
        <v>0.25739372205657007</v>
      </c>
      <c r="N316">
        <v>0</v>
      </c>
      <c r="O316">
        <v>0</v>
      </c>
      <c r="P316">
        <v>0</v>
      </c>
    </row>
    <row r="317" spans="1:16" x14ac:dyDescent="0.3">
      <c r="A317" t="s">
        <v>425</v>
      </c>
      <c r="B317" t="s">
        <v>513</v>
      </c>
      <c r="C317">
        <f ca="1">IF(RAND()&lt;0.8,F_Baseline_data!C317,IF(RAND()&lt;0.85,F_Baseline_data!C317+1,IF(F_Baseline_data!C317&gt;3,C317-1,F_Baseline_data!C317)))</f>
        <v>4</v>
      </c>
      <c r="D317">
        <f ca="1">MAX(5000,ROUND(F_Baseline_data!D317*(1+_xlfn.NORM.INV(RAND(),0.12,0.1)),-2))</f>
        <v>39400</v>
      </c>
      <c r="E317" t="str">
        <f ca="1">IF(I317=1,IF(RAND()&lt;0.95,"Piped Water",F_Baseline_data!E317),F_Baseline_data!E317)</f>
        <v>Vendor</v>
      </c>
      <c r="F317">
        <f t="shared" ca="1" si="8"/>
        <v>37</v>
      </c>
      <c r="G317">
        <v>5.0999999999999996</v>
      </c>
      <c r="H317">
        <f ca="1">MAX(0,ROUND(F_Baseline_data!H317+(F_Baseline_data!C317-5)*200+(D317-30000)*0.015+(F317-50)*15-IF(I317=1,1200,0)+_xlfn.NORM.INV(RAND(),0,2500),-2))</f>
        <v>3000</v>
      </c>
      <c r="I317">
        <v>0</v>
      </c>
      <c r="J317">
        <f>1</f>
        <v>1</v>
      </c>
      <c r="K317">
        <f>1</f>
        <v>1</v>
      </c>
      <c r="L317">
        <v>0</v>
      </c>
      <c r="M317">
        <f t="shared" ca="1" si="9"/>
        <v>0.71603043623091311</v>
      </c>
      <c r="N317">
        <v>0</v>
      </c>
      <c r="O317">
        <v>0</v>
      </c>
      <c r="P317">
        <v>0</v>
      </c>
    </row>
    <row r="318" spans="1:16" x14ac:dyDescent="0.3">
      <c r="A318" t="s">
        <v>426</v>
      </c>
      <c r="B318" t="s">
        <v>64</v>
      </c>
      <c r="C318">
        <f ca="1">IF(RAND()&lt;0.8,F_Baseline_data!C318,IF(RAND()&lt;0.85,F_Baseline_data!C318+1,IF(F_Baseline_data!C318&gt;3,C318-1,F_Baseline_data!C318)))</f>
        <v>4</v>
      </c>
      <c r="D318">
        <f ca="1">MAX(5000,ROUND(F_Baseline_data!D318*(1+_xlfn.NORM.INV(RAND(),0.12,0.1)),-2))</f>
        <v>14100</v>
      </c>
      <c r="E318" t="str">
        <f ca="1">IF(I318=1,IF(RAND()&lt;0.95,"Piped Water",F_Baseline_data!E318),F_Baseline_data!E318)</f>
        <v>Borehole</v>
      </c>
      <c r="F318">
        <f t="shared" ca="1" si="8"/>
        <v>53</v>
      </c>
      <c r="G318">
        <v>6.8</v>
      </c>
      <c r="H318">
        <f ca="1">MAX(0,ROUND(F_Baseline_data!H318+(F_Baseline_data!C318-5)*200+(D318-30000)*0.015+(F318-50)*15-IF(I318=1,1200,0)+_xlfn.NORM.INV(RAND(),0,2500),-2))</f>
        <v>5400</v>
      </c>
      <c r="I318">
        <v>0</v>
      </c>
      <c r="J318">
        <f>1</f>
        <v>1</v>
      </c>
      <c r="K318">
        <f>1</f>
        <v>1</v>
      </c>
      <c r="L318">
        <v>0</v>
      </c>
      <c r="M318">
        <f t="shared" ca="1" si="9"/>
        <v>0.44271711257661983</v>
      </c>
      <c r="N318">
        <v>0</v>
      </c>
      <c r="O318">
        <v>0</v>
      </c>
      <c r="P318">
        <v>0</v>
      </c>
    </row>
    <row r="319" spans="1:16" x14ac:dyDescent="0.3">
      <c r="A319" t="s">
        <v>427</v>
      </c>
      <c r="B319" t="s">
        <v>513</v>
      </c>
      <c r="C319">
        <f ca="1">IF(RAND()&lt;0.8,F_Baseline_data!C319,IF(RAND()&lt;0.85,F_Baseline_data!C319+1,IF(F_Baseline_data!C319&gt;3,C319-1,F_Baseline_data!C319)))</f>
        <v>4</v>
      </c>
      <c r="D319">
        <f ca="1">MAX(5000,ROUND(F_Baseline_data!D319*(1+_xlfn.NORM.INV(RAND(),0.12,0.1)),-2))</f>
        <v>46500</v>
      </c>
      <c r="E319" t="str">
        <f ca="1">IF(I319=1,IF(RAND()&lt;0.95,"Piped Water",F_Baseline_data!E319),F_Baseline_data!E319)</f>
        <v>Vendor</v>
      </c>
      <c r="F319">
        <f t="shared" ca="1" si="8"/>
        <v>39</v>
      </c>
      <c r="G319">
        <v>13.8</v>
      </c>
      <c r="H319">
        <f ca="1">MAX(0,ROUND(F_Baseline_data!H319+(F_Baseline_data!C319-5)*200+(D319-30000)*0.015+(F319-50)*15-IF(I319=1,1200,0)+_xlfn.NORM.INV(RAND(),0,2500),-2))</f>
        <v>10800</v>
      </c>
      <c r="I319">
        <v>0</v>
      </c>
      <c r="J319">
        <f>1</f>
        <v>1</v>
      </c>
      <c r="K319">
        <f>1</f>
        <v>1</v>
      </c>
      <c r="L319">
        <v>0</v>
      </c>
      <c r="M319">
        <f t="shared" ca="1" si="9"/>
        <v>7.3864840896686768E-2</v>
      </c>
      <c r="N319">
        <v>0</v>
      </c>
      <c r="O319">
        <v>0</v>
      </c>
      <c r="P319">
        <v>0</v>
      </c>
    </row>
    <row r="320" spans="1:16" x14ac:dyDescent="0.3">
      <c r="A320" t="s">
        <v>428</v>
      </c>
      <c r="B320" t="s">
        <v>62</v>
      </c>
      <c r="C320">
        <f ca="1">IF(RAND()&lt;0.8,F_Baseline_data!C320,IF(RAND()&lt;0.85,F_Baseline_data!C320+1,IF(F_Baseline_data!C320&gt;3,C320-1,F_Baseline_data!C320)))</f>
        <v>8</v>
      </c>
      <c r="D320">
        <f ca="1">MAX(5000,ROUND(F_Baseline_data!D320*(1+_xlfn.NORM.INV(RAND(),0.12,0.1)),-2))</f>
        <v>50100</v>
      </c>
      <c r="E320" t="str">
        <f ca="1">IF(I320=1,IF(RAND()&lt;0.95,"Piped Water",F_Baseline_data!E320),F_Baseline_data!E320)</f>
        <v>Rainwater</v>
      </c>
      <c r="F320">
        <f t="shared" ca="1" si="8"/>
        <v>62</v>
      </c>
      <c r="G320">
        <v>6.2</v>
      </c>
      <c r="H320">
        <f ca="1">MAX(0,ROUND(F_Baseline_data!H320+(F_Baseline_data!C320-5)*200+(D320-30000)*0.015+(F320-50)*15-IF(I320=1,1200,0)+_xlfn.NORM.INV(RAND(),0,2500),-2))</f>
        <v>2900</v>
      </c>
      <c r="I320">
        <v>0</v>
      </c>
      <c r="J320">
        <f>1</f>
        <v>1</v>
      </c>
      <c r="K320">
        <f>1</f>
        <v>1</v>
      </c>
      <c r="L320">
        <v>0</v>
      </c>
      <c r="M320">
        <f t="shared" ca="1" si="9"/>
        <v>0.43583079284650772</v>
      </c>
      <c r="N320">
        <v>0</v>
      </c>
      <c r="O320">
        <v>0</v>
      </c>
      <c r="P320">
        <v>0</v>
      </c>
    </row>
    <row r="321" spans="1:16" x14ac:dyDescent="0.3">
      <c r="A321" t="s">
        <v>429</v>
      </c>
      <c r="B321" t="s">
        <v>64</v>
      </c>
      <c r="C321">
        <f ca="1">IF(RAND()&lt;0.8,F_Baseline_data!C321,IF(RAND()&lt;0.85,F_Baseline_data!C321+1,IF(F_Baseline_data!C321&gt;3,C321-1,F_Baseline_data!C321)))</f>
        <v>6</v>
      </c>
      <c r="D321">
        <f ca="1">MAX(5000,ROUND(F_Baseline_data!D321*(1+_xlfn.NORM.INV(RAND(),0.12,0.1)),-2))</f>
        <v>20200</v>
      </c>
      <c r="E321" t="str">
        <f ca="1">IF(I321=1,IF(RAND()&lt;0.95,"Piped Water",F_Baseline_data!E321),F_Baseline_data!E321)</f>
        <v>Vendor</v>
      </c>
      <c r="F321">
        <f t="shared" ca="1" si="8"/>
        <v>41</v>
      </c>
      <c r="G321">
        <v>6.5</v>
      </c>
      <c r="H321">
        <f ca="1">MAX(0,ROUND(F_Baseline_data!H321+(F_Baseline_data!C321-5)*200+(D321-30000)*0.015+(F321-50)*15-IF(I321=1,1200,0)+_xlfn.NORM.INV(RAND(),0,2500),-2))</f>
        <v>8100</v>
      </c>
      <c r="I321">
        <v>0</v>
      </c>
      <c r="J321">
        <f>1</f>
        <v>1</v>
      </c>
      <c r="K321">
        <f>1</f>
        <v>1</v>
      </c>
      <c r="L321">
        <v>0</v>
      </c>
      <c r="M321">
        <f t="shared" ca="1" si="9"/>
        <v>0.17531939693355503</v>
      </c>
      <c r="N321">
        <v>0</v>
      </c>
      <c r="O321">
        <v>0</v>
      </c>
      <c r="P321">
        <v>0</v>
      </c>
    </row>
    <row r="322" spans="1:16" x14ac:dyDescent="0.3">
      <c r="A322" t="s">
        <v>430</v>
      </c>
      <c r="B322" t="s">
        <v>64</v>
      </c>
      <c r="C322">
        <f ca="1">IF(RAND()&lt;0.8,F_Baseline_data!C322,IF(RAND()&lt;0.85,F_Baseline_data!C322+1,IF(F_Baseline_data!C322&gt;3,C322-1,F_Baseline_data!C322)))</f>
        <v>1</v>
      </c>
      <c r="D322">
        <f ca="1">MAX(5000,ROUND(F_Baseline_data!D322*(1+_xlfn.NORM.INV(RAND(),0.12,0.1)),-2))</f>
        <v>11800</v>
      </c>
      <c r="E322" t="str">
        <f ca="1">IF(I322=1,IF(RAND()&lt;0.95,"Piped Water",F_Baseline_data!E322),F_Baseline_data!E322)</f>
        <v>Rainwater</v>
      </c>
      <c r="F322">
        <f t="shared" ref="F322:F385" ca="1" si="10">IF(E322="Piped Water",RANDBETWEEN(0,10),IF(E322="River",RANDBETWEEN(45,120),IF(E322="Rainwater",RANDBETWEEN(15,70),IF(E322="Borehole",RANDBETWEEN(20,75),RANDBETWEEN(10,60)))))</f>
        <v>51</v>
      </c>
      <c r="G322">
        <v>1.9</v>
      </c>
      <c r="H322">
        <f ca="1">MAX(0,ROUND(F_Baseline_data!H322+(F_Baseline_data!C322-5)*200+(D322-30000)*0.015+(F322-50)*15-IF(I322=1,1200,0)+_xlfn.NORM.INV(RAND(),0,2500),-2))</f>
        <v>6200</v>
      </c>
      <c r="I322">
        <v>0</v>
      </c>
      <c r="J322">
        <f>1</f>
        <v>1</v>
      </c>
      <c r="K322">
        <f>1</f>
        <v>1</v>
      </c>
      <c r="L322">
        <v>0</v>
      </c>
      <c r="M322">
        <f t="shared" ref="M322:M385" ca="1" si="11">RAND()</f>
        <v>0.6742309252805101</v>
      </c>
      <c r="N322">
        <v>0</v>
      </c>
      <c r="O322">
        <v>0</v>
      </c>
      <c r="P322">
        <v>0</v>
      </c>
    </row>
    <row r="323" spans="1:16" x14ac:dyDescent="0.3">
      <c r="A323" t="s">
        <v>431</v>
      </c>
      <c r="B323" t="s">
        <v>513</v>
      </c>
      <c r="C323">
        <f ca="1">IF(RAND()&lt;0.8,F_Baseline_data!C323,IF(RAND()&lt;0.85,F_Baseline_data!C323+1,IF(F_Baseline_data!C323&gt;3,C323-1,F_Baseline_data!C323)))</f>
        <v>8</v>
      </c>
      <c r="D323">
        <f ca="1">MAX(5000,ROUND(F_Baseline_data!D323*(1+_xlfn.NORM.INV(RAND(),0.12,0.1)),-2))</f>
        <v>35700</v>
      </c>
      <c r="E323" t="str">
        <f ca="1">IF(I323=1,IF(RAND()&lt;0.95,"Piped Water",F_Baseline_data!E323),F_Baseline_data!E323)</f>
        <v>Rainwater</v>
      </c>
      <c r="F323">
        <f t="shared" ca="1" si="10"/>
        <v>24</v>
      </c>
      <c r="G323">
        <v>7.9</v>
      </c>
      <c r="H323">
        <f ca="1">MAX(0,ROUND(F_Baseline_data!H323+(F_Baseline_data!C323-5)*200+(D323-30000)*0.015+(F323-50)*15-IF(I323=1,1200,0)+_xlfn.NORM.INV(RAND(),0,2500),-2))</f>
        <v>4300</v>
      </c>
      <c r="I323">
        <v>0</v>
      </c>
      <c r="J323">
        <f>1</f>
        <v>1</v>
      </c>
      <c r="K323">
        <f>1</f>
        <v>1</v>
      </c>
      <c r="L323">
        <v>0</v>
      </c>
      <c r="M323">
        <f t="shared" ca="1" si="11"/>
        <v>0.83787958421593922</v>
      </c>
      <c r="N323">
        <v>0</v>
      </c>
      <c r="O323">
        <v>0</v>
      </c>
      <c r="P323">
        <v>0</v>
      </c>
    </row>
    <row r="324" spans="1:16" x14ac:dyDescent="0.3">
      <c r="A324" t="s">
        <v>432</v>
      </c>
      <c r="B324" t="s">
        <v>513</v>
      </c>
      <c r="C324">
        <f ca="1">IF(RAND()&lt;0.8,F_Baseline_data!C324,IF(RAND()&lt;0.85,F_Baseline_data!C324+1,IF(F_Baseline_data!C324&gt;3,C324-1,F_Baseline_data!C324)))</f>
        <v>6</v>
      </c>
      <c r="D324">
        <f ca="1">MAX(5000,ROUND(F_Baseline_data!D324*(1+_xlfn.NORM.INV(RAND(),0.12,0.1)),-2))</f>
        <v>87700</v>
      </c>
      <c r="E324" t="str">
        <f ca="1">IF(I324=1,IF(RAND()&lt;0.95,"Piped Water",F_Baseline_data!E324),F_Baseline_data!E324)</f>
        <v>Borehole</v>
      </c>
      <c r="F324">
        <f t="shared" ca="1" si="10"/>
        <v>56</v>
      </c>
      <c r="G324">
        <v>13</v>
      </c>
      <c r="H324">
        <f ca="1">MAX(0,ROUND(F_Baseline_data!H324+(F_Baseline_data!C324-5)*200+(D324-30000)*0.015+(F324-50)*15-IF(I324=1,1200,0)+_xlfn.NORM.INV(RAND(),0,2500),-2))</f>
        <v>10700</v>
      </c>
      <c r="I324">
        <v>0</v>
      </c>
      <c r="J324">
        <f>1</f>
        <v>1</v>
      </c>
      <c r="K324">
        <f>1</f>
        <v>1</v>
      </c>
      <c r="L324">
        <v>0</v>
      </c>
      <c r="M324">
        <f t="shared" ca="1" si="11"/>
        <v>0.97375065892020751</v>
      </c>
      <c r="N324">
        <v>0</v>
      </c>
      <c r="O324">
        <v>0</v>
      </c>
      <c r="P324">
        <v>0</v>
      </c>
    </row>
    <row r="325" spans="1:16" x14ac:dyDescent="0.3">
      <c r="A325" t="s">
        <v>433</v>
      </c>
      <c r="B325" t="s">
        <v>62</v>
      </c>
      <c r="C325">
        <f ca="1">IF(RAND()&lt;0.8,F_Baseline_data!C325,IF(RAND()&lt;0.85,F_Baseline_data!C325+1,IF(F_Baseline_data!C325&gt;3,C325-1,F_Baseline_data!C325)))</f>
        <v>9</v>
      </c>
      <c r="D325">
        <f ca="1">MAX(5000,ROUND(F_Baseline_data!D325*(1+_xlfn.NORM.INV(RAND(),0.12,0.1)),-2))</f>
        <v>29300</v>
      </c>
      <c r="E325" t="str">
        <f ca="1">IF(I325=1,IF(RAND()&lt;0.95,"Piped Water",F_Baseline_data!E325),F_Baseline_data!E325)</f>
        <v>Rainwater</v>
      </c>
      <c r="F325">
        <f t="shared" ca="1" si="10"/>
        <v>33</v>
      </c>
      <c r="G325">
        <v>4.3</v>
      </c>
      <c r="H325">
        <f ca="1">MAX(0,ROUND(F_Baseline_data!H325+(F_Baseline_data!C325-5)*200+(D325-30000)*0.015+(F325-50)*15-IF(I325=1,1200,0)+_xlfn.NORM.INV(RAND(),0,2500),-2))</f>
        <v>6300</v>
      </c>
      <c r="I325">
        <v>0</v>
      </c>
      <c r="J325">
        <f>1</f>
        <v>1</v>
      </c>
      <c r="K325">
        <f>1</f>
        <v>1</v>
      </c>
      <c r="L325">
        <v>0</v>
      </c>
      <c r="M325">
        <f t="shared" ca="1" si="11"/>
        <v>0.42644173533435936</v>
      </c>
      <c r="N325">
        <v>0</v>
      </c>
      <c r="O325">
        <v>0</v>
      </c>
      <c r="P325">
        <v>0</v>
      </c>
    </row>
    <row r="326" spans="1:16" x14ac:dyDescent="0.3">
      <c r="A326" t="s">
        <v>434</v>
      </c>
      <c r="B326" t="s">
        <v>65</v>
      </c>
      <c r="C326">
        <f ca="1">IF(RAND()&lt;0.8,F_Baseline_data!C326,IF(RAND()&lt;0.85,F_Baseline_data!C326+1,IF(F_Baseline_data!C326&gt;3,C326-1,F_Baseline_data!C326)))</f>
        <v>4</v>
      </c>
      <c r="D326">
        <f ca="1">MAX(5000,ROUND(F_Baseline_data!D326*(1+_xlfn.NORM.INV(RAND(),0.12,0.1)),-2))</f>
        <v>55900</v>
      </c>
      <c r="E326" t="str">
        <f ca="1">IF(I326=1,IF(RAND()&lt;0.95,"Piped Water",F_Baseline_data!E326),F_Baseline_data!E326)</f>
        <v>River</v>
      </c>
      <c r="F326">
        <f t="shared" ca="1" si="10"/>
        <v>113</v>
      </c>
      <c r="G326">
        <v>8.5</v>
      </c>
      <c r="H326">
        <f ca="1">MAX(0,ROUND(F_Baseline_data!H326+(F_Baseline_data!C326-5)*200+(D326-30000)*0.015+(F326-50)*15-IF(I326=1,1200,0)+_xlfn.NORM.INV(RAND(),0,2500),-2))</f>
        <v>1700</v>
      </c>
      <c r="I326">
        <v>0</v>
      </c>
      <c r="J326">
        <f>1</f>
        <v>1</v>
      </c>
      <c r="K326">
        <f>1</f>
        <v>1</v>
      </c>
      <c r="L326">
        <v>0</v>
      </c>
      <c r="M326">
        <f t="shared" ca="1" si="11"/>
        <v>0.34623063770112805</v>
      </c>
      <c r="N326">
        <v>0</v>
      </c>
      <c r="O326">
        <v>0</v>
      </c>
      <c r="P326">
        <v>0</v>
      </c>
    </row>
    <row r="327" spans="1:16" x14ac:dyDescent="0.3">
      <c r="A327" t="s">
        <v>435</v>
      </c>
      <c r="B327" t="s">
        <v>64</v>
      </c>
      <c r="C327">
        <f ca="1">IF(RAND()&lt;0.8,F_Baseline_data!C327,IF(RAND()&lt;0.85,F_Baseline_data!C327+1,IF(F_Baseline_data!C327&gt;3,C327-1,F_Baseline_data!C327)))</f>
        <v>5</v>
      </c>
      <c r="D327">
        <f ca="1">MAX(5000,ROUND(F_Baseline_data!D327*(1+_xlfn.NORM.INV(RAND(),0.12,0.1)),-2))</f>
        <v>21800</v>
      </c>
      <c r="E327" t="str">
        <f ca="1">IF(I327=1,IF(RAND()&lt;0.95,"Piped Water",F_Baseline_data!E327),F_Baseline_data!E327)</f>
        <v>River</v>
      </c>
      <c r="F327">
        <f t="shared" ca="1" si="10"/>
        <v>81</v>
      </c>
      <c r="G327">
        <v>2.2000000000000002</v>
      </c>
      <c r="H327">
        <f ca="1">MAX(0,ROUND(F_Baseline_data!H327+(F_Baseline_data!C327-5)*200+(D327-30000)*0.015+(F327-50)*15-IF(I327=1,1200,0)+_xlfn.NORM.INV(RAND(),0,2500),-2))</f>
        <v>8400</v>
      </c>
      <c r="I327">
        <v>0</v>
      </c>
      <c r="J327">
        <f>1</f>
        <v>1</v>
      </c>
      <c r="K327">
        <f>1</f>
        <v>1</v>
      </c>
      <c r="L327">
        <v>0</v>
      </c>
      <c r="M327">
        <f t="shared" ca="1" si="11"/>
        <v>0.43151891996047109</v>
      </c>
      <c r="N327">
        <v>0</v>
      </c>
      <c r="O327">
        <v>0</v>
      </c>
      <c r="P327">
        <v>0</v>
      </c>
    </row>
    <row r="328" spans="1:16" x14ac:dyDescent="0.3">
      <c r="A328" t="s">
        <v>436</v>
      </c>
      <c r="B328" t="s">
        <v>65</v>
      </c>
      <c r="C328">
        <f ca="1">IF(RAND()&lt;0.8,F_Baseline_data!C328,IF(RAND()&lt;0.85,F_Baseline_data!C328+1,IF(F_Baseline_data!C328&gt;3,C328-1,F_Baseline_data!C328)))</f>
        <v>6</v>
      </c>
      <c r="D328">
        <f ca="1">MAX(5000,ROUND(F_Baseline_data!D328*(1+_xlfn.NORM.INV(RAND(),0.12,0.1)),-2))</f>
        <v>30400</v>
      </c>
      <c r="E328" t="str">
        <f ca="1">IF(I328=1,IF(RAND()&lt;0.95,"Piped Water",F_Baseline_data!E328),F_Baseline_data!E328)</f>
        <v>Rainwater</v>
      </c>
      <c r="F328">
        <f t="shared" ca="1" si="10"/>
        <v>55</v>
      </c>
      <c r="G328">
        <v>10.1</v>
      </c>
      <c r="H328">
        <f ca="1">MAX(0,ROUND(F_Baseline_data!H328+(F_Baseline_data!C328-5)*200+(D328-30000)*0.015+(F328-50)*15-IF(I328=1,1200,0)+_xlfn.NORM.INV(RAND(),0,2500),-2))</f>
        <v>3500</v>
      </c>
      <c r="I328">
        <v>0</v>
      </c>
      <c r="J328">
        <f>1</f>
        <v>1</v>
      </c>
      <c r="K328">
        <f>1</f>
        <v>1</v>
      </c>
      <c r="L328">
        <v>0</v>
      </c>
      <c r="M328">
        <f t="shared" ca="1" si="11"/>
        <v>0.80872378025119951</v>
      </c>
      <c r="N328">
        <v>0</v>
      </c>
      <c r="O328">
        <v>0</v>
      </c>
      <c r="P328">
        <v>0</v>
      </c>
    </row>
    <row r="329" spans="1:16" x14ac:dyDescent="0.3">
      <c r="A329" t="s">
        <v>437</v>
      </c>
      <c r="B329" t="s">
        <v>513</v>
      </c>
      <c r="C329">
        <f ca="1">IF(RAND()&lt;0.8,F_Baseline_data!C329,IF(RAND()&lt;0.85,F_Baseline_data!C329+1,IF(F_Baseline_data!C329&gt;3,C329-1,F_Baseline_data!C329)))</f>
        <v>7</v>
      </c>
      <c r="D329">
        <f ca="1">MAX(5000,ROUND(F_Baseline_data!D329*(1+_xlfn.NORM.INV(RAND(),0.12,0.1)),-2))</f>
        <v>54700</v>
      </c>
      <c r="E329" t="str">
        <f ca="1">IF(I329=1,IF(RAND()&lt;0.95,"Piped Water",F_Baseline_data!E329),F_Baseline_data!E329)</f>
        <v>Rainwater</v>
      </c>
      <c r="F329">
        <f t="shared" ca="1" si="10"/>
        <v>34</v>
      </c>
      <c r="G329">
        <v>11.7</v>
      </c>
      <c r="H329">
        <f ca="1">MAX(0,ROUND(F_Baseline_data!H329+(F_Baseline_data!C329-5)*200+(D329-30000)*0.015+(F329-50)*15-IF(I329=1,1200,0)+_xlfn.NORM.INV(RAND(),0,2500),-2))</f>
        <v>8200</v>
      </c>
      <c r="I329">
        <v>0</v>
      </c>
      <c r="J329">
        <f>1</f>
        <v>1</v>
      </c>
      <c r="K329">
        <f>1</f>
        <v>1</v>
      </c>
      <c r="L329">
        <v>0</v>
      </c>
      <c r="M329">
        <f t="shared" ca="1" si="11"/>
        <v>0.53166723025731233</v>
      </c>
      <c r="N329">
        <v>0</v>
      </c>
      <c r="O329">
        <v>0</v>
      </c>
      <c r="P329">
        <v>0</v>
      </c>
    </row>
    <row r="330" spans="1:16" x14ac:dyDescent="0.3">
      <c r="A330" t="s">
        <v>438</v>
      </c>
      <c r="B330" t="s">
        <v>64</v>
      </c>
      <c r="C330">
        <f ca="1">IF(RAND()&lt;0.8,F_Baseline_data!C330,IF(RAND()&lt;0.85,F_Baseline_data!C330+1,IF(F_Baseline_data!C330&gt;3,C330-1,F_Baseline_data!C330)))</f>
        <v>4</v>
      </c>
      <c r="D330">
        <f ca="1">MAX(5000,ROUND(F_Baseline_data!D330*(1+_xlfn.NORM.INV(RAND(),0.12,0.1)),-2))</f>
        <v>51600</v>
      </c>
      <c r="E330" t="str">
        <f ca="1">IF(I330=1,IF(RAND()&lt;0.95,"Piped Water",F_Baseline_data!E330),F_Baseline_data!E330)</f>
        <v>Rainwater</v>
      </c>
      <c r="F330">
        <f t="shared" ca="1" si="10"/>
        <v>24</v>
      </c>
      <c r="G330">
        <v>2.9</v>
      </c>
      <c r="H330">
        <f ca="1">MAX(0,ROUND(F_Baseline_data!H330+(F_Baseline_data!C330-5)*200+(D330-30000)*0.015+(F330-50)*15-IF(I330=1,1200,0)+_xlfn.NORM.INV(RAND(),0,2500),-2))</f>
        <v>0</v>
      </c>
      <c r="I330">
        <v>0</v>
      </c>
      <c r="J330">
        <f>1</f>
        <v>1</v>
      </c>
      <c r="K330">
        <f>1</f>
        <v>1</v>
      </c>
      <c r="L330">
        <v>0</v>
      </c>
      <c r="M330">
        <f t="shared" ca="1" si="11"/>
        <v>0.91243608374472818</v>
      </c>
      <c r="N330">
        <v>0</v>
      </c>
      <c r="O330">
        <v>0</v>
      </c>
      <c r="P330">
        <v>0</v>
      </c>
    </row>
    <row r="331" spans="1:16" x14ac:dyDescent="0.3">
      <c r="A331" t="s">
        <v>439</v>
      </c>
      <c r="B331" t="s">
        <v>62</v>
      </c>
      <c r="C331">
        <f ca="1">IF(RAND()&lt;0.8,F_Baseline_data!C331,IF(RAND()&lt;0.85,F_Baseline_data!C331+1,IF(F_Baseline_data!C331&gt;3,C331-1,F_Baseline_data!C331)))</f>
        <v>4</v>
      </c>
      <c r="D331">
        <f ca="1">MAX(5000,ROUND(F_Baseline_data!D331*(1+_xlfn.NORM.INV(RAND(),0.12,0.1)),-2))</f>
        <v>39600</v>
      </c>
      <c r="E331" t="str">
        <f ca="1">IF(I331=1,IF(RAND()&lt;0.95,"Piped Water",F_Baseline_data!E331),F_Baseline_data!E331)</f>
        <v>Rainwater</v>
      </c>
      <c r="F331">
        <f t="shared" ca="1" si="10"/>
        <v>62</v>
      </c>
      <c r="G331">
        <v>6.4</v>
      </c>
      <c r="H331">
        <f ca="1">MAX(0,ROUND(F_Baseline_data!H331+(F_Baseline_data!C331-5)*200+(D331-30000)*0.015+(F331-50)*15-IF(I331=1,1200,0)+_xlfn.NORM.INV(RAND(),0,2500),-2))</f>
        <v>2200</v>
      </c>
      <c r="I331">
        <v>0</v>
      </c>
      <c r="J331">
        <f>1</f>
        <v>1</v>
      </c>
      <c r="K331">
        <f>1</f>
        <v>1</v>
      </c>
      <c r="L331">
        <v>0</v>
      </c>
      <c r="M331">
        <f t="shared" ca="1" si="11"/>
        <v>0.14936113728975464</v>
      </c>
      <c r="N331">
        <v>0</v>
      </c>
      <c r="O331">
        <v>0</v>
      </c>
      <c r="P331">
        <v>0</v>
      </c>
    </row>
    <row r="332" spans="1:16" x14ac:dyDescent="0.3">
      <c r="A332" t="s">
        <v>440</v>
      </c>
      <c r="B332" t="s">
        <v>64</v>
      </c>
      <c r="C332">
        <f ca="1">IF(RAND()&lt;0.8,F_Baseline_data!C332,IF(RAND()&lt;0.85,F_Baseline_data!C332+1,IF(F_Baseline_data!C332&gt;3,C332-1,F_Baseline_data!C332)))</f>
        <v>5</v>
      </c>
      <c r="D332">
        <f ca="1">MAX(5000,ROUND(F_Baseline_data!D332*(1+_xlfn.NORM.INV(RAND(),0.12,0.1)),-2))</f>
        <v>23700</v>
      </c>
      <c r="E332" t="str">
        <f ca="1">IF(I332=1,IF(RAND()&lt;0.95,"Piped Water",F_Baseline_data!E332),F_Baseline_data!E332)</f>
        <v>Vendor</v>
      </c>
      <c r="F332">
        <f t="shared" ca="1" si="10"/>
        <v>45</v>
      </c>
      <c r="G332">
        <v>4.3</v>
      </c>
      <c r="H332">
        <f ca="1">MAX(0,ROUND(F_Baseline_data!H332+(F_Baseline_data!C332-5)*200+(D332-30000)*0.015+(F332-50)*15-IF(I332=1,1200,0)+_xlfn.NORM.INV(RAND(),0,2500),-2))</f>
        <v>7000</v>
      </c>
      <c r="I332">
        <v>0</v>
      </c>
      <c r="J332">
        <f>1</f>
        <v>1</v>
      </c>
      <c r="K332">
        <f>1</f>
        <v>1</v>
      </c>
      <c r="L332">
        <v>0</v>
      </c>
      <c r="M332">
        <f t="shared" ca="1" si="11"/>
        <v>0.54789651201430922</v>
      </c>
      <c r="N332">
        <v>0</v>
      </c>
      <c r="O332">
        <v>0</v>
      </c>
      <c r="P332">
        <v>0</v>
      </c>
    </row>
    <row r="333" spans="1:16" x14ac:dyDescent="0.3">
      <c r="A333" t="s">
        <v>441</v>
      </c>
      <c r="B333" t="s">
        <v>513</v>
      </c>
      <c r="C333">
        <f ca="1">IF(RAND()&lt;0.8,F_Baseline_data!C333,IF(RAND()&lt;0.85,F_Baseline_data!C333+1,IF(F_Baseline_data!C333&gt;3,C333-1,F_Baseline_data!C333)))</f>
        <v>4</v>
      </c>
      <c r="D333">
        <f ca="1">MAX(5000,ROUND(F_Baseline_data!D333*(1+_xlfn.NORM.INV(RAND(),0.12,0.1)),-2))</f>
        <v>44000</v>
      </c>
      <c r="E333" t="str">
        <f ca="1">IF(I333=1,IF(RAND()&lt;0.95,"Piped Water",F_Baseline_data!E333),F_Baseline_data!E333)</f>
        <v>River</v>
      </c>
      <c r="F333">
        <f t="shared" ca="1" si="10"/>
        <v>89</v>
      </c>
      <c r="G333">
        <v>1.6</v>
      </c>
      <c r="H333">
        <f ca="1">MAX(0,ROUND(F_Baseline_data!H333+(F_Baseline_data!C333-5)*200+(D333-30000)*0.015+(F333-50)*15-IF(I333=1,1200,0)+_xlfn.NORM.INV(RAND(),0,2500),-2))</f>
        <v>12300</v>
      </c>
      <c r="I333">
        <v>0</v>
      </c>
      <c r="J333">
        <f>1</f>
        <v>1</v>
      </c>
      <c r="K333">
        <f>1</f>
        <v>1</v>
      </c>
      <c r="L333">
        <v>0</v>
      </c>
      <c r="M333">
        <f t="shared" ca="1" si="11"/>
        <v>1.1611342461736673E-2</v>
      </c>
      <c r="N333">
        <v>0</v>
      </c>
      <c r="O333">
        <v>0</v>
      </c>
      <c r="P333">
        <v>0</v>
      </c>
    </row>
    <row r="334" spans="1:16" x14ac:dyDescent="0.3">
      <c r="A334" t="s">
        <v>442</v>
      </c>
      <c r="B334" t="s">
        <v>513</v>
      </c>
      <c r="C334">
        <f ca="1">IF(RAND()&lt;0.8,F_Baseline_data!C334,IF(RAND()&lt;0.85,F_Baseline_data!C334+1,IF(F_Baseline_data!C334&gt;3,C334-1,F_Baseline_data!C334)))</f>
        <v>4</v>
      </c>
      <c r="D334">
        <f ca="1">MAX(5000,ROUND(F_Baseline_data!D334*(1+_xlfn.NORM.INV(RAND(),0.12,0.1)),-2))</f>
        <v>25500</v>
      </c>
      <c r="E334" t="str">
        <f ca="1">IF(I334=1,IF(RAND()&lt;0.95,"Piped Water",F_Baseline_data!E334),F_Baseline_data!E334)</f>
        <v>Rainwater</v>
      </c>
      <c r="F334">
        <f t="shared" ca="1" si="10"/>
        <v>18</v>
      </c>
      <c r="G334">
        <v>14.8</v>
      </c>
      <c r="H334">
        <f ca="1">MAX(0,ROUND(F_Baseline_data!H334+(F_Baseline_data!C334-5)*200+(D334-30000)*0.015+(F334-50)*15-IF(I334=1,1200,0)+_xlfn.NORM.INV(RAND(),0,2500),-2))</f>
        <v>0</v>
      </c>
      <c r="I334">
        <v>0</v>
      </c>
      <c r="J334">
        <f>1</f>
        <v>1</v>
      </c>
      <c r="K334">
        <f>1</f>
        <v>1</v>
      </c>
      <c r="L334">
        <v>0</v>
      </c>
      <c r="M334">
        <f t="shared" ca="1" si="11"/>
        <v>0.20561037302899665</v>
      </c>
      <c r="N334">
        <v>0</v>
      </c>
      <c r="O334">
        <v>0</v>
      </c>
      <c r="P334">
        <v>0</v>
      </c>
    </row>
    <row r="335" spans="1:16" x14ac:dyDescent="0.3">
      <c r="A335" t="s">
        <v>443</v>
      </c>
      <c r="B335" t="s">
        <v>65</v>
      </c>
      <c r="C335">
        <f ca="1">IF(RAND()&lt;0.8,F_Baseline_data!C335,IF(RAND()&lt;0.85,F_Baseline_data!C335+1,IF(F_Baseline_data!C335&gt;3,C335-1,F_Baseline_data!C335)))</f>
        <v>7</v>
      </c>
      <c r="D335">
        <f ca="1">MAX(5000,ROUND(F_Baseline_data!D335*(1+_xlfn.NORM.INV(RAND(),0.12,0.1)),-2))</f>
        <v>46700</v>
      </c>
      <c r="E335" t="str">
        <f ca="1">IF(I335=1,IF(RAND()&lt;0.95,"Piped Water",F_Baseline_data!E335),F_Baseline_data!E335)</f>
        <v>River</v>
      </c>
      <c r="F335">
        <f t="shared" ca="1" si="10"/>
        <v>50</v>
      </c>
      <c r="G335">
        <v>3.8</v>
      </c>
      <c r="H335">
        <f ca="1">MAX(0,ROUND(F_Baseline_data!H335+(F_Baseline_data!C335-5)*200+(D335-30000)*0.015+(F335-50)*15-IF(I335=1,1200,0)+_xlfn.NORM.INV(RAND(),0,2500),-2))</f>
        <v>4800</v>
      </c>
      <c r="I335">
        <v>0</v>
      </c>
      <c r="J335">
        <f>1</f>
        <v>1</v>
      </c>
      <c r="K335">
        <f>1</f>
        <v>1</v>
      </c>
      <c r="L335">
        <v>0</v>
      </c>
      <c r="M335">
        <f t="shared" ca="1" si="11"/>
        <v>0.13802464963013272</v>
      </c>
      <c r="N335">
        <v>0</v>
      </c>
      <c r="O335">
        <v>0</v>
      </c>
      <c r="P335">
        <v>0</v>
      </c>
    </row>
    <row r="336" spans="1:16" x14ac:dyDescent="0.3">
      <c r="A336" t="s">
        <v>444</v>
      </c>
      <c r="B336" t="s">
        <v>64</v>
      </c>
      <c r="C336">
        <f ca="1">IF(RAND()&lt;0.8,F_Baseline_data!C336,IF(RAND()&lt;0.85,F_Baseline_data!C336+1,IF(F_Baseline_data!C336&gt;3,C336-1,F_Baseline_data!C336)))</f>
        <v>5</v>
      </c>
      <c r="D336">
        <f ca="1">MAX(5000,ROUND(F_Baseline_data!D336*(1+_xlfn.NORM.INV(RAND(),0.12,0.1)),-2))</f>
        <v>29500</v>
      </c>
      <c r="E336" t="str">
        <f ca="1">IF(I336=1,IF(RAND()&lt;0.95,"Piped Water",F_Baseline_data!E336),F_Baseline_data!E336)</f>
        <v>Rainwater</v>
      </c>
      <c r="F336">
        <f t="shared" ca="1" si="10"/>
        <v>24</v>
      </c>
      <c r="G336">
        <v>11</v>
      </c>
      <c r="H336">
        <f ca="1">MAX(0,ROUND(F_Baseline_data!H336+(F_Baseline_data!C336-5)*200+(D336-30000)*0.015+(F336-50)*15-IF(I336=1,1200,0)+_xlfn.NORM.INV(RAND(),0,2500),-2))</f>
        <v>8200</v>
      </c>
      <c r="I336">
        <v>0</v>
      </c>
      <c r="J336">
        <f>1</f>
        <v>1</v>
      </c>
      <c r="K336">
        <f>1</f>
        <v>1</v>
      </c>
      <c r="L336">
        <v>0</v>
      </c>
      <c r="M336">
        <f t="shared" ca="1" si="11"/>
        <v>0.86656253958212592</v>
      </c>
      <c r="N336">
        <v>0</v>
      </c>
      <c r="O336">
        <v>0</v>
      </c>
      <c r="P336">
        <v>0</v>
      </c>
    </row>
    <row r="337" spans="1:16" x14ac:dyDescent="0.3">
      <c r="A337" t="s">
        <v>445</v>
      </c>
      <c r="B337" t="s">
        <v>65</v>
      </c>
      <c r="C337">
        <f ca="1">IF(RAND()&lt;0.8,F_Baseline_data!C337,IF(RAND()&lt;0.85,F_Baseline_data!C337+1,IF(F_Baseline_data!C337&gt;3,C337-1,F_Baseline_data!C337)))</f>
        <v>4</v>
      </c>
      <c r="D337">
        <f ca="1">MAX(5000,ROUND(F_Baseline_data!D337*(1+_xlfn.NORM.INV(RAND(),0.12,0.1)),-2))</f>
        <v>59500</v>
      </c>
      <c r="E337" t="str">
        <f ca="1">IF(I337=1,IF(RAND()&lt;0.95,"Piped Water",F_Baseline_data!E337),F_Baseline_data!E337)</f>
        <v>Borehole</v>
      </c>
      <c r="F337">
        <f t="shared" ca="1" si="10"/>
        <v>25</v>
      </c>
      <c r="G337">
        <v>13.4</v>
      </c>
      <c r="H337">
        <f ca="1">MAX(0,ROUND(F_Baseline_data!H337+(F_Baseline_data!C337-5)*200+(D337-30000)*0.015+(F337-50)*15-IF(I337=1,1200,0)+_xlfn.NORM.INV(RAND(),0,2500),-2))</f>
        <v>5400</v>
      </c>
      <c r="I337">
        <v>0</v>
      </c>
      <c r="J337">
        <f>1</f>
        <v>1</v>
      </c>
      <c r="K337">
        <f>1</f>
        <v>1</v>
      </c>
      <c r="L337">
        <v>0</v>
      </c>
      <c r="M337">
        <f t="shared" ca="1" si="11"/>
        <v>0.83401228289197715</v>
      </c>
      <c r="N337">
        <v>0</v>
      </c>
      <c r="O337">
        <v>0</v>
      </c>
      <c r="P337">
        <v>0</v>
      </c>
    </row>
    <row r="338" spans="1:16" x14ac:dyDescent="0.3">
      <c r="A338" t="s">
        <v>446</v>
      </c>
      <c r="B338" t="s">
        <v>64</v>
      </c>
      <c r="C338">
        <f ca="1">IF(RAND()&lt;0.8,F_Baseline_data!C338,IF(RAND()&lt;0.85,F_Baseline_data!C338+1,IF(F_Baseline_data!C338&gt;3,C338-1,F_Baseline_data!C338)))</f>
        <v>7</v>
      </c>
      <c r="D338">
        <f ca="1">MAX(5000,ROUND(F_Baseline_data!D338*(1+_xlfn.NORM.INV(RAND(),0.12,0.1)),-2))</f>
        <v>53200</v>
      </c>
      <c r="E338" t="str">
        <f ca="1">IF(I338=1,IF(RAND()&lt;0.95,"Piped Water",F_Baseline_data!E338),F_Baseline_data!E338)</f>
        <v>Rainwater</v>
      </c>
      <c r="F338">
        <f t="shared" ca="1" si="10"/>
        <v>49</v>
      </c>
      <c r="G338">
        <v>5.9</v>
      </c>
      <c r="H338">
        <f ca="1">MAX(0,ROUND(F_Baseline_data!H338+(F_Baseline_data!C338-5)*200+(D338-30000)*0.015+(F338-50)*15-IF(I338=1,1200,0)+_xlfn.NORM.INV(RAND(),0,2500),-2))</f>
        <v>1900</v>
      </c>
      <c r="I338">
        <v>0</v>
      </c>
      <c r="J338">
        <f>1</f>
        <v>1</v>
      </c>
      <c r="K338">
        <f>1</f>
        <v>1</v>
      </c>
      <c r="L338">
        <v>0</v>
      </c>
      <c r="M338">
        <f t="shared" ca="1" si="11"/>
        <v>0.88286506088967653</v>
      </c>
      <c r="N338">
        <v>0</v>
      </c>
      <c r="O338">
        <v>0</v>
      </c>
      <c r="P338">
        <v>0</v>
      </c>
    </row>
    <row r="339" spans="1:16" x14ac:dyDescent="0.3">
      <c r="A339" t="s">
        <v>447</v>
      </c>
      <c r="B339" t="s">
        <v>65</v>
      </c>
      <c r="C339">
        <f ca="1">IF(RAND()&lt;0.8,F_Baseline_data!C339,IF(RAND()&lt;0.85,F_Baseline_data!C339+1,IF(F_Baseline_data!C339&gt;3,C339-1,F_Baseline_data!C339)))</f>
        <v>3</v>
      </c>
      <c r="D339">
        <f ca="1">MAX(5000,ROUND(F_Baseline_data!D339*(1+_xlfn.NORM.INV(RAND(),0.12,0.1)),-2))</f>
        <v>39800</v>
      </c>
      <c r="E339" t="str">
        <f ca="1">IF(I339=1,IF(RAND()&lt;0.95,"Piped Water",F_Baseline_data!E339),F_Baseline_data!E339)</f>
        <v>River</v>
      </c>
      <c r="F339">
        <f t="shared" ca="1" si="10"/>
        <v>52</v>
      </c>
      <c r="G339">
        <v>1.8</v>
      </c>
      <c r="H339">
        <f ca="1">MAX(0,ROUND(F_Baseline_data!H339+(F_Baseline_data!C339-5)*200+(D339-30000)*0.015+(F339-50)*15-IF(I339=1,1200,0)+_xlfn.NORM.INV(RAND(),0,2500),-2))</f>
        <v>3900</v>
      </c>
      <c r="I339">
        <v>0</v>
      </c>
      <c r="J339">
        <f>1</f>
        <v>1</v>
      </c>
      <c r="K339">
        <f>1</f>
        <v>1</v>
      </c>
      <c r="L339">
        <v>0</v>
      </c>
      <c r="M339">
        <f t="shared" ca="1" si="11"/>
        <v>0.7184621652578318</v>
      </c>
      <c r="N339">
        <v>0</v>
      </c>
      <c r="O339">
        <v>0</v>
      </c>
      <c r="P339">
        <v>0</v>
      </c>
    </row>
    <row r="340" spans="1:16" x14ac:dyDescent="0.3">
      <c r="A340" t="s">
        <v>448</v>
      </c>
      <c r="B340" t="s">
        <v>62</v>
      </c>
      <c r="C340">
        <f ca="1">IF(RAND()&lt;0.8,F_Baseline_data!C340,IF(RAND()&lt;0.85,F_Baseline_data!C340+1,IF(F_Baseline_data!C340&gt;3,C340-1,F_Baseline_data!C340)))</f>
        <v>9</v>
      </c>
      <c r="D340">
        <f ca="1">MAX(5000,ROUND(F_Baseline_data!D340*(1+_xlfn.NORM.INV(RAND(),0.12,0.1)),-2))</f>
        <v>44000</v>
      </c>
      <c r="E340" t="str">
        <f ca="1">IF(I340=1,IF(RAND()&lt;0.95,"Piped Water",F_Baseline_data!E340),F_Baseline_data!E340)</f>
        <v>Rainwater</v>
      </c>
      <c r="F340">
        <f t="shared" ca="1" si="10"/>
        <v>60</v>
      </c>
      <c r="G340">
        <v>7</v>
      </c>
      <c r="H340">
        <f ca="1">MAX(0,ROUND(F_Baseline_data!H340+(F_Baseline_data!C340-5)*200+(D340-30000)*0.015+(F340-50)*15-IF(I340=1,1200,0)+_xlfn.NORM.INV(RAND(),0,2500),-2))</f>
        <v>4400</v>
      </c>
      <c r="I340">
        <v>0</v>
      </c>
      <c r="J340">
        <f>1</f>
        <v>1</v>
      </c>
      <c r="K340">
        <f>1</f>
        <v>1</v>
      </c>
      <c r="L340">
        <v>0</v>
      </c>
      <c r="M340">
        <f t="shared" ca="1" si="11"/>
        <v>0.77632886238963172</v>
      </c>
      <c r="N340">
        <v>0</v>
      </c>
      <c r="O340">
        <v>0</v>
      </c>
      <c r="P340">
        <v>0</v>
      </c>
    </row>
    <row r="341" spans="1:16" x14ac:dyDescent="0.3">
      <c r="A341" t="s">
        <v>449</v>
      </c>
      <c r="B341" t="s">
        <v>513</v>
      </c>
      <c r="C341">
        <f ca="1">IF(RAND()&lt;0.8,F_Baseline_data!C341,IF(RAND()&lt;0.85,F_Baseline_data!C341+1,IF(F_Baseline_data!C341&gt;3,C341-1,F_Baseline_data!C341)))</f>
        <v>3</v>
      </c>
      <c r="D341">
        <f ca="1">MAX(5000,ROUND(F_Baseline_data!D341*(1+_xlfn.NORM.INV(RAND(),0.12,0.1)),-2))</f>
        <v>46400</v>
      </c>
      <c r="E341" t="str">
        <f ca="1">IF(I341=1,IF(RAND()&lt;0.95,"Piped Water",F_Baseline_data!E341),F_Baseline_data!E341)</f>
        <v>Rainwater</v>
      </c>
      <c r="F341">
        <f t="shared" ca="1" si="10"/>
        <v>65</v>
      </c>
      <c r="G341">
        <v>1.7</v>
      </c>
      <c r="H341">
        <f ca="1">MAX(0,ROUND(F_Baseline_data!H341+(F_Baseline_data!C341-5)*200+(D341-30000)*0.015+(F341-50)*15-IF(I341=1,1200,0)+_xlfn.NORM.INV(RAND(),0,2500),-2))</f>
        <v>4900</v>
      </c>
      <c r="I341">
        <v>0</v>
      </c>
      <c r="J341">
        <f>1</f>
        <v>1</v>
      </c>
      <c r="K341">
        <f>1</f>
        <v>1</v>
      </c>
      <c r="L341">
        <v>0</v>
      </c>
      <c r="M341">
        <f t="shared" ca="1" si="11"/>
        <v>0.25604903793362033</v>
      </c>
      <c r="N341">
        <v>0</v>
      </c>
      <c r="O341">
        <v>0</v>
      </c>
      <c r="P341">
        <v>0</v>
      </c>
    </row>
    <row r="342" spans="1:16" x14ac:dyDescent="0.3">
      <c r="A342" t="s">
        <v>450</v>
      </c>
      <c r="B342" t="s">
        <v>65</v>
      </c>
      <c r="C342">
        <f ca="1">IF(RAND()&lt;0.8,F_Baseline_data!C342,IF(RAND()&lt;0.85,F_Baseline_data!C342+1,IF(F_Baseline_data!C342&gt;3,C342-1,F_Baseline_data!C342)))</f>
        <v>5</v>
      </c>
      <c r="D342">
        <f ca="1">MAX(5000,ROUND(F_Baseline_data!D342*(1+_xlfn.NORM.INV(RAND(),0.12,0.1)),-2))</f>
        <v>35800</v>
      </c>
      <c r="E342" t="str">
        <f ca="1">IF(I342=1,IF(RAND()&lt;0.95,"Piped Water",F_Baseline_data!E342),F_Baseline_data!E342)</f>
        <v>Borehole</v>
      </c>
      <c r="F342">
        <f t="shared" ca="1" si="10"/>
        <v>50</v>
      </c>
      <c r="G342">
        <v>7.1</v>
      </c>
      <c r="H342">
        <f ca="1">MAX(0,ROUND(F_Baseline_data!H342+(F_Baseline_data!C342-5)*200+(D342-30000)*0.015+(F342-50)*15-IF(I342=1,1200,0)+_xlfn.NORM.INV(RAND(),0,2500),-2))</f>
        <v>1700</v>
      </c>
      <c r="I342">
        <v>0</v>
      </c>
      <c r="J342">
        <f>1</f>
        <v>1</v>
      </c>
      <c r="K342">
        <f>1</f>
        <v>1</v>
      </c>
      <c r="L342">
        <v>0</v>
      </c>
      <c r="M342">
        <f t="shared" ca="1" si="11"/>
        <v>0.90497188738879131</v>
      </c>
      <c r="N342">
        <v>0</v>
      </c>
      <c r="O342">
        <v>0</v>
      </c>
      <c r="P342">
        <v>0</v>
      </c>
    </row>
    <row r="343" spans="1:16" x14ac:dyDescent="0.3">
      <c r="A343" t="s">
        <v>451</v>
      </c>
      <c r="B343" t="s">
        <v>513</v>
      </c>
      <c r="C343">
        <f ca="1">IF(RAND()&lt;0.8,F_Baseline_data!C343,IF(RAND()&lt;0.85,F_Baseline_data!C343+1,IF(F_Baseline_data!C343&gt;3,C343-1,F_Baseline_data!C343)))</f>
        <v>5</v>
      </c>
      <c r="D343">
        <f ca="1">MAX(5000,ROUND(F_Baseline_data!D343*(1+_xlfn.NORM.INV(RAND(),0.12,0.1)),-2))</f>
        <v>50400</v>
      </c>
      <c r="E343" t="str">
        <f ca="1">IF(I343=1,IF(RAND()&lt;0.95,"Piped Water",F_Baseline_data!E343),F_Baseline_data!E343)</f>
        <v>River</v>
      </c>
      <c r="F343">
        <f t="shared" ca="1" si="10"/>
        <v>80</v>
      </c>
      <c r="G343">
        <v>12.8</v>
      </c>
      <c r="H343">
        <f ca="1">MAX(0,ROUND(F_Baseline_data!H343+(F_Baseline_data!C343-5)*200+(D343-30000)*0.015+(F343-50)*15-IF(I343=1,1200,0)+_xlfn.NORM.INV(RAND(),0,2500),-2))</f>
        <v>9700</v>
      </c>
      <c r="I343">
        <v>0</v>
      </c>
      <c r="J343">
        <f>1</f>
        <v>1</v>
      </c>
      <c r="K343">
        <f>1</f>
        <v>1</v>
      </c>
      <c r="L343">
        <v>0</v>
      </c>
      <c r="M343">
        <f t="shared" ca="1" si="11"/>
        <v>0.82697755157826414</v>
      </c>
      <c r="N343">
        <v>0</v>
      </c>
      <c r="O343">
        <v>0</v>
      </c>
      <c r="P343">
        <v>0</v>
      </c>
    </row>
    <row r="344" spans="1:16" x14ac:dyDescent="0.3">
      <c r="A344" t="s">
        <v>452</v>
      </c>
      <c r="B344" t="s">
        <v>65</v>
      </c>
      <c r="C344">
        <f ca="1">IF(RAND()&lt;0.8,F_Baseline_data!C344,IF(RAND()&lt;0.85,F_Baseline_data!C344+1,IF(F_Baseline_data!C344&gt;3,C344-1,F_Baseline_data!C344)))</f>
        <v>8</v>
      </c>
      <c r="D344">
        <f ca="1">MAX(5000,ROUND(F_Baseline_data!D344*(1+_xlfn.NORM.INV(RAND(),0.12,0.1)),-2))</f>
        <v>41400</v>
      </c>
      <c r="E344" t="str">
        <f ca="1">IF(I344=1,IF(RAND()&lt;0.95,"Piped Water",F_Baseline_data!E344),F_Baseline_data!E344)</f>
        <v>River</v>
      </c>
      <c r="F344">
        <f t="shared" ca="1" si="10"/>
        <v>78</v>
      </c>
      <c r="G344">
        <v>10</v>
      </c>
      <c r="H344">
        <f ca="1">MAX(0,ROUND(F_Baseline_data!H344+(F_Baseline_data!C344-5)*200+(D344-30000)*0.015+(F344-50)*15-IF(I344=1,1200,0)+_xlfn.NORM.INV(RAND(),0,2500),-2))</f>
        <v>6000</v>
      </c>
      <c r="I344">
        <v>0</v>
      </c>
      <c r="J344">
        <f>1</f>
        <v>1</v>
      </c>
      <c r="K344">
        <f>1</f>
        <v>1</v>
      </c>
      <c r="L344">
        <v>0</v>
      </c>
      <c r="M344">
        <f t="shared" ca="1" si="11"/>
        <v>0.43712696758658776</v>
      </c>
      <c r="N344">
        <v>0</v>
      </c>
      <c r="O344">
        <v>0</v>
      </c>
      <c r="P344">
        <v>0</v>
      </c>
    </row>
    <row r="345" spans="1:16" x14ac:dyDescent="0.3">
      <c r="A345" t="s">
        <v>453</v>
      </c>
      <c r="B345" t="s">
        <v>513</v>
      </c>
      <c r="C345">
        <f ca="1">IF(RAND()&lt;0.8,F_Baseline_data!C345,IF(RAND()&lt;0.85,F_Baseline_data!C345+1,IF(F_Baseline_data!C345&gt;3,C345-1,F_Baseline_data!C345)))</f>
        <v>10</v>
      </c>
      <c r="D345">
        <f ca="1">MAX(5000,ROUND(F_Baseline_data!D345*(1+_xlfn.NORM.INV(RAND(),0.12,0.1)),-2))</f>
        <v>68500</v>
      </c>
      <c r="E345" t="str">
        <f ca="1">IF(I345=1,IF(RAND()&lt;0.95,"Piped Water",F_Baseline_data!E345),F_Baseline_data!E345)</f>
        <v>Rainwater</v>
      </c>
      <c r="F345">
        <f t="shared" ca="1" si="10"/>
        <v>50</v>
      </c>
      <c r="G345">
        <v>6.2</v>
      </c>
      <c r="H345">
        <f ca="1">MAX(0,ROUND(F_Baseline_data!H345+(F_Baseline_data!C345-5)*200+(D345-30000)*0.015+(F345-50)*15-IF(I345=1,1200,0)+_xlfn.NORM.INV(RAND(),0,2500),-2))</f>
        <v>7900</v>
      </c>
      <c r="I345">
        <v>0</v>
      </c>
      <c r="J345">
        <f>1</f>
        <v>1</v>
      </c>
      <c r="K345">
        <f>1</f>
        <v>1</v>
      </c>
      <c r="L345">
        <v>0</v>
      </c>
      <c r="M345">
        <f t="shared" ca="1" si="11"/>
        <v>0.68335162970722185</v>
      </c>
      <c r="N345">
        <v>0</v>
      </c>
      <c r="O345">
        <v>0</v>
      </c>
      <c r="P345">
        <v>0</v>
      </c>
    </row>
    <row r="346" spans="1:16" x14ac:dyDescent="0.3">
      <c r="A346" t="s">
        <v>454</v>
      </c>
      <c r="B346" t="s">
        <v>62</v>
      </c>
      <c r="C346">
        <f ca="1">IF(RAND()&lt;0.8,F_Baseline_data!C346,IF(RAND()&lt;0.85,F_Baseline_data!C346+1,IF(F_Baseline_data!C346&gt;3,C346-1,F_Baseline_data!C346)))</f>
        <v>8</v>
      </c>
      <c r="D346">
        <f ca="1">MAX(5000,ROUND(F_Baseline_data!D346*(1+_xlfn.NORM.INV(RAND(),0.12,0.1)),-2))</f>
        <v>58900</v>
      </c>
      <c r="E346" t="str">
        <f ca="1">IF(I346=1,IF(RAND()&lt;0.95,"Piped Water",F_Baseline_data!E346),F_Baseline_data!E346)</f>
        <v>Rainwater</v>
      </c>
      <c r="F346">
        <f t="shared" ca="1" si="10"/>
        <v>18</v>
      </c>
      <c r="G346">
        <v>4.8</v>
      </c>
      <c r="H346">
        <f ca="1">MAX(0,ROUND(F_Baseline_data!H346+(F_Baseline_data!C346-5)*200+(D346-30000)*0.015+(F346-50)*15-IF(I346=1,1200,0)+_xlfn.NORM.INV(RAND(),0,2500),-2))</f>
        <v>2000</v>
      </c>
      <c r="I346">
        <v>0</v>
      </c>
      <c r="J346">
        <f>1</f>
        <v>1</v>
      </c>
      <c r="K346">
        <f>1</f>
        <v>1</v>
      </c>
      <c r="L346">
        <v>0</v>
      </c>
      <c r="M346">
        <f t="shared" ca="1" si="11"/>
        <v>0.73053283806639691</v>
      </c>
      <c r="N346">
        <v>0</v>
      </c>
      <c r="O346">
        <v>0</v>
      </c>
      <c r="P346">
        <v>0</v>
      </c>
    </row>
    <row r="347" spans="1:16" x14ac:dyDescent="0.3">
      <c r="A347" t="s">
        <v>455</v>
      </c>
      <c r="B347" t="s">
        <v>65</v>
      </c>
      <c r="C347">
        <f ca="1">IF(RAND()&lt;0.8,F_Baseline_data!C347,IF(RAND()&lt;0.85,F_Baseline_data!C347+1,IF(F_Baseline_data!C347&gt;3,C347-1,F_Baseline_data!C347)))</f>
        <v>4</v>
      </c>
      <c r="D347">
        <f ca="1">MAX(5000,ROUND(F_Baseline_data!D347*(1+_xlfn.NORM.INV(RAND(),0.12,0.1)),-2))</f>
        <v>27000</v>
      </c>
      <c r="E347" t="str">
        <f ca="1">IF(I347=1,IF(RAND()&lt;0.95,"Piped Water",F_Baseline_data!E347),F_Baseline_data!E347)</f>
        <v>Rainwater</v>
      </c>
      <c r="F347">
        <f t="shared" ca="1" si="10"/>
        <v>21</v>
      </c>
      <c r="G347">
        <v>13.9</v>
      </c>
      <c r="H347">
        <f ca="1">MAX(0,ROUND(F_Baseline_data!H347+(F_Baseline_data!C347-5)*200+(D347-30000)*0.015+(F347-50)*15-IF(I347=1,1200,0)+_xlfn.NORM.INV(RAND(),0,2500),-2))</f>
        <v>7600</v>
      </c>
      <c r="I347">
        <v>0</v>
      </c>
      <c r="J347">
        <f>1</f>
        <v>1</v>
      </c>
      <c r="K347">
        <f>1</f>
        <v>1</v>
      </c>
      <c r="L347">
        <v>0</v>
      </c>
      <c r="M347">
        <f t="shared" ca="1" si="11"/>
        <v>0.73150720839803629</v>
      </c>
      <c r="N347">
        <v>0</v>
      </c>
      <c r="O347">
        <v>0</v>
      </c>
      <c r="P347">
        <v>0</v>
      </c>
    </row>
    <row r="348" spans="1:16" x14ac:dyDescent="0.3">
      <c r="A348" t="s">
        <v>456</v>
      </c>
      <c r="B348" t="s">
        <v>513</v>
      </c>
      <c r="C348">
        <f ca="1">IF(RAND()&lt;0.8,F_Baseline_data!C348,IF(RAND()&lt;0.85,F_Baseline_data!C348+1,IF(F_Baseline_data!C348&gt;3,C348-1,F_Baseline_data!C348)))</f>
        <v>6</v>
      </c>
      <c r="D348">
        <f ca="1">MAX(5000,ROUND(F_Baseline_data!D348*(1+_xlfn.NORM.INV(RAND(),0.12,0.1)),-2))</f>
        <v>39900</v>
      </c>
      <c r="E348" t="str">
        <f ca="1">IF(I348=1,IF(RAND()&lt;0.95,"Piped Water",F_Baseline_data!E348),F_Baseline_data!E348)</f>
        <v>River</v>
      </c>
      <c r="F348">
        <f t="shared" ca="1" si="10"/>
        <v>115</v>
      </c>
      <c r="G348">
        <v>8.6</v>
      </c>
      <c r="H348">
        <f ca="1">MAX(0,ROUND(F_Baseline_data!H348+(F_Baseline_data!C348-5)*200+(D348-30000)*0.015+(F348-50)*15-IF(I348=1,1200,0)+_xlfn.NORM.INV(RAND(),0,2500),-2))</f>
        <v>5900</v>
      </c>
      <c r="I348">
        <v>0</v>
      </c>
      <c r="J348">
        <f>1</f>
        <v>1</v>
      </c>
      <c r="K348">
        <f>1</f>
        <v>1</v>
      </c>
      <c r="L348">
        <v>0</v>
      </c>
      <c r="M348">
        <f t="shared" ca="1" si="11"/>
        <v>4.2113727505890375E-2</v>
      </c>
      <c r="N348">
        <v>0</v>
      </c>
      <c r="O348">
        <v>0</v>
      </c>
      <c r="P348">
        <v>0</v>
      </c>
    </row>
    <row r="349" spans="1:16" x14ac:dyDescent="0.3">
      <c r="A349" t="s">
        <v>457</v>
      </c>
      <c r="B349" t="s">
        <v>62</v>
      </c>
      <c r="C349">
        <f ca="1">IF(RAND()&lt;0.8,F_Baseline_data!C349,IF(RAND()&lt;0.85,F_Baseline_data!C349+1,IF(F_Baseline_data!C349&gt;3,C349-1,F_Baseline_data!C349)))</f>
        <v>3</v>
      </c>
      <c r="D349">
        <f ca="1">MAX(5000,ROUND(F_Baseline_data!D349*(1+_xlfn.NORM.INV(RAND(),0.12,0.1)),-2))</f>
        <v>32800</v>
      </c>
      <c r="E349" t="str">
        <f ca="1">IF(I349=1,IF(RAND()&lt;0.95,"Piped Water",F_Baseline_data!E349),F_Baseline_data!E349)</f>
        <v>River</v>
      </c>
      <c r="F349">
        <f t="shared" ca="1" si="10"/>
        <v>58</v>
      </c>
      <c r="G349">
        <v>9.4</v>
      </c>
      <c r="H349">
        <f ca="1">MAX(0,ROUND(F_Baseline_data!H349+(F_Baseline_data!C349-5)*200+(D349-30000)*0.015+(F349-50)*15-IF(I349=1,1200,0)+_xlfn.NORM.INV(RAND(),0,2500),-2))</f>
        <v>11600</v>
      </c>
      <c r="I349">
        <v>0</v>
      </c>
      <c r="J349">
        <f>1</f>
        <v>1</v>
      </c>
      <c r="K349">
        <f>1</f>
        <v>1</v>
      </c>
      <c r="L349">
        <v>0</v>
      </c>
      <c r="M349">
        <f t="shared" ca="1" si="11"/>
        <v>0.5768808839099282</v>
      </c>
      <c r="N349">
        <v>0</v>
      </c>
      <c r="O349">
        <v>0</v>
      </c>
      <c r="P349">
        <v>0</v>
      </c>
    </row>
    <row r="350" spans="1:16" x14ac:dyDescent="0.3">
      <c r="A350" t="s">
        <v>458</v>
      </c>
      <c r="B350" t="s">
        <v>65</v>
      </c>
      <c r="C350">
        <f ca="1">IF(RAND()&lt;0.8,F_Baseline_data!C350,IF(RAND()&lt;0.85,F_Baseline_data!C350+1,IF(F_Baseline_data!C350&gt;3,C350-1,F_Baseline_data!C350)))</f>
        <v>7</v>
      </c>
      <c r="D350">
        <f ca="1">MAX(5000,ROUND(F_Baseline_data!D350*(1+_xlfn.NORM.INV(RAND(),0.12,0.1)),-2))</f>
        <v>28300</v>
      </c>
      <c r="E350" t="str">
        <f ca="1">IF(I350=1,IF(RAND()&lt;0.95,"Piped Water",F_Baseline_data!E350),F_Baseline_data!E350)</f>
        <v>Vendor</v>
      </c>
      <c r="F350">
        <f t="shared" ca="1" si="10"/>
        <v>54</v>
      </c>
      <c r="G350">
        <v>10.9</v>
      </c>
      <c r="H350">
        <f ca="1">MAX(0,ROUND(F_Baseline_data!H350+(F_Baseline_data!C350-5)*200+(D350-30000)*0.015+(F350-50)*15-IF(I350=1,1200,0)+_xlfn.NORM.INV(RAND(),0,2500),-2))</f>
        <v>8900</v>
      </c>
      <c r="I350">
        <v>0</v>
      </c>
      <c r="J350">
        <f>1</f>
        <v>1</v>
      </c>
      <c r="K350">
        <f>1</f>
        <v>1</v>
      </c>
      <c r="L350">
        <v>0</v>
      </c>
      <c r="M350">
        <f t="shared" ca="1" si="11"/>
        <v>0.34516689972876924</v>
      </c>
      <c r="N350">
        <v>0</v>
      </c>
      <c r="O350">
        <v>0</v>
      </c>
      <c r="P350">
        <v>0</v>
      </c>
    </row>
    <row r="351" spans="1:16" x14ac:dyDescent="0.3">
      <c r="A351" t="s">
        <v>459</v>
      </c>
      <c r="B351" t="s">
        <v>65</v>
      </c>
      <c r="C351">
        <f ca="1">IF(RAND()&lt;0.8,F_Baseline_data!C351,IF(RAND()&lt;0.85,F_Baseline_data!C351+1,IF(F_Baseline_data!C351&gt;3,C351-1,F_Baseline_data!C351)))</f>
        <v>6</v>
      </c>
      <c r="D351">
        <f ca="1">MAX(5000,ROUND(F_Baseline_data!D351*(1+_xlfn.NORM.INV(RAND(),0.12,0.1)),-2))</f>
        <v>33800</v>
      </c>
      <c r="E351" t="str">
        <f ca="1">IF(I351=1,IF(RAND()&lt;0.95,"Piped Water",F_Baseline_data!E351),F_Baseline_data!E351)</f>
        <v>Rainwater</v>
      </c>
      <c r="F351">
        <f t="shared" ca="1" si="10"/>
        <v>49</v>
      </c>
      <c r="G351">
        <v>12.2</v>
      </c>
      <c r="H351">
        <f ca="1">MAX(0,ROUND(F_Baseline_data!H351+(F_Baseline_data!C351-5)*200+(D351-30000)*0.015+(F351-50)*15-IF(I351=1,1200,0)+_xlfn.NORM.INV(RAND(),0,2500),-2))</f>
        <v>4500</v>
      </c>
      <c r="I351">
        <v>0</v>
      </c>
      <c r="J351">
        <f>1</f>
        <v>1</v>
      </c>
      <c r="K351">
        <f>1</f>
        <v>1</v>
      </c>
      <c r="L351">
        <v>0</v>
      </c>
      <c r="M351">
        <f t="shared" ca="1" si="11"/>
        <v>0.87386286312334061</v>
      </c>
      <c r="N351">
        <v>0</v>
      </c>
      <c r="O351">
        <v>0</v>
      </c>
      <c r="P351">
        <v>0</v>
      </c>
    </row>
    <row r="352" spans="1:16" x14ac:dyDescent="0.3">
      <c r="A352" t="s">
        <v>460</v>
      </c>
      <c r="B352" t="s">
        <v>65</v>
      </c>
      <c r="C352">
        <f ca="1">IF(RAND()&lt;0.8,F_Baseline_data!C352,IF(RAND()&lt;0.85,F_Baseline_data!C352+1,IF(F_Baseline_data!C352&gt;3,C352-1,F_Baseline_data!C352)))</f>
        <v>7</v>
      </c>
      <c r="D352">
        <f ca="1">MAX(5000,ROUND(F_Baseline_data!D352*(1+_xlfn.NORM.INV(RAND(),0.12,0.1)),-2))</f>
        <v>44600</v>
      </c>
      <c r="E352" t="str">
        <f ca="1">IF(I352=1,IF(RAND()&lt;0.95,"Piped Water",F_Baseline_data!E352),F_Baseline_data!E352)</f>
        <v>River</v>
      </c>
      <c r="F352">
        <f t="shared" ca="1" si="10"/>
        <v>105</v>
      </c>
      <c r="G352">
        <v>11.2</v>
      </c>
      <c r="H352">
        <f ca="1">MAX(0,ROUND(F_Baseline_data!H352+(F_Baseline_data!C352-5)*200+(D352-30000)*0.015+(F352-50)*15-IF(I352=1,1200,0)+_xlfn.NORM.INV(RAND(),0,2500),-2))</f>
        <v>10700</v>
      </c>
      <c r="I352">
        <v>0</v>
      </c>
      <c r="J352">
        <f>1</f>
        <v>1</v>
      </c>
      <c r="K352">
        <f>1</f>
        <v>1</v>
      </c>
      <c r="L352">
        <v>0</v>
      </c>
      <c r="M352">
        <f t="shared" ca="1" si="11"/>
        <v>0.94453492842682207</v>
      </c>
      <c r="N352">
        <v>0</v>
      </c>
      <c r="O352">
        <v>0</v>
      </c>
      <c r="P352">
        <v>0</v>
      </c>
    </row>
    <row r="353" spans="1:16" x14ac:dyDescent="0.3">
      <c r="A353" t="s">
        <v>461</v>
      </c>
      <c r="B353" t="s">
        <v>65</v>
      </c>
      <c r="C353">
        <f ca="1">IF(RAND()&lt;0.8,F_Baseline_data!C353,IF(RAND()&lt;0.85,F_Baseline_data!C353+1,IF(F_Baseline_data!C353&gt;3,C353-1,F_Baseline_data!C353)))</f>
        <v>7</v>
      </c>
      <c r="D353">
        <f ca="1">MAX(5000,ROUND(F_Baseline_data!D353*(1+_xlfn.NORM.INV(RAND(),0.12,0.1)),-2))</f>
        <v>39200</v>
      </c>
      <c r="E353" t="str">
        <f ca="1">IF(I353=1,IF(RAND()&lt;0.95,"Piped Water",F_Baseline_data!E353),F_Baseline_data!E353)</f>
        <v>Vendor</v>
      </c>
      <c r="F353">
        <f t="shared" ca="1" si="10"/>
        <v>54</v>
      </c>
      <c r="G353">
        <v>8.9</v>
      </c>
      <c r="H353">
        <f ca="1">MAX(0,ROUND(F_Baseline_data!H353+(F_Baseline_data!C353-5)*200+(D353-30000)*0.015+(F353-50)*15-IF(I353=1,1200,0)+_xlfn.NORM.INV(RAND(),0,2500),-2))</f>
        <v>7700</v>
      </c>
      <c r="I353">
        <v>0</v>
      </c>
      <c r="J353">
        <f>1</f>
        <v>1</v>
      </c>
      <c r="K353">
        <f>1</f>
        <v>1</v>
      </c>
      <c r="L353">
        <v>0</v>
      </c>
      <c r="M353">
        <f t="shared" ca="1" si="11"/>
        <v>0.6562589955325957</v>
      </c>
      <c r="N353">
        <v>0</v>
      </c>
      <c r="O353">
        <v>0</v>
      </c>
      <c r="P353">
        <v>0</v>
      </c>
    </row>
    <row r="354" spans="1:16" x14ac:dyDescent="0.3">
      <c r="A354" t="s">
        <v>462</v>
      </c>
      <c r="B354" t="s">
        <v>64</v>
      </c>
      <c r="C354">
        <f ca="1">IF(RAND()&lt;0.8,F_Baseline_data!C354,IF(RAND()&lt;0.85,F_Baseline_data!C354+1,IF(F_Baseline_data!C354&gt;3,C354-1,F_Baseline_data!C354)))</f>
        <v>10</v>
      </c>
      <c r="D354">
        <f ca="1">MAX(5000,ROUND(F_Baseline_data!D354*(1+_xlfn.NORM.INV(RAND(),0.12,0.1)),-2))</f>
        <v>86700</v>
      </c>
      <c r="E354" t="str">
        <f ca="1">IF(I354=1,IF(RAND()&lt;0.95,"Piped Water",F_Baseline_data!E354),F_Baseline_data!E354)</f>
        <v>Rainwater</v>
      </c>
      <c r="F354">
        <f t="shared" ca="1" si="10"/>
        <v>61</v>
      </c>
      <c r="G354">
        <v>5.8</v>
      </c>
      <c r="H354">
        <f ca="1">MAX(0,ROUND(F_Baseline_data!H354+(F_Baseline_data!C354-5)*200+(D354-30000)*0.015+(F354-50)*15-IF(I354=1,1200,0)+_xlfn.NORM.INV(RAND(),0,2500),-2))</f>
        <v>10700</v>
      </c>
      <c r="I354">
        <v>0</v>
      </c>
      <c r="J354">
        <f>1</f>
        <v>1</v>
      </c>
      <c r="K354">
        <f>1</f>
        <v>1</v>
      </c>
      <c r="L354">
        <v>0</v>
      </c>
      <c r="M354">
        <f t="shared" ca="1" si="11"/>
        <v>0.69867936927727869</v>
      </c>
      <c r="N354">
        <v>0</v>
      </c>
      <c r="O354">
        <v>0</v>
      </c>
      <c r="P354">
        <v>0</v>
      </c>
    </row>
    <row r="355" spans="1:16" x14ac:dyDescent="0.3">
      <c r="A355" t="s">
        <v>463</v>
      </c>
      <c r="B355" t="s">
        <v>62</v>
      </c>
      <c r="C355">
        <f ca="1">IF(RAND()&lt;0.8,F_Baseline_data!C355,IF(RAND()&lt;0.85,F_Baseline_data!C355+1,IF(F_Baseline_data!C355&gt;3,C355-1,F_Baseline_data!C355)))</f>
        <v>4</v>
      </c>
      <c r="D355">
        <f ca="1">MAX(5000,ROUND(F_Baseline_data!D355*(1+_xlfn.NORM.INV(RAND(),0.12,0.1)),-2))</f>
        <v>19100</v>
      </c>
      <c r="E355" t="str">
        <f ca="1">IF(I355=1,IF(RAND()&lt;0.95,"Piped Water",F_Baseline_data!E355),F_Baseline_data!E355)</f>
        <v>Rainwater</v>
      </c>
      <c r="F355">
        <f t="shared" ca="1" si="10"/>
        <v>65</v>
      </c>
      <c r="G355">
        <v>5</v>
      </c>
      <c r="H355">
        <f ca="1">MAX(0,ROUND(F_Baseline_data!H355+(F_Baseline_data!C355-5)*200+(D355-30000)*0.015+(F355-50)*15-IF(I355=1,1200,0)+_xlfn.NORM.INV(RAND(),0,2500),-2))</f>
        <v>2600</v>
      </c>
      <c r="I355">
        <v>0</v>
      </c>
      <c r="J355">
        <f>1</f>
        <v>1</v>
      </c>
      <c r="K355">
        <f>1</f>
        <v>1</v>
      </c>
      <c r="L355">
        <v>0</v>
      </c>
      <c r="M355">
        <f t="shared" ca="1" si="11"/>
        <v>0.49429456966212526</v>
      </c>
      <c r="N355">
        <v>0</v>
      </c>
      <c r="O355">
        <v>0</v>
      </c>
      <c r="P355">
        <v>0</v>
      </c>
    </row>
    <row r="356" spans="1:16" x14ac:dyDescent="0.3">
      <c r="A356" t="s">
        <v>464</v>
      </c>
      <c r="B356" t="s">
        <v>513</v>
      </c>
      <c r="C356">
        <f ca="1">IF(RAND()&lt;0.8,F_Baseline_data!C356,IF(RAND()&lt;0.85,F_Baseline_data!C356+1,IF(F_Baseline_data!C356&gt;3,C356-1,F_Baseline_data!C356)))</f>
        <v>9</v>
      </c>
      <c r="D356">
        <f ca="1">MAX(5000,ROUND(F_Baseline_data!D356*(1+_xlfn.NORM.INV(RAND(),0.12,0.1)),-2))</f>
        <v>52400</v>
      </c>
      <c r="E356" t="str">
        <f ca="1">IF(I356=1,IF(RAND()&lt;0.95,"Piped Water",F_Baseline_data!E356),F_Baseline_data!E356)</f>
        <v>River</v>
      </c>
      <c r="F356">
        <f t="shared" ca="1" si="10"/>
        <v>62</v>
      </c>
      <c r="G356">
        <v>11</v>
      </c>
      <c r="H356">
        <f ca="1">MAX(0,ROUND(F_Baseline_data!H356+(F_Baseline_data!C356-5)*200+(D356-30000)*0.015+(F356-50)*15-IF(I356=1,1200,0)+_xlfn.NORM.INV(RAND(),0,2500),-2))</f>
        <v>5600</v>
      </c>
      <c r="I356">
        <v>0</v>
      </c>
      <c r="J356">
        <f>1</f>
        <v>1</v>
      </c>
      <c r="K356">
        <f>1</f>
        <v>1</v>
      </c>
      <c r="L356">
        <v>0</v>
      </c>
      <c r="M356">
        <f t="shared" ca="1" si="11"/>
        <v>0.24391822983397415</v>
      </c>
      <c r="N356">
        <v>0</v>
      </c>
      <c r="O356">
        <v>0</v>
      </c>
      <c r="P356">
        <v>0</v>
      </c>
    </row>
    <row r="357" spans="1:16" x14ac:dyDescent="0.3">
      <c r="A357" t="s">
        <v>465</v>
      </c>
      <c r="B357" t="s">
        <v>65</v>
      </c>
      <c r="C357">
        <f ca="1">IF(RAND()&lt;0.8,F_Baseline_data!C357,IF(RAND()&lt;0.85,F_Baseline_data!C357+1,IF(F_Baseline_data!C357&gt;3,C357-1,F_Baseline_data!C357)))</f>
        <v>7</v>
      </c>
      <c r="D357">
        <f ca="1">MAX(5000,ROUND(F_Baseline_data!D357*(1+_xlfn.NORM.INV(RAND(),0.12,0.1)),-2))</f>
        <v>40300</v>
      </c>
      <c r="E357" t="str">
        <f ca="1">IF(I357=1,IF(RAND()&lt;0.95,"Piped Water",F_Baseline_data!E357),F_Baseline_data!E357)</f>
        <v>Vendor</v>
      </c>
      <c r="F357">
        <f t="shared" ca="1" si="10"/>
        <v>23</v>
      </c>
      <c r="G357">
        <v>9.9</v>
      </c>
      <c r="H357">
        <f ca="1">MAX(0,ROUND(F_Baseline_data!H357+(F_Baseline_data!C357-5)*200+(D357-30000)*0.015+(F357-50)*15-IF(I357=1,1200,0)+_xlfn.NORM.INV(RAND(),0,2500),-2))</f>
        <v>7200</v>
      </c>
      <c r="I357">
        <v>0</v>
      </c>
      <c r="J357">
        <f>1</f>
        <v>1</v>
      </c>
      <c r="K357">
        <f>1</f>
        <v>1</v>
      </c>
      <c r="L357">
        <v>0</v>
      </c>
      <c r="M357">
        <f t="shared" ca="1" si="11"/>
        <v>0.27896728710011154</v>
      </c>
      <c r="N357">
        <v>0</v>
      </c>
      <c r="O357">
        <v>0</v>
      </c>
      <c r="P357">
        <v>0</v>
      </c>
    </row>
    <row r="358" spans="1:16" x14ac:dyDescent="0.3">
      <c r="A358" t="s">
        <v>466</v>
      </c>
      <c r="B358" t="s">
        <v>64</v>
      </c>
      <c r="C358">
        <f ca="1">IF(RAND()&lt;0.8,F_Baseline_data!C358,IF(RAND()&lt;0.85,F_Baseline_data!C358+1,IF(F_Baseline_data!C358&gt;3,C358-1,F_Baseline_data!C358)))</f>
        <v>8</v>
      </c>
      <c r="D358">
        <f ca="1">MAX(5000,ROUND(F_Baseline_data!D358*(1+_xlfn.NORM.INV(RAND(),0.12,0.1)),-2))</f>
        <v>33000</v>
      </c>
      <c r="E358" t="str">
        <f ca="1">IF(I358=1,IF(RAND()&lt;0.95,"Piped Water",F_Baseline_data!E358),F_Baseline_data!E358)</f>
        <v>Vendor</v>
      </c>
      <c r="F358">
        <f t="shared" ca="1" si="10"/>
        <v>20</v>
      </c>
      <c r="G358">
        <v>5.5</v>
      </c>
      <c r="H358">
        <f ca="1">MAX(0,ROUND(F_Baseline_data!H358+(F_Baseline_data!C358-5)*200+(D358-30000)*0.015+(F358-50)*15-IF(I358=1,1200,0)+_xlfn.NORM.INV(RAND(),0,2500),-2))</f>
        <v>10800</v>
      </c>
      <c r="I358">
        <v>0</v>
      </c>
      <c r="J358">
        <f>1</f>
        <v>1</v>
      </c>
      <c r="K358">
        <f>1</f>
        <v>1</v>
      </c>
      <c r="L358">
        <v>0</v>
      </c>
      <c r="M358">
        <f t="shared" ca="1" si="11"/>
        <v>0.71275084958276758</v>
      </c>
      <c r="N358">
        <v>0</v>
      </c>
      <c r="O358">
        <v>0</v>
      </c>
      <c r="P358">
        <v>0</v>
      </c>
    </row>
    <row r="359" spans="1:16" x14ac:dyDescent="0.3">
      <c r="A359" t="s">
        <v>467</v>
      </c>
      <c r="B359" t="s">
        <v>64</v>
      </c>
      <c r="C359">
        <f ca="1">IF(RAND()&lt;0.8,F_Baseline_data!C359,IF(RAND()&lt;0.85,F_Baseline_data!C359+1,IF(F_Baseline_data!C359&gt;3,C359-1,F_Baseline_data!C359)))</f>
        <v>5</v>
      </c>
      <c r="D359">
        <f ca="1">MAX(5000,ROUND(F_Baseline_data!D359*(1+_xlfn.NORM.INV(RAND(),0.12,0.1)),-2))</f>
        <v>47900</v>
      </c>
      <c r="E359" t="str">
        <f ca="1">IF(I359=1,IF(RAND()&lt;0.95,"Piped Water",F_Baseline_data!E359),F_Baseline_data!E359)</f>
        <v>Borehole</v>
      </c>
      <c r="F359">
        <f t="shared" ca="1" si="10"/>
        <v>73</v>
      </c>
      <c r="G359">
        <v>3.4</v>
      </c>
      <c r="H359">
        <f ca="1">MAX(0,ROUND(F_Baseline_data!H359+(F_Baseline_data!C359-5)*200+(D359-30000)*0.015+(F359-50)*15-IF(I359=1,1200,0)+_xlfn.NORM.INV(RAND(),0,2500),-2))</f>
        <v>5500</v>
      </c>
      <c r="I359">
        <v>0</v>
      </c>
      <c r="J359">
        <f>1</f>
        <v>1</v>
      </c>
      <c r="K359">
        <f>1</f>
        <v>1</v>
      </c>
      <c r="L359">
        <v>0</v>
      </c>
      <c r="M359">
        <f t="shared" ca="1" si="11"/>
        <v>0.61481404537201478</v>
      </c>
      <c r="N359">
        <v>0</v>
      </c>
      <c r="O359">
        <v>0</v>
      </c>
      <c r="P359">
        <v>0</v>
      </c>
    </row>
    <row r="360" spans="1:16" x14ac:dyDescent="0.3">
      <c r="A360" t="s">
        <v>468</v>
      </c>
      <c r="B360" t="s">
        <v>62</v>
      </c>
      <c r="C360">
        <f ca="1">IF(RAND()&lt;0.8,F_Baseline_data!C360,IF(RAND()&lt;0.85,F_Baseline_data!C360+1,IF(F_Baseline_data!C360&gt;3,C360-1,F_Baseline_data!C360)))</f>
        <v>7</v>
      </c>
      <c r="D360">
        <f ca="1">MAX(5000,ROUND(F_Baseline_data!D360*(1+_xlfn.NORM.INV(RAND(),0.12,0.1)),-2))</f>
        <v>111600</v>
      </c>
      <c r="E360" t="str">
        <f ca="1">IF(I360=1,IF(RAND()&lt;0.95,"Piped Water",F_Baseline_data!E360),F_Baseline_data!E360)</f>
        <v>Borehole</v>
      </c>
      <c r="F360">
        <f t="shared" ca="1" si="10"/>
        <v>41</v>
      </c>
      <c r="G360">
        <v>5.4</v>
      </c>
      <c r="H360">
        <f ca="1">MAX(0,ROUND(F_Baseline_data!H360+(F_Baseline_data!C360-5)*200+(D360-30000)*0.015+(F360-50)*15-IF(I360=1,1200,0)+_xlfn.NORM.INV(RAND(),0,2500),-2))</f>
        <v>9000</v>
      </c>
      <c r="I360">
        <v>0</v>
      </c>
      <c r="J360">
        <f>1</f>
        <v>1</v>
      </c>
      <c r="K360">
        <f>1</f>
        <v>1</v>
      </c>
      <c r="L360">
        <v>0</v>
      </c>
      <c r="M360">
        <f t="shared" ca="1" si="11"/>
        <v>0.87498871622129448</v>
      </c>
      <c r="N360">
        <v>0</v>
      </c>
      <c r="O360">
        <v>0</v>
      </c>
      <c r="P360">
        <v>0</v>
      </c>
    </row>
    <row r="361" spans="1:16" x14ac:dyDescent="0.3">
      <c r="A361" t="s">
        <v>469</v>
      </c>
      <c r="B361" t="s">
        <v>62</v>
      </c>
      <c r="C361">
        <f ca="1">IF(RAND()&lt;0.8,F_Baseline_data!C361,IF(RAND()&lt;0.85,F_Baseline_data!C361+1,IF(F_Baseline_data!C361&gt;3,C361-1,F_Baseline_data!C361)))</f>
        <v>1</v>
      </c>
      <c r="D361">
        <f ca="1">MAX(5000,ROUND(F_Baseline_data!D361*(1+_xlfn.NORM.INV(RAND(),0.12,0.1)),-2))</f>
        <v>32800</v>
      </c>
      <c r="E361" t="str">
        <f ca="1">IF(I361=1,IF(RAND()&lt;0.95,"Piped Water",F_Baseline_data!E361),F_Baseline_data!E361)</f>
        <v>Rainwater</v>
      </c>
      <c r="F361">
        <f t="shared" ca="1" si="10"/>
        <v>26</v>
      </c>
      <c r="G361">
        <v>5.4</v>
      </c>
      <c r="H361">
        <f ca="1">MAX(0,ROUND(F_Baseline_data!H361+(F_Baseline_data!C361-5)*200+(D361-30000)*0.015+(F361-50)*15-IF(I361=1,1200,0)+_xlfn.NORM.INV(RAND(),0,2500),-2))</f>
        <v>6500</v>
      </c>
      <c r="I361">
        <v>0</v>
      </c>
      <c r="J361">
        <f>1</f>
        <v>1</v>
      </c>
      <c r="K361">
        <f>1</f>
        <v>1</v>
      </c>
      <c r="L361">
        <v>0</v>
      </c>
      <c r="M361">
        <f t="shared" ca="1" si="11"/>
        <v>1.7953202929788414E-2</v>
      </c>
      <c r="N361">
        <v>0</v>
      </c>
      <c r="O361">
        <v>0</v>
      </c>
      <c r="P361">
        <v>0</v>
      </c>
    </row>
    <row r="362" spans="1:16" x14ac:dyDescent="0.3">
      <c r="A362" t="s">
        <v>470</v>
      </c>
      <c r="B362" t="s">
        <v>64</v>
      </c>
      <c r="C362">
        <f ca="1">IF(RAND()&lt;0.8,F_Baseline_data!C362,IF(RAND()&lt;0.85,F_Baseline_data!C362+1,IF(F_Baseline_data!C362&gt;3,C362-1,F_Baseline_data!C362)))</f>
        <v>5</v>
      </c>
      <c r="D362">
        <f ca="1">MAX(5000,ROUND(F_Baseline_data!D362*(1+_xlfn.NORM.INV(RAND(),0.12,0.1)),-2))</f>
        <v>47200</v>
      </c>
      <c r="E362" t="str">
        <f ca="1">IF(I362=1,IF(RAND()&lt;0.95,"Piped Water",F_Baseline_data!E362),F_Baseline_data!E362)</f>
        <v>Borehole</v>
      </c>
      <c r="F362">
        <f t="shared" ca="1" si="10"/>
        <v>71</v>
      </c>
      <c r="G362">
        <v>8</v>
      </c>
      <c r="H362">
        <f ca="1">MAX(0,ROUND(F_Baseline_data!H362+(F_Baseline_data!C362-5)*200+(D362-30000)*0.015+(F362-50)*15-IF(I362=1,1200,0)+_xlfn.NORM.INV(RAND(),0,2500),-2))</f>
        <v>3900</v>
      </c>
      <c r="I362">
        <v>0</v>
      </c>
      <c r="J362">
        <f>1</f>
        <v>1</v>
      </c>
      <c r="K362">
        <f>1</f>
        <v>1</v>
      </c>
      <c r="L362">
        <v>0</v>
      </c>
      <c r="M362">
        <f t="shared" ca="1" si="11"/>
        <v>0.32450692878335785</v>
      </c>
      <c r="N362">
        <v>0</v>
      </c>
      <c r="O362">
        <v>0</v>
      </c>
      <c r="P362">
        <v>0</v>
      </c>
    </row>
    <row r="363" spans="1:16" x14ac:dyDescent="0.3">
      <c r="A363" t="s">
        <v>471</v>
      </c>
      <c r="B363" t="s">
        <v>62</v>
      </c>
      <c r="C363">
        <f ca="1">IF(RAND()&lt;0.8,F_Baseline_data!C363,IF(RAND()&lt;0.85,F_Baseline_data!C363+1,IF(F_Baseline_data!C363&gt;3,C363-1,F_Baseline_data!C363)))</f>
        <v>7</v>
      </c>
      <c r="D363">
        <f ca="1">MAX(5000,ROUND(F_Baseline_data!D363*(1+_xlfn.NORM.INV(RAND(),0.12,0.1)),-2))</f>
        <v>47700</v>
      </c>
      <c r="E363" t="str">
        <f ca="1">IF(I363=1,IF(RAND()&lt;0.95,"Piped Water",F_Baseline_data!E363),F_Baseline_data!E363)</f>
        <v>Borehole</v>
      </c>
      <c r="F363">
        <f t="shared" ca="1" si="10"/>
        <v>35</v>
      </c>
      <c r="G363">
        <v>7.4</v>
      </c>
      <c r="H363">
        <f ca="1">MAX(0,ROUND(F_Baseline_data!H363+(F_Baseline_data!C363-5)*200+(D363-30000)*0.015+(F363-50)*15-IF(I363=1,1200,0)+_xlfn.NORM.INV(RAND(),0,2500),-2))</f>
        <v>4200</v>
      </c>
      <c r="I363">
        <v>0</v>
      </c>
      <c r="J363">
        <f>1</f>
        <v>1</v>
      </c>
      <c r="K363">
        <f>1</f>
        <v>1</v>
      </c>
      <c r="L363">
        <v>0</v>
      </c>
      <c r="M363">
        <f t="shared" ca="1" si="11"/>
        <v>0.85929674557765912</v>
      </c>
      <c r="N363">
        <v>0</v>
      </c>
      <c r="O363">
        <v>0</v>
      </c>
      <c r="P363">
        <v>0</v>
      </c>
    </row>
    <row r="364" spans="1:16" x14ac:dyDescent="0.3">
      <c r="A364" t="s">
        <v>472</v>
      </c>
      <c r="B364" t="s">
        <v>513</v>
      </c>
      <c r="C364">
        <f ca="1">IF(RAND()&lt;0.8,F_Baseline_data!C364,IF(RAND()&lt;0.85,F_Baseline_data!C364+1,IF(F_Baseline_data!C364&gt;3,C364-1,F_Baseline_data!C364)))</f>
        <v>5</v>
      </c>
      <c r="D364">
        <f ca="1">MAX(5000,ROUND(F_Baseline_data!D364*(1+_xlfn.NORM.INV(RAND(),0.12,0.1)),-2))</f>
        <v>21000</v>
      </c>
      <c r="E364" t="str">
        <f ca="1">IF(I364=1,IF(RAND()&lt;0.95,"Piped Water",F_Baseline_data!E364),F_Baseline_data!E364)</f>
        <v>River</v>
      </c>
      <c r="F364">
        <f t="shared" ca="1" si="10"/>
        <v>113</v>
      </c>
      <c r="G364">
        <v>11.9</v>
      </c>
      <c r="H364">
        <f ca="1">MAX(0,ROUND(F_Baseline_data!H364+(F_Baseline_data!C364-5)*200+(D364-30000)*0.015+(F364-50)*15-IF(I364=1,1200,0)+_xlfn.NORM.INV(RAND(),0,2500),-2))</f>
        <v>8200</v>
      </c>
      <c r="I364">
        <v>0</v>
      </c>
      <c r="J364">
        <f>1</f>
        <v>1</v>
      </c>
      <c r="K364">
        <f>1</f>
        <v>1</v>
      </c>
      <c r="L364">
        <v>0</v>
      </c>
      <c r="M364">
        <f t="shared" ca="1" si="11"/>
        <v>0.40405281842555041</v>
      </c>
      <c r="N364">
        <v>0</v>
      </c>
      <c r="O364">
        <v>0</v>
      </c>
      <c r="P364">
        <v>0</v>
      </c>
    </row>
    <row r="365" spans="1:16" x14ac:dyDescent="0.3">
      <c r="A365" t="s">
        <v>473</v>
      </c>
      <c r="B365" t="s">
        <v>65</v>
      </c>
      <c r="C365">
        <f ca="1">IF(RAND()&lt;0.8,F_Baseline_data!C365,IF(RAND()&lt;0.85,F_Baseline_data!C365+1,IF(F_Baseline_data!C365&gt;3,C365-1,F_Baseline_data!C365)))</f>
        <v>9</v>
      </c>
      <c r="D365">
        <f ca="1">MAX(5000,ROUND(F_Baseline_data!D365*(1+_xlfn.NORM.INV(RAND(),0.12,0.1)),-2))</f>
        <v>26000</v>
      </c>
      <c r="E365" t="str">
        <f ca="1">IF(I365=1,IF(RAND()&lt;0.95,"Piped Water",F_Baseline_data!E365),F_Baseline_data!E365)</f>
        <v>Rainwater</v>
      </c>
      <c r="F365">
        <f t="shared" ca="1" si="10"/>
        <v>35</v>
      </c>
      <c r="G365">
        <v>1.3</v>
      </c>
      <c r="H365">
        <f ca="1">MAX(0,ROUND(F_Baseline_data!H365+(F_Baseline_data!C365-5)*200+(D365-30000)*0.015+(F365-50)*15-IF(I365=1,1200,0)+_xlfn.NORM.INV(RAND(),0,2500),-2))</f>
        <v>8100</v>
      </c>
      <c r="I365">
        <v>0</v>
      </c>
      <c r="J365">
        <f>1</f>
        <v>1</v>
      </c>
      <c r="K365">
        <f>1</f>
        <v>1</v>
      </c>
      <c r="L365">
        <v>0</v>
      </c>
      <c r="M365">
        <f t="shared" ca="1" si="11"/>
        <v>0.88234003532737915</v>
      </c>
      <c r="N365">
        <v>0</v>
      </c>
      <c r="O365">
        <v>0</v>
      </c>
      <c r="P365">
        <v>0</v>
      </c>
    </row>
    <row r="366" spans="1:16" x14ac:dyDescent="0.3">
      <c r="A366" t="s">
        <v>474</v>
      </c>
      <c r="B366" t="s">
        <v>62</v>
      </c>
      <c r="C366">
        <f ca="1">IF(RAND()&lt;0.8,F_Baseline_data!C366,IF(RAND()&lt;0.85,F_Baseline_data!C366+1,IF(F_Baseline_data!C366&gt;3,C366-1,F_Baseline_data!C366)))</f>
        <v>8</v>
      </c>
      <c r="D366">
        <f ca="1">MAX(5000,ROUND(F_Baseline_data!D366*(1+_xlfn.NORM.INV(RAND(),0.12,0.1)),-2))</f>
        <v>79700</v>
      </c>
      <c r="E366" t="str">
        <f ca="1">IF(I366=1,IF(RAND()&lt;0.95,"Piped Water",F_Baseline_data!E366),F_Baseline_data!E366)</f>
        <v>River</v>
      </c>
      <c r="F366">
        <f t="shared" ca="1" si="10"/>
        <v>108</v>
      </c>
      <c r="G366">
        <v>1</v>
      </c>
      <c r="H366">
        <f ca="1">MAX(0,ROUND(F_Baseline_data!H366+(F_Baseline_data!C366-5)*200+(D366-30000)*0.015+(F366-50)*15-IF(I366=1,1200,0)+_xlfn.NORM.INV(RAND(),0,2500),-2))</f>
        <v>6500</v>
      </c>
      <c r="I366">
        <v>0</v>
      </c>
      <c r="J366">
        <f>1</f>
        <v>1</v>
      </c>
      <c r="K366">
        <f>1</f>
        <v>1</v>
      </c>
      <c r="L366">
        <v>0</v>
      </c>
      <c r="M366">
        <f t="shared" ca="1" si="11"/>
        <v>0.70344229415407955</v>
      </c>
      <c r="N366">
        <v>0</v>
      </c>
      <c r="O366">
        <v>0</v>
      </c>
      <c r="P366">
        <v>0</v>
      </c>
    </row>
    <row r="367" spans="1:16" x14ac:dyDescent="0.3">
      <c r="A367" t="s">
        <v>475</v>
      </c>
      <c r="B367" t="s">
        <v>64</v>
      </c>
      <c r="C367">
        <f ca="1">IF(RAND()&lt;0.8,F_Baseline_data!C367,IF(RAND()&lt;0.85,F_Baseline_data!C367+1,IF(F_Baseline_data!C367&gt;3,C367-1,F_Baseline_data!C367)))</f>
        <v>2</v>
      </c>
      <c r="D367">
        <f ca="1">MAX(5000,ROUND(F_Baseline_data!D367*(1+_xlfn.NORM.INV(RAND(),0.12,0.1)),-2))</f>
        <v>50500</v>
      </c>
      <c r="E367" t="str">
        <f ca="1">IF(I367=1,IF(RAND()&lt;0.95,"Piped Water",F_Baseline_data!E367),F_Baseline_data!E367)</f>
        <v>Vendor</v>
      </c>
      <c r="F367">
        <f t="shared" ca="1" si="10"/>
        <v>23</v>
      </c>
      <c r="G367">
        <v>11.3</v>
      </c>
      <c r="H367">
        <f ca="1">MAX(0,ROUND(F_Baseline_data!H367+(F_Baseline_data!C367-5)*200+(D367-30000)*0.015+(F367-50)*15-IF(I367=1,1200,0)+_xlfn.NORM.INV(RAND(),0,2500),-2))</f>
        <v>4300</v>
      </c>
      <c r="I367">
        <v>0</v>
      </c>
      <c r="J367">
        <f>1</f>
        <v>1</v>
      </c>
      <c r="K367">
        <f>1</f>
        <v>1</v>
      </c>
      <c r="L367">
        <v>0</v>
      </c>
      <c r="M367">
        <f t="shared" ca="1" si="11"/>
        <v>0.18472316584988591</v>
      </c>
      <c r="N367">
        <v>0</v>
      </c>
      <c r="O367">
        <v>0</v>
      </c>
      <c r="P367">
        <v>0</v>
      </c>
    </row>
    <row r="368" spans="1:16" x14ac:dyDescent="0.3">
      <c r="A368" t="s">
        <v>476</v>
      </c>
      <c r="B368" t="s">
        <v>64</v>
      </c>
      <c r="C368">
        <f ca="1">IF(RAND()&lt;0.8,F_Baseline_data!C368,IF(RAND()&lt;0.85,F_Baseline_data!C368+1,IF(F_Baseline_data!C368&gt;3,C368-1,F_Baseline_data!C368)))</f>
        <v>1</v>
      </c>
      <c r="D368">
        <f ca="1">MAX(5000,ROUND(F_Baseline_data!D368*(1+_xlfn.NORM.INV(RAND(),0.12,0.1)),-2))</f>
        <v>18500</v>
      </c>
      <c r="E368" t="str">
        <f ca="1">IF(I368=1,IF(RAND()&lt;0.95,"Piped Water",F_Baseline_data!E368),F_Baseline_data!E368)</f>
        <v>River</v>
      </c>
      <c r="F368">
        <f t="shared" ca="1" si="10"/>
        <v>55</v>
      </c>
      <c r="G368">
        <v>7.7</v>
      </c>
      <c r="H368">
        <f ca="1">MAX(0,ROUND(F_Baseline_data!H368+(F_Baseline_data!C368-5)*200+(D368-30000)*0.015+(F368-50)*15-IF(I368=1,1200,0)+_xlfn.NORM.INV(RAND(),0,2500),-2))</f>
        <v>9900</v>
      </c>
      <c r="I368">
        <v>0</v>
      </c>
      <c r="J368">
        <f>1</f>
        <v>1</v>
      </c>
      <c r="K368">
        <f>1</f>
        <v>1</v>
      </c>
      <c r="L368">
        <v>0</v>
      </c>
      <c r="M368">
        <f t="shared" ca="1" si="11"/>
        <v>0.94778923794391257</v>
      </c>
      <c r="N368">
        <v>0</v>
      </c>
      <c r="O368">
        <v>0</v>
      </c>
      <c r="P368">
        <v>0</v>
      </c>
    </row>
    <row r="369" spans="1:16" x14ac:dyDescent="0.3">
      <c r="A369" t="s">
        <v>477</v>
      </c>
      <c r="B369" t="s">
        <v>65</v>
      </c>
      <c r="C369">
        <f ca="1">IF(RAND()&lt;0.8,F_Baseline_data!C369,IF(RAND()&lt;0.85,F_Baseline_data!C369+1,IF(F_Baseline_data!C369&gt;3,C369-1,F_Baseline_data!C369)))</f>
        <v>3</v>
      </c>
      <c r="D369">
        <f ca="1">MAX(5000,ROUND(F_Baseline_data!D369*(1+_xlfn.NORM.INV(RAND(),0.12,0.1)),-2))</f>
        <v>52400</v>
      </c>
      <c r="E369" t="str">
        <f ca="1">IF(I369=1,IF(RAND()&lt;0.95,"Piped Water",F_Baseline_data!E369),F_Baseline_data!E369)</f>
        <v>Rainwater</v>
      </c>
      <c r="F369">
        <f t="shared" ca="1" si="10"/>
        <v>39</v>
      </c>
      <c r="G369">
        <v>6.5</v>
      </c>
      <c r="H369">
        <f ca="1">MAX(0,ROUND(F_Baseline_data!H369+(F_Baseline_data!C369-5)*200+(D369-30000)*0.015+(F369-50)*15-IF(I369=1,1200,0)+_xlfn.NORM.INV(RAND(),0,2500),-2))</f>
        <v>0</v>
      </c>
      <c r="I369">
        <v>0</v>
      </c>
      <c r="J369">
        <f>1</f>
        <v>1</v>
      </c>
      <c r="K369">
        <f>1</f>
        <v>1</v>
      </c>
      <c r="L369">
        <v>0</v>
      </c>
      <c r="M369">
        <f t="shared" ca="1" si="11"/>
        <v>0.24287442029901174</v>
      </c>
      <c r="N369">
        <v>0</v>
      </c>
      <c r="O369">
        <v>0</v>
      </c>
      <c r="P369">
        <v>0</v>
      </c>
    </row>
    <row r="370" spans="1:16" x14ac:dyDescent="0.3">
      <c r="A370" t="s">
        <v>478</v>
      </c>
      <c r="B370" t="s">
        <v>65</v>
      </c>
      <c r="C370">
        <f ca="1">IF(RAND()&lt;0.8,F_Baseline_data!C370,IF(RAND()&lt;0.85,F_Baseline_data!C370+1,IF(F_Baseline_data!C370&gt;3,C370-1,F_Baseline_data!C370)))</f>
        <v>8</v>
      </c>
      <c r="D370">
        <f ca="1">MAX(5000,ROUND(F_Baseline_data!D370*(1+_xlfn.NORM.INV(RAND(),0.12,0.1)),-2))</f>
        <v>30200</v>
      </c>
      <c r="E370" t="str">
        <f ca="1">IF(I370=1,IF(RAND()&lt;0.95,"Piped Water",F_Baseline_data!E370),F_Baseline_data!E370)</f>
        <v>Rainwater</v>
      </c>
      <c r="F370">
        <f t="shared" ca="1" si="10"/>
        <v>29</v>
      </c>
      <c r="G370">
        <v>2.5</v>
      </c>
      <c r="H370">
        <f ca="1">MAX(0,ROUND(F_Baseline_data!H370+(F_Baseline_data!C370-5)*200+(D370-30000)*0.015+(F370-50)*15-IF(I370=1,1200,0)+_xlfn.NORM.INV(RAND(),0,2500),-2))</f>
        <v>9200</v>
      </c>
      <c r="I370">
        <v>0</v>
      </c>
      <c r="J370">
        <f>1</f>
        <v>1</v>
      </c>
      <c r="K370">
        <f>1</f>
        <v>1</v>
      </c>
      <c r="L370">
        <v>0</v>
      </c>
      <c r="M370">
        <f t="shared" ca="1" si="11"/>
        <v>0.80541445815630974</v>
      </c>
      <c r="N370">
        <v>0</v>
      </c>
      <c r="O370">
        <v>0</v>
      </c>
      <c r="P370">
        <v>0</v>
      </c>
    </row>
    <row r="371" spans="1:16" x14ac:dyDescent="0.3">
      <c r="A371" t="s">
        <v>479</v>
      </c>
      <c r="B371" t="s">
        <v>513</v>
      </c>
      <c r="C371">
        <f ca="1">IF(RAND()&lt;0.8,F_Baseline_data!C371,IF(RAND()&lt;0.85,F_Baseline_data!C371+1,IF(F_Baseline_data!C371&gt;3,C371-1,F_Baseline_data!C371)))</f>
        <v>4</v>
      </c>
      <c r="D371">
        <f ca="1">MAX(5000,ROUND(F_Baseline_data!D371*(1+_xlfn.NORM.INV(RAND(),0.12,0.1)),-2))</f>
        <v>76800</v>
      </c>
      <c r="E371" t="str">
        <f ca="1">IF(I371=1,IF(RAND()&lt;0.95,"Piped Water",F_Baseline_data!E371),F_Baseline_data!E371)</f>
        <v>Borehole</v>
      </c>
      <c r="F371">
        <f t="shared" ca="1" si="10"/>
        <v>57</v>
      </c>
      <c r="G371">
        <v>7.2</v>
      </c>
      <c r="H371">
        <f ca="1">MAX(0,ROUND(F_Baseline_data!H371+(F_Baseline_data!C371-5)*200+(D371-30000)*0.015+(F371-50)*15-IF(I371=1,1200,0)+_xlfn.NORM.INV(RAND(),0,2500),-2))</f>
        <v>9000</v>
      </c>
      <c r="I371">
        <v>0</v>
      </c>
      <c r="J371">
        <f>1</f>
        <v>1</v>
      </c>
      <c r="K371">
        <f>1</f>
        <v>1</v>
      </c>
      <c r="L371">
        <v>0</v>
      </c>
      <c r="M371">
        <f t="shared" ca="1" si="11"/>
        <v>0.58904543848586299</v>
      </c>
      <c r="N371">
        <v>0</v>
      </c>
      <c r="O371">
        <v>0</v>
      </c>
      <c r="P371">
        <v>0</v>
      </c>
    </row>
    <row r="372" spans="1:16" x14ac:dyDescent="0.3">
      <c r="A372" t="s">
        <v>480</v>
      </c>
      <c r="B372" t="s">
        <v>65</v>
      </c>
      <c r="C372">
        <f ca="1">IF(RAND()&lt;0.8,F_Baseline_data!C372,IF(RAND()&lt;0.85,F_Baseline_data!C372+1,IF(F_Baseline_data!C372&gt;3,C372-1,F_Baseline_data!C372)))</f>
        <v>8</v>
      </c>
      <c r="D372">
        <f ca="1">MAX(5000,ROUND(F_Baseline_data!D372*(1+_xlfn.NORM.INV(RAND(),0.12,0.1)),-2))</f>
        <v>46700</v>
      </c>
      <c r="E372" t="str">
        <f ca="1">IF(I372=1,IF(RAND()&lt;0.95,"Piped Water",F_Baseline_data!E372),F_Baseline_data!E372)</f>
        <v>Rainwater</v>
      </c>
      <c r="F372">
        <f t="shared" ca="1" si="10"/>
        <v>44</v>
      </c>
      <c r="G372">
        <v>4.8</v>
      </c>
      <c r="H372">
        <f ca="1">MAX(0,ROUND(F_Baseline_data!H372+(F_Baseline_data!C372-5)*200+(D372-30000)*0.015+(F372-50)*15-IF(I372=1,1200,0)+_xlfn.NORM.INV(RAND(),0,2500),-2))</f>
        <v>5700</v>
      </c>
      <c r="I372">
        <v>0</v>
      </c>
      <c r="J372">
        <f>1</f>
        <v>1</v>
      </c>
      <c r="K372">
        <f>1</f>
        <v>1</v>
      </c>
      <c r="L372">
        <v>0</v>
      </c>
      <c r="M372">
        <f t="shared" ca="1" si="11"/>
        <v>0.76513086688574705</v>
      </c>
      <c r="N372">
        <v>0</v>
      </c>
      <c r="O372">
        <v>0</v>
      </c>
      <c r="P372">
        <v>0</v>
      </c>
    </row>
    <row r="373" spans="1:16" x14ac:dyDescent="0.3">
      <c r="A373" t="s">
        <v>481</v>
      </c>
      <c r="B373" t="s">
        <v>513</v>
      </c>
      <c r="C373">
        <f ca="1">IF(RAND()&lt;0.8,F_Baseline_data!C373,IF(RAND()&lt;0.85,F_Baseline_data!C373+1,IF(F_Baseline_data!C373&gt;3,C373-1,F_Baseline_data!C373)))</f>
        <v>4</v>
      </c>
      <c r="D373">
        <f ca="1">MAX(5000,ROUND(F_Baseline_data!D373*(1+_xlfn.NORM.INV(RAND(),0.12,0.1)),-2))</f>
        <v>61900</v>
      </c>
      <c r="E373" t="str">
        <f ca="1">IF(I373=1,IF(RAND()&lt;0.95,"Piped Water",F_Baseline_data!E373),F_Baseline_data!E373)</f>
        <v>Vendor</v>
      </c>
      <c r="F373">
        <f t="shared" ca="1" si="10"/>
        <v>14</v>
      </c>
      <c r="G373">
        <v>5</v>
      </c>
      <c r="H373">
        <f ca="1">MAX(0,ROUND(F_Baseline_data!H373+(F_Baseline_data!C373-5)*200+(D373-30000)*0.015+(F373-50)*15-IF(I373=1,1200,0)+_xlfn.NORM.INV(RAND(),0,2500),-2))</f>
        <v>7200</v>
      </c>
      <c r="I373">
        <v>0</v>
      </c>
      <c r="J373">
        <f>1</f>
        <v>1</v>
      </c>
      <c r="K373">
        <f>1</f>
        <v>1</v>
      </c>
      <c r="L373">
        <v>0</v>
      </c>
      <c r="M373">
        <f t="shared" ca="1" si="11"/>
        <v>2.5584652714710776E-3</v>
      </c>
      <c r="N373">
        <v>0</v>
      </c>
      <c r="O373">
        <v>0</v>
      </c>
      <c r="P373">
        <v>0</v>
      </c>
    </row>
    <row r="374" spans="1:16" x14ac:dyDescent="0.3">
      <c r="A374" t="s">
        <v>482</v>
      </c>
      <c r="B374" t="s">
        <v>64</v>
      </c>
      <c r="C374">
        <f ca="1">IF(RAND()&lt;0.8,F_Baseline_data!C374,IF(RAND()&lt;0.85,F_Baseline_data!C374+1,IF(F_Baseline_data!C374&gt;3,C374-1,F_Baseline_data!C374)))</f>
        <v>9</v>
      </c>
      <c r="D374">
        <f ca="1">MAX(5000,ROUND(F_Baseline_data!D374*(1+_xlfn.NORM.INV(RAND(),0.12,0.1)),-2))</f>
        <v>45600</v>
      </c>
      <c r="E374" t="str">
        <f ca="1">IF(I374=1,IF(RAND()&lt;0.95,"Piped Water",F_Baseline_data!E374),F_Baseline_data!E374)</f>
        <v>Borehole</v>
      </c>
      <c r="F374">
        <f t="shared" ca="1" si="10"/>
        <v>60</v>
      </c>
      <c r="G374">
        <v>4.0999999999999996</v>
      </c>
      <c r="H374">
        <f ca="1">MAX(0,ROUND(F_Baseline_data!H374+(F_Baseline_data!C374-5)*200+(D374-30000)*0.015+(F374-50)*15-IF(I374=1,1200,0)+_xlfn.NORM.INV(RAND(),0,2500),-2))</f>
        <v>10200</v>
      </c>
      <c r="I374">
        <v>0</v>
      </c>
      <c r="J374">
        <f>1</f>
        <v>1</v>
      </c>
      <c r="K374">
        <f>1</f>
        <v>1</v>
      </c>
      <c r="L374">
        <v>0</v>
      </c>
      <c r="M374">
        <f t="shared" ca="1" si="11"/>
        <v>0.65521497499453274</v>
      </c>
      <c r="N374">
        <v>0</v>
      </c>
      <c r="O374">
        <v>0</v>
      </c>
      <c r="P374">
        <v>0</v>
      </c>
    </row>
    <row r="375" spans="1:16" x14ac:dyDescent="0.3">
      <c r="A375" t="s">
        <v>483</v>
      </c>
      <c r="B375" t="s">
        <v>62</v>
      </c>
      <c r="C375">
        <f ca="1">IF(RAND()&lt;0.8,F_Baseline_data!C375,IF(RAND()&lt;0.85,F_Baseline_data!C375+1,IF(F_Baseline_data!C375&gt;3,C375-1,F_Baseline_data!C375)))</f>
        <v>9</v>
      </c>
      <c r="D375">
        <f ca="1">MAX(5000,ROUND(F_Baseline_data!D375*(1+_xlfn.NORM.INV(RAND(),0.12,0.1)),-2))</f>
        <v>46000</v>
      </c>
      <c r="E375" t="str">
        <f ca="1">IF(I375=1,IF(RAND()&lt;0.95,"Piped Water",F_Baseline_data!E375),F_Baseline_data!E375)</f>
        <v>Rainwater</v>
      </c>
      <c r="F375">
        <f t="shared" ca="1" si="10"/>
        <v>21</v>
      </c>
      <c r="G375">
        <v>5.8</v>
      </c>
      <c r="H375">
        <f ca="1">MAX(0,ROUND(F_Baseline_data!H375+(F_Baseline_data!C375-5)*200+(D375-30000)*0.015+(F375-50)*15-IF(I375=1,1200,0)+_xlfn.NORM.INV(RAND(),0,2500),-2))</f>
        <v>1800</v>
      </c>
      <c r="I375">
        <v>0</v>
      </c>
      <c r="J375">
        <f>1</f>
        <v>1</v>
      </c>
      <c r="K375">
        <f>1</f>
        <v>1</v>
      </c>
      <c r="L375">
        <v>0</v>
      </c>
      <c r="M375">
        <f t="shared" ca="1" si="11"/>
        <v>0.34028990174263407</v>
      </c>
      <c r="N375">
        <v>0</v>
      </c>
      <c r="O375">
        <v>0</v>
      </c>
      <c r="P375">
        <v>0</v>
      </c>
    </row>
    <row r="376" spans="1:16" x14ac:dyDescent="0.3">
      <c r="A376" t="s">
        <v>484</v>
      </c>
      <c r="B376" t="s">
        <v>65</v>
      </c>
      <c r="C376">
        <f ca="1">IF(RAND()&lt;0.8,F_Baseline_data!C376,IF(RAND()&lt;0.85,F_Baseline_data!C376+1,IF(F_Baseline_data!C376&gt;3,C376-1,F_Baseline_data!C376)))</f>
        <v>3</v>
      </c>
      <c r="D376">
        <f ca="1">MAX(5000,ROUND(F_Baseline_data!D376*(1+_xlfn.NORM.INV(RAND(),0.12,0.1)),-2))</f>
        <v>43700</v>
      </c>
      <c r="E376" t="str">
        <f ca="1">IF(I376=1,IF(RAND()&lt;0.95,"Piped Water",F_Baseline_data!E376),F_Baseline_data!E376)</f>
        <v>Borehole</v>
      </c>
      <c r="F376">
        <f t="shared" ca="1" si="10"/>
        <v>69</v>
      </c>
      <c r="G376">
        <v>2</v>
      </c>
      <c r="H376">
        <f ca="1">MAX(0,ROUND(F_Baseline_data!H376+(F_Baseline_data!C376-5)*200+(D376-30000)*0.015+(F376-50)*15-IF(I376=1,1200,0)+_xlfn.NORM.INV(RAND(),0,2500),-2))</f>
        <v>6300</v>
      </c>
      <c r="I376">
        <v>0</v>
      </c>
      <c r="J376">
        <f>1</f>
        <v>1</v>
      </c>
      <c r="K376">
        <f>1</f>
        <v>1</v>
      </c>
      <c r="L376">
        <v>0</v>
      </c>
      <c r="M376">
        <f t="shared" ca="1" si="11"/>
        <v>0.77420368950719787</v>
      </c>
      <c r="N376">
        <v>0</v>
      </c>
      <c r="O376">
        <v>0</v>
      </c>
      <c r="P376">
        <v>0</v>
      </c>
    </row>
    <row r="377" spans="1:16" x14ac:dyDescent="0.3">
      <c r="A377" t="s">
        <v>485</v>
      </c>
      <c r="B377" t="s">
        <v>62</v>
      </c>
      <c r="C377">
        <f ca="1">IF(RAND()&lt;0.8,F_Baseline_data!C377,IF(RAND()&lt;0.85,F_Baseline_data!C377+1,IF(F_Baseline_data!C377&gt;3,C377-1,F_Baseline_data!C377)))</f>
        <v>9</v>
      </c>
      <c r="D377">
        <f ca="1">MAX(5000,ROUND(F_Baseline_data!D377*(1+_xlfn.NORM.INV(RAND(),0.12,0.1)),-2))</f>
        <v>32100</v>
      </c>
      <c r="E377" t="str">
        <f ca="1">IF(I377=1,IF(RAND()&lt;0.95,"Piped Water",F_Baseline_data!E377),F_Baseline_data!E377)</f>
        <v>Borehole</v>
      </c>
      <c r="F377">
        <f t="shared" ca="1" si="10"/>
        <v>22</v>
      </c>
      <c r="G377">
        <v>8.6</v>
      </c>
      <c r="H377">
        <f ca="1">MAX(0,ROUND(F_Baseline_data!H377+(F_Baseline_data!C377-5)*200+(D377-30000)*0.015+(F377-50)*15-IF(I377=1,1200,0)+_xlfn.NORM.INV(RAND(),0,2500),-2))</f>
        <v>7200</v>
      </c>
      <c r="I377">
        <v>0</v>
      </c>
      <c r="J377">
        <f>1</f>
        <v>1</v>
      </c>
      <c r="K377">
        <f>1</f>
        <v>1</v>
      </c>
      <c r="L377">
        <v>0</v>
      </c>
      <c r="M377">
        <f t="shared" ca="1" si="11"/>
        <v>0.35798573373877485</v>
      </c>
      <c r="N377">
        <v>0</v>
      </c>
      <c r="O377">
        <v>0</v>
      </c>
      <c r="P377">
        <v>0</v>
      </c>
    </row>
    <row r="378" spans="1:16" x14ac:dyDescent="0.3">
      <c r="A378" t="s">
        <v>486</v>
      </c>
      <c r="B378" t="s">
        <v>513</v>
      </c>
      <c r="C378">
        <f ca="1">IF(RAND()&lt;0.8,F_Baseline_data!C378,IF(RAND()&lt;0.85,F_Baseline_data!C378+1,IF(F_Baseline_data!C378&gt;3,C378-1,F_Baseline_data!C378)))</f>
        <v>1</v>
      </c>
      <c r="D378">
        <f ca="1">MAX(5000,ROUND(F_Baseline_data!D378*(1+_xlfn.NORM.INV(RAND(),0.12,0.1)),-2))</f>
        <v>49400</v>
      </c>
      <c r="E378" t="str">
        <f ca="1">IF(I378=1,IF(RAND()&lt;0.95,"Piped Water",F_Baseline_data!E378),F_Baseline_data!E378)</f>
        <v>Rainwater</v>
      </c>
      <c r="F378">
        <f t="shared" ca="1" si="10"/>
        <v>29</v>
      </c>
      <c r="G378">
        <v>2.6</v>
      </c>
      <c r="H378">
        <f ca="1">MAX(0,ROUND(F_Baseline_data!H378+(F_Baseline_data!C378-5)*200+(D378-30000)*0.015+(F378-50)*15-IF(I378=1,1200,0)+_xlfn.NORM.INV(RAND(),0,2500),-2))</f>
        <v>3600</v>
      </c>
      <c r="I378">
        <v>0</v>
      </c>
      <c r="J378">
        <f>1</f>
        <v>1</v>
      </c>
      <c r="K378">
        <f>1</f>
        <v>1</v>
      </c>
      <c r="L378">
        <v>0</v>
      </c>
      <c r="M378">
        <f t="shared" ca="1" si="11"/>
        <v>0.26744333060270253</v>
      </c>
      <c r="N378">
        <v>0</v>
      </c>
      <c r="O378">
        <v>0</v>
      </c>
      <c r="P378">
        <v>0</v>
      </c>
    </row>
    <row r="379" spans="1:16" x14ac:dyDescent="0.3">
      <c r="A379" t="s">
        <v>487</v>
      </c>
      <c r="B379" t="s">
        <v>513</v>
      </c>
      <c r="C379">
        <f ca="1">IF(RAND()&lt;0.8,F_Baseline_data!C379,IF(RAND()&lt;0.85,F_Baseline_data!C379+1,IF(F_Baseline_data!C379&gt;3,C379-1,F_Baseline_data!C379)))</f>
        <v>3</v>
      </c>
      <c r="D379">
        <f ca="1">MAX(5000,ROUND(F_Baseline_data!D379*(1+_xlfn.NORM.INV(RAND(),0.12,0.1)),-2))</f>
        <v>14800</v>
      </c>
      <c r="E379" t="str">
        <f ca="1">IF(I379=1,IF(RAND()&lt;0.95,"Piped Water",F_Baseline_data!E379),F_Baseline_data!E379)</f>
        <v>Vendor</v>
      </c>
      <c r="F379">
        <f t="shared" ca="1" si="10"/>
        <v>13</v>
      </c>
      <c r="G379">
        <v>14.9</v>
      </c>
      <c r="H379">
        <f ca="1">MAX(0,ROUND(F_Baseline_data!H379+(F_Baseline_data!C379-5)*200+(D379-30000)*0.015+(F379-50)*15-IF(I379=1,1200,0)+_xlfn.NORM.INV(RAND(),0,2500),-2))</f>
        <v>0</v>
      </c>
      <c r="I379">
        <v>0</v>
      </c>
      <c r="J379">
        <f>1</f>
        <v>1</v>
      </c>
      <c r="K379">
        <f>1</f>
        <v>1</v>
      </c>
      <c r="L379">
        <v>0</v>
      </c>
      <c r="M379">
        <f t="shared" ca="1" si="11"/>
        <v>0.87670582591193957</v>
      </c>
      <c r="N379">
        <v>0</v>
      </c>
      <c r="O379">
        <v>0</v>
      </c>
      <c r="P379">
        <v>0</v>
      </c>
    </row>
    <row r="380" spans="1:16" x14ac:dyDescent="0.3">
      <c r="A380" t="s">
        <v>488</v>
      </c>
      <c r="B380" t="s">
        <v>62</v>
      </c>
      <c r="C380">
        <f ca="1">IF(RAND()&lt;0.8,F_Baseline_data!C380,IF(RAND()&lt;0.85,F_Baseline_data!C380+1,IF(F_Baseline_data!C380&gt;3,C380-1,F_Baseline_data!C380)))</f>
        <v>5</v>
      </c>
      <c r="D380">
        <f ca="1">MAX(5000,ROUND(F_Baseline_data!D380*(1+_xlfn.NORM.INV(RAND(),0.12,0.1)),-2))</f>
        <v>51600</v>
      </c>
      <c r="E380" t="str">
        <f ca="1">IF(I380=1,IF(RAND()&lt;0.95,"Piped Water",F_Baseline_data!E380),F_Baseline_data!E380)</f>
        <v>Rainwater</v>
      </c>
      <c r="F380">
        <f t="shared" ca="1" si="10"/>
        <v>41</v>
      </c>
      <c r="G380">
        <v>2.7</v>
      </c>
      <c r="H380">
        <f ca="1">MAX(0,ROUND(F_Baseline_data!H380+(F_Baseline_data!C380-5)*200+(D380-30000)*0.015+(F380-50)*15-IF(I380=1,1200,0)+_xlfn.NORM.INV(RAND(),0,2500),-2))</f>
        <v>2700</v>
      </c>
      <c r="I380">
        <v>0</v>
      </c>
      <c r="J380">
        <f>1</f>
        <v>1</v>
      </c>
      <c r="K380">
        <f>1</f>
        <v>1</v>
      </c>
      <c r="L380">
        <v>0</v>
      </c>
      <c r="M380">
        <f t="shared" ca="1" si="11"/>
        <v>0.20225003199225522</v>
      </c>
      <c r="N380">
        <v>0</v>
      </c>
      <c r="O380">
        <v>0</v>
      </c>
      <c r="P380">
        <v>0</v>
      </c>
    </row>
    <row r="381" spans="1:16" x14ac:dyDescent="0.3">
      <c r="A381" t="s">
        <v>489</v>
      </c>
      <c r="B381" t="s">
        <v>65</v>
      </c>
      <c r="C381">
        <f ca="1">IF(RAND()&lt;0.8,F_Baseline_data!C381,IF(RAND()&lt;0.85,F_Baseline_data!C381+1,IF(F_Baseline_data!C381&gt;3,C381-1,F_Baseline_data!C381)))</f>
        <v>8</v>
      </c>
      <c r="D381">
        <f ca="1">MAX(5000,ROUND(F_Baseline_data!D381*(1+_xlfn.NORM.INV(RAND(),0.12,0.1)),-2))</f>
        <v>31400</v>
      </c>
      <c r="E381" t="str">
        <f ca="1">IF(I381=1,IF(RAND()&lt;0.95,"Piped Water",F_Baseline_data!E381),F_Baseline_data!E381)</f>
        <v>River</v>
      </c>
      <c r="F381">
        <f t="shared" ca="1" si="10"/>
        <v>64</v>
      </c>
      <c r="G381">
        <v>1.9</v>
      </c>
      <c r="H381">
        <f ca="1">MAX(0,ROUND(F_Baseline_data!H381+(F_Baseline_data!C381-5)*200+(D381-30000)*0.015+(F381-50)*15-IF(I381=1,1200,0)+_xlfn.NORM.INV(RAND(),0,2500),-2))</f>
        <v>11800</v>
      </c>
      <c r="I381">
        <v>0</v>
      </c>
      <c r="J381">
        <f>1</f>
        <v>1</v>
      </c>
      <c r="K381">
        <f>1</f>
        <v>1</v>
      </c>
      <c r="L381">
        <v>0</v>
      </c>
      <c r="M381">
        <f t="shared" ca="1" si="11"/>
        <v>0.33614328106220792</v>
      </c>
      <c r="N381">
        <v>0</v>
      </c>
      <c r="O381">
        <v>0</v>
      </c>
      <c r="P381">
        <v>0</v>
      </c>
    </row>
    <row r="382" spans="1:16" x14ac:dyDescent="0.3">
      <c r="A382" t="s">
        <v>490</v>
      </c>
      <c r="B382" t="s">
        <v>513</v>
      </c>
      <c r="C382">
        <f ca="1">IF(RAND()&lt;0.8,F_Baseline_data!C382,IF(RAND()&lt;0.85,F_Baseline_data!C382+1,IF(F_Baseline_data!C382&gt;3,C382-1,F_Baseline_data!C382)))</f>
        <v>5</v>
      </c>
      <c r="D382">
        <f ca="1">MAX(5000,ROUND(F_Baseline_data!D382*(1+_xlfn.NORM.INV(RAND(),0.12,0.1)),-2))</f>
        <v>52500</v>
      </c>
      <c r="E382" t="str">
        <f ca="1">IF(I382=1,IF(RAND()&lt;0.95,"Piped Water",F_Baseline_data!E382),F_Baseline_data!E382)</f>
        <v>Vendor</v>
      </c>
      <c r="F382">
        <f t="shared" ca="1" si="10"/>
        <v>42</v>
      </c>
      <c r="G382">
        <v>3.6</v>
      </c>
      <c r="H382">
        <f ca="1">MAX(0,ROUND(F_Baseline_data!H382+(F_Baseline_data!C382-5)*200+(D382-30000)*0.015+(F382-50)*15-IF(I382=1,1200,0)+_xlfn.NORM.INV(RAND(),0,2500),-2))</f>
        <v>4800</v>
      </c>
      <c r="I382">
        <v>0</v>
      </c>
      <c r="J382">
        <f>1</f>
        <v>1</v>
      </c>
      <c r="K382">
        <f>1</f>
        <v>1</v>
      </c>
      <c r="L382">
        <v>0</v>
      </c>
      <c r="M382">
        <f t="shared" ca="1" si="11"/>
        <v>0.86682519472045505</v>
      </c>
      <c r="N382">
        <v>0</v>
      </c>
      <c r="O382">
        <v>0</v>
      </c>
      <c r="P382">
        <v>0</v>
      </c>
    </row>
    <row r="383" spans="1:16" x14ac:dyDescent="0.3">
      <c r="A383" t="s">
        <v>491</v>
      </c>
      <c r="B383" t="s">
        <v>62</v>
      </c>
      <c r="C383">
        <f ca="1">IF(RAND()&lt;0.8,F_Baseline_data!C383,IF(RAND()&lt;0.85,F_Baseline_data!C383+1,IF(F_Baseline_data!C383&gt;3,C383-1,F_Baseline_data!C383)))</f>
        <v>2</v>
      </c>
      <c r="D383">
        <f ca="1">MAX(5000,ROUND(F_Baseline_data!D383*(1+_xlfn.NORM.INV(RAND(),0.12,0.1)),-2))</f>
        <v>17900</v>
      </c>
      <c r="E383" t="str">
        <f ca="1">IF(I383=1,IF(RAND()&lt;0.95,"Piped Water",F_Baseline_data!E383),F_Baseline_data!E383)</f>
        <v>Borehole</v>
      </c>
      <c r="F383">
        <f t="shared" ca="1" si="10"/>
        <v>37</v>
      </c>
      <c r="G383">
        <v>2.2000000000000002</v>
      </c>
      <c r="H383">
        <f ca="1">MAX(0,ROUND(F_Baseline_data!H383+(F_Baseline_data!C383-5)*200+(D383-30000)*0.015+(F383-50)*15-IF(I383=1,1200,0)+_xlfn.NORM.INV(RAND(),0,2500),-2))</f>
        <v>6700</v>
      </c>
      <c r="I383">
        <v>0</v>
      </c>
      <c r="J383">
        <f>1</f>
        <v>1</v>
      </c>
      <c r="K383">
        <f>1</f>
        <v>1</v>
      </c>
      <c r="L383">
        <v>0</v>
      </c>
      <c r="M383">
        <f t="shared" ca="1" si="11"/>
        <v>4.6560836564438546E-2</v>
      </c>
      <c r="N383">
        <v>0</v>
      </c>
      <c r="O383">
        <v>0</v>
      </c>
      <c r="P383">
        <v>0</v>
      </c>
    </row>
    <row r="384" spans="1:16" x14ac:dyDescent="0.3">
      <c r="A384" t="s">
        <v>492</v>
      </c>
      <c r="B384" t="s">
        <v>513</v>
      </c>
      <c r="C384">
        <f ca="1">IF(RAND()&lt;0.8,F_Baseline_data!C384,IF(RAND()&lt;0.85,F_Baseline_data!C384+1,IF(F_Baseline_data!C384&gt;3,C384-1,F_Baseline_data!C384)))</f>
        <v>7</v>
      </c>
      <c r="D384">
        <f ca="1">MAX(5000,ROUND(F_Baseline_data!D384*(1+_xlfn.NORM.INV(RAND(),0.12,0.1)),-2))</f>
        <v>33000</v>
      </c>
      <c r="E384" t="str">
        <f ca="1">IF(I384=1,IF(RAND()&lt;0.95,"Piped Water",F_Baseline_data!E384),F_Baseline_data!E384)</f>
        <v>Vendor</v>
      </c>
      <c r="F384">
        <f t="shared" ca="1" si="10"/>
        <v>41</v>
      </c>
      <c r="G384">
        <v>13.9</v>
      </c>
      <c r="H384">
        <f ca="1">MAX(0,ROUND(F_Baseline_data!H384+(F_Baseline_data!C384-5)*200+(D384-30000)*0.015+(F384-50)*15-IF(I384=1,1200,0)+_xlfn.NORM.INV(RAND(),0,2500),-2))</f>
        <v>9200</v>
      </c>
      <c r="I384">
        <v>0</v>
      </c>
      <c r="J384">
        <f>1</f>
        <v>1</v>
      </c>
      <c r="K384">
        <f>1</f>
        <v>1</v>
      </c>
      <c r="L384">
        <v>0</v>
      </c>
      <c r="M384">
        <f t="shared" ca="1" si="11"/>
        <v>0.25474982093823995</v>
      </c>
      <c r="N384">
        <v>0</v>
      </c>
      <c r="O384">
        <v>0</v>
      </c>
      <c r="P384">
        <v>0</v>
      </c>
    </row>
    <row r="385" spans="1:16" x14ac:dyDescent="0.3">
      <c r="A385" t="s">
        <v>493</v>
      </c>
      <c r="B385" t="s">
        <v>513</v>
      </c>
      <c r="C385">
        <f ca="1">IF(RAND()&lt;0.8,F_Baseline_data!C385,IF(RAND()&lt;0.85,F_Baseline_data!C385+1,IF(F_Baseline_data!C385&gt;3,C385-1,F_Baseline_data!C385)))</f>
        <v>4</v>
      </c>
      <c r="D385">
        <f ca="1">MAX(5000,ROUND(F_Baseline_data!D385*(1+_xlfn.NORM.INV(RAND(),0.12,0.1)),-2))</f>
        <v>43800</v>
      </c>
      <c r="E385" t="str">
        <f ca="1">IF(I385=1,IF(RAND()&lt;0.95,"Piped Water",F_Baseline_data!E385),F_Baseline_data!E385)</f>
        <v>Rainwater</v>
      </c>
      <c r="F385">
        <f t="shared" ca="1" si="10"/>
        <v>54</v>
      </c>
      <c r="G385">
        <v>7</v>
      </c>
      <c r="H385">
        <f ca="1">MAX(0,ROUND(F_Baseline_data!H385+(F_Baseline_data!C385-5)*200+(D385-30000)*0.015+(F385-50)*15-IF(I385=1,1200,0)+_xlfn.NORM.INV(RAND(),0,2500),-2))</f>
        <v>4300</v>
      </c>
      <c r="I385">
        <v>0</v>
      </c>
      <c r="J385">
        <f>1</f>
        <v>1</v>
      </c>
      <c r="K385">
        <f>1</f>
        <v>1</v>
      </c>
      <c r="L385">
        <v>0</v>
      </c>
      <c r="M385">
        <f t="shared" ca="1" si="11"/>
        <v>0.56304465989792774</v>
      </c>
      <c r="N385">
        <v>0</v>
      </c>
      <c r="O385">
        <v>0</v>
      </c>
      <c r="P385">
        <v>0</v>
      </c>
    </row>
    <row r="386" spans="1:16" x14ac:dyDescent="0.3">
      <c r="A386" t="s">
        <v>494</v>
      </c>
      <c r="B386" t="s">
        <v>64</v>
      </c>
      <c r="C386">
        <f ca="1">IF(RAND()&lt;0.8,F_Baseline_data!C386,IF(RAND()&lt;0.85,F_Baseline_data!C386+1,IF(F_Baseline_data!C386&gt;3,C386-1,F_Baseline_data!C386)))</f>
        <v>8</v>
      </c>
      <c r="D386">
        <f ca="1">MAX(5000,ROUND(F_Baseline_data!D386*(1+_xlfn.NORM.INV(RAND(),0.12,0.1)),-2))</f>
        <v>65700</v>
      </c>
      <c r="E386" t="str">
        <f ca="1">IF(I386=1,IF(RAND()&lt;0.95,"Piped Water",F_Baseline_data!E386),F_Baseline_data!E386)</f>
        <v>Borehole</v>
      </c>
      <c r="F386">
        <f t="shared" ref="F386:F449" ca="1" si="12">IF(E386="Piped Water",RANDBETWEEN(0,10),IF(E386="River",RANDBETWEEN(45,120),IF(E386="Rainwater",RANDBETWEEN(15,70),IF(E386="Borehole",RANDBETWEEN(20,75),RANDBETWEEN(10,60)))))</f>
        <v>36</v>
      </c>
      <c r="G386">
        <v>0.4</v>
      </c>
      <c r="H386">
        <f ca="1">MAX(0,ROUND(F_Baseline_data!H386+(F_Baseline_data!C386-5)*200+(D386-30000)*0.015+(F386-50)*15-IF(I386=1,1200,0)+_xlfn.NORM.INV(RAND(),0,2500),-2))</f>
        <v>12300</v>
      </c>
      <c r="I386">
        <v>0</v>
      </c>
      <c r="J386">
        <f>1</f>
        <v>1</v>
      </c>
      <c r="K386">
        <f>1</f>
        <v>1</v>
      </c>
      <c r="L386">
        <v>0</v>
      </c>
      <c r="M386">
        <f t="shared" ref="M386:M449" ca="1" si="13">RAND()</f>
        <v>0.86978736843907445</v>
      </c>
      <c r="N386">
        <v>0</v>
      </c>
      <c r="O386">
        <v>0</v>
      </c>
      <c r="P386">
        <v>0</v>
      </c>
    </row>
    <row r="387" spans="1:16" x14ac:dyDescent="0.3">
      <c r="A387" t="s">
        <v>495</v>
      </c>
      <c r="B387" t="s">
        <v>64</v>
      </c>
      <c r="C387">
        <f ca="1">IF(RAND()&lt;0.8,F_Baseline_data!C387,IF(RAND()&lt;0.85,F_Baseline_data!C387+1,IF(F_Baseline_data!C387&gt;3,C387-1,F_Baseline_data!C387)))</f>
        <v>7</v>
      </c>
      <c r="D387">
        <f ca="1">MAX(5000,ROUND(F_Baseline_data!D387*(1+_xlfn.NORM.INV(RAND(),0.12,0.1)),-2))</f>
        <v>36900</v>
      </c>
      <c r="E387" t="str">
        <f ca="1">IF(I387=1,IF(RAND()&lt;0.95,"Piped Water",F_Baseline_data!E387),F_Baseline_data!E387)</f>
        <v>Vendor</v>
      </c>
      <c r="F387">
        <f t="shared" ca="1" si="12"/>
        <v>57</v>
      </c>
      <c r="G387">
        <v>11.7</v>
      </c>
      <c r="H387">
        <f ca="1">MAX(0,ROUND(F_Baseline_data!H387+(F_Baseline_data!C387-5)*200+(D387-30000)*0.015+(F387-50)*15-IF(I387=1,1200,0)+_xlfn.NORM.INV(RAND(),0,2500),-2))</f>
        <v>4200</v>
      </c>
      <c r="I387">
        <v>0</v>
      </c>
      <c r="J387">
        <f>1</f>
        <v>1</v>
      </c>
      <c r="K387">
        <f>1</f>
        <v>1</v>
      </c>
      <c r="L387">
        <v>0</v>
      </c>
      <c r="M387">
        <f t="shared" ca="1" si="13"/>
        <v>0.73923638866385399</v>
      </c>
      <c r="N387">
        <v>0</v>
      </c>
      <c r="O387">
        <v>0</v>
      </c>
      <c r="P387">
        <v>0</v>
      </c>
    </row>
    <row r="388" spans="1:16" x14ac:dyDescent="0.3">
      <c r="A388" t="s">
        <v>496</v>
      </c>
      <c r="B388" t="s">
        <v>65</v>
      </c>
      <c r="C388">
        <f ca="1">IF(RAND()&lt;0.8,F_Baseline_data!C388,IF(RAND()&lt;0.85,F_Baseline_data!C388+1,IF(F_Baseline_data!C388&gt;3,C388-1,F_Baseline_data!C388)))</f>
        <v>9</v>
      </c>
      <c r="D388">
        <f ca="1">MAX(5000,ROUND(F_Baseline_data!D388*(1+_xlfn.NORM.INV(RAND(),0.12,0.1)),-2))</f>
        <v>30700</v>
      </c>
      <c r="E388" t="str">
        <f ca="1">IF(I388=1,IF(RAND()&lt;0.95,"Piped Water",F_Baseline_data!E388),F_Baseline_data!E388)</f>
        <v>Vendor</v>
      </c>
      <c r="F388">
        <f t="shared" ca="1" si="12"/>
        <v>43</v>
      </c>
      <c r="G388">
        <v>3.2</v>
      </c>
      <c r="H388">
        <f ca="1">MAX(0,ROUND(F_Baseline_data!H388+(F_Baseline_data!C388-5)*200+(D388-30000)*0.015+(F388-50)*15-IF(I388=1,1200,0)+_xlfn.NORM.INV(RAND(),0,2500),-2))</f>
        <v>8000</v>
      </c>
      <c r="I388">
        <v>0</v>
      </c>
      <c r="J388">
        <f>1</f>
        <v>1</v>
      </c>
      <c r="K388">
        <f>1</f>
        <v>1</v>
      </c>
      <c r="L388">
        <v>0</v>
      </c>
      <c r="M388">
        <f t="shared" ca="1" si="13"/>
        <v>0.68131934240261893</v>
      </c>
      <c r="N388">
        <v>0</v>
      </c>
      <c r="O388">
        <v>0</v>
      </c>
      <c r="P388">
        <v>0</v>
      </c>
    </row>
    <row r="389" spans="1:16" x14ac:dyDescent="0.3">
      <c r="A389" t="s">
        <v>497</v>
      </c>
      <c r="B389" t="s">
        <v>513</v>
      </c>
      <c r="C389">
        <f ca="1">IF(RAND()&lt;0.8,F_Baseline_data!C389,IF(RAND()&lt;0.85,F_Baseline_data!C389+1,IF(F_Baseline_data!C389&gt;3,C389-1,F_Baseline_data!C389)))</f>
        <v>5</v>
      </c>
      <c r="D389">
        <f ca="1">MAX(5000,ROUND(F_Baseline_data!D389*(1+_xlfn.NORM.INV(RAND(),0.12,0.1)),-2))</f>
        <v>16300</v>
      </c>
      <c r="E389" t="str">
        <f ca="1">IF(I389=1,IF(RAND()&lt;0.95,"Piped Water",F_Baseline_data!E389),F_Baseline_data!E389)</f>
        <v>Borehole</v>
      </c>
      <c r="F389">
        <f t="shared" ca="1" si="12"/>
        <v>69</v>
      </c>
      <c r="G389">
        <v>14.5</v>
      </c>
      <c r="H389">
        <f ca="1">MAX(0,ROUND(F_Baseline_data!H389+(F_Baseline_data!C389-5)*200+(D389-30000)*0.015+(F389-50)*15-IF(I389=1,1200,0)+_xlfn.NORM.INV(RAND(),0,2500),-2))</f>
        <v>11300</v>
      </c>
      <c r="I389">
        <v>0</v>
      </c>
      <c r="J389">
        <f>1</f>
        <v>1</v>
      </c>
      <c r="K389">
        <f>1</f>
        <v>1</v>
      </c>
      <c r="L389">
        <v>0</v>
      </c>
      <c r="M389">
        <f t="shared" ca="1" si="13"/>
        <v>0.61204084017558169</v>
      </c>
      <c r="N389">
        <v>0</v>
      </c>
      <c r="O389">
        <v>0</v>
      </c>
      <c r="P389">
        <v>0</v>
      </c>
    </row>
    <row r="390" spans="1:16" x14ac:dyDescent="0.3">
      <c r="A390" t="s">
        <v>498</v>
      </c>
      <c r="B390" t="s">
        <v>513</v>
      </c>
      <c r="C390">
        <f ca="1">IF(RAND()&lt;0.8,F_Baseline_data!C390,IF(RAND()&lt;0.85,F_Baseline_data!C390+1,IF(F_Baseline_data!C390&gt;3,C390-1,F_Baseline_data!C390)))</f>
        <v>11</v>
      </c>
      <c r="D390">
        <f ca="1">MAX(5000,ROUND(F_Baseline_data!D390*(1+_xlfn.NORM.INV(RAND(),0.12,0.1)),-2))</f>
        <v>54400</v>
      </c>
      <c r="E390" t="str">
        <f ca="1">IF(I390=1,IF(RAND()&lt;0.95,"Piped Water",F_Baseline_data!E390),F_Baseline_data!E390)</f>
        <v>Borehole</v>
      </c>
      <c r="F390">
        <f t="shared" ca="1" si="12"/>
        <v>60</v>
      </c>
      <c r="G390">
        <v>11</v>
      </c>
      <c r="H390">
        <f ca="1">MAX(0,ROUND(F_Baseline_data!H390+(F_Baseline_data!C390-5)*200+(D390-30000)*0.015+(F390-50)*15-IF(I390=1,1200,0)+_xlfn.NORM.INV(RAND(),0,2500),-2))</f>
        <v>10200</v>
      </c>
      <c r="I390">
        <v>0</v>
      </c>
      <c r="J390">
        <f>1</f>
        <v>1</v>
      </c>
      <c r="K390">
        <f>1</f>
        <v>1</v>
      </c>
      <c r="L390">
        <v>0</v>
      </c>
      <c r="M390">
        <f t="shared" ca="1" si="13"/>
        <v>0.40166201608454555</v>
      </c>
      <c r="N390">
        <v>0</v>
      </c>
      <c r="O390">
        <v>0</v>
      </c>
      <c r="P390">
        <v>0</v>
      </c>
    </row>
    <row r="391" spans="1:16" x14ac:dyDescent="0.3">
      <c r="A391" t="s">
        <v>499</v>
      </c>
      <c r="B391" t="s">
        <v>513</v>
      </c>
      <c r="C391">
        <f ca="1">IF(RAND()&lt;0.8,F_Baseline_data!C391,IF(RAND()&lt;0.85,F_Baseline_data!C391+1,IF(F_Baseline_data!C391&gt;3,C391-1,F_Baseline_data!C391)))</f>
        <v>7</v>
      </c>
      <c r="D391">
        <f ca="1">MAX(5000,ROUND(F_Baseline_data!D391*(1+_xlfn.NORM.INV(RAND(),0.12,0.1)),-2))</f>
        <v>70000</v>
      </c>
      <c r="E391" t="str">
        <f ca="1">IF(I391=1,IF(RAND()&lt;0.95,"Piped Water",F_Baseline_data!E391),F_Baseline_data!E391)</f>
        <v>Vendor</v>
      </c>
      <c r="F391">
        <f t="shared" ca="1" si="12"/>
        <v>33</v>
      </c>
      <c r="G391">
        <v>4.0999999999999996</v>
      </c>
      <c r="H391">
        <f ca="1">MAX(0,ROUND(F_Baseline_data!H391+(F_Baseline_data!C391-5)*200+(D391-30000)*0.015+(F391-50)*15-IF(I391=1,1200,0)+_xlfn.NORM.INV(RAND(),0,2500),-2))</f>
        <v>4700</v>
      </c>
      <c r="I391">
        <v>0</v>
      </c>
      <c r="J391">
        <f>1</f>
        <v>1</v>
      </c>
      <c r="K391">
        <f>1</f>
        <v>1</v>
      </c>
      <c r="L391">
        <v>0</v>
      </c>
      <c r="M391">
        <f t="shared" ca="1" si="13"/>
        <v>9.525967551790715E-2</v>
      </c>
      <c r="N391">
        <v>0</v>
      </c>
      <c r="O391">
        <v>0</v>
      </c>
      <c r="P391">
        <v>0</v>
      </c>
    </row>
    <row r="392" spans="1:16" x14ac:dyDescent="0.3">
      <c r="A392" t="s">
        <v>500</v>
      </c>
      <c r="B392" t="s">
        <v>64</v>
      </c>
      <c r="C392">
        <f ca="1">IF(RAND()&lt;0.8,F_Baseline_data!C392,IF(RAND()&lt;0.85,F_Baseline_data!C392+1,IF(F_Baseline_data!C392&gt;3,C392-1,F_Baseline_data!C392)))</f>
        <v>6</v>
      </c>
      <c r="D392">
        <f ca="1">MAX(5000,ROUND(F_Baseline_data!D392*(1+_xlfn.NORM.INV(RAND(),0.12,0.1)),-2))</f>
        <v>70700</v>
      </c>
      <c r="E392" t="str">
        <f ca="1">IF(I392=1,IF(RAND()&lt;0.95,"Piped Water",F_Baseline_data!E392),F_Baseline_data!E392)</f>
        <v>Vendor</v>
      </c>
      <c r="F392">
        <f t="shared" ca="1" si="12"/>
        <v>39</v>
      </c>
      <c r="G392">
        <v>4.3</v>
      </c>
      <c r="H392">
        <f ca="1">MAX(0,ROUND(F_Baseline_data!H392+(F_Baseline_data!C392-5)*200+(D392-30000)*0.015+(F392-50)*15-IF(I392=1,1200,0)+_xlfn.NORM.INV(RAND(),0,2500),-2))</f>
        <v>1000</v>
      </c>
      <c r="I392">
        <v>0</v>
      </c>
      <c r="J392">
        <f>1</f>
        <v>1</v>
      </c>
      <c r="K392">
        <f>1</f>
        <v>1</v>
      </c>
      <c r="L392">
        <v>0</v>
      </c>
      <c r="M392">
        <f t="shared" ca="1" si="13"/>
        <v>0.96138759779137029</v>
      </c>
      <c r="N392">
        <v>0</v>
      </c>
      <c r="O392">
        <v>0</v>
      </c>
      <c r="P392">
        <v>0</v>
      </c>
    </row>
    <row r="393" spans="1:16" x14ac:dyDescent="0.3">
      <c r="A393" t="s">
        <v>501</v>
      </c>
      <c r="B393" t="s">
        <v>513</v>
      </c>
      <c r="C393">
        <f ca="1">IF(RAND()&lt;0.8,F_Baseline_data!C393,IF(RAND()&lt;0.85,F_Baseline_data!C393+1,IF(F_Baseline_data!C393&gt;3,C393-1,F_Baseline_data!C393)))</f>
        <v>5</v>
      </c>
      <c r="D393">
        <f ca="1">MAX(5000,ROUND(F_Baseline_data!D393*(1+_xlfn.NORM.INV(RAND(),0.12,0.1)),-2))</f>
        <v>47900</v>
      </c>
      <c r="E393" t="str">
        <f ca="1">IF(I393=1,IF(RAND()&lt;0.95,"Piped Water",F_Baseline_data!E393),F_Baseline_data!E393)</f>
        <v>Vendor</v>
      </c>
      <c r="F393">
        <f t="shared" ca="1" si="12"/>
        <v>36</v>
      </c>
      <c r="G393">
        <v>13.3</v>
      </c>
      <c r="H393">
        <f ca="1">MAX(0,ROUND(F_Baseline_data!H393+(F_Baseline_data!C393-5)*200+(D393-30000)*0.015+(F393-50)*15-IF(I393=1,1200,0)+_xlfn.NORM.INV(RAND(),0,2500),-2))</f>
        <v>5100</v>
      </c>
      <c r="I393">
        <v>0</v>
      </c>
      <c r="J393">
        <f>1</f>
        <v>1</v>
      </c>
      <c r="K393">
        <f>1</f>
        <v>1</v>
      </c>
      <c r="L393">
        <v>0</v>
      </c>
      <c r="M393">
        <f t="shared" ca="1" si="13"/>
        <v>0.93193987223557151</v>
      </c>
      <c r="N393">
        <v>0</v>
      </c>
      <c r="O393">
        <v>0</v>
      </c>
      <c r="P393">
        <v>0</v>
      </c>
    </row>
    <row r="394" spans="1:16" x14ac:dyDescent="0.3">
      <c r="A394" t="s">
        <v>502</v>
      </c>
      <c r="B394" t="s">
        <v>513</v>
      </c>
      <c r="C394">
        <f ca="1">IF(RAND()&lt;0.8,F_Baseline_data!C394,IF(RAND()&lt;0.85,F_Baseline_data!C394+1,IF(F_Baseline_data!C394&gt;3,C394-1,F_Baseline_data!C394)))</f>
        <v>5</v>
      </c>
      <c r="D394">
        <f ca="1">MAX(5000,ROUND(F_Baseline_data!D394*(1+_xlfn.NORM.INV(RAND(),0.12,0.1)),-2))</f>
        <v>55700</v>
      </c>
      <c r="E394" t="str">
        <f ca="1">IF(I394=1,IF(RAND()&lt;0.95,"Piped Water",F_Baseline_data!E394),F_Baseline_data!E394)</f>
        <v>Borehole</v>
      </c>
      <c r="F394">
        <f t="shared" ca="1" si="12"/>
        <v>21</v>
      </c>
      <c r="G394">
        <v>0.5</v>
      </c>
      <c r="H394">
        <f ca="1">MAX(0,ROUND(F_Baseline_data!H394+(F_Baseline_data!C394-5)*200+(D394-30000)*0.015+(F394-50)*15-IF(I394=1,1200,0)+_xlfn.NORM.INV(RAND(),0,2500),-2))</f>
        <v>7200</v>
      </c>
      <c r="I394">
        <v>0</v>
      </c>
      <c r="J394">
        <f>1</f>
        <v>1</v>
      </c>
      <c r="K394">
        <f>1</f>
        <v>1</v>
      </c>
      <c r="L394">
        <v>0</v>
      </c>
      <c r="M394">
        <f t="shared" ca="1" si="13"/>
        <v>0.36483989321886801</v>
      </c>
      <c r="N394">
        <v>0</v>
      </c>
      <c r="O394">
        <v>0</v>
      </c>
      <c r="P394">
        <v>0</v>
      </c>
    </row>
    <row r="395" spans="1:16" x14ac:dyDescent="0.3">
      <c r="A395" t="s">
        <v>503</v>
      </c>
      <c r="B395" t="s">
        <v>65</v>
      </c>
      <c r="C395">
        <f ca="1">IF(RAND()&lt;0.8,F_Baseline_data!C395,IF(RAND()&lt;0.85,F_Baseline_data!C395+1,IF(F_Baseline_data!C395&gt;3,C395-1,F_Baseline_data!C395)))</f>
        <v>6</v>
      </c>
      <c r="D395">
        <f ca="1">MAX(5000,ROUND(F_Baseline_data!D395*(1+_xlfn.NORM.INV(RAND(),0.12,0.1)),-2))</f>
        <v>80700</v>
      </c>
      <c r="E395" t="str">
        <f ca="1">IF(I395=1,IF(RAND()&lt;0.95,"Piped Water",F_Baseline_data!E395),F_Baseline_data!E395)</f>
        <v>Vendor</v>
      </c>
      <c r="F395">
        <f t="shared" ca="1" si="12"/>
        <v>14</v>
      </c>
      <c r="G395">
        <v>3.7</v>
      </c>
      <c r="H395">
        <f ca="1">MAX(0,ROUND(F_Baseline_data!H395+(F_Baseline_data!C395-5)*200+(D395-30000)*0.015+(F395-50)*15-IF(I395=1,1200,0)+_xlfn.NORM.INV(RAND(),0,2500),-2))</f>
        <v>8200</v>
      </c>
      <c r="I395">
        <v>0</v>
      </c>
      <c r="J395">
        <f>1</f>
        <v>1</v>
      </c>
      <c r="K395">
        <f>1</f>
        <v>1</v>
      </c>
      <c r="L395">
        <v>0</v>
      </c>
      <c r="M395">
        <f t="shared" ca="1" si="13"/>
        <v>0.25031480087832403</v>
      </c>
      <c r="N395">
        <v>0</v>
      </c>
      <c r="O395">
        <v>0</v>
      </c>
      <c r="P395">
        <v>0</v>
      </c>
    </row>
    <row r="396" spans="1:16" x14ac:dyDescent="0.3">
      <c r="A396" t="s">
        <v>504</v>
      </c>
      <c r="B396" t="s">
        <v>62</v>
      </c>
      <c r="C396">
        <f ca="1">IF(RAND()&lt;0.8,F_Baseline_data!C396,IF(RAND()&lt;0.85,F_Baseline_data!C396+1,IF(F_Baseline_data!C396&gt;3,C396-1,F_Baseline_data!C396)))</f>
        <v>3</v>
      </c>
      <c r="D396">
        <f ca="1">MAX(5000,ROUND(F_Baseline_data!D396*(1+_xlfn.NORM.INV(RAND(),0.12,0.1)),-2))</f>
        <v>56500</v>
      </c>
      <c r="E396" t="str">
        <f ca="1">IF(I396=1,IF(RAND()&lt;0.95,"Piped Water",F_Baseline_data!E396),F_Baseline_data!E396)</f>
        <v>River</v>
      </c>
      <c r="F396">
        <f t="shared" ca="1" si="12"/>
        <v>82</v>
      </c>
      <c r="G396">
        <v>4.0999999999999996</v>
      </c>
      <c r="H396">
        <f ca="1">MAX(0,ROUND(F_Baseline_data!H396+(F_Baseline_data!C396-5)*200+(D396-30000)*0.015+(F396-50)*15-IF(I396=1,1200,0)+_xlfn.NORM.INV(RAND(),0,2500),-2))</f>
        <v>7600</v>
      </c>
      <c r="I396">
        <v>0</v>
      </c>
      <c r="J396">
        <f>1</f>
        <v>1</v>
      </c>
      <c r="K396">
        <f>1</f>
        <v>1</v>
      </c>
      <c r="L396">
        <v>0</v>
      </c>
      <c r="M396">
        <f t="shared" ca="1" si="13"/>
        <v>0.79412674800301775</v>
      </c>
      <c r="N396">
        <v>0</v>
      </c>
      <c r="O396">
        <v>0</v>
      </c>
      <c r="P396">
        <v>0</v>
      </c>
    </row>
    <row r="397" spans="1:16" x14ac:dyDescent="0.3">
      <c r="A397" t="s">
        <v>505</v>
      </c>
      <c r="B397" t="s">
        <v>65</v>
      </c>
      <c r="C397">
        <f ca="1">IF(RAND()&lt;0.8,F_Baseline_data!C397,IF(RAND()&lt;0.85,F_Baseline_data!C397+1,IF(F_Baseline_data!C397&gt;3,C397-1,F_Baseline_data!C397)))</f>
        <v>3</v>
      </c>
      <c r="D397">
        <f ca="1">MAX(5000,ROUND(F_Baseline_data!D397*(1+_xlfn.NORM.INV(RAND(),0.12,0.1)),-2))</f>
        <v>36100</v>
      </c>
      <c r="E397" t="str">
        <f ca="1">IF(I397=1,IF(RAND()&lt;0.95,"Piped Water",F_Baseline_data!E397),F_Baseline_data!E397)</f>
        <v>River</v>
      </c>
      <c r="F397">
        <f t="shared" ca="1" si="12"/>
        <v>105</v>
      </c>
      <c r="G397">
        <v>4.5999999999999996</v>
      </c>
      <c r="H397">
        <f ca="1">MAX(0,ROUND(F_Baseline_data!H397+(F_Baseline_data!C397-5)*200+(D397-30000)*0.015+(F397-50)*15-IF(I397=1,1200,0)+_xlfn.NORM.INV(RAND(),0,2500),-2))</f>
        <v>0</v>
      </c>
      <c r="I397">
        <v>0</v>
      </c>
      <c r="J397">
        <f>1</f>
        <v>1</v>
      </c>
      <c r="K397">
        <f>1</f>
        <v>1</v>
      </c>
      <c r="L397">
        <v>0</v>
      </c>
      <c r="M397">
        <f t="shared" ca="1" si="13"/>
        <v>0.73145384422844184</v>
      </c>
      <c r="N397">
        <v>0</v>
      </c>
      <c r="O397">
        <v>0</v>
      </c>
      <c r="P397">
        <v>0</v>
      </c>
    </row>
    <row r="398" spans="1:16" x14ac:dyDescent="0.3">
      <c r="A398" t="s">
        <v>506</v>
      </c>
      <c r="B398" t="s">
        <v>62</v>
      </c>
      <c r="C398">
        <f ca="1">IF(RAND()&lt;0.8,F_Baseline_data!C398,IF(RAND()&lt;0.85,F_Baseline_data!C398+1,IF(F_Baseline_data!C398&gt;3,C398-1,F_Baseline_data!C398)))</f>
        <v>4</v>
      </c>
      <c r="D398">
        <f ca="1">MAX(5000,ROUND(F_Baseline_data!D398*(1+_xlfn.NORM.INV(RAND(),0.12,0.1)),-2))</f>
        <v>41500</v>
      </c>
      <c r="E398" t="str">
        <f ca="1">IF(I398=1,IF(RAND()&lt;0.95,"Piped Water",F_Baseline_data!E398),F_Baseline_data!E398)</f>
        <v>Vendor</v>
      </c>
      <c r="F398">
        <f t="shared" ca="1" si="12"/>
        <v>58</v>
      </c>
      <c r="G398">
        <v>7.7</v>
      </c>
      <c r="H398">
        <f ca="1">MAX(0,ROUND(F_Baseline_data!H398+(F_Baseline_data!C398-5)*200+(D398-30000)*0.015+(F398-50)*15-IF(I398=1,1200,0)+_xlfn.NORM.INV(RAND(),0,2500),-2))</f>
        <v>3000</v>
      </c>
      <c r="I398">
        <v>0</v>
      </c>
      <c r="J398">
        <f>1</f>
        <v>1</v>
      </c>
      <c r="K398">
        <f>1</f>
        <v>1</v>
      </c>
      <c r="L398">
        <v>0</v>
      </c>
      <c r="M398">
        <f t="shared" ca="1" si="13"/>
        <v>0.70686282641713527</v>
      </c>
      <c r="N398">
        <v>0</v>
      </c>
      <c r="O398">
        <v>0</v>
      </c>
      <c r="P398">
        <v>0</v>
      </c>
    </row>
    <row r="399" spans="1:16" x14ac:dyDescent="0.3">
      <c r="A399" t="s">
        <v>507</v>
      </c>
      <c r="B399" t="s">
        <v>513</v>
      </c>
      <c r="C399">
        <f ca="1">IF(RAND()&lt;0.8,F_Baseline_data!C399,IF(RAND()&lt;0.85,F_Baseline_data!C399+1,IF(F_Baseline_data!C399&gt;3,C399-1,F_Baseline_data!C399)))</f>
        <v>7</v>
      </c>
      <c r="D399">
        <f ca="1">MAX(5000,ROUND(F_Baseline_data!D399*(1+_xlfn.NORM.INV(RAND(),0.12,0.1)),-2))</f>
        <v>43000</v>
      </c>
      <c r="E399" t="str">
        <f ca="1">IF(I399=1,IF(RAND()&lt;0.95,"Piped Water",F_Baseline_data!E399),F_Baseline_data!E399)</f>
        <v>Borehole</v>
      </c>
      <c r="F399">
        <f t="shared" ca="1" si="12"/>
        <v>52</v>
      </c>
      <c r="G399">
        <v>12.8</v>
      </c>
      <c r="H399">
        <f ca="1">MAX(0,ROUND(F_Baseline_data!H399+(F_Baseline_data!C399-5)*200+(D399-30000)*0.015+(F399-50)*15-IF(I399=1,1200,0)+_xlfn.NORM.INV(RAND(),0,2500),-2))</f>
        <v>4400</v>
      </c>
      <c r="I399">
        <v>0</v>
      </c>
      <c r="J399">
        <f>1</f>
        <v>1</v>
      </c>
      <c r="K399">
        <f>1</f>
        <v>1</v>
      </c>
      <c r="L399">
        <v>0</v>
      </c>
      <c r="M399">
        <f t="shared" ca="1" si="13"/>
        <v>0.23605306826188133</v>
      </c>
      <c r="N399">
        <v>0</v>
      </c>
      <c r="O399">
        <v>0</v>
      </c>
      <c r="P399">
        <v>0</v>
      </c>
    </row>
    <row r="400" spans="1:16" x14ac:dyDescent="0.3">
      <c r="A400" t="s">
        <v>508</v>
      </c>
      <c r="B400" t="s">
        <v>64</v>
      </c>
      <c r="C400">
        <f ca="1">IF(RAND()&lt;0.8,F_Baseline_data!C400,IF(RAND()&lt;0.85,F_Baseline_data!C400+1,IF(F_Baseline_data!C400&gt;3,C400-1,F_Baseline_data!C400)))</f>
        <v>9</v>
      </c>
      <c r="D400">
        <f ca="1">MAX(5000,ROUND(F_Baseline_data!D400*(1+_xlfn.NORM.INV(RAND(),0.12,0.1)),-2))</f>
        <v>92400</v>
      </c>
      <c r="E400" t="str">
        <f ca="1">IF(I400=1,IF(RAND()&lt;0.95,"Piped Water",F_Baseline_data!E400),F_Baseline_data!E400)</f>
        <v>Rainwater</v>
      </c>
      <c r="F400">
        <f t="shared" ca="1" si="12"/>
        <v>35</v>
      </c>
      <c r="G400">
        <v>10.3</v>
      </c>
      <c r="H400">
        <f ca="1">MAX(0,ROUND(F_Baseline_data!H400+(F_Baseline_data!C400-5)*200+(D400-30000)*0.015+(F400-50)*15-IF(I400=1,1200,0)+_xlfn.NORM.INV(RAND(),0,2500),-2))</f>
        <v>8900</v>
      </c>
      <c r="I400">
        <v>0</v>
      </c>
      <c r="J400">
        <f>1</f>
        <v>1</v>
      </c>
      <c r="K400">
        <f>1</f>
        <v>1</v>
      </c>
      <c r="L400">
        <v>0</v>
      </c>
      <c r="M400">
        <f t="shared" ca="1" si="13"/>
        <v>0.93088218652843713</v>
      </c>
      <c r="N400">
        <v>0</v>
      </c>
      <c r="O400">
        <v>0</v>
      </c>
      <c r="P400">
        <v>0</v>
      </c>
    </row>
    <row r="401" spans="1:16" x14ac:dyDescent="0.3">
      <c r="A401" t="s">
        <v>509</v>
      </c>
      <c r="B401" t="s">
        <v>513</v>
      </c>
      <c r="C401">
        <f ca="1">IF(RAND()&lt;0.8,F_Baseline_data!C401,IF(RAND()&lt;0.85,F_Baseline_data!C401+1,IF(F_Baseline_data!C401&gt;3,C401-1,F_Baseline_data!C401)))</f>
        <v>10</v>
      </c>
      <c r="D401">
        <f ca="1">MAX(5000,ROUND(F_Baseline_data!D401*(1+_xlfn.NORM.INV(RAND(),0.12,0.1)),-2))</f>
        <v>85400</v>
      </c>
      <c r="E401" t="str">
        <f ca="1">IF(I401=1,IF(RAND()&lt;0.95,"Piped Water",F_Baseline_data!E401),F_Baseline_data!E401)</f>
        <v>Vendor</v>
      </c>
      <c r="F401">
        <f t="shared" ca="1" si="12"/>
        <v>21</v>
      </c>
      <c r="G401">
        <v>10.4</v>
      </c>
      <c r="H401">
        <f ca="1">MAX(0,ROUND(F_Baseline_data!H401+(F_Baseline_data!C401-5)*200+(D401-30000)*0.015+(F401-50)*15-IF(I401=1,1200,0)+_xlfn.NORM.INV(RAND(),0,2500),-2))</f>
        <v>5900</v>
      </c>
      <c r="I401">
        <v>0</v>
      </c>
      <c r="J401">
        <f>1</f>
        <v>1</v>
      </c>
      <c r="K401">
        <f>1</f>
        <v>1</v>
      </c>
      <c r="L401">
        <v>0</v>
      </c>
      <c r="M401">
        <f t="shared" ca="1" si="13"/>
        <v>0.64070673575721948</v>
      </c>
      <c r="N401">
        <v>0</v>
      </c>
      <c r="O401">
        <v>0</v>
      </c>
      <c r="P401">
        <v>0</v>
      </c>
    </row>
    <row r="402" spans="1:16" x14ac:dyDescent="0.3">
      <c r="A402" t="s">
        <v>514</v>
      </c>
      <c r="B402" t="s">
        <v>65</v>
      </c>
      <c r="C402">
        <f ca="1">IF(RAND()&lt;0.8,F_Baseline_data!C402,IF(RAND()&lt;0.85,F_Baseline_data!C402+1,IF(F_Baseline_data!C402&gt;3,C402-1,F_Baseline_data!C402)))</f>
        <v>5</v>
      </c>
      <c r="D402">
        <f ca="1">MAX(5000,ROUND(F_Baseline_data!D402*(1+_xlfn.NORM.INV(RAND(),0.12,0.1)),-2))</f>
        <v>31600</v>
      </c>
      <c r="E402" t="str">
        <f ca="1">IF(I402=1,IF(RAND()&lt;0.95,"Piped Water",F_Baseline_data!E402),F_Baseline_data!E402)</f>
        <v>River</v>
      </c>
      <c r="F402">
        <f t="shared" ca="1" si="12"/>
        <v>102</v>
      </c>
      <c r="G402">
        <v>13.9</v>
      </c>
      <c r="H402">
        <f ca="1">MAX(0,ROUND(F_Baseline_data!H402+(F_Baseline_data!C402-5)*200+(D402-30000)*0.015+(F402-50)*15-IF(I402=1,1200,0)+_xlfn.NORM.INV(RAND(),0,2500),-2))</f>
        <v>6600</v>
      </c>
      <c r="I402">
        <v>0</v>
      </c>
      <c r="J402">
        <f>1</f>
        <v>1</v>
      </c>
      <c r="K402">
        <f>1</f>
        <v>1</v>
      </c>
      <c r="L402">
        <v>0</v>
      </c>
      <c r="M402">
        <f t="shared" ca="1" si="13"/>
        <v>0.77882616666121995</v>
      </c>
      <c r="N402">
        <v>0</v>
      </c>
      <c r="O402">
        <v>0</v>
      </c>
      <c r="P402">
        <v>0</v>
      </c>
    </row>
    <row r="403" spans="1:16" x14ac:dyDescent="0.3">
      <c r="A403" t="s">
        <v>515</v>
      </c>
      <c r="B403" t="s">
        <v>62</v>
      </c>
      <c r="C403">
        <f ca="1">IF(RAND()&lt;0.8,F_Baseline_data!C403,IF(RAND()&lt;0.85,F_Baseline_data!C403+1,IF(F_Baseline_data!C403&gt;3,C403-1,F_Baseline_data!C403)))</f>
        <v>3</v>
      </c>
      <c r="D403">
        <f ca="1">MAX(5000,ROUND(F_Baseline_data!D403*(1+_xlfn.NORM.INV(RAND(),0.12,0.1)),-2))</f>
        <v>74300</v>
      </c>
      <c r="E403" t="str">
        <f ca="1">IF(I403=1,IF(RAND()&lt;0.95,"Piped Water",F_Baseline_data!E403),F_Baseline_data!E403)</f>
        <v>River</v>
      </c>
      <c r="F403">
        <f t="shared" ca="1" si="12"/>
        <v>116</v>
      </c>
      <c r="G403">
        <v>5.7</v>
      </c>
      <c r="H403">
        <f ca="1">MAX(0,ROUND(F_Baseline_data!H403+(F_Baseline_data!C403-5)*200+(D403-30000)*0.015+(F403-50)*15-IF(I403=1,1200,0)+_xlfn.NORM.INV(RAND(),0,2500),-2))</f>
        <v>10400</v>
      </c>
      <c r="I403">
        <v>0</v>
      </c>
      <c r="J403">
        <f>1</f>
        <v>1</v>
      </c>
      <c r="K403">
        <f>1</f>
        <v>1</v>
      </c>
      <c r="L403">
        <v>0</v>
      </c>
      <c r="M403">
        <f t="shared" ca="1" si="13"/>
        <v>0.23232937064700554</v>
      </c>
      <c r="N403">
        <v>0</v>
      </c>
      <c r="O403">
        <v>0</v>
      </c>
      <c r="P403">
        <v>0</v>
      </c>
    </row>
    <row r="404" spans="1:16" x14ac:dyDescent="0.3">
      <c r="A404" t="s">
        <v>516</v>
      </c>
      <c r="B404" t="s">
        <v>64</v>
      </c>
      <c r="C404">
        <f ca="1">IF(RAND()&lt;0.8,F_Baseline_data!C404,IF(RAND()&lt;0.85,F_Baseline_data!C404+1,IF(F_Baseline_data!C404&gt;3,C404-1,F_Baseline_data!C404)))</f>
        <v>7</v>
      </c>
      <c r="D404">
        <f ca="1">MAX(5000,ROUND(F_Baseline_data!D404*(1+_xlfn.NORM.INV(RAND(),0.12,0.1)),-2))</f>
        <v>41700</v>
      </c>
      <c r="E404" t="str">
        <f ca="1">IF(I404=1,IF(RAND()&lt;0.95,"Piped Water",F_Baseline_data!E404),F_Baseline_data!E404)</f>
        <v>Rainwater</v>
      </c>
      <c r="F404">
        <f t="shared" ca="1" si="12"/>
        <v>52</v>
      </c>
      <c r="G404">
        <v>8.6</v>
      </c>
      <c r="H404">
        <f ca="1">MAX(0,ROUND(F_Baseline_data!H404+(F_Baseline_data!C404-5)*200+(D404-30000)*0.015+(F404-50)*15-IF(I404=1,1200,0)+_xlfn.NORM.INV(RAND(),0,2500),-2))</f>
        <v>5300</v>
      </c>
      <c r="I404">
        <v>0</v>
      </c>
      <c r="J404">
        <f>1</f>
        <v>1</v>
      </c>
      <c r="K404">
        <f>1</f>
        <v>1</v>
      </c>
      <c r="L404">
        <v>0</v>
      </c>
      <c r="M404">
        <f t="shared" ca="1" si="13"/>
        <v>0.49267001978857783</v>
      </c>
      <c r="N404">
        <v>0</v>
      </c>
      <c r="O404">
        <v>0</v>
      </c>
      <c r="P404">
        <v>0</v>
      </c>
    </row>
    <row r="405" spans="1:16" x14ac:dyDescent="0.3">
      <c r="A405" t="s">
        <v>517</v>
      </c>
      <c r="B405" t="s">
        <v>513</v>
      </c>
      <c r="C405">
        <f ca="1">IF(RAND()&lt;0.8,F_Baseline_data!C405,IF(RAND()&lt;0.85,F_Baseline_data!C405+1,IF(F_Baseline_data!C405&gt;3,C405-1,F_Baseline_data!C405)))</f>
        <v>7</v>
      </c>
      <c r="D405">
        <f ca="1">MAX(5000,ROUND(F_Baseline_data!D405*(1+_xlfn.NORM.INV(RAND(),0.12,0.1)),-2))</f>
        <v>20200</v>
      </c>
      <c r="E405" t="str">
        <f ca="1">IF(I405=1,IF(RAND()&lt;0.95,"Piped Water",F_Baseline_data!E405),F_Baseline_data!E405)</f>
        <v>Rainwater</v>
      </c>
      <c r="F405">
        <f t="shared" ca="1" si="12"/>
        <v>17</v>
      </c>
      <c r="G405">
        <v>14</v>
      </c>
      <c r="H405">
        <f ca="1">MAX(0,ROUND(F_Baseline_data!H405+(F_Baseline_data!C405-5)*200+(D405-30000)*0.015+(F405-50)*15-IF(I405=1,1200,0)+_xlfn.NORM.INV(RAND(),0,2500),-2))</f>
        <v>600</v>
      </c>
      <c r="I405">
        <v>0</v>
      </c>
      <c r="J405">
        <f>1</f>
        <v>1</v>
      </c>
      <c r="K405">
        <f>1</f>
        <v>1</v>
      </c>
      <c r="L405">
        <v>0</v>
      </c>
      <c r="M405">
        <f t="shared" ca="1" si="13"/>
        <v>0.24868340672059019</v>
      </c>
      <c r="N405">
        <v>0</v>
      </c>
      <c r="O405">
        <v>0</v>
      </c>
      <c r="P405">
        <v>0</v>
      </c>
    </row>
    <row r="406" spans="1:16" x14ac:dyDescent="0.3">
      <c r="A406" t="s">
        <v>518</v>
      </c>
      <c r="B406" t="s">
        <v>64</v>
      </c>
      <c r="C406">
        <f ca="1">IF(RAND()&lt;0.8,F_Baseline_data!C406,IF(RAND()&lt;0.85,F_Baseline_data!C406+1,IF(F_Baseline_data!C406&gt;3,C406-1,F_Baseline_data!C406)))</f>
        <v>7</v>
      </c>
      <c r="D406">
        <f ca="1">MAX(5000,ROUND(F_Baseline_data!D406*(1+_xlfn.NORM.INV(RAND(),0.12,0.1)),-2))</f>
        <v>27800</v>
      </c>
      <c r="E406" t="str">
        <f ca="1">IF(I406=1,IF(RAND()&lt;0.95,"Piped Water",F_Baseline_data!E406),F_Baseline_data!E406)</f>
        <v>River</v>
      </c>
      <c r="F406">
        <f t="shared" ca="1" si="12"/>
        <v>94</v>
      </c>
      <c r="G406">
        <v>5.9</v>
      </c>
      <c r="H406">
        <f ca="1">MAX(0,ROUND(F_Baseline_data!H406+(F_Baseline_data!C406-5)*200+(D406-30000)*0.015+(F406-50)*15-IF(I406=1,1200,0)+_xlfn.NORM.INV(RAND(),0,2500),-2))</f>
        <v>6700</v>
      </c>
      <c r="I406">
        <v>0</v>
      </c>
      <c r="J406">
        <f>1</f>
        <v>1</v>
      </c>
      <c r="K406">
        <f>1</f>
        <v>1</v>
      </c>
      <c r="L406">
        <v>0</v>
      </c>
      <c r="M406">
        <f t="shared" ca="1" si="13"/>
        <v>0.11263768846442135</v>
      </c>
      <c r="N406">
        <v>0</v>
      </c>
      <c r="O406">
        <v>0</v>
      </c>
      <c r="P406">
        <v>0</v>
      </c>
    </row>
    <row r="407" spans="1:16" x14ac:dyDescent="0.3">
      <c r="A407" t="s">
        <v>519</v>
      </c>
      <c r="B407" t="s">
        <v>513</v>
      </c>
      <c r="C407">
        <f ca="1">IF(RAND()&lt;0.8,F_Baseline_data!C407,IF(RAND()&lt;0.85,F_Baseline_data!C407+1,IF(F_Baseline_data!C407&gt;3,C407-1,F_Baseline_data!C407)))</f>
        <v>7</v>
      </c>
      <c r="D407">
        <f ca="1">MAX(5000,ROUND(F_Baseline_data!D407*(1+_xlfn.NORM.INV(RAND(),0.12,0.1)),-2))</f>
        <v>50000</v>
      </c>
      <c r="E407" t="str">
        <f ca="1">IF(I407=1,IF(RAND()&lt;0.95,"Piped Water",F_Baseline_data!E407),F_Baseline_data!E407)</f>
        <v>Borehole</v>
      </c>
      <c r="F407">
        <f t="shared" ca="1" si="12"/>
        <v>35</v>
      </c>
      <c r="G407">
        <v>13.7</v>
      </c>
      <c r="H407">
        <f ca="1">MAX(0,ROUND(F_Baseline_data!H407+(F_Baseline_data!C407-5)*200+(D407-30000)*0.015+(F407-50)*15-IF(I407=1,1200,0)+_xlfn.NORM.INV(RAND(),0,2500),-2))</f>
        <v>10700</v>
      </c>
      <c r="I407">
        <v>0</v>
      </c>
      <c r="J407">
        <f>1</f>
        <v>1</v>
      </c>
      <c r="K407">
        <f>1</f>
        <v>1</v>
      </c>
      <c r="L407">
        <v>0</v>
      </c>
      <c r="M407">
        <f t="shared" ca="1" si="13"/>
        <v>0.43522994962045436</v>
      </c>
      <c r="N407">
        <v>0</v>
      </c>
      <c r="O407">
        <v>0</v>
      </c>
      <c r="P407">
        <v>0</v>
      </c>
    </row>
    <row r="408" spans="1:16" x14ac:dyDescent="0.3">
      <c r="A408" t="s">
        <v>520</v>
      </c>
      <c r="B408" t="s">
        <v>64</v>
      </c>
      <c r="C408">
        <f ca="1">IF(RAND()&lt;0.8,F_Baseline_data!C408,IF(RAND()&lt;0.85,F_Baseline_data!C408+1,IF(F_Baseline_data!C408&gt;3,C408-1,F_Baseline_data!C408)))</f>
        <v>4</v>
      </c>
      <c r="D408">
        <f ca="1">MAX(5000,ROUND(F_Baseline_data!D408*(1+_xlfn.NORM.INV(RAND(),0.12,0.1)),-2))</f>
        <v>46800</v>
      </c>
      <c r="E408" t="str">
        <f ca="1">IF(I408=1,IF(RAND()&lt;0.95,"Piped Water",F_Baseline_data!E408),F_Baseline_data!E408)</f>
        <v>River</v>
      </c>
      <c r="F408">
        <f t="shared" ca="1" si="12"/>
        <v>81</v>
      </c>
      <c r="G408">
        <v>0.9</v>
      </c>
      <c r="H408">
        <f ca="1">MAX(0,ROUND(F_Baseline_data!H408+(F_Baseline_data!C408-5)*200+(D408-30000)*0.015+(F408-50)*15-IF(I408=1,1200,0)+_xlfn.NORM.INV(RAND(),0,2500),-2))</f>
        <v>2700</v>
      </c>
      <c r="I408">
        <v>0</v>
      </c>
      <c r="J408">
        <f>1</f>
        <v>1</v>
      </c>
      <c r="K408">
        <f>1</f>
        <v>1</v>
      </c>
      <c r="L408">
        <v>0</v>
      </c>
      <c r="M408">
        <f t="shared" ca="1" si="13"/>
        <v>0.70293881203047703</v>
      </c>
      <c r="N408">
        <v>0</v>
      </c>
      <c r="O408">
        <v>0</v>
      </c>
      <c r="P408">
        <v>0</v>
      </c>
    </row>
    <row r="409" spans="1:16" x14ac:dyDescent="0.3">
      <c r="A409" t="s">
        <v>521</v>
      </c>
      <c r="B409" t="s">
        <v>64</v>
      </c>
      <c r="C409">
        <f ca="1">IF(RAND()&lt;0.8,F_Baseline_data!C409,IF(RAND()&lt;0.85,F_Baseline_data!C409+1,IF(F_Baseline_data!C409&gt;3,C409-1,F_Baseline_data!C409)))</f>
        <v>7</v>
      </c>
      <c r="D409">
        <f ca="1">MAX(5000,ROUND(F_Baseline_data!D409*(1+_xlfn.NORM.INV(RAND(),0.12,0.1)),-2))</f>
        <v>23700</v>
      </c>
      <c r="E409" t="str">
        <f ca="1">IF(I409=1,IF(RAND()&lt;0.95,"Piped Water",F_Baseline_data!E409),F_Baseline_data!E409)</f>
        <v>Borehole</v>
      </c>
      <c r="F409">
        <f t="shared" ca="1" si="12"/>
        <v>48</v>
      </c>
      <c r="G409">
        <v>7.2</v>
      </c>
      <c r="H409">
        <f ca="1">MAX(0,ROUND(F_Baseline_data!H409+(F_Baseline_data!C409-5)*200+(D409-30000)*0.015+(F409-50)*15-IF(I409=1,1200,0)+_xlfn.NORM.INV(RAND(),0,2500),-2))</f>
        <v>3500</v>
      </c>
      <c r="I409">
        <v>0</v>
      </c>
      <c r="J409">
        <f>1</f>
        <v>1</v>
      </c>
      <c r="K409">
        <f>1</f>
        <v>1</v>
      </c>
      <c r="L409">
        <v>0</v>
      </c>
      <c r="M409">
        <f t="shared" ca="1" si="13"/>
        <v>0.5219172731016144</v>
      </c>
      <c r="N409">
        <v>0</v>
      </c>
      <c r="O409">
        <v>0</v>
      </c>
      <c r="P409">
        <v>0</v>
      </c>
    </row>
    <row r="410" spans="1:16" x14ac:dyDescent="0.3">
      <c r="A410" t="s">
        <v>522</v>
      </c>
      <c r="B410" t="s">
        <v>65</v>
      </c>
      <c r="C410">
        <f ca="1">IF(RAND()&lt;0.8,F_Baseline_data!C410,IF(RAND()&lt;0.85,F_Baseline_data!C410+1,IF(F_Baseline_data!C410&gt;3,C410-1,F_Baseline_data!C410)))</f>
        <v>10</v>
      </c>
      <c r="D410">
        <f ca="1">MAX(5000,ROUND(F_Baseline_data!D410*(1+_xlfn.NORM.INV(RAND(),0.12,0.1)),-2))</f>
        <v>41400</v>
      </c>
      <c r="E410" t="str">
        <f ca="1">IF(I410=1,IF(RAND()&lt;0.95,"Piped Water",F_Baseline_data!E410),F_Baseline_data!E410)</f>
        <v>Vendor</v>
      </c>
      <c r="F410">
        <f t="shared" ca="1" si="12"/>
        <v>36</v>
      </c>
      <c r="G410">
        <v>13.6</v>
      </c>
      <c r="H410">
        <f ca="1">MAX(0,ROUND(F_Baseline_data!H410+(F_Baseline_data!C410-5)*200+(D410-30000)*0.015+(F410-50)*15-IF(I410=1,1200,0)+_xlfn.NORM.INV(RAND(),0,2500),-2))</f>
        <v>8900</v>
      </c>
      <c r="I410">
        <v>0</v>
      </c>
      <c r="J410">
        <f>1</f>
        <v>1</v>
      </c>
      <c r="K410">
        <f>1</f>
        <v>1</v>
      </c>
      <c r="L410">
        <v>0</v>
      </c>
      <c r="M410">
        <f t="shared" ca="1" si="13"/>
        <v>0.85033775148875901</v>
      </c>
      <c r="N410">
        <v>0</v>
      </c>
      <c r="O410">
        <v>0</v>
      </c>
      <c r="P410">
        <v>0</v>
      </c>
    </row>
    <row r="411" spans="1:16" x14ac:dyDescent="0.3">
      <c r="A411" t="s">
        <v>523</v>
      </c>
      <c r="B411" t="s">
        <v>62</v>
      </c>
      <c r="C411">
        <f ca="1">IF(RAND()&lt;0.8,F_Baseline_data!C411,IF(RAND()&lt;0.85,F_Baseline_data!C411+1,IF(F_Baseline_data!C411&gt;3,C411-1,F_Baseline_data!C411)))</f>
        <v>5</v>
      </c>
      <c r="D411">
        <f ca="1">MAX(5000,ROUND(F_Baseline_data!D411*(1+_xlfn.NORM.INV(RAND(),0.12,0.1)),-2))</f>
        <v>91000</v>
      </c>
      <c r="E411" t="str">
        <f ca="1">IF(I411=1,IF(RAND()&lt;0.95,"Piped Water",F_Baseline_data!E411),F_Baseline_data!E411)</f>
        <v>Vendor</v>
      </c>
      <c r="F411">
        <f t="shared" ca="1" si="12"/>
        <v>55</v>
      </c>
      <c r="G411">
        <v>9.1999999999999993</v>
      </c>
      <c r="H411">
        <f ca="1">MAX(0,ROUND(F_Baseline_data!H411+(F_Baseline_data!C411-5)*200+(D411-30000)*0.015+(F411-50)*15-IF(I411=1,1200,0)+_xlfn.NORM.INV(RAND(),0,2500),-2))</f>
        <v>8000</v>
      </c>
      <c r="I411">
        <v>0</v>
      </c>
      <c r="J411">
        <f>1</f>
        <v>1</v>
      </c>
      <c r="K411">
        <f>1</f>
        <v>1</v>
      </c>
      <c r="L411">
        <v>0</v>
      </c>
      <c r="M411">
        <f t="shared" ca="1" si="13"/>
        <v>0.58502988329604422</v>
      </c>
      <c r="N411">
        <v>0</v>
      </c>
      <c r="O411">
        <v>0</v>
      </c>
      <c r="P411">
        <v>0</v>
      </c>
    </row>
    <row r="412" spans="1:16" x14ac:dyDescent="0.3">
      <c r="A412" t="s">
        <v>524</v>
      </c>
      <c r="B412" t="s">
        <v>513</v>
      </c>
      <c r="C412">
        <f ca="1">IF(RAND()&lt;0.8,F_Baseline_data!C412,IF(RAND()&lt;0.85,F_Baseline_data!C412+1,IF(F_Baseline_data!C412&gt;3,C412-1,F_Baseline_data!C412)))</f>
        <v>5</v>
      </c>
      <c r="D412">
        <f ca="1">MAX(5000,ROUND(F_Baseline_data!D412*(1+_xlfn.NORM.INV(RAND(),0.12,0.1)),-2))</f>
        <v>28800</v>
      </c>
      <c r="E412" t="str">
        <f ca="1">IF(I412=1,IF(RAND()&lt;0.95,"Piped Water",F_Baseline_data!E412),F_Baseline_data!E412)</f>
        <v>Borehole</v>
      </c>
      <c r="F412">
        <f t="shared" ca="1" si="12"/>
        <v>73</v>
      </c>
      <c r="G412">
        <v>11.5</v>
      </c>
      <c r="H412">
        <f ca="1">MAX(0,ROUND(F_Baseline_data!H412+(F_Baseline_data!C412-5)*200+(D412-30000)*0.015+(F412-50)*15-IF(I412=1,1200,0)+_xlfn.NORM.INV(RAND(),0,2500),-2))</f>
        <v>4100</v>
      </c>
      <c r="I412">
        <v>0</v>
      </c>
      <c r="J412">
        <f>1</f>
        <v>1</v>
      </c>
      <c r="K412">
        <f>1</f>
        <v>1</v>
      </c>
      <c r="L412">
        <v>0</v>
      </c>
      <c r="M412">
        <f t="shared" ca="1" si="13"/>
        <v>8.488343584519864E-2</v>
      </c>
      <c r="N412">
        <v>0</v>
      </c>
      <c r="O412">
        <v>0</v>
      </c>
      <c r="P412">
        <v>0</v>
      </c>
    </row>
    <row r="413" spans="1:16" x14ac:dyDescent="0.3">
      <c r="A413" t="s">
        <v>525</v>
      </c>
      <c r="B413" t="s">
        <v>513</v>
      </c>
      <c r="C413">
        <f ca="1">IF(RAND()&lt;0.8,F_Baseline_data!C413,IF(RAND()&lt;0.85,F_Baseline_data!C413+1,IF(F_Baseline_data!C413&gt;3,C413-1,F_Baseline_data!C413)))</f>
        <v>5</v>
      </c>
      <c r="D413">
        <f ca="1">MAX(5000,ROUND(F_Baseline_data!D413*(1+_xlfn.NORM.INV(RAND(),0.12,0.1)),-2))</f>
        <v>17000</v>
      </c>
      <c r="E413" t="str">
        <f ca="1">IF(I413=1,IF(RAND()&lt;0.95,"Piped Water",F_Baseline_data!E413),F_Baseline_data!E413)</f>
        <v>Borehole</v>
      </c>
      <c r="F413">
        <f t="shared" ca="1" si="12"/>
        <v>42</v>
      </c>
      <c r="G413">
        <v>5.0999999999999996</v>
      </c>
      <c r="H413">
        <f ca="1">MAX(0,ROUND(F_Baseline_data!H413+(F_Baseline_data!C413-5)*200+(D413-30000)*0.015+(F413-50)*15-IF(I413=1,1200,0)+_xlfn.NORM.INV(RAND(),0,2500),-2))</f>
        <v>5700</v>
      </c>
      <c r="I413">
        <v>0</v>
      </c>
      <c r="J413">
        <f>1</f>
        <v>1</v>
      </c>
      <c r="K413">
        <f>1</f>
        <v>1</v>
      </c>
      <c r="L413">
        <v>0</v>
      </c>
      <c r="M413">
        <f t="shared" ca="1" si="13"/>
        <v>0.27600021941530606</v>
      </c>
      <c r="N413">
        <v>0</v>
      </c>
      <c r="O413">
        <v>0</v>
      </c>
      <c r="P413">
        <v>0</v>
      </c>
    </row>
    <row r="414" spans="1:16" x14ac:dyDescent="0.3">
      <c r="A414" t="s">
        <v>526</v>
      </c>
      <c r="B414" t="s">
        <v>513</v>
      </c>
      <c r="C414">
        <f ca="1">IF(RAND()&lt;0.8,F_Baseline_data!C414,IF(RAND()&lt;0.85,F_Baseline_data!C414+1,IF(F_Baseline_data!C414&gt;3,C414-1,F_Baseline_data!C414)))</f>
        <v>6</v>
      </c>
      <c r="D414">
        <f ca="1">MAX(5000,ROUND(F_Baseline_data!D414*(1+_xlfn.NORM.INV(RAND(),0.12,0.1)),-2))</f>
        <v>65700</v>
      </c>
      <c r="E414" t="str">
        <f ca="1">IF(I414=1,IF(RAND()&lt;0.95,"Piped Water",F_Baseline_data!E414),F_Baseline_data!E414)</f>
        <v>Vendor</v>
      </c>
      <c r="F414">
        <f t="shared" ca="1" si="12"/>
        <v>47</v>
      </c>
      <c r="G414">
        <v>3.2</v>
      </c>
      <c r="H414">
        <f ca="1">MAX(0,ROUND(F_Baseline_data!H414+(F_Baseline_data!C414-5)*200+(D414-30000)*0.015+(F414-50)*15-IF(I414=1,1200,0)+_xlfn.NORM.INV(RAND(),0,2500),-2))</f>
        <v>4300</v>
      </c>
      <c r="I414">
        <v>0</v>
      </c>
      <c r="J414">
        <f>1</f>
        <v>1</v>
      </c>
      <c r="K414">
        <f>1</f>
        <v>1</v>
      </c>
      <c r="L414">
        <v>0</v>
      </c>
      <c r="M414">
        <f t="shared" ca="1" si="13"/>
        <v>0.99338547004974853</v>
      </c>
      <c r="N414">
        <v>0</v>
      </c>
      <c r="O414">
        <v>0</v>
      </c>
      <c r="P414">
        <v>0</v>
      </c>
    </row>
    <row r="415" spans="1:16" x14ac:dyDescent="0.3">
      <c r="A415" t="s">
        <v>527</v>
      </c>
      <c r="B415" t="s">
        <v>513</v>
      </c>
      <c r="C415">
        <f ca="1">IF(RAND()&lt;0.8,F_Baseline_data!C415,IF(RAND()&lt;0.85,F_Baseline_data!C415+1,IF(F_Baseline_data!C415&gt;3,C415-1,F_Baseline_data!C415)))</f>
        <v>4</v>
      </c>
      <c r="D415">
        <f ca="1">MAX(5000,ROUND(F_Baseline_data!D415*(1+_xlfn.NORM.INV(RAND(),0.12,0.1)),-2))</f>
        <v>22000</v>
      </c>
      <c r="E415" t="str">
        <f ca="1">IF(I415=1,IF(RAND()&lt;0.95,"Piped Water",F_Baseline_data!E415),F_Baseline_data!E415)</f>
        <v>Rainwater</v>
      </c>
      <c r="F415">
        <f t="shared" ca="1" si="12"/>
        <v>67</v>
      </c>
      <c r="G415">
        <v>4.3</v>
      </c>
      <c r="H415">
        <f ca="1">MAX(0,ROUND(F_Baseline_data!H415+(F_Baseline_data!C415-5)*200+(D415-30000)*0.015+(F415-50)*15-IF(I415=1,1200,0)+_xlfn.NORM.INV(RAND(),0,2500),-2))</f>
        <v>6300</v>
      </c>
      <c r="I415">
        <v>0</v>
      </c>
      <c r="J415">
        <f>1</f>
        <v>1</v>
      </c>
      <c r="K415">
        <f>1</f>
        <v>1</v>
      </c>
      <c r="L415">
        <v>0</v>
      </c>
      <c r="M415">
        <f t="shared" ca="1" si="13"/>
        <v>0.5934215811476683</v>
      </c>
      <c r="N415">
        <v>0</v>
      </c>
      <c r="O415">
        <v>0</v>
      </c>
      <c r="P415">
        <v>0</v>
      </c>
    </row>
    <row r="416" spans="1:16" x14ac:dyDescent="0.3">
      <c r="A416" t="s">
        <v>528</v>
      </c>
      <c r="B416" t="s">
        <v>62</v>
      </c>
      <c r="C416">
        <f ca="1">IF(RAND()&lt;0.8,F_Baseline_data!C416,IF(RAND()&lt;0.85,F_Baseline_data!C416+1,IF(F_Baseline_data!C416&gt;3,C416-1,F_Baseline_data!C416)))</f>
        <v>5</v>
      </c>
      <c r="D416">
        <f ca="1">MAX(5000,ROUND(F_Baseline_data!D416*(1+_xlfn.NORM.INV(RAND(),0.12,0.1)),-2))</f>
        <v>34400</v>
      </c>
      <c r="E416" t="str">
        <f ca="1">IF(I416=1,IF(RAND()&lt;0.95,"Piped Water",F_Baseline_data!E416),F_Baseline_data!E416)</f>
        <v>Vendor</v>
      </c>
      <c r="F416">
        <f t="shared" ca="1" si="12"/>
        <v>40</v>
      </c>
      <c r="G416">
        <v>2.2999999999999998</v>
      </c>
      <c r="H416">
        <f ca="1">MAX(0,ROUND(F_Baseline_data!H416+(F_Baseline_data!C416-5)*200+(D416-30000)*0.015+(F416-50)*15-IF(I416=1,1200,0)+_xlfn.NORM.INV(RAND(),0,2500),-2))</f>
        <v>8900</v>
      </c>
      <c r="I416">
        <v>0</v>
      </c>
      <c r="J416">
        <f>1</f>
        <v>1</v>
      </c>
      <c r="K416">
        <f>1</f>
        <v>1</v>
      </c>
      <c r="L416">
        <v>0</v>
      </c>
      <c r="M416">
        <f t="shared" ca="1" si="13"/>
        <v>0.37979901110504621</v>
      </c>
      <c r="N416">
        <v>0</v>
      </c>
      <c r="O416">
        <v>0</v>
      </c>
      <c r="P416">
        <v>0</v>
      </c>
    </row>
    <row r="417" spans="1:16" x14ac:dyDescent="0.3">
      <c r="A417" t="s">
        <v>529</v>
      </c>
      <c r="B417" t="s">
        <v>65</v>
      </c>
      <c r="C417">
        <f ca="1">IF(RAND()&lt;0.8,F_Baseline_data!C417,IF(RAND()&lt;0.85,F_Baseline_data!C417+1,IF(F_Baseline_data!C417&gt;3,C417-1,F_Baseline_data!C417)))</f>
        <v>9</v>
      </c>
      <c r="D417">
        <f ca="1">MAX(5000,ROUND(F_Baseline_data!D417*(1+_xlfn.NORM.INV(RAND(),0.12,0.1)),-2))</f>
        <v>60600</v>
      </c>
      <c r="E417" t="str">
        <f ca="1">IF(I417=1,IF(RAND()&lt;0.95,"Piped Water",F_Baseline_data!E417),F_Baseline_data!E417)</f>
        <v>Rainwater</v>
      </c>
      <c r="F417">
        <f t="shared" ca="1" si="12"/>
        <v>15</v>
      </c>
      <c r="G417">
        <v>8.6999999999999993</v>
      </c>
      <c r="H417">
        <f ca="1">MAX(0,ROUND(F_Baseline_data!H417+(F_Baseline_data!C417-5)*200+(D417-30000)*0.015+(F417-50)*15-IF(I417=1,1200,0)+_xlfn.NORM.INV(RAND(),0,2500),-2))</f>
        <v>2300</v>
      </c>
      <c r="I417">
        <v>0</v>
      </c>
      <c r="J417">
        <f>1</f>
        <v>1</v>
      </c>
      <c r="K417">
        <f>1</f>
        <v>1</v>
      </c>
      <c r="L417">
        <v>0</v>
      </c>
      <c r="M417">
        <f t="shared" ca="1" si="13"/>
        <v>0.83310258439076257</v>
      </c>
      <c r="N417">
        <v>0</v>
      </c>
      <c r="O417">
        <v>0</v>
      </c>
      <c r="P417">
        <v>0</v>
      </c>
    </row>
    <row r="418" spans="1:16" x14ac:dyDescent="0.3">
      <c r="A418" t="s">
        <v>530</v>
      </c>
      <c r="B418" t="s">
        <v>62</v>
      </c>
      <c r="C418">
        <f ca="1">IF(RAND()&lt;0.8,F_Baseline_data!C418,IF(RAND()&lt;0.85,F_Baseline_data!C418+1,IF(F_Baseline_data!C418&gt;3,C418-1,F_Baseline_data!C418)))</f>
        <v>7</v>
      </c>
      <c r="D418">
        <f ca="1">MAX(5000,ROUND(F_Baseline_data!D418*(1+_xlfn.NORM.INV(RAND(),0.12,0.1)),-2))</f>
        <v>19400</v>
      </c>
      <c r="E418" t="str">
        <f ca="1">IF(I418=1,IF(RAND()&lt;0.95,"Piped Water",F_Baseline_data!E418),F_Baseline_data!E418)</f>
        <v>Rainwater</v>
      </c>
      <c r="F418">
        <f t="shared" ca="1" si="12"/>
        <v>38</v>
      </c>
      <c r="G418">
        <v>4</v>
      </c>
      <c r="H418">
        <f ca="1">MAX(0,ROUND(F_Baseline_data!H418+(F_Baseline_data!C418-5)*200+(D418-30000)*0.015+(F418-50)*15-IF(I418=1,1200,0)+_xlfn.NORM.INV(RAND(),0,2500),-2))</f>
        <v>4400</v>
      </c>
      <c r="I418">
        <v>0</v>
      </c>
      <c r="J418">
        <f>1</f>
        <v>1</v>
      </c>
      <c r="K418">
        <f>1</f>
        <v>1</v>
      </c>
      <c r="L418">
        <v>0</v>
      </c>
      <c r="M418">
        <f t="shared" ca="1" si="13"/>
        <v>0.77579604491420939</v>
      </c>
      <c r="N418">
        <v>0</v>
      </c>
      <c r="O418">
        <v>0</v>
      </c>
      <c r="P418">
        <v>0</v>
      </c>
    </row>
    <row r="419" spans="1:16" x14ac:dyDescent="0.3">
      <c r="A419" t="s">
        <v>531</v>
      </c>
      <c r="B419" t="s">
        <v>64</v>
      </c>
      <c r="C419">
        <f ca="1">IF(RAND()&lt;0.8,F_Baseline_data!C419,IF(RAND()&lt;0.85,F_Baseline_data!C419+1,IF(F_Baseline_data!C419&gt;3,C419-1,F_Baseline_data!C419)))</f>
        <v>6</v>
      </c>
      <c r="D419">
        <f ca="1">MAX(5000,ROUND(F_Baseline_data!D419*(1+_xlfn.NORM.INV(RAND(),0.12,0.1)),-2))</f>
        <v>45400</v>
      </c>
      <c r="E419" t="str">
        <f ca="1">IF(I419=1,IF(RAND()&lt;0.95,"Piped Water",F_Baseline_data!E419),F_Baseline_data!E419)</f>
        <v>Rainwater</v>
      </c>
      <c r="F419">
        <f t="shared" ca="1" si="12"/>
        <v>40</v>
      </c>
      <c r="G419">
        <v>6.5</v>
      </c>
      <c r="H419">
        <f ca="1">MAX(0,ROUND(F_Baseline_data!H419+(F_Baseline_data!C419-5)*200+(D419-30000)*0.015+(F419-50)*15-IF(I419=1,1200,0)+_xlfn.NORM.INV(RAND(),0,2500),-2))</f>
        <v>3800</v>
      </c>
      <c r="I419">
        <v>0</v>
      </c>
      <c r="J419">
        <f>1</f>
        <v>1</v>
      </c>
      <c r="K419">
        <f>1</f>
        <v>1</v>
      </c>
      <c r="L419">
        <v>0</v>
      </c>
      <c r="M419">
        <f t="shared" ca="1" si="13"/>
        <v>0.96785852131274663</v>
      </c>
      <c r="N419">
        <v>0</v>
      </c>
      <c r="O419">
        <v>0</v>
      </c>
      <c r="P419">
        <v>0</v>
      </c>
    </row>
    <row r="420" spans="1:16" x14ac:dyDescent="0.3">
      <c r="A420" t="s">
        <v>532</v>
      </c>
      <c r="B420" t="s">
        <v>65</v>
      </c>
      <c r="C420">
        <f ca="1">IF(RAND()&lt;0.8,F_Baseline_data!C420,IF(RAND()&lt;0.85,F_Baseline_data!C420+1,IF(F_Baseline_data!C420&gt;3,C420-1,F_Baseline_data!C420)))</f>
        <v>6</v>
      </c>
      <c r="D420">
        <f ca="1">MAX(5000,ROUND(F_Baseline_data!D420*(1+_xlfn.NORM.INV(RAND(),0.12,0.1)),-2))</f>
        <v>86500</v>
      </c>
      <c r="E420" t="str">
        <f ca="1">IF(I420=1,IF(RAND()&lt;0.95,"Piped Water",F_Baseline_data!E420),F_Baseline_data!E420)</f>
        <v>River</v>
      </c>
      <c r="F420">
        <f t="shared" ca="1" si="12"/>
        <v>53</v>
      </c>
      <c r="G420">
        <v>6.3</v>
      </c>
      <c r="H420">
        <f ca="1">MAX(0,ROUND(F_Baseline_data!H420+(F_Baseline_data!C420-5)*200+(D420-30000)*0.015+(F420-50)*15-IF(I420=1,1200,0)+_xlfn.NORM.INV(RAND(),0,2500),-2))</f>
        <v>9300</v>
      </c>
      <c r="I420">
        <v>0</v>
      </c>
      <c r="J420">
        <f>1</f>
        <v>1</v>
      </c>
      <c r="K420">
        <f>1</f>
        <v>1</v>
      </c>
      <c r="L420">
        <v>0</v>
      </c>
      <c r="M420">
        <f t="shared" ca="1" si="13"/>
        <v>0.17333627127268136</v>
      </c>
      <c r="N420">
        <v>0</v>
      </c>
      <c r="O420">
        <v>0</v>
      </c>
      <c r="P420">
        <v>0</v>
      </c>
    </row>
    <row r="421" spans="1:16" x14ac:dyDescent="0.3">
      <c r="A421" t="s">
        <v>533</v>
      </c>
      <c r="B421" t="s">
        <v>513</v>
      </c>
      <c r="C421">
        <f ca="1">IF(RAND()&lt;0.8,F_Baseline_data!C421,IF(RAND()&lt;0.85,F_Baseline_data!C421+1,IF(F_Baseline_data!C421&gt;3,C421-1,F_Baseline_data!C421)))</f>
        <v>5</v>
      </c>
      <c r="D421">
        <f ca="1">MAX(5000,ROUND(F_Baseline_data!D421*(1+_xlfn.NORM.INV(RAND(),0.12,0.1)),-2))</f>
        <v>70500</v>
      </c>
      <c r="E421" t="str">
        <f ca="1">IF(I421=1,IF(RAND()&lt;0.95,"Piped Water",F_Baseline_data!E421),F_Baseline_data!E421)</f>
        <v>Borehole</v>
      </c>
      <c r="F421">
        <f t="shared" ca="1" si="12"/>
        <v>62</v>
      </c>
      <c r="G421">
        <v>1.9</v>
      </c>
      <c r="H421">
        <f ca="1">MAX(0,ROUND(F_Baseline_data!H421+(F_Baseline_data!C421-5)*200+(D421-30000)*0.015+(F421-50)*15-IF(I421=1,1200,0)+_xlfn.NORM.INV(RAND(),0,2500),-2))</f>
        <v>7900</v>
      </c>
      <c r="I421">
        <v>0</v>
      </c>
      <c r="J421">
        <f>1</f>
        <v>1</v>
      </c>
      <c r="K421">
        <f>1</f>
        <v>1</v>
      </c>
      <c r="L421">
        <v>0</v>
      </c>
      <c r="M421">
        <f t="shared" ca="1" si="13"/>
        <v>0.4974104382766904</v>
      </c>
      <c r="N421">
        <v>0</v>
      </c>
      <c r="O421">
        <v>0</v>
      </c>
      <c r="P421">
        <v>0</v>
      </c>
    </row>
    <row r="422" spans="1:16" x14ac:dyDescent="0.3">
      <c r="A422" t="s">
        <v>534</v>
      </c>
      <c r="B422" t="s">
        <v>513</v>
      </c>
      <c r="C422">
        <f ca="1">IF(RAND()&lt;0.8,F_Baseline_data!C422,IF(RAND()&lt;0.85,F_Baseline_data!C422+1,IF(F_Baseline_data!C422&gt;3,C422-1,F_Baseline_data!C422)))</f>
        <v>6</v>
      </c>
      <c r="D422">
        <f ca="1">MAX(5000,ROUND(F_Baseline_data!D422*(1+_xlfn.NORM.INV(RAND(),0.12,0.1)),-2))</f>
        <v>45400</v>
      </c>
      <c r="E422" t="str">
        <f ca="1">IF(I422=1,IF(RAND()&lt;0.95,"Piped Water",F_Baseline_data!E422),F_Baseline_data!E422)</f>
        <v>Vendor</v>
      </c>
      <c r="F422">
        <f t="shared" ca="1" si="12"/>
        <v>18</v>
      </c>
      <c r="G422">
        <v>5.9</v>
      </c>
      <c r="H422">
        <f ca="1">MAX(0,ROUND(F_Baseline_data!H422+(F_Baseline_data!C422-5)*200+(D422-30000)*0.015+(F422-50)*15-IF(I422=1,1200,0)+_xlfn.NORM.INV(RAND(),0,2500),-2))</f>
        <v>1500</v>
      </c>
      <c r="I422">
        <v>0</v>
      </c>
      <c r="J422">
        <f>1</f>
        <v>1</v>
      </c>
      <c r="K422">
        <f>1</f>
        <v>1</v>
      </c>
      <c r="L422">
        <v>0</v>
      </c>
      <c r="M422">
        <f t="shared" ca="1" si="13"/>
        <v>0.2488152402797601</v>
      </c>
      <c r="N422">
        <v>0</v>
      </c>
      <c r="O422">
        <v>0</v>
      </c>
      <c r="P422">
        <v>0</v>
      </c>
    </row>
    <row r="423" spans="1:16" x14ac:dyDescent="0.3">
      <c r="A423" t="s">
        <v>535</v>
      </c>
      <c r="B423" t="s">
        <v>62</v>
      </c>
      <c r="C423">
        <f ca="1">IF(RAND()&lt;0.8,F_Baseline_data!C423,IF(RAND()&lt;0.85,F_Baseline_data!C423+1,IF(F_Baseline_data!C423&gt;3,C423-1,F_Baseline_data!C423)))</f>
        <v>7</v>
      </c>
      <c r="D423">
        <f ca="1">MAX(5000,ROUND(F_Baseline_data!D423*(1+_xlfn.NORM.INV(RAND(),0.12,0.1)),-2))</f>
        <v>127400</v>
      </c>
      <c r="E423" t="str">
        <f ca="1">IF(I423=1,IF(RAND()&lt;0.95,"Piped Water",F_Baseline_data!E423),F_Baseline_data!E423)</f>
        <v>Vendor</v>
      </c>
      <c r="F423">
        <f t="shared" ca="1" si="12"/>
        <v>37</v>
      </c>
      <c r="G423">
        <v>3.5</v>
      </c>
      <c r="H423">
        <f ca="1">MAX(0,ROUND(F_Baseline_data!H423+(F_Baseline_data!C423-5)*200+(D423-30000)*0.015+(F423-50)*15-IF(I423=1,1200,0)+_xlfn.NORM.INV(RAND(),0,2500),-2))</f>
        <v>7900</v>
      </c>
      <c r="I423">
        <v>0</v>
      </c>
      <c r="J423">
        <f>1</f>
        <v>1</v>
      </c>
      <c r="K423">
        <f>1</f>
        <v>1</v>
      </c>
      <c r="L423">
        <v>0</v>
      </c>
      <c r="M423">
        <f t="shared" ca="1" si="13"/>
        <v>0.54652432299475928</v>
      </c>
      <c r="N423">
        <v>0</v>
      </c>
      <c r="O423">
        <v>0</v>
      </c>
      <c r="P423">
        <v>0</v>
      </c>
    </row>
    <row r="424" spans="1:16" x14ac:dyDescent="0.3">
      <c r="A424" t="s">
        <v>536</v>
      </c>
      <c r="B424" t="s">
        <v>65</v>
      </c>
      <c r="C424">
        <f ca="1">IF(RAND()&lt;0.8,F_Baseline_data!C424,IF(RAND()&lt;0.85,F_Baseline_data!C424+1,IF(F_Baseline_data!C424&gt;3,C424-1,F_Baseline_data!C424)))</f>
        <v>7</v>
      </c>
      <c r="D424">
        <f ca="1">MAX(5000,ROUND(F_Baseline_data!D424*(1+_xlfn.NORM.INV(RAND(),0.12,0.1)),-2))</f>
        <v>85600</v>
      </c>
      <c r="E424" t="str">
        <f ca="1">IF(I424=1,IF(RAND()&lt;0.95,"Piped Water",F_Baseline_data!E424),F_Baseline_data!E424)</f>
        <v>Vendor</v>
      </c>
      <c r="F424">
        <f t="shared" ca="1" si="12"/>
        <v>49</v>
      </c>
      <c r="G424">
        <v>1.5</v>
      </c>
      <c r="H424">
        <f ca="1">MAX(0,ROUND(F_Baseline_data!H424+(F_Baseline_data!C424-5)*200+(D424-30000)*0.015+(F424-50)*15-IF(I424=1,1200,0)+_xlfn.NORM.INV(RAND(),0,2500),-2))</f>
        <v>6100</v>
      </c>
      <c r="I424">
        <v>0</v>
      </c>
      <c r="J424">
        <f>1</f>
        <v>1</v>
      </c>
      <c r="K424">
        <f>1</f>
        <v>1</v>
      </c>
      <c r="L424">
        <v>0</v>
      </c>
      <c r="M424">
        <f t="shared" ca="1" si="13"/>
        <v>0.38585839884092321</v>
      </c>
      <c r="N424">
        <v>0</v>
      </c>
      <c r="O424">
        <v>0</v>
      </c>
      <c r="P424">
        <v>0</v>
      </c>
    </row>
    <row r="425" spans="1:16" x14ac:dyDescent="0.3">
      <c r="A425" t="s">
        <v>537</v>
      </c>
      <c r="B425" t="s">
        <v>62</v>
      </c>
      <c r="C425">
        <f ca="1">IF(RAND()&lt;0.8,F_Baseline_data!C425,IF(RAND()&lt;0.85,F_Baseline_data!C425+1,IF(F_Baseline_data!C425&gt;3,C425-1,F_Baseline_data!C425)))</f>
        <v>4</v>
      </c>
      <c r="D425">
        <f ca="1">MAX(5000,ROUND(F_Baseline_data!D425*(1+_xlfn.NORM.INV(RAND(),0.12,0.1)),-2))</f>
        <v>39900</v>
      </c>
      <c r="E425" t="str">
        <f ca="1">IF(I425=1,IF(RAND()&lt;0.95,"Piped Water",F_Baseline_data!E425),F_Baseline_data!E425)</f>
        <v>Borehole</v>
      </c>
      <c r="F425">
        <f t="shared" ca="1" si="12"/>
        <v>71</v>
      </c>
      <c r="G425">
        <v>3.5</v>
      </c>
      <c r="H425">
        <f ca="1">MAX(0,ROUND(F_Baseline_data!H425+(F_Baseline_data!C425-5)*200+(D425-30000)*0.015+(F425-50)*15-IF(I425=1,1200,0)+_xlfn.NORM.INV(RAND(),0,2500),-2))</f>
        <v>12100</v>
      </c>
      <c r="I425">
        <v>0</v>
      </c>
      <c r="J425">
        <f>1</f>
        <v>1</v>
      </c>
      <c r="K425">
        <f>1</f>
        <v>1</v>
      </c>
      <c r="L425">
        <v>0</v>
      </c>
      <c r="M425">
        <f t="shared" ca="1" si="13"/>
        <v>0.92589543973058253</v>
      </c>
      <c r="N425">
        <v>0</v>
      </c>
      <c r="O425">
        <v>0</v>
      </c>
      <c r="P425">
        <v>0</v>
      </c>
    </row>
    <row r="426" spans="1:16" x14ac:dyDescent="0.3">
      <c r="A426" t="s">
        <v>538</v>
      </c>
      <c r="B426" t="s">
        <v>65</v>
      </c>
      <c r="C426">
        <f ca="1">IF(RAND()&lt;0.8,F_Baseline_data!C426,IF(RAND()&lt;0.85,F_Baseline_data!C426+1,IF(F_Baseline_data!C426&gt;3,C426-1,F_Baseline_data!C426)))</f>
        <v>6</v>
      </c>
      <c r="D426">
        <f ca="1">MAX(5000,ROUND(F_Baseline_data!D426*(1+_xlfn.NORM.INV(RAND(),0.12,0.1)),-2))</f>
        <v>13700</v>
      </c>
      <c r="E426" t="str">
        <f ca="1">IF(I426=1,IF(RAND()&lt;0.95,"Piped Water",F_Baseline_data!E426),F_Baseline_data!E426)</f>
        <v>Borehole</v>
      </c>
      <c r="F426">
        <f t="shared" ca="1" si="12"/>
        <v>71</v>
      </c>
      <c r="G426">
        <v>5.8</v>
      </c>
      <c r="H426">
        <f ca="1">MAX(0,ROUND(F_Baseline_data!H426+(F_Baseline_data!C426-5)*200+(D426-30000)*0.015+(F426-50)*15-IF(I426=1,1200,0)+_xlfn.NORM.INV(RAND(),0,2500),-2))</f>
        <v>400</v>
      </c>
      <c r="I426">
        <v>0</v>
      </c>
      <c r="J426">
        <f>1</f>
        <v>1</v>
      </c>
      <c r="K426">
        <f>1</f>
        <v>1</v>
      </c>
      <c r="L426">
        <v>0</v>
      </c>
      <c r="M426">
        <f t="shared" ca="1" si="13"/>
        <v>0.19071334061720147</v>
      </c>
      <c r="N426">
        <v>0</v>
      </c>
      <c r="O426">
        <v>0</v>
      </c>
      <c r="P426">
        <v>0</v>
      </c>
    </row>
    <row r="427" spans="1:16" x14ac:dyDescent="0.3">
      <c r="A427" t="s">
        <v>539</v>
      </c>
      <c r="B427" t="s">
        <v>64</v>
      </c>
      <c r="C427">
        <f ca="1">IF(RAND()&lt;0.8,F_Baseline_data!C427,IF(RAND()&lt;0.85,F_Baseline_data!C427+1,IF(F_Baseline_data!C427&gt;3,C427-1,F_Baseline_data!C427)))</f>
        <v>3</v>
      </c>
      <c r="D427">
        <f ca="1">MAX(5000,ROUND(F_Baseline_data!D427*(1+_xlfn.NORM.INV(RAND(),0.12,0.1)),-2))</f>
        <v>43600</v>
      </c>
      <c r="E427" t="str">
        <f ca="1">IF(I427=1,IF(RAND()&lt;0.95,"Piped Water",F_Baseline_data!E427),F_Baseline_data!E427)</f>
        <v>Vendor</v>
      </c>
      <c r="F427">
        <f t="shared" ca="1" si="12"/>
        <v>25</v>
      </c>
      <c r="G427">
        <v>3.2</v>
      </c>
      <c r="H427">
        <f ca="1">MAX(0,ROUND(F_Baseline_data!H427+(F_Baseline_data!C427-5)*200+(D427-30000)*0.015+(F427-50)*15-IF(I427=1,1200,0)+_xlfn.NORM.INV(RAND(),0,2500),-2))</f>
        <v>4900</v>
      </c>
      <c r="I427">
        <v>0</v>
      </c>
      <c r="J427">
        <f>1</f>
        <v>1</v>
      </c>
      <c r="K427">
        <f>1</f>
        <v>1</v>
      </c>
      <c r="L427">
        <v>0</v>
      </c>
      <c r="M427">
        <f t="shared" ca="1" si="13"/>
        <v>0.52503538766989366</v>
      </c>
      <c r="N427">
        <v>0</v>
      </c>
      <c r="O427">
        <v>0</v>
      </c>
      <c r="P427">
        <v>0</v>
      </c>
    </row>
    <row r="428" spans="1:16" x14ac:dyDescent="0.3">
      <c r="A428" t="s">
        <v>540</v>
      </c>
      <c r="B428" t="s">
        <v>65</v>
      </c>
      <c r="C428">
        <f ca="1">IF(RAND()&lt;0.8,F_Baseline_data!C428,IF(RAND()&lt;0.85,F_Baseline_data!C428+1,IF(F_Baseline_data!C428&gt;3,C428-1,F_Baseline_data!C428)))</f>
        <v>7</v>
      </c>
      <c r="D428">
        <f ca="1">MAX(5000,ROUND(F_Baseline_data!D428*(1+_xlfn.NORM.INV(RAND(),0.12,0.1)),-2))</f>
        <v>32300</v>
      </c>
      <c r="E428" t="str">
        <f ca="1">IF(I428=1,IF(RAND()&lt;0.95,"Piped Water",F_Baseline_data!E428),F_Baseline_data!E428)</f>
        <v>River</v>
      </c>
      <c r="F428">
        <f t="shared" ca="1" si="12"/>
        <v>116</v>
      </c>
      <c r="G428">
        <v>4.3</v>
      </c>
      <c r="H428">
        <f ca="1">MAX(0,ROUND(F_Baseline_data!H428+(F_Baseline_data!C428-5)*200+(D428-30000)*0.015+(F428-50)*15-IF(I428=1,1200,0)+_xlfn.NORM.INV(RAND(),0,2500),-2))</f>
        <v>11800</v>
      </c>
      <c r="I428">
        <v>0</v>
      </c>
      <c r="J428">
        <f>1</f>
        <v>1</v>
      </c>
      <c r="K428">
        <f>1</f>
        <v>1</v>
      </c>
      <c r="L428">
        <v>0</v>
      </c>
      <c r="M428">
        <f t="shared" ca="1" si="13"/>
        <v>0.574752808029386</v>
      </c>
      <c r="N428">
        <v>0</v>
      </c>
      <c r="O428">
        <v>0</v>
      </c>
      <c r="P428">
        <v>0</v>
      </c>
    </row>
    <row r="429" spans="1:16" x14ac:dyDescent="0.3">
      <c r="A429" t="s">
        <v>541</v>
      </c>
      <c r="B429" t="s">
        <v>513</v>
      </c>
      <c r="C429">
        <f ca="1">IF(RAND()&lt;0.8,F_Baseline_data!C429,IF(RAND()&lt;0.85,F_Baseline_data!C429+1,IF(F_Baseline_data!C429&gt;3,C429-1,F_Baseline_data!C429)))</f>
        <v>8</v>
      </c>
      <c r="D429">
        <f ca="1">MAX(5000,ROUND(F_Baseline_data!D429*(1+_xlfn.NORM.INV(RAND(),0.12,0.1)),-2))</f>
        <v>109800</v>
      </c>
      <c r="E429" t="str">
        <f ca="1">IF(I429=1,IF(RAND()&lt;0.95,"Piped Water",F_Baseline_data!E429),F_Baseline_data!E429)</f>
        <v>River</v>
      </c>
      <c r="F429">
        <f t="shared" ca="1" si="12"/>
        <v>101</v>
      </c>
      <c r="G429">
        <v>14</v>
      </c>
      <c r="H429">
        <f ca="1">MAX(0,ROUND(F_Baseline_data!H429+(F_Baseline_data!C429-5)*200+(D429-30000)*0.015+(F429-50)*15-IF(I429=1,1200,0)+_xlfn.NORM.INV(RAND(),0,2500),-2))</f>
        <v>17900</v>
      </c>
      <c r="I429">
        <v>0</v>
      </c>
      <c r="J429">
        <f>1</f>
        <v>1</v>
      </c>
      <c r="K429">
        <f>1</f>
        <v>1</v>
      </c>
      <c r="L429">
        <v>0</v>
      </c>
      <c r="M429">
        <f t="shared" ca="1" si="13"/>
        <v>7.1432537066467017E-2</v>
      </c>
      <c r="N429">
        <v>0</v>
      </c>
      <c r="O429">
        <v>0</v>
      </c>
      <c r="P429">
        <v>0</v>
      </c>
    </row>
    <row r="430" spans="1:16" x14ac:dyDescent="0.3">
      <c r="A430" t="s">
        <v>542</v>
      </c>
      <c r="B430" t="s">
        <v>65</v>
      </c>
      <c r="C430">
        <f ca="1">IF(RAND()&lt;0.8,F_Baseline_data!C430,IF(RAND()&lt;0.85,F_Baseline_data!C430+1,IF(F_Baseline_data!C430&gt;3,C430-1,F_Baseline_data!C430)))</f>
        <v>3</v>
      </c>
      <c r="D430">
        <f ca="1">MAX(5000,ROUND(F_Baseline_data!D430*(1+_xlfn.NORM.INV(RAND(),0.12,0.1)),-2))</f>
        <v>51600</v>
      </c>
      <c r="E430" t="str">
        <f ca="1">IF(I430=1,IF(RAND()&lt;0.95,"Piped Water",F_Baseline_data!E430),F_Baseline_data!E430)</f>
        <v>Rainwater</v>
      </c>
      <c r="F430">
        <f t="shared" ca="1" si="12"/>
        <v>21</v>
      </c>
      <c r="G430">
        <v>6.7</v>
      </c>
      <c r="H430">
        <f ca="1">MAX(0,ROUND(F_Baseline_data!H430+(F_Baseline_data!C430-5)*200+(D430-30000)*0.015+(F430-50)*15-IF(I430=1,1200,0)+_xlfn.NORM.INV(RAND(),0,2500),-2))</f>
        <v>11000</v>
      </c>
      <c r="I430">
        <v>0</v>
      </c>
      <c r="J430">
        <f>1</f>
        <v>1</v>
      </c>
      <c r="K430">
        <f>1</f>
        <v>1</v>
      </c>
      <c r="L430">
        <v>0</v>
      </c>
      <c r="M430">
        <f t="shared" ca="1" si="13"/>
        <v>8.3290923737830092E-2</v>
      </c>
      <c r="N430">
        <v>0</v>
      </c>
      <c r="O430">
        <v>0</v>
      </c>
      <c r="P430">
        <v>0</v>
      </c>
    </row>
    <row r="431" spans="1:16" x14ac:dyDescent="0.3">
      <c r="A431" t="s">
        <v>543</v>
      </c>
      <c r="B431" t="s">
        <v>65</v>
      </c>
      <c r="C431">
        <f ca="1">IF(RAND()&lt;0.8,F_Baseline_data!C431,IF(RAND()&lt;0.85,F_Baseline_data!C431+1,IF(F_Baseline_data!C431&gt;3,C431-1,F_Baseline_data!C431)))</f>
        <v>3</v>
      </c>
      <c r="D431">
        <f ca="1">MAX(5000,ROUND(F_Baseline_data!D431*(1+_xlfn.NORM.INV(RAND(),0.12,0.1)),-2))</f>
        <v>13300</v>
      </c>
      <c r="E431" t="str">
        <f ca="1">IF(I431=1,IF(RAND()&lt;0.95,"Piped Water",F_Baseline_data!E431),F_Baseline_data!E431)</f>
        <v>River</v>
      </c>
      <c r="F431">
        <f t="shared" ca="1" si="12"/>
        <v>110</v>
      </c>
      <c r="G431">
        <v>11.3</v>
      </c>
      <c r="H431">
        <f ca="1">MAX(0,ROUND(F_Baseline_data!H431+(F_Baseline_data!C431-5)*200+(D431-30000)*0.015+(F431-50)*15-IF(I431=1,1200,0)+_xlfn.NORM.INV(RAND(),0,2500),-2))</f>
        <v>7500</v>
      </c>
      <c r="I431">
        <v>0</v>
      </c>
      <c r="J431">
        <f>1</f>
        <v>1</v>
      </c>
      <c r="K431">
        <f>1</f>
        <v>1</v>
      </c>
      <c r="L431">
        <v>0</v>
      </c>
      <c r="M431">
        <f t="shared" ca="1" si="13"/>
        <v>0.22791072370961796</v>
      </c>
      <c r="N431">
        <v>0</v>
      </c>
      <c r="O431">
        <v>0</v>
      </c>
      <c r="P431">
        <v>0</v>
      </c>
    </row>
    <row r="432" spans="1:16" x14ac:dyDescent="0.3">
      <c r="A432" t="s">
        <v>544</v>
      </c>
      <c r="B432" t="s">
        <v>65</v>
      </c>
      <c r="C432">
        <f ca="1">IF(RAND()&lt;0.8,F_Baseline_data!C432,IF(RAND()&lt;0.85,F_Baseline_data!C432+1,IF(F_Baseline_data!C432&gt;3,C432-1,F_Baseline_data!C432)))</f>
        <v>8</v>
      </c>
      <c r="D432">
        <f ca="1">MAX(5000,ROUND(F_Baseline_data!D432*(1+_xlfn.NORM.INV(RAND(),0.12,0.1)),-2))</f>
        <v>58200</v>
      </c>
      <c r="E432" t="str">
        <f ca="1">IF(I432=1,IF(RAND()&lt;0.95,"Piped Water",F_Baseline_data!E432),F_Baseline_data!E432)</f>
        <v>River</v>
      </c>
      <c r="F432">
        <f t="shared" ca="1" si="12"/>
        <v>51</v>
      </c>
      <c r="G432">
        <v>5.3</v>
      </c>
      <c r="H432">
        <f ca="1">MAX(0,ROUND(F_Baseline_data!H432+(F_Baseline_data!C432-5)*200+(D432-30000)*0.015+(F432-50)*15-IF(I432=1,1200,0)+_xlfn.NORM.INV(RAND(),0,2500),-2))</f>
        <v>13700</v>
      </c>
      <c r="I432">
        <v>0</v>
      </c>
      <c r="J432">
        <f>1</f>
        <v>1</v>
      </c>
      <c r="K432">
        <f>1</f>
        <v>1</v>
      </c>
      <c r="L432">
        <v>0</v>
      </c>
      <c r="M432">
        <f t="shared" ca="1" si="13"/>
        <v>0.91278211356887062</v>
      </c>
      <c r="N432">
        <v>0</v>
      </c>
      <c r="O432">
        <v>0</v>
      </c>
      <c r="P432">
        <v>0</v>
      </c>
    </row>
    <row r="433" spans="1:16" x14ac:dyDescent="0.3">
      <c r="A433" t="s">
        <v>545</v>
      </c>
      <c r="B433" t="s">
        <v>64</v>
      </c>
      <c r="C433">
        <f ca="1">IF(RAND()&lt;0.8,F_Baseline_data!C433,IF(RAND()&lt;0.85,F_Baseline_data!C433+1,IF(F_Baseline_data!C433&gt;3,C433-1,F_Baseline_data!C433)))</f>
        <v>5</v>
      </c>
      <c r="D433">
        <f ca="1">MAX(5000,ROUND(F_Baseline_data!D433*(1+_xlfn.NORM.INV(RAND(),0.12,0.1)),-2))</f>
        <v>21600</v>
      </c>
      <c r="E433" t="str">
        <f ca="1">IF(I433=1,IF(RAND()&lt;0.95,"Piped Water",F_Baseline_data!E433),F_Baseline_data!E433)</f>
        <v>River</v>
      </c>
      <c r="F433">
        <f t="shared" ca="1" si="12"/>
        <v>112</v>
      </c>
      <c r="G433">
        <v>9.3000000000000007</v>
      </c>
      <c r="H433">
        <f ca="1">MAX(0,ROUND(F_Baseline_data!H433+(F_Baseline_data!C433-5)*200+(D433-30000)*0.015+(F433-50)*15-IF(I433=1,1200,0)+_xlfn.NORM.INV(RAND(),0,2500),-2))</f>
        <v>8600</v>
      </c>
      <c r="I433">
        <v>0</v>
      </c>
      <c r="J433">
        <f>1</f>
        <v>1</v>
      </c>
      <c r="K433">
        <f>1</f>
        <v>1</v>
      </c>
      <c r="L433">
        <v>0</v>
      </c>
      <c r="M433">
        <f t="shared" ca="1" si="13"/>
        <v>0.37635214558418684</v>
      </c>
      <c r="N433">
        <v>0</v>
      </c>
      <c r="O433">
        <v>0</v>
      </c>
      <c r="P433">
        <v>0</v>
      </c>
    </row>
    <row r="434" spans="1:16" x14ac:dyDescent="0.3">
      <c r="A434" t="s">
        <v>546</v>
      </c>
      <c r="B434" t="s">
        <v>64</v>
      </c>
      <c r="C434">
        <f ca="1">IF(RAND()&lt;0.8,F_Baseline_data!C434,IF(RAND()&lt;0.85,F_Baseline_data!C434+1,IF(F_Baseline_data!C434&gt;3,C434-1,F_Baseline_data!C434)))</f>
        <v>4</v>
      </c>
      <c r="D434">
        <f ca="1">MAX(5000,ROUND(F_Baseline_data!D434*(1+_xlfn.NORM.INV(RAND(),0.12,0.1)),-2))</f>
        <v>30300</v>
      </c>
      <c r="E434" t="str">
        <f ca="1">IF(I434=1,IF(RAND()&lt;0.95,"Piped Water",F_Baseline_data!E434),F_Baseline_data!E434)</f>
        <v>Vendor</v>
      </c>
      <c r="F434">
        <f t="shared" ca="1" si="12"/>
        <v>54</v>
      </c>
      <c r="G434">
        <v>11.5</v>
      </c>
      <c r="H434">
        <f ca="1">MAX(0,ROUND(F_Baseline_data!H434+(F_Baseline_data!C434-5)*200+(D434-30000)*0.015+(F434-50)*15-IF(I434=1,1200,0)+_xlfn.NORM.INV(RAND(),0,2500),-2))</f>
        <v>5900</v>
      </c>
      <c r="I434">
        <v>0</v>
      </c>
      <c r="J434">
        <f>1</f>
        <v>1</v>
      </c>
      <c r="K434">
        <f>1</f>
        <v>1</v>
      </c>
      <c r="L434">
        <v>0</v>
      </c>
      <c r="M434">
        <f t="shared" ca="1" si="13"/>
        <v>0.64818190624764616</v>
      </c>
      <c r="N434">
        <v>0</v>
      </c>
      <c r="O434">
        <v>0</v>
      </c>
      <c r="P434">
        <v>0</v>
      </c>
    </row>
    <row r="435" spans="1:16" x14ac:dyDescent="0.3">
      <c r="A435" t="s">
        <v>547</v>
      </c>
      <c r="B435" t="s">
        <v>65</v>
      </c>
      <c r="C435">
        <f ca="1">IF(RAND()&lt;0.8,F_Baseline_data!C435,IF(RAND()&lt;0.85,F_Baseline_data!C435+1,IF(F_Baseline_data!C435&gt;3,C435-1,F_Baseline_data!C435)))</f>
        <v>3</v>
      </c>
      <c r="D435">
        <f ca="1">MAX(5000,ROUND(F_Baseline_data!D435*(1+_xlfn.NORM.INV(RAND(),0.12,0.1)),-2))</f>
        <v>34400</v>
      </c>
      <c r="E435" t="str">
        <f ca="1">IF(I435=1,IF(RAND()&lt;0.95,"Piped Water",F_Baseline_data!E435),F_Baseline_data!E435)</f>
        <v>Vendor</v>
      </c>
      <c r="F435">
        <f t="shared" ca="1" si="12"/>
        <v>44</v>
      </c>
      <c r="G435">
        <v>9.6999999999999993</v>
      </c>
      <c r="H435">
        <f ca="1">MAX(0,ROUND(F_Baseline_data!H435+(F_Baseline_data!C435-5)*200+(D435-30000)*0.015+(F435-50)*15-IF(I435=1,1200,0)+_xlfn.NORM.INV(RAND(),0,2500),-2))</f>
        <v>5500</v>
      </c>
      <c r="I435">
        <v>0</v>
      </c>
      <c r="J435">
        <f>1</f>
        <v>1</v>
      </c>
      <c r="K435">
        <f>1</f>
        <v>1</v>
      </c>
      <c r="L435">
        <v>0</v>
      </c>
      <c r="M435">
        <f t="shared" ca="1" si="13"/>
        <v>0.43661317950009948</v>
      </c>
      <c r="N435">
        <v>0</v>
      </c>
      <c r="O435">
        <v>0</v>
      </c>
      <c r="P435">
        <v>0</v>
      </c>
    </row>
    <row r="436" spans="1:16" x14ac:dyDescent="0.3">
      <c r="A436" t="s">
        <v>548</v>
      </c>
      <c r="B436" t="s">
        <v>62</v>
      </c>
      <c r="C436">
        <f ca="1">IF(RAND()&lt;0.8,F_Baseline_data!C436,IF(RAND()&lt;0.85,F_Baseline_data!C436+1,IF(F_Baseline_data!C436&gt;3,C436-1,F_Baseline_data!C436)))</f>
        <v>2</v>
      </c>
      <c r="D436">
        <f ca="1">MAX(5000,ROUND(F_Baseline_data!D436*(1+_xlfn.NORM.INV(RAND(),0.12,0.1)),-2))</f>
        <v>79400</v>
      </c>
      <c r="E436" t="str">
        <f ca="1">IF(I436=1,IF(RAND()&lt;0.95,"Piped Water",F_Baseline_data!E436),F_Baseline_data!E436)</f>
        <v>Rainwater</v>
      </c>
      <c r="F436">
        <f t="shared" ca="1" si="12"/>
        <v>19</v>
      </c>
      <c r="G436">
        <v>7.3</v>
      </c>
      <c r="H436">
        <f ca="1">MAX(0,ROUND(F_Baseline_data!H436+(F_Baseline_data!C436-5)*200+(D436-30000)*0.015+(F436-50)*15-IF(I436=1,1200,0)+_xlfn.NORM.INV(RAND(),0,2500),-2))</f>
        <v>9100</v>
      </c>
      <c r="I436">
        <v>0</v>
      </c>
      <c r="J436">
        <f>1</f>
        <v>1</v>
      </c>
      <c r="K436">
        <f>1</f>
        <v>1</v>
      </c>
      <c r="L436">
        <v>0</v>
      </c>
      <c r="M436">
        <f t="shared" ca="1" si="13"/>
        <v>0.40247513225635734</v>
      </c>
      <c r="N436">
        <v>0</v>
      </c>
      <c r="O436">
        <v>0</v>
      </c>
      <c r="P436">
        <v>0</v>
      </c>
    </row>
    <row r="437" spans="1:16" x14ac:dyDescent="0.3">
      <c r="A437" t="s">
        <v>549</v>
      </c>
      <c r="B437" t="s">
        <v>65</v>
      </c>
      <c r="C437">
        <f ca="1">IF(RAND()&lt;0.8,F_Baseline_data!C437,IF(RAND()&lt;0.85,F_Baseline_data!C437+1,IF(F_Baseline_data!C437&gt;3,C437-1,F_Baseline_data!C437)))</f>
        <v>7</v>
      </c>
      <c r="D437">
        <f ca="1">MAX(5000,ROUND(F_Baseline_data!D437*(1+_xlfn.NORM.INV(RAND(),0.12,0.1)),-2))</f>
        <v>67200</v>
      </c>
      <c r="E437" t="str">
        <f ca="1">IF(I437=1,IF(RAND()&lt;0.95,"Piped Water",F_Baseline_data!E437),F_Baseline_data!E437)</f>
        <v>River</v>
      </c>
      <c r="F437">
        <f t="shared" ca="1" si="12"/>
        <v>118</v>
      </c>
      <c r="G437">
        <v>11.6</v>
      </c>
      <c r="H437">
        <f ca="1">MAX(0,ROUND(F_Baseline_data!H437+(F_Baseline_data!C437-5)*200+(D437-30000)*0.015+(F437-50)*15-IF(I437=1,1200,0)+_xlfn.NORM.INV(RAND(),0,2500),-2))</f>
        <v>12600</v>
      </c>
      <c r="I437">
        <v>0</v>
      </c>
      <c r="J437">
        <f>1</f>
        <v>1</v>
      </c>
      <c r="K437">
        <f>1</f>
        <v>1</v>
      </c>
      <c r="L437">
        <v>0</v>
      </c>
      <c r="M437">
        <f t="shared" ca="1" si="13"/>
        <v>0.67513986901934531</v>
      </c>
      <c r="N437">
        <v>0</v>
      </c>
      <c r="O437">
        <v>0</v>
      </c>
      <c r="P437">
        <v>0</v>
      </c>
    </row>
    <row r="438" spans="1:16" x14ac:dyDescent="0.3">
      <c r="A438" t="s">
        <v>550</v>
      </c>
      <c r="B438" t="s">
        <v>64</v>
      </c>
      <c r="C438">
        <f ca="1">IF(RAND()&lt;0.8,F_Baseline_data!C438,IF(RAND()&lt;0.85,F_Baseline_data!C438+1,IF(F_Baseline_data!C438&gt;3,C438-1,F_Baseline_data!C438)))</f>
        <v>8</v>
      </c>
      <c r="D438">
        <f ca="1">MAX(5000,ROUND(F_Baseline_data!D438*(1+_xlfn.NORM.INV(RAND(),0.12,0.1)),-2))</f>
        <v>77700</v>
      </c>
      <c r="E438" t="str">
        <f ca="1">IF(I438=1,IF(RAND()&lt;0.95,"Piped Water",F_Baseline_data!E438),F_Baseline_data!E438)</f>
        <v>Rainwater</v>
      </c>
      <c r="F438">
        <f t="shared" ca="1" si="12"/>
        <v>51</v>
      </c>
      <c r="G438">
        <v>8.1</v>
      </c>
      <c r="H438">
        <f ca="1">MAX(0,ROUND(F_Baseline_data!H438+(F_Baseline_data!C438-5)*200+(D438-30000)*0.015+(F438-50)*15-IF(I438=1,1200,0)+_xlfn.NORM.INV(RAND(),0,2500),-2))</f>
        <v>17800</v>
      </c>
      <c r="I438">
        <v>0</v>
      </c>
      <c r="J438">
        <f>1</f>
        <v>1</v>
      </c>
      <c r="K438">
        <f>1</f>
        <v>1</v>
      </c>
      <c r="L438">
        <v>0</v>
      </c>
      <c r="M438">
        <f t="shared" ca="1" si="13"/>
        <v>0.84656986615588248</v>
      </c>
      <c r="N438">
        <v>0</v>
      </c>
      <c r="O438">
        <v>0</v>
      </c>
      <c r="P438">
        <v>0</v>
      </c>
    </row>
    <row r="439" spans="1:16" x14ac:dyDescent="0.3">
      <c r="A439" t="s">
        <v>551</v>
      </c>
      <c r="B439" t="s">
        <v>62</v>
      </c>
      <c r="C439">
        <f ca="1">IF(RAND()&lt;0.8,F_Baseline_data!C439,IF(RAND()&lt;0.85,F_Baseline_data!C439+1,IF(F_Baseline_data!C439&gt;3,C439-1,F_Baseline_data!C439)))</f>
        <v>6</v>
      </c>
      <c r="D439">
        <f ca="1">MAX(5000,ROUND(F_Baseline_data!D439*(1+_xlfn.NORM.INV(RAND(),0.12,0.1)),-2))</f>
        <v>33100</v>
      </c>
      <c r="E439" t="str">
        <f ca="1">IF(I439=1,IF(RAND()&lt;0.95,"Piped Water",F_Baseline_data!E439),F_Baseline_data!E439)</f>
        <v>Rainwater</v>
      </c>
      <c r="F439">
        <f t="shared" ca="1" si="12"/>
        <v>29</v>
      </c>
      <c r="G439">
        <v>3</v>
      </c>
      <c r="H439">
        <f ca="1">MAX(0,ROUND(F_Baseline_data!H439+(F_Baseline_data!C439-5)*200+(D439-30000)*0.015+(F439-50)*15-IF(I439=1,1200,0)+_xlfn.NORM.INV(RAND(),0,2500),-2))</f>
        <v>2100</v>
      </c>
      <c r="I439">
        <v>0</v>
      </c>
      <c r="J439">
        <f>1</f>
        <v>1</v>
      </c>
      <c r="K439">
        <f>1</f>
        <v>1</v>
      </c>
      <c r="L439">
        <v>0</v>
      </c>
      <c r="M439">
        <f t="shared" ca="1" si="13"/>
        <v>0.48238668838015819</v>
      </c>
      <c r="N439">
        <v>0</v>
      </c>
      <c r="O439">
        <v>0</v>
      </c>
      <c r="P439">
        <v>0</v>
      </c>
    </row>
    <row r="440" spans="1:16" x14ac:dyDescent="0.3">
      <c r="A440" t="s">
        <v>552</v>
      </c>
      <c r="B440" t="s">
        <v>513</v>
      </c>
      <c r="C440">
        <f ca="1">IF(RAND()&lt;0.8,F_Baseline_data!C440,IF(RAND()&lt;0.85,F_Baseline_data!C440+1,IF(F_Baseline_data!C440&gt;3,C440-1,F_Baseline_data!C440)))</f>
        <v>5</v>
      </c>
      <c r="D440">
        <f ca="1">MAX(5000,ROUND(F_Baseline_data!D440*(1+_xlfn.NORM.INV(RAND(),0.12,0.1)),-2))</f>
        <v>53100</v>
      </c>
      <c r="E440" t="str">
        <f ca="1">IF(I440=1,IF(RAND()&lt;0.95,"Piped Water",F_Baseline_data!E440),F_Baseline_data!E440)</f>
        <v>Rainwater</v>
      </c>
      <c r="F440">
        <f t="shared" ca="1" si="12"/>
        <v>38</v>
      </c>
      <c r="G440">
        <v>13.4</v>
      </c>
      <c r="H440">
        <f ca="1">MAX(0,ROUND(F_Baseline_data!H440+(F_Baseline_data!C440-5)*200+(D440-30000)*0.015+(F440-50)*15-IF(I440=1,1200,0)+_xlfn.NORM.INV(RAND(),0,2500),-2))</f>
        <v>6200</v>
      </c>
      <c r="I440">
        <v>0</v>
      </c>
      <c r="J440">
        <f>1</f>
        <v>1</v>
      </c>
      <c r="K440">
        <f>1</f>
        <v>1</v>
      </c>
      <c r="L440">
        <v>0</v>
      </c>
      <c r="M440">
        <f t="shared" ca="1" si="13"/>
        <v>0.64987769048044819</v>
      </c>
      <c r="N440">
        <v>0</v>
      </c>
      <c r="O440">
        <v>0</v>
      </c>
      <c r="P440">
        <v>0</v>
      </c>
    </row>
    <row r="441" spans="1:16" x14ac:dyDescent="0.3">
      <c r="A441" t="s">
        <v>553</v>
      </c>
      <c r="B441" t="s">
        <v>62</v>
      </c>
      <c r="C441">
        <f ca="1">IF(RAND()&lt;0.8,F_Baseline_data!C441,IF(RAND()&lt;0.85,F_Baseline_data!C441+1,IF(F_Baseline_data!C441&gt;3,C441-1,F_Baseline_data!C441)))</f>
        <v>8</v>
      </c>
      <c r="D441">
        <f ca="1">MAX(5000,ROUND(F_Baseline_data!D441*(1+_xlfn.NORM.INV(RAND(),0.12,0.1)),-2))</f>
        <v>64800</v>
      </c>
      <c r="E441" t="str">
        <f ca="1">IF(I441=1,IF(RAND()&lt;0.95,"Piped Water",F_Baseline_data!E441),F_Baseline_data!E441)</f>
        <v>Rainwater</v>
      </c>
      <c r="F441">
        <f t="shared" ca="1" si="12"/>
        <v>42</v>
      </c>
      <c r="G441">
        <v>9.8000000000000007</v>
      </c>
      <c r="H441">
        <f ca="1">MAX(0,ROUND(F_Baseline_data!H441+(F_Baseline_data!C441-5)*200+(D441-30000)*0.015+(F441-50)*15-IF(I441=1,1200,0)+_xlfn.NORM.INV(RAND(),0,2500),-2))</f>
        <v>12400</v>
      </c>
      <c r="I441">
        <v>0</v>
      </c>
      <c r="J441">
        <f>1</f>
        <v>1</v>
      </c>
      <c r="K441">
        <f>1</f>
        <v>1</v>
      </c>
      <c r="L441">
        <v>0</v>
      </c>
      <c r="M441">
        <f t="shared" ca="1" si="13"/>
        <v>0.75207642106020123</v>
      </c>
      <c r="N441">
        <v>0</v>
      </c>
      <c r="O441">
        <v>0</v>
      </c>
      <c r="P441">
        <v>0</v>
      </c>
    </row>
    <row r="442" spans="1:16" x14ac:dyDescent="0.3">
      <c r="A442" t="s">
        <v>554</v>
      </c>
      <c r="B442" t="s">
        <v>62</v>
      </c>
      <c r="C442">
        <f ca="1">IF(RAND()&lt;0.8,F_Baseline_data!C442,IF(RAND()&lt;0.85,F_Baseline_data!C442+1,IF(F_Baseline_data!C442&gt;3,C442-1,F_Baseline_data!C442)))</f>
        <v>5</v>
      </c>
      <c r="D442">
        <f ca="1">MAX(5000,ROUND(F_Baseline_data!D442*(1+_xlfn.NORM.INV(RAND(),0.12,0.1)),-2))</f>
        <v>30300</v>
      </c>
      <c r="E442" t="str">
        <f ca="1">IF(I442=1,IF(RAND()&lt;0.95,"Piped Water",F_Baseline_data!E442),F_Baseline_data!E442)</f>
        <v>Vendor</v>
      </c>
      <c r="F442">
        <f t="shared" ca="1" si="12"/>
        <v>19</v>
      </c>
      <c r="G442">
        <v>3.8</v>
      </c>
      <c r="H442">
        <f ca="1">MAX(0,ROUND(F_Baseline_data!H442+(F_Baseline_data!C442-5)*200+(D442-30000)*0.015+(F442-50)*15-IF(I442=1,1200,0)+_xlfn.NORM.INV(RAND(),0,2500),-2))</f>
        <v>3000</v>
      </c>
      <c r="I442">
        <v>0</v>
      </c>
      <c r="J442">
        <f>1</f>
        <v>1</v>
      </c>
      <c r="K442">
        <f>1</f>
        <v>1</v>
      </c>
      <c r="L442">
        <v>0</v>
      </c>
      <c r="M442">
        <f t="shared" ca="1" si="13"/>
        <v>9.2287808342172983E-3</v>
      </c>
      <c r="N442">
        <v>0</v>
      </c>
      <c r="O442">
        <v>0</v>
      </c>
      <c r="P442">
        <v>0</v>
      </c>
    </row>
    <row r="443" spans="1:16" x14ac:dyDescent="0.3">
      <c r="A443" t="s">
        <v>555</v>
      </c>
      <c r="B443" t="s">
        <v>65</v>
      </c>
      <c r="C443">
        <f ca="1">IF(RAND()&lt;0.8,F_Baseline_data!C443,IF(RAND()&lt;0.85,F_Baseline_data!C443+1,IF(F_Baseline_data!C443&gt;3,C443-1,F_Baseline_data!C443)))</f>
        <v>7</v>
      </c>
      <c r="D443">
        <f ca="1">MAX(5000,ROUND(F_Baseline_data!D443*(1+_xlfn.NORM.INV(RAND(),0.12,0.1)),-2))</f>
        <v>96700</v>
      </c>
      <c r="E443" t="str">
        <f ca="1">IF(I443=1,IF(RAND()&lt;0.95,"Piped Water",F_Baseline_data!E443),F_Baseline_data!E443)</f>
        <v>Borehole</v>
      </c>
      <c r="F443">
        <f t="shared" ca="1" si="12"/>
        <v>45</v>
      </c>
      <c r="G443">
        <v>10.5</v>
      </c>
      <c r="H443">
        <f ca="1">MAX(0,ROUND(F_Baseline_data!H443+(F_Baseline_data!C443-5)*200+(D443-30000)*0.015+(F443-50)*15-IF(I443=1,1200,0)+_xlfn.NORM.INV(RAND(),0,2500),-2))</f>
        <v>6300</v>
      </c>
      <c r="I443">
        <v>0</v>
      </c>
      <c r="J443">
        <f>1</f>
        <v>1</v>
      </c>
      <c r="K443">
        <f>1</f>
        <v>1</v>
      </c>
      <c r="L443">
        <v>0</v>
      </c>
      <c r="M443">
        <f t="shared" ca="1" si="13"/>
        <v>0.87423409666583507</v>
      </c>
      <c r="N443">
        <v>0</v>
      </c>
      <c r="O443">
        <v>0</v>
      </c>
      <c r="P443">
        <v>0</v>
      </c>
    </row>
    <row r="444" spans="1:16" x14ac:dyDescent="0.3">
      <c r="A444" t="s">
        <v>556</v>
      </c>
      <c r="B444" t="s">
        <v>62</v>
      </c>
      <c r="C444">
        <f ca="1">IF(RAND()&lt;0.8,F_Baseline_data!C444,IF(RAND()&lt;0.85,F_Baseline_data!C444+1,IF(F_Baseline_data!C444&gt;3,C444-1,F_Baseline_data!C444)))</f>
        <v>2</v>
      </c>
      <c r="D444">
        <f ca="1">MAX(5000,ROUND(F_Baseline_data!D444*(1+_xlfn.NORM.INV(RAND(),0.12,0.1)),-2))</f>
        <v>23300</v>
      </c>
      <c r="E444" t="str">
        <f ca="1">IF(I444=1,IF(RAND()&lt;0.95,"Piped Water",F_Baseline_data!E444),F_Baseline_data!E444)</f>
        <v>Rainwater</v>
      </c>
      <c r="F444">
        <f t="shared" ca="1" si="12"/>
        <v>27</v>
      </c>
      <c r="G444">
        <v>8</v>
      </c>
      <c r="H444">
        <f ca="1">MAX(0,ROUND(F_Baseline_data!H444+(F_Baseline_data!C444-5)*200+(D444-30000)*0.015+(F444-50)*15-IF(I444=1,1200,0)+_xlfn.NORM.INV(RAND(),0,2500),-2))</f>
        <v>5800</v>
      </c>
      <c r="I444">
        <v>0</v>
      </c>
      <c r="J444">
        <f>1</f>
        <v>1</v>
      </c>
      <c r="K444">
        <f>1</f>
        <v>1</v>
      </c>
      <c r="L444">
        <v>0</v>
      </c>
      <c r="M444">
        <f t="shared" ca="1" si="13"/>
        <v>0.50662724232042144</v>
      </c>
      <c r="N444">
        <v>0</v>
      </c>
      <c r="O444">
        <v>0</v>
      </c>
      <c r="P444">
        <v>0</v>
      </c>
    </row>
    <row r="445" spans="1:16" x14ac:dyDescent="0.3">
      <c r="A445" t="s">
        <v>557</v>
      </c>
      <c r="B445" t="s">
        <v>65</v>
      </c>
      <c r="C445">
        <f ca="1">IF(RAND()&lt;0.8,F_Baseline_data!C445,IF(RAND()&lt;0.85,F_Baseline_data!C445+1,IF(F_Baseline_data!C445&gt;3,C445-1,F_Baseline_data!C445)))</f>
        <v>5</v>
      </c>
      <c r="D445">
        <f ca="1">MAX(5000,ROUND(F_Baseline_data!D445*(1+_xlfn.NORM.INV(RAND(),0.12,0.1)),-2))</f>
        <v>19800</v>
      </c>
      <c r="E445" t="str">
        <f ca="1">IF(I445=1,IF(RAND()&lt;0.95,"Piped Water",F_Baseline_data!E445),F_Baseline_data!E445)</f>
        <v>River</v>
      </c>
      <c r="F445">
        <f t="shared" ca="1" si="12"/>
        <v>66</v>
      </c>
      <c r="G445">
        <v>5.3</v>
      </c>
      <c r="H445">
        <f ca="1">MAX(0,ROUND(F_Baseline_data!H445+(F_Baseline_data!C445-5)*200+(D445-30000)*0.015+(F445-50)*15-IF(I445=1,1200,0)+_xlfn.NORM.INV(RAND(),0,2500),-2))</f>
        <v>14100</v>
      </c>
      <c r="I445">
        <v>0</v>
      </c>
      <c r="J445">
        <f>1</f>
        <v>1</v>
      </c>
      <c r="K445">
        <f>1</f>
        <v>1</v>
      </c>
      <c r="L445">
        <v>0</v>
      </c>
      <c r="M445">
        <f t="shared" ca="1" si="13"/>
        <v>0.68892725310916747</v>
      </c>
      <c r="N445">
        <v>0</v>
      </c>
      <c r="O445">
        <v>0</v>
      </c>
      <c r="P445">
        <v>0</v>
      </c>
    </row>
    <row r="446" spans="1:16" x14ac:dyDescent="0.3">
      <c r="A446" t="s">
        <v>558</v>
      </c>
      <c r="B446" t="s">
        <v>65</v>
      </c>
      <c r="C446">
        <f ca="1">IF(RAND()&lt;0.8,F_Baseline_data!C446,IF(RAND()&lt;0.85,F_Baseline_data!C446+1,IF(F_Baseline_data!C446&gt;3,C446-1,F_Baseline_data!C446)))</f>
        <v>4</v>
      </c>
      <c r="D446">
        <f ca="1">MAX(5000,ROUND(F_Baseline_data!D446*(1+_xlfn.NORM.INV(RAND(),0.12,0.1)),-2))</f>
        <v>23800</v>
      </c>
      <c r="E446" t="str">
        <f ca="1">IF(I446=1,IF(RAND()&lt;0.95,"Piped Water",F_Baseline_data!E446),F_Baseline_data!E446)</f>
        <v>River</v>
      </c>
      <c r="F446">
        <f t="shared" ca="1" si="12"/>
        <v>93</v>
      </c>
      <c r="G446">
        <v>13.5</v>
      </c>
      <c r="H446">
        <f ca="1">MAX(0,ROUND(F_Baseline_data!H446+(F_Baseline_data!C446-5)*200+(D446-30000)*0.015+(F446-50)*15-IF(I446=1,1200,0)+_xlfn.NORM.INV(RAND(),0,2500),-2))</f>
        <v>9800</v>
      </c>
      <c r="I446">
        <v>0</v>
      </c>
      <c r="J446">
        <f>1</f>
        <v>1</v>
      </c>
      <c r="K446">
        <f>1</f>
        <v>1</v>
      </c>
      <c r="L446">
        <v>0</v>
      </c>
      <c r="M446">
        <f t="shared" ca="1" si="13"/>
        <v>0.90177773679296913</v>
      </c>
      <c r="N446">
        <v>0</v>
      </c>
      <c r="O446">
        <v>0</v>
      </c>
      <c r="P446">
        <v>0</v>
      </c>
    </row>
    <row r="447" spans="1:16" x14ac:dyDescent="0.3">
      <c r="A447" t="s">
        <v>559</v>
      </c>
      <c r="B447" t="s">
        <v>65</v>
      </c>
      <c r="C447">
        <f ca="1">IF(RAND()&lt;0.8,F_Baseline_data!C447,IF(RAND()&lt;0.85,F_Baseline_data!C447+1,IF(F_Baseline_data!C447&gt;3,C447-1,F_Baseline_data!C447)))</f>
        <v>3</v>
      </c>
      <c r="D447">
        <f ca="1">MAX(5000,ROUND(F_Baseline_data!D447*(1+_xlfn.NORM.INV(RAND(),0.12,0.1)),-2))</f>
        <v>42700</v>
      </c>
      <c r="E447" t="str">
        <f ca="1">IF(I447=1,IF(RAND()&lt;0.95,"Piped Water",F_Baseline_data!E447),F_Baseline_data!E447)</f>
        <v>River</v>
      </c>
      <c r="F447">
        <f t="shared" ca="1" si="12"/>
        <v>119</v>
      </c>
      <c r="G447">
        <v>2.5</v>
      </c>
      <c r="H447">
        <f ca="1">MAX(0,ROUND(F_Baseline_data!H447+(F_Baseline_data!C447-5)*200+(D447-30000)*0.015+(F447-50)*15-IF(I447=1,1200,0)+_xlfn.NORM.INV(RAND(),0,2500),-2))</f>
        <v>7700</v>
      </c>
      <c r="I447">
        <v>0</v>
      </c>
      <c r="J447">
        <f>1</f>
        <v>1</v>
      </c>
      <c r="K447">
        <f>1</f>
        <v>1</v>
      </c>
      <c r="L447">
        <v>0</v>
      </c>
      <c r="M447">
        <f t="shared" ca="1" si="13"/>
        <v>0.9995430170919819</v>
      </c>
      <c r="N447">
        <v>0</v>
      </c>
      <c r="O447">
        <v>0</v>
      </c>
      <c r="P447">
        <v>0</v>
      </c>
    </row>
    <row r="448" spans="1:16" x14ac:dyDescent="0.3">
      <c r="A448" t="s">
        <v>560</v>
      </c>
      <c r="B448" t="s">
        <v>513</v>
      </c>
      <c r="C448">
        <f ca="1">IF(RAND()&lt;0.8,F_Baseline_data!C448,IF(RAND()&lt;0.85,F_Baseline_data!C448+1,IF(F_Baseline_data!C448&gt;3,C448-1,F_Baseline_data!C448)))</f>
        <v>2</v>
      </c>
      <c r="D448">
        <f ca="1">MAX(5000,ROUND(F_Baseline_data!D448*(1+_xlfn.NORM.INV(RAND(),0.12,0.1)),-2))</f>
        <v>38000</v>
      </c>
      <c r="E448" t="str">
        <f ca="1">IF(I448=1,IF(RAND()&lt;0.95,"Piped Water",F_Baseline_data!E448),F_Baseline_data!E448)</f>
        <v>Borehole</v>
      </c>
      <c r="F448">
        <f t="shared" ca="1" si="12"/>
        <v>53</v>
      </c>
      <c r="G448">
        <v>12.4</v>
      </c>
      <c r="H448">
        <f ca="1">MAX(0,ROUND(F_Baseline_data!H448+(F_Baseline_data!C448-5)*200+(D448-30000)*0.015+(F448-50)*15-IF(I448=1,1200,0)+_xlfn.NORM.INV(RAND(),0,2500),-2))</f>
        <v>10500</v>
      </c>
      <c r="I448">
        <v>0</v>
      </c>
      <c r="J448">
        <f>1</f>
        <v>1</v>
      </c>
      <c r="K448">
        <f>1</f>
        <v>1</v>
      </c>
      <c r="L448">
        <v>0</v>
      </c>
      <c r="M448">
        <f t="shared" ca="1" si="13"/>
        <v>0.96549934848278474</v>
      </c>
      <c r="N448">
        <v>0</v>
      </c>
      <c r="O448">
        <v>0</v>
      </c>
      <c r="P448">
        <v>0</v>
      </c>
    </row>
    <row r="449" spans="1:16" x14ac:dyDescent="0.3">
      <c r="A449" t="s">
        <v>561</v>
      </c>
      <c r="B449" t="s">
        <v>513</v>
      </c>
      <c r="C449">
        <f ca="1">IF(RAND()&lt;0.8,F_Baseline_data!C449,IF(RAND()&lt;0.85,F_Baseline_data!C449+1,IF(F_Baseline_data!C449&gt;3,C449-1,F_Baseline_data!C449)))</f>
        <v>3</v>
      </c>
      <c r="D449">
        <f ca="1">MAX(5000,ROUND(F_Baseline_data!D449*(1+_xlfn.NORM.INV(RAND(),0.12,0.1)),-2))</f>
        <v>34500</v>
      </c>
      <c r="E449" t="str">
        <f ca="1">IF(I449=1,IF(RAND()&lt;0.95,"Piped Water",F_Baseline_data!E449),F_Baseline_data!E449)</f>
        <v>River</v>
      </c>
      <c r="F449">
        <f t="shared" ca="1" si="12"/>
        <v>86</v>
      </c>
      <c r="G449">
        <v>7.5</v>
      </c>
      <c r="H449">
        <f ca="1">MAX(0,ROUND(F_Baseline_data!H449+(F_Baseline_data!C449-5)*200+(D449-30000)*0.015+(F449-50)*15-IF(I449=1,1200,0)+_xlfn.NORM.INV(RAND(),0,2500),-2))</f>
        <v>4700</v>
      </c>
      <c r="I449">
        <v>0</v>
      </c>
      <c r="J449">
        <f>1</f>
        <v>1</v>
      </c>
      <c r="K449">
        <f>1</f>
        <v>1</v>
      </c>
      <c r="L449">
        <v>0</v>
      </c>
      <c r="M449">
        <f t="shared" ca="1" si="13"/>
        <v>0.18705987954468306</v>
      </c>
      <c r="N449">
        <v>0</v>
      </c>
      <c r="O449">
        <v>0</v>
      </c>
      <c r="P449">
        <v>0</v>
      </c>
    </row>
    <row r="450" spans="1:16" x14ac:dyDescent="0.3">
      <c r="A450" t="s">
        <v>562</v>
      </c>
      <c r="B450" t="s">
        <v>64</v>
      </c>
      <c r="C450">
        <f ca="1">IF(RAND()&lt;0.8,F_Baseline_data!C450,IF(RAND()&lt;0.85,F_Baseline_data!C450+1,IF(F_Baseline_data!C450&gt;3,C450-1,F_Baseline_data!C450)))</f>
        <v>5</v>
      </c>
      <c r="D450">
        <f ca="1">MAX(5000,ROUND(F_Baseline_data!D450*(1+_xlfn.NORM.INV(RAND(),0.12,0.1)),-2))</f>
        <v>26000</v>
      </c>
      <c r="E450" t="str">
        <f ca="1">IF(I450=1,IF(RAND()&lt;0.95,"Piped Water",F_Baseline_data!E450),F_Baseline_data!E450)</f>
        <v>River</v>
      </c>
      <c r="F450">
        <f t="shared" ref="F450:F513" ca="1" si="14">IF(E450="Piped Water",RANDBETWEEN(0,10),IF(E450="River",RANDBETWEEN(45,120),IF(E450="Rainwater",RANDBETWEEN(15,70),IF(E450="Borehole",RANDBETWEEN(20,75),RANDBETWEEN(10,60)))))</f>
        <v>65</v>
      </c>
      <c r="G450">
        <v>6.4</v>
      </c>
      <c r="H450">
        <f ca="1">MAX(0,ROUND(F_Baseline_data!H450+(F_Baseline_data!C450-5)*200+(D450-30000)*0.015+(F450-50)*15-IF(I450=1,1200,0)+_xlfn.NORM.INV(RAND(),0,2500),-2))</f>
        <v>5300</v>
      </c>
      <c r="I450">
        <v>0</v>
      </c>
      <c r="J450">
        <f>1</f>
        <v>1</v>
      </c>
      <c r="K450">
        <f>1</f>
        <v>1</v>
      </c>
      <c r="L450">
        <v>0</v>
      </c>
      <c r="M450">
        <f t="shared" ref="M450:M513" ca="1" si="15">RAND()</f>
        <v>0.20646621044748237</v>
      </c>
      <c r="N450">
        <v>0</v>
      </c>
      <c r="O450">
        <v>0</v>
      </c>
      <c r="P450">
        <v>0</v>
      </c>
    </row>
    <row r="451" spans="1:16" x14ac:dyDescent="0.3">
      <c r="A451" t="s">
        <v>563</v>
      </c>
      <c r="B451" t="s">
        <v>513</v>
      </c>
      <c r="C451">
        <f ca="1">IF(RAND()&lt;0.8,F_Baseline_data!C451,IF(RAND()&lt;0.85,F_Baseline_data!C451+1,IF(F_Baseline_data!C451&gt;3,C451-1,F_Baseline_data!C451)))</f>
        <v>3</v>
      </c>
      <c r="D451">
        <f ca="1">MAX(5000,ROUND(F_Baseline_data!D451*(1+_xlfn.NORM.INV(RAND(),0.12,0.1)),-2))</f>
        <v>26300</v>
      </c>
      <c r="E451" t="str">
        <f ca="1">IF(I451=1,IF(RAND()&lt;0.95,"Piped Water",F_Baseline_data!E451),F_Baseline_data!E451)</f>
        <v>Vendor</v>
      </c>
      <c r="F451">
        <f t="shared" ca="1" si="14"/>
        <v>12</v>
      </c>
      <c r="G451">
        <v>11.6</v>
      </c>
      <c r="H451">
        <f ca="1">MAX(0,ROUND(F_Baseline_data!H451+(F_Baseline_data!C451-5)*200+(D451-30000)*0.015+(F451-50)*15-IF(I451=1,1200,0)+_xlfn.NORM.INV(RAND(),0,2500),-2))</f>
        <v>3600</v>
      </c>
      <c r="I451">
        <v>0</v>
      </c>
      <c r="J451">
        <f>1</f>
        <v>1</v>
      </c>
      <c r="K451">
        <f>1</f>
        <v>1</v>
      </c>
      <c r="L451">
        <v>0</v>
      </c>
      <c r="M451">
        <f t="shared" ca="1" si="15"/>
        <v>0.73575943035918645</v>
      </c>
      <c r="N451">
        <v>0</v>
      </c>
      <c r="O451">
        <v>0</v>
      </c>
      <c r="P451">
        <v>0</v>
      </c>
    </row>
    <row r="452" spans="1:16" x14ac:dyDescent="0.3">
      <c r="A452" t="s">
        <v>564</v>
      </c>
      <c r="B452" t="s">
        <v>64</v>
      </c>
      <c r="C452">
        <f ca="1">IF(RAND()&lt;0.8,F_Baseline_data!C452,IF(RAND()&lt;0.85,F_Baseline_data!C452+1,IF(F_Baseline_data!C452&gt;3,C452-1,F_Baseline_data!C452)))</f>
        <v>10</v>
      </c>
      <c r="D452">
        <f ca="1">MAX(5000,ROUND(F_Baseline_data!D452*(1+_xlfn.NORM.INV(RAND(),0.12,0.1)),-2))</f>
        <v>35600</v>
      </c>
      <c r="E452" t="str">
        <f ca="1">IF(I452=1,IF(RAND()&lt;0.95,"Piped Water",F_Baseline_data!E452),F_Baseline_data!E452)</f>
        <v>Borehole</v>
      </c>
      <c r="F452">
        <f t="shared" ca="1" si="14"/>
        <v>58</v>
      </c>
      <c r="G452">
        <v>5.7</v>
      </c>
      <c r="H452">
        <f ca="1">MAX(0,ROUND(F_Baseline_data!H452+(F_Baseline_data!C452-5)*200+(D452-30000)*0.015+(F452-50)*15-IF(I452=1,1200,0)+_xlfn.NORM.INV(RAND(),0,2500),-2))</f>
        <v>2800</v>
      </c>
      <c r="I452">
        <v>0</v>
      </c>
      <c r="J452">
        <f>1</f>
        <v>1</v>
      </c>
      <c r="K452">
        <f>1</f>
        <v>1</v>
      </c>
      <c r="L452">
        <v>0</v>
      </c>
      <c r="M452">
        <f t="shared" ca="1" si="15"/>
        <v>0.24960795383863643</v>
      </c>
      <c r="N452">
        <v>0</v>
      </c>
      <c r="O452">
        <v>0</v>
      </c>
      <c r="P452">
        <v>0</v>
      </c>
    </row>
    <row r="453" spans="1:16" x14ac:dyDescent="0.3">
      <c r="A453" t="s">
        <v>565</v>
      </c>
      <c r="B453" t="s">
        <v>513</v>
      </c>
      <c r="C453">
        <f ca="1">IF(RAND()&lt;0.8,F_Baseline_data!C453,IF(RAND()&lt;0.85,F_Baseline_data!C453+1,IF(F_Baseline_data!C453&gt;3,C453-1,F_Baseline_data!C453)))</f>
        <v>5</v>
      </c>
      <c r="D453">
        <f ca="1">MAX(5000,ROUND(F_Baseline_data!D453*(1+_xlfn.NORM.INV(RAND(),0.12,0.1)),-2))</f>
        <v>19200</v>
      </c>
      <c r="E453" t="str">
        <f ca="1">IF(I453=1,IF(RAND()&lt;0.95,"Piped Water",F_Baseline_data!E453),F_Baseline_data!E453)</f>
        <v>Borehole</v>
      </c>
      <c r="F453">
        <f t="shared" ca="1" si="14"/>
        <v>71</v>
      </c>
      <c r="G453">
        <v>1</v>
      </c>
      <c r="H453">
        <f ca="1">MAX(0,ROUND(F_Baseline_data!H453+(F_Baseline_data!C453-5)*200+(D453-30000)*0.015+(F453-50)*15-IF(I453=1,1200,0)+_xlfn.NORM.INV(RAND(),0,2500),-2))</f>
        <v>5400</v>
      </c>
      <c r="I453">
        <v>0</v>
      </c>
      <c r="J453">
        <f>1</f>
        <v>1</v>
      </c>
      <c r="K453">
        <f>1</f>
        <v>1</v>
      </c>
      <c r="L453">
        <v>0</v>
      </c>
      <c r="M453">
        <f t="shared" ca="1" si="15"/>
        <v>8.1149564840885646E-2</v>
      </c>
      <c r="N453">
        <v>0</v>
      </c>
      <c r="O453">
        <v>0</v>
      </c>
      <c r="P453">
        <v>0</v>
      </c>
    </row>
    <row r="454" spans="1:16" x14ac:dyDescent="0.3">
      <c r="A454" t="s">
        <v>566</v>
      </c>
      <c r="B454" t="s">
        <v>62</v>
      </c>
      <c r="C454">
        <f ca="1">IF(RAND()&lt;0.8,F_Baseline_data!C454,IF(RAND()&lt;0.85,F_Baseline_data!C454+1,IF(F_Baseline_data!C454&gt;3,C454-1,F_Baseline_data!C454)))</f>
        <v>5</v>
      </c>
      <c r="D454">
        <f ca="1">MAX(5000,ROUND(F_Baseline_data!D454*(1+_xlfn.NORM.INV(RAND(),0.12,0.1)),-2))</f>
        <v>37400</v>
      </c>
      <c r="E454" t="str">
        <f ca="1">IF(I454=1,IF(RAND()&lt;0.95,"Piped Water",F_Baseline_data!E454),F_Baseline_data!E454)</f>
        <v>Vendor</v>
      </c>
      <c r="F454">
        <f t="shared" ca="1" si="14"/>
        <v>49</v>
      </c>
      <c r="G454">
        <v>0.4</v>
      </c>
      <c r="H454">
        <f ca="1">MAX(0,ROUND(F_Baseline_data!H454+(F_Baseline_data!C454-5)*200+(D454-30000)*0.015+(F454-50)*15-IF(I454=1,1200,0)+_xlfn.NORM.INV(RAND(),0,2500),-2))</f>
        <v>4900</v>
      </c>
      <c r="I454">
        <v>0</v>
      </c>
      <c r="J454">
        <f>1</f>
        <v>1</v>
      </c>
      <c r="K454">
        <f>1</f>
        <v>1</v>
      </c>
      <c r="L454">
        <v>0</v>
      </c>
      <c r="M454">
        <f t="shared" ca="1" si="15"/>
        <v>0.50696722987911813</v>
      </c>
      <c r="N454">
        <v>0</v>
      </c>
      <c r="O454">
        <v>0</v>
      </c>
      <c r="P454">
        <v>0</v>
      </c>
    </row>
    <row r="455" spans="1:16" x14ac:dyDescent="0.3">
      <c r="A455" t="s">
        <v>567</v>
      </c>
      <c r="B455" t="s">
        <v>513</v>
      </c>
      <c r="C455">
        <f ca="1">IF(RAND()&lt;0.8,F_Baseline_data!C455,IF(RAND()&lt;0.85,F_Baseline_data!C455+1,IF(F_Baseline_data!C455&gt;3,C455-1,F_Baseline_data!C455)))</f>
        <v>9</v>
      </c>
      <c r="D455">
        <f ca="1">MAX(5000,ROUND(F_Baseline_data!D455*(1+_xlfn.NORM.INV(RAND(),0.12,0.1)),-2))</f>
        <v>22300</v>
      </c>
      <c r="E455" t="str">
        <f ca="1">IF(I455=1,IF(RAND()&lt;0.95,"Piped Water",F_Baseline_data!E455),F_Baseline_data!E455)</f>
        <v>River</v>
      </c>
      <c r="F455">
        <f t="shared" ca="1" si="14"/>
        <v>89</v>
      </c>
      <c r="G455">
        <v>3</v>
      </c>
      <c r="H455">
        <f ca="1">MAX(0,ROUND(F_Baseline_data!H455+(F_Baseline_data!C455-5)*200+(D455-30000)*0.015+(F455-50)*15-IF(I455=1,1200,0)+_xlfn.NORM.INV(RAND(),0,2500),-2))</f>
        <v>12300</v>
      </c>
      <c r="I455">
        <v>0</v>
      </c>
      <c r="J455">
        <f>1</f>
        <v>1</v>
      </c>
      <c r="K455">
        <f>1</f>
        <v>1</v>
      </c>
      <c r="L455">
        <v>0</v>
      </c>
      <c r="M455">
        <f t="shared" ca="1" si="15"/>
        <v>0.88749239946093361</v>
      </c>
      <c r="N455">
        <v>0</v>
      </c>
      <c r="O455">
        <v>0</v>
      </c>
      <c r="P455">
        <v>0</v>
      </c>
    </row>
    <row r="456" spans="1:16" x14ac:dyDescent="0.3">
      <c r="A456" t="s">
        <v>568</v>
      </c>
      <c r="B456" t="s">
        <v>62</v>
      </c>
      <c r="C456">
        <f ca="1">IF(RAND()&lt;0.8,F_Baseline_data!C456,IF(RAND()&lt;0.85,F_Baseline_data!C456+1,IF(F_Baseline_data!C456&gt;3,C456-1,F_Baseline_data!C456)))</f>
        <v>3</v>
      </c>
      <c r="D456">
        <f ca="1">MAX(5000,ROUND(F_Baseline_data!D456*(1+_xlfn.NORM.INV(RAND(),0.12,0.1)),-2))</f>
        <v>34700</v>
      </c>
      <c r="E456" t="str">
        <f ca="1">IF(I456=1,IF(RAND()&lt;0.95,"Piped Water",F_Baseline_data!E456),F_Baseline_data!E456)</f>
        <v>Borehole</v>
      </c>
      <c r="F456">
        <f t="shared" ca="1" si="14"/>
        <v>56</v>
      </c>
      <c r="G456">
        <v>4.0999999999999996</v>
      </c>
      <c r="H456">
        <f ca="1">MAX(0,ROUND(F_Baseline_data!H456+(F_Baseline_data!C456-5)*200+(D456-30000)*0.015+(F456-50)*15-IF(I456=1,1200,0)+_xlfn.NORM.INV(RAND(),0,2500),-2))</f>
        <v>5600</v>
      </c>
      <c r="I456">
        <v>0</v>
      </c>
      <c r="J456">
        <f>1</f>
        <v>1</v>
      </c>
      <c r="K456">
        <f>1</f>
        <v>1</v>
      </c>
      <c r="L456">
        <v>0</v>
      </c>
      <c r="M456">
        <f t="shared" ca="1" si="15"/>
        <v>0.74320144324910442</v>
      </c>
      <c r="N456">
        <v>0</v>
      </c>
      <c r="O456">
        <v>0</v>
      </c>
      <c r="P456">
        <v>0</v>
      </c>
    </row>
    <row r="457" spans="1:16" x14ac:dyDescent="0.3">
      <c r="A457" t="s">
        <v>569</v>
      </c>
      <c r="B457" t="s">
        <v>513</v>
      </c>
      <c r="C457">
        <f ca="1">IF(RAND()&lt;0.8,F_Baseline_data!C457,IF(RAND()&lt;0.85,F_Baseline_data!C457+1,IF(F_Baseline_data!C457&gt;3,C457-1,F_Baseline_data!C457)))</f>
        <v>2</v>
      </c>
      <c r="D457">
        <f ca="1">MAX(5000,ROUND(F_Baseline_data!D457*(1+_xlfn.NORM.INV(RAND(),0.12,0.1)),-2))</f>
        <v>71500</v>
      </c>
      <c r="E457" t="str">
        <f ca="1">IF(I457=1,IF(RAND()&lt;0.95,"Piped Water",F_Baseline_data!E457),F_Baseline_data!E457)</f>
        <v>Rainwater</v>
      </c>
      <c r="F457">
        <f t="shared" ca="1" si="14"/>
        <v>30</v>
      </c>
      <c r="G457">
        <v>11.7</v>
      </c>
      <c r="H457">
        <f ca="1">MAX(0,ROUND(F_Baseline_data!H457+(F_Baseline_data!C457-5)*200+(D457-30000)*0.015+(F457-50)*15-IF(I457=1,1200,0)+_xlfn.NORM.INV(RAND(),0,2500),-2))</f>
        <v>11100</v>
      </c>
      <c r="I457">
        <v>0</v>
      </c>
      <c r="J457">
        <f>1</f>
        <v>1</v>
      </c>
      <c r="K457">
        <f>1</f>
        <v>1</v>
      </c>
      <c r="L457">
        <v>0</v>
      </c>
      <c r="M457">
        <f t="shared" ca="1" si="15"/>
        <v>0.40970706788414335</v>
      </c>
      <c r="N457">
        <v>0</v>
      </c>
      <c r="O457">
        <v>0</v>
      </c>
      <c r="P457">
        <v>0</v>
      </c>
    </row>
    <row r="458" spans="1:16" x14ac:dyDescent="0.3">
      <c r="A458" t="s">
        <v>570</v>
      </c>
      <c r="B458" t="s">
        <v>64</v>
      </c>
      <c r="C458">
        <f ca="1">IF(RAND()&lt;0.8,F_Baseline_data!C458,IF(RAND()&lt;0.85,F_Baseline_data!C458+1,IF(F_Baseline_data!C458&gt;3,C458-1,F_Baseline_data!C458)))</f>
        <v>7</v>
      </c>
      <c r="D458">
        <f ca="1">MAX(5000,ROUND(F_Baseline_data!D458*(1+_xlfn.NORM.INV(RAND(),0.12,0.1)),-2))</f>
        <v>26200</v>
      </c>
      <c r="E458" t="str">
        <f ca="1">IF(I458=1,IF(RAND()&lt;0.95,"Piped Water",F_Baseline_data!E458),F_Baseline_data!E458)</f>
        <v>Rainwater</v>
      </c>
      <c r="F458">
        <f t="shared" ca="1" si="14"/>
        <v>33</v>
      </c>
      <c r="G458">
        <v>1</v>
      </c>
      <c r="H458">
        <f ca="1">MAX(0,ROUND(F_Baseline_data!H458+(F_Baseline_data!C458-5)*200+(D458-30000)*0.015+(F458-50)*15-IF(I458=1,1200,0)+_xlfn.NORM.INV(RAND(),0,2500),-2))</f>
        <v>2000</v>
      </c>
      <c r="I458">
        <v>0</v>
      </c>
      <c r="J458">
        <f>1</f>
        <v>1</v>
      </c>
      <c r="K458">
        <f>1</f>
        <v>1</v>
      </c>
      <c r="L458">
        <v>0</v>
      </c>
      <c r="M458">
        <f t="shared" ca="1" si="15"/>
        <v>0.1990462318182421</v>
      </c>
      <c r="N458">
        <v>0</v>
      </c>
      <c r="O458">
        <v>0</v>
      </c>
      <c r="P458">
        <v>0</v>
      </c>
    </row>
    <row r="459" spans="1:16" x14ac:dyDescent="0.3">
      <c r="A459" t="s">
        <v>571</v>
      </c>
      <c r="B459" t="s">
        <v>65</v>
      </c>
      <c r="C459">
        <f ca="1">IF(RAND()&lt;0.8,F_Baseline_data!C459,IF(RAND()&lt;0.85,F_Baseline_data!C459+1,IF(F_Baseline_data!C459&gt;3,C459-1,F_Baseline_data!C459)))</f>
        <v>4</v>
      </c>
      <c r="D459">
        <f ca="1">MAX(5000,ROUND(F_Baseline_data!D459*(1+_xlfn.NORM.INV(RAND(),0.12,0.1)),-2))</f>
        <v>34700</v>
      </c>
      <c r="E459" t="str">
        <f ca="1">IF(I459=1,IF(RAND()&lt;0.95,"Piped Water",F_Baseline_data!E459),F_Baseline_data!E459)</f>
        <v>Vendor</v>
      </c>
      <c r="F459">
        <f t="shared" ca="1" si="14"/>
        <v>23</v>
      </c>
      <c r="G459">
        <v>1.2</v>
      </c>
      <c r="H459">
        <f ca="1">MAX(0,ROUND(F_Baseline_data!H459+(F_Baseline_data!C459-5)*200+(D459-30000)*0.015+(F459-50)*15-IF(I459=1,1200,0)+_xlfn.NORM.INV(RAND(),0,2500),-2))</f>
        <v>8600</v>
      </c>
      <c r="I459">
        <v>0</v>
      </c>
      <c r="J459">
        <f>1</f>
        <v>1</v>
      </c>
      <c r="K459">
        <f>1</f>
        <v>1</v>
      </c>
      <c r="L459">
        <v>0</v>
      </c>
      <c r="M459">
        <f t="shared" ca="1" si="15"/>
        <v>0.23236196435425271</v>
      </c>
      <c r="N459">
        <v>0</v>
      </c>
      <c r="O459">
        <v>0</v>
      </c>
      <c r="P459">
        <v>0</v>
      </c>
    </row>
    <row r="460" spans="1:16" x14ac:dyDescent="0.3">
      <c r="A460" t="s">
        <v>572</v>
      </c>
      <c r="B460" t="s">
        <v>65</v>
      </c>
      <c r="C460">
        <f ca="1">IF(RAND()&lt;0.8,F_Baseline_data!C460,IF(RAND()&lt;0.85,F_Baseline_data!C460+1,IF(F_Baseline_data!C460&gt;3,C460-1,F_Baseline_data!C460)))</f>
        <v>6</v>
      </c>
      <c r="D460">
        <f ca="1">MAX(5000,ROUND(F_Baseline_data!D460*(1+_xlfn.NORM.INV(RAND(),0.12,0.1)),-2))</f>
        <v>24400</v>
      </c>
      <c r="E460" t="str">
        <f ca="1">IF(I460=1,IF(RAND()&lt;0.95,"Piped Water",F_Baseline_data!E460),F_Baseline_data!E460)</f>
        <v>Vendor</v>
      </c>
      <c r="F460">
        <f t="shared" ca="1" si="14"/>
        <v>23</v>
      </c>
      <c r="G460">
        <v>4.3</v>
      </c>
      <c r="H460">
        <f ca="1">MAX(0,ROUND(F_Baseline_data!H460+(F_Baseline_data!C460-5)*200+(D460-30000)*0.015+(F460-50)*15-IF(I460=1,1200,0)+_xlfn.NORM.INV(RAND(),0,2500),-2))</f>
        <v>2000</v>
      </c>
      <c r="I460">
        <v>0</v>
      </c>
      <c r="J460">
        <f>1</f>
        <v>1</v>
      </c>
      <c r="K460">
        <f>1</f>
        <v>1</v>
      </c>
      <c r="L460">
        <v>0</v>
      </c>
      <c r="M460">
        <f t="shared" ca="1" si="15"/>
        <v>0.59313346437535819</v>
      </c>
      <c r="N460">
        <v>0</v>
      </c>
      <c r="O460">
        <v>0</v>
      </c>
      <c r="P460">
        <v>0</v>
      </c>
    </row>
    <row r="461" spans="1:16" x14ac:dyDescent="0.3">
      <c r="A461" t="s">
        <v>573</v>
      </c>
      <c r="B461" t="s">
        <v>65</v>
      </c>
      <c r="C461">
        <f ca="1">IF(RAND()&lt;0.8,F_Baseline_data!C461,IF(RAND()&lt;0.85,F_Baseline_data!C461+1,IF(F_Baseline_data!C461&gt;3,C461-1,F_Baseline_data!C461)))</f>
        <v>6</v>
      </c>
      <c r="D461">
        <f ca="1">MAX(5000,ROUND(F_Baseline_data!D461*(1+_xlfn.NORM.INV(RAND(),0.12,0.1)),-2))</f>
        <v>61200</v>
      </c>
      <c r="E461" t="str">
        <f ca="1">IF(I461=1,IF(RAND()&lt;0.95,"Piped Water",F_Baseline_data!E461),F_Baseline_data!E461)</f>
        <v>Rainwater</v>
      </c>
      <c r="F461">
        <f t="shared" ca="1" si="14"/>
        <v>32</v>
      </c>
      <c r="G461">
        <v>0.4</v>
      </c>
      <c r="H461">
        <f ca="1">MAX(0,ROUND(F_Baseline_data!H461+(F_Baseline_data!C461-5)*200+(D461-30000)*0.015+(F461-50)*15-IF(I461=1,1200,0)+_xlfn.NORM.INV(RAND(),0,2500),-2))</f>
        <v>5400</v>
      </c>
      <c r="I461">
        <v>0</v>
      </c>
      <c r="J461">
        <f>1</f>
        <v>1</v>
      </c>
      <c r="K461">
        <f>1</f>
        <v>1</v>
      </c>
      <c r="L461">
        <v>0</v>
      </c>
      <c r="M461">
        <f t="shared" ca="1" si="15"/>
        <v>0.7236361908740796</v>
      </c>
      <c r="N461">
        <v>0</v>
      </c>
      <c r="O461">
        <v>0</v>
      </c>
      <c r="P461">
        <v>0</v>
      </c>
    </row>
    <row r="462" spans="1:16" x14ac:dyDescent="0.3">
      <c r="A462" t="s">
        <v>574</v>
      </c>
      <c r="B462" t="s">
        <v>62</v>
      </c>
      <c r="C462">
        <f ca="1">IF(RAND()&lt;0.8,F_Baseline_data!C462,IF(RAND()&lt;0.85,F_Baseline_data!C462+1,IF(F_Baseline_data!C462&gt;3,C462-1,F_Baseline_data!C462)))</f>
        <v>5</v>
      </c>
      <c r="D462">
        <f ca="1">MAX(5000,ROUND(F_Baseline_data!D462*(1+_xlfn.NORM.INV(RAND(),0.12,0.1)),-2))</f>
        <v>44000</v>
      </c>
      <c r="E462" t="str">
        <f ca="1">IF(I462=1,IF(RAND()&lt;0.95,"Piped Water",F_Baseline_data!E462),F_Baseline_data!E462)</f>
        <v>Vendor</v>
      </c>
      <c r="F462">
        <f t="shared" ca="1" si="14"/>
        <v>49</v>
      </c>
      <c r="G462">
        <v>9.1</v>
      </c>
      <c r="H462">
        <f ca="1">MAX(0,ROUND(F_Baseline_data!H462+(F_Baseline_data!C462-5)*200+(D462-30000)*0.015+(F462-50)*15-IF(I462=1,1200,0)+_xlfn.NORM.INV(RAND(),0,2500),-2))</f>
        <v>1700</v>
      </c>
      <c r="I462">
        <v>0</v>
      </c>
      <c r="J462">
        <f>1</f>
        <v>1</v>
      </c>
      <c r="K462">
        <f>1</f>
        <v>1</v>
      </c>
      <c r="L462">
        <v>0</v>
      </c>
      <c r="M462">
        <f t="shared" ca="1" si="15"/>
        <v>0.27028422534484142</v>
      </c>
      <c r="N462">
        <v>0</v>
      </c>
      <c r="O462">
        <v>0</v>
      </c>
      <c r="P462">
        <v>0</v>
      </c>
    </row>
    <row r="463" spans="1:16" x14ac:dyDescent="0.3">
      <c r="A463" t="s">
        <v>575</v>
      </c>
      <c r="B463" t="s">
        <v>62</v>
      </c>
      <c r="C463">
        <f ca="1">IF(RAND()&lt;0.8,F_Baseline_data!C463,IF(RAND()&lt;0.85,F_Baseline_data!C463+1,IF(F_Baseline_data!C463&gt;3,C463-1,F_Baseline_data!C463)))</f>
        <v>4</v>
      </c>
      <c r="D463">
        <f ca="1">MAX(5000,ROUND(F_Baseline_data!D463*(1+_xlfn.NORM.INV(RAND(),0.12,0.1)),-2))</f>
        <v>29800</v>
      </c>
      <c r="E463" t="str">
        <f ca="1">IF(I463=1,IF(RAND()&lt;0.95,"Piped Water",F_Baseline_data!E463),F_Baseline_data!E463)</f>
        <v>River</v>
      </c>
      <c r="F463">
        <f t="shared" ca="1" si="14"/>
        <v>117</v>
      </c>
      <c r="G463">
        <v>1</v>
      </c>
      <c r="H463">
        <f ca="1">MAX(0,ROUND(F_Baseline_data!H463+(F_Baseline_data!C463-5)*200+(D463-30000)*0.015+(F463-50)*15-IF(I463=1,1200,0)+_xlfn.NORM.INV(RAND(),0,2500),-2))</f>
        <v>3400</v>
      </c>
      <c r="I463">
        <v>0</v>
      </c>
      <c r="J463">
        <f>1</f>
        <v>1</v>
      </c>
      <c r="K463">
        <f>1</f>
        <v>1</v>
      </c>
      <c r="L463">
        <v>0</v>
      </c>
      <c r="M463">
        <f t="shared" ca="1" si="15"/>
        <v>0.85424004700301104</v>
      </c>
      <c r="N463">
        <v>0</v>
      </c>
      <c r="O463">
        <v>0</v>
      </c>
      <c r="P463">
        <v>0</v>
      </c>
    </row>
    <row r="464" spans="1:16" x14ac:dyDescent="0.3">
      <c r="A464" t="s">
        <v>576</v>
      </c>
      <c r="B464" t="s">
        <v>513</v>
      </c>
      <c r="C464">
        <f ca="1">IF(RAND()&lt;0.8,F_Baseline_data!C464,IF(RAND()&lt;0.85,F_Baseline_data!C464+1,IF(F_Baseline_data!C464&gt;3,C464-1,F_Baseline_data!C464)))</f>
        <v>8</v>
      </c>
      <c r="D464">
        <f ca="1">MAX(5000,ROUND(F_Baseline_data!D464*(1+_xlfn.NORM.INV(RAND(),0.12,0.1)),-2))</f>
        <v>51700</v>
      </c>
      <c r="E464" t="str">
        <f ca="1">IF(I464=1,IF(RAND()&lt;0.95,"Piped Water",F_Baseline_data!E464),F_Baseline_data!E464)</f>
        <v>Borehole</v>
      </c>
      <c r="F464">
        <f t="shared" ca="1" si="14"/>
        <v>29</v>
      </c>
      <c r="G464">
        <v>9.9</v>
      </c>
      <c r="H464">
        <f ca="1">MAX(0,ROUND(F_Baseline_data!H464+(F_Baseline_data!C464-5)*200+(D464-30000)*0.015+(F464-50)*15-IF(I464=1,1200,0)+_xlfn.NORM.INV(RAND(),0,2500),-2))</f>
        <v>7600</v>
      </c>
      <c r="I464">
        <v>0</v>
      </c>
      <c r="J464">
        <f>1</f>
        <v>1</v>
      </c>
      <c r="K464">
        <f>1</f>
        <v>1</v>
      </c>
      <c r="L464">
        <v>0</v>
      </c>
      <c r="M464">
        <f t="shared" ca="1" si="15"/>
        <v>0.27728972093374871</v>
      </c>
      <c r="N464">
        <v>0</v>
      </c>
      <c r="O464">
        <v>0</v>
      </c>
      <c r="P464">
        <v>0</v>
      </c>
    </row>
    <row r="465" spans="1:16" x14ac:dyDescent="0.3">
      <c r="A465" t="s">
        <v>577</v>
      </c>
      <c r="B465" t="s">
        <v>64</v>
      </c>
      <c r="C465">
        <f ca="1">IF(RAND()&lt;0.8,F_Baseline_data!C465,IF(RAND()&lt;0.85,F_Baseline_data!C465+1,IF(F_Baseline_data!C465&gt;3,C465-1,F_Baseline_data!C465)))</f>
        <v>5</v>
      </c>
      <c r="D465">
        <f ca="1">MAX(5000,ROUND(F_Baseline_data!D465*(1+_xlfn.NORM.INV(RAND(),0.12,0.1)),-2))</f>
        <v>50700</v>
      </c>
      <c r="E465" t="str">
        <f ca="1">IF(I465=1,IF(RAND()&lt;0.95,"Piped Water",F_Baseline_data!E465),F_Baseline_data!E465)</f>
        <v>Rainwater</v>
      </c>
      <c r="F465">
        <f t="shared" ca="1" si="14"/>
        <v>27</v>
      </c>
      <c r="G465">
        <v>12</v>
      </c>
      <c r="H465">
        <f ca="1">MAX(0,ROUND(F_Baseline_data!H465+(F_Baseline_data!C465-5)*200+(D465-30000)*0.015+(F465-50)*15-IF(I465=1,1200,0)+_xlfn.NORM.INV(RAND(),0,2500),-2))</f>
        <v>10600</v>
      </c>
      <c r="I465">
        <v>0</v>
      </c>
      <c r="J465">
        <f>1</f>
        <v>1</v>
      </c>
      <c r="K465">
        <f>1</f>
        <v>1</v>
      </c>
      <c r="L465">
        <v>0</v>
      </c>
      <c r="M465">
        <f t="shared" ca="1" si="15"/>
        <v>0.91043812901419829</v>
      </c>
      <c r="N465">
        <v>0</v>
      </c>
      <c r="O465">
        <v>0</v>
      </c>
      <c r="P465">
        <v>0</v>
      </c>
    </row>
    <row r="466" spans="1:16" x14ac:dyDescent="0.3">
      <c r="A466" t="s">
        <v>578</v>
      </c>
      <c r="B466" t="s">
        <v>64</v>
      </c>
      <c r="C466">
        <f ca="1">IF(RAND()&lt;0.8,F_Baseline_data!C466,IF(RAND()&lt;0.85,F_Baseline_data!C466+1,IF(F_Baseline_data!C466&gt;3,C466-1,F_Baseline_data!C466)))</f>
        <v>6</v>
      </c>
      <c r="D466">
        <f ca="1">MAX(5000,ROUND(F_Baseline_data!D466*(1+_xlfn.NORM.INV(RAND(),0.12,0.1)),-2))</f>
        <v>28000</v>
      </c>
      <c r="E466" t="str">
        <f ca="1">IF(I466=1,IF(RAND()&lt;0.95,"Piped Water",F_Baseline_data!E466),F_Baseline_data!E466)</f>
        <v>Borehole</v>
      </c>
      <c r="F466">
        <f t="shared" ca="1" si="14"/>
        <v>48</v>
      </c>
      <c r="G466">
        <v>0.4</v>
      </c>
      <c r="H466">
        <f ca="1">MAX(0,ROUND(F_Baseline_data!H466+(F_Baseline_data!C466-5)*200+(D466-30000)*0.015+(F466-50)*15-IF(I466=1,1200,0)+_xlfn.NORM.INV(RAND(),0,2500),-2))</f>
        <v>5600</v>
      </c>
      <c r="I466">
        <v>0</v>
      </c>
      <c r="J466">
        <f>1</f>
        <v>1</v>
      </c>
      <c r="K466">
        <f>1</f>
        <v>1</v>
      </c>
      <c r="L466">
        <v>0</v>
      </c>
      <c r="M466">
        <f t="shared" ca="1" si="15"/>
        <v>0.69275765418390067</v>
      </c>
      <c r="N466">
        <v>0</v>
      </c>
      <c r="O466">
        <v>0</v>
      </c>
      <c r="P466">
        <v>0</v>
      </c>
    </row>
    <row r="467" spans="1:16" x14ac:dyDescent="0.3">
      <c r="A467" t="s">
        <v>579</v>
      </c>
      <c r="B467" t="s">
        <v>65</v>
      </c>
      <c r="C467">
        <f ca="1">IF(RAND()&lt;0.8,F_Baseline_data!C467,IF(RAND()&lt;0.85,F_Baseline_data!C467+1,IF(F_Baseline_data!C467&gt;3,C467-1,F_Baseline_data!C467)))</f>
        <v>9</v>
      </c>
      <c r="D467">
        <f ca="1">MAX(5000,ROUND(F_Baseline_data!D467*(1+_xlfn.NORM.INV(RAND(),0.12,0.1)),-2))</f>
        <v>59300</v>
      </c>
      <c r="E467" t="str">
        <f ca="1">IF(I467=1,IF(RAND()&lt;0.95,"Piped Water",F_Baseline_data!E467),F_Baseline_data!E467)</f>
        <v>River</v>
      </c>
      <c r="F467">
        <f t="shared" ca="1" si="14"/>
        <v>56</v>
      </c>
      <c r="G467">
        <v>13.7</v>
      </c>
      <c r="H467">
        <f ca="1">MAX(0,ROUND(F_Baseline_data!H467+(F_Baseline_data!C467-5)*200+(D467-30000)*0.015+(F467-50)*15-IF(I467=1,1200,0)+_xlfn.NORM.INV(RAND(),0,2500),-2))</f>
        <v>13900</v>
      </c>
      <c r="I467">
        <v>0</v>
      </c>
      <c r="J467">
        <f>1</f>
        <v>1</v>
      </c>
      <c r="K467">
        <f>1</f>
        <v>1</v>
      </c>
      <c r="L467">
        <v>0</v>
      </c>
      <c r="M467">
        <f t="shared" ca="1" si="15"/>
        <v>0.90757027024817516</v>
      </c>
      <c r="N467">
        <v>0</v>
      </c>
      <c r="O467">
        <v>0</v>
      </c>
      <c r="P467">
        <v>0</v>
      </c>
    </row>
    <row r="468" spans="1:16" x14ac:dyDescent="0.3">
      <c r="A468" t="s">
        <v>580</v>
      </c>
      <c r="B468" t="s">
        <v>65</v>
      </c>
      <c r="C468">
        <f ca="1">IF(RAND()&lt;0.8,F_Baseline_data!C468,IF(RAND()&lt;0.85,F_Baseline_data!C468+1,IF(F_Baseline_data!C468&gt;3,C468-1,F_Baseline_data!C468)))</f>
        <v>2</v>
      </c>
      <c r="D468">
        <f ca="1">MAX(5000,ROUND(F_Baseline_data!D468*(1+_xlfn.NORM.INV(RAND(),0.12,0.1)),-2))</f>
        <v>102300</v>
      </c>
      <c r="E468" t="str">
        <f ca="1">IF(I468=1,IF(RAND()&lt;0.95,"Piped Water",F_Baseline_data!E468),F_Baseline_data!E468)</f>
        <v>Borehole</v>
      </c>
      <c r="F468">
        <f t="shared" ca="1" si="14"/>
        <v>27</v>
      </c>
      <c r="G468">
        <v>6.4</v>
      </c>
      <c r="H468">
        <f ca="1">MAX(0,ROUND(F_Baseline_data!H468+(F_Baseline_data!C468-5)*200+(D468-30000)*0.015+(F468-50)*15-IF(I468=1,1200,0)+_xlfn.NORM.INV(RAND(),0,2500),-2))</f>
        <v>7900</v>
      </c>
      <c r="I468">
        <v>0</v>
      </c>
      <c r="J468">
        <f>1</f>
        <v>1</v>
      </c>
      <c r="K468">
        <f>1</f>
        <v>1</v>
      </c>
      <c r="L468">
        <v>0</v>
      </c>
      <c r="M468">
        <f t="shared" ca="1" si="15"/>
        <v>0.91206734635713593</v>
      </c>
      <c r="N468">
        <v>0</v>
      </c>
      <c r="O468">
        <v>0</v>
      </c>
      <c r="P468">
        <v>0</v>
      </c>
    </row>
    <row r="469" spans="1:16" x14ac:dyDescent="0.3">
      <c r="A469" t="s">
        <v>581</v>
      </c>
      <c r="B469" t="s">
        <v>64</v>
      </c>
      <c r="C469">
        <f ca="1">IF(RAND()&lt;0.8,F_Baseline_data!C469,IF(RAND()&lt;0.85,F_Baseline_data!C469+1,IF(F_Baseline_data!C469&gt;3,C469-1,F_Baseline_data!C469)))</f>
        <v>3</v>
      </c>
      <c r="D469">
        <f ca="1">MAX(5000,ROUND(F_Baseline_data!D469*(1+_xlfn.NORM.INV(RAND(),0.12,0.1)),-2))</f>
        <v>60400</v>
      </c>
      <c r="E469" t="str">
        <f ca="1">IF(I469=1,IF(RAND()&lt;0.95,"Piped Water",F_Baseline_data!E469),F_Baseline_data!E469)</f>
        <v>Vendor</v>
      </c>
      <c r="F469">
        <f t="shared" ca="1" si="14"/>
        <v>23</v>
      </c>
      <c r="G469">
        <v>2.2999999999999998</v>
      </c>
      <c r="H469">
        <f ca="1">MAX(0,ROUND(F_Baseline_data!H469+(F_Baseline_data!C469-5)*200+(D469-30000)*0.015+(F469-50)*15-IF(I469=1,1200,0)+_xlfn.NORM.INV(RAND(),0,2500),-2))</f>
        <v>2700</v>
      </c>
      <c r="I469">
        <v>0</v>
      </c>
      <c r="J469">
        <f>1</f>
        <v>1</v>
      </c>
      <c r="K469">
        <f>1</f>
        <v>1</v>
      </c>
      <c r="L469">
        <v>0</v>
      </c>
      <c r="M469">
        <f t="shared" ca="1" si="15"/>
        <v>0.95587959553050772</v>
      </c>
      <c r="N469">
        <v>0</v>
      </c>
      <c r="O469">
        <v>0</v>
      </c>
      <c r="P469">
        <v>0</v>
      </c>
    </row>
    <row r="470" spans="1:16" x14ac:dyDescent="0.3">
      <c r="A470" t="s">
        <v>582</v>
      </c>
      <c r="B470" t="s">
        <v>65</v>
      </c>
      <c r="C470">
        <f ca="1">IF(RAND()&lt;0.8,F_Baseline_data!C470,IF(RAND()&lt;0.85,F_Baseline_data!C470+1,IF(F_Baseline_data!C470&gt;3,C470-1,F_Baseline_data!C470)))</f>
        <v>7</v>
      </c>
      <c r="D470">
        <f ca="1">MAX(5000,ROUND(F_Baseline_data!D470*(1+_xlfn.NORM.INV(RAND(),0.12,0.1)),-2))</f>
        <v>34800</v>
      </c>
      <c r="E470" t="str">
        <f ca="1">IF(I470=1,IF(RAND()&lt;0.95,"Piped Water",F_Baseline_data!E470),F_Baseline_data!E470)</f>
        <v>Borehole</v>
      </c>
      <c r="F470">
        <f t="shared" ca="1" si="14"/>
        <v>73</v>
      </c>
      <c r="G470">
        <v>13.2</v>
      </c>
      <c r="H470">
        <f ca="1">MAX(0,ROUND(F_Baseline_data!H470+(F_Baseline_data!C470-5)*200+(D470-30000)*0.015+(F470-50)*15-IF(I470=1,1200,0)+_xlfn.NORM.INV(RAND(),0,2500),-2))</f>
        <v>11600</v>
      </c>
      <c r="I470">
        <v>0</v>
      </c>
      <c r="J470">
        <f>1</f>
        <v>1</v>
      </c>
      <c r="K470">
        <f>1</f>
        <v>1</v>
      </c>
      <c r="L470">
        <v>0</v>
      </c>
      <c r="M470">
        <f t="shared" ca="1" si="15"/>
        <v>0.54705085294356937</v>
      </c>
      <c r="N470">
        <v>0</v>
      </c>
      <c r="O470">
        <v>0</v>
      </c>
      <c r="P470">
        <v>0</v>
      </c>
    </row>
    <row r="471" spans="1:16" x14ac:dyDescent="0.3">
      <c r="A471" t="s">
        <v>583</v>
      </c>
      <c r="B471" t="s">
        <v>62</v>
      </c>
      <c r="C471">
        <f ca="1">IF(RAND()&lt;0.8,F_Baseline_data!C471,IF(RAND()&lt;0.85,F_Baseline_data!C471+1,IF(F_Baseline_data!C471&gt;3,C471-1,F_Baseline_data!C471)))</f>
        <v>4</v>
      </c>
      <c r="D471">
        <f ca="1">MAX(5000,ROUND(F_Baseline_data!D471*(1+_xlfn.NORM.INV(RAND(),0.12,0.1)),-2))</f>
        <v>92100</v>
      </c>
      <c r="E471" t="str">
        <f ca="1">IF(I471=1,IF(RAND()&lt;0.95,"Piped Water",F_Baseline_data!E471),F_Baseline_data!E471)</f>
        <v>River</v>
      </c>
      <c r="F471">
        <f t="shared" ca="1" si="14"/>
        <v>100</v>
      </c>
      <c r="G471">
        <v>8.3000000000000007</v>
      </c>
      <c r="H471">
        <f ca="1">MAX(0,ROUND(F_Baseline_data!H471+(F_Baseline_data!C471-5)*200+(D471-30000)*0.015+(F471-50)*15-IF(I471=1,1200,0)+_xlfn.NORM.INV(RAND(),0,2500),-2))</f>
        <v>10800</v>
      </c>
      <c r="I471">
        <v>0</v>
      </c>
      <c r="J471">
        <f>1</f>
        <v>1</v>
      </c>
      <c r="K471">
        <f>1</f>
        <v>1</v>
      </c>
      <c r="L471">
        <v>0</v>
      </c>
      <c r="M471">
        <f t="shared" ca="1" si="15"/>
        <v>0.86149768890075029</v>
      </c>
      <c r="N471">
        <v>0</v>
      </c>
      <c r="O471">
        <v>0</v>
      </c>
      <c r="P471">
        <v>0</v>
      </c>
    </row>
    <row r="472" spans="1:16" x14ac:dyDescent="0.3">
      <c r="A472" t="s">
        <v>584</v>
      </c>
      <c r="B472" t="s">
        <v>513</v>
      </c>
      <c r="C472">
        <f ca="1">IF(RAND()&lt;0.8,F_Baseline_data!C472,IF(RAND()&lt;0.85,F_Baseline_data!C472+1,IF(F_Baseline_data!C472&gt;3,C472-1,F_Baseline_data!C472)))</f>
        <v>3</v>
      </c>
      <c r="D472">
        <f ca="1">MAX(5000,ROUND(F_Baseline_data!D472*(1+_xlfn.NORM.INV(RAND(),0.12,0.1)),-2))</f>
        <v>18600</v>
      </c>
      <c r="E472" t="str">
        <f ca="1">IF(I472=1,IF(RAND()&lt;0.95,"Piped Water",F_Baseline_data!E472),F_Baseline_data!E472)</f>
        <v>Vendor</v>
      </c>
      <c r="F472">
        <f t="shared" ca="1" si="14"/>
        <v>31</v>
      </c>
      <c r="G472">
        <v>14.6</v>
      </c>
      <c r="H472">
        <f ca="1">MAX(0,ROUND(F_Baseline_data!H472+(F_Baseline_data!C472-5)*200+(D472-30000)*0.015+(F472-50)*15-IF(I472=1,1200,0)+_xlfn.NORM.INV(RAND(),0,2500),-2))</f>
        <v>0</v>
      </c>
      <c r="I472">
        <v>0</v>
      </c>
      <c r="J472">
        <f>1</f>
        <v>1</v>
      </c>
      <c r="K472">
        <f>1</f>
        <v>1</v>
      </c>
      <c r="L472">
        <v>0</v>
      </c>
      <c r="M472">
        <f t="shared" ca="1" si="15"/>
        <v>0.96129165100883029</v>
      </c>
      <c r="N472">
        <v>0</v>
      </c>
      <c r="O472">
        <v>0</v>
      </c>
      <c r="P472">
        <v>0</v>
      </c>
    </row>
    <row r="473" spans="1:16" x14ac:dyDescent="0.3">
      <c r="A473" t="s">
        <v>585</v>
      </c>
      <c r="B473" t="s">
        <v>65</v>
      </c>
      <c r="C473">
        <f ca="1">IF(RAND()&lt;0.8,F_Baseline_data!C473,IF(RAND()&lt;0.85,F_Baseline_data!C473+1,IF(F_Baseline_data!C473&gt;3,C473-1,F_Baseline_data!C473)))</f>
        <v>1</v>
      </c>
      <c r="D473">
        <f ca="1">MAX(5000,ROUND(F_Baseline_data!D473*(1+_xlfn.NORM.INV(RAND(),0.12,0.1)),-2))</f>
        <v>32000</v>
      </c>
      <c r="E473" t="str">
        <f ca="1">IF(I473=1,IF(RAND()&lt;0.95,"Piped Water",F_Baseline_data!E473),F_Baseline_data!E473)</f>
        <v>River</v>
      </c>
      <c r="F473">
        <f t="shared" ca="1" si="14"/>
        <v>62</v>
      </c>
      <c r="G473">
        <v>7.2</v>
      </c>
      <c r="H473">
        <f ca="1">MAX(0,ROUND(F_Baseline_data!H473+(F_Baseline_data!C473-5)*200+(D473-30000)*0.015+(F473-50)*15-IF(I473=1,1200,0)+_xlfn.NORM.INV(RAND(),0,2500),-2))</f>
        <v>4400</v>
      </c>
      <c r="I473">
        <v>0</v>
      </c>
      <c r="J473">
        <f>1</f>
        <v>1</v>
      </c>
      <c r="K473">
        <f>1</f>
        <v>1</v>
      </c>
      <c r="L473">
        <v>0</v>
      </c>
      <c r="M473">
        <f t="shared" ca="1" si="15"/>
        <v>0.40850916009182858</v>
      </c>
      <c r="N473">
        <v>0</v>
      </c>
      <c r="O473">
        <v>0</v>
      </c>
      <c r="P473">
        <v>0</v>
      </c>
    </row>
    <row r="474" spans="1:16" x14ac:dyDescent="0.3">
      <c r="A474" t="s">
        <v>586</v>
      </c>
      <c r="B474" t="s">
        <v>513</v>
      </c>
      <c r="C474">
        <f ca="1">IF(RAND()&lt;0.8,F_Baseline_data!C474,IF(RAND()&lt;0.85,F_Baseline_data!C474+1,IF(F_Baseline_data!C474&gt;3,C474-1,F_Baseline_data!C474)))</f>
        <v>1</v>
      </c>
      <c r="D474">
        <f ca="1">MAX(5000,ROUND(F_Baseline_data!D474*(1+_xlfn.NORM.INV(RAND(),0.12,0.1)),-2))</f>
        <v>39900</v>
      </c>
      <c r="E474" t="str">
        <f ca="1">IF(I474=1,IF(RAND()&lt;0.95,"Piped Water",F_Baseline_data!E474),F_Baseline_data!E474)</f>
        <v>Rainwater</v>
      </c>
      <c r="F474">
        <f t="shared" ca="1" si="14"/>
        <v>51</v>
      </c>
      <c r="G474">
        <v>4.8</v>
      </c>
      <c r="H474">
        <f ca="1">MAX(0,ROUND(F_Baseline_data!H474+(F_Baseline_data!C474-5)*200+(D474-30000)*0.015+(F474-50)*15-IF(I474=1,1200,0)+_xlfn.NORM.INV(RAND(),0,2500),-2))</f>
        <v>0</v>
      </c>
      <c r="I474">
        <v>0</v>
      </c>
      <c r="J474">
        <f>1</f>
        <v>1</v>
      </c>
      <c r="K474">
        <f>1</f>
        <v>1</v>
      </c>
      <c r="L474">
        <v>0</v>
      </c>
      <c r="M474">
        <f t="shared" ca="1" si="15"/>
        <v>0.31726106988171676</v>
      </c>
      <c r="N474">
        <v>0</v>
      </c>
      <c r="O474">
        <v>0</v>
      </c>
      <c r="P474">
        <v>0</v>
      </c>
    </row>
    <row r="475" spans="1:16" x14ac:dyDescent="0.3">
      <c r="A475" t="s">
        <v>587</v>
      </c>
      <c r="B475" t="s">
        <v>513</v>
      </c>
      <c r="C475">
        <f ca="1">IF(RAND()&lt;0.8,F_Baseline_data!C475,IF(RAND()&lt;0.85,F_Baseline_data!C475+1,IF(F_Baseline_data!C475&gt;3,C475-1,F_Baseline_data!C475)))</f>
        <v>3</v>
      </c>
      <c r="D475">
        <f ca="1">MAX(5000,ROUND(F_Baseline_data!D475*(1+_xlfn.NORM.INV(RAND(),0.12,0.1)),-2))</f>
        <v>39800</v>
      </c>
      <c r="E475" t="str">
        <f ca="1">IF(I475=1,IF(RAND()&lt;0.95,"Piped Water",F_Baseline_data!E475),F_Baseline_data!E475)</f>
        <v>Borehole</v>
      </c>
      <c r="F475">
        <f t="shared" ca="1" si="14"/>
        <v>53</v>
      </c>
      <c r="G475">
        <v>9</v>
      </c>
      <c r="H475">
        <f ca="1">MAX(0,ROUND(F_Baseline_data!H475+(F_Baseline_data!C475-5)*200+(D475-30000)*0.015+(F475-50)*15-IF(I475=1,1200,0)+_xlfn.NORM.INV(RAND(),0,2500),-2))</f>
        <v>5600</v>
      </c>
      <c r="I475">
        <v>0</v>
      </c>
      <c r="J475">
        <f>1</f>
        <v>1</v>
      </c>
      <c r="K475">
        <f>1</f>
        <v>1</v>
      </c>
      <c r="L475">
        <v>0</v>
      </c>
      <c r="M475">
        <f t="shared" ca="1" si="15"/>
        <v>0.99939969430199516</v>
      </c>
      <c r="N475">
        <v>0</v>
      </c>
      <c r="O475">
        <v>0</v>
      </c>
      <c r="P475">
        <v>0</v>
      </c>
    </row>
    <row r="476" spans="1:16" x14ac:dyDescent="0.3">
      <c r="A476" t="s">
        <v>588</v>
      </c>
      <c r="B476" t="s">
        <v>62</v>
      </c>
      <c r="C476">
        <f ca="1">IF(RAND()&lt;0.8,F_Baseline_data!C476,IF(RAND()&lt;0.85,F_Baseline_data!C476+1,IF(F_Baseline_data!C476&gt;3,C476-1,F_Baseline_data!C476)))</f>
        <v>3</v>
      </c>
      <c r="D476">
        <f ca="1">MAX(5000,ROUND(F_Baseline_data!D476*(1+_xlfn.NORM.INV(RAND(),0.12,0.1)),-2))</f>
        <v>18300</v>
      </c>
      <c r="E476" t="str">
        <f ca="1">IF(I476=1,IF(RAND()&lt;0.95,"Piped Water",F_Baseline_data!E476),F_Baseline_data!E476)</f>
        <v>Rainwater</v>
      </c>
      <c r="F476">
        <f t="shared" ca="1" si="14"/>
        <v>35</v>
      </c>
      <c r="G476">
        <v>6.8</v>
      </c>
      <c r="H476">
        <f ca="1">MAX(0,ROUND(F_Baseline_data!H476+(F_Baseline_data!C476-5)*200+(D476-30000)*0.015+(F476-50)*15-IF(I476=1,1200,0)+_xlfn.NORM.INV(RAND(),0,2500),-2))</f>
        <v>10300</v>
      </c>
      <c r="I476">
        <v>0</v>
      </c>
      <c r="J476">
        <f>1</f>
        <v>1</v>
      </c>
      <c r="K476">
        <f>1</f>
        <v>1</v>
      </c>
      <c r="L476">
        <v>0</v>
      </c>
      <c r="M476">
        <f t="shared" ca="1" si="15"/>
        <v>0.65872899283801867</v>
      </c>
      <c r="N476">
        <v>0</v>
      </c>
      <c r="O476">
        <v>0</v>
      </c>
      <c r="P476">
        <v>0</v>
      </c>
    </row>
    <row r="477" spans="1:16" x14ac:dyDescent="0.3">
      <c r="A477" t="s">
        <v>589</v>
      </c>
      <c r="B477" t="s">
        <v>62</v>
      </c>
      <c r="C477">
        <f ca="1">IF(RAND()&lt;0.8,F_Baseline_data!C477,IF(RAND()&lt;0.85,F_Baseline_data!C477+1,IF(F_Baseline_data!C477&gt;3,C477-1,F_Baseline_data!C477)))</f>
        <v>8</v>
      </c>
      <c r="D477">
        <f ca="1">MAX(5000,ROUND(F_Baseline_data!D477*(1+_xlfn.NORM.INV(RAND(),0.12,0.1)),-2))</f>
        <v>29900</v>
      </c>
      <c r="E477" t="str">
        <f ca="1">IF(I477=1,IF(RAND()&lt;0.95,"Piped Water",F_Baseline_data!E477),F_Baseline_data!E477)</f>
        <v>River</v>
      </c>
      <c r="F477">
        <f t="shared" ca="1" si="14"/>
        <v>104</v>
      </c>
      <c r="G477">
        <v>9.1999999999999993</v>
      </c>
      <c r="H477">
        <f ca="1">MAX(0,ROUND(F_Baseline_data!H477+(F_Baseline_data!C477-5)*200+(D477-30000)*0.015+(F477-50)*15-IF(I477=1,1200,0)+_xlfn.NORM.INV(RAND(),0,2500),-2))</f>
        <v>5500</v>
      </c>
      <c r="I477">
        <v>0</v>
      </c>
      <c r="J477">
        <f>1</f>
        <v>1</v>
      </c>
      <c r="K477">
        <f>1</f>
        <v>1</v>
      </c>
      <c r="L477">
        <v>0</v>
      </c>
      <c r="M477">
        <f t="shared" ca="1" si="15"/>
        <v>0.7104321025865884</v>
      </c>
      <c r="N477">
        <v>0</v>
      </c>
      <c r="O477">
        <v>0</v>
      </c>
      <c r="P477">
        <v>0</v>
      </c>
    </row>
    <row r="478" spans="1:16" x14ac:dyDescent="0.3">
      <c r="A478" t="s">
        <v>590</v>
      </c>
      <c r="B478" t="s">
        <v>513</v>
      </c>
      <c r="C478">
        <f ca="1">IF(RAND()&lt;0.8,F_Baseline_data!C478,IF(RAND()&lt;0.85,F_Baseline_data!C478+1,IF(F_Baseline_data!C478&gt;3,C478-1,F_Baseline_data!C478)))</f>
        <v>5</v>
      </c>
      <c r="D478">
        <f ca="1">MAX(5000,ROUND(F_Baseline_data!D478*(1+_xlfn.NORM.INV(RAND(),0.12,0.1)),-2))</f>
        <v>48200</v>
      </c>
      <c r="E478" t="str">
        <f ca="1">IF(I478=1,IF(RAND()&lt;0.95,"Piped Water",F_Baseline_data!E478),F_Baseline_data!E478)</f>
        <v>Rainwater</v>
      </c>
      <c r="F478">
        <f t="shared" ca="1" si="14"/>
        <v>69</v>
      </c>
      <c r="G478">
        <v>6.3</v>
      </c>
      <c r="H478">
        <f ca="1">MAX(0,ROUND(F_Baseline_data!H478+(F_Baseline_data!C478-5)*200+(D478-30000)*0.015+(F478-50)*15-IF(I478=1,1200,0)+_xlfn.NORM.INV(RAND(),0,2500),-2))</f>
        <v>11200</v>
      </c>
      <c r="I478">
        <v>0</v>
      </c>
      <c r="J478">
        <f>1</f>
        <v>1</v>
      </c>
      <c r="K478">
        <f>1</f>
        <v>1</v>
      </c>
      <c r="L478">
        <v>0</v>
      </c>
      <c r="M478">
        <f t="shared" ca="1" si="15"/>
        <v>3.6950893579196009E-2</v>
      </c>
      <c r="N478">
        <v>0</v>
      </c>
      <c r="O478">
        <v>0</v>
      </c>
      <c r="P478">
        <v>0</v>
      </c>
    </row>
    <row r="479" spans="1:16" x14ac:dyDescent="0.3">
      <c r="A479" t="s">
        <v>591</v>
      </c>
      <c r="B479" t="s">
        <v>513</v>
      </c>
      <c r="C479">
        <f ca="1">IF(RAND()&lt;0.8,F_Baseline_data!C479,IF(RAND()&lt;0.85,F_Baseline_data!C479+1,IF(F_Baseline_data!C479&gt;3,C479-1,F_Baseline_data!C479)))</f>
        <v>5</v>
      </c>
      <c r="D479">
        <f ca="1">MAX(5000,ROUND(F_Baseline_data!D479*(1+_xlfn.NORM.INV(RAND(),0.12,0.1)),-2))</f>
        <v>22000</v>
      </c>
      <c r="E479" t="str">
        <f ca="1">IF(I479=1,IF(RAND()&lt;0.95,"Piped Water",F_Baseline_data!E479),F_Baseline_data!E479)</f>
        <v>Rainwater</v>
      </c>
      <c r="F479">
        <f t="shared" ca="1" si="14"/>
        <v>64</v>
      </c>
      <c r="G479">
        <v>8.6999999999999993</v>
      </c>
      <c r="H479">
        <f ca="1">MAX(0,ROUND(F_Baseline_data!H479+(F_Baseline_data!C479-5)*200+(D479-30000)*0.015+(F479-50)*15-IF(I479=1,1200,0)+_xlfn.NORM.INV(RAND(),0,2500),-2))</f>
        <v>5300</v>
      </c>
      <c r="I479">
        <v>0</v>
      </c>
      <c r="J479">
        <f>1</f>
        <v>1</v>
      </c>
      <c r="K479">
        <f>1</f>
        <v>1</v>
      </c>
      <c r="L479">
        <v>0</v>
      </c>
      <c r="M479">
        <f t="shared" ca="1" si="15"/>
        <v>9.1660325417325383E-2</v>
      </c>
      <c r="N479">
        <v>0</v>
      </c>
      <c r="O479">
        <v>0</v>
      </c>
      <c r="P479">
        <v>0</v>
      </c>
    </row>
    <row r="480" spans="1:16" x14ac:dyDescent="0.3">
      <c r="A480" t="s">
        <v>592</v>
      </c>
      <c r="B480" t="s">
        <v>513</v>
      </c>
      <c r="C480">
        <f ca="1">IF(RAND()&lt;0.8,F_Baseline_data!C480,IF(RAND()&lt;0.85,F_Baseline_data!C480+1,IF(F_Baseline_data!C480&gt;3,C480-1,F_Baseline_data!C480)))</f>
        <v>9</v>
      </c>
      <c r="D480">
        <f ca="1">MAX(5000,ROUND(F_Baseline_data!D480*(1+_xlfn.NORM.INV(RAND(),0.12,0.1)),-2))</f>
        <v>29600</v>
      </c>
      <c r="E480" t="str">
        <f ca="1">IF(I480=1,IF(RAND()&lt;0.95,"Piped Water",F_Baseline_data!E480),F_Baseline_data!E480)</f>
        <v>River</v>
      </c>
      <c r="F480">
        <f t="shared" ca="1" si="14"/>
        <v>59</v>
      </c>
      <c r="G480">
        <v>11.5</v>
      </c>
      <c r="H480">
        <f ca="1">MAX(0,ROUND(F_Baseline_data!H480+(F_Baseline_data!C480-5)*200+(D480-30000)*0.015+(F480-50)*15-IF(I480=1,1200,0)+_xlfn.NORM.INV(RAND(),0,2500),-2))</f>
        <v>9300</v>
      </c>
      <c r="I480">
        <v>0</v>
      </c>
      <c r="J480">
        <f>1</f>
        <v>1</v>
      </c>
      <c r="K480">
        <f>1</f>
        <v>1</v>
      </c>
      <c r="L480">
        <v>0</v>
      </c>
      <c r="M480">
        <f t="shared" ca="1" si="15"/>
        <v>0.86633613087451156</v>
      </c>
      <c r="N480">
        <v>0</v>
      </c>
      <c r="O480">
        <v>0</v>
      </c>
      <c r="P480">
        <v>0</v>
      </c>
    </row>
    <row r="481" spans="1:16" x14ac:dyDescent="0.3">
      <c r="A481" t="s">
        <v>593</v>
      </c>
      <c r="B481" t="s">
        <v>65</v>
      </c>
      <c r="C481">
        <f ca="1">IF(RAND()&lt;0.8,F_Baseline_data!C481,IF(RAND()&lt;0.85,F_Baseline_data!C481+1,IF(F_Baseline_data!C481&gt;3,C481-1,F_Baseline_data!C481)))</f>
        <v>3</v>
      </c>
      <c r="D481">
        <f ca="1">MAX(5000,ROUND(F_Baseline_data!D481*(1+_xlfn.NORM.INV(RAND(),0.12,0.1)),-2))</f>
        <v>37300</v>
      </c>
      <c r="E481" t="str">
        <f ca="1">IF(I481=1,IF(RAND()&lt;0.95,"Piped Water",F_Baseline_data!E481),F_Baseline_data!E481)</f>
        <v>Rainwater</v>
      </c>
      <c r="F481">
        <f t="shared" ca="1" si="14"/>
        <v>16</v>
      </c>
      <c r="G481">
        <v>6.8</v>
      </c>
      <c r="H481">
        <f ca="1">MAX(0,ROUND(F_Baseline_data!H481+(F_Baseline_data!C481-5)*200+(D481-30000)*0.015+(F481-50)*15-IF(I481=1,1200,0)+_xlfn.NORM.INV(RAND(),0,2500),-2))</f>
        <v>5100</v>
      </c>
      <c r="I481">
        <v>0</v>
      </c>
      <c r="J481">
        <f>1</f>
        <v>1</v>
      </c>
      <c r="K481">
        <f>1</f>
        <v>1</v>
      </c>
      <c r="L481">
        <v>0</v>
      </c>
      <c r="M481">
        <f t="shared" ca="1" si="15"/>
        <v>0.18266844212743127</v>
      </c>
      <c r="N481">
        <v>0</v>
      </c>
      <c r="O481">
        <v>0</v>
      </c>
      <c r="P481">
        <v>0</v>
      </c>
    </row>
    <row r="482" spans="1:16" x14ac:dyDescent="0.3">
      <c r="A482" t="s">
        <v>594</v>
      </c>
      <c r="B482" t="s">
        <v>65</v>
      </c>
      <c r="C482">
        <f ca="1">IF(RAND()&lt;0.8,F_Baseline_data!C482,IF(RAND()&lt;0.85,F_Baseline_data!C482+1,IF(F_Baseline_data!C482&gt;3,C482-1,F_Baseline_data!C482)))</f>
        <v>7</v>
      </c>
      <c r="D482">
        <f ca="1">MAX(5000,ROUND(F_Baseline_data!D482*(1+_xlfn.NORM.INV(RAND(),0.12,0.1)),-2))</f>
        <v>28000</v>
      </c>
      <c r="E482" t="str">
        <f ca="1">IF(I482=1,IF(RAND()&lt;0.95,"Piped Water",F_Baseline_data!E482),F_Baseline_data!E482)</f>
        <v>River</v>
      </c>
      <c r="F482">
        <f t="shared" ca="1" si="14"/>
        <v>62</v>
      </c>
      <c r="G482">
        <v>7.5</v>
      </c>
      <c r="H482">
        <f ca="1">MAX(0,ROUND(F_Baseline_data!H482+(F_Baseline_data!C482-5)*200+(D482-30000)*0.015+(F482-50)*15-IF(I482=1,1200,0)+_xlfn.NORM.INV(RAND(),0,2500),-2))</f>
        <v>2600</v>
      </c>
      <c r="I482">
        <v>0</v>
      </c>
      <c r="J482">
        <f>1</f>
        <v>1</v>
      </c>
      <c r="K482">
        <f>1</f>
        <v>1</v>
      </c>
      <c r="L482">
        <v>0</v>
      </c>
      <c r="M482">
        <f t="shared" ca="1" si="15"/>
        <v>0.97543780875475361</v>
      </c>
      <c r="N482">
        <v>0</v>
      </c>
      <c r="O482">
        <v>0</v>
      </c>
      <c r="P482">
        <v>0</v>
      </c>
    </row>
    <row r="483" spans="1:16" x14ac:dyDescent="0.3">
      <c r="A483" t="s">
        <v>595</v>
      </c>
      <c r="B483" t="s">
        <v>513</v>
      </c>
      <c r="C483">
        <f ca="1">IF(RAND()&lt;0.8,F_Baseline_data!C483,IF(RAND()&lt;0.85,F_Baseline_data!C483+1,IF(F_Baseline_data!C483&gt;3,C483-1,F_Baseline_data!C483)))</f>
        <v>3</v>
      </c>
      <c r="D483">
        <f ca="1">MAX(5000,ROUND(F_Baseline_data!D483*(1+_xlfn.NORM.INV(RAND(),0.12,0.1)),-2))</f>
        <v>22300</v>
      </c>
      <c r="E483" t="str">
        <f ca="1">IF(I483=1,IF(RAND()&lt;0.95,"Piped Water",F_Baseline_data!E483),F_Baseline_data!E483)</f>
        <v>Vendor</v>
      </c>
      <c r="F483">
        <f t="shared" ca="1" si="14"/>
        <v>18</v>
      </c>
      <c r="G483">
        <v>11.4</v>
      </c>
      <c r="H483">
        <f ca="1">MAX(0,ROUND(F_Baseline_data!H483+(F_Baseline_data!C483-5)*200+(D483-30000)*0.015+(F483-50)*15-IF(I483=1,1200,0)+_xlfn.NORM.INV(RAND(),0,2500),-2))</f>
        <v>1500</v>
      </c>
      <c r="I483">
        <v>0</v>
      </c>
      <c r="J483">
        <f>1</f>
        <v>1</v>
      </c>
      <c r="K483">
        <f>1</f>
        <v>1</v>
      </c>
      <c r="L483">
        <v>0</v>
      </c>
      <c r="M483">
        <f t="shared" ca="1" si="15"/>
        <v>0.70545547986259272</v>
      </c>
      <c r="N483">
        <v>0</v>
      </c>
      <c r="O483">
        <v>0</v>
      </c>
      <c r="P483">
        <v>0</v>
      </c>
    </row>
    <row r="484" spans="1:16" x14ac:dyDescent="0.3">
      <c r="A484" t="s">
        <v>596</v>
      </c>
      <c r="B484" t="s">
        <v>65</v>
      </c>
      <c r="C484">
        <f ca="1">IF(RAND()&lt;0.8,F_Baseline_data!C484,IF(RAND()&lt;0.85,F_Baseline_data!C484+1,IF(F_Baseline_data!C484&gt;3,C484-1,F_Baseline_data!C484)))</f>
        <v>3</v>
      </c>
      <c r="D484">
        <f ca="1">MAX(5000,ROUND(F_Baseline_data!D484*(1+_xlfn.NORM.INV(RAND(),0.12,0.1)),-2))</f>
        <v>35300</v>
      </c>
      <c r="E484" t="str">
        <f ca="1">IF(I484=1,IF(RAND()&lt;0.95,"Piped Water",F_Baseline_data!E484),F_Baseline_data!E484)</f>
        <v>Borehole</v>
      </c>
      <c r="F484">
        <f t="shared" ca="1" si="14"/>
        <v>31</v>
      </c>
      <c r="G484">
        <v>12.4</v>
      </c>
      <c r="H484">
        <f ca="1">MAX(0,ROUND(F_Baseline_data!H484+(F_Baseline_data!C484-5)*200+(D484-30000)*0.015+(F484-50)*15-IF(I484=1,1200,0)+_xlfn.NORM.INV(RAND(),0,2500),-2))</f>
        <v>6700</v>
      </c>
      <c r="I484">
        <v>0</v>
      </c>
      <c r="J484">
        <f>1</f>
        <v>1</v>
      </c>
      <c r="K484">
        <f>1</f>
        <v>1</v>
      </c>
      <c r="L484">
        <v>0</v>
      </c>
      <c r="M484">
        <f t="shared" ca="1" si="15"/>
        <v>0.71810839144912064</v>
      </c>
      <c r="N484">
        <v>0</v>
      </c>
      <c r="O484">
        <v>0</v>
      </c>
      <c r="P484">
        <v>0</v>
      </c>
    </row>
    <row r="485" spans="1:16" x14ac:dyDescent="0.3">
      <c r="A485" t="s">
        <v>597</v>
      </c>
      <c r="B485" t="s">
        <v>64</v>
      </c>
      <c r="C485">
        <f ca="1">IF(RAND()&lt;0.8,F_Baseline_data!C485,IF(RAND()&lt;0.85,F_Baseline_data!C485+1,IF(F_Baseline_data!C485&gt;3,C485-1,F_Baseline_data!C485)))</f>
        <v>9</v>
      </c>
      <c r="D485">
        <f ca="1">MAX(5000,ROUND(F_Baseline_data!D485*(1+_xlfn.NORM.INV(RAND(),0.12,0.1)),-2))</f>
        <v>29100</v>
      </c>
      <c r="E485" t="str">
        <f ca="1">IF(I485=1,IF(RAND()&lt;0.95,"Piped Water",F_Baseline_data!E485),F_Baseline_data!E485)</f>
        <v>Vendor</v>
      </c>
      <c r="F485">
        <f t="shared" ca="1" si="14"/>
        <v>19</v>
      </c>
      <c r="G485">
        <v>8.1999999999999993</v>
      </c>
      <c r="H485">
        <f ca="1">MAX(0,ROUND(F_Baseline_data!H485+(F_Baseline_data!C485-5)*200+(D485-30000)*0.015+(F485-50)*15-IF(I485=1,1200,0)+_xlfn.NORM.INV(RAND(),0,2500),-2))</f>
        <v>4700</v>
      </c>
      <c r="I485">
        <v>0</v>
      </c>
      <c r="J485">
        <f>1</f>
        <v>1</v>
      </c>
      <c r="K485">
        <f>1</f>
        <v>1</v>
      </c>
      <c r="L485">
        <v>0</v>
      </c>
      <c r="M485">
        <f t="shared" ca="1" si="15"/>
        <v>0.65644461103981544</v>
      </c>
      <c r="N485">
        <v>0</v>
      </c>
      <c r="O485">
        <v>0</v>
      </c>
      <c r="P485">
        <v>0</v>
      </c>
    </row>
    <row r="486" spans="1:16" x14ac:dyDescent="0.3">
      <c r="A486" t="s">
        <v>598</v>
      </c>
      <c r="B486" t="s">
        <v>65</v>
      </c>
      <c r="C486">
        <f ca="1">IF(RAND()&lt;0.8,F_Baseline_data!C486,IF(RAND()&lt;0.85,F_Baseline_data!C486+1,IF(F_Baseline_data!C486&gt;3,C486-1,F_Baseline_data!C486)))</f>
        <v>6</v>
      </c>
      <c r="D486">
        <f ca="1">MAX(5000,ROUND(F_Baseline_data!D486*(1+_xlfn.NORM.INV(RAND(),0.12,0.1)),-2))</f>
        <v>39100</v>
      </c>
      <c r="E486" t="str">
        <f ca="1">IF(I486=1,IF(RAND()&lt;0.95,"Piped Water",F_Baseline_data!E486),F_Baseline_data!E486)</f>
        <v>Borehole</v>
      </c>
      <c r="F486">
        <f t="shared" ca="1" si="14"/>
        <v>41</v>
      </c>
      <c r="G486">
        <v>9</v>
      </c>
      <c r="H486">
        <f ca="1">MAX(0,ROUND(F_Baseline_data!H486+(F_Baseline_data!C486-5)*200+(D486-30000)*0.015+(F486-50)*15-IF(I486=1,1200,0)+_xlfn.NORM.INV(RAND(),0,2500),-2))</f>
        <v>3700</v>
      </c>
      <c r="I486">
        <v>0</v>
      </c>
      <c r="J486">
        <f>1</f>
        <v>1</v>
      </c>
      <c r="K486">
        <f>1</f>
        <v>1</v>
      </c>
      <c r="L486">
        <v>0</v>
      </c>
      <c r="M486">
        <f t="shared" ca="1" si="15"/>
        <v>0.40759999662927082</v>
      </c>
      <c r="N486">
        <v>0</v>
      </c>
      <c r="O486">
        <v>0</v>
      </c>
      <c r="P486">
        <v>0</v>
      </c>
    </row>
    <row r="487" spans="1:16" x14ac:dyDescent="0.3">
      <c r="A487" t="s">
        <v>599</v>
      </c>
      <c r="B487" t="s">
        <v>65</v>
      </c>
      <c r="C487">
        <f ca="1">IF(RAND()&lt;0.8,F_Baseline_data!C487,IF(RAND()&lt;0.85,F_Baseline_data!C487+1,IF(F_Baseline_data!C487&gt;3,C487-1,F_Baseline_data!C487)))</f>
        <v>3</v>
      </c>
      <c r="D487">
        <f ca="1">MAX(5000,ROUND(F_Baseline_data!D487*(1+_xlfn.NORM.INV(RAND(),0.12,0.1)),-2))</f>
        <v>33900</v>
      </c>
      <c r="E487" t="str">
        <f ca="1">IF(I487=1,IF(RAND()&lt;0.95,"Piped Water",F_Baseline_data!E487),F_Baseline_data!E487)</f>
        <v>Borehole</v>
      </c>
      <c r="F487">
        <f t="shared" ca="1" si="14"/>
        <v>50</v>
      </c>
      <c r="G487">
        <v>4.5</v>
      </c>
      <c r="H487">
        <f ca="1">MAX(0,ROUND(F_Baseline_data!H487+(F_Baseline_data!C487-5)*200+(D487-30000)*0.015+(F487-50)*15-IF(I487=1,1200,0)+_xlfn.NORM.INV(RAND(),0,2500),-2))</f>
        <v>5700</v>
      </c>
      <c r="I487">
        <v>0</v>
      </c>
      <c r="J487">
        <f>1</f>
        <v>1</v>
      </c>
      <c r="K487">
        <f>1</f>
        <v>1</v>
      </c>
      <c r="L487">
        <v>0</v>
      </c>
      <c r="M487">
        <f t="shared" ca="1" si="15"/>
        <v>0.63556769046274475</v>
      </c>
      <c r="N487">
        <v>0</v>
      </c>
      <c r="O487">
        <v>0</v>
      </c>
      <c r="P487">
        <v>0</v>
      </c>
    </row>
    <row r="488" spans="1:16" x14ac:dyDescent="0.3">
      <c r="A488" t="s">
        <v>600</v>
      </c>
      <c r="B488" t="s">
        <v>513</v>
      </c>
      <c r="C488">
        <f ca="1">IF(RAND()&lt;0.8,F_Baseline_data!C488,IF(RAND()&lt;0.85,F_Baseline_data!C488+1,IF(F_Baseline_data!C488&gt;3,C488-1,F_Baseline_data!C488)))</f>
        <v>6</v>
      </c>
      <c r="D488">
        <f ca="1">MAX(5000,ROUND(F_Baseline_data!D488*(1+_xlfn.NORM.INV(RAND(),0.12,0.1)),-2))</f>
        <v>36800</v>
      </c>
      <c r="E488" t="str">
        <f ca="1">IF(I488=1,IF(RAND()&lt;0.95,"Piped Water",F_Baseline_data!E488),F_Baseline_data!E488)</f>
        <v>Borehole</v>
      </c>
      <c r="F488">
        <f t="shared" ca="1" si="14"/>
        <v>30</v>
      </c>
      <c r="G488">
        <v>2.9</v>
      </c>
      <c r="H488">
        <f ca="1">MAX(0,ROUND(F_Baseline_data!H488+(F_Baseline_data!C488-5)*200+(D488-30000)*0.015+(F488-50)*15-IF(I488=1,1200,0)+_xlfn.NORM.INV(RAND(),0,2500),-2))</f>
        <v>14100</v>
      </c>
      <c r="I488">
        <v>0</v>
      </c>
      <c r="J488">
        <f>1</f>
        <v>1</v>
      </c>
      <c r="K488">
        <f>1</f>
        <v>1</v>
      </c>
      <c r="L488">
        <v>0</v>
      </c>
      <c r="M488">
        <f t="shared" ca="1" si="15"/>
        <v>0.64681666447480002</v>
      </c>
      <c r="N488">
        <v>0</v>
      </c>
      <c r="O488">
        <v>0</v>
      </c>
      <c r="P488">
        <v>0</v>
      </c>
    </row>
    <row r="489" spans="1:16" x14ac:dyDescent="0.3">
      <c r="A489" t="s">
        <v>601</v>
      </c>
      <c r="B489" t="s">
        <v>62</v>
      </c>
      <c r="C489">
        <f ca="1">IF(RAND()&lt;0.8,F_Baseline_data!C489,IF(RAND()&lt;0.85,F_Baseline_data!C489+1,IF(F_Baseline_data!C489&gt;3,C489-1,F_Baseline_data!C489)))</f>
        <v>8</v>
      </c>
      <c r="D489">
        <f ca="1">MAX(5000,ROUND(F_Baseline_data!D489*(1+_xlfn.NORM.INV(RAND(),0.12,0.1)),-2))</f>
        <v>63900</v>
      </c>
      <c r="E489" t="str">
        <f ca="1">IF(I489=1,IF(RAND()&lt;0.95,"Piped Water",F_Baseline_data!E489),F_Baseline_data!E489)</f>
        <v>Vendor</v>
      </c>
      <c r="F489">
        <f t="shared" ca="1" si="14"/>
        <v>45</v>
      </c>
      <c r="G489">
        <v>4.5</v>
      </c>
      <c r="H489">
        <f ca="1">MAX(0,ROUND(F_Baseline_data!H489+(F_Baseline_data!C489-5)*200+(D489-30000)*0.015+(F489-50)*15-IF(I489=1,1200,0)+_xlfn.NORM.INV(RAND(),0,2500),-2))</f>
        <v>3900</v>
      </c>
      <c r="I489">
        <v>0</v>
      </c>
      <c r="J489">
        <f>1</f>
        <v>1</v>
      </c>
      <c r="K489">
        <f>1</f>
        <v>1</v>
      </c>
      <c r="L489">
        <v>0</v>
      </c>
      <c r="M489">
        <f t="shared" ca="1" si="15"/>
        <v>0.45532117213377243</v>
      </c>
      <c r="N489">
        <v>0</v>
      </c>
      <c r="O489">
        <v>0</v>
      </c>
      <c r="P489">
        <v>0</v>
      </c>
    </row>
    <row r="490" spans="1:16" x14ac:dyDescent="0.3">
      <c r="A490" t="s">
        <v>602</v>
      </c>
      <c r="B490" t="s">
        <v>62</v>
      </c>
      <c r="C490">
        <f ca="1">IF(RAND()&lt;0.8,F_Baseline_data!C490,IF(RAND()&lt;0.85,F_Baseline_data!C490+1,IF(F_Baseline_data!C490&gt;3,C490-1,F_Baseline_data!C490)))</f>
        <v>4</v>
      </c>
      <c r="D490">
        <f ca="1">MAX(5000,ROUND(F_Baseline_data!D490*(1+_xlfn.NORM.INV(RAND(),0.12,0.1)),-2))</f>
        <v>91500</v>
      </c>
      <c r="E490" t="str">
        <f ca="1">IF(I490=1,IF(RAND()&lt;0.95,"Piped Water",F_Baseline_data!E490),F_Baseline_data!E490)</f>
        <v>Vendor</v>
      </c>
      <c r="F490">
        <f t="shared" ca="1" si="14"/>
        <v>21</v>
      </c>
      <c r="G490">
        <v>4.5</v>
      </c>
      <c r="H490">
        <f ca="1">MAX(0,ROUND(F_Baseline_data!H490+(F_Baseline_data!C490-5)*200+(D490-30000)*0.015+(F490-50)*15-IF(I490=1,1200,0)+_xlfn.NORM.INV(RAND(),0,2500),-2))</f>
        <v>4800</v>
      </c>
      <c r="I490">
        <v>0</v>
      </c>
      <c r="J490">
        <f>1</f>
        <v>1</v>
      </c>
      <c r="K490">
        <f>1</f>
        <v>1</v>
      </c>
      <c r="L490">
        <v>0</v>
      </c>
      <c r="M490">
        <f t="shared" ca="1" si="15"/>
        <v>0.88931180339163773</v>
      </c>
      <c r="N490">
        <v>0</v>
      </c>
      <c r="O490">
        <v>0</v>
      </c>
      <c r="P490">
        <v>0</v>
      </c>
    </row>
    <row r="491" spans="1:16" x14ac:dyDescent="0.3">
      <c r="A491" t="s">
        <v>603</v>
      </c>
      <c r="B491" t="s">
        <v>64</v>
      </c>
      <c r="C491">
        <f ca="1">IF(RAND()&lt;0.8,F_Baseline_data!C491,IF(RAND()&lt;0.85,F_Baseline_data!C491+1,IF(F_Baseline_data!C491&gt;3,C491-1,F_Baseline_data!C491)))</f>
        <v>7</v>
      </c>
      <c r="D491">
        <f ca="1">MAX(5000,ROUND(F_Baseline_data!D491*(1+_xlfn.NORM.INV(RAND(),0.12,0.1)),-2))</f>
        <v>77600</v>
      </c>
      <c r="E491" t="str">
        <f ca="1">IF(I491=1,IF(RAND()&lt;0.95,"Piped Water",F_Baseline_data!E491),F_Baseline_data!E491)</f>
        <v>Rainwater</v>
      </c>
      <c r="F491">
        <f t="shared" ca="1" si="14"/>
        <v>47</v>
      </c>
      <c r="G491">
        <v>0.6</v>
      </c>
      <c r="H491">
        <f ca="1">MAX(0,ROUND(F_Baseline_data!H491+(F_Baseline_data!C491-5)*200+(D491-30000)*0.015+(F491-50)*15-IF(I491=1,1200,0)+_xlfn.NORM.INV(RAND(),0,2500),-2))</f>
        <v>8500</v>
      </c>
      <c r="I491">
        <v>0</v>
      </c>
      <c r="J491">
        <f>1</f>
        <v>1</v>
      </c>
      <c r="K491">
        <f>1</f>
        <v>1</v>
      </c>
      <c r="L491">
        <v>0</v>
      </c>
      <c r="M491">
        <f t="shared" ca="1" si="15"/>
        <v>8.937107901948127E-2</v>
      </c>
      <c r="N491">
        <v>0</v>
      </c>
      <c r="O491">
        <v>0</v>
      </c>
      <c r="P491">
        <v>0</v>
      </c>
    </row>
    <row r="492" spans="1:16" x14ac:dyDescent="0.3">
      <c r="A492" t="s">
        <v>604</v>
      </c>
      <c r="B492" t="s">
        <v>62</v>
      </c>
      <c r="C492">
        <f ca="1">IF(RAND()&lt;0.8,F_Baseline_data!C492,IF(RAND()&lt;0.85,F_Baseline_data!C492+1,IF(F_Baseline_data!C492&gt;3,C492-1,F_Baseline_data!C492)))</f>
        <v>4</v>
      </c>
      <c r="D492">
        <f ca="1">MAX(5000,ROUND(F_Baseline_data!D492*(1+_xlfn.NORM.INV(RAND(),0.12,0.1)),-2))</f>
        <v>40100</v>
      </c>
      <c r="E492" t="str">
        <f ca="1">IF(I492=1,IF(RAND()&lt;0.95,"Piped Water",F_Baseline_data!E492),F_Baseline_data!E492)</f>
        <v>River</v>
      </c>
      <c r="F492">
        <f t="shared" ca="1" si="14"/>
        <v>87</v>
      </c>
      <c r="G492">
        <v>6.7</v>
      </c>
      <c r="H492">
        <f ca="1">MAX(0,ROUND(F_Baseline_data!H492+(F_Baseline_data!C492-5)*200+(D492-30000)*0.015+(F492-50)*15-IF(I492=1,1200,0)+_xlfn.NORM.INV(RAND(),0,2500),-2))</f>
        <v>6800</v>
      </c>
      <c r="I492">
        <v>0</v>
      </c>
      <c r="J492">
        <f>1</f>
        <v>1</v>
      </c>
      <c r="K492">
        <f>1</f>
        <v>1</v>
      </c>
      <c r="L492">
        <v>0</v>
      </c>
      <c r="M492">
        <f t="shared" ca="1" si="15"/>
        <v>0.95731561855792391</v>
      </c>
      <c r="N492">
        <v>0</v>
      </c>
      <c r="O492">
        <v>0</v>
      </c>
      <c r="P492">
        <v>0</v>
      </c>
    </row>
    <row r="493" spans="1:16" x14ac:dyDescent="0.3">
      <c r="A493" t="s">
        <v>605</v>
      </c>
      <c r="B493" t="s">
        <v>62</v>
      </c>
      <c r="C493">
        <f ca="1">IF(RAND()&lt;0.8,F_Baseline_data!C493,IF(RAND()&lt;0.85,F_Baseline_data!C493+1,IF(F_Baseline_data!C493&gt;3,C493-1,F_Baseline_data!C493)))</f>
        <v>4</v>
      </c>
      <c r="D493">
        <f ca="1">MAX(5000,ROUND(F_Baseline_data!D493*(1+_xlfn.NORM.INV(RAND(),0.12,0.1)),-2))</f>
        <v>66200</v>
      </c>
      <c r="E493" t="str">
        <f ca="1">IF(I493=1,IF(RAND()&lt;0.95,"Piped Water",F_Baseline_data!E493),F_Baseline_data!E493)</f>
        <v>Borehole</v>
      </c>
      <c r="F493">
        <f t="shared" ca="1" si="14"/>
        <v>43</v>
      </c>
      <c r="G493">
        <v>4.2</v>
      </c>
      <c r="H493">
        <f ca="1">MAX(0,ROUND(F_Baseline_data!H493+(F_Baseline_data!C493-5)*200+(D493-30000)*0.015+(F493-50)*15-IF(I493=1,1200,0)+_xlfn.NORM.INV(RAND(),0,2500),-2))</f>
        <v>2000</v>
      </c>
      <c r="I493">
        <v>0</v>
      </c>
      <c r="J493">
        <f>1</f>
        <v>1</v>
      </c>
      <c r="K493">
        <f>1</f>
        <v>1</v>
      </c>
      <c r="L493">
        <v>0</v>
      </c>
      <c r="M493">
        <f t="shared" ca="1" si="15"/>
        <v>0.49006242890754437</v>
      </c>
      <c r="N493">
        <v>0</v>
      </c>
      <c r="O493">
        <v>0</v>
      </c>
      <c r="P493">
        <v>0</v>
      </c>
    </row>
    <row r="494" spans="1:16" x14ac:dyDescent="0.3">
      <c r="A494" t="s">
        <v>606</v>
      </c>
      <c r="B494" t="s">
        <v>65</v>
      </c>
      <c r="C494">
        <f ca="1">IF(RAND()&lt;0.8,F_Baseline_data!C494,IF(RAND()&lt;0.85,F_Baseline_data!C494+1,IF(F_Baseline_data!C494&gt;3,C494-1,F_Baseline_data!C494)))</f>
        <v>7</v>
      </c>
      <c r="D494">
        <f ca="1">MAX(5000,ROUND(F_Baseline_data!D494*(1+_xlfn.NORM.INV(RAND(),0.12,0.1)),-2))</f>
        <v>38500</v>
      </c>
      <c r="E494" t="str">
        <f ca="1">IF(I494=1,IF(RAND()&lt;0.95,"Piped Water",F_Baseline_data!E494),F_Baseline_data!E494)</f>
        <v>Vendor</v>
      </c>
      <c r="F494">
        <f t="shared" ca="1" si="14"/>
        <v>32</v>
      </c>
      <c r="G494">
        <v>4.5999999999999996</v>
      </c>
      <c r="H494">
        <f ca="1">MAX(0,ROUND(F_Baseline_data!H494+(F_Baseline_data!C494-5)*200+(D494-30000)*0.015+(F494-50)*15-IF(I494=1,1200,0)+_xlfn.NORM.INV(RAND(),0,2500),-2))</f>
        <v>8900</v>
      </c>
      <c r="I494">
        <v>0</v>
      </c>
      <c r="J494">
        <f>1</f>
        <v>1</v>
      </c>
      <c r="K494">
        <f>1</f>
        <v>1</v>
      </c>
      <c r="L494">
        <v>0</v>
      </c>
      <c r="M494">
        <f t="shared" ca="1" si="15"/>
        <v>0.58038117853469662</v>
      </c>
      <c r="N494">
        <v>0</v>
      </c>
      <c r="O494">
        <v>0</v>
      </c>
      <c r="P494">
        <v>0</v>
      </c>
    </row>
    <row r="495" spans="1:16" x14ac:dyDescent="0.3">
      <c r="A495" t="s">
        <v>607</v>
      </c>
      <c r="B495" t="s">
        <v>64</v>
      </c>
      <c r="C495">
        <f ca="1">IF(RAND()&lt;0.8,F_Baseline_data!C495,IF(RAND()&lt;0.85,F_Baseline_data!C495+1,IF(F_Baseline_data!C495&gt;3,C495-1,F_Baseline_data!C495)))</f>
        <v>9</v>
      </c>
      <c r="D495">
        <f ca="1">MAX(5000,ROUND(F_Baseline_data!D495*(1+_xlfn.NORM.INV(RAND(),0.12,0.1)),-2))</f>
        <v>85700</v>
      </c>
      <c r="E495" t="str">
        <f ca="1">IF(I495=1,IF(RAND()&lt;0.95,"Piped Water",F_Baseline_data!E495),F_Baseline_data!E495)</f>
        <v>Rainwater</v>
      </c>
      <c r="F495">
        <f t="shared" ca="1" si="14"/>
        <v>15</v>
      </c>
      <c r="G495">
        <v>1</v>
      </c>
      <c r="H495">
        <f ca="1">MAX(0,ROUND(F_Baseline_data!H495+(F_Baseline_data!C495-5)*200+(D495-30000)*0.015+(F495-50)*15-IF(I495=1,1200,0)+_xlfn.NORM.INV(RAND(),0,2500),-2))</f>
        <v>1500</v>
      </c>
      <c r="I495">
        <v>0</v>
      </c>
      <c r="J495">
        <f>1</f>
        <v>1</v>
      </c>
      <c r="K495">
        <f>1</f>
        <v>1</v>
      </c>
      <c r="L495">
        <v>0</v>
      </c>
      <c r="M495">
        <f t="shared" ca="1" si="15"/>
        <v>0.76550614647798421</v>
      </c>
      <c r="N495">
        <v>0</v>
      </c>
      <c r="O495">
        <v>0</v>
      </c>
      <c r="P495">
        <v>0</v>
      </c>
    </row>
    <row r="496" spans="1:16" x14ac:dyDescent="0.3">
      <c r="A496" t="s">
        <v>608</v>
      </c>
      <c r="B496" t="s">
        <v>65</v>
      </c>
      <c r="C496">
        <f ca="1">IF(RAND()&lt;0.8,F_Baseline_data!C496,IF(RAND()&lt;0.85,F_Baseline_data!C496+1,IF(F_Baseline_data!C496&gt;3,C496-1,F_Baseline_data!C496)))</f>
        <v>6</v>
      </c>
      <c r="D496">
        <f ca="1">MAX(5000,ROUND(F_Baseline_data!D496*(1+_xlfn.NORM.INV(RAND(),0.12,0.1)),-2))</f>
        <v>34100</v>
      </c>
      <c r="E496" t="str">
        <f ca="1">IF(I496=1,IF(RAND()&lt;0.95,"Piped Water",F_Baseline_data!E496),F_Baseline_data!E496)</f>
        <v>Borehole</v>
      </c>
      <c r="F496">
        <f t="shared" ca="1" si="14"/>
        <v>64</v>
      </c>
      <c r="G496">
        <v>6.4</v>
      </c>
      <c r="H496">
        <f ca="1">MAX(0,ROUND(F_Baseline_data!H496+(F_Baseline_data!C496-5)*200+(D496-30000)*0.015+(F496-50)*15-IF(I496=1,1200,0)+_xlfn.NORM.INV(RAND(),0,2500),-2))</f>
        <v>7000</v>
      </c>
      <c r="I496">
        <v>0</v>
      </c>
      <c r="J496">
        <f>1</f>
        <v>1</v>
      </c>
      <c r="K496">
        <f>1</f>
        <v>1</v>
      </c>
      <c r="L496">
        <v>0</v>
      </c>
      <c r="M496">
        <f t="shared" ca="1" si="15"/>
        <v>0.5766849411835453</v>
      </c>
      <c r="N496">
        <v>0</v>
      </c>
      <c r="O496">
        <v>0</v>
      </c>
      <c r="P496">
        <v>0</v>
      </c>
    </row>
    <row r="497" spans="1:16" x14ac:dyDescent="0.3">
      <c r="A497" t="s">
        <v>609</v>
      </c>
      <c r="B497" t="s">
        <v>65</v>
      </c>
      <c r="C497">
        <f ca="1">IF(RAND()&lt;0.8,F_Baseline_data!C497,IF(RAND()&lt;0.85,F_Baseline_data!C497+1,IF(F_Baseline_data!C497&gt;3,C497-1,F_Baseline_data!C497)))</f>
        <v>7</v>
      </c>
      <c r="D497">
        <f ca="1">MAX(5000,ROUND(F_Baseline_data!D497*(1+_xlfn.NORM.INV(RAND(),0.12,0.1)),-2))</f>
        <v>57100</v>
      </c>
      <c r="E497" t="str">
        <f ca="1">IF(I497=1,IF(RAND()&lt;0.95,"Piped Water",F_Baseline_data!E497),F_Baseline_data!E497)</f>
        <v>Borehole</v>
      </c>
      <c r="F497">
        <f t="shared" ca="1" si="14"/>
        <v>67</v>
      </c>
      <c r="G497">
        <v>1.9</v>
      </c>
      <c r="H497">
        <f ca="1">MAX(0,ROUND(F_Baseline_data!H497+(F_Baseline_data!C497-5)*200+(D497-30000)*0.015+(F497-50)*15-IF(I497=1,1200,0)+_xlfn.NORM.INV(RAND(),0,2500),-2))</f>
        <v>9000</v>
      </c>
      <c r="I497">
        <v>0</v>
      </c>
      <c r="J497">
        <f>1</f>
        <v>1</v>
      </c>
      <c r="K497">
        <f>1</f>
        <v>1</v>
      </c>
      <c r="L497">
        <v>0</v>
      </c>
      <c r="M497">
        <f t="shared" ca="1" si="15"/>
        <v>1.4144546286035009E-2</v>
      </c>
      <c r="N497">
        <v>0</v>
      </c>
      <c r="O497">
        <v>0</v>
      </c>
      <c r="P497">
        <v>0</v>
      </c>
    </row>
    <row r="498" spans="1:16" x14ac:dyDescent="0.3">
      <c r="A498" t="s">
        <v>610</v>
      </c>
      <c r="B498" t="s">
        <v>64</v>
      </c>
      <c r="C498">
        <f ca="1">IF(RAND()&lt;0.8,F_Baseline_data!C498,IF(RAND()&lt;0.85,F_Baseline_data!C498+1,IF(F_Baseline_data!C498&gt;3,C498-1,F_Baseline_data!C498)))</f>
        <v>4</v>
      </c>
      <c r="D498">
        <f ca="1">MAX(5000,ROUND(F_Baseline_data!D498*(1+_xlfn.NORM.INV(RAND(),0.12,0.1)),-2))</f>
        <v>51700</v>
      </c>
      <c r="E498" t="str">
        <f ca="1">IF(I498=1,IF(RAND()&lt;0.95,"Piped Water",F_Baseline_data!E498),F_Baseline_data!E498)</f>
        <v>River</v>
      </c>
      <c r="F498">
        <f t="shared" ca="1" si="14"/>
        <v>58</v>
      </c>
      <c r="G498">
        <v>8.1</v>
      </c>
      <c r="H498">
        <f ca="1">MAX(0,ROUND(F_Baseline_data!H498+(F_Baseline_data!C498-5)*200+(D498-30000)*0.015+(F498-50)*15-IF(I498=1,1200,0)+_xlfn.NORM.INV(RAND(),0,2500),-2))</f>
        <v>7300</v>
      </c>
      <c r="I498">
        <v>0</v>
      </c>
      <c r="J498">
        <f>1</f>
        <v>1</v>
      </c>
      <c r="K498">
        <f>1</f>
        <v>1</v>
      </c>
      <c r="L498">
        <v>0</v>
      </c>
      <c r="M498">
        <f t="shared" ca="1" si="15"/>
        <v>0.24946986202644283</v>
      </c>
      <c r="N498">
        <v>0</v>
      </c>
      <c r="O498">
        <v>0</v>
      </c>
      <c r="P498">
        <v>0</v>
      </c>
    </row>
    <row r="499" spans="1:16" x14ac:dyDescent="0.3">
      <c r="A499" t="s">
        <v>611</v>
      </c>
      <c r="B499" t="s">
        <v>64</v>
      </c>
      <c r="C499">
        <f ca="1">IF(RAND()&lt;0.8,F_Baseline_data!C499,IF(RAND()&lt;0.85,F_Baseline_data!C499+1,IF(F_Baseline_data!C499&gt;3,C499-1,F_Baseline_data!C499)))</f>
        <v>6</v>
      </c>
      <c r="D499">
        <f ca="1">MAX(5000,ROUND(F_Baseline_data!D499*(1+_xlfn.NORM.INV(RAND(),0.12,0.1)),-2))</f>
        <v>18100</v>
      </c>
      <c r="E499" t="str">
        <f ca="1">IF(I499=1,IF(RAND()&lt;0.95,"Piped Water",F_Baseline_data!E499),F_Baseline_data!E499)</f>
        <v>Rainwater</v>
      </c>
      <c r="F499">
        <f t="shared" ca="1" si="14"/>
        <v>28</v>
      </c>
      <c r="G499">
        <v>2.6</v>
      </c>
      <c r="H499">
        <f ca="1">MAX(0,ROUND(F_Baseline_data!H499+(F_Baseline_data!C499-5)*200+(D499-30000)*0.015+(F499-50)*15-IF(I499=1,1200,0)+_xlfn.NORM.INV(RAND(),0,2500),-2))</f>
        <v>10800</v>
      </c>
      <c r="I499">
        <v>0</v>
      </c>
      <c r="J499">
        <f>1</f>
        <v>1</v>
      </c>
      <c r="K499">
        <f>1</f>
        <v>1</v>
      </c>
      <c r="L499">
        <v>0</v>
      </c>
      <c r="M499">
        <f t="shared" ca="1" si="15"/>
        <v>0.8025709180111642</v>
      </c>
      <c r="N499">
        <v>0</v>
      </c>
      <c r="O499">
        <v>0</v>
      </c>
      <c r="P499">
        <v>0</v>
      </c>
    </row>
    <row r="500" spans="1:16" x14ac:dyDescent="0.3">
      <c r="A500" t="s">
        <v>612</v>
      </c>
      <c r="B500" t="s">
        <v>65</v>
      </c>
      <c r="C500">
        <f ca="1">IF(RAND()&lt;0.8,F_Baseline_data!C500,IF(RAND()&lt;0.85,F_Baseline_data!C500+1,IF(F_Baseline_data!C500&gt;3,C500-1,F_Baseline_data!C500)))</f>
        <v>6</v>
      </c>
      <c r="D500">
        <f ca="1">MAX(5000,ROUND(F_Baseline_data!D500*(1+_xlfn.NORM.INV(RAND(),0.12,0.1)),-2))</f>
        <v>54200</v>
      </c>
      <c r="E500" t="str">
        <f ca="1">IF(I500=1,IF(RAND()&lt;0.95,"Piped Water",F_Baseline_data!E500),F_Baseline_data!E500)</f>
        <v>Borehole</v>
      </c>
      <c r="F500">
        <f t="shared" ca="1" si="14"/>
        <v>75</v>
      </c>
      <c r="G500">
        <v>11.7</v>
      </c>
      <c r="H500">
        <f ca="1">MAX(0,ROUND(F_Baseline_data!H500+(F_Baseline_data!C500-5)*200+(D500-30000)*0.015+(F500-50)*15-IF(I500=1,1200,0)+_xlfn.NORM.INV(RAND(),0,2500),-2))</f>
        <v>2400</v>
      </c>
      <c r="I500">
        <v>0</v>
      </c>
      <c r="J500">
        <f>1</f>
        <v>1</v>
      </c>
      <c r="K500">
        <f>1</f>
        <v>1</v>
      </c>
      <c r="L500">
        <v>0</v>
      </c>
      <c r="M500">
        <f t="shared" ca="1" si="15"/>
        <v>0.20321246128576331</v>
      </c>
      <c r="N500">
        <v>0</v>
      </c>
      <c r="O500">
        <v>0</v>
      </c>
      <c r="P500">
        <v>0</v>
      </c>
    </row>
    <row r="501" spans="1:16" x14ac:dyDescent="0.3">
      <c r="A501" t="s">
        <v>613</v>
      </c>
      <c r="B501" t="s">
        <v>64</v>
      </c>
      <c r="C501">
        <f ca="1">IF(RAND()&lt;0.8,F_Baseline_data!C501,IF(RAND()&lt;0.85,F_Baseline_data!C501+1,IF(F_Baseline_data!C501&gt;3,C501-1,F_Baseline_data!C501)))</f>
        <v>5</v>
      </c>
      <c r="D501">
        <f ca="1">MAX(5000,ROUND(F_Baseline_data!D501*(1+_xlfn.NORM.INV(RAND(),0.12,0.1)),-2))</f>
        <v>41700</v>
      </c>
      <c r="E501" t="str">
        <f ca="1">IF(I501=1,IF(RAND()&lt;0.95,"Piped Water",F_Baseline_data!E501),F_Baseline_data!E501)</f>
        <v>Borehole</v>
      </c>
      <c r="F501">
        <f t="shared" ca="1" si="14"/>
        <v>67</v>
      </c>
      <c r="G501">
        <v>0.4</v>
      </c>
      <c r="H501">
        <f ca="1">MAX(0,ROUND(F_Baseline_data!H501+(F_Baseline_data!C501-5)*200+(D501-30000)*0.015+(F501-50)*15-IF(I501=1,1200,0)+_xlfn.NORM.INV(RAND(),0,2500),-2))</f>
        <v>6500</v>
      </c>
      <c r="I501">
        <v>0</v>
      </c>
      <c r="J501">
        <f>1</f>
        <v>1</v>
      </c>
      <c r="K501">
        <f>1</f>
        <v>1</v>
      </c>
      <c r="L501">
        <v>0</v>
      </c>
      <c r="M501">
        <f t="shared" ca="1" si="15"/>
        <v>0.86990504443268724</v>
      </c>
      <c r="N501">
        <v>0</v>
      </c>
      <c r="O501">
        <v>0</v>
      </c>
      <c r="P501">
        <v>0</v>
      </c>
    </row>
    <row r="502" spans="1:16" x14ac:dyDescent="0.3">
      <c r="A502" t="s">
        <v>614</v>
      </c>
      <c r="B502" t="s">
        <v>65</v>
      </c>
      <c r="C502">
        <f ca="1">IF(RAND()&lt;0.8,F_Baseline_data!C502,IF(RAND()&lt;0.85,F_Baseline_data!C502+1,IF(F_Baseline_data!C502&gt;3,C502-1,F_Baseline_data!C502)))</f>
        <v>4</v>
      </c>
      <c r="D502">
        <f ca="1">MAX(5000,ROUND(F_Baseline_data!D502*(1+_xlfn.NORM.INV(RAND(),0.12,0.1)),-2))</f>
        <v>79200</v>
      </c>
      <c r="E502" t="str">
        <f ca="1">IF(I502=1,IF(RAND()&lt;0.95,"Piped Water",F_Baseline_data!E502),F_Baseline_data!E502)</f>
        <v>River</v>
      </c>
      <c r="F502">
        <f t="shared" ca="1" si="14"/>
        <v>79</v>
      </c>
      <c r="G502">
        <v>5.0999999999999996</v>
      </c>
      <c r="H502">
        <f ca="1">MAX(0,ROUND(F_Baseline_data!H502+(F_Baseline_data!C502-5)*200+(D502-30000)*0.015+(F502-50)*15-IF(I502=1,1200,0)+_xlfn.NORM.INV(RAND(),0,2500),-2))</f>
        <v>6400</v>
      </c>
      <c r="I502">
        <v>0</v>
      </c>
      <c r="J502">
        <f>1</f>
        <v>1</v>
      </c>
      <c r="K502">
        <f>1</f>
        <v>1</v>
      </c>
      <c r="L502">
        <v>0</v>
      </c>
      <c r="M502">
        <f t="shared" ca="1" si="15"/>
        <v>0.86907106585889082</v>
      </c>
      <c r="N502">
        <v>0</v>
      </c>
      <c r="O502">
        <v>0</v>
      </c>
      <c r="P502">
        <v>0</v>
      </c>
    </row>
    <row r="503" spans="1:16" x14ac:dyDescent="0.3">
      <c r="A503" t="s">
        <v>615</v>
      </c>
      <c r="B503" t="s">
        <v>62</v>
      </c>
      <c r="C503">
        <f ca="1">IF(RAND()&lt;0.8,F_Baseline_data!C503,IF(RAND()&lt;0.85,F_Baseline_data!C503+1,IF(F_Baseline_data!C503&gt;3,C503-1,F_Baseline_data!C503)))</f>
        <v>4</v>
      </c>
      <c r="D503">
        <f ca="1">MAX(5000,ROUND(F_Baseline_data!D503*(1+_xlfn.NORM.INV(RAND(),0.12,0.1)),-2))</f>
        <v>19300</v>
      </c>
      <c r="E503" t="str">
        <f ca="1">IF(I503=1,IF(RAND()&lt;0.95,"Piped Water",F_Baseline_data!E503),F_Baseline_data!E503)</f>
        <v>Vendor</v>
      </c>
      <c r="F503">
        <f t="shared" ca="1" si="14"/>
        <v>60</v>
      </c>
      <c r="G503">
        <v>1.1000000000000001</v>
      </c>
      <c r="H503">
        <f ca="1">MAX(0,ROUND(F_Baseline_data!H503+(F_Baseline_data!C503-5)*200+(D503-30000)*0.015+(F503-50)*15-IF(I503=1,1200,0)+_xlfn.NORM.INV(RAND(),0,2500),-2))</f>
        <v>3400</v>
      </c>
      <c r="I503">
        <v>0</v>
      </c>
      <c r="J503">
        <f>1</f>
        <v>1</v>
      </c>
      <c r="K503">
        <f>1</f>
        <v>1</v>
      </c>
      <c r="L503">
        <v>0</v>
      </c>
      <c r="M503">
        <f t="shared" ca="1" si="15"/>
        <v>0.65213316657727316</v>
      </c>
      <c r="N503">
        <v>0</v>
      </c>
      <c r="O503">
        <v>0</v>
      </c>
      <c r="P503">
        <v>0</v>
      </c>
    </row>
    <row r="504" spans="1:16" x14ac:dyDescent="0.3">
      <c r="A504" t="s">
        <v>616</v>
      </c>
      <c r="B504" t="s">
        <v>64</v>
      </c>
      <c r="C504">
        <f ca="1">IF(RAND()&lt;0.8,F_Baseline_data!C504,IF(RAND()&lt;0.85,F_Baseline_data!C504+1,IF(F_Baseline_data!C504&gt;3,C504-1,F_Baseline_data!C504)))</f>
        <v>7</v>
      </c>
      <c r="D504">
        <f ca="1">MAX(5000,ROUND(F_Baseline_data!D504*(1+_xlfn.NORM.INV(RAND(),0.12,0.1)),-2))</f>
        <v>22300</v>
      </c>
      <c r="E504" t="str">
        <f ca="1">IF(I504=1,IF(RAND()&lt;0.95,"Piped Water",F_Baseline_data!E504),F_Baseline_data!E504)</f>
        <v>Rainwater</v>
      </c>
      <c r="F504">
        <f t="shared" ca="1" si="14"/>
        <v>19</v>
      </c>
      <c r="G504">
        <v>7.2</v>
      </c>
      <c r="H504">
        <f ca="1">MAX(0,ROUND(F_Baseline_data!H504+(F_Baseline_data!C504-5)*200+(D504-30000)*0.015+(F504-50)*15-IF(I504=1,1200,0)+_xlfn.NORM.INV(RAND(),0,2500),-2))</f>
        <v>900</v>
      </c>
      <c r="I504">
        <v>0</v>
      </c>
      <c r="J504">
        <f>1</f>
        <v>1</v>
      </c>
      <c r="K504">
        <f>1</f>
        <v>1</v>
      </c>
      <c r="L504">
        <v>0</v>
      </c>
      <c r="M504">
        <f t="shared" ca="1" si="15"/>
        <v>0.45719505795876469</v>
      </c>
      <c r="N504">
        <v>0</v>
      </c>
      <c r="O504">
        <v>0</v>
      </c>
      <c r="P504">
        <v>0</v>
      </c>
    </row>
    <row r="505" spans="1:16" x14ac:dyDescent="0.3">
      <c r="A505" t="s">
        <v>617</v>
      </c>
      <c r="B505" t="s">
        <v>513</v>
      </c>
      <c r="C505">
        <f ca="1">IF(RAND()&lt;0.8,F_Baseline_data!C505,IF(RAND()&lt;0.85,F_Baseline_data!C505+1,IF(F_Baseline_data!C505&gt;3,C505-1,F_Baseline_data!C505)))</f>
        <v>1</v>
      </c>
      <c r="D505">
        <f ca="1">MAX(5000,ROUND(F_Baseline_data!D505*(1+_xlfn.NORM.INV(RAND(),0.12,0.1)),-2))</f>
        <v>56600</v>
      </c>
      <c r="E505" t="str">
        <f ca="1">IF(I505=1,IF(RAND()&lt;0.95,"Piped Water",F_Baseline_data!E505),F_Baseline_data!E505)</f>
        <v>Rainwater</v>
      </c>
      <c r="F505">
        <f t="shared" ca="1" si="14"/>
        <v>21</v>
      </c>
      <c r="G505">
        <v>7</v>
      </c>
      <c r="H505">
        <f ca="1">MAX(0,ROUND(F_Baseline_data!H505+(F_Baseline_data!C505-5)*200+(D505-30000)*0.015+(F505-50)*15-IF(I505=1,1200,0)+_xlfn.NORM.INV(RAND(),0,2500),-2))</f>
        <v>2700</v>
      </c>
      <c r="I505">
        <v>0</v>
      </c>
      <c r="J505">
        <f>1</f>
        <v>1</v>
      </c>
      <c r="K505">
        <f>1</f>
        <v>1</v>
      </c>
      <c r="L505">
        <v>0</v>
      </c>
      <c r="M505">
        <f t="shared" ca="1" si="15"/>
        <v>0.9828702251370165</v>
      </c>
      <c r="N505">
        <v>0</v>
      </c>
      <c r="O505">
        <v>0</v>
      </c>
      <c r="P505">
        <v>0</v>
      </c>
    </row>
    <row r="506" spans="1:16" x14ac:dyDescent="0.3">
      <c r="A506" t="s">
        <v>618</v>
      </c>
      <c r="B506" t="s">
        <v>513</v>
      </c>
      <c r="C506">
        <f ca="1">IF(RAND()&lt;0.8,F_Baseline_data!C506,IF(RAND()&lt;0.85,F_Baseline_data!C506+1,IF(F_Baseline_data!C506&gt;3,C506-1,F_Baseline_data!C506)))</f>
        <v>3</v>
      </c>
      <c r="D506">
        <f ca="1">MAX(5000,ROUND(F_Baseline_data!D506*(1+_xlfn.NORM.INV(RAND(),0.12,0.1)),-2))</f>
        <v>54600</v>
      </c>
      <c r="E506" t="str">
        <f ca="1">IF(I506=1,IF(RAND()&lt;0.95,"Piped Water",F_Baseline_data!E506),F_Baseline_data!E506)</f>
        <v>Vendor</v>
      </c>
      <c r="F506">
        <f t="shared" ca="1" si="14"/>
        <v>52</v>
      </c>
      <c r="G506">
        <v>6.6</v>
      </c>
      <c r="H506">
        <f ca="1">MAX(0,ROUND(F_Baseline_data!H506+(F_Baseline_data!C506-5)*200+(D506-30000)*0.015+(F506-50)*15-IF(I506=1,1200,0)+_xlfn.NORM.INV(RAND(),0,2500),-2))</f>
        <v>8800</v>
      </c>
      <c r="I506">
        <v>0</v>
      </c>
      <c r="J506">
        <f>1</f>
        <v>1</v>
      </c>
      <c r="K506">
        <f>1</f>
        <v>1</v>
      </c>
      <c r="L506">
        <v>0</v>
      </c>
      <c r="M506">
        <f t="shared" ca="1" si="15"/>
        <v>0.88411124746433634</v>
      </c>
      <c r="N506">
        <v>0</v>
      </c>
      <c r="O506">
        <v>0</v>
      </c>
      <c r="P506">
        <v>0</v>
      </c>
    </row>
    <row r="507" spans="1:16" x14ac:dyDescent="0.3">
      <c r="A507" t="s">
        <v>619</v>
      </c>
      <c r="B507" t="s">
        <v>65</v>
      </c>
      <c r="C507">
        <f ca="1">IF(RAND()&lt;0.8,F_Baseline_data!C507,IF(RAND()&lt;0.85,F_Baseline_data!C507+1,IF(F_Baseline_data!C507&gt;3,C507-1,F_Baseline_data!C507)))</f>
        <v>10</v>
      </c>
      <c r="D507">
        <f ca="1">MAX(5000,ROUND(F_Baseline_data!D507*(1+_xlfn.NORM.INV(RAND(),0.12,0.1)),-2))</f>
        <v>69500</v>
      </c>
      <c r="E507" t="str">
        <f ca="1">IF(I507=1,IF(RAND()&lt;0.95,"Piped Water",F_Baseline_data!E507),F_Baseline_data!E507)</f>
        <v>Borehole</v>
      </c>
      <c r="F507">
        <f t="shared" ca="1" si="14"/>
        <v>59</v>
      </c>
      <c r="G507">
        <v>5.2</v>
      </c>
      <c r="H507">
        <f ca="1">MAX(0,ROUND(F_Baseline_data!H507+(F_Baseline_data!C507-5)*200+(D507-30000)*0.015+(F507-50)*15-IF(I507=1,1200,0)+_xlfn.NORM.INV(RAND(),0,2500),-2))</f>
        <v>13400</v>
      </c>
      <c r="I507">
        <v>0</v>
      </c>
      <c r="J507">
        <f>1</f>
        <v>1</v>
      </c>
      <c r="K507">
        <f>1</f>
        <v>1</v>
      </c>
      <c r="L507">
        <v>0</v>
      </c>
      <c r="M507">
        <f t="shared" ca="1" si="15"/>
        <v>0.47882764808232114</v>
      </c>
      <c r="N507">
        <v>0</v>
      </c>
      <c r="O507">
        <v>0</v>
      </c>
      <c r="P507">
        <v>0</v>
      </c>
    </row>
    <row r="508" spans="1:16" x14ac:dyDescent="0.3">
      <c r="A508" t="s">
        <v>620</v>
      </c>
      <c r="B508" t="s">
        <v>62</v>
      </c>
      <c r="C508">
        <f ca="1">IF(RAND()&lt;0.8,F_Baseline_data!C508,IF(RAND()&lt;0.85,F_Baseline_data!C508+1,IF(F_Baseline_data!C508&gt;3,C508-1,F_Baseline_data!C508)))</f>
        <v>8</v>
      </c>
      <c r="D508">
        <f ca="1">MAX(5000,ROUND(F_Baseline_data!D508*(1+_xlfn.NORM.INV(RAND(),0.12,0.1)),-2))</f>
        <v>35100</v>
      </c>
      <c r="E508" t="str">
        <f ca="1">IF(I508=1,IF(RAND()&lt;0.95,"Piped Water",F_Baseline_data!E508),F_Baseline_data!E508)</f>
        <v>Borehole</v>
      </c>
      <c r="F508">
        <f t="shared" ca="1" si="14"/>
        <v>45</v>
      </c>
      <c r="G508">
        <v>0.7</v>
      </c>
      <c r="H508">
        <f ca="1">MAX(0,ROUND(F_Baseline_data!H508+(F_Baseline_data!C508-5)*200+(D508-30000)*0.015+(F508-50)*15-IF(I508=1,1200,0)+_xlfn.NORM.INV(RAND(),0,2500),-2))</f>
        <v>3500</v>
      </c>
      <c r="I508">
        <v>0</v>
      </c>
      <c r="J508">
        <f>1</f>
        <v>1</v>
      </c>
      <c r="K508">
        <f>1</f>
        <v>1</v>
      </c>
      <c r="L508">
        <v>0</v>
      </c>
      <c r="M508">
        <f t="shared" ca="1" si="15"/>
        <v>0.1014123336573709</v>
      </c>
      <c r="N508">
        <v>0</v>
      </c>
      <c r="O508">
        <v>0</v>
      </c>
      <c r="P508">
        <v>0</v>
      </c>
    </row>
    <row r="509" spans="1:16" x14ac:dyDescent="0.3">
      <c r="A509" t="s">
        <v>621</v>
      </c>
      <c r="B509" t="s">
        <v>65</v>
      </c>
      <c r="C509">
        <f ca="1">IF(RAND()&lt;0.8,F_Baseline_data!C509,IF(RAND()&lt;0.85,F_Baseline_data!C509+1,IF(F_Baseline_data!C509&gt;3,C509-1,F_Baseline_data!C509)))</f>
        <v>5</v>
      </c>
      <c r="D509">
        <f ca="1">MAX(5000,ROUND(F_Baseline_data!D509*(1+_xlfn.NORM.INV(RAND(),0.12,0.1)),-2))</f>
        <v>37800</v>
      </c>
      <c r="E509" t="str">
        <f ca="1">IF(I509=1,IF(RAND()&lt;0.95,"Piped Water",F_Baseline_data!E509),F_Baseline_data!E509)</f>
        <v>Rainwater</v>
      </c>
      <c r="F509">
        <f t="shared" ca="1" si="14"/>
        <v>20</v>
      </c>
      <c r="G509">
        <v>5.2</v>
      </c>
      <c r="H509">
        <f ca="1">MAX(0,ROUND(F_Baseline_data!H509+(F_Baseline_data!C509-5)*200+(D509-30000)*0.015+(F509-50)*15-IF(I509=1,1200,0)+_xlfn.NORM.INV(RAND(),0,2500),-2))</f>
        <v>8000</v>
      </c>
      <c r="I509">
        <v>0</v>
      </c>
      <c r="J509">
        <f>1</f>
        <v>1</v>
      </c>
      <c r="K509">
        <f>1</f>
        <v>1</v>
      </c>
      <c r="L509">
        <v>0</v>
      </c>
      <c r="M509">
        <f t="shared" ca="1" si="15"/>
        <v>0.70192252239024155</v>
      </c>
      <c r="N509">
        <v>0</v>
      </c>
      <c r="O509">
        <v>0</v>
      </c>
      <c r="P509">
        <v>0</v>
      </c>
    </row>
    <row r="510" spans="1:16" x14ac:dyDescent="0.3">
      <c r="A510" t="s">
        <v>622</v>
      </c>
      <c r="B510" t="s">
        <v>513</v>
      </c>
      <c r="C510">
        <f ca="1">IF(RAND()&lt;0.8,F_Baseline_data!C510,IF(RAND()&lt;0.85,F_Baseline_data!C510+1,IF(F_Baseline_data!C510&gt;3,C510-1,F_Baseline_data!C510)))</f>
        <v>5</v>
      </c>
      <c r="D510">
        <f ca="1">MAX(5000,ROUND(F_Baseline_data!D510*(1+_xlfn.NORM.INV(RAND(),0.12,0.1)),-2))</f>
        <v>53800</v>
      </c>
      <c r="E510" t="str">
        <f ca="1">IF(I510=1,IF(RAND()&lt;0.95,"Piped Water",F_Baseline_data!E510),F_Baseline_data!E510)</f>
        <v>Rainwater</v>
      </c>
      <c r="F510">
        <f t="shared" ca="1" si="14"/>
        <v>28</v>
      </c>
      <c r="G510">
        <v>14.4</v>
      </c>
      <c r="H510">
        <f ca="1">MAX(0,ROUND(F_Baseline_data!H510+(F_Baseline_data!C510-5)*200+(D510-30000)*0.015+(F510-50)*15-IF(I510=1,1200,0)+_xlfn.NORM.INV(RAND(),0,2500),-2))</f>
        <v>8500</v>
      </c>
      <c r="I510">
        <v>0</v>
      </c>
      <c r="J510">
        <f>1</f>
        <v>1</v>
      </c>
      <c r="K510">
        <f>1</f>
        <v>1</v>
      </c>
      <c r="L510">
        <v>0</v>
      </c>
      <c r="M510">
        <f t="shared" ca="1" si="15"/>
        <v>0.89095730949847385</v>
      </c>
      <c r="N510">
        <v>0</v>
      </c>
      <c r="O510">
        <v>0</v>
      </c>
      <c r="P510">
        <v>0</v>
      </c>
    </row>
    <row r="511" spans="1:16" x14ac:dyDescent="0.3">
      <c r="A511" t="s">
        <v>623</v>
      </c>
      <c r="B511" t="s">
        <v>513</v>
      </c>
      <c r="C511">
        <f ca="1">IF(RAND()&lt;0.8,F_Baseline_data!C511,IF(RAND()&lt;0.85,F_Baseline_data!C511+1,IF(F_Baseline_data!C511&gt;3,C511-1,F_Baseline_data!C511)))</f>
        <v>8</v>
      </c>
      <c r="D511">
        <f ca="1">MAX(5000,ROUND(F_Baseline_data!D511*(1+_xlfn.NORM.INV(RAND(),0.12,0.1)),-2))</f>
        <v>61600</v>
      </c>
      <c r="E511" t="str">
        <f ca="1">IF(I511=1,IF(RAND()&lt;0.95,"Piped Water",F_Baseline_data!E511),F_Baseline_data!E511)</f>
        <v>Borehole</v>
      </c>
      <c r="F511">
        <f t="shared" ca="1" si="14"/>
        <v>42</v>
      </c>
      <c r="G511">
        <v>7.6</v>
      </c>
      <c r="H511">
        <f ca="1">MAX(0,ROUND(F_Baseline_data!H511+(F_Baseline_data!C511-5)*200+(D511-30000)*0.015+(F511-50)*15-IF(I511=1,1200,0)+_xlfn.NORM.INV(RAND(),0,2500),-2))</f>
        <v>5000</v>
      </c>
      <c r="I511">
        <v>0</v>
      </c>
      <c r="J511">
        <f>1</f>
        <v>1</v>
      </c>
      <c r="K511">
        <f>1</f>
        <v>1</v>
      </c>
      <c r="L511">
        <v>0</v>
      </c>
      <c r="M511">
        <f t="shared" ca="1" si="15"/>
        <v>0.59352506748662393</v>
      </c>
      <c r="N511">
        <v>0</v>
      </c>
      <c r="O511">
        <v>0</v>
      </c>
      <c r="P511">
        <v>0</v>
      </c>
    </row>
    <row r="512" spans="1:16" x14ac:dyDescent="0.3">
      <c r="A512" t="s">
        <v>624</v>
      </c>
      <c r="B512" t="s">
        <v>64</v>
      </c>
      <c r="C512">
        <f ca="1">IF(RAND()&lt;0.8,F_Baseline_data!C512,IF(RAND()&lt;0.85,F_Baseline_data!C512+1,IF(F_Baseline_data!C512&gt;3,C512-1,F_Baseline_data!C512)))</f>
        <v>3</v>
      </c>
      <c r="D512">
        <f ca="1">MAX(5000,ROUND(F_Baseline_data!D512*(1+_xlfn.NORM.INV(RAND(),0.12,0.1)),-2))</f>
        <v>18600</v>
      </c>
      <c r="E512" t="str">
        <f ca="1">IF(I512=1,IF(RAND()&lt;0.95,"Piped Water",F_Baseline_data!E512),F_Baseline_data!E512)</f>
        <v>Rainwater</v>
      </c>
      <c r="F512">
        <f t="shared" ca="1" si="14"/>
        <v>40</v>
      </c>
      <c r="G512">
        <v>9</v>
      </c>
      <c r="H512">
        <f ca="1">MAX(0,ROUND(F_Baseline_data!H512+(F_Baseline_data!C512-5)*200+(D512-30000)*0.015+(F512-50)*15-IF(I512=1,1200,0)+_xlfn.NORM.INV(RAND(),0,2500),-2))</f>
        <v>5100</v>
      </c>
      <c r="I512">
        <v>0</v>
      </c>
      <c r="J512">
        <f>1</f>
        <v>1</v>
      </c>
      <c r="K512">
        <f>1</f>
        <v>1</v>
      </c>
      <c r="L512">
        <v>0</v>
      </c>
      <c r="M512">
        <f t="shared" ca="1" si="15"/>
        <v>0.17133049300862946</v>
      </c>
      <c r="N512">
        <v>0</v>
      </c>
      <c r="O512">
        <v>0</v>
      </c>
      <c r="P512">
        <v>0</v>
      </c>
    </row>
    <row r="513" spans="1:16" x14ac:dyDescent="0.3">
      <c r="A513" t="s">
        <v>625</v>
      </c>
      <c r="B513" t="s">
        <v>513</v>
      </c>
      <c r="C513">
        <f ca="1">IF(RAND()&lt;0.8,F_Baseline_data!C513,IF(RAND()&lt;0.85,F_Baseline_data!C513+1,IF(F_Baseline_data!C513&gt;3,C513-1,F_Baseline_data!C513)))</f>
        <v>8</v>
      </c>
      <c r="D513">
        <f ca="1">MAX(5000,ROUND(F_Baseline_data!D513*(1+_xlfn.NORM.INV(RAND(),0.12,0.1)),-2))</f>
        <v>80800</v>
      </c>
      <c r="E513" t="str">
        <f ca="1">IF(I513=1,IF(RAND()&lt;0.95,"Piped Water",F_Baseline_data!E513),F_Baseline_data!E513)</f>
        <v>River</v>
      </c>
      <c r="F513">
        <f t="shared" ca="1" si="14"/>
        <v>45</v>
      </c>
      <c r="G513">
        <v>12.5</v>
      </c>
      <c r="H513">
        <f ca="1">MAX(0,ROUND(F_Baseline_data!H513+(F_Baseline_data!C513-5)*200+(D513-30000)*0.015+(F513-50)*15-IF(I513=1,1200,0)+_xlfn.NORM.INV(RAND(),0,2500),-2))</f>
        <v>12900</v>
      </c>
      <c r="I513">
        <v>0</v>
      </c>
      <c r="J513">
        <f>1</f>
        <v>1</v>
      </c>
      <c r="K513">
        <f>1</f>
        <v>1</v>
      </c>
      <c r="L513">
        <v>0</v>
      </c>
      <c r="M513">
        <f t="shared" ca="1" si="15"/>
        <v>0.73348522658819515</v>
      </c>
      <c r="N513">
        <v>0</v>
      </c>
      <c r="O513">
        <v>0</v>
      </c>
      <c r="P513">
        <v>0</v>
      </c>
    </row>
    <row r="514" spans="1:16" x14ac:dyDescent="0.3">
      <c r="A514" t="s">
        <v>626</v>
      </c>
      <c r="B514" t="s">
        <v>64</v>
      </c>
      <c r="C514">
        <f ca="1">IF(RAND()&lt;0.8,F_Baseline_data!C514,IF(RAND()&lt;0.85,F_Baseline_data!C514+1,IF(F_Baseline_data!C514&gt;3,C514-1,F_Baseline_data!C514)))</f>
        <v>10</v>
      </c>
      <c r="D514">
        <f ca="1">MAX(5000,ROUND(F_Baseline_data!D514*(1+_xlfn.NORM.INV(RAND(),0.12,0.1)),-2))</f>
        <v>34600</v>
      </c>
      <c r="E514" t="str">
        <f ca="1">IF(I514=1,IF(RAND()&lt;0.95,"Piped Water",F_Baseline_data!E514),F_Baseline_data!E514)</f>
        <v>Rainwater</v>
      </c>
      <c r="F514">
        <f t="shared" ref="F514:F577" ca="1" si="16">IF(E514="Piped Water",RANDBETWEEN(0,10),IF(E514="River",RANDBETWEEN(45,120),IF(E514="Rainwater",RANDBETWEEN(15,70),IF(E514="Borehole",RANDBETWEEN(20,75),RANDBETWEEN(10,60)))))</f>
        <v>23</v>
      </c>
      <c r="G514">
        <v>11.7</v>
      </c>
      <c r="H514">
        <f ca="1">MAX(0,ROUND(F_Baseline_data!H514+(F_Baseline_data!C514-5)*200+(D514-30000)*0.015+(F514-50)*15-IF(I514=1,1200,0)+_xlfn.NORM.INV(RAND(),0,2500),-2))</f>
        <v>6800</v>
      </c>
      <c r="I514">
        <v>0</v>
      </c>
      <c r="J514">
        <f>1</f>
        <v>1</v>
      </c>
      <c r="K514">
        <f>1</f>
        <v>1</v>
      </c>
      <c r="L514">
        <v>0</v>
      </c>
      <c r="M514">
        <f t="shared" ref="M514:M577" ca="1" si="17">RAND()</f>
        <v>0.79432219679110827</v>
      </c>
      <c r="N514">
        <v>0</v>
      </c>
      <c r="O514">
        <v>0</v>
      </c>
      <c r="P514">
        <v>0</v>
      </c>
    </row>
    <row r="515" spans="1:16" x14ac:dyDescent="0.3">
      <c r="A515" t="s">
        <v>627</v>
      </c>
      <c r="B515" t="s">
        <v>62</v>
      </c>
      <c r="C515">
        <f ca="1">IF(RAND()&lt;0.8,F_Baseline_data!C515,IF(RAND()&lt;0.85,F_Baseline_data!C515+1,IF(F_Baseline_data!C515&gt;3,C515-1,F_Baseline_data!C515)))</f>
        <v>2</v>
      </c>
      <c r="D515">
        <f ca="1">MAX(5000,ROUND(F_Baseline_data!D515*(1+_xlfn.NORM.INV(RAND(),0.12,0.1)),-2))</f>
        <v>34300</v>
      </c>
      <c r="E515" t="str">
        <f ca="1">IF(I515=1,IF(RAND()&lt;0.95,"Piped Water",F_Baseline_data!E515),F_Baseline_data!E515)</f>
        <v>River</v>
      </c>
      <c r="F515">
        <f t="shared" ca="1" si="16"/>
        <v>50</v>
      </c>
      <c r="G515">
        <v>8.6</v>
      </c>
      <c r="H515">
        <f ca="1">MAX(0,ROUND(F_Baseline_data!H515+(F_Baseline_data!C515-5)*200+(D515-30000)*0.015+(F515-50)*15-IF(I515=1,1200,0)+_xlfn.NORM.INV(RAND(),0,2500),-2))</f>
        <v>4000</v>
      </c>
      <c r="I515">
        <v>0</v>
      </c>
      <c r="J515">
        <f>1</f>
        <v>1</v>
      </c>
      <c r="K515">
        <f>1</f>
        <v>1</v>
      </c>
      <c r="L515">
        <v>0</v>
      </c>
      <c r="M515">
        <f t="shared" ca="1" si="17"/>
        <v>0.30738751627605421</v>
      </c>
      <c r="N515">
        <v>0</v>
      </c>
      <c r="O515">
        <v>0</v>
      </c>
      <c r="P515">
        <v>0</v>
      </c>
    </row>
    <row r="516" spans="1:16" x14ac:dyDescent="0.3">
      <c r="A516" t="s">
        <v>628</v>
      </c>
      <c r="B516" t="s">
        <v>65</v>
      </c>
      <c r="C516">
        <f ca="1">IF(RAND()&lt;0.8,F_Baseline_data!C516,IF(RAND()&lt;0.85,F_Baseline_data!C516+1,IF(F_Baseline_data!C516&gt;3,C516-1,F_Baseline_data!C516)))</f>
        <v>4</v>
      </c>
      <c r="D516">
        <f ca="1">MAX(5000,ROUND(F_Baseline_data!D516*(1+_xlfn.NORM.INV(RAND(),0.12,0.1)),-2))</f>
        <v>72800</v>
      </c>
      <c r="E516" t="str">
        <f ca="1">IF(I516=1,IF(RAND()&lt;0.95,"Piped Water",F_Baseline_data!E516),F_Baseline_data!E516)</f>
        <v>River</v>
      </c>
      <c r="F516">
        <f t="shared" ca="1" si="16"/>
        <v>70</v>
      </c>
      <c r="G516">
        <v>12.1</v>
      </c>
      <c r="H516">
        <f ca="1">MAX(0,ROUND(F_Baseline_data!H516+(F_Baseline_data!C516-5)*200+(D516-30000)*0.015+(F516-50)*15-IF(I516=1,1200,0)+_xlfn.NORM.INV(RAND(),0,2500),-2))</f>
        <v>10600</v>
      </c>
      <c r="I516">
        <v>0</v>
      </c>
      <c r="J516">
        <f>1</f>
        <v>1</v>
      </c>
      <c r="K516">
        <f>1</f>
        <v>1</v>
      </c>
      <c r="L516">
        <v>0</v>
      </c>
      <c r="M516">
        <f t="shared" ca="1" si="17"/>
        <v>0.85166391418673282</v>
      </c>
      <c r="N516">
        <v>0</v>
      </c>
      <c r="O516">
        <v>0</v>
      </c>
      <c r="P516">
        <v>0</v>
      </c>
    </row>
    <row r="517" spans="1:16" x14ac:dyDescent="0.3">
      <c r="A517" t="s">
        <v>629</v>
      </c>
      <c r="B517" t="s">
        <v>65</v>
      </c>
      <c r="C517">
        <f ca="1">IF(RAND()&lt;0.8,F_Baseline_data!C517,IF(RAND()&lt;0.85,F_Baseline_data!C517+1,IF(F_Baseline_data!C517&gt;3,C517-1,F_Baseline_data!C517)))</f>
        <v>7</v>
      </c>
      <c r="D517">
        <f ca="1">MAX(5000,ROUND(F_Baseline_data!D517*(1+_xlfn.NORM.INV(RAND(),0.12,0.1)),-2))</f>
        <v>43000</v>
      </c>
      <c r="E517" t="str">
        <f ca="1">IF(I517=1,IF(RAND()&lt;0.95,"Piped Water",F_Baseline_data!E517),F_Baseline_data!E517)</f>
        <v>Borehole</v>
      </c>
      <c r="F517">
        <f t="shared" ca="1" si="16"/>
        <v>67</v>
      </c>
      <c r="G517">
        <v>12.3</v>
      </c>
      <c r="H517">
        <f ca="1">MAX(0,ROUND(F_Baseline_data!H517+(F_Baseline_data!C517-5)*200+(D517-30000)*0.015+(F517-50)*15-IF(I517=1,1200,0)+_xlfn.NORM.INV(RAND(),0,2500),-2))</f>
        <v>2900</v>
      </c>
      <c r="I517">
        <v>0</v>
      </c>
      <c r="J517">
        <f>1</f>
        <v>1</v>
      </c>
      <c r="K517">
        <f>1</f>
        <v>1</v>
      </c>
      <c r="L517">
        <v>0</v>
      </c>
      <c r="M517">
        <f t="shared" ca="1" si="17"/>
        <v>0.8519422421743692</v>
      </c>
      <c r="N517">
        <v>0</v>
      </c>
      <c r="O517">
        <v>0</v>
      </c>
      <c r="P517">
        <v>0</v>
      </c>
    </row>
    <row r="518" spans="1:16" x14ac:dyDescent="0.3">
      <c r="A518" t="s">
        <v>630</v>
      </c>
      <c r="B518" t="s">
        <v>64</v>
      </c>
      <c r="C518">
        <f ca="1">IF(RAND()&lt;0.8,F_Baseline_data!C518,IF(RAND()&lt;0.85,F_Baseline_data!C518+1,IF(F_Baseline_data!C518&gt;3,C518-1,F_Baseline_data!C518)))</f>
        <v>5</v>
      </c>
      <c r="D518">
        <f ca="1">MAX(5000,ROUND(F_Baseline_data!D518*(1+_xlfn.NORM.INV(RAND(),0.12,0.1)),-2))</f>
        <v>41000</v>
      </c>
      <c r="E518" t="str">
        <f ca="1">IF(I518=1,IF(RAND()&lt;0.95,"Piped Water",F_Baseline_data!E518),F_Baseline_data!E518)</f>
        <v>Piped Water</v>
      </c>
      <c r="F518">
        <f t="shared" ca="1" si="16"/>
        <v>9</v>
      </c>
      <c r="G518">
        <v>4.5999999999999996</v>
      </c>
      <c r="H518">
        <f ca="1">MAX(0,ROUND(F_Baseline_data!H518+(F_Baseline_data!C518-5)*200+(D518-30000)*0.015+(F518-50)*15-IF(I518=1,1200,0)+_xlfn.NORM.INV(RAND(),0,2500),-2))</f>
        <v>5800</v>
      </c>
      <c r="I518">
        <v>1</v>
      </c>
      <c r="J518">
        <f>1</f>
        <v>1</v>
      </c>
      <c r="K518">
        <f>1</f>
        <v>1</v>
      </c>
      <c r="L518">
        <v>0</v>
      </c>
      <c r="M518">
        <f t="shared" ca="1" si="17"/>
        <v>0.85379046170622208</v>
      </c>
      <c r="N518">
        <v>0</v>
      </c>
      <c r="O518">
        <v>0</v>
      </c>
      <c r="P518">
        <v>0</v>
      </c>
    </row>
    <row r="519" spans="1:16" x14ac:dyDescent="0.3">
      <c r="A519" t="s">
        <v>631</v>
      </c>
      <c r="B519" t="s">
        <v>65</v>
      </c>
      <c r="C519">
        <f ca="1">IF(RAND()&lt;0.8,F_Baseline_data!C519,IF(RAND()&lt;0.85,F_Baseline_data!C519+1,IF(F_Baseline_data!C519&gt;3,C519-1,F_Baseline_data!C519)))</f>
        <v>4</v>
      </c>
      <c r="D519">
        <f ca="1">MAX(5000,ROUND(F_Baseline_data!D519*(1+_xlfn.NORM.INV(RAND(),0.12,0.1)),-2))</f>
        <v>24800</v>
      </c>
      <c r="E519" t="str">
        <f ca="1">IF(I519=1,IF(RAND()&lt;0.95,"Piped Water",F_Baseline_data!E519),F_Baseline_data!E519)</f>
        <v>Piped Water</v>
      </c>
      <c r="F519">
        <f t="shared" ca="1" si="16"/>
        <v>5</v>
      </c>
      <c r="G519">
        <v>11.2</v>
      </c>
      <c r="H519">
        <f ca="1">MAX(0,ROUND(F_Baseline_data!H519+(F_Baseline_data!C519-5)*200+(D519-30000)*0.015+(F519-50)*15-IF(I519=1,1200,0)+_xlfn.NORM.INV(RAND(),0,2500),-2))</f>
        <v>2300</v>
      </c>
      <c r="I519">
        <v>1</v>
      </c>
      <c r="J519">
        <f>1</f>
        <v>1</v>
      </c>
      <c r="K519">
        <f>1</f>
        <v>1</v>
      </c>
      <c r="L519">
        <v>0</v>
      </c>
      <c r="M519">
        <f t="shared" ca="1" si="17"/>
        <v>0.28663512595988849</v>
      </c>
      <c r="N519">
        <v>0</v>
      </c>
      <c r="O519">
        <v>0</v>
      </c>
      <c r="P519">
        <v>0</v>
      </c>
    </row>
    <row r="520" spans="1:16" x14ac:dyDescent="0.3">
      <c r="A520" t="s">
        <v>632</v>
      </c>
      <c r="B520" t="s">
        <v>65</v>
      </c>
      <c r="C520">
        <f ca="1">IF(RAND()&lt;0.8,F_Baseline_data!C520,IF(RAND()&lt;0.85,F_Baseline_data!C520+1,IF(F_Baseline_data!C520&gt;3,C520-1,F_Baseline_data!C520)))</f>
        <v>7</v>
      </c>
      <c r="D520">
        <f ca="1">MAX(5000,ROUND(F_Baseline_data!D520*(1+_xlfn.NORM.INV(RAND(),0.12,0.1)),-2))</f>
        <v>68000</v>
      </c>
      <c r="E520" t="str">
        <f ca="1">IF(I520=1,IF(RAND()&lt;0.95,"Piped Water",F_Baseline_data!E520),F_Baseline_data!E520)</f>
        <v>Piped Water</v>
      </c>
      <c r="F520">
        <f t="shared" ca="1" si="16"/>
        <v>7</v>
      </c>
      <c r="G520">
        <v>9.3000000000000007</v>
      </c>
      <c r="H520">
        <f ca="1">MAX(0,ROUND(F_Baseline_data!H520+(F_Baseline_data!C520-5)*200+(D520-30000)*0.015+(F520-50)*15-IF(I520=1,1200,0)+_xlfn.NORM.INV(RAND(),0,2500),-2))</f>
        <v>15600</v>
      </c>
      <c r="I520">
        <v>1</v>
      </c>
      <c r="J520">
        <f>1</f>
        <v>1</v>
      </c>
      <c r="K520">
        <f>1</f>
        <v>1</v>
      </c>
      <c r="L520">
        <v>0</v>
      </c>
      <c r="M520">
        <f t="shared" ca="1" si="17"/>
        <v>0.34793032275539815</v>
      </c>
      <c r="N520">
        <v>0</v>
      </c>
      <c r="O520">
        <v>0</v>
      </c>
      <c r="P520">
        <v>0</v>
      </c>
    </row>
    <row r="521" spans="1:16" x14ac:dyDescent="0.3">
      <c r="A521" t="s">
        <v>633</v>
      </c>
      <c r="B521" t="s">
        <v>65</v>
      </c>
      <c r="C521">
        <f ca="1">IF(RAND()&lt;0.8,F_Baseline_data!C521,IF(RAND()&lt;0.85,F_Baseline_data!C521+1,IF(F_Baseline_data!C521&gt;3,C521-1,F_Baseline_data!C521)))</f>
        <v>4</v>
      </c>
      <c r="D521">
        <f ca="1">MAX(5000,ROUND(F_Baseline_data!D521*(1+_xlfn.NORM.INV(RAND(),0.12,0.1)),-2))</f>
        <v>31100</v>
      </c>
      <c r="E521" t="str">
        <f ca="1">IF(I521=1,IF(RAND()&lt;0.95,"Piped Water",F_Baseline_data!E521),F_Baseline_data!E521)</f>
        <v>Piped Water</v>
      </c>
      <c r="F521">
        <f t="shared" ca="1" si="16"/>
        <v>4</v>
      </c>
      <c r="G521">
        <v>0.9</v>
      </c>
      <c r="H521">
        <f ca="1">MAX(0,ROUND(F_Baseline_data!H521+(F_Baseline_data!C521-5)*200+(D521-30000)*0.015+(F521-50)*15-IF(I521=1,1200,0)+_xlfn.NORM.INV(RAND(),0,2500),-2))</f>
        <v>0</v>
      </c>
      <c r="I521">
        <v>1</v>
      </c>
      <c r="J521">
        <f>1</f>
        <v>1</v>
      </c>
      <c r="K521">
        <f>1</f>
        <v>1</v>
      </c>
      <c r="L521">
        <v>0</v>
      </c>
      <c r="M521">
        <f t="shared" ca="1" si="17"/>
        <v>0.8375452205235272</v>
      </c>
      <c r="N521">
        <v>0</v>
      </c>
      <c r="O521">
        <v>0</v>
      </c>
      <c r="P521">
        <v>0</v>
      </c>
    </row>
    <row r="522" spans="1:16" x14ac:dyDescent="0.3">
      <c r="A522" t="s">
        <v>634</v>
      </c>
      <c r="B522" t="s">
        <v>65</v>
      </c>
      <c r="C522">
        <f ca="1">IF(RAND()&lt;0.8,F_Baseline_data!C522,IF(RAND()&lt;0.85,F_Baseline_data!C522+1,IF(F_Baseline_data!C522&gt;3,C522-1,F_Baseline_data!C522)))</f>
        <v>6</v>
      </c>
      <c r="D522">
        <f ca="1">MAX(5000,ROUND(F_Baseline_data!D522*(1+_xlfn.NORM.INV(RAND(),0.12,0.1)),-2))</f>
        <v>24800</v>
      </c>
      <c r="E522" t="str">
        <f ca="1">IF(I522=1,IF(RAND()&lt;0.95,"Piped Water",F_Baseline_data!E522),F_Baseline_data!E522)</f>
        <v>Piped Water</v>
      </c>
      <c r="F522">
        <f t="shared" ca="1" si="16"/>
        <v>1</v>
      </c>
      <c r="G522">
        <v>9.1999999999999993</v>
      </c>
      <c r="H522">
        <f ca="1">MAX(0,ROUND(F_Baseline_data!H522+(F_Baseline_data!C522-5)*200+(D522-30000)*0.015+(F522-50)*15-IF(I522=1,1200,0)+_xlfn.NORM.INV(RAND(),0,2500),-2))</f>
        <v>6000</v>
      </c>
      <c r="I522">
        <v>1</v>
      </c>
      <c r="J522">
        <f>1</f>
        <v>1</v>
      </c>
      <c r="K522">
        <f>1</f>
        <v>1</v>
      </c>
      <c r="L522">
        <v>0</v>
      </c>
      <c r="M522">
        <f t="shared" ca="1" si="17"/>
        <v>0.55627821755930218</v>
      </c>
      <c r="N522">
        <v>0</v>
      </c>
      <c r="O522">
        <v>0</v>
      </c>
      <c r="P522">
        <v>0</v>
      </c>
    </row>
    <row r="523" spans="1:16" x14ac:dyDescent="0.3">
      <c r="A523" t="s">
        <v>635</v>
      </c>
      <c r="B523" t="s">
        <v>65</v>
      </c>
      <c r="C523">
        <f ca="1">IF(RAND()&lt;0.8,F_Baseline_data!C523,IF(RAND()&lt;0.85,F_Baseline_data!C523+1,IF(F_Baseline_data!C523&gt;3,C523-1,F_Baseline_data!C523)))</f>
        <v>7</v>
      </c>
      <c r="D523">
        <f ca="1">MAX(5000,ROUND(F_Baseline_data!D523*(1+_xlfn.NORM.INV(RAND(),0.12,0.1)),-2))</f>
        <v>40100</v>
      </c>
      <c r="E523" t="str">
        <f ca="1">IF(I523=1,IF(RAND()&lt;0.95,"Piped Water",F_Baseline_data!E523),F_Baseline_data!E523)</f>
        <v>Piped Water</v>
      </c>
      <c r="F523">
        <f t="shared" ca="1" si="16"/>
        <v>3</v>
      </c>
      <c r="G523">
        <v>4.9000000000000004</v>
      </c>
      <c r="H523">
        <f ca="1">MAX(0,ROUND(F_Baseline_data!H523+(F_Baseline_data!C523-5)*200+(D523-30000)*0.015+(F523-50)*15-IF(I523=1,1200,0)+_xlfn.NORM.INV(RAND(),0,2500),-2))</f>
        <v>5400</v>
      </c>
      <c r="I523">
        <v>1</v>
      </c>
      <c r="J523">
        <f>1</f>
        <v>1</v>
      </c>
      <c r="K523">
        <f>1</f>
        <v>1</v>
      </c>
      <c r="L523">
        <v>0</v>
      </c>
      <c r="M523">
        <f t="shared" ca="1" si="17"/>
        <v>0.86863124537759651</v>
      </c>
      <c r="N523">
        <v>0</v>
      </c>
      <c r="O523">
        <v>0</v>
      </c>
      <c r="P523">
        <v>0</v>
      </c>
    </row>
    <row r="524" spans="1:16" x14ac:dyDescent="0.3">
      <c r="A524" t="s">
        <v>636</v>
      </c>
      <c r="B524" t="s">
        <v>64</v>
      </c>
      <c r="C524">
        <f ca="1">IF(RAND()&lt;0.8,F_Baseline_data!C524,IF(RAND()&lt;0.85,F_Baseline_data!C524+1,IF(F_Baseline_data!C524&gt;3,C524-1,F_Baseline_data!C524)))</f>
        <v>4</v>
      </c>
      <c r="D524">
        <f ca="1">MAX(5000,ROUND(F_Baseline_data!D524*(1+_xlfn.NORM.INV(RAND(),0.12,0.1)),-2))</f>
        <v>53300</v>
      </c>
      <c r="E524" t="str">
        <f ca="1">IF(I524=1,IF(RAND()&lt;0.95,"Piped Water",F_Baseline_data!E524),F_Baseline_data!E524)</f>
        <v>Piped Water</v>
      </c>
      <c r="F524">
        <f t="shared" ca="1" si="16"/>
        <v>7</v>
      </c>
      <c r="G524">
        <v>11.9</v>
      </c>
      <c r="H524">
        <f ca="1">MAX(0,ROUND(F_Baseline_data!H524+(F_Baseline_data!C524-5)*200+(D524-30000)*0.015+(F524-50)*15-IF(I524=1,1200,0)+_xlfn.NORM.INV(RAND(),0,2500),-2))</f>
        <v>6900</v>
      </c>
      <c r="I524">
        <v>1</v>
      </c>
      <c r="J524">
        <f>1</f>
        <v>1</v>
      </c>
      <c r="K524">
        <f>1</f>
        <v>1</v>
      </c>
      <c r="L524">
        <v>0</v>
      </c>
      <c r="M524">
        <f t="shared" ca="1" si="17"/>
        <v>0.53948458298328672</v>
      </c>
      <c r="N524">
        <v>0</v>
      </c>
      <c r="O524">
        <v>0</v>
      </c>
      <c r="P524">
        <v>0</v>
      </c>
    </row>
    <row r="525" spans="1:16" x14ac:dyDescent="0.3">
      <c r="A525" t="s">
        <v>637</v>
      </c>
      <c r="B525" t="s">
        <v>513</v>
      </c>
      <c r="C525">
        <f ca="1">IF(RAND()&lt;0.8,F_Baseline_data!C525,IF(RAND()&lt;0.85,F_Baseline_data!C525+1,IF(F_Baseline_data!C525&gt;3,C525-1,F_Baseline_data!C525)))</f>
        <v>8</v>
      </c>
      <c r="D525">
        <f ca="1">MAX(5000,ROUND(F_Baseline_data!D525*(1+_xlfn.NORM.INV(RAND(),0.12,0.1)),-2))</f>
        <v>29000</v>
      </c>
      <c r="E525" t="str">
        <f ca="1">IF(I525=1,IF(RAND()&lt;0.95,"Piped Water",F_Baseline_data!E525),F_Baseline_data!E525)</f>
        <v>Piped Water</v>
      </c>
      <c r="F525">
        <f t="shared" ca="1" si="16"/>
        <v>2</v>
      </c>
      <c r="G525">
        <v>0.7</v>
      </c>
      <c r="H525">
        <f ca="1">MAX(0,ROUND(F_Baseline_data!H525+(F_Baseline_data!C525-5)*200+(D525-30000)*0.015+(F525-50)*15-IF(I525=1,1200,0)+_xlfn.NORM.INV(RAND(),0,2500),-2))</f>
        <v>0</v>
      </c>
      <c r="I525">
        <v>1</v>
      </c>
      <c r="J525">
        <f>1</f>
        <v>1</v>
      </c>
      <c r="K525">
        <f>1</f>
        <v>1</v>
      </c>
      <c r="L525">
        <v>0</v>
      </c>
      <c r="M525">
        <f t="shared" ca="1" si="17"/>
        <v>0.13551227451069525</v>
      </c>
      <c r="N525">
        <v>0</v>
      </c>
      <c r="O525">
        <v>0</v>
      </c>
      <c r="P525">
        <v>0</v>
      </c>
    </row>
    <row r="526" spans="1:16" x14ac:dyDescent="0.3">
      <c r="A526" t="s">
        <v>638</v>
      </c>
      <c r="B526" t="s">
        <v>64</v>
      </c>
      <c r="C526">
        <f ca="1">IF(RAND()&lt;0.8,F_Baseline_data!C526,IF(RAND()&lt;0.85,F_Baseline_data!C526+1,IF(F_Baseline_data!C526&gt;3,C526-1,F_Baseline_data!C526)))</f>
        <v>2</v>
      </c>
      <c r="D526">
        <f ca="1">MAX(5000,ROUND(F_Baseline_data!D526*(1+_xlfn.NORM.INV(RAND(),0.12,0.1)),-2))</f>
        <v>42500</v>
      </c>
      <c r="E526" t="str">
        <f ca="1">IF(I526=1,IF(RAND()&lt;0.95,"Piped Water",F_Baseline_data!E526),F_Baseline_data!E526)</f>
        <v>Piped Water</v>
      </c>
      <c r="F526">
        <f t="shared" ca="1" si="16"/>
        <v>6</v>
      </c>
      <c r="G526">
        <v>6.5</v>
      </c>
      <c r="H526">
        <f ca="1">MAX(0,ROUND(F_Baseline_data!H526+(F_Baseline_data!C526-5)*200+(D526-30000)*0.015+(F526-50)*15-IF(I526=1,1200,0)+_xlfn.NORM.INV(RAND(),0,2500),-2))</f>
        <v>7600</v>
      </c>
      <c r="I526">
        <v>1</v>
      </c>
      <c r="J526">
        <f>1</f>
        <v>1</v>
      </c>
      <c r="K526">
        <f>1</f>
        <v>1</v>
      </c>
      <c r="L526">
        <v>0</v>
      </c>
      <c r="M526">
        <f t="shared" ca="1" si="17"/>
        <v>0.21856611843898477</v>
      </c>
      <c r="N526">
        <v>0</v>
      </c>
      <c r="O526">
        <v>0</v>
      </c>
      <c r="P526">
        <v>0</v>
      </c>
    </row>
    <row r="527" spans="1:16" x14ac:dyDescent="0.3">
      <c r="A527" t="s">
        <v>639</v>
      </c>
      <c r="B527" t="s">
        <v>65</v>
      </c>
      <c r="C527">
        <f ca="1">IF(RAND()&lt;0.8,F_Baseline_data!C527,IF(RAND()&lt;0.85,F_Baseline_data!C527+1,IF(F_Baseline_data!C527&gt;3,C527-1,F_Baseline_data!C527)))</f>
        <v>3</v>
      </c>
      <c r="D527">
        <f ca="1">MAX(5000,ROUND(F_Baseline_data!D527*(1+_xlfn.NORM.INV(RAND(),0.12,0.1)),-2))</f>
        <v>34000</v>
      </c>
      <c r="E527" t="str">
        <f ca="1">IF(I527=1,IF(RAND()&lt;0.95,"Piped Water",F_Baseline_data!E527),F_Baseline_data!E527)</f>
        <v>Piped Water</v>
      </c>
      <c r="F527">
        <f t="shared" ca="1" si="16"/>
        <v>3</v>
      </c>
      <c r="G527">
        <v>5.8</v>
      </c>
      <c r="H527">
        <f ca="1">MAX(0,ROUND(F_Baseline_data!H527+(F_Baseline_data!C527-5)*200+(D527-30000)*0.015+(F527-50)*15-IF(I527=1,1200,0)+_xlfn.NORM.INV(RAND(),0,2500),-2))</f>
        <v>0</v>
      </c>
      <c r="I527">
        <v>1</v>
      </c>
      <c r="J527">
        <f>1</f>
        <v>1</v>
      </c>
      <c r="K527">
        <f>1</f>
        <v>1</v>
      </c>
      <c r="L527">
        <v>0</v>
      </c>
      <c r="M527">
        <f t="shared" ca="1" si="17"/>
        <v>0.64072925529388547</v>
      </c>
      <c r="N527">
        <v>0</v>
      </c>
      <c r="O527">
        <v>0</v>
      </c>
      <c r="P527">
        <v>0</v>
      </c>
    </row>
    <row r="528" spans="1:16" x14ac:dyDescent="0.3">
      <c r="A528" t="s">
        <v>640</v>
      </c>
      <c r="B528" t="s">
        <v>62</v>
      </c>
      <c r="C528">
        <f ca="1">IF(RAND()&lt;0.8,F_Baseline_data!C528,IF(RAND()&lt;0.85,F_Baseline_data!C528+1,IF(F_Baseline_data!C528&gt;3,C528-1,F_Baseline_data!C528)))</f>
        <v>3</v>
      </c>
      <c r="D528">
        <f ca="1">MAX(5000,ROUND(F_Baseline_data!D528*(1+_xlfn.NORM.INV(RAND(),0.12,0.1)),-2))</f>
        <v>54100</v>
      </c>
      <c r="E528" t="str">
        <f ca="1">IF(I528=1,IF(RAND()&lt;0.95,"Piped Water",F_Baseline_data!E528),F_Baseline_data!E528)</f>
        <v>Piped Water</v>
      </c>
      <c r="F528">
        <f t="shared" ca="1" si="16"/>
        <v>1</v>
      </c>
      <c r="G528">
        <v>7.7</v>
      </c>
      <c r="H528">
        <f ca="1">MAX(0,ROUND(F_Baseline_data!H528+(F_Baseline_data!C528-5)*200+(D528-30000)*0.015+(F528-50)*15-IF(I528=1,1200,0)+_xlfn.NORM.INV(RAND(),0,2500),-2))</f>
        <v>0</v>
      </c>
      <c r="I528">
        <v>1</v>
      </c>
      <c r="J528">
        <f>1</f>
        <v>1</v>
      </c>
      <c r="K528">
        <f>1</f>
        <v>1</v>
      </c>
      <c r="L528">
        <v>0</v>
      </c>
      <c r="M528">
        <f t="shared" ca="1" si="17"/>
        <v>0.76159452990381071</v>
      </c>
      <c r="N528">
        <v>0</v>
      </c>
      <c r="O528">
        <v>0</v>
      </c>
      <c r="P528">
        <v>0</v>
      </c>
    </row>
    <row r="529" spans="1:16" x14ac:dyDescent="0.3">
      <c r="A529" t="s">
        <v>641</v>
      </c>
      <c r="B529" t="s">
        <v>65</v>
      </c>
      <c r="C529">
        <f ca="1">IF(RAND()&lt;0.8,F_Baseline_data!C529,IF(RAND()&lt;0.85,F_Baseline_data!C529+1,IF(F_Baseline_data!C529&gt;3,C529-1,F_Baseline_data!C529)))</f>
        <v>5</v>
      </c>
      <c r="D529">
        <f ca="1">MAX(5000,ROUND(F_Baseline_data!D529*(1+_xlfn.NORM.INV(RAND(),0.12,0.1)),-2))</f>
        <v>19600</v>
      </c>
      <c r="E529" t="str">
        <f ca="1">IF(I529=1,IF(RAND()&lt;0.95,"Piped Water",F_Baseline_data!E529),F_Baseline_data!E529)</f>
        <v>Piped Water</v>
      </c>
      <c r="F529">
        <f t="shared" ca="1" si="16"/>
        <v>3</v>
      </c>
      <c r="G529">
        <v>11.2</v>
      </c>
      <c r="H529">
        <f ca="1">MAX(0,ROUND(F_Baseline_data!H529+(F_Baseline_data!C529-5)*200+(D529-30000)*0.015+(F529-50)*15-IF(I529=1,1200,0)+_xlfn.NORM.INV(RAND(),0,2500),-2))</f>
        <v>1600</v>
      </c>
      <c r="I529">
        <v>1</v>
      </c>
      <c r="J529">
        <f>1</f>
        <v>1</v>
      </c>
      <c r="K529">
        <f>1</f>
        <v>1</v>
      </c>
      <c r="L529">
        <v>0</v>
      </c>
      <c r="M529">
        <f t="shared" ca="1" si="17"/>
        <v>0.97080350863041187</v>
      </c>
      <c r="N529">
        <v>0</v>
      </c>
      <c r="O529">
        <v>0</v>
      </c>
      <c r="P529">
        <v>0</v>
      </c>
    </row>
    <row r="530" spans="1:16" x14ac:dyDescent="0.3">
      <c r="A530" t="s">
        <v>642</v>
      </c>
      <c r="B530" t="s">
        <v>513</v>
      </c>
      <c r="C530">
        <f ca="1">IF(RAND()&lt;0.8,F_Baseline_data!C530,IF(RAND()&lt;0.85,F_Baseline_data!C530+1,IF(F_Baseline_data!C530&gt;3,C530-1,F_Baseline_data!C530)))</f>
        <v>9</v>
      </c>
      <c r="D530">
        <f ca="1">MAX(5000,ROUND(F_Baseline_data!D530*(1+_xlfn.NORM.INV(RAND(),0.12,0.1)),-2))</f>
        <v>14200</v>
      </c>
      <c r="E530" t="str">
        <f ca="1">IF(I530=1,IF(RAND()&lt;0.95,"Piped Water",F_Baseline_data!E530),F_Baseline_data!E530)</f>
        <v>Piped Water</v>
      </c>
      <c r="F530">
        <f t="shared" ca="1" si="16"/>
        <v>7</v>
      </c>
      <c r="G530">
        <v>4.9000000000000004</v>
      </c>
      <c r="H530">
        <f ca="1">MAX(0,ROUND(F_Baseline_data!H530+(F_Baseline_data!C530-5)*200+(D530-30000)*0.015+(F530-50)*15-IF(I530=1,1200,0)+_xlfn.NORM.INV(RAND(),0,2500),-2))</f>
        <v>3100</v>
      </c>
      <c r="I530">
        <v>1</v>
      </c>
      <c r="J530">
        <f>1</f>
        <v>1</v>
      </c>
      <c r="K530">
        <f>1</f>
        <v>1</v>
      </c>
      <c r="L530">
        <v>0</v>
      </c>
      <c r="M530">
        <f t="shared" ca="1" si="17"/>
        <v>2.2573117065928239E-2</v>
      </c>
      <c r="N530">
        <v>0</v>
      </c>
      <c r="O530">
        <v>0</v>
      </c>
      <c r="P530">
        <v>0</v>
      </c>
    </row>
    <row r="531" spans="1:16" x14ac:dyDescent="0.3">
      <c r="A531" t="s">
        <v>643</v>
      </c>
      <c r="B531" t="s">
        <v>513</v>
      </c>
      <c r="C531">
        <f ca="1">IF(RAND()&lt;0.8,F_Baseline_data!C531,IF(RAND()&lt;0.85,F_Baseline_data!C531+1,IF(F_Baseline_data!C531&gt;3,C531-1,F_Baseline_data!C531)))</f>
        <v>4</v>
      </c>
      <c r="D531">
        <f ca="1">MAX(5000,ROUND(F_Baseline_data!D531*(1+_xlfn.NORM.INV(RAND(),0.12,0.1)),-2))</f>
        <v>44600</v>
      </c>
      <c r="E531" t="str">
        <f ca="1">IF(I531=1,IF(RAND()&lt;0.95,"Piped Water",F_Baseline_data!E531),F_Baseline_data!E531)</f>
        <v>Piped Water</v>
      </c>
      <c r="F531">
        <f t="shared" ca="1" si="16"/>
        <v>2</v>
      </c>
      <c r="G531">
        <v>1.8</v>
      </c>
      <c r="H531">
        <f ca="1">MAX(0,ROUND(F_Baseline_data!H531+(F_Baseline_data!C531-5)*200+(D531-30000)*0.015+(F531-50)*15-IF(I531=1,1200,0)+_xlfn.NORM.INV(RAND(),0,2500),-2))</f>
        <v>4100</v>
      </c>
      <c r="I531">
        <v>1</v>
      </c>
      <c r="J531">
        <f>1</f>
        <v>1</v>
      </c>
      <c r="K531">
        <f>1</f>
        <v>1</v>
      </c>
      <c r="L531">
        <v>0</v>
      </c>
      <c r="M531">
        <f t="shared" ca="1" si="17"/>
        <v>0.56108072575725532</v>
      </c>
      <c r="N531">
        <v>0</v>
      </c>
      <c r="O531">
        <v>0</v>
      </c>
      <c r="P531">
        <v>0</v>
      </c>
    </row>
    <row r="532" spans="1:16" x14ac:dyDescent="0.3">
      <c r="A532" t="s">
        <v>644</v>
      </c>
      <c r="B532" t="s">
        <v>65</v>
      </c>
      <c r="C532">
        <f ca="1">IF(RAND()&lt;0.8,F_Baseline_data!C532,IF(RAND()&lt;0.85,F_Baseline_data!C532+1,IF(F_Baseline_data!C532&gt;3,C532-1,F_Baseline_data!C532)))</f>
        <v>3</v>
      </c>
      <c r="D532">
        <f ca="1">MAX(5000,ROUND(F_Baseline_data!D532*(1+_xlfn.NORM.INV(RAND(),0.12,0.1)),-2))</f>
        <v>38200</v>
      </c>
      <c r="E532" t="str">
        <f ca="1">IF(I532=1,IF(RAND()&lt;0.95,"Piped Water",F_Baseline_data!E532),F_Baseline_data!E532)</f>
        <v>Piped Water</v>
      </c>
      <c r="F532">
        <f t="shared" ca="1" si="16"/>
        <v>4</v>
      </c>
      <c r="G532">
        <v>7.5</v>
      </c>
      <c r="H532">
        <f ca="1">MAX(0,ROUND(F_Baseline_data!H532+(F_Baseline_data!C532-5)*200+(D532-30000)*0.015+(F532-50)*15-IF(I532=1,1200,0)+_xlfn.NORM.INV(RAND(),0,2500),-2))</f>
        <v>0</v>
      </c>
      <c r="I532">
        <v>1</v>
      </c>
      <c r="J532">
        <f>1</f>
        <v>1</v>
      </c>
      <c r="K532">
        <f>1</f>
        <v>1</v>
      </c>
      <c r="L532">
        <v>0</v>
      </c>
      <c r="M532">
        <f t="shared" ca="1" si="17"/>
        <v>0.82286209858009474</v>
      </c>
      <c r="N532">
        <v>0</v>
      </c>
      <c r="O532">
        <v>0</v>
      </c>
      <c r="P532">
        <v>0</v>
      </c>
    </row>
    <row r="533" spans="1:16" x14ac:dyDescent="0.3">
      <c r="A533" t="s">
        <v>645</v>
      </c>
      <c r="B533" t="s">
        <v>65</v>
      </c>
      <c r="C533">
        <f ca="1">IF(RAND()&lt;0.8,F_Baseline_data!C533,IF(RAND()&lt;0.85,F_Baseline_data!C533+1,IF(F_Baseline_data!C533&gt;3,C533-1,F_Baseline_data!C533)))</f>
        <v>8</v>
      </c>
      <c r="D533">
        <f ca="1">MAX(5000,ROUND(F_Baseline_data!D533*(1+_xlfn.NORM.INV(RAND(),0.12,0.1)),-2))</f>
        <v>46800</v>
      </c>
      <c r="E533" t="str">
        <f ca="1">IF(I533=1,IF(RAND()&lt;0.95,"Piped Water",F_Baseline_data!E533),F_Baseline_data!E533)</f>
        <v>Piped Water</v>
      </c>
      <c r="F533">
        <f t="shared" ca="1" si="16"/>
        <v>0</v>
      </c>
      <c r="G533">
        <v>6.5</v>
      </c>
      <c r="H533">
        <f ca="1">MAX(0,ROUND(F_Baseline_data!H533+(F_Baseline_data!C533-5)*200+(D533-30000)*0.015+(F533-50)*15-IF(I533=1,1200,0)+_xlfn.NORM.INV(RAND(),0,2500),-2))</f>
        <v>10700</v>
      </c>
      <c r="I533">
        <v>1</v>
      </c>
      <c r="J533">
        <f>1</f>
        <v>1</v>
      </c>
      <c r="K533">
        <f>1</f>
        <v>1</v>
      </c>
      <c r="L533">
        <v>0</v>
      </c>
      <c r="M533">
        <f t="shared" ca="1" si="17"/>
        <v>0.77597546419750119</v>
      </c>
      <c r="N533">
        <v>0</v>
      </c>
      <c r="O533">
        <v>0</v>
      </c>
      <c r="P533">
        <v>0</v>
      </c>
    </row>
    <row r="534" spans="1:16" x14ac:dyDescent="0.3">
      <c r="A534" t="s">
        <v>646</v>
      </c>
      <c r="B534" t="s">
        <v>65</v>
      </c>
      <c r="C534">
        <f ca="1">IF(RAND()&lt;0.8,F_Baseline_data!C534,IF(RAND()&lt;0.85,F_Baseline_data!C534+1,IF(F_Baseline_data!C534&gt;3,C534-1,F_Baseline_data!C534)))</f>
        <v>6</v>
      </c>
      <c r="D534">
        <f ca="1">MAX(5000,ROUND(F_Baseline_data!D534*(1+_xlfn.NORM.INV(RAND(),0.12,0.1)),-2))</f>
        <v>42600</v>
      </c>
      <c r="E534" t="str">
        <f ca="1">IF(I534=1,IF(RAND()&lt;0.95,"Piped Water",F_Baseline_data!E534),F_Baseline_data!E534)</f>
        <v>Piped Water</v>
      </c>
      <c r="F534">
        <f t="shared" ca="1" si="16"/>
        <v>9</v>
      </c>
      <c r="G534">
        <v>12.4</v>
      </c>
      <c r="H534">
        <f ca="1">MAX(0,ROUND(F_Baseline_data!H534+(F_Baseline_data!C534-5)*200+(D534-30000)*0.015+(F534-50)*15-IF(I534=1,1200,0)+_xlfn.NORM.INV(RAND(),0,2500),-2))</f>
        <v>0</v>
      </c>
      <c r="I534">
        <v>1</v>
      </c>
      <c r="J534">
        <f>1</f>
        <v>1</v>
      </c>
      <c r="K534">
        <f>1</f>
        <v>1</v>
      </c>
      <c r="L534">
        <v>0</v>
      </c>
      <c r="M534">
        <f t="shared" ca="1" si="17"/>
        <v>0.7336233005448437</v>
      </c>
      <c r="N534">
        <v>0</v>
      </c>
      <c r="O534">
        <v>0</v>
      </c>
      <c r="P534">
        <v>0</v>
      </c>
    </row>
    <row r="535" spans="1:16" x14ac:dyDescent="0.3">
      <c r="A535" t="s">
        <v>647</v>
      </c>
      <c r="B535" t="s">
        <v>513</v>
      </c>
      <c r="C535">
        <f ca="1">IF(RAND()&lt;0.8,F_Baseline_data!C535,IF(RAND()&lt;0.85,F_Baseline_data!C535+1,IF(F_Baseline_data!C535&gt;3,C535-1,F_Baseline_data!C535)))</f>
        <v>6</v>
      </c>
      <c r="D535">
        <f ca="1">MAX(5000,ROUND(F_Baseline_data!D535*(1+_xlfn.NORM.INV(RAND(),0.12,0.1)),-2))</f>
        <v>68900</v>
      </c>
      <c r="E535" t="str">
        <f ca="1">IF(I535=1,IF(RAND()&lt;0.95,"Piped Water",F_Baseline_data!E535),F_Baseline_data!E535)</f>
        <v>Piped Water</v>
      </c>
      <c r="F535">
        <f t="shared" ca="1" si="16"/>
        <v>10</v>
      </c>
      <c r="G535">
        <v>6.3</v>
      </c>
      <c r="H535">
        <f ca="1">MAX(0,ROUND(F_Baseline_data!H535+(F_Baseline_data!C535-5)*200+(D535-30000)*0.015+(F535-50)*15-IF(I535=1,1200,0)+_xlfn.NORM.INV(RAND(),0,2500),-2))</f>
        <v>2200</v>
      </c>
      <c r="I535">
        <v>1</v>
      </c>
      <c r="J535">
        <f>1</f>
        <v>1</v>
      </c>
      <c r="K535">
        <f>1</f>
        <v>1</v>
      </c>
      <c r="L535">
        <v>0</v>
      </c>
      <c r="M535">
        <f t="shared" ca="1" si="17"/>
        <v>0.58369926545420847</v>
      </c>
      <c r="N535">
        <v>0</v>
      </c>
      <c r="O535">
        <v>0</v>
      </c>
      <c r="P535">
        <v>0</v>
      </c>
    </row>
    <row r="536" spans="1:16" x14ac:dyDescent="0.3">
      <c r="A536" t="s">
        <v>648</v>
      </c>
      <c r="B536" t="s">
        <v>513</v>
      </c>
      <c r="C536">
        <f ca="1">IF(RAND()&lt;0.8,F_Baseline_data!C536,IF(RAND()&lt;0.85,F_Baseline_data!C536+1,IF(F_Baseline_data!C536&gt;3,C536-1,F_Baseline_data!C536)))</f>
        <v>3</v>
      </c>
      <c r="D536">
        <f ca="1">MAX(5000,ROUND(F_Baseline_data!D536*(1+_xlfn.NORM.INV(RAND(),0.12,0.1)),-2))</f>
        <v>57200</v>
      </c>
      <c r="E536" t="str">
        <f ca="1">IF(I536=1,IF(RAND()&lt;0.95,"Piped Water",F_Baseline_data!E536),F_Baseline_data!E536)</f>
        <v>Piped Water</v>
      </c>
      <c r="F536">
        <f t="shared" ca="1" si="16"/>
        <v>7</v>
      </c>
      <c r="G536">
        <v>9.9</v>
      </c>
      <c r="H536">
        <f ca="1">MAX(0,ROUND(F_Baseline_data!H536+(F_Baseline_data!C536-5)*200+(D536-30000)*0.015+(F536-50)*15-IF(I536=1,1200,0)+_xlfn.NORM.INV(RAND(),0,2500),-2))</f>
        <v>5600</v>
      </c>
      <c r="I536">
        <v>1</v>
      </c>
      <c r="J536">
        <f>1</f>
        <v>1</v>
      </c>
      <c r="K536">
        <f>1</f>
        <v>1</v>
      </c>
      <c r="L536">
        <v>0</v>
      </c>
      <c r="M536">
        <f t="shared" ca="1" si="17"/>
        <v>0.55256926215428948</v>
      </c>
      <c r="N536">
        <v>0</v>
      </c>
      <c r="O536">
        <v>0</v>
      </c>
      <c r="P536">
        <v>0</v>
      </c>
    </row>
    <row r="537" spans="1:16" x14ac:dyDescent="0.3">
      <c r="A537" t="s">
        <v>649</v>
      </c>
      <c r="B537" t="s">
        <v>62</v>
      </c>
      <c r="C537">
        <f ca="1">IF(RAND()&lt;0.8,F_Baseline_data!C537,IF(RAND()&lt;0.85,F_Baseline_data!C537+1,IF(F_Baseline_data!C537&gt;3,C537-1,F_Baseline_data!C537)))</f>
        <v>8</v>
      </c>
      <c r="D537">
        <f ca="1">MAX(5000,ROUND(F_Baseline_data!D537*(1+_xlfn.NORM.INV(RAND(),0.12,0.1)),-2))</f>
        <v>125200</v>
      </c>
      <c r="E537" t="str">
        <f ca="1">IF(I537=1,IF(RAND()&lt;0.95,"Piped Water",F_Baseline_data!E537),F_Baseline_data!E537)</f>
        <v>Piped Water</v>
      </c>
      <c r="F537">
        <f t="shared" ca="1" si="16"/>
        <v>1</v>
      </c>
      <c r="G537">
        <v>6.3</v>
      </c>
      <c r="H537">
        <f ca="1">MAX(0,ROUND(F_Baseline_data!H537+(F_Baseline_data!C537-5)*200+(D537-30000)*0.015+(F537-50)*15-IF(I537=1,1200,0)+_xlfn.NORM.INV(RAND(),0,2500),-2))</f>
        <v>10900</v>
      </c>
      <c r="I537">
        <v>1</v>
      </c>
      <c r="J537">
        <f>1</f>
        <v>1</v>
      </c>
      <c r="K537">
        <f>1</f>
        <v>1</v>
      </c>
      <c r="L537">
        <v>0</v>
      </c>
      <c r="M537">
        <f t="shared" ca="1" si="17"/>
        <v>0.22567043288742605</v>
      </c>
      <c r="N537">
        <v>0</v>
      </c>
      <c r="O537">
        <v>0</v>
      </c>
      <c r="P537">
        <v>0</v>
      </c>
    </row>
    <row r="538" spans="1:16" x14ac:dyDescent="0.3">
      <c r="A538" t="s">
        <v>650</v>
      </c>
      <c r="B538" t="s">
        <v>65</v>
      </c>
      <c r="C538">
        <f ca="1">IF(RAND()&lt;0.8,F_Baseline_data!C538,IF(RAND()&lt;0.85,F_Baseline_data!C538+1,IF(F_Baseline_data!C538&gt;3,C538-1,F_Baseline_data!C538)))</f>
        <v>6</v>
      </c>
      <c r="D538">
        <f ca="1">MAX(5000,ROUND(F_Baseline_data!D538*(1+_xlfn.NORM.INV(RAND(),0.12,0.1)),-2))</f>
        <v>55100</v>
      </c>
      <c r="E538" t="str">
        <f ca="1">IF(I538=1,IF(RAND()&lt;0.95,"Piped Water",F_Baseline_data!E538),F_Baseline_data!E538)</f>
        <v>Piped Water</v>
      </c>
      <c r="F538">
        <f t="shared" ca="1" si="16"/>
        <v>0</v>
      </c>
      <c r="G538">
        <v>1.5</v>
      </c>
      <c r="H538">
        <f ca="1">MAX(0,ROUND(F_Baseline_data!H538+(F_Baseline_data!C538-5)*200+(D538-30000)*0.015+(F538-50)*15-IF(I538=1,1200,0)+_xlfn.NORM.INV(RAND(),0,2500),-2))</f>
        <v>1700</v>
      </c>
      <c r="I538">
        <v>1</v>
      </c>
      <c r="J538">
        <f>1</f>
        <v>1</v>
      </c>
      <c r="K538">
        <f>1</f>
        <v>1</v>
      </c>
      <c r="L538">
        <v>0</v>
      </c>
      <c r="M538">
        <f t="shared" ca="1" si="17"/>
        <v>0.21487825205825506</v>
      </c>
      <c r="N538">
        <v>0</v>
      </c>
      <c r="O538">
        <v>0</v>
      </c>
      <c r="P538">
        <v>0</v>
      </c>
    </row>
    <row r="539" spans="1:16" x14ac:dyDescent="0.3">
      <c r="A539" t="s">
        <v>651</v>
      </c>
      <c r="B539" t="s">
        <v>513</v>
      </c>
      <c r="C539">
        <f ca="1">IF(RAND()&lt;0.8,F_Baseline_data!C539,IF(RAND()&lt;0.85,F_Baseline_data!C539+1,IF(F_Baseline_data!C539&gt;3,C539-1,F_Baseline_data!C539)))</f>
        <v>6</v>
      </c>
      <c r="D539">
        <f ca="1">MAX(5000,ROUND(F_Baseline_data!D539*(1+_xlfn.NORM.INV(RAND(),0.12,0.1)),-2))</f>
        <v>28600</v>
      </c>
      <c r="E539" t="str">
        <f ca="1">IF(I539=1,IF(RAND()&lt;0.95,"Piped Water",F_Baseline_data!E539),F_Baseline_data!E539)</f>
        <v>Piped Water</v>
      </c>
      <c r="F539">
        <f t="shared" ca="1" si="16"/>
        <v>2</v>
      </c>
      <c r="G539">
        <v>3.3</v>
      </c>
      <c r="H539">
        <f ca="1">MAX(0,ROUND(F_Baseline_data!H539+(F_Baseline_data!C539-5)*200+(D539-30000)*0.015+(F539-50)*15-IF(I539=1,1200,0)+_xlfn.NORM.INV(RAND(),0,2500),-2))</f>
        <v>7100</v>
      </c>
      <c r="I539">
        <v>1</v>
      </c>
      <c r="J539">
        <f>1</f>
        <v>1</v>
      </c>
      <c r="K539">
        <f>1</f>
        <v>1</v>
      </c>
      <c r="L539">
        <v>0</v>
      </c>
      <c r="M539">
        <f t="shared" ca="1" si="17"/>
        <v>0.7411495126788249</v>
      </c>
      <c r="N539">
        <v>0</v>
      </c>
      <c r="O539">
        <v>0</v>
      </c>
      <c r="P539">
        <v>0</v>
      </c>
    </row>
    <row r="540" spans="1:16" x14ac:dyDescent="0.3">
      <c r="A540" t="s">
        <v>652</v>
      </c>
      <c r="B540" t="s">
        <v>64</v>
      </c>
      <c r="C540">
        <f ca="1">IF(RAND()&lt;0.8,F_Baseline_data!C540,IF(RAND()&lt;0.85,F_Baseline_data!C540+1,IF(F_Baseline_data!C540&gt;3,C540-1,F_Baseline_data!C540)))</f>
        <v>4</v>
      </c>
      <c r="D540">
        <f ca="1">MAX(5000,ROUND(F_Baseline_data!D540*(1+_xlfn.NORM.INV(RAND(),0.12,0.1)),-2))</f>
        <v>44600</v>
      </c>
      <c r="E540" t="str">
        <f ca="1">IF(I540=1,IF(RAND()&lt;0.95,"Piped Water",F_Baseline_data!E540),F_Baseline_data!E540)</f>
        <v>Piped Water</v>
      </c>
      <c r="F540">
        <f t="shared" ca="1" si="16"/>
        <v>10</v>
      </c>
      <c r="G540">
        <v>6.9</v>
      </c>
      <c r="H540">
        <f ca="1">MAX(0,ROUND(F_Baseline_data!H540+(F_Baseline_data!C540-5)*200+(D540-30000)*0.015+(F540-50)*15-IF(I540=1,1200,0)+_xlfn.NORM.INV(RAND(),0,2500),-2))</f>
        <v>3500</v>
      </c>
      <c r="I540">
        <v>1</v>
      </c>
      <c r="J540">
        <f>1</f>
        <v>1</v>
      </c>
      <c r="K540">
        <f>1</f>
        <v>1</v>
      </c>
      <c r="L540">
        <v>0</v>
      </c>
      <c r="M540">
        <f t="shared" ca="1" si="17"/>
        <v>0.26926655256841192</v>
      </c>
      <c r="N540">
        <v>0</v>
      </c>
      <c r="O540">
        <v>0</v>
      </c>
      <c r="P540">
        <v>0</v>
      </c>
    </row>
    <row r="541" spans="1:16" x14ac:dyDescent="0.3">
      <c r="A541" t="s">
        <v>653</v>
      </c>
      <c r="B541" t="s">
        <v>513</v>
      </c>
      <c r="C541">
        <f ca="1">IF(RAND()&lt;0.8,F_Baseline_data!C541,IF(RAND()&lt;0.85,F_Baseline_data!C541+1,IF(F_Baseline_data!C541&gt;3,C541-1,F_Baseline_data!C541)))</f>
        <v>10</v>
      </c>
      <c r="D541">
        <f ca="1">MAX(5000,ROUND(F_Baseline_data!D541*(1+_xlfn.NORM.INV(RAND(),0.12,0.1)),-2))</f>
        <v>19300</v>
      </c>
      <c r="E541" t="str">
        <f ca="1">IF(I541=1,IF(RAND()&lt;0.95,"Piped Water",F_Baseline_data!E541),F_Baseline_data!E541)</f>
        <v>Piped Water</v>
      </c>
      <c r="F541">
        <f t="shared" ca="1" si="16"/>
        <v>9</v>
      </c>
      <c r="G541">
        <v>10.1</v>
      </c>
      <c r="H541">
        <f ca="1">MAX(0,ROUND(F_Baseline_data!H541+(F_Baseline_data!C541-5)*200+(D541-30000)*0.015+(F541-50)*15-IF(I541=1,1200,0)+_xlfn.NORM.INV(RAND(),0,2500),-2))</f>
        <v>3500</v>
      </c>
      <c r="I541">
        <v>1</v>
      </c>
      <c r="J541">
        <f>1</f>
        <v>1</v>
      </c>
      <c r="K541">
        <f>1</f>
        <v>1</v>
      </c>
      <c r="L541">
        <v>0</v>
      </c>
      <c r="M541">
        <f t="shared" ca="1" si="17"/>
        <v>0.11289605043090922</v>
      </c>
      <c r="N541">
        <v>0</v>
      </c>
      <c r="O541">
        <v>0</v>
      </c>
      <c r="P541">
        <v>0</v>
      </c>
    </row>
    <row r="542" spans="1:16" x14ac:dyDescent="0.3">
      <c r="A542" t="s">
        <v>654</v>
      </c>
      <c r="B542" t="s">
        <v>513</v>
      </c>
      <c r="C542">
        <f ca="1">IF(RAND()&lt;0.8,F_Baseline_data!C542,IF(RAND()&lt;0.85,F_Baseline_data!C542+1,IF(F_Baseline_data!C542&gt;3,C542-1,F_Baseline_data!C542)))</f>
        <v>4</v>
      </c>
      <c r="D542">
        <f ca="1">MAX(5000,ROUND(F_Baseline_data!D542*(1+_xlfn.NORM.INV(RAND(),0.12,0.1)),-2))</f>
        <v>21800</v>
      </c>
      <c r="E542" t="str">
        <f ca="1">IF(I542=1,IF(RAND()&lt;0.95,"Piped Water",F_Baseline_data!E542),F_Baseline_data!E542)</f>
        <v>Piped Water</v>
      </c>
      <c r="F542">
        <f t="shared" ca="1" si="16"/>
        <v>4</v>
      </c>
      <c r="G542">
        <v>14.6</v>
      </c>
      <c r="H542">
        <f ca="1">MAX(0,ROUND(F_Baseline_data!H542+(F_Baseline_data!C542-5)*200+(D542-30000)*0.015+(F542-50)*15-IF(I542=1,1200,0)+_xlfn.NORM.INV(RAND(),0,2500),-2))</f>
        <v>0</v>
      </c>
      <c r="I542">
        <v>1</v>
      </c>
      <c r="J542">
        <f>1</f>
        <v>1</v>
      </c>
      <c r="K542">
        <f>1</f>
        <v>1</v>
      </c>
      <c r="L542">
        <v>0</v>
      </c>
      <c r="M542">
        <f t="shared" ca="1" si="17"/>
        <v>0.24884933992652802</v>
      </c>
      <c r="N542">
        <v>0</v>
      </c>
      <c r="O542">
        <v>0</v>
      </c>
      <c r="P542">
        <v>0</v>
      </c>
    </row>
    <row r="543" spans="1:16" x14ac:dyDescent="0.3">
      <c r="A543" t="s">
        <v>655</v>
      </c>
      <c r="B543" t="s">
        <v>62</v>
      </c>
      <c r="C543">
        <f ca="1">IF(RAND()&lt;0.8,F_Baseline_data!C543,IF(RAND()&lt;0.85,F_Baseline_data!C543+1,IF(F_Baseline_data!C543&gt;3,C543-1,F_Baseline_data!C543)))</f>
        <v>4</v>
      </c>
      <c r="D543">
        <f ca="1">MAX(5000,ROUND(F_Baseline_data!D543*(1+_xlfn.NORM.INV(RAND(),0.12,0.1)),-2))</f>
        <v>70300</v>
      </c>
      <c r="E543" t="str">
        <f ca="1">IF(I543=1,IF(RAND()&lt;0.95,"Piped Water",F_Baseline_data!E543),F_Baseline_data!E543)</f>
        <v>Piped Water</v>
      </c>
      <c r="F543">
        <f t="shared" ca="1" si="16"/>
        <v>7</v>
      </c>
      <c r="G543">
        <v>7.1</v>
      </c>
      <c r="H543">
        <f ca="1">MAX(0,ROUND(F_Baseline_data!H543+(F_Baseline_data!C543-5)*200+(D543-30000)*0.015+(F543-50)*15-IF(I543=1,1200,0)+_xlfn.NORM.INV(RAND(),0,2500),-2))</f>
        <v>12100</v>
      </c>
      <c r="I543">
        <v>1</v>
      </c>
      <c r="J543">
        <f>1</f>
        <v>1</v>
      </c>
      <c r="K543">
        <f>1</f>
        <v>1</v>
      </c>
      <c r="L543">
        <v>0</v>
      </c>
      <c r="M543">
        <f t="shared" ca="1" si="17"/>
        <v>0.90698791975054693</v>
      </c>
      <c r="N543">
        <v>0</v>
      </c>
      <c r="O543">
        <v>0</v>
      </c>
      <c r="P543">
        <v>0</v>
      </c>
    </row>
    <row r="544" spans="1:16" x14ac:dyDescent="0.3">
      <c r="A544" t="s">
        <v>656</v>
      </c>
      <c r="B544" t="s">
        <v>513</v>
      </c>
      <c r="C544">
        <f ca="1">IF(RAND()&lt;0.8,F_Baseline_data!C544,IF(RAND()&lt;0.85,F_Baseline_data!C544+1,IF(F_Baseline_data!C544&gt;3,C544-1,F_Baseline_data!C544)))</f>
        <v>9</v>
      </c>
      <c r="D544">
        <f ca="1">MAX(5000,ROUND(F_Baseline_data!D544*(1+_xlfn.NORM.INV(RAND(),0.12,0.1)),-2))</f>
        <v>30900</v>
      </c>
      <c r="E544" t="str">
        <f ca="1">IF(I544=1,IF(RAND()&lt;0.95,"Piped Water",F_Baseline_data!E544),F_Baseline_data!E544)</f>
        <v>Piped Water</v>
      </c>
      <c r="F544">
        <f t="shared" ca="1" si="16"/>
        <v>7</v>
      </c>
      <c r="G544">
        <v>0.9</v>
      </c>
      <c r="H544">
        <f ca="1">MAX(0,ROUND(F_Baseline_data!H544+(F_Baseline_data!C544-5)*200+(D544-30000)*0.015+(F544-50)*15-IF(I544=1,1200,0)+_xlfn.NORM.INV(RAND(),0,2500),-2))</f>
        <v>7500</v>
      </c>
      <c r="I544">
        <v>1</v>
      </c>
      <c r="J544">
        <f>1</f>
        <v>1</v>
      </c>
      <c r="K544">
        <f>1</f>
        <v>1</v>
      </c>
      <c r="L544">
        <v>0</v>
      </c>
      <c r="M544">
        <f t="shared" ca="1" si="17"/>
        <v>0.42841360178644272</v>
      </c>
      <c r="N544">
        <v>0</v>
      </c>
      <c r="O544">
        <v>0</v>
      </c>
      <c r="P544">
        <v>0</v>
      </c>
    </row>
    <row r="545" spans="1:16" x14ac:dyDescent="0.3">
      <c r="A545" t="s">
        <v>657</v>
      </c>
      <c r="B545" t="s">
        <v>62</v>
      </c>
      <c r="C545">
        <f ca="1">IF(RAND()&lt;0.8,F_Baseline_data!C545,IF(RAND()&lt;0.85,F_Baseline_data!C545+1,IF(F_Baseline_data!C545&gt;3,C545-1,F_Baseline_data!C545)))</f>
        <v>5</v>
      </c>
      <c r="D545">
        <f ca="1">MAX(5000,ROUND(F_Baseline_data!D545*(1+_xlfn.NORM.INV(RAND(),0.12,0.1)),-2))</f>
        <v>40100</v>
      </c>
      <c r="E545" t="str">
        <f ca="1">IF(I545=1,IF(RAND()&lt;0.95,"Piped Water",F_Baseline_data!E545),F_Baseline_data!E545)</f>
        <v>Piped Water</v>
      </c>
      <c r="F545">
        <f t="shared" ca="1" si="16"/>
        <v>8</v>
      </c>
      <c r="G545">
        <v>1.4</v>
      </c>
      <c r="H545">
        <f ca="1">MAX(0,ROUND(F_Baseline_data!H545+(F_Baseline_data!C545-5)*200+(D545-30000)*0.015+(F545-50)*15-IF(I545=1,1200,0)+_xlfn.NORM.INV(RAND(),0,2500),-2))</f>
        <v>6300</v>
      </c>
      <c r="I545">
        <v>1</v>
      </c>
      <c r="J545">
        <f>1</f>
        <v>1</v>
      </c>
      <c r="K545">
        <f>1</f>
        <v>1</v>
      </c>
      <c r="L545">
        <v>0</v>
      </c>
      <c r="M545">
        <f t="shared" ca="1" si="17"/>
        <v>0.17723673624515945</v>
      </c>
      <c r="N545">
        <v>0</v>
      </c>
      <c r="O545">
        <v>0</v>
      </c>
      <c r="P545">
        <v>0</v>
      </c>
    </row>
    <row r="546" spans="1:16" x14ac:dyDescent="0.3">
      <c r="A546" t="s">
        <v>658</v>
      </c>
      <c r="B546" t="s">
        <v>513</v>
      </c>
      <c r="C546">
        <f ca="1">IF(RAND()&lt;0.8,F_Baseline_data!C546,IF(RAND()&lt;0.85,F_Baseline_data!C546+1,IF(F_Baseline_data!C546&gt;3,C546-1,F_Baseline_data!C546)))</f>
        <v>2</v>
      </c>
      <c r="D546">
        <f ca="1">MAX(5000,ROUND(F_Baseline_data!D546*(1+_xlfn.NORM.INV(RAND(),0.12,0.1)),-2))</f>
        <v>30800</v>
      </c>
      <c r="E546" t="str">
        <f ca="1">IF(I546=1,IF(RAND()&lt;0.95,"Piped Water",F_Baseline_data!E546),F_Baseline_data!E546)</f>
        <v>Piped Water</v>
      </c>
      <c r="F546">
        <f t="shared" ca="1" si="16"/>
        <v>7</v>
      </c>
      <c r="G546">
        <v>7.5</v>
      </c>
      <c r="H546">
        <f ca="1">MAX(0,ROUND(F_Baseline_data!H546+(F_Baseline_data!C546-5)*200+(D546-30000)*0.015+(F546-50)*15-IF(I546=1,1200,0)+_xlfn.NORM.INV(RAND(),0,2500),-2))</f>
        <v>0</v>
      </c>
      <c r="I546">
        <v>1</v>
      </c>
      <c r="J546">
        <f>1</f>
        <v>1</v>
      </c>
      <c r="K546">
        <f>1</f>
        <v>1</v>
      </c>
      <c r="L546">
        <v>0</v>
      </c>
      <c r="M546">
        <f t="shared" ca="1" si="17"/>
        <v>0.7236699191689977</v>
      </c>
      <c r="N546">
        <v>0</v>
      </c>
      <c r="O546">
        <v>0</v>
      </c>
      <c r="P546">
        <v>0</v>
      </c>
    </row>
    <row r="547" spans="1:16" x14ac:dyDescent="0.3">
      <c r="A547" t="s">
        <v>659</v>
      </c>
      <c r="B547" t="s">
        <v>64</v>
      </c>
      <c r="C547">
        <f ca="1">IF(RAND()&lt;0.8,F_Baseline_data!C547,IF(RAND()&lt;0.85,F_Baseline_data!C547+1,IF(F_Baseline_data!C547&gt;3,C547-1,F_Baseline_data!C547)))</f>
        <v>8</v>
      </c>
      <c r="D547">
        <f ca="1">MAX(5000,ROUND(F_Baseline_data!D547*(1+_xlfn.NORM.INV(RAND(),0.12,0.1)),-2))</f>
        <v>175800</v>
      </c>
      <c r="E547" t="str">
        <f ca="1">IF(I547=1,IF(RAND()&lt;0.95,"Piped Water",F_Baseline_data!E547),F_Baseline_data!E547)</f>
        <v>Piped Water</v>
      </c>
      <c r="F547">
        <f t="shared" ca="1" si="16"/>
        <v>2</v>
      </c>
      <c r="G547">
        <v>10.5</v>
      </c>
      <c r="H547">
        <f ca="1">MAX(0,ROUND(F_Baseline_data!H547+(F_Baseline_data!C547-5)*200+(D547-30000)*0.015+(F547-50)*15-IF(I547=1,1200,0)+_xlfn.NORM.INV(RAND(),0,2500),-2))</f>
        <v>14000</v>
      </c>
      <c r="I547">
        <v>1</v>
      </c>
      <c r="J547">
        <f>1</f>
        <v>1</v>
      </c>
      <c r="K547">
        <f>1</f>
        <v>1</v>
      </c>
      <c r="L547">
        <v>0</v>
      </c>
      <c r="M547">
        <f t="shared" ca="1" si="17"/>
        <v>0.17460814182113382</v>
      </c>
      <c r="N547">
        <v>0</v>
      </c>
      <c r="O547">
        <v>0</v>
      </c>
      <c r="P547">
        <v>0</v>
      </c>
    </row>
    <row r="548" spans="1:16" x14ac:dyDescent="0.3">
      <c r="A548" t="s">
        <v>660</v>
      </c>
      <c r="B548" t="s">
        <v>513</v>
      </c>
      <c r="C548">
        <f ca="1">IF(RAND()&lt;0.8,F_Baseline_data!C548,IF(RAND()&lt;0.85,F_Baseline_data!C548+1,IF(F_Baseline_data!C548&gt;3,C548-1,F_Baseline_data!C548)))</f>
        <v>8</v>
      </c>
      <c r="D548">
        <f ca="1">MAX(5000,ROUND(F_Baseline_data!D548*(1+_xlfn.NORM.INV(RAND(),0.12,0.1)),-2))</f>
        <v>176600</v>
      </c>
      <c r="E548" t="str">
        <f ca="1">IF(I548=1,IF(RAND()&lt;0.95,"Piped Water",F_Baseline_data!E548),F_Baseline_data!E548)</f>
        <v>Piped Water</v>
      </c>
      <c r="F548">
        <f t="shared" ca="1" si="16"/>
        <v>7</v>
      </c>
      <c r="G548">
        <v>12.9</v>
      </c>
      <c r="H548">
        <f ca="1">MAX(0,ROUND(F_Baseline_data!H548+(F_Baseline_data!C548-5)*200+(D548-30000)*0.015+(F548-50)*15-IF(I548=1,1200,0)+_xlfn.NORM.INV(RAND(),0,2500),-2))</f>
        <v>10400</v>
      </c>
      <c r="I548">
        <v>1</v>
      </c>
      <c r="J548">
        <f>1</f>
        <v>1</v>
      </c>
      <c r="K548">
        <f>1</f>
        <v>1</v>
      </c>
      <c r="L548">
        <v>0</v>
      </c>
      <c r="M548">
        <f t="shared" ca="1" si="17"/>
        <v>0.10023318168867867</v>
      </c>
      <c r="N548">
        <v>0</v>
      </c>
      <c r="O548">
        <v>0</v>
      </c>
      <c r="P548">
        <v>0</v>
      </c>
    </row>
    <row r="549" spans="1:16" x14ac:dyDescent="0.3">
      <c r="A549" t="s">
        <v>661</v>
      </c>
      <c r="B549" t="s">
        <v>65</v>
      </c>
      <c r="C549">
        <f ca="1">IF(RAND()&lt;0.8,F_Baseline_data!C549,IF(RAND()&lt;0.85,F_Baseline_data!C549+1,IF(F_Baseline_data!C549&gt;3,C549-1,F_Baseline_data!C549)))</f>
        <v>3</v>
      </c>
      <c r="D549">
        <f ca="1">MAX(5000,ROUND(F_Baseline_data!D549*(1+_xlfn.NORM.INV(RAND(),0.12,0.1)),-2))</f>
        <v>24100</v>
      </c>
      <c r="E549" t="str">
        <f ca="1">IF(I549=1,IF(RAND()&lt;0.95,"Piped Water",F_Baseline_data!E549),F_Baseline_data!E549)</f>
        <v>Piped Water</v>
      </c>
      <c r="F549">
        <f t="shared" ca="1" si="16"/>
        <v>1</v>
      </c>
      <c r="G549">
        <v>2.7</v>
      </c>
      <c r="H549">
        <f ca="1">MAX(0,ROUND(F_Baseline_data!H549+(F_Baseline_data!C549-5)*200+(D549-30000)*0.015+(F549-50)*15-IF(I549=1,1200,0)+_xlfn.NORM.INV(RAND(),0,2500),-2))</f>
        <v>0</v>
      </c>
      <c r="I549">
        <v>1</v>
      </c>
      <c r="J549">
        <f>1</f>
        <v>1</v>
      </c>
      <c r="K549">
        <f>1</f>
        <v>1</v>
      </c>
      <c r="L549">
        <v>0</v>
      </c>
      <c r="M549">
        <f t="shared" ca="1" si="17"/>
        <v>0.97651196257190176</v>
      </c>
      <c r="N549">
        <v>0</v>
      </c>
      <c r="O549">
        <v>0</v>
      </c>
      <c r="P549">
        <v>0</v>
      </c>
    </row>
    <row r="550" spans="1:16" x14ac:dyDescent="0.3">
      <c r="A550" t="s">
        <v>662</v>
      </c>
      <c r="B550" t="s">
        <v>64</v>
      </c>
      <c r="C550">
        <f ca="1">IF(RAND()&lt;0.8,F_Baseline_data!C550,IF(RAND()&lt;0.85,F_Baseline_data!C550+1,IF(F_Baseline_data!C550&gt;3,C550-1,F_Baseline_data!C550)))</f>
        <v>3</v>
      </c>
      <c r="D550">
        <f ca="1">MAX(5000,ROUND(F_Baseline_data!D550*(1+_xlfn.NORM.INV(RAND(),0.12,0.1)),-2))</f>
        <v>35700</v>
      </c>
      <c r="E550" t="str">
        <f ca="1">IF(I550=1,IF(RAND()&lt;0.95,"Piped Water",F_Baseline_data!E550),F_Baseline_data!E550)</f>
        <v>Piped Water</v>
      </c>
      <c r="F550">
        <f t="shared" ca="1" si="16"/>
        <v>0</v>
      </c>
      <c r="G550">
        <v>11.9</v>
      </c>
      <c r="H550">
        <f ca="1">MAX(0,ROUND(F_Baseline_data!H550+(F_Baseline_data!C550-5)*200+(D550-30000)*0.015+(F550-50)*15-IF(I550=1,1200,0)+_xlfn.NORM.INV(RAND(),0,2500),-2))</f>
        <v>2600</v>
      </c>
      <c r="I550">
        <v>1</v>
      </c>
      <c r="J550">
        <f>1</f>
        <v>1</v>
      </c>
      <c r="K550">
        <f>1</f>
        <v>1</v>
      </c>
      <c r="L550">
        <v>0</v>
      </c>
      <c r="M550">
        <f t="shared" ca="1" si="17"/>
        <v>0.15975370250212606</v>
      </c>
      <c r="N550">
        <v>0</v>
      </c>
      <c r="O550">
        <v>0</v>
      </c>
      <c r="P550">
        <v>0</v>
      </c>
    </row>
    <row r="551" spans="1:16" x14ac:dyDescent="0.3">
      <c r="A551" t="s">
        <v>663</v>
      </c>
      <c r="B551" t="s">
        <v>65</v>
      </c>
      <c r="C551">
        <f ca="1">IF(RAND()&lt;0.8,F_Baseline_data!C551,IF(RAND()&lt;0.85,F_Baseline_data!C551+1,IF(F_Baseline_data!C551&gt;3,C551-1,F_Baseline_data!C551)))</f>
        <v>8</v>
      </c>
      <c r="D551">
        <f ca="1">MAX(5000,ROUND(F_Baseline_data!D551*(1+_xlfn.NORM.INV(RAND(),0.12,0.1)),-2))</f>
        <v>74800</v>
      </c>
      <c r="E551" t="str">
        <f ca="1">IF(I551=1,IF(RAND()&lt;0.95,"Piped Water",F_Baseline_data!E551),F_Baseline_data!E551)</f>
        <v>Piped Water</v>
      </c>
      <c r="F551">
        <f t="shared" ca="1" si="16"/>
        <v>10</v>
      </c>
      <c r="G551">
        <v>9.1999999999999993</v>
      </c>
      <c r="H551">
        <f ca="1">MAX(0,ROUND(F_Baseline_data!H551+(F_Baseline_data!C551-5)*200+(D551-30000)*0.015+(F551-50)*15-IF(I551=1,1200,0)+_xlfn.NORM.INV(RAND(),0,2500),-2))</f>
        <v>8100</v>
      </c>
      <c r="I551">
        <v>1</v>
      </c>
      <c r="J551">
        <f>1</f>
        <v>1</v>
      </c>
      <c r="K551">
        <f>1</f>
        <v>1</v>
      </c>
      <c r="L551">
        <v>0</v>
      </c>
      <c r="M551">
        <f t="shared" ca="1" si="17"/>
        <v>0.33488442922630357</v>
      </c>
      <c r="N551">
        <v>0</v>
      </c>
      <c r="O551">
        <v>0</v>
      </c>
      <c r="P551">
        <v>0</v>
      </c>
    </row>
    <row r="552" spans="1:16" x14ac:dyDescent="0.3">
      <c r="A552" t="s">
        <v>664</v>
      </c>
      <c r="B552" t="s">
        <v>513</v>
      </c>
      <c r="C552">
        <f ca="1">IF(RAND()&lt;0.8,F_Baseline_data!C552,IF(RAND()&lt;0.85,F_Baseline_data!C552+1,IF(F_Baseline_data!C552&gt;3,C552-1,F_Baseline_data!C552)))</f>
        <v>5</v>
      </c>
      <c r="D552">
        <f ca="1">MAX(5000,ROUND(F_Baseline_data!D552*(1+_xlfn.NORM.INV(RAND(),0.12,0.1)),-2))</f>
        <v>63800</v>
      </c>
      <c r="E552" t="str">
        <f ca="1">IF(I552=1,IF(RAND()&lt;0.95,"Piped Water",F_Baseline_data!E552),F_Baseline_data!E552)</f>
        <v>Piped Water</v>
      </c>
      <c r="F552">
        <f t="shared" ca="1" si="16"/>
        <v>6</v>
      </c>
      <c r="G552">
        <v>1.9</v>
      </c>
      <c r="H552">
        <f ca="1">MAX(0,ROUND(F_Baseline_data!H552+(F_Baseline_data!C552-5)*200+(D552-30000)*0.015+(F552-50)*15-IF(I552=1,1200,0)+_xlfn.NORM.INV(RAND(),0,2500),-2))</f>
        <v>3600</v>
      </c>
      <c r="I552">
        <v>1</v>
      </c>
      <c r="J552">
        <f>1</f>
        <v>1</v>
      </c>
      <c r="K552">
        <f>1</f>
        <v>1</v>
      </c>
      <c r="L552">
        <v>0</v>
      </c>
      <c r="M552">
        <f t="shared" ca="1" si="17"/>
        <v>0.65600046437610526</v>
      </c>
      <c r="N552">
        <v>0</v>
      </c>
      <c r="O552">
        <v>0</v>
      </c>
      <c r="P552">
        <v>0</v>
      </c>
    </row>
    <row r="553" spans="1:16" x14ac:dyDescent="0.3">
      <c r="A553" t="s">
        <v>665</v>
      </c>
      <c r="B553" t="s">
        <v>62</v>
      </c>
      <c r="C553">
        <f ca="1">IF(RAND()&lt;0.8,F_Baseline_data!C553,IF(RAND()&lt;0.85,F_Baseline_data!C553+1,IF(F_Baseline_data!C553&gt;3,C553-1,F_Baseline_data!C553)))</f>
        <v>7</v>
      </c>
      <c r="D553">
        <f ca="1">MAX(5000,ROUND(F_Baseline_data!D553*(1+_xlfn.NORM.INV(RAND(),0.12,0.1)),-2))</f>
        <v>26600</v>
      </c>
      <c r="E553" t="str">
        <f ca="1">IF(I553=1,IF(RAND()&lt;0.95,"Piped Water",F_Baseline_data!E553),F_Baseline_data!E553)</f>
        <v>Piped Water</v>
      </c>
      <c r="F553">
        <f t="shared" ca="1" si="16"/>
        <v>5</v>
      </c>
      <c r="G553">
        <v>1.1000000000000001</v>
      </c>
      <c r="H553">
        <f ca="1">MAX(0,ROUND(F_Baseline_data!H553+(F_Baseline_data!C553-5)*200+(D553-30000)*0.015+(F553-50)*15-IF(I553=1,1200,0)+_xlfn.NORM.INV(RAND(),0,2500),-2))</f>
        <v>0</v>
      </c>
      <c r="I553">
        <v>1</v>
      </c>
      <c r="J553">
        <f>1</f>
        <v>1</v>
      </c>
      <c r="K553">
        <f>1</f>
        <v>1</v>
      </c>
      <c r="L553">
        <v>0</v>
      </c>
      <c r="M553">
        <f t="shared" ca="1" si="17"/>
        <v>0.76620834587694908</v>
      </c>
      <c r="N553">
        <v>0</v>
      </c>
      <c r="O553">
        <v>0</v>
      </c>
      <c r="P553">
        <v>0</v>
      </c>
    </row>
    <row r="554" spans="1:16" x14ac:dyDescent="0.3">
      <c r="A554" t="s">
        <v>666</v>
      </c>
      <c r="B554" t="s">
        <v>64</v>
      </c>
      <c r="C554">
        <f ca="1">IF(RAND()&lt;0.8,F_Baseline_data!C554,IF(RAND()&lt;0.85,F_Baseline_data!C554+1,IF(F_Baseline_data!C554&gt;3,C554-1,F_Baseline_data!C554)))</f>
        <v>7</v>
      </c>
      <c r="D554">
        <f ca="1">MAX(5000,ROUND(F_Baseline_data!D554*(1+_xlfn.NORM.INV(RAND(),0.12,0.1)),-2))</f>
        <v>25300</v>
      </c>
      <c r="E554" t="str">
        <f ca="1">IF(I554=1,IF(RAND()&lt;0.95,"Piped Water",F_Baseline_data!E554),F_Baseline_data!E554)</f>
        <v>Piped Water</v>
      </c>
      <c r="F554">
        <f t="shared" ca="1" si="16"/>
        <v>9</v>
      </c>
      <c r="G554">
        <v>2.8</v>
      </c>
      <c r="H554">
        <f ca="1">MAX(0,ROUND(F_Baseline_data!H554+(F_Baseline_data!C554-5)*200+(D554-30000)*0.015+(F554-50)*15-IF(I554=1,1200,0)+_xlfn.NORM.INV(RAND(),0,2500),-2))</f>
        <v>4500</v>
      </c>
      <c r="I554">
        <v>1</v>
      </c>
      <c r="J554">
        <f>1</f>
        <v>1</v>
      </c>
      <c r="K554">
        <f>1</f>
        <v>1</v>
      </c>
      <c r="L554">
        <v>0</v>
      </c>
      <c r="M554">
        <f t="shared" ca="1" si="17"/>
        <v>0.69503455315784657</v>
      </c>
      <c r="N554">
        <v>0</v>
      </c>
      <c r="O554">
        <v>0</v>
      </c>
      <c r="P554">
        <v>0</v>
      </c>
    </row>
    <row r="555" spans="1:16" x14ac:dyDescent="0.3">
      <c r="A555" t="s">
        <v>667</v>
      </c>
      <c r="B555" t="s">
        <v>62</v>
      </c>
      <c r="C555">
        <f ca="1">IF(RAND()&lt;0.8,F_Baseline_data!C555,IF(RAND()&lt;0.85,F_Baseline_data!C555+1,IF(F_Baseline_data!C555&gt;3,C555-1,F_Baseline_data!C555)))</f>
        <v>4</v>
      </c>
      <c r="D555">
        <f ca="1">MAX(5000,ROUND(F_Baseline_data!D555*(1+_xlfn.NORM.INV(RAND(),0.12,0.1)),-2))</f>
        <v>83900</v>
      </c>
      <c r="E555" t="str">
        <f ca="1">IF(I555=1,IF(RAND()&lt;0.95,"Piped Water",F_Baseline_data!E555),F_Baseline_data!E555)</f>
        <v>Piped Water</v>
      </c>
      <c r="F555">
        <f t="shared" ca="1" si="16"/>
        <v>10</v>
      </c>
      <c r="G555">
        <v>6.9</v>
      </c>
      <c r="H555">
        <f ca="1">MAX(0,ROUND(F_Baseline_data!H555+(F_Baseline_data!C555-5)*200+(D555-30000)*0.015+(F555-50)*15-IF(I555=1,1200,0)+_xlfn.NORM.INV(RAND(),0,2500),-2))</f>
        <v>700</v>
      </c>
      <c r="I555">
        <v>1</v>
      </c>
      <c r="J555">
        <f>1</f>
        <v>1</v>
      </c>
      <c r="K555">
        <f>1</f>
        <v>1</v>
      </c>
      <c r="L555">
        <v>0</v>
      </c>
      <c r="M555">
        <f t="shared" ca="1" si="17"/>
        <v>0.50040565130213033</v>
      </c>
      <c r="N555">
        <v>0</v>
      </c>
      <c r="O555">
        <v>0</v>
      </c>
      <c r="P555">
        <v>0</v>
      </c>
    </row>
    <row r="556" spans="1:16" x14ac:dyDescent="0.3">
      <c r="A556" t="s">
        <v>668</v>
      </c>
      <c r="B556" t="s">
        <v>65</v>
      </c>
      <c r="C556">
        <f ca="1">IF(RAND()&lt;0.8,F_Baseline_data!C556,IF(RAND()&lt;0.85,F_Baseline_data!C556+1,IF(F_Baseline_data!C556&gt;3,C556-1,F_Baseline_data!C556)))</f>
        <v>9</v>
      </c>
      <c r="D556">
        <f ca="1">MAX(5000,ROUND(F_Baseline_data!D556*(1+_xlfn.NORM.INV(RAND(),0.12,0.1)),-2))</f>
        <v>68600</v>
      </c>
      <c r="E556" t="str">
        <f ca="1">IF(I556=1,IF(RAND()&lt;0.95,"Piped Water",F_Baseline_data!E556),F_Baseline_data!E556)</f>
        <v>Piped Water</v>
      </c>
      <c r="F556">
        <f t="shared" ca="1" si="16"/>
        <v>2</v>
      </c>
      <c r="G556">
        <v>13.9</v>
      </c>
      <c r="H556">
        <f ca="1">MAX(0,ROUND(F_Baseline_data!H556+(F_Baseline_data!C556-5)*200+(D556-30000)*0.015+(F556-50)*15-IF(I556=1,1200,0)+_xlfn.NORM.INV(RAND(),0,2500),-2))</f>
        <v>14000</v>
      </c>
      <c r="I556">
        <v>1</v>
      </c>
      <c r="J556">
        <f>1</f>
        <v>1</v>
      </c>
      <c r="K556">
        <f>1</f>
        <v>1</v>
      </c>
      <c r="L556">
        <v>0</v>
      </c>
      <c r="M556">
        <f t="shared" ca="1" si="17"/>
        <v>0.99306633968676516</v>
      </c>
      <c r="N556">
        <v>0</v>
      </c>
      <c r="O556">
        <v>0</v>
      </c>
      <c r="P556">
        <v>0</v>
      </c>
    </row>
    <row r="557" spans="1:16" x14ac:dyDescent="0.3">
      <c r="A557" t="s">
        <v>669</v>
      </c>
      <c r="B557" t="s">
        <v>62</v>
      </c>
      <c r="C557">
        <f ca="1">IF(RAND()&lt;0.8,F_Baseline_data!C557,IF(RAND()&lt;0.85,F_Baseline_data!C557+1,IF(F_Baseline_data!C557&gt;3,C557-1,F_Baseline_data!C557)))</f>
        <v>10</v>
      </c>
      <c r="D557">
        <f ca="1">MAX(5000,ROUND(F_Baseline_data!D557*(1+_xlfn.NORM.INV(RAND(),0.12,0.1)),-2))</f>
        <v>82200</v>
      </c>
      <c r="E557" t="str">
        <f ca="1">IF(I557=1,IF(RAND()&lt;0.95,"Piped Water",F_Baseline_data!E557),F_Baseline_data!E557)</f>
        <v>Piped Water</v>
      </c>
      <c r="F557">
        <f t="shared" ca="1" si="16"/>
        <v>4</v>
      </c>
      <c r="G557">
        <v>2.7</v>
      </c>
      <c r="H557">
        <f ca="1">MAX(0,ROUND(F_Baseline_data!H557+(F_Baseline_data!C557-5)*200+(D557-30000)*0.015+(F557-50)*15-IF(I557=1,1200,0)+_xlfn.NORM.INV(RAND(),0,2500),-2))</f>
        <v>1800</v>
      </c>
      <c r="I557">
        <v>1</v>
      </c>
      <c r="J557">
        <f>1</f>
        <v>1</v>
      </c>
      <c r="K557">
        <f>1</f>
        <v>1</v>
      </c>
      <c r="L557">
        <v>0</v>
      </c>
      <c r="M557">
        <f t="shared" ca="1" si="17"/>
        <v>0.35906026459952822</v>
      </c>
      <c r="N557">
        <v>0</v>
      </c>
      <c r="O557">
        <v>0</v>
      </c>
      <c r="P557">
        <v>0</v>
      </c>
    </row>
    <row r="558" spans="1:16" x14ac:dyDescent="0.3">
      <c r="A558" t="s">
        <v>670</v>
      </c>
      <c r="B558" t="s">
        <v>64</v>
      </c>
      <c r="C558">
        <f ca="1">IF(RAND()&lt;0.8,F_Baseline_data!C558,IF(RAND()&lt;0.85,F_Baseline_data!C558+1,IF(F_Baseline_data!C558&gt;3,C558-1,F_Baseline_data!C558)))</f>
        <v>10</v>
      </c>
      <c r="D558">
        <f ca="1">MAX(5000,ROUND(F_Baseline_data!D558*(1+_xlfn.NORM.INV(RAND(),0.12,0.1)),-2))</f>
        <v>49700</v>
      </c>
      <c r="E558" t="str">
        <f ca="1">IF(I558=1,IF(RAND()&lt;0.95,"Piped Water",F_Baseline_data!E558),F_Baseline_data!E558)</f>
        <v>Piped Water</v>
      </c>
      <c r="F558">
        <f t="shared" ca="1" si="16"/>
        <v>7</v>
      </c>
      <c r="G558">
        <v>8.6</v>
      </c>
      <c r="H558">
        <f ca="1">MAX(0,ROUND(F_Baseline_data!H558+(F_Baseline_data!C558-5)*200+(D558-30000)*0.015+(F558-50)*15-IF(I558=1,1200,0)+_xlfn.NORM.INV(RAND(),0,2500),-2))</f>
        <v>10700</v>
      </c>
      <c r="I558">
        <v>1</v>
      </c>
      <c r="J558">
        <f>1</f>
        <v>1</v>
      </c>
      <c r="K558">
        <f>1</f>
        <v>1</v>
      </c>
      <c r="L558">
        <v>0</v>
      </c>
      <c r="M558">
        <f t="shared" ca="1" si="17"/>
        <v>0.23206676350429101</v>
      </c>
      <c r="N558">
        <v>0</v>
      </c>
      <c r="O558">
        <v>0</v>
      </c>
      <c r="P558">
        <v>0</v>
      </c>
    </row>
    <row r="559" spans="1:16" x14ac:dyDescent="0.3">
      <c r="A559" t="s">
        <v>671</v>
      </c>
      <c r="B559" t="s">
        <v>513</v>
      </c>
      <c r="C559">
        <f ca="1">IF(RAND()&lt;0.8,F_Baseline_data!C559,IF(RAND()&lt;0.85,F_Baseline_data!C559+1,IF(F_Baseline_data!C559&gt;3,C559-1,F_Baseline_data!C559)))</f>
        <v>9</v>
      </c>
      <c r="D559">
        <f ca="1">MAX(5000,ROUND(F_Baseline_data!D559*(1+_xlfn.NORM.INV(RAND(),0.12,0.1)),-2))</f>
        <v>39300</v>
      </c>
      <c r="E559" t="str">
        <f ca="1">IF(I559=1,IF(RAND()&lt;0.95,"Piped Water",F_Baseline_data!E559),F_Baseline_data!E559)</f>
        <v>Piped Water</v>
      </c>
      <c r="F559">
        <f t="shared" ca="1" si="16"/>
        <v>9</v>
      </c>
      <c r="G559">
        <v>2.2000000000000002</v>
      </c>
      <c r="H559">
        <f ca="1">MAX(0,ROUND(F_Baseline_data!H559+(F_Baseline_data!C559-5)*200+(D559-30000)*0.015+(F559-50)*15-IF(I559=1,1200,0)+_xlfn.NORM.INV(RAND(),0,2500),-2))</f>
        <v>10500</v>
      </c>
      <c r="I559">
        <v>1</v>
      </c>
      <c r="J559">
        <f>1</f>
        <v>1</v>
      </c>
      <c r="K559">
        <f>1</f>
        <v>1</v>
      </c>
      <c r="L559">
        <v>0</v>
      </c>
      <c r="M559">
        <f t="shared" ca="1" si="17"/>
        <v>0.98911272896980051</v>
      </c>
      <c r="N559">
        <v>0</v>
      </c>
      <c r="O559">
        <v>0</v>
      </c>
      <c r="P559">
        <v>0</v>
      </c>
    </row>
    <row r="560" spans="1:16" x14ac:dyDescent="0.3">
      <c r="A560" t="s">
        <v>672</v>
      </c>
      <c r="B560" t="s">
        <v>65</v>
      </c>
      <c r="C560">
        <f ca="1">IF(RAND()&lt;0.8,F_Baseline_data!C560,IF(RAND()&lt;0.85,F_Baseline_data!C560+1,IF(F_Baseline_data!C560&gt;3,C560-1,F_Baseline_data!C560)))</f>
        <v>7</v>
      </c>
      <c r="D560">
        <f ca="1">MAX(5000,ROUND(F_Baseline_data!D560*(1+_xlfn.NORM.INV(RAND(),0.12,0.1)),-2))</f>
        <v>151800</v>
      </c>
      <c r="E560" t="str">
        <f ca="1">IF(I560=1,IF(RAND()&lt;0.95,"Piped Water",F_Baseline_data!E560),F_Baseline_data!E560)</f>
        <v>Piped Water</v>
      </c>
      <c r="F560">
        <f t="shared" ca="1" si="16"/>
        <v>4</v>
      </c>
      <c r="G560">
        <v>4.7</v>
      </c>
      <c r="H560">
        <f ca="1">MAX(0,ROUND(F_Baseline_data!H560+(F_Baseline_data!C560-5)*200+(D560-30000)*0.015+(F560-50)*15-IF(I560=1,1200,0)+_xlfn.NORM.INV(RAND(),0,2500),-2))</f>
        <v>10200</v>
      </c>
      <c r="I560">
        <v>1</v>
      </c>
      <c r="J560">
        <f>1</f>
        <v>1</v>
      </c>
      <c r="K560">
        <f>1</f>
        <v>1</v>
      </c>
      <c r="L560">
        <v>0</v>
      </c>
      <c r="M560">
        <f t="shared" ca="1" si="17"/>
        <v>0.93825987745436057</v>
      </c>
      <c r="N560">
        <v>0</v>
      </c>
      <c r="O560">
        <v>0</v>
      </c>
      <c r="P560">
        <v>0</v>
      </c>
    </row>
    <row r="561" spans="1:16" x14ac:dyDescent="0.3">
      <c r="A561" t="s">
        <v>673</v>
      </c>
      <c r="B561" t="s">
        <v>513</v>
      </c>
      <c r="C561">
        <f ca="1">IF(RAND()&lt;0.8,F_Baseline_data!C561,IF(RAND()&lt;0.85,F_Baseline_data!C561+1,IF(F_Baseline_data!C561&gt;3,C561-1,F_Baseline_data!C561)))</f>
        <v>7</v>
      </c>
      <c r="D561">
        <f ca="1">MAX(5000,ROUND(F_Baseline_data!D561*(1+_xlfn.NORM.INV(RAND(),0.12,0.1)),-2))</f>
        <v>40400</v>
      </c>
      <c r="E561" t="str">
        <f ca="1">IF(I561=1,IF(RAND()&lt;0.95,"Piped Water",F_Baseline_data!E561),F_Baseline_data!E561)</f>
        <v>Piped Water</v>
      </c>
      <c r="F561">
        <f t="shared" ca="1" si="16"/>
        <v>0</v>
      </c>
      <c r="G561">
        <v>1.7</v>
      </c>
      <c r="H561">
        <f ca="1">MAX(0,ROUND(F_Baseline_data!H561+(F_Baseline_data!C561-5)*200+(D561-30000)*0.015+(F561-50)*15-IF(I561=1,1200,0)+_xlfn.NORM.INV(RAND(),0,2500),-2))</f>
        <v>3700</v>
      </c>
      <c r="I561">
        <v>1</v>
      </c>
      <c r="J561">
        <f>1</f>
        <v>1</v>
      </c>
      <c r="K561">
        <f>1</f>
        <v>1</v>
      </c>
      <c r="L561">
        <v>0</v>
      </c>
      <c r="M561">
        <f t="shared" ca="1" si="17"/>
        <v>0.36464500900986352</v>
      </c>
      <c r="N561">
        <v>0</v>
      </c>
      <c r="O561">
        <v>0</v>
      </c>
      <c r="P561">
        <v>0</v>
      </c>
    </row>
    <row r="562" spans="1:16" x14ac:dyDescent="0.3">
      <c r="A562" t="s">
        <v>674</v>
      </c>
      <c r="B562" t="s">
        <v>513</v>
      </c>
      <c r="C562">
        <f ca="1">IF(RAND()&lt;0.8,F_Baseline_data!C562,IF(RAND()&lt;0.85,F_Baseline_data!C562+1,IF(F_Baseline_data!C562&gt;3,C562-1,F_Baseline_data!C562)))</f>
        <v>4</v>
      </c>
      <c r="D562">
        <f ca="1">MAX(5000,ROUND(F_Baseline_data!D562*(1+_xlfn.NORM.INV(RAND(),0.12,0.1)),-2))</f>
        <v>63000</v>
      </c>
      <c r="E562" t="str">
        <f ca="1">IF(I562=1,IF(RAND()&lt;0.95,"Piped Water",F_Baseline_data!E562),F_Baseline_data!E562)</f>
        <v>Piped Water</v>
      </c>
      <c r="F562">
        <f t="shared" ca="1" si="16"/>
        <v>3</v>
      </c>
      <c r="G562">
        <v>2.1</v>
      </c>
      <c r="H562">
        <f ca="1">MAX(0,ROUND(F_Baseline_data!H562+(F_Baseline_data!C562-5)*200+(D562-30000)*0.015+(F562-50)*15-IF(I562=1,1200,0)+_xlfn.NORM.INV(RAND(),0,2500),-2))</f>
        <v>3300</v>
      </c>
      <c r="I562">
        <v>1</v>
      </c>
      <c r="J562">
        <f>1</f>
        <v>1</v>
      </c>
      <c r="K562">
        <f>1</f>
        <v>1</v>
      </c>
      <c r="L562">
        <v>0</v>
      </c>
      <c r="M562">
        <f t="shared" ca="1" si="17"/>
        <v>0.81971061039943616</v>
      </c>
      <c r="N562">
        <v>0</v>
      </c>
      <c r="O562">
        <v>0</v>
      </c>
      <c r="P562">
        <v>0</v>
      </c>
    </row>
    <row r="563" spans="1:16" x14ac:dyDescent="0.3">
      <c r="A563" t="s">
        <v>675</v>
      </c>
      <c r="B563" t="s">
        <v>64</v>
      </c>
      <c r="C563">
        <f ca="1">IF(RAND()&lt;0.8,F_Baseline_data!C563,IF(RAND()&lt;0.85,F_Baseline_data!C563+1,IF(F_Baseline_data!C563&gt;3,C563-1,F_Baseline_data!C563)))</f>
        <v>8</v>
      </c>
      <c r="D563">
        <f ca="1">MAX(5000,ROUND(F_Baseline_data!D563*(1+_xlfn.NORM.INV(RAND(),0.12,0.1)),-2))</f>
        <v>56300</v>
      </c>
      <c r="E563" t="str">
        <f ca="1">IF(I563=1,IF(RAND()&lt;0.95,"Piped Water",F_Baseline_data!E563),F_Baseline_data!E563)</f>
        <v>Piped Water</v>
      </c>
      <c r="F563">
        <f t="shared" ca="1" si="16"/>
        <v>8</v>
      </c>
      <c r="G563">
        <v>10</v>
      </c>
      <c r="H563">
        <f ca="1">MAX(0,ROUND(F_Baseline_data!H563+(F_Baseline_data!C563-5)*200+(D563-30000)*0.015+(F563-50)*15-IF(I563=1,1200,0)+_xlfn.NORM.INV(RAND(),0,2500),-2))</f>
        <v>3100</v>
      </c>
      <c r="I563">
        <v>1</v>
      </c>
      <c r="J563">
        <f>1</f>
        <v>1</v>
      </c>
      <c r="K563">
        <f>1</f>
        <v>1</v>
      </c>
      <c r="L563">
        <v>0</v>
      </c>
      <c r="M563">
        <f t="shared" ca="1" si="17"/>
        <v>0.37778158592811817</v>
      </c>
      <c r="N563">
        <v>0</v>
      </c>
      <c r="O563">
        <v>0</v>
      </c>
      <c r="P563">
        <v>0</v>
      </c>
    </row>
    <row r="564" spans="1:16" x14ac:dyDescent="0.3">
      <c r="A564" t="s">
        <v>676</v>
      </c>
      <c r="B564" t="s">
        <v>513</v>
      </c>
      <c r="C564">
        <f ca="1">IF(RAND()&lt;0.8,F_Baseline_data!C564,IF(RAND()&lt;0.85,F_Baseline_data!C564+1,IF(F_Baseline_data!C564&gt;3,C564-1,F_Baseline_data!C564)))</f>
        <v>5</v>
      </c>
      <c r="D564">
        <f ca="1">MAX(5000,ROUND(F_Baseline_data!D564*(1+_xlfn.NORM.INV(RAND(),0.12,0.1)),-2))</f>
        <v>35600</v>
      </c>
      <c r="E564" t="str">
        <f ca="1">IF(I564=1,IF(RAND()&lt;0.95,"Piped Water",F_Baseline_data!E564),F_Baseline_data!E564)</f>
        <v>Piped Water</v>
      </c>
      <c r="F564">
        <f t="shared" ca="1" si="16"/>
        <v>1</v>
      </c>
      <c r="G564">
        <v>0.6</v>
      </c>
      <c r="H564">
        <f ca="1">MAX(0,ROUND(F_Baseline_data!H564+(F_Baseline_data!C564-5)*200+(D564-30000)*0.015+(F564-50)*15-IF(I564=1,1200,0)+_xlfn.NORM.INV(RAND(),0,2500),-2))</f>
        <v>10800</v>
      </c>
      <c r="I564">
        <v>1</v>
      </c>
      <c r="J564">
        <f>1</f>
        <v>1</v>
      </c>
      <c r="K564">
        <f>1</f>
        <v>1</v>
      </c>
      <c r="L564">
        <v>0</v>
      </c>
      <c r="M564">
        <f t="shared" ca="1" si="17"/>
        <v>0.54636508416095975</v>
      </c>
      <c r="N564">
        <v>0</v>
      </c>
      <c r="O564">
        <v>0</v>
      </c>
      <c r="P564">
        <v>0</v>
      </c>
    </row>
    <row r="565" spans="1:16" x14ac:dyDescent="0.3">
      <c r="A565" t="s">
        <v>677</v>
      </c>
      <c r="B565" t="s">
        <v>62</v>
      </c>
      <c r="C565">
        <f ca="1">IF(RAND()&lt;0.8,F_Baseline_data!C565,IF(RAND()&lt;0.85,F_Baseline_data!C565+1,IF(F_Baseline_data!C565&gt;3,C565-1,F_Baseline_data!C565)))</f>
        <v>4</v>
      </c>
      <c r="D565">
        <f ca="1">MAX(5000,ROUND(F_Baseline_data!D565*(1+_xlfn.NORM.INV(RAND(),0.12,0.1)),-2))</f>
        <v>41400</v>
      </c>
      <c r="E565" t="str">
        <f ca="1">IF(I565=1,IF(RAND()&lt;0.95,"Piped Water",F_Baseline_data!E565),F_Baseline_data!E565)</f>
        <v>Piped Water</v>
      </c>
      <c r="F565">
        <f t="shared" ca="1" si="16"/>
        <v>6</v>
      </c>
      <c r="G565">
        <v>5.6</v>
      </c>
      <c r="H565">
        <f ca="1">MAX(0,ROUND(F_Baseline_data!H565+(F_Baseline_data!C565-5)*200+(D565-30000)*0.015+(F565-50)*15-IF(I565=1,1200,0)+_xlfn.NORM.INV(RAND(),0,2500),-2))</f>
        <v>6500</v>
      </c>
      <c r="I565">
        <v>1</v>
      </c>
      <c r="J565">
        <f>1</f>
        <v>1</v>
      </c>
      <c r="K565">
        <f>1</f>
        <v>1</v>
      </c>
      <c r="L565">
        <v>0</v>
      </c>
      <c r="M565">
        <f t="shared" ca="1" si="17"/>
        <v>0.95823785797005201</v>
      </c>
      <c r="N565">
        <v>0</v>
      </c>
      <c r="O565">
        <v>0</v>
      </c>
      <c r="P565">
        <v>0</v>
      </c>
    </row>
    <row r="566" spans="1:16" x14ac:dyDescent="0.3">
      <c r="A566" t="s">
        <v>678</v>
      </c>
      <c r="B566" t="s">
        <v>513</v>
      </c>
      <c r="C566">
        <f ca="1">IF(RAND()&lt;0.8,F_Baseline_data!C566,IF(RAND()&lt;0.85,F_Baseline_data!C566+1,IF(F_Baseline_data!C566&gt;3,C566-1,F_Baseline_data!C566)))</f>
        <v>7</v>
      </c>
      <c r="D566">
        <f ca="1">MAX(5000,ROUND(F_Baseline_data!D566*(1+_xlfn.NORM.INV(RAND(),0.12,0.1)),-2))</f>
        <v>39900</v>
      </c>
      <c r="E566" t="str">
        <f ca="1">IF(I566=1,IF(RAND()&lt;0.95,"Piped Water",F_Baseline_data!E566),F_Baseline_data!E566)</f>
        <v>Piped Water</v>
      </c>
      <c r="F566">
        <f t="shared" ca="1" si="16"/>
        <v>3</v>
      </c>
      <c r="G566">
        <v>3.8</v>
      </c>
      <c r="H566">
        <f ca="1">MAX(0,ROUND(F_Baseline_data!H566+(F_Baseline_data!C566-5)*200+(D566-30000)*0.015+(F566-50)*15-IF(I566=1,1200,0)+_xlfn.NORM.INV(RAND(),0,2500),-2))</f>
        <v>0</v>
      </c>
      <c r="I566">
        <v>1</v>
      </c>
      <c r="J566">
        <f>1</f>
        <v>1</v>
      </c>
      <c r="K566">
        <f>1</f>
        <v>1</v>
      </c>
      <c r="L566">
        <v>0</v>
      </c>
      <c r="M566">
        <f t="shared" ca="1" si="17"/>
        <v>6.4611937514755691E-2</v>
      </c>
      <c r="N566">
        <v>0</v>
      </c>
      <c r="O566">
        <v>0</v>
      </c>
      <c r="P566">
        <v>0</v>
      </c>
    </row>
    <row r="567" spans="1:16" x14ac:dyDescent="0.3">
      <c r="A567" t="s">
        <v>679</v>
      </c>
      <c r="B567" t="s">
        <v>64</v>
      </c>
      <c r="C567">
        <f ca="1">IF(RAND()&lt;0.8,F_Baseline_data!C567,IF(RAND()&lt;0.85,F_Baseline_data!C567+1,IF(F_Baseline_data!C567&gt;3,C567-1,F_Baseline_data!C567)))</f>
        <v>4</v>
      </c>
      <c r="D567">
        <f ca="1">MAX(5000,ROUND(F_Baseline_data!D567*(1+_xlfn.NORM.INV(RAND(),0.12,0.1)),-2))</f>
        <v>38200</v>
      </c>
      <c r="E567" t="str">
        <f ca="1">IF(I567=1,IF(RAND()&lt;0.95,"Piped Water",F_Baseline_data!E567),F_Baseline_data!E567)</f>
        <v>Piped Water</v>
      </c>
      <c r="F567">
        <f t="shared" ca="1" si="16"/>
        <v>8</v>
      </c>
      <c r="G567">
        <v>2.8</v>
      </c>
      <c r="H567">
        <f ca="1">MAX(0,ROUND(F_Baseline_data!H567+(F_Baseline_data!C567-5)*200+(D567-30000)*0.015+(F567-50)*15-IF(I567=1,1200,0)+_xlfn.NORM.INV(RAND(),0,2500),-2))</f>
        <v>9000</v>
      </c>
      <c r="I567">
        <v>1</v>
      </c>
      <c r="J567">
        <f>1</f>
        <v>1</v>
      </c>
      <c r="K567">
        <f>1</f>
        <v>1</v>
      </c>
      <c r="L567">
        <v>0</v>
      </c>
      <c r="M567">
        <f t="shared" ca="1" si="17"/>
        <v>0.95614270024093218</v>
      </c>
      <c r="N567">
        <v>0</v>
      </c>
      <c r="O567">
        <v>0</v>
      </c>
      <c r="P567">
        <v>0</v>
      </c>
    </row>
    <row r="568" spans="1:16" x14ac:dyDescent="0.3">
      <c r="A568" t="s">
        <v>680</v>
      </c>
      <c r="B568" t="s">
        <v>64</v>
      </c>
      <c r="C568">
        <f ca="1">IF(RAND()&lt;0.8,F_Baseline_data!C568,IF(RAND()&lt;0.85,F_Baseline_data!C568+1,IF(F_Baseline_data!C568&gt;3,C568-1,F_Baseline_data!C568)))</f>
        <v>4</v>
      </c>
      <c r="D568">
        <f ca="1">MAX(5000,ROUND(F_Baseline_data!D568*(1+_xlfn.NORM.INV(RAND(),0.12,0.1)),-2))</f>
        <v>52200</v>
      </c>
      <c r="E568" t="str">
        <f ca="1">IF(I568=1,IF(RAND()&lt;0.95,"Piped Water",F_Baseline_data!E568),F_Baseline_data!E568)</f>
        <v>Piped Water</v>
      </c>
      <c r="F568">
        <f t="shared" ca="1" si="16"/>
        <v>4</v>
      </c>
      <c r="G568">
        <v>9.6</v>
      </c>
      <c r="H568">
        <f ca="1">MAX(0,ROUND(F_Baseline_data!H568+(F_Baseline_data!C568-5)*200+(D568-30000)*0.015+(F568-50)*15-IF(I568=1,1200,0)+_xlfn.NORM.INV(RAND(),0,2500),-2))</f>
        <v>6300</v>
      </c>
      <c r="I568">
        <v>1</v>
      </c>
      <c r="J568">
        <f>1</f>
        <v>1</v>
      </c>
      <c r="K568">
        <f>1</f>
        <v>1</v>
      </c>
      <c r="L568">
        <v>0</v>
      </c>
      <c r="M568">
        <f t="shared" ca="1" si="17"/>
        <v>0.58925691206295416</v>
      </c>
      <c r="N568">
        <v>0</v>
      </c>
      <c r="O568">
        <v>0</v>
      </c>
      <c r="P568">
        <v>0</v>
      </c>
    </row>
    <row r="569" spans="1:16" x14ac:dyDescent="0.3">
      <c r="A569" t="s">
        <v>681</v>
      </c>
      <c r="B569" t="s">
        <v>62</v>
      </c>
      <c r="C569">
        <f ca="1">IF(RAND()&lt;0.8,F_Baseline_data!C569,IF(RAND()&lt;0.85,F_Baseline_data!C569+1,IF(F_Baseline_data!C569&gt;3,C569-1,F_Baseline_data!C569)))</f>
        <v>7</v>
      </c>
      <c r="D569">
        <f ca="1">MAX(5000,ROUND(F_Baseline_data!D569*(1+_xlfn.NORM.INV(RAND(),0.12,0.1)),-2))</f>
        <v>61500</v>
      </c>
      <c r="E569" t="str">
        <f ca="1">IF(I569=1,IF(RAND()&lt;0.95,"Piped Water",F_Baseline_data!E569),F_Baseline_data!E569)</f>
        <v>Piped Water</v>
      </c>
      <c r="F569">
        <f t="shared" ca="1" si="16"/>
        <v>2</v>
      </c>
      <c r="G569">
        <v>9.1</v>
      </c>
      <c r="H569">
        <f ca="1">MAX(0,ROUND(F_Baseline_data!H569+(F_Baseline_data!C569-5)*200+(D569-30000)*0.015+(F569-50)*15-IF(I569=1,1200,0)+_xlfn.NORM.INV(RAND(),0,2500),-2))</f>
        <v>5900</v>
      </c>
      <c r="I569">
        <v>1</v>
      </c>
      <c r="J569">
        <f>1</f>
        <v>1</v>
      </c>
      <c r="K569">
        <f>1</f>
        <v>1</v>
      </c>
      <c r="L569">
        <v>0</v>
      </c>
      <c r="M569">
        <f t="shared" ca="1" si="17"/>
        <v>5.6023617520425839E-2</v>
      </c>
      <c r="N569">
        <v>0</v>
      </c>
      <c r="O569">
        <v>0</v>
      </c>
      <c r="P569">
        <v>0</v>
      </c>
    </row>
    <row r="570" spans="1:16" x14ac:dyDescent="0.3">
      <c r="A570" t="s">
        <v>682</v>
      </c>
      <c r="B570" t="s">
        <v>65</v>
      </c>
      <c r="C570">
        <f ca="1">IF(RAND()&lt;0.8,F_Baseline_data!C570,IF(RAND()&lt;0.85,F_Baseline_data!C570+1,IF(F_Baseline_data!C570&gt;3,C570-1,F_Baseline_data!C570)))</f>
        <v>3</v>
      </c>
      <c r="D570">
        <f ca="1">MAX(5000,ROUND(F_Baseline_data!D570*(1+_xlfn.NORM.INV(RAND(),0.12,0.1)),-2))</f>
        <v>49000</v>
      </c>
      <c r="E570" t="str">
        <f ca="1">IF(I570=1,IF(RAND()&lt;0.95,"Piped Water",F_Baseline_data!E570),F_Baseline_data!E570)</f>
        <v>Piped Water</v>
      </c>
      <c r="F570">
        <f t="shared" ca="1" si="16"/>
        <v>0</v>
      </c>
      <c r="G570">
        <v>2.2999999999999998</v>
      </c>
      <c r="H570">
        <f ca="1">MAX(0,ROUND(F_Baseline_data!H570+(F_Baseline_data!C570-5)*200+(D570-30000)*0.015+(F570-50)*15-IF(I570=1,1200,0)+_xlfn.NORM.INV(RAND(),0,2500),-2))</f>
        <v>7200</v>
      </c>
      <c r="I570">
        <v>1</v>
      </c>
      <c r="J570">
        <f>1</f>
        <v>1</v>
      </c>
      <c r="K570">
        <f>1</f>
        <v>1</v>
      </c>
      <c r="L570">
        <v>0</v>
      </c>
      <c r="M570">
        <f t="shared" ca="1" si="17"/>
        <v>0.98740489679719268</v>
      </c>
      <c r="N570">
        <v>0</v>
      </c>
      <c r="O570">
        <v>0</v>
      </c>
      <c r="P570">
        <v>0</v>
      </c>
    </row>
    <row r="571" spans="1:16" x14ac:dyDescent="0.3">
      <c r="A571" t="s">
        <v>683</v>
      </c>
      <c r="B571" t="s">
        <v>65</v>
      </c>
      <c r="C571">
        <f ca="1">IF(RAND()&lt;0.8,F_Baseline_data!C571,IF(RAND()&lt;0.85,F_Baseline_data!C571+1,IF(F_Baseline_data!C571&gt;3,C571-1,F_Baseline_data!C571)))</f>
        <v>7</v>
      </c>
      <c r="D571">
        <f ca="1">MAX(5000,ROUND(F_Baseline_data!D571*(1+_xlfn.NORM.INV(RAND(),0.12,0.1)),-2))</f>
        <v>38300</v>
      </c>
      <c r="E571" t="str">
        <f ca="1">IF(I571=1,IF(RAND()&lt;0.95,"Piped Water",F_Baseline_data!E571),F_Baseline_data!E571)</f>
        <v>Piped Water</v>
      </c>
      <c r="F571">
        <f t="shared" ca="1" si="16"/>
        <v>6</v>
      </c>
      <c r="G571">
        <v>4.5</v>
      </c>
      <c r="H571">
        <f ca="1">MAX(0,ROUND(F_Baseline_data!H571+(F_Baseline_data!C571-5)*200+(D571-30000)*0.015+(F571-50)*15-IF(I571=1,1200,0)+_xlfn.NORM.INV(RAND(),0,2500),-2))</f>
        <v>3400</v>
      </c>
      <c r="I571">
        <v>1</v>
      </c>
      <c r="J571">
        <f>1</f>
        <v>1</v>
      </c>
      <c r="K571">
        <f>1</f>
        <v>1</v>
      </c>
      <c r="L571">
        <v>0</v>
      </c>
      <c r="M571">
        <f t="shared" ca="1" si="17"/>
        <v>3.8992807841721655E-2</v>
      </c>
      <c r="N571">
        <v>0</v>
      </c>
      <c r="O571">
        <v>0</v>
      </c>
      <c r="P571">
        <v>0</v>
      </c>
    </row>
    <row r="572" spans="1:16" x14ac:dyDescent="0.3">
      <c r="A572" t="s">
        <v>684</v>
      </c>
      <c r="B572" t="s">
        <v>62</v>
      </c>
      <c r="C572">
        <f ca="1">IF(RAND()&lt;0.8,F_Baseline_data!C572,IF(RAND()&lt;0.85,F_Baseline_data!C572+1,IF(F_Baseline_data!C572&gt;3,C572-1,F_Baseline_data!C572)))</f>
        <v>7</v>
      </c>
      <c r="D572">
        <f ca="1">MAX(5000,ROUND(F_Baseline_data!D572*(1+_xlfn.NORM.INV(RAND(),0.12,0.1)),-2))</f>
        <v>9700</v>
      </c>
      <c r="E572" t="str">
        <f ca="1">IF(I572=1,IF(RAND()&lt;0.95,"Piped Water",F_Baseline_data!E572),F_Baseline_data!E572)</f>
        <v>Piped Water</v>
      </c>
      <c r="F572">
        <f t="shared" ca="1" si="16"/>
        <v>9</v>
      </c>
      <c r="G572">
        <v>2.9</v>
      </c>
      <c r="H572">
        <f ca="1">MAX(0,ROUND(F_Baseline_data!H572+(F_Baseline_data!C572-5)*200+(D572-30000)*0.015+(F572-50)*15-IF(I572=1,1200,0)+_xlfn.NORM.INV(RAND(),0,2500),-2))</f>
        <v>0</v>
      </c>
      <c r="I572">
        <v>1</v>
      </c>
      <c r="J572">
        <f>1</f>
        <v>1</v>
      </c>
      <c r="K572">
        <f>1</f>
        <v>1</v>
      </c>
      <c r="L572">
        <v>0</v>
      </c>
      <c r="M572">
        <f t="shared" ca="1" si="17"/>
        <v>0.44145042050332672</v>
      </c>
      <c r="N572">
        <v>0</v>
      </c>
      <c r="O572">
        <v>0</v>
      </c>
      <c r="P572">
        <v>0</v>
      </c>
    </row>
    <row r="573" spans="1:16" x14ac:dyDescent="0.3">
      <c r="A573" t="s">
        <v>685</v>
      </c>
      <c r="B573" t="s">
        <v>65</v>
      </c>
      <c r="C573">
        <f ca="1">IF(RAND()&lt;0.8,F_Baseline_data!C573,IF(RAND()&lt;0.85,F_Baseline_data!C573+1,IF(F_Baseline_data!C573&gt;3,C573-1,F_Baseline_data!C573)))</f>
        <v>7</v>
      </c>
      <c r="D573">
        <f ca="1">MAX(5000,ROUND(F_Baseline_data!D573*(1+_xlfn.NORM.INV(RAND(),0.12,0.1)),-2))</f>
        <v>117300</v>
      </c>
      <c r="E573" t="str">
        <f ca="1">IF(I573=1,IF(RAND()&lt;0.95,"Piped Water",F_Baseline_data!E573),F_Baseline_data!E573)</f>
        <v>Piped Water</v>
      </c>
      <c r="F573">
        <f t="shared" ca="1" si="16"/>
        <v>9</v>
      </c>
      <c r="G573">
        <v>3.4</v>
      </c>
      <c r="H573">
        <f ca="1">MAX(0,ROUND(F_Baseline_data!H573+(F_Baseline_data!C573-5)*200+(D573-30000)*0.015+(F573-50)*15-IF(I573=1,1200,0)+_xlfn.NORM.INV(RAND(),0,2500),-2))</f>
        <v>10500</v>
      </c>
      <c r="I573">
        <v>1</v>
      </c>
      <c r="J573">
        <f>1</f>
        <v>1</v>
      </c>
      <c r="K573">
        <f>1</f>
        <v>1</v>
      </c>
      <c r="L573">
        <v>0</v>
      </c>
      <c r="M573">
        <f t="shared" ca="1" si="17"/>
        <v>0.36010390847848384</v>
      </c>
      <c r="N573">
        <v>0</v>
      </c>
      <c r="O573">
        <v>0</v>
      </c>
      <c r="P573">
        <v>0</v>
      </c>
    </row>
    <row r="574" spans="1:16" x14ac:dyDescent="0.3">
      <c r="A574" t="s">
        <v>686</v>
      </c>
      <c r="B574" t="s">
        <v>513</v>
      </c>
      <c r="C574">
        <f ca="1">IF(RAND()&lt;0.8,F_Baseline_data!C574,IF(RAND()&lt;0.85,F_Baseline_data!C574+1,IF(F_Baseline_data!C574&gt;3,C574-1,F_Baseline_data!C574)))</f>
        <v>8</v>
      </c>
      <c r="D574">
        <f ca="1">MAX(5000,ROUND(F_Baseline_data!D574*(1+_xlfn.NORM.INV(RAND(),0.12,0.1)),-2))</f>
        <v>61200</v>
      </c>
      <c r="E574" t="str">
        <f ca="1">IF(I574=1,IF(RAND()&lt;0.95,"Piped Water",F_Baseline_data!E574),F_Baseline_data!E574)</f>
        <v>Piped Water</v>
      </c>
      <c r="F574">
        <f t="shared" ca="1" si="16"/>
        <v>6</v>
      </c>
      <c r="G574">
        <v>15</v>
      </c>
      <c r="H574">
        <f ca="1">MAX(0,ROUND(F_Baseline_data!H574+(F_Baseline_data!C574-5)*200+(D574-30000)*0.015+(F574-50)*15-IF(I574=1,1200,0)+_xlfn.NORM.INV(RAND(),0,2500),-2))</f>
        <v>2400</v>
      </c>
      <c r="I574">
        <v>1</v>
      </c>
      <c r="J574">
        <f>1</f>
        <v>1</v>
      </c>
      <c r="K574">
        <f>1</f>
        <v>1</v>
      </c>
      <c r="L574">
        <v>0</v>
      </c>
      <c r="M574">
        <f t="shared" ca="1" si="17"/>
        <v>0.40470102740101277</v>
      </c>
      <c r="N574">
        <v>0</v>
      </c>
      <c r="O574">
        <v>0</v>
      </c>
      <c r="P574">
        <v>0</v>
      </c>
    </row>
    <row r="575" spans="1:16" x14ac:dyDescent="0.3">
      <c r="A575" t="s">
        <v>687</v>
      </c>
      <c r="B575" t="s">
        <v>513</v>
      </c>
      <c r="C575">
        <f ca="1">IF(RAND()&lt;0.8,F_Baseline_data!C575,IF(RAND()&lt;0.85,F_Baseline_data!C575+1,IF(F_Baseline_data!C575&gt;3,C575-1,F_Baseline_data!C575)))</f>
        <v>7</v>
      </c>
      <c r="D575">
        <f ca="1">MAX(5000,ROUND(F_Baseline_data!D575*(1+_xlfn.NORM.INV(RAND(),0.12,0.1)),-2))</f>
        <v>79900</v>
      </c>
      <c r="E575" t="str">
        <f ca="1">IF(I575=1,IF(RAND()&lt;0.95,"Piped Water",F_Baseline_data!E575),F_Baseline_data!E575)</f>
        <v>Piped Water</v>
      </c>
      <c r="F575">
        <f t="shared" ca="1" si="16"/>
        <v>7</v>
      </c>
      <c r="G575">
        <v>14.7</v>
      </c>
      <c r="H575">
        <f ca="1">MAX(0,ROUND(F_Baseline_data!H575+(F_Baseline_data!C575-5)*200+(D575-30000)*0.015+(F575-50)*15-IF(I575=1,1200,0)+_xlfn.NORM.INV(RAND(),0,2500),-2))</f>
        <v>9500</v>
      </c>
      <c r="I575">
        <v>1</v>
      </c>
      <c r="J575">
        <f>1</f>
        <v>1</v>
      </c>
      <c r="K575">
        <f>1</f>
        <v>1</v>
      </c>
      <c r="L575">
        <v>0</v>
      </c>
      <c r="M575">
        <f t="shared" ca="1" si="17"/>
        <v>0.32595704512418322</v>
      </c>
      <c r="N575">
        <v>0</v>
      </c>
      <c r="O575">
        <v>0</v>
      </c>
      <c r="P575">
        <v>0</v>
      </c>
    </row>
    <row r="576" spans="1:16" x14ac:dyDescent="0.3">
      <c r="A576" t="s">
        <v>688</v>
      </c>
      <c r="B576" t="s">
        <v>64</v>
      </c>
      <c r="C576">
        <f ca="1">IF(RAND()&lt;0.8,F_Baseline_data!C576,IF(RAND()&lt;0.85,F_Baseline_data!C576+1,IF(F_Baseline_data!C576&gt;3,C576-1,F_Baseline_data!C576)))</f>
        <v>4</v>
      </c>
      <c r="D576">
        <f ca="1">MAX(5000,ROUND(F_Baseline_data!D576*(1+_xlfn.NORM.INV(RAND(),0.12,0.1)),-2))</f>
        <v>74200</v>
      </c>
      <c r="E576" t="str">
        <f ca="1">IF(I576=1,IF(RAND()&lt;0.95,"Piped Water",F_Baseline_data!E576),F_Baseline_data!E576)</f>
        <v>Piped Water</v>
      </c>
      <c r="F576">
        <f t="shared" ca="1" si="16"/>
        <v>0</v>
      </c>
      <c r="G576">
        <v>2.8</v>
      </c>
      <c r="H576">
        <f ca="1">MAX(0,ROUND(F_Baseline_data!H576+(F_Baseline_data!C576-5)*200+(D576-30000)*0.015+(F576-50)*15-IF(I576=1,1200,0)+_xlfn.NORM.INV(RAND(),0,2500),-2))</f>
        <v>7400</v>
      </c>
      <c r="I576">
        <v>1</v>
      </c>
      <c r="J576">
        <f>1</f>
        <v>1</v>
      </c>
      <c r="K576">
        <f>1</f>
        <v>1</v>
      </c>
      <c r="L576">
        <v>0</v>
      </c>
      <c r="M576">
        <f t="shared" ca="1" si="17"/>
        <v>2.7674954954450048E-2</v>
      </c>
      <c r="N576">
        <v>0</v>
      </c>
      <c r="O576">
        <v>0</v>
      </c>
      <c r="P576">
        <v>0</v>
      </c>
    </row>
    <row r="577" spans="1:16" x14ac:dyDescent="0.3">
      <c r="A577" t="s">
        <v>689</v>
      </c>
      <c r="B577" t="s">
        <v>513</v>
      </c>
      <c r="C577">
        <f ca="1">IF(RAND()&lt;0.8,F_Baseline_data!C577,IF(RAND()&lt;0.85,F_Baseline_data!C577+1,IF(F_Baseline_data!C577&gt;3,C577-1,F_Baseline_data!C577)))</f>
        <v>6</v>
      </c>
      <c r="D577">
        <f ca="1">MAX(5000,ROUND(F_Baseline_data!D577*(1+_xlfn.NORM.INV(RAND(),0.12,0.1)),-2))</f>
        <v>25100</v>
      </c>
      <c r="E577" t="str">
        <f ca="1">IF(I577=1,IF(RAND()&lt;0.95,"Piped Water",F_Baseline_data!E577),F_Baseline_data!E577)</f>
        <v>Piped Water</v>
      </c>
      <c r="F577">
        <f t="shared" ca="1" si="16"/>
        <v>2</v>
      </c>
      <c r="G577">
        <v>3.9</v>
      </c>
      <c r="H577">
        <f ca="1">MAX(0,ROUND(F_Baseline_data!H577+(F_Baseline_data!C577-5)*200+(D577-30000)*0.015+(F577-50)*15-IF(I577=1,1200,0)+_xlfn.NORM.INV(RAND(),0,2500),-2))</f>
        <v>300</v>
      </c>
      <c r="I577">
        <v>1</v>
      </c>
      <c r="J577">
        <f>1</f>
        <v>1</v>
      </c>
      <c r="K577">
        <f>1</f>
        <v>1</v>
      </c>
      <c r="L577">
        <v>0</v>
      </c>
      <c r="M577">
        <f t="shared" ca="1" si="17"/>
        <v>0.69344435342927846</v>
      </c>
      <c r="N577">
        <v>0</v>
      </c>
      <c r="O577">
        <v>0</v>
      </c>
      <c r="P577">
        <v>0</v>
      </c>
    </row>
    <row r="578" spans="1:16" x14ac:dyDescent="0.3">
      <c r="A578" t="s">
        <v>690</v>
      </c>
      <c r="B578" t="s">
        <v>513</v>
      </c>
      <c r="C578">
        <f ca="1">IF(RAND()&lt;0.8,F_Baseline_data!C578,IF(RAND()&lt;0.85,F_Baseline_data!C578+1,IF(F_Baseline_data!C578&gt;3,C578-1,F_Baseline_data!C578)))</f>
        <v>4</v>
      </c>
      <c r="D578">
        <f ca="1">MAX(5000,ROUND(F_Baseline_data!D578*(1+_xlfn.NORM.INV(RAND(),0.12,0.1)),-2))</f>
        <v>37000</v>
      </c>
      <c r="E578" t="str">
        <f ca="1">IF(I578=1,IF(RAND()&lt;0.95,"Piped Water",F_Baseline_data!E578),F_Baseline_data!E578)</f>
        <v>Rainwater</v>
      </c>
      <c r="F578">
        <f t="shared" ref="F578:F641" ca="1" si="18">IF(E578="Piped Water",RANDBETWEEN(0,10),IF(E578="River",RANDBETWEEN(45,120),IF(E578="Rainwater",RANDBETWEEN(15,70),IF(E578="Borehole",RANDBETWEEN(20,75),RANDBETWEEN(10,60)))))</f>
        <v>24</v>
      </c>
      <c r="G578">
        <v>5.7</v>
      </c>
      <c r="H578">
        <f ca="1">MAX(0,ROUND(F_Baseline_data!H578+(F_Baseline_data!C578-5)*200+(D578-30000)*0.015+(F578-50)*15-IF(I578=1,1200,0)+_xlfn.NORM.INV(RAND(),0,2500),-2))</f>
        <v>5200</v>
      </c>
      <c r="I578">
        <v>1</v>
      </c>
      <c r="J578">
        <f>1</f>
        <v>1</v>
      </c>
      <c r="K578">
        <f>1</f>
        <v>1</v>
      </c>
      <c r="L578">
        <v>0</v>
      </c>
      <c r="M578">
        <f t="shared" ref="M578:M641" ca="1" si="19">RAND()</f>
        <v>0.34572431709085238</v>
      </c>
      <c r="N578">
        <v>0</v>
      </c>
      <c r="O578">
        <v>0</v>
      </c>
      <c r="P578">
        <v>0</v>
      </c>
    </row>
    <row r="579" spans="1:16" x14ac:dyDescent="0.3">
      <c r="A579" t="s">
        <v>691</v>
      </c>
      <c r="B579" t="s">
        <v>64</v>
      </c>
      <c r="C579">
        <f ca="1">IF(RAND()&lt;0.8,F_Baseline_data!C579,IF(RAND()&lt;0.85,F_Baseline_data!C579+1,IF(F_Baseline_data!C579&gt;3,C579-1,F_Baseline_data!C579)))</f>
        <v>8</v>
      </c>
      <c r="D579">
        <f ca="1">MAX(5000,ROUND(F_Baseline_data!D579*(1+_xlfn.NORM.INV(RAND(),0.12,0.1)),-2))</f>
        <v>18600</v>
      </c>
      <c r="E579" t="str">
        <f ca="1">IF(I579=1,IF(RAND()&lt;0.95,"Piped Water",F_Baseline_data!E579),F_Baseline_data!E579)</f>
        <v>Piped Water</v>
      </c>
      <c r="F579">
        <f t="shared" ca="1" si="18"/>
        <v>9</v>
      </c>
      <c r="G579">
        <v>7.2</v>
      </c>
      <c r="H579">
        <f ca="1">MAX(0,ROUND(F_Baseline_data!H579+(F_Baseline_data!C579-5)*200+(D579-30000)*0.015+(F579-50)*15-IF(I579=1,1200,0)+_xlfn.NORM.INV(RAND(),0,2500),-2))</f>
        <v>3500</v>
      </c>
      <c r="I579">
        <v>1</v>
      </c>
      <c r="J579">
        <f>1</f>
        <v>1</v>
      </c>
      <c r="K579">
        <f>1</f>
        <v>1</v>
      </c>
      <c r="L579">
        <v>0</v>
      </c>
      <c r="M579">
        <f t="shared" ca="1" si="19"/>
        <v>0.10565758501334865</v>
      </c>
      <c r="N579">
        <v>0</v>
      </c>
      <c r="O579">
        <v>0</v>
      </c>
      <c r="P579">
        <v>0</v>
      </c>
    </row>
    <row r="580" spans="1:16" x14ac:dyDescent="0.3">
      <c r="A580" t="s">
        <v>692</v>
      </c>
      <c r="B580" t="s">
        <v>64</v>
      </c>
      <c r="C580">
        <f ca="1">IF(RAND()&lt;0.8,F_Baseline_data!C580,IF(RAND()&lt;0.85,F_Baseline_data!C580+1,IF(F_Baseline_data!C580&gt;3,C580-1,F_Baseline_data!C580)))</f>
        <v>6</v>
      </c>
      <c r="D580">
        <f ca="1">MAX(5000,ROUND(F_Baseline_data!D580*(1+_xlfn.NORM.INV(RAND(),0.12,0.1)),-2))</f>
        <v>20200</v>
      </c>
      <c r="E580" t="str">
        <f ca="1">IF(I580=1,IF(RAND()&lt;0.95,"Piped Water",F_Baseline_data!E580),F_Baseline_data!E580)</f>
        <v>Piped Water</v>
      </c>
      <c r="F580">
        <f t="shared" ca="1" si="18"/>
        <v>9</v>
      </c>
      <c r="G580">
        <v>3.3</v>
      </c>
      <c r="H580">
        <f ca="1">MAX(0,ROUND(F_Baseline_data!H580+(F_Baseline_data!C580-5)*200+(D580-30000)*0.015+(F580-50)*15-IF(I580=1,1200,0)+_xlfn.NORM.INV(RAND(),0,2500),-2))</f>
        <v>1700</v>
      </c>
      <c r="I580">
        <v>1</v>
      </c>
      <c r="J580">
        <f>1</f>
        <v>1</v>
      </c>
      <c r="K580">
        <f>1</f>
        <v>1</v>
      </c>
      <c r="L580">
        <v>0</v>
      </c>
      <c r="M580">
        <f t="shared" ca="1" si="19"/>
        <v>0.87185103428492816</v>
      </c>
      <c r="N580">
        <v>0</v>
      </c>
      <c r="O580">
        <v>0</v>
      </c>
      <c r="P580">
        <v>0</v>
      </c>
    </row>
    <row r="581" spans="1:16" x14ac:dyDescent="0.3">
      <c r="A581" t="s">
        <v>693</v>
      </c>
      <c r="B581" t="s">
        <v>62</v>
      </c>
      <c r="C581">
        <f ca="1">IF(RAND()&lt;0.8,F_Baseline_data!C581,IF(RAND()&lt;0.85,F_Baseline_data!C581+1,IF(F_Baseline_data!C581&gt;3,C581-1,F_Baseline_data!C581)))</f>
        <v>8</v>
      </c>
      <c r="D581">
        <f ca="1">MAX(5000,ROUND(F_Baseline_data!D581*(1+_xlfn.NORM.INV(RAND(),0.12,0.1)),-2))</f>
        <v>23800</v>
      </c>
      <c r="E581" t="str">
        <f ca="1">IF(I581=1,IF(RAND()&lt;0.95,"Piped Water",F_Baseline_data!E581),F_Baseline_data!E581)</f>
        <v>Piped Water</v>
      </c>
      <c r="F581">
        <f t="shared" ca="1" si="18"/>
        <v>4</v>
      </c>
      <c r="G581">
        <v>2.7</v>
      </c>
      <c r="H581">
        <f ca="1">MAX(0,ROUND(F_Baseline_data!H581+(F_Baseline_data!C581-5)*200+(D581-30000)*0.015+(F581-50)*15-IF(I581=1,1200,0)+_xlfn.NORM.INV(RAND(),0,2500),-2))</f>
        <v>0</v>
      </c>
      <c r="I581">
        <v>1</v>
      </c>
      <c r="J581">
        <f>1</f>
        <v>1</v>
      </c>
      <c r="K581">
        <f>1</f>
        <v>1</v>
      </c>
      <c r="L581">
        <v>0</v>
      </c>
      <c r="M581">
        <f t="shared" ca="1" si="19"/>
        <v>0.74696372706712966</v>
      </c>
      <c r="N581">
        <v>0</v>
      </c>
      <c r="O581">
        <v>0</v>
      </c>
      <c r="P581">
        <v>0</v>
      </c>
    </row>
    <row r="582" spans="1:16" x14ac:dyDescent="0.3">
      <c r="A582" t="s">
        <v>694</v>
      </c>
      <c r="B582" t="s">
        <v>64</v>
      </c>
      <c r="C582">
        <f ca="1">IF(RAND()&lt;0.8,F_Baseline_data!C582,IF(RAND()&lt;0.85,F_Baseline_data!C582+1,IF(F_Baseline_data!C582&gt;3,C582-1,F_Baseline_data!C582)))</f>
        <v>5</v>
      </c>
      <c r="D582">
        <f ca="1">MAX(5000,ROUND(F_Baseline_data!D582*(1+_xlfn.NORM.INV(RAND(),0.12,0.1)),-2))</f>
        <v>46000</v>
      </c>
      <c r="E582" t="str">
        <f ca="1">IF(I582=1,IF(RAND()&lt;0.95,"Piped Water",F_Baseline_data!E582),F_Baseline_data!E582)</f>
        <v>Piped Water</v>
      </c>
      <c r="F582">
        <f t="shared" ca="1" si="18"/>
        <v>6</v>
      </c>
      <c r="G582">
        <v>2.4</v>
      </c>
      <c r="H582">
        <f ca="1">MAX(0,ROUND(F_Baseline_data!H582+(F_Baseline_data!C582-5)*200+(D582-30000)*0.015+(F582-50)*15-IF(I582=1,1200,0)+_xlfn.NORM.INV(RAND(),0,2500),-2))</f>
        <v>6800</v>
      </c>
      <c r="I582">
        <v>1</v>
      </c>
      <c r="J582">
        <f>1</f>
        <v>1</v>
      </c>
      <c r="K582">
        <f>1</f>
        <v>1</v>
      </c>
      <c r="L582">
        <v>0</v>
      </c>
      <c r="M582">
        <f t="shared" ca="1" si="19"/>
        <v>0.92211694603996841</v>
      </c>
      <c r="N582">
        <v>0</v>
      </c>
      <c r="O582">
        <v>0</v>
      </c>
      <c r="P582">
        <v>0</v>
      </c>
    </row>
    <row r="583" spans="1:16" x14ac:dyDescent="0.3">
      <c r="A583" t="s">
        <v>695</v>
      </c>
      <c r="B583" t="s">
        <v>513</v>
      </c>
      <c r="C583">
        <f ca="1">IF(RAND()&lt;0.8,F_Baseline_data!C583,IF(RAND()&lt;0.85,F_Baseline_data!C583+1,IF(F_Baseline_data!C583&gt;3,C583-1,F_Baseline_data!C583)))</f>
        <v>7</v>
      </c>
      <c r="D583">
        <f ca="1">MAX(5000,ROUND(F_Baseline_data!D583*(1+_xlfn.NORM.INV(RAND(),0.12,0.1)),-2))</f>
        <v>51100</v>
      </c>
      <c r="E583" t="str">
        <f ca="1">IF(I583=1,IF(RAND()&lt;0.95,"Piped Water",F_Baseline_data!E583),F_Baseline_data!E583)</f>
        <v>Piped Water</v>
      </c>
      <c r="F583">
        <f t="shared" ca="1" si="18"/>
        <v>6</v>
      </c>
      <c r="G583">
        <v>8.8000000000000007</v>
      </c>
      <c r="H583">
        <f ca="1">MAX(0,ROUND(F_Baseline_data!H583+(F_Baseline_data!C583-5)*200+(D583-30000)*0.015+(F583-50)*15-IF(I583=1,1200,0)+_xlfn.NORM.INV(RAND(),0,2500),-2))</f>
        <v>2000</v>
      </c>
      <c r="I583">
        <v>1</v>
      </c>
      <c r="J583">
        <f>1</f>
        <v>1</v>
      </c>
      <c r="K583">
        <f>1</f>
        <v>1</v>
      </c>
      <c r="L583">
        <v>0</v>
      </c>
      <c r="M583">
        <f t="shared" ca="1" si="19"/>
        <v>0.25394222033629221</v>
      </c>
      <c r="N583">
        <v>0</v>
      </c>
      <c r="O583">
        <v>0</v>
      </c>
      <c r="P583">
        <v>0</v>
      </c>
    </row>
    <row r="584" spans="1:16" x14ac:dyDescent="0.3">
      <c r="A584" t="s">
        <v>696</v>
      </c>
      <c r="B584" t="s">
        <v>65</v>
      </c>
      <c r="C584">
        <f ca="1">IF(RAND()&lt;0.8,F_Baseline_data!C584,IF(RAND()&lt;0.85,F_Baseline_data!C584+1,IF(F_Baseline_data!C584&gt;3,C584-1,F_Baseline_data!C584)))</f>
        <v>6</v>
      </c>
      <c r="D584">
        <f ca="1">MAX(5000,ROUND(F_Baseline_data!D584*(1+_xlfn.NORM.INV(RAND(),0.12,0.1)),-2))</f>
        <v>50900</v>
      </c>
      <c r="E584" t="str">
        <f ca="1">IF(I584=1,IF(RAND()&lt;0.95,"Piped Water",F_Baseline_data!E584),F_Baseline_data!E584)</f>
        <v>Piped Water</v>
      </c>
      <c r="F584">
        <f t="shared" ca="1" si="18"/>
        <v>3</v>
      </c>
      <c r="G584">
        <v>5.8</v>
      </c>
      <c r="H584">
        <f ca="1">MAX(0,ROUND(F_Baseline_data!H584+(F_Baseline_data!C584-5)*200+(D584-30000)*0.015+(F584-50)*15-IF(I584=1,1200,0)+_xlfn.NORM.INV(RAND(),0,2500),-2))</f>
        <v>5600</v>
      </c>
      <c r="I584">
        <v>1</v>
      </c>
      <c r="J584">
        <f>1</f>
        <v>1</v>
      </c>
      <c r="K584">
        <f>1</f>
        <v>1</v>
      </c>
      <c r="L584">
        <v>0</v>
      </c>
      <c r="M584">
        <f t="shared" ca="1" si="19"/>
        <v>4.4750424741418549E-2</v>
      </c>
      <c r="N584">
        <v>0</v>
      </c>
      <c r="O584">
        <v>0</v>
      </c>
      <c r="P584">
        <v>0</v>
      </c>
    </row>
    <row r="585" spans="1:16" x14ac:dyDescent="0.3">
      <c r="A585" t="s">
        <v>697</v>
      </c>
      <c r="B585" t="s">
        <v>62</v>
      </c>
      <c r="C585">
        <f ca="1">IF(RAND()&lt;0.8,F_Baseline_data!C585,IF(RAND()&lt;0.85,F_Baseline_data!C585+1,IF(F_Baseline_data!C585&gt;3,C585-1,F_Baseline_data!C585)))</f>
        <v>2</v>
      </c>
      <c r="D585">
        <f ca="1">MAX(5000,ROUND(F_Baseline_data!D585*(1+_xlfn.NORM.INV(RAND(),0.12,0.1)),-2))</f>
        <v>19900</v>
      </c>
      <c r="E585" t="str">
        <f ca="1">IF(I585=1,IF(RAND()&lt;0.95,"Piped Water",F_Baseline_data!E585),F_Baseline_data!E585)</f>
        <v>Piped Water</v>
      </c>
      <c r="F585">
        <f t="shared" ca="1" si="18"/>
        <v>0</v>
      </c>
      <c r="G585">
        <v>8.9</v>
      </c>
      <c r="H585">
        <f ca="1">MAX(0,ROUND(F_Baseline_data!H585+(F_Baseline_data!C585-5)*200+(D585-30000)*0.015+(F585-50)*15-IF(I585=1,1200,0)+_xlfn.NORM.INV(RAND(),0,2500),-2))</f>
        <v>9200</v>
      </c>
      <c r="I585">
        <v>1</v>
      </c>
      <c r="J585">
        <f>1</f>
        <v>1</v>
      </c>
      <c r="K585">
        <f>1</f>
        <v>1</v>
      </c>
      <c r="L585">
        <v>0</v>
      </c>
      <c r="M585">
        <f t="shared" ca="1" si="19"/>
        <v>0.78527210911414347</v>
      </c>
      <c r="N585">
        <v>0</v>
      </c>
      <c r="O585">
        <v>0</v>
      </c>
      <c r="P585">
        <v>0</v>
      </c>
    </row>
    <row r="586" spans="1:16" x14ac:dyDescent="0.3">
      <c r="A586" t="s">
        <v>698</v>
      </c>
      <c r="B586" t="s">
        <v>513</v>
      </c>
      <c r="C586">
        <f ca="1">IF(RAND()&lt;0.8,F_Baseline_data!C586,IF(RAND()&lt;0.85,F_Baseline_data!C586+1,IF(F_Baseline_data!C586&gt;3,C586-1,F_Baseline_data!C586)))</f>
        <v>1</v>
      </c>
      <c r="D586">
        <f ca="1">MAX(5000,ROUND(F_Baseline_data!D586*(1+_xlfn.NORM.INV(RAND(),0.12,0.1)),-2))</f>
        <v>74800</v>
      </c>
      <c r="E586" t="str">
        <f ca="1">IF(I586=1,IF(RAND()&lt;0.95,"Piped Water",F_Baseline_data!E586),F_Baseline_data!E586)</f>
        <v>Piped Water</v>
      </c>
      <c r="F586">
        <f t="shared" ca="1" si="18"/>
        <v>8</v>
      </c>
      <c r="G586">
        <v>5.9</v>
      </c>
      <c r="H586">
        <f ca="1">MAX(0,ROUND(F_Baseline_data!H586+(F_Baseline_data!C586-5)*200+(D586-30000)*0.015+(F586-50)*15-IF(I586=1,1200,0)+_xlfn.NORM.INV(RAND(),0,2500),-2))</f>
        <v>0</v>
      </c>
      <c r="I586">
        <v>1</v>
      </c>
      <c r="J586">
        <f>1</f>
        <v>1</v>
      </c>
      <c r="K586">
        <f>1</f>
        <v>1</v>
      </c>
      <c r="L586">
        <v>0</v>
      </c>
      <c r="M586">
        <f t="shared" ca="1" si="19"/>
        <v>0.46098370207272643</v>
      </c>
      <c r="N586">
        <v>0</v>
      </c>
      <c r="O586">
        <v>0</v>
      </c>
      <c r="P586">
        <v>0</v>
      </c>
    </row>
    <row r="587" spans="1:16" x14ac:dyDescent="0.3">
      <c r="A587" t="s">
        <v>699</v>
      </c>
      <c r="B587" t="s">
        <v>65</v>
      </c>
      <c r="C587">
        <f ca="1">IF(RAND()&lt;0.8,F_Baseline_data!C587,IF(RAND()&lt;0.85,F_Baseline_data!C587+1,IF(F_Baseline_data!C587&gt;3,C587-1,F_Baseline_data!C587)))</f>
        <v>4</v>
      </c>
      <c r="D587">
        <f ca="1">MAX(5000,ROUND(F_Baseline_data!D587*(1+_xlfn.NORM.INV(RAND(),0.12,0.1)),-2))</f>
        <v>62700</v>
      </c>
      <c r="E587" t="str">
        <f ca="1">IF(I587=1,IF(RAND()&lt;0.95,"Piped Water",F_Baseline_data!E587),F_Baseline_data!E587)</f>
        <v>Piped Water</v>
      </c>
      <c r="F587">
        <f t="shared" ca="1" si="18"/>
        <v>9</v>
      </c>
      <c r="G587">
        <v>10</v>
      </c>
      <c r="H587">
        <f ca="1">MAX(0,ROUND(F_Baseline_data!H587+(F_Baseline_data!C587-5)*200+(D587-30000)*0.015+(F587-50)*15-IF(I587=1,1200,0)+_xlfn.NORM.INV(RAND(),0,2500),-2))</f>
        <v>3500</v>
      </c>
      <c r="I587">
        <v>1</v>
      </c>
      <c r="J587">
        <f>1</f>
        <v>1</v>
      </c>
      <c r="K587">
        <f>1</f>
        <v>1</v>
      </c>
      <c r="L587">
        <v>0</v>
      </c>
      <c r="M587">
        <f t="shared" ca="1" si="19"/>
        <v>0.52343174256605896</v>
      </c>
      <c r="N587">
        <v>0</v>
      </c>
      <c r="O587">
        <v>0</v>
      </c>
      <c r="P587">
        <v>0</v>
      </c>
    </row>
    <row r="588" spans="1:16" x14ac:dyDescent="0.3">
      <c r="A588" t="s">
        <v>700</v>
      </c>
      <c r="B588" t="s">
        <v>65</v>
      </c>
      <c r="C588">
        <f ca="1">IF(RAND()&lt;0.8,F_Baseline_data!C588,IF(RAND()&lt;0.85,F_Baseline_data!C588+1,IF(F_Baseline_data!C588&gt;3,C588-1,F_Baseline_data!C588)))</f>
        <v>3</v>
      </c>
      <c r="D588">
        <f ca="1">MAX(5000,ROUND(F_Baseline_data!D588*(1+_xlfn.NORM.INV(RAND(),0.12,0.1)),-2))</f>
        <v>69200</v>
      </c>
      <c r="E588" t="str">
        <f ca="1">IF(I588=1,IF(RAND()&lt;0.95,"Piped Water",F_Baseline_data!E588),F_Baseline_data!E588)</f>
        <v>Piped Water</v>
      </c>
      <c r="F588">
        <f t="shared" ca="1" si="18"/>
        <v>8</v>
      </c>
      <c r="G588">
        <v>0.8</v>
      </c>
      <c r="H588">
        <f ca="1">MAX(0,ROUND(F_Baseline_data!H588+(F_Baseline_data!C588-5)*200+(D588-30000)*0.015+(F588-50)*15-IF(I588=1,1200,0)+_xlfn.NORM.INV(RAND(),0,2500),-2))</f>
        <v>2600</v>
      </c>
      <c r="I588">
        <v>1</v>
      </c>
      <c r="J588">
        <f>1</f>
        <v>1</v>
      </c>
      <c r="K588">
        <f>1</f>
        <v>1</v>
      </c>
      <c r="L588">
        <v>0</v>
      </c>
      <c r="M588">
        <f t="shared" ca="1" si="19"/>
        <v>0.3381133884682419</v>
      </c>
      <c r="N588">
        <v>0</v>
      </c>
      <c r="O588">
        <v>0</v>
      </c>
      <c r="P588">
        <v>0</v>
      </c>
    </row>
    <row r="589" spans="1:16" x14ac:dyDescent="0.3">
      <c r="A589" t="s">
        <v>701</v>
      </c>
      <c r="B589" t="s">
        <v>65</v>
      </c>
      <c r="C589">
        <f ca="1">IF(RAND()&lt;0.8,F_Baseline_data!C589,IF(RAND()&lt;0.85,F_Baseline_data!C589+1,IF(F_Baseline_data!C589&gt;3,C589-1,F_Baseline_data!C589)))</f>
        <v>10</v>
      </c>
      <c r="D589">
        <f ca="1">MAX(5000,ROUND(F_Baseline_data!D589*(1+_xlfn.NORM.INV(RAND(),0.12,0.1)),-2))</f>
        <v>23700</v>
      </c>
      <c r="E589" t="str">
        <f ca="1">IF(I589=1,IF(RAND()&lt;0.95,"Piped Water",F_Baseline_data!E589),F_Baseline_data!E589)</f>
        <v>Rainwater</v>
      </c>
      <c r="F589">
        <f t="shared" ca="1" si="18"/>
        <v>47</v>
      </c>
      <c r="G589">
        <v>11.5</v>
      </c>
      <c r="H589">
        <f ca="1">MAX(0,ROUND(F_Baseline_data!H589+(F_Baseline_data!C589-5)*200+(D589-30000)*0.015+(F589-50)*15-IF(I589=1,1200,0)+_xlfn.NORM.INV(RAND(),0,2500),-2))</f>
        <v>11500</v>
      </c>
      <c r="I589">
        <v>1</v>
      </c>
      <c r="J589">
        <f>1</f>
        <v>1</v>
      </c>
      <c r="K589">
        <f>1</f>
        <v>1</v>
      </c>
      <c r="L589">
        <v>0</v>
      </c>
      <c r="M589">
        <f t="shared" ca="1" si="19"/>
        <v>0.67097232273001439</v>
      </c>
      <c r="N589">
        <v>0</v>
      </c>
      <c r="O589">
        <v>0</v>
      </c>
      <c r="P589">
        <v>0</v>
      </c>
    </row>
    <row r="590" spans="1:16" x14ac:dyDescent="0.3">
      <c r="A590" t="s">
        <v>702</v>
      </c>
      <c r="B590" t="s">
        <v>64</v>
      </c>
      <c r="C590">
        <f ca="1">IF(RAND()&lt;0.8,F_Baseline_data!C590,IF(RAND()&lt;0.85,F_Baseline_data!C590+1,IF(F_Baseline_data!C590&gt;3,C590-1,F_Baseline_data!C590)))</f>
        <v>5</v>
      </c>
      <c r="D590">
        <f ca="1">MAX(5000,ROUND(F_Baseline_data!D590*(1+_xlfn.NORM.INV(RAND(),0.12,0.1)),-2))</f>
        <v>38800</v>
      </c>
      <c r="E590" t="str">
        <f ca="1">IF(I590=1,IF(RAND()&lt;0.95,"Piped Water",F_Baseline_data!E590),F_Baseline_data!E590)</f>
        <v>Piped Water</v>
      </c>
      <c r="F590">
        <f t="shared" ca="1" si="18"/>
        <v>9</v>
      </c>
      <c r="G590">
        <v>3.4</v>
      </c>
      <c r="H590">
        <f ca="1">MAX(0,ROUND(F_Baseline_data!H590+(F_Baseline_data!C590-5)*200+(D590-30000)*0.015+(F590-50)*15-IF(I590=1,1200,0)+_xlfn.NORM.INV(RAND(),0,2500),-2))</f>
        <v>5700</v>
      </c>
      <c r="I590">
        <v>1</v>
      </c>
      <c r="J590">
        <f>1</f>
        <v>1</v>
      </c>
      <c r="K590">
        <f>1</f>
        <v>1</v>
      </c>
      <c r="L590">
        <v>0</v>
      </c>
      <c r="M590">
        <f t="shared" ca="1" si="19"/>
        <v>1.8410661345971802E-2</v>
      </c>
      <c r="N590">
        <v>0</v>
      </c>
      <c r="O590">
        <v>0</v>
      </c>
      <c r="P590">
        <v>0</v>
      </c>
    </row>
    <row r="591" spans="1:16" x14ac:dyDescent="0.3">
      <c r="A591" t="s">
        <v>703</v>
      </c>
      <c r="B591" t="s">
        <v>62</v>
      </c>
      <c r="C591">
        <f ca="1">IF(RAND()&lt;0.8,F_Baseline_data!C591,IF(RAND()&lt;0.85,F_Baseline_data!C591+1,IF(F_Baseline_data!C591&gt;3,C591-1,F_Baseline_data!C591)))</f>
        <v>1</v>
      </c>
      <c r="D591">
        <f ca="1">MAX(5000,ROUND(F_Baseline_data!D591*(1+_xlfn.NORM.INV(RAND(),0.12,0.1)),-2))</f>
        <v>31900</v>
      </c>
      <c r="E591" t="str">
        <f ca="1">IF(I591=1,IF(RAND()&lt;0.95,"Piped Water",F_Baseline_data!E591),F_Baseline_data!E591)</f>
        <v>Piped Water</v>
      </c>
      <c r="F591">
        <f t="shared" ca="1" si="18"/>
        <v>0</v>
      </c>
      <c r="G591">
        <v>1.9</v>
      </c>
      <c r="H591">
        <f ca="1">MAX(0,ROUND(F_Baseline_data!H591+(F_Baseline_data!C591-5)*200+(D591-30000)*0.015+(F591-50)*15-IF(I591=1,1200,0)+_xlfn.NORM.INV(RAND(),0,2500),-2))</f>
        <v>7900</v>
      </c>
      <c r="I591">
        <v>1</v>
      </c>
      <c r="J591">
        <f>1</f>
        <v>1</v>
      </c>
      <c r="K591">
        <f>1</f>
        <v>1</v>
      </c>
      <c r="L591">
        <v>0</v>
      </c>
      <c r="M591">
        <f t="shared" ca="1" si="19"/>
        <v>0.75385556206490756</v>
      </c>
      <c r="N591">
        <v>0</v>
      </c>
      <c r="O591">
        <v>0</v>
      </c>
      <c r="P591">
        <v>0</v>
      </c>
    </row>
    <row r="592" spans="1:16" x14ac:dyDescent="0.3">
      <c r="A592" t="s">
        <v>704</v>
      </c>
      <c r="B592" t="s">
        <v>62</v>
      </c>
      <c r="C592">
        <f ca="1">IF(RAND()&lt;0.8,F_Baseline_data!C592,IF(RAND()&lt;0.85,F_Baseline_data!C592+1,IF(F_Baseline_data!C592&gt;3,C592-1,F_Baseline_data!C592)))</f>
        <v>4</v>
      </c>
      <c r="D592">
        <f ca="1">MAX(5000,ROUND(F_Baseline_data!D592*(1+_xlfn.NORM.INV(RAND(),0.12,0.1)),-2))</f>
        <v>33000</v>
      </c>
      <c r="E592" t="str">
        <f ca="1">IF(I592=1,IF(RAND()&lt;0.95,"Piped Water",F_Baseline_data!E592),F_Baseline_data!E592)</f>
        <v>Piped Water</v>
      </c>
      <c r="F592">
        <f t="shared" ca="1" si="18"/>
        <v>1</v>
      </c>
      <c r="G592">
        <v>8.3000000000000007</v>
      </c>
      <c r="H592">
        <f ca="1">MAX(0,ROUND(F_Baseline_data!H592+(F_Baseline_data!C592-5)*200+(D592-30000)*0.015+(F592-50)*15-IF(I592=1,1200,0)+_xlfn.NORM.INV(RAND(),0,2500),-2))</f>
        <v>300</v>
      </c>
      <c r="I592">
        <v>1</v>
      </c>
      <c r="J592">
        <f>1</f>
        <v>1</v>
      </c>
      <c r="K592">
        <f>1</f>
        <v>1</v>
      </c>
      <c r="L592">
        <v>0</v>
      </c>
      <c r="M592">
        <f t="shared" ca="1" si="19"/>
        <v>0.39830656279173426</v>
      </c>
      <c r="N592">
        <v>0</v>
      </c>
      <c r="O592">
        <v>0</v>
      </c>
      <c r="P592">
        <v>0</v>
      </c>
    </row>
    <row r="593" spans="1:16" x14ac:dyDescent="0.3">
      <c r="A593" t="s">
        <v>705</v>
      </c>
      <c r="B593" t="s">
        <v>64</v>
      </c>
      <c r="C593">
        <f ca="1">IF(RAND()&lt;0.8,F_Baseline_data!C593,IF(RAND()&lt;0.85,F_Baseline_data!C593+1,IF(F_Baseline_data!C593&gt;3,C593-1,F_Baseline_data!C593)))</f>
        <v>1</v>
      </c>
      <c r="D593">
        <f ca="1">MAX(5000,ROUND(F_Baseline_data!D593*(1+_xlfn.NORM.INV(RAND(),0.12,0.1)),-2))</f>
        <v>24600</v>
      </c>
      <c r="E593" t="str">
        <f ca="1">IF(I593=1,IF(RAND()&lt;0.95,"Piped Water",F_Baseline_data!E593),F_Baseline_data!E593)</f>
        <v>Piped Water</v>
      </c>
      <c r="F593">
        <f t="shared" ca="1" si="18"/>
        <v>8</v>
      </c>
      <c r="G593">
        <v>7.3</v>
      </c>
      <c r="H593">
        <f ca="1">MAX(0,ROUND(F_Baseline_data!H593+(F_Baseline_data!C593-5)*200+(D593-30000)*0.015+(F593-50)*15-IF(I593=1,1200,0)+_xlfn.NORM.INV(RAND(),0,2500),-2))</f>
        <v>3200</v>
      </c>
      <c r="I593">
        <v>1</v>
      </c>
      <c r="J593">
        <f>1</f>
        <v>1</v>
      </c>
      <c r="K593">
        <f>1</f>
        <v>1</v>
      </c>
      <c r="L593">
        <v>0</v>
      </c>
      <c r="M593">
        <f t="shared" ca="1" si="19"/>
        <v>0.43947801294151323</v>
      </c>
      <c r="N593">
        <v>0</v>
      </c>
      <c r="O593">
        <v>0</v>
      </c>
      <c r="P593">
        <v>0</v>
      </c>
    </row>
    <row r="594" spans="1:16" x14ac:dyDescent="0.3">
      <c r="A594" t="s">
        <v>706</v>
      </c>
      <c r="B594" t="s">
        <v>62</v>
      </c>
      <c r="C594">
        <f ca="1">IF(RAND()&lt;0.8,F_Baseline_data!C594,IF(RAND()&lt;0.85,F_Baseline_data!C594+1,IF(F_Baseline_data!C594&gt;3,C594-1,F_Baseline_data!C594)))</f>
        <v>6</v>
      </c>
      <c r="D594">
        <f ca="1">MAX(5000,ROUND(F_Baseline_data!D594*(1+_xlfn.NORM.INV(RAND(),0.12,0.1)),-2))</f>
        <v>26900</v>
      </c>
      <c r="E594" t="str">
        <f ca="1">IF(I594=1,IF(RAND()&lt;0.95,"Piped Water",F_Baseline_data!E594),F_Baseline_data!E594)</f>
        <v>Piped Water</v>
      </c>
      <c r="F594">
        <f t="shared" ca="1" si="18"/>
        <v>3</v>
      </c>
      <c r="G594">
        <v>5.9</v>
      </c>
      <c r="H594">
        <f ca="1">MAX(0,ROUND(F_Baseline_data!H594+(F_Baseline_data!C594-5)*200+(D594-30000)*0.015+(F594-50)*15-IF(I594=1,1200,0)+_xlfn.NORM.INV(RAND(),0,2500),-2))</f>
        <v>4900</v>
      </c>
      <c r="I594">
        <v>1</v>
      </c>
      <c r="J594">
        <f>1</f>
        <v>1</v>
      </c>
      <c r="K594">
        <f>1</f>
        <v>1</v>
      </c>
      <c r="L594">
        <v>0</v>
      </c>
      <c r="M594">
        <f t="shared" ca="1" si="19"/>
        <v>0.60505049175212988</v>
      </c>
      <c r="N594">
        <v>0</v>
      </c>
      <c r="O594">
        <v>0</v>
      </c>
      <c r="P594">
        <v>0</v>
      </c>
    </row>
    <row r="595" spans="1:16" x14ac:dyDescent="0.3">
      <c r="A595" t="s">
        <v>707</v>
      </c>
      <c r="B595" t="s">
        <v>65</v>
      </c>
      <c r="C595">
        <f ca="1">IF(RAND()&lt;0.8,F_Baseline_data!C595,IF(RAND()&lt;0.85,F_Baseline_data!C595+1,IF(F_Baseline_data!C595&gt;3,C595-1,F_Baseline_data!C595)))</f>
        <v>1</v>
      </c>
      <c r="D595">
        <f ca="1">MAX(5000,ROUND(F_Baseline_data!D595*(1+_xlfn.NORM.INV(RAND(),0.12,0.1)),-2))</f>
        <v>47400</v>
      </c>
      <c r="E595" t="str">
        <f ca="1">IF(I595=1,IF(RAND()&lt;0.95,"Piped Water",F_Baseline_data!E595),F_Baseline_data!E595)</f>
        <v>Piped Water</v>
      </c>
      <c r="F595">
        <f t="shared" ca="1" si="18"/>
        <v>7</v>
      </c>
      <c r="G595">
        <v>10.7</v>
      </c>
      <c r="H595">
        <f ca="1">MAX(0,ROUND(F_Baseline_data!H595+(F_Baseline_data!C595-5)*200+(D595-30000)*0.015+(F595-50)*15-IF(I595=1,1200,0)+_xlfn.NORM.INV(RAND(),0,2500),-2))</f>
        <v>3700</v>
      </c>
      <c r="I595">
        <v>1</v>
      </c>
      <c r="J595">
        <f>1</f>
        <v>1</v>
      </c>
      <c r="K595">
        <f>1</f>
        <v>1</v>
      </c>
      <c r="L595">
        <v>0</v>
      </c>
      <c r="M595">
        <f t="shared" ca="1" si="19"/>
        <v>0.62070083460252756</v>
      </c>
      <c r="N595">
        <v>0</v>
      </c>
      <c r="O595">
        <v>0</v>
      </c>
      <c r="P595">
        <v>0</v>
      </c>
    </row>
    <row r="596" spans="1:16" x14ac:dyDescent="0.3">
      <c r="A596" t="s">
        <v>708</v>
      </c>
      <c r="B596" t="s">
        <v>62</v>
      </c>
      <c r="C596">
        <f ca="1">IF(RAND()&lt;0.8,F_Baseline_data!C596,IF(RAND()&lt;0.85,F_Baseline_data!C596+1,IF(F_Baseline_data!C596&gt;3,C596-1,F_Baseline_data!C596)))</f>
        <v>7</v>
      </c>
      <c r="D596">
        <f ca="1">MAX(5000,ROUND(F_Baseline_data!D596*(1+_xlfn.NORM.INV(RAND(),0.12,0.1)),-2))</f>
        <v>20900</v>
      </c>
      <c r="E596" t="str">
        <f ca="1">IF(I596=1,IF(RAND()&lt;0.95,"Piped Water",F_Baseline_data!E596),F_Baseline_data!E596)</f>
        <v>Piped Water</v>
      </c>
      <c r="F596">
        <f t="shared" ca="1" si="18"/>
        <v>0</v>
      </c>
      <c r="G596">
        <v>1.1000000000000001</v>
      </c>
      <c r="H596">
        <f ca="1">MAX(0,ROUND(F_Baseline_data!H596+(F_Baseline_data!C596-5)*200+(D596-30000)*0.015+(F596-50)*15-IF(I596=1,1200,0)+_xlfn.NORM.INV(RAND(),0,2500),-2))</f>
        <v>3600</v>
      </c>
      <c r="I596">
        <v>1</v>
      </c>
      <c r="J596">
        <f>1</f>
        <v>1</v>
      </c>
      <c r="K596">
        <f>1</f>
        <v>1</v>
      </c>
      <c r="L596">
        <v>0</v>
      </c>
      <c r="M596">
        <f t="shared" ca="1" si="19"/>
        <v>0.98484024275396875</v>
      </c>
      <c r="N596">
        <v>0</v>
      </c>
      <c r="O596">
        <v>0</v>
      </c>
      <c r="P596">
        <v>0</v>
      </c>
    </row>
    <row r="597" spans="1:16" x14ac:dyDescent="0.3">
      <c r="A597" t="s">
        <v>709</v>
      </c>
      <c r="B597" t="s">
        <v>62</v>
      </c>
      <c r="C597">
        <f ca="1">IF(RAND()&lt;0.8,F_Baseline_data!C597,IF(RAND()&lt;0.85,F_Baseline_data!C597+1,IF(F_Baseline_data!C597&gt;3,C597-1,F_Baseline_data!C597)))</f>
        <v>9</v>
      </c>
      <c r="D597">
        <f ca="1">MAX(5000,ROUND(F_Baseline_data!D597*(1+_xlfn.NORM.INV(RAND(),0.12,0.1)),-2))</f>
        <v>55200</v>
      </c>
      <c r="E597" t="str">
        <f ca="1">IF(I597=1,IF(RAND()&lt;0.95,"Piped Water",F_Baseline_data!E597),F_Baseline_data!E597)</f>
        <v>Piped Water</v>
      </c>
      <c r="F597">
        <f t="shared" ca="1" si="18"/>
        <v>6</v>
      </c>
      <c r="G597">
        <v>6.4</v>
      </c>
      <c r="H597">
        <f ca="1">MAX(0,ROUND(F_Baseline_data!H597+(F_Baseline_data!C597-5)*200+(D597-30000)*0.015+(F597-50)*15-IF(I597=1,1200,0)+_xlfn.NORM.INV(RAND(),0,2500),-2))</f>
        <v>9400</v>
      </c>
      <c r="I597">
        <v>1</v>
      </c>
      <c r="J597">
        <f>1</f>
        <v>1</v>
      </c>
      <c r="K597">
        <f>1</f>
        <v>1</v>
      </c>
      <c r="L597">
        <v>0</v>
      </c>
      <c r="M597">
        <f t="shared" ca="1" si="19"/>
        <v>0.77226190531055605</v>
      </c>
      <c r="N597">
        <v>0</v>
      </c>
      <c r="O597">
        <v>0</v>
      </c>
      <c r="P597">
        <v>0</v>
      </c>
    </row>
    <row r="598" spans="1:16" x14ac:dyDescent="0.3">
      <c r="A598" t="s">
        <v>710</v>
      </c>
      <c r="B598" t="s">
        <v>64</v>
      </c>
      <c r="C598">
        <f ca="1">IF(RAND()&lt;0.8,F_Baseline_data!C598,IF(RAND()&lt;0.85,F_Baseline_data!C598+1,IF(F_Baseline_data!C598&gt;3,C598-1,F_Baseline_data!C598)))</f>
        <v>5</v>
      </c>
      <c r="D598">
        <f ca="1">MAX(5000,ROUND(F_Baseline_data!D598*(1+_xlfn.NORM.INV(RAND(),0.12,0.1)),-2))</f>
        <v>29800</v>
      </c>
      <c r="E598" t="str">
        <f ca="1">IF(I598=1,IF(RAND()&lt;0.95,"Piped Water",F_Baseline_data!E598),F_Baseline_data!E598)</f>
        <v>Piped Water</v>
      </c>
      <c r="F598">
        <f t="shared" ca="1" si="18"/>
        <v>5</v>
      </c>
      <c r="G598">
        <v>8.4</v>
      </c>
      <c r="H598">
        <f ca="1">MAX(0,ROUND(F_Baseline_data!H598+(F_Baseline_data!C598-5)*200+(D598-30000)*0.015+(F598-50)*15-IF(I598=1,1200,0)+_xlfn.NORM.INV(RAND(),0,2500),-2))</f>
        <v>7600</v>
      </c>
      <c r="I598">
        <v>1</v>
      </c>
      <c r="J598">
        <f>1</f>
        <v>1</v>
      </c>
      <c r="K598">
        <f>1</f>
        <v>1</v>
      </c>
      <c r="L598">
        <v>0</v>
      </c>
      <c r="M598">
        <f t="shared" ca="1" si="19"/>
        <v>0.84859816417962297</v>
      </c>
      <c r="N598">
        <v>0</v>
      </c>
      <c r="O598">
        <v>0</v>
      </c>
      <c r="P598">
        <v>0</v>
      </c>
    </row>
    <row r="599" spans="1:16" x14ac:dyDescent="0.3">
      <c r="A599" t="s">
        <v>711</v>
      </c>
      <c r="B599" t="s">
        <v>62</v>
      </c>
      <c r="C599">
        <f ca="1">IF(RAND()&lt;0.8,F_Baseline_data!C599,IF(RAND()&lt;0.85,F_Baseline_data!C599+1,IF(F_Baseline_data!C599&gt;3,C599-1,F_Baseline_data!C599)))</f>
        <v>3</v>
      </c>
      <c r="D599">
        <f ca="1">MAX(5000,ROUND(F_Baseline_data!D599*(1+_xlfn.NORM.INV(RAND(),0.12,0.1)),-2))</f>
        <v>13100</v>
      </c>
      <c r="E599" t="str">
        <f ca="1">IF(I599=1,IF(RAND()&lt;0.95,"Piped Water",F_Baseline_data!E599),F_Baseline_data!E599)</f>
        <v>Piped Water</v>
      </c>
      <c r="F599">
        <f t="shared" ca="1" si="18"/>
        <v>1</v>
      </c>
      <c r="G599">
        <v>2.9</v>
      </c>
      <c r="H599">
        <f ca="1">MAX(0,ROUND(F_Baseline_data!H599+(F_Baseline_data!C599-5)*200+(D599-30000)*0.015+(F599-50)*15-IF(I599=1,1200,0)+_xlfn.NORM.INV(RAND(),0,2500),-2))</f>
        <v>0</v>
      </c>
      <c r="I599">
        <v>1</v>
      </c>
      <c r="J599">
        <f>1</f>
        <v>1</v>
      </c>
      <c r="K599">
        <f>1</f>
        <v>1</v>
      </c>
      <c r="L599">
        <v>0</v>
      </c>
      <c r="M599">
        <f t="shared" ca="1" si="19"/>
        <v>0.93319555358637019</v>
      </c>
      <c r="N599">
        <v>0</v>
      </c>
      <c r="O599">
        <v>0</v>
      </c>
      <c r="P599">
        <v>0</v>
      </c>
    </row>
    <row r="600" spans="1:16" x14ac:dyDescent="0.3">
      <c r="A600" t="s">
        <v>712</v>
      </c>
      <c r="B600" t="s">
        <v>64</v>
      </c>
      <c r="C600">
        <f ca="1">IF(RAND()&lt;0.8,F_Baseline_data!C600,IF(RAND()&lt;0.85,F_Baseline_data!C600+1,IF(F_Baseline_data!C600&gt;3,C600-1,F_Baseline_data!C600)))</f>
        <v>4</v>
      </c>
      <c r="D600">
        <f ca="1">MAX(5000,ROUND(F_Baseline_data!D600*(1+_xlfn.NORM.INV(RAND(),0.12,0.1)),-2))</f>
        <v>54900</v>
      </c>
      <c r="E600" t="str">
        <f ca="1">IF(I600=1,IF(RAND()&lt;0.95,"Piped Water",F_Baseline_data!E600),F_Baseline_data!E600)</f>
        <v>Piped Water</v>
      </c>
      <c r="F600">
        <f t="shared" ca="1" si="18"/>
        <v>10</v>
      </c>
      <c r="G600">
        <v>5.5</v>
      </c>
      <c r="H600">
        <f ca="1">MAX(0,ROUND(F_Baseline_data!H600+(F_Baseline_data!C600-5)*200+(D600-30000)*0.015+(F600-50)*15-IF(I600=1,1200,0)+_xlfn.NORM.INV(RAND(),0,2500),-2))</f>
        <v>5000</v>
      </c>
      <c r="I600">
        <v>1</v>
      </c>
      <c r="J600">
        <f>1</f>
        <v>1</v>
      </c>
      <c r="K600">
        <f>1</f>
        <v>1</v>
      </c>
      <c r="L600">
        <v>0</v>
      </c>
      <c r="M600">
        <f t="shared" ca="1" si="19"/>
        <v>7.650734132843684E-2</v>
      </c>
      <c r="N600">
        <v>0</v>
      </c>
      <c r="O600">
        <v>0</v>
      </c>
      <c r="P600">
        <v>0</v>
      </c>
    </row>
    <row r="601" spans="1:16" x14ac:dyDescent="0.3">
      <c r="A601" t="s">
        <v>713</v>
      </c>
      <c r="B601" t="s">
        <v>62</v>
      </c>
      <c r="C601">
        <f ca="1">IF(RAND()&lt;0.8,F_Baseline_data!C601,IF(RAND()&lt;0.85,F_Baseline_data!C601+1,IF(F_Baseline_data!C601&gt;3,C601-1,F_Baseline_data!C601)))</f>
        <v>1</v>
      </c>
      <c r="D601">
        <f ca="1">MAX(5000,ROUND(F_Baseline_data!D601*(1+_xlfn.NORM.INV(RAND(),0.12,0.1)),-2))</f>
        <v>12700</v>
      </c>
      <c r="E601" t="str">
        <f ca="1">IF(I601=1,IF(RAND()&lt;0.95,"Piped Water",F_Baseline_data!E601),F_Baseline_data!E601)</f>
        <v>Piped Water</v>
      </c>
      <c r="F601">
        <f t="shared" ca="1" si="18"/>
        <v>1</v>
      </c>
      <c r="G601">
        <v>2.1</v>
      </c>
      <c r="H601">
        <f ca="1">MAX(0,ROUND(F_Baseline_data!H601+(F_Baseline_data!C601-5)*200+(D601-30000)*0.015+(F601-50)*15-IF(I601=1,1200,0)+_xlfn.NORM.INV(RAND(),0,2500),-2))</f>
        <v>8000</v>
      </c>
      <c r="I601">
        <v>1</v>
      </c>
      <c r="J601">
        <f>1</f>
        <v>1</v>
      </c>
      <c r="K601">
        <f>1</f>
        <v>1</v>
      </c>
      <c r="L601">
        <v>0</v>
      </c>
      <c r="M601">
        <f t="shared" ca="1" si="19"/>
        <v>0.35608329518101522</v>
      </c>
      <c r="N601">
        <v>0</v>
      </c>
      <c r="O601">
        <v>0</v>
      </c>
      <c r="P601">
        <v>0</v>
      </c>
    </row>
    <row r="602" spans="1:16" x14ac:dyDescent="0.3">
      <c r="A602" t="s">
        <v>714</v>
      </c>
      <c r="B602" t="s">
        <v>513</v>
      </c>
      <c r="C602">
        <f ca="1">IF(RAND()&lt;0.8,F_Baseline_data!C602,IF(RAND()&lt;0.85,F_Baseline_data!C602+1,IF(F_Baseline_data!C602&gt;3,C602-1,F_Baseline_data!C602)))</f>
        <v>6</v>
      </c>
      <c r="D602">
        <f ca="1">MAX(5000,ROUND(F_Baseline_data!D602*(1+_xlfn.NORM.INV(RAND(),0.12,0.1)),-2))</f>
        <v>88600</v>
      </c>
      <c r="E602" t="str">
        <f ca="1">IF(I602=1,IF(RAND()&lt;0.95,"Piped Water",F_Baseline_data!E602),F_Baseline_data!E602)</f>
        <v>Piped Water</v>
      </c>
      <c r="F602">
        <f t="shared" ca="1" si="18"/>
        <v>8</v>
      </c>
      <c r="G602">
        <v>4.8</v>
      </c>
      <c r="H602">
        <f ca="1">MAX(0,ROUND(F_Baseline_data!H602+(F_Baseline_data!C602-5)*200+(D602-30000)*0.015+(F602-50)*15-IF(I602=1,1200,0)+_xlfn.NORM.INV(RAND(),0,2500),-2))</f>
        <v>5100</v>
      </c>
      <c r="I602">
        <v>1</v>
      </c>
      <c r="J602">
        <f>1</f>
        <v>1</v>
      </c>
      <c r="K602">
        <f>1</f>
        <v>1</v>
      </c>
      <c r="L602">
        <v>0</v>
      </c>
      <c r="M602">
        <f t="shared" ca="1" si="19"/>
        <v>0.69583881278035919</v>
      </c>
      <c r="N602">
        <v>0</v>
      </c>
      <c r="O602">
        <v>0</v>
      </c>
      <c r="P602">
        <v>0</v>
      </c>
    </row>
    <row r="603" spans="1:16" x14ac:dyDescent="0.3">
      <c r="A603" t="s">
        <v>715</v>
      </c>
      <c r="B603" t="s">
        <v>513</v>
      </c>
      <c r="C603">
        <f ca="1">IF(RAND()&lt;0.8,F_Baseline_data!C603,IF(RAND()&lt;0.85,F_Baseline_data!C603+1,IF(F_Baseline_data!C603&gt;3,C603-1,F_Baseline_data!C603)))</f>
        <v>2</v>
      </c>
      <c r="D603">
        <f ca="1">MAX(5000,ROUND(F_Baseline_data!D603*(1+_xlfn.NORM.INV(RAND(),0.12,0.1)),-2))</f>
        <v>46200</v>
      </c>
      <c r="E603" t="str">
        <f ca="1">IF(I603=1,IF(RAND()&lt;0.95,"Piped Water",F_Baseline_data!E603),F_Baseline_data!E603)</f>
        <v>Piped Water</v>
      </c>
      <c r="F603">
        <f t="shared" ca="1" si="18"/>
        <v>0</v>
      </c>
      <c r="G603">
        <v>14</v>
      </c>
      <c r="H603">
        <f ca="1">MAX(0,ROUND(F_Baseline_data!H603+(F_Baseline_data!C603-5)*200+(D603-30000)*0.015+(F603-50)*15-IF(I603=1,1200,0)+_xlfn.NORM.INV(RAND(),0,2500),-2))</f>
        <v>9700</v>
      </c>
      <c r="I603">
        <v>1</v>
      </c>
      <c r="J603">
        <f>1</f>
        <v>1</v>
      </c>
      <c r="K603">
        <f>1</f>
        <v>1</v>
      </c>
      <c r="L603">
        <v>0</v>
      </c>
      <c r="M603">
        <f t="shared" ca="1" si="19"/>
        <v>0.66441756931372886</v>
      </c>
      <c r="N603">
        <v>0</v>
      </c>
      <c r="O603">
        <v>0</v>
      </c>
      <c r="P603">
        <v>0</v>
      </c>
    </row>
    <row r="604" spans="1:16" x14ac:dyDescent="0.3">
      <c r="A604" t="s">
        <v>716</v>
      </c>
      <c r="B604" t="s">
        <v>65</v>
      </c>
      <c r="C604">
        <f ca="1">IF(RAND()&lt;0.8,F_Baseline_data!C604,IF(RAND()&lt;0.85,F_Baseline_data!C604+1,IF(F_Baseline_data!C604&gt;3,C604-1,F_Baseline_data!C604)))</f>
        <v>8</v>
      </c>
      <c r="D604">
        <f ca="1">MAX(5000,ROUND(F_Baseline_data!D604*(1+_xlfn.NORM.INV(RAND(),0.12,0.1)),-2))</f>
        <v>39800</v>
      </c>
      <c r="E604" t="str">
        <f ca="1">IF(I604=1,IF(RAND()&lt;0.95,"Piped Water",F_Baseline_data!E604),F_Baseline_data!E604)</f>
        <v>Piped Water</v>
      </c>
      <c r="F604">
        <f t="shared" ca="1" si="18"/>
        <v>7</v>
      </c>
      <c r="G604">
        <v>3.4</v>
      </c>
      <c r="H604">
        <f ca="1">MAX(0,ROUND(F_Baseline_data!H604+(F_Baseline_data!C604-5)*200+(D604-30000)*0.015+(F604-50)*15-IF(I604=1,1200,0)+_xlfn.NORM.INV(RAND(),0,2500),-2))</f>
        <v>3000</v>
      </c>
      <c r="I604">
        <v>1</v>
      </c>
      <c r="J604">
        <f>1</f>
        <v>1</v>
      </c>
      <c r="K604">
        <f>1</f>
        <v>1</v>
      </c>
      <c r="L604">
        <v>0</v>
      </c>
      <c r="M604">
        <f t="shared" ca="1" si="19"/>
        <v>0.7675055373868086</v>
      </c>
      <c r="N604">
        <v>0</v>
      </c>
      <c r="O604">
        <v>0</v>
      </c>
      <c r="P604">
        <v>0</v>
      </c>
    </row>
    <row r="605" spans="1:16" x14ac:dyDescent="0.3">
      <c r="A605" t="s">
        <v>717</v>
      </c>
      <c r="B605" t="s">
        <v>65</v>
      </c>
      <c r="C605">
        <f ca="1">IF(RAND()&lt;0.8,F_Baseline_data!C605,IF(RAND()&lt;0.85,F_Baseline_data!C605+1,IF(F_Baseline_data!C605&gt;3,C605-1,F_Baseline_data!C605)))</f>
        <v>4</v>
      </c>
      <c r="D605">
        <f ca="1">MAX(5000,ROUND(F_Baseline_data!D605*(1+_xlfn.NORM.INV(RAND(),0.12,0.1)),-2))</f>
        <v>42500</v>
      </c>
      <c r="E605" t="str">
        <f ca="1">IF(I605=1,IF(RAND()&lt;0.95,"Piped Water",F_Baseline_data!E605),F_Baseline_data!E605)</f>
        <v>Piped Water</v>
      </c>
      <c r="F605">
        <f t="shared" ca="1" si="18"/>
        <v>1</v>
      </c>
      <c r="G605">
        <v>10.9</v>
      </c>
      <c r="H605">
        <f ca="1">MAX(0,ROUND(F_Baseline_data!H605+(F_Baseline_data!C605-5)*200+(D605-30000)*0.015+(F605-50)*15-IF(I605=1,1200,0)+_xlfn.NORM.INV(RAND(),0,2500),-2))</f>
        <v>0</v>
      </c>
      <c r="I605">
        <v>1</v>
      </c>
      <c r="J605">
        <f>1</f>
        <v>1</v>
      </c>
      <c r="K605">
        <f>1</f>
        <v>1</v>
      </c>
      <c r="L605">
        <v>0</v>
      </c>
      <c r="M605">
        <f t="shared" ca="1" si="19"/>
        <v>8.6122915675017508E-2</v>
      </c>
      <c r="N605">
        <v>0</v>
      </c>
      <c r="O605">
        <v>0</v>
      </c>
      <c r="P605">
        <v>0</v>
      </c>
    </row>
    <row r="606" spans="1:16" x14ac:dyDescent="0.3">
      <c r="A606" t="s">
        <v>718</v>
      </c>
      <c r="B606" t="s">
        <v>513</v>
      </c>
      <c r="C606">
        <f ca="1">IF(RAND()&lt;0.8,F_Baseline_data!C606,IF(RAND()&lt;0.85,F_Baseline_data!C606+1,IF(F_Baseline_data!C606&gt;3,C606-1,F_Baseline_data!C606)))</f>
        <v>10</v>
      </c>
      <c r="D606">
        <f ca="1">MAX(5000,ROUND(F_Baseline_data!D606*(1+_xlfn.NORM.INV(RAND(),0.12,0.1)),-2))</f>
        <v>41200</v>
      </c>
      <c r="E606" t="str">
        <f ca="1">IF(I606=1,IF(RAND()&lt;0.95,"Piped Water",F_Baseline_data!E606),F_Baseline_data!E606)</f>
        <v>Piped Water</v>
      </c>
      <c r="F606">
        <f t="shared" ca="1" si="18"/>
        <v>4</v>
      </c>
      <c r="G606">
        <v>7.9</v>
      </c>
      <c r="H606">
        <f ca="1">MAX(0,ROUND(F_Baseline_data!H606+(F_Baseline_data!C606-5)*200+(D606-30000)*0.015+(F606-50)*15-IF(I606=1,1200,0)+_xlfn.NORM.INV(RAND(),0,2500),-2))</f>
        <v>3000</v>
      </c>
      <c r="I606">
        <v>1</v>
      </c>
      <c r="J606">
        <f>1</f>
        <v>1</v>
      </c>
      <c r="K606">
        <f>1</f>
        <v>1</v>
      </c>
      <c r="L606">
        <v>0</v>
      </c>
      <c r="M606">
        <f t="shared" ca="1" si="19"/>
        <v>0.45327544496752148</v>
      </c>
      <c r="N606">
        <v>0</v>
      </c>
      <c r="O606">
        <v>0</v>
      </c>
      <c r="P606">
        <v>0</v>
      </c>
    </row>
    <row r="607" spans="1:16" x14ac:dyDescent="0.3">
      <c r="A607" t="s">
        <v>719</v>
      </c>
      <c r="B607" t="s">
        <v>65</v>
      </c>
      <c r="C607">
        <f ca="1">IF(RAND()&lt;0.8,F_Baseline_data!C607,IF(RAND()&lt;0.85,F_Baseline_data!C607+1,IF(F_Baseline_data!C607&gt;3,C607-1,F_Baseline_data!C607)))</f>
        <v>6</v>
      </c>
      <c r="D607">
        <f ca="1">MAX(5000,ROUND(F_Baseline_data!D607*(1+_xlfn.NORM.INV(RAND(),0.12,0.1)),-2))</f>
        <v>34200</v>
      </c>
      <c r="E607" t="str">
        <f ca="1">IF(I607=1,IF(RAND()&lt;0.95,"Piped Water",F_Baseline_data!E607),F_Baseline_data!E607)</f>
        <v>Piped Water</v>
      </c>
      <c r="F607">
        <f t="shared" ca="1" si="18"/>
        <v>0</v>
      </c>
      <c r="G607">
        <v>7.4</v>
      </c>
      <c r="H607">
        <f ca="1">MAX(0,ROUND(F_Baseline_data!H607+(F_Baseline_data!C607-5)*200+(D607-30000)*0.015+(F607-50)*15-IF(I607=1,1200,0)+_xlfn.NORM.INV(RAND(),0,2500),-2))</f>
        <v>7200</v>
      </c>
      <c r="I607">
        <v>1</v>
      </c>
      <c r="J607">
        <f>1</f>
        <v>1</v>
      </c>
      <c r="K607">
        <f>1</f>
        <v>1</v>
      </c>
      <c r="L607">
        <v>0</v>
      </c>
      <c r="M607">
        <f t="shared" ca="1" si="19"/>
        <v>0.39553945411059643</v>
      </c>
      <c r="N607">
        <v>0</v>
      </c>
      <c r="O607">
        <v>0</v>
      </c>
      <c r="P607">
        <v>0</v>
      </c>
    </row>
    <row r="608" spans="1:16" x14ac:dyDescent="0.3">
      <c r="A608" t="s">
        <v>720</v>
      </c>
      <c r="B608" t="s">
        <v>65</v>
      </c>
      <c r="C608">
        <f ca="1">IF(RAND()&lt;0.8,F_Baseline_data!C608,IF(RAND()&lt;0.85,F_Baseline_data!C608+1,IF(F_Baseline_data!C608&gt;3,C608-1,F_Baseline_data!C608)))</f>
        <v>9</v>
      </c>
      <c r="D608">
        <f ca="1">MAX(5000,ROUND(F_Baseline_data!D608*(1+_xlfn.NORM.INV(RAND(),0.12,0.1)),-2))</f>
        <v>41700</v>
      </c>
      <c r="E608" t="str">
        <f ca="1">IF(I608=1,IF(RAND()&lt;0.95,"Piped Water",F_Baseline_data!E608),F_Baseline_data!E608)</f>
        <v>Piped Water</v>
      </c>
      <c r="F608">
        <f t="shared" ca="1" si="18"/>
        <v>2</v>
      </c>
      <c r="G608">
        <v>0.5</v>
      </c>
      <c r="H608">
        <f ca="1">MAX(0,ROUND(F_Baseline_data!H608+(F_Baseline_data!C608-5)*200+(D608-30000)*0.015+(F608-50)*15-IF(I608=1,1200,0)+_xlfn.NORM.INV(RAND(),0,2500),-2))</f>
        <v>300</v>
      </c>
      <c r="I608">
        <v>1</v>
      </c>
      <c r="J608">
        <f>1</f>
        <v>1</v>
      </c>
      <c r="K608">
        <f>1</f>
        <v>1</v>
      </c>
      <c r="L608">
        <v>0</v>
      </c>
      <c r="M608">
        <f t="shared" ca="1" si="19"/>
        <v>0.12212778441391503</v>
      </c>
      <c r="N608">
        <v>0</v>
      </c>
      <c r="O608">
        <v>0</v>
      </c>
      <c r="P608">
        <v>0</v>
      </c>
    </row>
    <row r="609" spans="1:16" x14ac:dyDescent="0.3">
      <c r="A609" t="s">
        <v>721</v>
      </c>
      <c r="B609" t="s">
        <v>62</v>
      </c>
      <c r="C609">
        <f ca="1">IF(RAND()&lt;0.8,F_Baseline_data!C609,IF(RAND()&lt;0.85,F_Baseline_data!C609+1,IF(F_Baseline_data!C609&gt;3,C609-1,F_Baseline_data!C609)))</f>
        <v>4</v>
      </c>
      <c r="D609">
        <f ca="1">MAX(5000,ROUND(F_Baseline_data!D609*(1+_xlfn.NORM.INV(RAND(),0.12,0.1)),-2))</f>
        <v>25800</v>
      </c>
      <c r="E609" t="str">
        <f ca="1">IF(I609=1,IF(RAND()&lt;0.95,"Piped Water",F_Baseline_data!E609),F_Baseline_data!E609)</f>
        <v>Piped Water</v>
      </c>
      <c r="F609">
        <f t="shared" ca="1" si="18"/>
        <v>0</v>
      </c>
      <c r="G609">
        <v>5.8</v>
      </c>
      <c r="H609">
        <f ca="1">MAX(0,ROUND(F_Baseline_data!H609+(F_Baseline_data!C609-5)*200+(D609-30000)*0.015+(F609-50)*15-IF(I609=1,1200,0)+_xlfn.NORM.INV(RAND(),0,2500),-2))</f>
        <v>6900</v>
      </c>
      <c r="I609">
        <v>1</v>
      </c>
      <c r="J609">
        <f>1</f>
        <v>1</v>
      </c>
      <c r="K609">
        <f>1</f>
        <v>1</v>
      </c>
      <c r="L609">
        <v>0</v>
      </c>
      <c r="M609">
        <f t="shared" ca="1" si="19"/>
        <v>0.65626116859045747</v>
      </c>
      <c r="N609">
        <v>0</v>
      </c>
      <c r="O609">
        <v>0</v>
      </c>
      <c r="P609">
        <v>0</v>
      </c>
    </row>
    <row r="610" spans="1:16" x14ac:dyDescent="0.3">
      <c r="A610" t="s">
        <v>722</v>
      </c>
      <c r="B610" t="s">
        <v>64</v>
      </c>
      <c r="C610">
        <f ca="1">IF(RAND()&lt;0.8,F_Baseline_data!C610,IF(RAND()&lt;0.85,F_Baseline_data!C610+1,IF(F_Baseline_data!C610&gt;3,C610-1,F_Baseline_data!C610)))</f>
        <v>9</v>
      </c>
      <c r="D610">
        <f ca="1">MAX(5000,ROUND(F_Baseline_data!D610*(1+_xlfn.NORM.INV(RAND(),0.12,0.1)),-2))</f>
        <v>24500</v>
      </c>
      <c r="E610" t="str">
        <f ca="1">IF(I610=1,IF(RAND()&lt;0.95,"Piped Water",F_Baseline_data!E610),F_Baseline_data!E610)</f>
        <v>Piped Water</v>
      </c>
      <c r="F610">
        <f t="shared" ca="1" si="18"/>
        <v>2</v>
      </c>
      <c r="G610">
        <v>7.9</v>
      </c>
      <c r="H610">
        <f ca="1">MAX(0,ROUND(F_Baseline_data!H610+(F_Baseline_data!C610-5)*200+(D610-30000)*0.015+(F610-50)*15-IF(I610=1,1200,0)+_xlfn.NORM.INV(RAND(),0,2500),-2))</f>
        <v>12500</v>
      </c>
      <c r="I610">
        <v>1</v>
      </c>
      <c r="J610">
        <f>1</f>
        <v>1</v>
      </c>
      <c r="K610">
        <f>1</f>
        <v>1</v>
      </c>
      <c r="L610">
        <v>0</v>
      </c>
      <c r="M610">
        <f t="shared" ca="1" si="19"/>
        <v>0.26782802905964587</v>
      </c>
      <c r="N610">
        <v>0</v>
      </c>
      <c r="O610">
        <v>0</v>
      </c>
      <c r="P610">
        <v>0</v>
      </c>
    </row>
    <row r="611" spans="1:16" x14ac:dyDescent="0.3">
      <c r="A611" t="s">
        <v>723</v>
      </c>
      <c r="B611" t="s">
        <v>513</v>
      </c>
      <c r="C611">
        <f ca="1">IF(RAND()&lt;0.8,F_Baseline_data!C611,IF(RAND()&lt;0.85,F_Baseline_data!C611+1,IF(F_Baseline_data!C611&gt;3,C611-1,F_Baseline_data!C611)))</f>
        <v>4</v>
      </c>
      <c r="D611">
        <f ca="1">MAX(5000,ROUND(F_Baseline_data!D611*(1+_xlfn.NORM.INV(RAND(),0.12,0.1)),-2))</f>
        <v>75900</v>
      </c>
      <c r="E611" t="str">
        <f ca="1">IF(I611=1,IF(RAND()&lt;0.95,"Piped Water",F_Baseline_data!E611),F_Baseline_data!E611)</f>
        <v>Piped Water</v>
      </c>
      <c r="F611">
        <f t="shared" ca="1" si="18"/>
        <v>1</v>
      </c>
      <c r="G611">
        <v>11.9</v>
      </c>
      <c r="H611">
        <f ca="1">MAX(0,ROUND(F_Baseline_data!H611+(F_Baseline_data!C611-5)*200+(D611-30000)*0.015+(F611-50)*15-IF(I611=1,1200,0)+_xlfn.NORM.INV(RAND(),0,2500),-2))</f>
        <v>8100</v>
      </c>
      <c r="I611">
        <v>1</v>
      </c>
      <c r="J611">
        <f>1</f>
        <v>1</v>
      </c>
      <c r="K611">
        <f>1</f>
        <v>1</v>
      </c>
      <c r="L611">
        <v>0</v>
      </c>
      <c r="M611">
        <f t="shared" ca="1" si="19"/>
        <v>0.53409028754065535</v>
      </c>
      <c r="N611">
        <v>0</v>
      </c>
      <c r="O611">
        <v>0</v>
      </c>
      <c r="P611">
        <v>0</v>
      </c>
    </row>
    <row r="612" spans="1:16" x14ac:dyDescent="0.3">
      <c r="A612" t="s">
        <v>724</v>
      </c>
      <c r="B612" t="s">
        <v>62</v>
      </c>
      <c r="C612">
        <f ca="1">IF(RAND()&lt;0.8,F_Baseline_data!C612,IF(RAND()&lt;0.85,F_Baseline_data!C612+1,IF(F_Baseline_data!C612&gt;3,C612-1,F_Baseline_data!C612)))</f>
        <v>3</v>
      </c>
      <c r="D612">
        <f ca="1">MAX(5000,ROUND(F_Baseline_data!D612*(1+_xlfn.NORM.INV(RAND(),0.12,0.1)),-2))</f>
        <v>31200</v>
      </c>
      <c r="E612" t="str">
        <f ca="1">IF(I612=1,IF(RAND()&lt;0.95,"Piped Water",F_Baseline_data!E612),F_Baseline_data!E612)</f>
        <v>Piped Water</v>
      </c>
      <c r="F612">
        <f t="shared" ca="1" si="18"/>
        <v>4</v>
      </c>
      <c r="G612">
        <v>0.6</v>
      </c>
      <c r="H612">
        <f ca="1">MAX(0,ROUND(F_Baseline_data!H612+(F_Baseline_data!C612-5)*200+(D612-30000)*0.015+(F612-50)*15-IF(I612=1,1200,0)+_xlfn.NORM.INV(RAND(),0,2500),-2))</f>
        <v>0</v>
      </c>
      <c r="I612">
        <v>1</v>
      </c>
      <c r="J612">
        <f>1</f>
        <v>1</v>
      </c>
      <c r="K612">
        <f>1</f>
        <v>1</v>
      </c>
      <c r="L612">
        <v>0</v>
      </c>
      <c r="M612">
        <f t="shared" ca="1" si="19"/>
        <v>0.45244584786431763</v>
      </c>
      <c r="N612">
        <v>0</v>
      </c>
      <c r="O612">
        <v>0</v>
      </c>
      <c r="P612">
        <v>0</v>
      </c>
    </row>
    <row r="613" spans="1:16" x14ac:dyDescent="0.3">
      <c r="A613" t="s">
        <v>725</v>
      </c>
      <c r="B613" t="s">
        <v>513</v>
      </c>
      <c r="C613">
        <f ca="1">IF(RAND()&lt;0.8,F_Baseline_data!C613,IF(RAND()&lt;0.85,F_Baseline_data!C613+1,IF(F_Baseline_data!C613&gt;3,C613-1,F_Baseline_data!C613)))</f>
        <v>5</v>
      </c>
      <c r="D613">
        <f ca="1">MAX(5000,ROUND(F_Baseline_data!D613*(1+_xlfn.NORM.INV(RAND(),0.12,0.1)),-2))</f>
        <v>33200</v>
      </c>
      <c r="E613" t="str">
        <f ca="1">IF(I613=1,IF(RAND()&lt;0.95,"Piped Water",F_Baseline_data!E613),F_Baseline_data!E613)</f>
        <v>Piped Water</v>
      </c>
      <c r="F613">
        <f t="shared" ca="1" si="18"/>
        <v>6</v>
      </c>
      <c r="G613">
        <v>7.6</v>
      </c>
      <c r="H613">
        <f ca="1">MAX(0,ROUND(F_Baseline_data!H613+(F_Baseline_data!C613-5)*200+(D613-30000)*0.015+(F613-50)*15-IF(I613=1,1200,0)+_xlfn.NORM.INV(RAND(),0,2500),-2))</f>
        <v>3200</v>
      </c>
      <c r="I613">
        <v>1</v>
      </c>
      <c r="J613">
        <f>1</f>
        <v>1</v>
      </c>
      <c r="K613">
        <f>1</f>
        <v>1</v>
      </c>
      <c r="L613">
        <v>0</v>
      </c>
      <c r="M613">
        <f t="shared" ca="1" si="19"/>
        <v>0.19776689683214932</v>
      </c>
      <c r="N613">
        <v>0</v>
      </c>
      <c r="O613">
        <v>0</v>
      </c>
      <c r="P613">
        <v>0</v>
      </c>
    </row>
    <row r="614" spans="1:16" x14ac:dyDescent="0.3">
      <c r="A614" t="s">
        <v>726</v>
      </c>
      <c r="B614" t="s">
        <v>65</v>
      </c>
      <c r="C614">
        <f ca="1">IF(RAND()&lt;0.8,F_Baseline_data!C614,IF(RAND()&lt;0.85,F_Baseline_data!C614+1,IF(F_Baseline_data!C614&gt;3,C614-1,F_Baseline_data!C614)))</f>
        <v>6</v>
      </c>
      <c r="D614">
        <f ca="1">MAX(5000,ROUND(F_Baseline_data!D614*(1+_xlfn.NORM.INV(RAND(),0.12,0.1)),-2))</f>
        <v>49100</v>
      </c>
      <c r="E614" t="str">
        <f ca="1">IF(I614=1,IF(RAND()&lt;0.95,"Piped Water",F_Baseline_data!E614),F_Baseline_data!E614)</f>
        <v>Piped Water</v>
      </c>
      <c r="F614">
        <f t="shared" ca="1" si="18"/>
        <v>9</v>
      </c>
      <c r="G614">
        <v>4.5</v>
      </c>
      <c r="H614">
        <f ca="1">MAX(0,ROUND(F_Baseline_data!H614+(F_Baseline_data!C614-5)*200+(D614-30000)*0.015+(F614-50)*15-IF(I614=1,1200,0)+_xlfn.NORM.INV(RAND(),0,2500),-2))</f>
        <v>8400</v>
      </c>
      <c r="I614">
        <v>1</v>
      </c>
      <c r="J614">
        <f>1</f>
        <v>1</v>
      </c>
      <c r="K614">
        <f>1</f>
        <v>1</v>
      </c>
      <c r="L614">
        <v>0</v>
      </c>
      <c r="M614">
        <f t="shared" ca="1" si="19"/>
        <v>0.52267902432649282</v>
      </c>
      <c r="N614">
        <v>0</v>
      </c>
      <c r="O614">
        <v>0</v>
      </c>
      <c r="P614">
        <v>0</v>
      </c>
    </row>
    <row r="615" spans="1:16" x14ac:dyDescent="0.3">
      <c r="A615" t="s">
        <v>727</v>
      </c>
      <c r="B615" t="s">
        <v>513</v>
      </c>
      <c r="C615">
        <f ca="1">IF(RAND()&lt;0.8,F_Baseline_data!C615,IF(RAND()&lt;0.85,F_Baseline_data!C615+1,IF(F_Baseline_data!C615&gt;3,C615-1,F_Baseline_data!C615)))</f>
        <v>5</v>
      </c>
      <c r="D615">
        <f ca="1">MAX(5000,ROUND(F_Baseline_data!D615*(1+_xlfn.NORM.INV(RAND(),0.12,0.1)),-2))</f>
        <v>25900</v>
      </c>
      <c r="E615" t="str">
        <f ca="1">IF(I615=1,IF(RAND()&lt;0.95,"Piped Water",F_Baseline_data!E615),F_Baseline_data!E615)</f>
        <v>Piped Water</v>
      </c>
      <c r="F615">
        <f t="shared" ca="1" si="18"/>
        <v>10</v>
      </c>
      <c r="G615">
        <v>1.4</v>
      </c>
      <c r="H615">
        <f ca="1">MAX(0,ROUND(F_Baseline_data!H615+(F_Baseline_data!C615-5)*200+(D615-30000)*0.015+(F615-50)*15-IF(I615=1,1200,0)+_xlfn.NORM.INV(RAND(),0,2500),-2))</f>
        <v>0</v>
      </c>
      <c r="I615">
        <v>1</v>
      </c>
      <c r="J615">
        <f>1</f>
        <v>1</v>
      </c>
      <c r="K615">
        <f>1</f>
        <v>1</v>
      </c>
      <c r="L615">
        <v>0</v>
      </c>
      <c r="M615">
        <f t="shared" ca="1" si="19"/>
        <v>0.60343266408399687</v>
      </c>
      <c r="N615">
        <v>0</v>
      </c>
      <c r="O615">
        <v>0</v>
      </c>
      <c r="P615">
        <v>0</v>
      </c>
    </row>
    <row r="616" spans="1:16" x14ac:dyDescent="0.3">
      <c r="A616" t="s">
        <v>728</v>
      </c>
      <c r="B616" t="s">
        <v>513</v>
      </c>
      <c r="C616">
        <f ca="1">IF(RAND()&lt;0.8,F_Baseline_data!C616,IF(RAND()&lt;0.85,F_Baseline_data!C616+1,IF(F_Baseline_data!C616&gt;3,C616-1,F_Baseline_data!C616)))</f>
        <v>7</v>
      </c>
      <c r="D616">
        <f ca="1">MAX(5000,ROUND(F_Baseline_data!D616*(1+_xlfn.NORM.INV(RAND(),0.12,0.1)),-2))</f>
        <v>43400</v>
      </c>
      <c r="E616" t="str">
        <f ca="1">IF(I616=1,IF(RAND()&lt;0.95,"Piped Water",F_Baseline_data!E616),F_Baseline_data!E616)</f>
        <v>Piped Water</v>
      </c>
      <c r="F616">
        <f t="shared" ca="1" si="18"/>
        <v>1</v>
      </c>
      <c r="G616">
        <v>6.7</v>
      </c>
      <c r="H616">
        <f ca="1">MAX(0,ROUND(F_Baseline_data!H616+(F_Baseline_data!C616-5)*200+(D616-30000)*0.015+(F616-50)*15-IF(I616=1,1200,0)+_xlfn.NORM.INV(RAND(),0,2500),-2))</f>
        <v>0</v>
      </c>
      <c r="I616">
        <v>1</v>
      </c>
      <c r="J616">
        <f>1</f>
        <v>1</v>
      </c>
      <c r="K616">
        <f>1</f>
        <v>1</v>
      </c>
      <c r="L616">
        <v>0</v>
      </c>
      <c r="M616">
        <f t="shared" ca="1" si="19"/>
        <v>5.0202354285328266E-2</v>
      </c>
      <c r="N616">
        <v>0</v>
      </c>
      <c r="O616">
        <v>0</v>
      </c>
      <c r="P616">
        <v>0</v>
      </c>
    </row>
    <row r="617" spans="1:16" x14ac:dyDescent="0.3">
      <c r="A617" t="s">
        <v>729</v>
      </c>
      <c r="B617" t="s">
        <v>62</v>
      </c>
      <c r="C617">
        <f ca="1">IF(RAND()&lt;0.8,F_Baseline_data!C617,IF(RAND()&lt;0.85,F_Baseline_data!C617+1,IF(F_Baseline_data!C617&gt;3,C617-1,F_Baseline_data!C617)))</f>
        <v>8</v>
      </c>
      <c r="D617">
        <f ca="1">MAX(5000,ROUND(F_Baseline_data!D617*(1+_xlfn.NORM.INV(RAND(),0.12,0.1)),-2))</f>
        <v>52300</v>
      </c>
      <c r="E617" t="str">
        <f ca="1">IF(I617=1,IF(RAND()&lt;0.95,"Piped Water",F_Baseline_data!E617),F_Baseline_data!E617)</f>
        <v>Piped Water</v>
      </c>
      <c r="F617">
        <f t="shared" ca="1" si="18"/>
        <v>8</v>
      </c>
      <c r="G617">
        <v>6.7</v>
      </c>
      <c r="H617">
        <f ca="1">MAX(0,ROUND(F_Baseline_data!H617+(F_Baseline_data!C617-5)*200+(D617-30000)*0.015+(F617-50)*15-IF(I617=1,1200,0)+_xlfn.NORM.INV(RAND(),0,2500),-2))</f>
        <v>5200</v>
      </c>
      <c r="I617">
        <v>1</v>
      </c>
      <c r="J617">
        <f>1</f>
        <v>1</v>
      </c>
      <c r="K617">
        <f>1</f>
        <v>1</v>
      </c>
      <c r="L617">
        <v>0</v>
      </c>
      <c r="M617">
        <f t="shared" ca="1" si="19"/>
        <v>0.79938996298474707</v>
      </c>
      <c r="N617">
        <v>0</v>
      </c>
      <c r="O617">
        <v>0</v>
      </c>
      <c r="P617">
        <v>0</v>
      </c>
    </row>
    <row r="618" spans="1:16" x14ac:dyDescent="0.3">
      <c r="A618" t="s">
        <v>730</v>
      </c>
      <c r="B618" t="s">
        <v>65</v>
      </c>
      <c r="C618">
        <f ca="1">IF(RAND()&lt;0.8,F_Baseline_data!C618,IF(RAND()&lt;0.85,F_Baseline_data!C618+1,IF(F_Baseline_data!C618&gt;3,C618-1,F_Baseline_data!C618)))</f>
        <v>4</v>
      </c>
      <c r="D618">
        <f ca="1">MAX(5000,ROUND(F_Baseline_data!D618*(1+_xlfn.NORM.INV(RAND(),0.12,0.1)),-2))</f>
        <v>20100</v>
      </c>
      <c r="E618" t="str">
        <f ca="1">IF(I618=1,IF(RAND()&lt;0.95,"Piped Water",F_Baseline_data!E618),F_Baseline_data!E618)</f>
        <v>Piped Water</v>
      </c>
      <c r="F618">
        <f t="shared" ca="1" si="18"/>
        <v>9</v>
      </c>
      <c r="G618">
        <v>5.4</v>
      </c>
      <c r="H618">
        <f ca="1">MAX(0,ROUND(F_Baseline_data!H618+(F_Baseline_data!C618-5)*200+(D618-30000)*0.015+(F618-50)*15-IF(I618=1,1200,0)+_xlfn.NORM.INV(RAND(),0,2500),-2))</f>
        <v>0</v>
      </c>
      <c r="I618">
        <v>1</v>
      </c>
      <c r="J618">
        <f>1</f>
        <v>1</v>
      </c>
      <c r="K618">
        <f>1</f>
        <v>1</v>
      </c>
      <c r="L618">
        <v>0</v>
      </c>
      <c r="M618">
        <f t="shared" ca="1" si="19"/>
        <v>0.58680417879349356</v>
      </c>
      <c r="N618">
        <v>0</v>
      </c>
      <c r="O618">
        <v>0</v>
      </c>
      <c r="P618">
        <v>0</v>
      </c>
    </row>
    <row r="619" spans="1:16" x14ac:dyDescent="0.3">
      <c r="A619" t="s">
        <v>731</v>
      </c>
      <c r="B619" t="s">
        <v>513</v>
      </c>
      <c r="C619">
        <f ca="1">IF(RAND()&lt;0.8,F_Baseline_data!C619,IF(RAND()&lt;0.85,F_Baseline_data!C619+1,IF(F_Baseline_data!C619&gt;3,C619-1,F_Baseline_data!C619)))</f>
        <v>6</v>
      </c>
      <c r="D619">
        <f ca="1">MAX(5000,ROUND(F_Baseline_data!D619*(1+_xlfn.NORM.INV(RAND(),0.12,0.1)),-2))</f>
        <v>66200</v>
      </c>
      <c r="E619" t="str">
        <f ca="1">IF(I619=1,IF(RAND()&lt;0.95,"Piped Water",F_Baseline_data!E619),F_Baseline_data!E619)</f>
        <v>Piped Water</v>
      </c>
      <c r="F619">
        <f t="shared" ca="1" si="18"/>
        <v>6</v>
      </c>
      <c r="G619">
        <v>0.5</v>
      </c>
      <c r="H619">
        <f ca="1">MAX(0,ROUND(F_Baseline_data!H619+(F_Baseline_data!C619-5)*200+(D619-30000)*0.015+(F619-50)*15-IF(I619=1,1200,0)+_xlfn.NORM.INV(RAND(),0,2500),-2))</f>
        <v>12800</v>
      </c>
      <c r="I619">
        <v>1</v>
      </c>
      <c r="J619">
        <f>1</f>
        <v>1</v>
      </c>
      <c r="K619">
        <f>1</f>
        <v>1</v>
      </c>
      <c r="L619">
        <v>0</v>
      </c>
      <c r="M619">
        <f t="shared" ca="1" si="19"/>
        <v>9.3418013951165668E-2</v>
      </c>
      <c r="N619">
        <v>0</v>
      </c>
      <c r="O619">
        <v>0</v>
      </c>
      <c r="P619">
        <v>0</v>
      </c>
    </row>
    <row r="620" spans="1:16" x14ac:dyDescent="0.3">
      <c r="A620" t="s">
        <v>732</v>
      </c>
      <c r="B620" t="s">
        <v>513</v>
      </c>
      <c r="C620">
        <f ca="1">IF(RAND()&lt;0.8,F_Baseline_data!C620,IF(RAND()&lt;0.85,F_Baseline_data!C620+1,IF(F_Baseline_data!C620&gt;3,C620-1,F_Baseline_data!C620)))</f>
        <v>6</v>
      </c>
      <c r="D620">
        <f ca="1">MAX(5000,ROUND(F_Baseline_data!D620*(1+_xlfn.NORM.INV(RAND(),0.12,0.1)),-2))</f>
        <v>33800</v>
      </c>
      <c r="E620" t="str">
        <f ca="1">IF(I620=1,IF(RAND()&lt;0.95,"Piped Water",F_Baseline_data!E620),F_Baseline_data!E620)</f>
        <v>River</v>
      </c>
      <c r="F620">
        <f t="shared" ca="1" si="18"/>
        <v>100</v>
      </c>
      <c r="G620">
        <v>15</v>
      </c>
      <c r="H620">
        <f ca="1">MAX(0,ROUND(F_Baseline_data!H620+(F_Baseline_data!C620-5)*200+(D620-30000)*0.015+(F620-50)*15-IF(I620=1,1200,0)+_xlfn.NORM.INV(RAND(),0,2500),-2))</f>
        <v>6400</v>
      </c>
      <c r="I620">
        <v>1</v>
      </c>
      <c r="J620">
        <f>1</f>
        <v>1</v>
      </c>
      <c r="K620">
        <f>1</f>
        <v>1</v>
      </c>
      <c r="L620">
        <v>0</v>
      </c>
      <c r="M620">
        <f t="shared" ca="1" si="19"/>
        <v>0.3426968851979163</v>
      </c>
      <c r="N620">
        <v>0</v>
      </c>
      <c r="O620">
        <v>0</v>
      </c>
      <c r="P620">
        <v>0</v>
      </c>
    </row>
    <row r="621" spans="1:16" x14ac:dyDescent="0.3">
      <c r="A621" t="s">
        <v>733</v>
      </c>
      <c r="B621" t="s">
        <v>513</v>
      </c>
      <c r="C621">
        <f ca="1">IF(RAND()&lt;0.8,F_Baseline_data!C621,IF(RAND()&lt;0.85,F_Baseline_data!C621+1,IF(F_Baseline_data!C621&gt;3,C621-1,F_Baseline_data!C621)))</f>
        <v>9</v>
      </c>
      <c r="D621">
        <f ca="1">MAX(5000,ROUND(F_Baseline_data!D621*(1+_xlfn.NORM.INV(RAND(),0.12,0.1)),-2))</f>
        <v>31200</v>
      </c>
      <c r="E621" t="str">
        <f ca="1">IF(I621=1,IF(RAND()&lt;0.95,"Piped Water",F_Baseline_data!E621),F_Baseline_data!E621)</f>
        <v>Piped Water</v>
      </c>
      <c r="F621">
        <f t="shared" ca="1" si="18"/>
        <v>10</v>
      </c>
      <c r="G621">
        <v>8.3000000000000007</v>
      </c>
      <c r="H621">
        <f ca="1">MAX(0,ROUND(F_Baseline_data!H621+(F_Baseline_data!C621-5)*200+(D621-30000)*0.015+(F621-50)*15-IF(I621=1,1200,0)+_xlfn.NORM.INV(RAND(),0,2500),-2))</f>
        <v>700</v>
      </c>
      <c r="I621">
        <v>1</v>
      </c>
      <c r="J621">
        <f>1</f>
        <v>1</v>
      </c>
      <c r="K621">
        <f>1</f>
        <v>1</v>
      </c>
      <c r="L621">
        <v>0</v>
      </c>
      <c r="M621">
        <f t="shared" ca="1" si="19"/>
        <v>0.62858694641153512</v>
      </c>
      <c r="N621">
        <v>0</v>
      </c>
      <c r="O621">
        <v>0</v>
      </c>
      <c r="P621">
        <v>0</v>
      </c>
    </row>
    <row r="622" spans="1:16" x14ac:dyDescent="0.3">
      <c r="A622" t="s">
        <v>734</v>
      </c>
      <c r="B622" t="s">
        <v>513</v>
      </c>
      <c r="C622">
        <f ca="1">IF(RAND()&lt;0.8,F_Baseline_data!C622,IF(RAND()&lt;0.85,F_Baseline_data!C622+1,IF(F_Baseline_data!C622&gt;3,C622-1,F_Baseline_data!C622)))</f>
        <v>5</v>
      </c>
      <c r="D622">
        <f ca="1">MAX(5000,ROUND(F_Baseline_data!D622*(1+_xlfn.NORM.INV(RAND(),0.12,0.1)),-2))</f>
        <v>26900</v>
      </c>
      <c r="E622" t="str">
        <f ca="1">IF(I622=1,IF(RAND()&lt;0.95,"Piped Water",F_Baseline_data!E622),F_Baseline_data!E622)</f>
        <v>River</v>
      </c>
      <c r="F622">
        <f t="shared" ca="1" si="18"/>
        <v>94</v>
      </c>
      <c r="G622">
        <v>4.5</v>
      </c>
      <c r="H622">
        <f ca="1">MAX(0,ROUND(F_Baseline_data!H622+(F_Baseline_data!C622-5)*200+(D622-30000)*0.015+(F622-50)*15-IF(I622=1,1200,0)+_xlfn.NORM.INV(RAND(),0,2500),-2))</f>
        <v>12700</v>
      </c>
      <c r="I622">
        <v>1</v>
      </c>
      <c r="J622">
        <f>1</f>
        <v>1</v>
      </c>
      <c r="K622">
        <f>1</f>
        <v>1</v>
      </c>
      <c r="L622">
        <v>0</v>
      </c>
      <c r="M622">
        <f t="shared" ca="1" si="19"/>
        <v>0.9438977899600306</v>
      </c>
      <c r="N622">
        <v>0</v>
      </c>
      <c r="O622">
        <v>0</v>
      </c>
      <c r="P622">
        <v>0</v>
      </c>
    </row>
    <row r="623" spans="1:16" x14ac:dyDescent="0.3">
      <c r="A623" t="s">
        <v>735</v>
      </c>
      <c r="B623" t="s">
        <v>64</v>
      </c>
      <c r="C623">
        <f ca="1">IF(RAND()&lt;0.8,F_Baseline_data!C623,IF(RAND()&lt;0.85,F_Baseline_data!C623+1,IF(F_Baseline_data!C623&gt;3,C623-1,F_Baseline_data!C623)))</f>
        <v>3</v>
      </c>
      <c r="D623">
        <f ca="1">MAX(5000,ROUND(F_Baseline_data!D623*(1+_xlfn.NORM.INV(RAND(),0.12,0.1)),-2))</f>
        <v>29700</v>
      </c>
      <c r="E623" t="str">
        <f ca="1">IF(I623=1,IF(RAND()&lt;0.95,"Piped Water",F_Baseline_data!E623),F_Baseline_data!E623)</f>
        <v>Piped Water</v>
      </c>
      <c r="F623">
        <f t="shared" ca="1" si="18"/>
        <v>5</v>
      </c>
      <c r="G623">
        <v>11.5</v>
      </c>
      <c r="H623">
        <f ca="1">MAX(0,ROUND(F_Baseline_data!H623+(F_Baseline_data!C623-5)*200+(D623-30000)*0.015+(F623-50)*15-IF(I623=1,1200,0)+_xlfn.NORM.INV(RAND(),0,2500),-2))</f>
        <v>5700</v>
      </c>
      <c r="I623">
        <v>1</v>
      </c>
      <c r="J623">
        <f>1</f>
        <v>1</v>
      </c>
      <c r="K623">
        <f>1</f>
        <v>1</v>
      </c>
      <c r="L623">
        <v>0</v>
      </c>
      <c r="M623">
        <f t="shared" ca="1" si="19"/>
        <v>0.29437110020661406</v>
      </c>
      <c r="N623">
        <v>0</v>
      </c>
      <c r="O623">
        <v>0</v>
      </c>
      <c r="P623">
        <v>0</v>
      </c>
    </row>
    <row r="624" spans="1:16" x14ac:dyDescent="0.3">
      <c r="A624" t="s">
        <v>736</v>
      </c>
      <c r="B624" t="s">
        <v>62</v>
      </c>
      <c r="C624">
        <f ca="1">IF(RAND()&lt;0.8,F_Baseline_data!C624,IF(RAND()&lt;0.85,F_Baseline_data!C624+1,IF(F_Baseline_data!C624&gt;3,C624-1,F_Baseline_data!C624)))</f>
        <v>5</v>
      </c>
      <c r="D624">
        <f ca="1">MAX(5000,ROUND(F_Baseline_data!D624*(1+_xlfn.NORM.INV(RAND(),0.12,0.1)),-2))</f>
        <v>17700</v>
      </c>
      <c r="E624" t="str">
        <f ca="1">IF(I624=1,IF(RAND()&lt;0.95,"Piped Water",F_Baseline_data!E624),F_Baseline_data!E624)</f>
        <v>Piped Water</v>
      </c>
      <c r="F624">
        <f t="shared" ca="1" si="18"/>
        <v>6</v>
      </c>
      <c r="G624">
        <v>8</v>
      </c>
      <c r="H624">
        <f ca="1">MAX(0,ROUND(F_Baseline_data!H624+(F_Baseline_data!C624-5)*200+(D624-30000)*0.015+(F624-50)*15-IF(I624=1,1200,0)+_xlfn.NORM.INV(RAND(),0,2500),-2))</f>
        <v>3700</v>
      </c>
      <c r="I624">
        <v>1</v>
      </c>
      <c r="J624">
        <f>1</f>
        <v>1</v>
      </c>
      <c r="K624">
        <f>1</f>
        <v>1</v>
      </c>
      <c r="L624">
        <v>0</v>
      </c>
      <c r="M624">
        <f t="shared" ca="1" si="19"/>
        <v>3.0062092878107349E-2</v>
      </c>
      <c r="N624">
        <v>0</v>
      </c>
      <c r="O624">
        <v>0</v>
      </c>
      <c r="P624">
        <v>0</v>
      </c>
    </row>
    <row r="625" spans="1:16" x14ac:dyDescent="0.3">
      <c r="A625" t="s">
        <v>737</v>
      </c>
      <c r="B625" t="s">
        <v>62</v>
      </c>
      <c r="C625">
        <f ca="1">IF(RAND()&lt;0.8,F_Baseline_data!C625,IF(RAND()&lt;0.85,F_Baseline_data!C625+1,IF(F_Baseline_data!C625&gt;3,C625-1,F_Baseline_data!C625)))</f>
        <v>3</v>
      </c>
      <c r="D625">
        <f ca="1">MAX(5000,ROUND(F_Baseline_data!D625*(1+_xlfn.NORM.INV(RAND(),0.12,0.1)),-2))</f>
        <v>25700</v>
      </c>
      <c r="E625" t="str">
        <f ca="1">IF(I625=1,IF(RAND()&lt;0.95,"Piped Water",F_Baseline_data!E625),F_Baseline_data!E625)</f>
        <v>Piped Water</v>
      </c>
      <c r="F625">
        <f t="shared" ca="1" si="18"/>
        <v>1</v>
      </c>
      <c r="G625">
        <v>9.1</v>
      </c>
      <c r="H625">
        <f ca="1">MAX(0,ROUND(F_Baseline_data!H625+(F_Baseline_data!C625-5)*200+(D625-30000)*0.015+(F625-50)*15-IF(I625=1,1200,0)+_xlfn.NORM.INV(RAND(),0,2500),-2))</f>
        <v>1900</v>
      </c>
      <c r="I625">
        <v>1</v>
      </c>
      <c r="J625">
        <f>1</f>
        <v>1</v>
      </c>
      <c r="K625">
        <f>1</f>
        <v>1</v>
      </c>
      <c r="L625">
        <v>0</v>
      </c>
      <c r="M625">
        <f t="shared" ca="1" si="19"/>
        <v>0.9113760555101944</v>
      </c>
      <c r="N625">
        <v>0</v>
      </c>
      <c r="O625">
        <v>0</v>
      </c>
      <c r="P625">
        <v>0</v>
      </c>
    </row>
    <row r="626" spans="1:16" x14ac:dyDescent="0.3">
      <c r="A626" t="s">
        <v>738</v>
      </c>
      <c r="B626" t="s">
        <v>62</v>
      </c>
      <c r="C626">
        <f ca="1">IF(RAND()&lt;0.8,F_Baseline_data!C626,IF(RAND()&lt;0.85,F_Baseline_data!C626+1,IF(F_Baseline_data!C626&gt;3,C626-1,F_Baseline_data!C626)))</f>
        <v>9</v>
      </c>
      <c r="D626">
        <f ca="1">MAX(5000,ROUND(F_Baseline_data!D626*(1+_xlfn.NORM.INV(RAND(),0.12,0.1)),-2))</f>
        <v>21500</v>
      </c>
      <c r="E626" t="str">
        <f ca="1">IF(I626=1,IF(RAND()&lt;0.95,"Piped Water",F_Baseline_data!E626),F_Baseline_data!E626)</f>
        <v>Piped Water</v>
      </c>
      <c r="F626">
        <f t="shared" ca="1" si="18"/>
        <v>3</v>
      </c>
      <c r="G626">
        <v>8.3000000000000007</v>
      </c>
      <c r="H626">
        <f ca="1">MAX(0,ROUND(F_Baseline_data!H626+(F_Baseline_data!C626-5)*200+(D626-30000)*0.015+(F626-50)*15-IF(I626=1,1200,0)+_xlfn.NORM.INV(RAND(),0,2500),-2))</f>
        <v>9000</v>
      </c>
      <c r="I626">
        <v>1</v>
      </c>
      <c r="J626">
        <f>1</f>
        <v>1</v>
      </c>
      <c r="K626">
        <f>1</f>
        <v>1</v>
      </c>
      <c r="L626">
        <v>0</v>
      </c>
      <c r="M626">
        <f t="shared" ca="1" si="19"/>
        <v>0.18308921300459091</v>
      </c>
      <c r="N626">
        <v>0</v>
      </c>
      <c r="O626">
        <v>0</v>
      </c>
      <c r="P626">
        <v>0</v>
      </c>
    </row>
    <row r="627" spans="1:16" x14ac:dyDescent="0.3">
      <c r="A627" t="s">
        <v>739</v>
      </c>
      <c r="B627" t="s">
        <v>513</v>
      </c>
      <c r="C627">
        <f ca="1">IF(RAND()&lt;0.8,F_Baseline_data!C627,IF(RAND()&lt;0.85,F_Baseline_data!C627+1,IF(F_Baseline_data!C627&gt;3,C627-1,F_Baseline_data!C627)))</f>
        <v>5</v>
      </c>
      <c r="D627">
        <f ca="1">MAX(5000,ROUND(F_Baseline_data!D627*(1+_xlfn.NORM.INV(RAND(),0.12,0.1)),-2))</f>
        <v>33600</v>
      </c>
      <c r="E627" t="str">
        <f ca="1">IF(I627=1,IF(RAND()&lt;0.95,"Piped Water",F_Baseline_data!E627),F_Baseline_data!E627)</f>
        <v>Piped Water</v>
      </c>
      <c r="F627">
        <f t="shared" ca="1" si="18"/>
        <v>10</v>
      </c>
      <c r="G627">
        <v>8.1999999999999993</v>
      </c>
      <c r="H627">
        <f ca="1">MAX(0,ROUND(F_Baseline_data!H627+(F_Baseline_data!C627-5)*200+(D627-30000)*0.015+(F627-50)*15-IF(I627=1,1200,0)+_xlfn.NORM.INV(RAND(),0,2500),-2))</f>
        <v>4800</v>
      </c>
      <c r="I627">
        <v>1</v>
      </c>
      <c r="J627">
        <f>1</f>
        <v>1</v>
      </c>
      <c r="K627">
        <f>1</f>
        <v>1</v>
      </c>
      <c r="L627">
        <v>0</v>
      </c>
      <c r="M627">
        <f t="shared" ca="1" si="19"/>
        <v>1.6373824521540348E-2</v>
      </c>
      <c r="N627">
        <v>0</v>
      </c>
      <c r="O627">
        <v>0</v>
      </c>
      <c r="P627">
        <v>0</v>
      </c>
    </row>
    <row r="628" spans="1:16" x14ac:dyDescent="0.3">
      <c r="A628" t="s">
        <v>740</v>
      </c>
      <c r="B628" t="s">
        <v>64</v>
      </c>
      <c r="C628">
        <f ca="1">IF(RAND()&lt;0.8,F_Baseline_data!C628,IF(RAND()&lt;0.85,F_Baseline_data!C628+1,IF(F_Baseline_data!C628&gt;3,C628-1,F_Baseline_data!C628)))</f>
        <v>10</v>
      </c>
      <c r="D628">
        <f ca="1">MAX(5000,ROUND(F_Baseline_data!D628*(1+_xlfn.NORM.INV(RAND(),0.12,0.1)),-2))</f>
        <v>28200</v>
      </c>
      <c r="E628" t="str">
        <f ca="1">IF(I628=1,IF(RAND()&lt;0.95,"Piped Water",F_Baseline_data!E628),F_Baseline_data!E628)</f>
        <v>Piped Water</v>
      </c>
      <c r="F628">
        <f t="shared" ca="1" si="18"/>
        <v>5</v>
      </c>
      <c r="G628">
        <v>8.5</v>
      </c>
      <c r="H628">
        <f ca="1">MAX(0,ROUND(F_Baseline_data!H628+(F_Baseline_data!C628-5)*200+(D628-30000)*0.015+(F628-50)*15-IF(I628=1,1200,0)+_xlfn.NORM.INV(RAND(),0,2500),-2))</f>
        <v>8300</v>
      </c>
      <c r="I628">
        <v>1</v>
      </c>
      <c r="J628">
        <f>1</f>
        <v>1</v>
      </c>
      <c r="K628">
        <f>1</f>
        <v>1</v>
      </c>
      <c r="L628">
        <v>0</v>
      </c>
      <c r="M628">
        <f t="shared" ca="1" si="19"/>
        <v>0.86288307990822311</v>
      </c>
      <c r="N628">
        <v>0</v>
      </c>
      <c r="O628">
        <v>0</v>
      </c>
      <c r="P628">
        <v>0</v>
      </c>
    </row>
    <row r="629" spans="1:16" x14ac:dyDescent="0.3">
      <c r="A629" t="s">
        <v>741</v>
      </c>
      <c r="B629" t="s">
        <v>65</v>
      </c>
      <c r="C629">
        <f ca="1">IF(RAND()&lt;0.8,F_Baseline_data!C629,IF(RAND()&lt;0.85,F_Baseline_data!C629+1,IF(F_Baseline_data!C629&gt;3,C629-1,F_Baseline_data!C629)))</f>
        <v>8</v>
      </c>
      <c r="D629">
        <f ca="1">MAX(5000,ROUND(F_Baseline_data!D629*(1+_xlfn.NORM.INV(RAND(),0.12,0.1)),-2))</f>
        <v>55400</v>
      </c>
      <c r="E629" t="str">
        <f ca="1">IF(I629=1,IF(RAND()&lt;0.95,"Piped Water",F_Baseline_data!E629),F_Baseline_data!E629)</f>
        <v>Piped Water</v>
      </c>
      <c r="F629">
        <f t="shared" ca="1" si="18"/>
        <v>6</v>
      </c>
      <c r="G629">
        <v>8.5</v>
      </c>
      <c r="H629">
        <f ca="1">MAX(0,ROUND(F_Baseline_data!H629+(F_Baseline_data!C629-5)*200+(D629-30000)*0.015+(F629-50)*15-IF(I629=1,1200,0)+_xlfn.NORM.INV(RAND(),0,2500),-2))</f>
        <v>2300</v>
      </c>
      <c r="I629">
        <v>1</v>
      </c>
      <c r="J629">
        <f>1</f>
        <v>1</v>
      </c>
      <c r="K629">
        <f>1</f>
        <v>1</v>
      </c>
      <c r="L629">
        <v>0</v>
      </c>
      <c r="M629">
        <f t="shared" ca="1" si="19"/>
        <v>0.46025146745888079</v>
      </c>
      <c r="N629">
        <v>0</v>
      </c>
      <c r="O629">
        <v>0</v>
      </c>
      <c r="P629">
        <v>0</v>
      </c>
    </row>
    <row r="630" spans="1:16" x14ac:dyDescent="0.3">
      <c r="A630" t="s">
        <v>742</v>
      </c>
      <c r="B630" t="s">
        <v>62</v>
      </c>
      <c r="C630">
        <f ca="1">IF(RAND()&lt;0.8,F_Baseline_data!C630,IF(RAND()&lt;0.85,F_Baseline_data!C630+1,IF(F_Baseline_data!C630&gt;3,C630-1,F_Baseline_data!C630)))</f>
        <v>7</v>
      </c>
      <c r="D630">
        <f ca="1">MAX(5000,ROUND(F_Baseline_data!D630*(1+_xlfn.NORM.INV(RAND(),0.12,0.1)),-2))</f>
        <v>78200</v>
      </c>
      <c r="E630" t="str">
        <f ca="1">IF(I630=1,IF(RAND()&lt;0.95,"Piped Water",F_Baseline_data!E630),F_Baseline_data!E630)</f>
        <v>Piped Water</v>
      </c>
      <c r="F630">
        <f t="shared" ca="1" si="18"/>
        <v>8</v>
      </c>
      <c r="G630">
        <v>3</v>
      </c>
      <c r="H630">
        <f ca="1">MAX(0,ROUND(F_Baseline_data!H630+(F_Baseline_data!C630-5)*200+(D630-30000)*0.015+(F630-50)*15-IF(I630=1,1200,0)+_xlfn.NORM.INV(RAND(),0,2500),-2))</f>
        <v>4000</v>
      </c>
      <c r="I630">
        <v>1</v>
      </c>
      <c r="J630">
        <f>1</f>
        <v>1</v>
      </c>
      <c r="K630">
        <f>1</f>
        <v>1</v>
      </c>
      <c r="L630">
        <v>0</v>
      </c>
      <c r="M630">
        <f t="shared" ca="1" si="19"/>
        <v>0.90496609994511257</v>
      </c>
      <c r="N630">
        <v>0</v>
      </c>
      <c r="O630">
        <v>0</v>
      </c>
      <c r="P630">
        <v>0</v>
      </c>
    </row>
    <row r="631" spans="1:16" x14ac:dyDescent="0.3">
      <c r="A631" t="s">
        <v>743</v>
      </c>
      <c r="B631" t="s">
        <v>65</v>
      </c>
      <c r="C631">
        <f ca="1">IF(RAND()&lt;0.8,F_Baseline_data!C631,IF(RAND()&lt;0.85,F_Baseline_data!C631+1,IF(F_Baseline_data!C631&gt;3,C631-1,F_Baseline_data!C631)))</f>
        <v>8</v>
      </c>
      <c r="D631">
        <f ca="1">MAX(5000,ROUND(F_Baseline_data!D631*(1+_xlfn.NORM.INV(RAND(),0.12,0.1)),-2))</f>
        <v>31300</v>
      </c>
      <c r="E631" t="str">
        <f ca="1">IF(I631=1,IF(RAND()&lt;0.95,"Piped Water",F_Baseline_data!E631),F_Baseline_data!E631)</f>
        <v>Piped Water</v>
      </c>
      <c r="F631">
        <f t="shared" ca="1" si="18"/>
        <v>5</v>
      </c>
      <c r="G631">
        <v>5.9</v>
      </c>
      <c r="H631">
        <f ca="1">MAX(0,ROUND(F_Baseline_data!H631+(F_Baseline_data!C631-5)*200+(D631-30000)*0.015+(F631-50)*15-IF(I631=1,1200,0)+_xlfn.NORM.INV(RAND(),0,2500),-2))</f>
        <v>9200</v>
      </c>
      <c r="I631">
        <v>1</v>
      </c>
      <c r="J631">
        <f>1</f>
        <v>1</v>
      </c>
      <c r="K631">
        <f>1</f>
        <v>1</v>
      </c>
      <c r="L631">
        <v>0</v>
      </c>
      <c r="M631">
        <f t="shared" ca="1" si="19"/>
        <v>0.8474297759451207</v>
      </c>
      <c r="N631">
        <v>0</v>
      </c>
      <c r="O631">
        <v>0</v>
      </c>
      <c r="P631">
        <v>0</v>
      </c>
    </row>
    <row r="632" spans="1:16" x14ac:dyDescent="0.3">
      <c r="A632" t="s">
        <v>744</v>
      </c>
      <c r="B632" t="s">
        <v>62</v>
      </c>
      <c r="C632">
        <f ca="1">IF(RAND()&lt;0.8,F_Baseline_data!C632,IF(RAND()&lt;0.85,F_Baseline_data!C632+1,IF(F_Baseline_data!C632&gt;3,C632-1,F_Baseline_data!C632)))</f>
        <v>5</v>
      </c>
      <c r="D632">
        <f ca="1">MAX(5000,ROUND(F_Baseline_data!D632*(1+_xlfn.NORM.INV(RAND(),0.12,0.1)),-2))</f>
        <v>49900</v>
      </c>
      <c r="E632" t="str">
        <f ca="1">IF(I632=1,IF(RAND()&lt;0.95,"Piped Water",F_Baseline_data!E632),F_Baseline_data!E632)</f>
        <v>Piped Water</v>
      </c>
      <c r="F632">
        <f t="shared" ca="1" si="18"/>
        <v>4</v>
      </c>
      <c r="G632">
        <v>9.1</v>
      </c>
      <c r="H632">
        <f ca="1">MAX(0,ROUND(F_Baseline_data!H632+(F_Baseline_data!C632-5)*200+(D632-30000)*0.015+(F632-50)*15-IF(I632=1,1200,0)+_xlfn.NORM.INV(RAND(),0,2500),-2))</f>
        <v>0</v>
      </c>
      <c r="I632">
        <v>1</v>
      </c>
      <c r="J632">
        <f>1</f>
        <v>1</v>
      </c>
      <c r="K632">
        <f>1</f>
        <v>1</v>
      </c>
      <c r="L632">
        <v>0</v>
      </c>
      <c r="M632">
        <f t="shared" ca="1" si="19"/>
        <v>0.12234764450649604</v>
      </c>
      <c r="N632">
        <v>0</v>
      </c>
      <c r="O632">
        <v>0</v>
      </c>
      <c r="P632">
        <v>0</v>
      </c>
    </row>
    <row r="633" spans="1:16" x14ac:dyDescent="0.3">
      <c r="A633" t="s">
        <v>745</v>
      </c>
      <c r="B633" t="s">
        <v>64</v>
      </c>
      <c r="C633">
        <f ca="1">IF(RAND()&lt;0.8,F_Baseline_data!C633,IF(RAND()&lt;0.85,F_Baseline_data!C633+1,IF(F_Baseline_data!C633&gt;3,C633-1,F_Baseline_data!C633)))</f>
        <v>4</v>
      </c>
      <c r="D633">
        <f ca="1">MAX(5000,ROUND(F_Baseline_data!D633*(1+_xlfn.NORM.INV(RAND(),0.12,0.1)),-2))</f>
        <v>27300</v>
      </c>
      <c r="E633" t="str">
        <f ca="1">IF(I633=1,IF(RAND()&lt;0.95,"Piped Water",F_Baseline_data!E633),F_Baseline_data!E633)</f>
        <v>River</v>
      </c>
      <c r="F633">
        <f t="shared" ca="1" si="18"/>
        <v>49</v>
      </c>
      <c r="G633">
        <v>3.1</v>
      </c>
      <c r="H633">
        <f ca="1">MAX(0,ROUND(F_Baseline_data!H633+(F_Baseline_data!C633-5)*200+(D633-30000)*0.015+(F633-50)*15-IF(I633=1,1200,0)+_xlfn.NORM.INV(RAND(),0,2500),-2))</f>
        <v>7600</v>
      </c>
      <c r="I633">
        <v>1</v>
      </c>
      <c r="J633">
        <f>1</f>
        <v>1</v>
      </c>
      <c r="K633">
        <f>1</f>
        <v>1</v>
      </c>
      <c r="L633">
        <v>0</v>
      </c>
      <c r="M633">
        <f t="shared" ca="1" si="19"/>
        <v>5.7812988217469385E-2</v>
      </c>
      <c r="N633">
        <v>0</v>
      </c>
      <c r="O633">
        <v>0</v>
      </c>
      <c r="P633">
        <v>0</v>
      </c>
    </row>
    <row r="634" spans="1:16" x14ac:dyDescent="0.3">
      <c r="A634" t="s">
        <v>746</v>
      </c>
      <c r="B634" t="s">
        <v>64</v>
      </c>
      <c r="C634">
        <f ca="1">IF(RAND()&lt;0.8,F_Baseline_data!C634,IF(RAND()&lt;0.85,F_Baseline_data!C634+1,IF(F_Baseline_data!C634&gt;3,C634-1,F_Baseline_data!C634)))</f>
        <v>6</v>
      </c>
      <c r="D634">
        <f ca="1">MAX(5000,ROUND(F_Baseline_data!D634*(1+_xlfn.NORM.INV(RAND(),0.12,0.1)),-2))</f>
        <v>19600</v>
      </c>
      <c r="E634" t="str">
        <f ca="1">IF(I634=1,IF(RAND()&lt;0.95,"Piped Water",F_Baseline_data!E634),F_Baseline_data!E634)</f>
        <v>Piped Water</v>
      </c>
      <c r="F634">
        <f t="shared" ca="1" si="18"/>
        <v>10</v>
      </c>
      <c r="G634">
        <v>2.2000000000000002</v>
      </c>
      <c r="H634">
        <f ca="1">MAX(0,ROUND(F_Baseline_data!H634+(F_Baseline_data!C634-5)*200+(D634-30000)*0.015+(F634-50)*15-IF(I634=1,1200,0)+_xlfn.NORM.INV(RAND(),0,2500),-2))</f>
        <v>5100</v>
      </c>
      <c r="I634">
        <v>1</v>
      </c>
      <c r="J634">
        <f>1</f>
        <v>1</v>
      </c>
      <c r="K634">
        <f>1</f>
        <v>1</v>
      </c>
      <c r="L634">
        <v>0</v>
      </c>
      <c r="M634">
        <f t="shared" ca="1" si="19"/>
        <v>0.4105385101958211</v>
      </c>
      <c r="N634">
        <v>0</v>
      </c>
      <c r="O634">
        <v>0</v>
      </c>
      <c r="P634">
        <v>0</v>
      </c>
    </row>
    <row r="635" spans="1:16" x14ac:dyDescent="0.3">
      <c r="A635" t="s">
        <v>747</v>
      </c>
      <c r="B635" t="s">
        <v>513</v>
      </c>
      <c r="C635">
        <f ca="1">IF(RAND()&lt;0.8,F_Baseline_data!C635,IF(RAND()&lt;0.85,F_Baseline_data!C635+1,IF(F_Baseline_data!C635&gt;3,C635-1,F_Baseline_data!C635)))</f>
        <v>2</v>
      </c>
      <c r="D635">
        <f ca="1">MAX(5000,ROUND(F_Baseline_data!D635*(1+_xlfn.NORM.INV(RAND(),0.12,0.1)),-2))</f>
        <v>23800</v>
      </c>
      <c r="E635" t="str">
        <f ca="1">IF(I635=1,IF(RAND()&lt;0.95,"Piped Water",F_Baseline_data!E635),F_Baseline_data!E635)</f>
        <v>Piped Water</v>
      </c>
      <c r="F635">
        <f t="shared" ca="1" si="18"/>
        <v>0</v>
      </c>
      <c r="G635">
        <v>8</v>
      </c>
      <c r="H635">
        <f ca="1">MAX(0,ROUND(F_Baseline_data!H635+(F_Baseline_data!C635-5)*200+(D635-30000)*0.015+(F635-50)*15-IF(I635=1,1200,0)+_xlfn.NORM.INV(RAND(),0,2500),-2))</f>
        <v>8000</v>
      </c>
      <c r="I635">
        <v>1</v>
      </c>
      <c r="J635">
        <f>1</f>
        <v>1</v>
      </c>
      <c r="K635">
        <f>1</f>
        <v>1</v>
      </c>
      <c r="L635">
        <v>0</v>
      </c>
      <c r="M635">
        <f t="shared" ca="1" si="19"/>
        <v>0.77459769021507052</v>
      </c>
      <c r="N635">
        <v>0</v>
      </c>
      <c r="O635">
        <v>0</v>
      </c>
      <c r="P635">
        <v>0</v>
      </c>
    </row>
    <row r="636" spans="1:16" x14ac:dyDescent="0.3">
      <c r="A636" t="s">
        <v>748</v>
      </c>
      <c r="B636" t="s">
        <v>64</v>
      </c>
      <c r="C636">
        <f ca="1">IF(RAND()&lt;0.8,F_Baseline_data!C636,IF(RAND()&lt;0.85,F_Baseline_data!C636+1,IF(F_Baseline_data!C636&gt;3,C636-1,F_Baseline_data!C636)))</f>
        <v>6</v>
      </c>
      <c r="D636">
        <f ca="1">MAX(5000,ROUND(F_Baseline_data!D636*(1+_xlfn.NORM.INV(RAND(),0.12,0.1)),-2))</f>
        <v>152900</v>
      </c>
      <c r="E636" t="str">
        <f ca="1">IF(I636=1,IF(RAND()&lt;0.95,"Piped Water",F_Baseline_data!E636),F_Baseline_data!E636)</f>
        <v>Piped Water</v>
      </c>
      <c r="F636">
        <f t="shared" ca="1" si="18"/>
        <v>5</v>
      </c>
      <c r="G636">
        <v>4.5999999999999996</v>
      </c>
      <c r="H636">
        <f ca="1">MAX(0,ROUND(F_Baseline_data!H636+(F_Baseline_data!C636-5)*200+(D636-30000)*0.015+(F636-50)*15-IF(I636=1,1200,0)+_xlfn.NORM.INV(RAND(),0,2500),-2))</f>
        <v>9400</v>
      </c>
      <c r="I636">
        <v>1</v>
      </c>
      <c r="J636">
        <f>1</f>
        <v>1</v>
      </c>
      <c r="K636">
        <f>1</f>
        <v>1</v>
      </c>
      <c r="L636">
        <v>0</v>
      </c>
      <c r="M636">
        <f t="shared" ca="1" si="19"/>
        <v>0.75230813720945022</v>
      </c>
      <c r="N636">
        <v>0</v>
      </c>
      <c r="O636">
        <v>0</v>
      </c>
      <c r="P636">
        <v>0</v>
      </c>
    </row>
    <row r="637" spans="1:16" x14ac:dyDescent="0.3">
      <c r="A637" t="s">
        <v>749</v>
      </c>
      <c r="B637" t="s">
        <v>64</v>
      </c>
      <c r="C637">
        <f ca="1">IF(RAND()&lt;0.8,F_Baseline_data!C637,IF(RAND()&lt;0.85,F_Baseline_data!C637+1,IF(F_Baseline_data!C637&gt;3,C637-1,F_Baseline_data!C637)))</f>
        <v>5</v>
      </c>
      <c r="D637">
        <f ca="1">MAX(5000,ROUND(F_Baseline_data!D637*(1+_xlfn.NORM.INV(RAND(),0.12,0.1)),-2))</f>
        <v>71900</v>
      </c>
      <c r="E637" t="str">
        <f ca="1">IF(I637=1,IF(RAND()&lt;0.95,"Piped Water",F_Baseline_data!E637),F_Baseline_data!E637)</f>
        <v>Piped Water</v>
      </c>
      <c r="F637">
        <f t="shared" ca="1" si="18"/>
        <v>0</v>
      </c>
      <c r="G637">
        <v>0.3</v>
      </c>
      <c r="H637">
        <f ca="1">MAX(0,ROUND(F_Baseline_data!H637+(F_Baseline_data!C637-5)*200+(D637-30000)*0.015+(F637-50)*15-IF(I637=1,1200,0)+_xlfn.NORM.INV(RAND(),0,2500),-2))</f>
        <v>4600</v>
      </c>
      <c r="I637">
        <v>1</v>
      </c>
      <c r="J637">
        <f>1</f>
        <v>1</v>
      </c>
      <c r="K637">
        <f>1</f>
        <v>1</v>
      </c>
      <c r="L637">
        <v>0</v>
      </c>
      <c r="M637">
        <f t="shared" ca="1" si="19"/>
        <v>0.53320070065915082</v>
      </c>
      <c r="N637">
        <v>0</v>
      </c>
      <c r="O637">
        <v>0</v>
      </c>
      <c r="P637">
        <v>0</v>
      </c>
    </row>
    <row r="638" spans="1:16" x14ac:dyDescent="0.3">
      <c r="A638" t="s">
        <v>750</v>
      </c>
      <c r="B638" t="s">
        <v>65</v>
      </c>
      <c r="C638">
        <f ca="1">IF(RAND()&lt;0.8,F_Baseline_data!C638,IF(RAND()&lt;0.85,F_Baseline_data!C638+1,IF(F_Baseline_data!C638&gt;3,C638-1,F_Baseline_data!C638)))</f>
        <v>6</v>
      </c>
      <c r="D638">
        <f ca="1">MAX(5000,ROUND(F_Baseline_data!D638*(1+_xlfn.NORM.INV(RAND(),0.12,0.1)),-2))</f>
        <v>42000</v>
      </c>
      <c r="E638" t="str">
        <f ca="1">IF(I638=1,IF(RAND()&lt;0.95,"Piped Water",F_Baseline_data!E638),F_Baseline_data!E638)</f>
        <v>Piped Water</v>
      </c>
      <c r="F638">
        <f t="shared" ca="1" si="18"/>
        <v>5</v>
      </c>
      <c r="G638">
        <v>8</v>
      </c>
      <c r="H638">
        <f ca="1">MAX(0,ROUND(F_Baseline_data!H638+(F_Baseline_data!C638-5)*200+(D638-30000)*0.015+(F638-50)*15-IF(I638=1,1200,0)+_xlfn.NORM.INV(RAND(),0,2500),-2))</f>
        <v>0</v>
      </c>
      <c r="I638">
        <v>1</v>
      </c>
      <c r="J638">
        <f>1</f>
        <v>1</v>
      </c>
      <c r="K638">
        <f>1</f>
        <v>1</v>
      </c>
      <c r="L638">
        <v>0</v>
      </c>
      <c r="M638">
        <f t="shared" ca="1" si="19"/>
        <v>0.86841971564609999</v>
      </c>
      <c r="N638">
        <v>0</v>
      </c>
      <c r="O638">
        <v>0</v>
      </c>
      <c r="P638">
        <v>0</v>
      </c>
    </row>
    <row r="639" spans="1:16" x14ac:dyDescent="0.3">
      <c r="A639" t="s">
        <v>751</v>
      </c>
      <c r="B639" t="s">
        <v>64</v>
      </c>
      <c r="C639">
        <f ca="1">IF(RAND()&lt;0.8,F_Baseline_data!C639,IF(RAND()&lt;0.85,F_Baseline_data!C639+1,IF(F_Baseline_data!C639&gt;3,C639-1,F_Baseline_data!C639)))</f>
        <v>9</v>
      </c>
      <c r="D639">
        <f ca="1">MAX(5000,ROUND(F_Baseline_data!D639*(1+_xlfn.NORM.INV(RAND(),0.12,0.1)),-2))</f>
        <v>38200</v>
      </c>
      <c r="E639" t="str">
        <f ca="1">IF(I639=1,IF(RAND()&lt;0.95,"Piped Water",F_Baseline_data!E639),F_Baseline_data!E639)</f>
        <v>Piped Water</v>
      </c>
      <c r="F639">
        <f t="shared" ca="1" si="18"/>
        <v>5</v>
      </c>
      <c r="G639">
        <v>5</v>
      </c>
      <c r="H639">
        <f ca="1">MAX(0,ROUND(F_Baseline_data!H639+(F_Baseline_data!C639-5)*200+(D639-30000)*0.015+(F639-50)*15-IF(I639=1,1200,0)+_xlfn.NORM.INV(RAND(),0,2500),-2))</f>
        <v>6800</v>
      </c>
      <c r="I639">
        <v>1</v>
      </c>
      <c r="J639">
        <f>1</f>
        <v>1</v>
      </c>
      <c r="K639">
        <f>1</f>
        <v>1</v>
      </c>
      <c r="L639">
        <v>0</v>
      </c>
      <c r="M639">
        <f t="shared" ca="1" si="19"/>
        <v>0.44702785560419589</v>
      </c>
      <c r="N639">
        <v>0</v>
      </c>
      <c r="O639">
        <v>0</v>
      </c>
      <c r="P639">
        <v>0</v>
      </c>
    </row>
    <row r="640" spans="1:16" x14ac:dyDescent="0.3">
      <c r="A640" t="s">
        <v>752</v>
      </c>
      <c r="B640" t="s">
        <v>62</v>
      </c>
      <c r="C640">
        <f ca="1">IF(RAND()&lt;0.8,F_Baseline_data!C640,IF(RAND()&lt;0.85,F_Baseline_data!C640+1,IF(F_Baseline_data!C640&gt;3,C640-1,F_Baseline_data!C640)))</f>
        <v>6</v>
      </c>
      <c r="D640">
        <f ca="1">MAX(5000,ROUND(F_Baseline_data!D640*(1+_xlfn.NORM.INV(RAND(),0.12,0.1)),-2))</f>
        <v>31400</v>
      </c>
      <c r="E640" t="str">
        <f ca="1">IF(I640=1,IF(RAND()&lt;0.95,"Piped Water",F_Baseline_data!E640),F_Baseline_data!E640)</f>
        <v>Piped Water</v>
      </c>
      <c r="F640">
        <f t="shared" ca="1" si="18"/>
        <v>5</v>
      </c>
      <c r="G640">
        <v>3.1</v>
      </c>
      <c r="H640">
        <f ca="1">MAX(0,ROUND(F_Baseline_data!H640+(F_Baseline_data!C640-5)*200+(D640-30000)*0.015+(F640-50)*15-IF(I640=1,1200,0)+_xlfn.NORM.INV(RAND(),0,2500),-2))</f>
        <v>7000</v>
      </c>
      <c r="I640">
        <v>1</v>
      </c>
      <c r="J640">
        <f>1</f>
        <v>1</v>
      </c>
      <c r="K640">
        <f>1</f>
        <v>1</v>
      </c>
      <c r="L640">
        <v>0</v>
      </c>
      <c r="M640">
        <f t="shared" ca="1" si="19"/>
        <v>0.60535729274038053</v>
      </c>
      <c r="N640">
        <v>0</v>
      </c>
      <c r="O640">
        <v>0</v>
      </c>
      <c r="P640">
        <v>0</v>
      </c>
    </row>
    <row r="641" spans="1:16" x14ac:dyDescent="0.3">
      <c r="A641" t="s">
        <v>753</v>
      </c>
      <c r="B641" t="s">
        <v>513</v>
      </c>
      <c r="C641">
        <f ca="1">IF(RAND()&lt;0.8,F_Baseline_data!C641,IF(RAND()&lt;0.85,F_Baseline_data!C641+1,IF(F_Baseline_data!C641&gt;3,C641-1,F_Baseline_data!C641)))</f>
        <v>4</v>
      </c>
      <c r="D641">
        <f ca="1">MAX(5000,ROUND(F_Baseline_data!D641*(1+_xlfn.NORM.INV(RAND(),0.12,0.1)),-2))</f>
        <v>21700</v>
      </c>
      <c r="E641" t="str">
        <f ca="1">IF(I641=1,IF(RAND()&lt;0.95,"Piped Water",F_Baseline_data!E641),F_Baseline_data!E641)</f>
        <v>Piped Water</v>
      </c>
      <c r="F641">
        <f t="shared" ca="1" si="18"/>
        <v>0</v>
      </c>
      <c r="G641">
        <v>5.2</v>
      </c>
      <c r="H641">
        <f ca="1">MAX(0,ROUND(F_Baseline_data!H641+(F_Baseline_data!C641-5)*200+(D641-30000)*0.015+(F641-50)*15-IF(I641=1,1200,0)+_xlfn.NORM.INV(RAND(),0,2500),-2))</f>
        <v>10300</v>
      </c>
      <c r="I641">
        <v>1</v>
      </c>
      <c r="J641">
        <f>1</f>
        <v>1</v>
      </c>
      <c r="K641">
        <f>1</f>
        <v>1</v>
      </c>
      <c r="L641">
        <v>0</v>
      </c>
      <c r="M641">
        <f t="shared" ca="1" si="19"/>
        <v>0.91067524700387048</v>
      </c>
      <c r="N641">
        <v>0</v>
      </c>
      <c r="O641">
        <v>0</v>
      </c>
      <c r="P641">
        <v>0</v>
      </c>
    </row>
    <row r="642" spans="1:16" x14ac:dyDescent="0.3">
      <c r="A642" t="s">
        <v>754</v>
      </c>
      <c r="B642" t="s">
        <v>62</v>
      </c>
      <c r="C642">
        <f ca="1">IF(RAND()&lt;0.8,F_Baseline_data!C642,IF(RAND()&lt;0.85,F_Baseline_data!C642+1,IF(F_Baseline_data!C642&gt;3,C642-1,F_Baseline_data!C642)))</f>
        <v>7</v>
      </c>
      <c r="D642">
        <f ca="1">MAX(5000,ROUND(F_Baseline_data!D642*(1+_xlfn.NORM.INV(RAND(),0.12,0.1)),-2))</f>
        <v>30200</v>
      </c>
      <c r="E642" t="str">
        <f ca="1">IF(I642=1,IF(RAND()&lt;0.95,"Piped Water",F_Baseline_data!E642),F_Baseline_data!E642)</f>
        <v>Piped Water</v>
      </c>
      <c r="F642">
        <f t="shared" ref="F642:F705" ca="1" si="20">IF(E642="Piped Water",RANDBETWEEN(0,10),IF(E642="River",RANDBETWEEN(45,120),IF(E642="Rainwater",RANDBETWEEN(15,70),IF(E642="Borehole",RANDBETWEEN(20,75),RANDBETWEEN(10,60)))))</f>
        <v>9</v>
      </c>
      <c r="G642">
        <v>4.5999999999999996</v>
      </c>
      <c r="H642">
        <f ca="1">MAX(0,ROUND(F_Baseline_data!H642+(F_Baseline_data!C642-5)*200+(D642-30000)*0.015+(F642-50)*15-IF(I642=1,1200,0)+_xlfn.NORM.INV(RAND(),0,2500),-2))</f>
        <v>7700</v>
      </c>
      <c r="I642">
        <v>1</v>
      </c>
      <c r="J642">
        <f>1</f>
        <v>1</v>
      </c>
      <c r="K642">
        <f>1</f>
        <v>1</v>
      </c>
      <c r="L642">
        <v>0</v>
      </c>
      <c r="M642">
        <f t="shared" ref="M642:M705" ca="1" si="21">RAND()</f>
        <v>0.33848785943697446</v>
      </c>
      <c r="N642">
        <v>0</v>
      </c>
      <c r="O642">
        <v>0</v>
      </c>
      <c r="P642">
        <v>0</v>
      </c>
    </row>
    <row r="643" spans="1:16" x14ac:dyDescent="0.3">
      <c r="A643" t="s">
        <v>755</v>
      </c>
      <c r="B643" t="s">
        <v>62</v>
      </c>
      <c r="C643">
        <f ca="1">IF(RAND()&lt;0.8,F_Baseline_data!C643,IF(RAND()&lt;0.85,F_Baseline_data!C643+1,IF(F_Baseline_data!C643&gt;3,C643-1,F_Baseline_data!C643)))</f>
        <v>5</v>
      </c>
      <c r="D643">
        <f ca="1">MAX(5000,ROUND(F_Baseline_data!D643*(1+_xlfn.NORM.INV(RAND(),0.12,0.1)),-2))</f>
        <v>85300</v>
      </c>
      <c r="E643" t="str">
        <f ca="1">IF(I643=1,IF(RAND()&lt;0.95,"Piped Water",F_Baseline_data!E643),F_Baseline_data!E643)</f>
        <v>Piped Water</v>
      </c>
      <c r="F643">
        <f t="shared" ca="1" si="20"/>
        <v>3</v>
      </c>
      <c r="G643">
        <v>10</v>
      </c>
      <c r="H643">
        <f ca="1">MAX(0,ROUND(F_Baseline_data!H643+(F_Baseline_data!C643-5)*200+(D643-30000)*0.015+(F643-50)*15-IF(I643=1,1200,0)+_xlfn.NORM.INV(RAND(),0,2500),-2))</f>
        <v>0</v>
      </c>
      <c r="I643">
        <v>1</v>
      </c>
      <c r="J643">
        <f>1</f>
        <v>1</v>
      </c>
      <c r="K643">
        <f>1</f>
        <v>1</v>
      </c>
      <c r="L643">
        <v>0</v>
      </c>
      <c r="M643">
        <f t="shared" ca="1" si="21"/>
        <v>0.96431226041326101</v>
      </c>
      <c r="N643">
        <v>0</v>
      </c>
      <c r="O643">
        <v>0</v>
      </c>
      <c r="P643">
        <v>0</v>
      </c>
    </row>
    <row r="644" spans="1:16" x14ac:dyDescent="0.3">
      <c r="A644" t="s">
        <v>756</v>
      </c>
      <c r="B644" t="s">
        <v>64</v>
      </c>
      <c r="C644">
        <f ca="1">IF(RAND()&lt;0.8,F_Baseline_data!C644,IF(RAND()&lt;0.85,F_Baseline_data!C644+1,IF(F_Baseline_data!C644&gt;3,C644-1,F_Baseline_data!C644)))</f>
        <v>6</v>
      </c>
      <c r="D644">
        <f ca="1">MAX(5000,ROUND(F_Baseline_data!D644*(1+_xlfn.NORM.INV(RAND(),0.12,0.1)),-2))</f>
        <v>38700</v>
      </c>
      <c r="E644" t="str">
        <f ca="1">IF(I644=1,IF(RAND()&lt;0.95,"Piped Water",F_Baseline_data!E644),F_Baseline_data!E644)</f>
        <v>Piped Water</v>
      </c>
      <c r="F644">
        <f t="shared" ca="1" si="20"/>
        <v>3</v>
      </c>
      <c r="G644">
        <v>4.5</v>
      </c>
      <c r="H644">
        <f ca="1">MAX(0,ROUND(F_Baseline_data!H644+(F_Baseline_data!C644-5)*200+(D644-30000)*0.015+(F644-50)*15-IF(I644=1,1200,0)+_xlfn.NORM.INV(RAND(),0,2500),-2))</f>
        <v>5900</v>
      </c>
      <c r="I644">
        <v>1</v>
      </c>
      <c r="J644">
        <f>1</f>
        <v>1</v>
      </c>
      <c r="K644">
        <f>1</f>
        <v>1</v>
      </c>
      <c r="L644">
        <v>0</v>
      </c>
      <c r="M644">
        <f t="shared" ca="1" si="21"/>
        <v>0.22325434436840075</v>
      </c>
      <c r="N644">
        <v>0</v>
      </c>
      <c r="O644">
        <v>0</v>
      </c>
      <c r="P644">
        <v>0</v>
      </c>
    </row>
    <row r="645" spans="1:16" x14ac:dyDescent="0.3">
      <c r="A645" t="s">
        <v>757</v>
      </c>
      <c r="B645" t="s">
        <v>62</v>
      </c>
      <c r="C645">
        <f ca="1">IF(RAND()&lt;0.8,F_Baseline_data!C645,IF(RAND()&lt;0.85,F_Baseline_data!C645+1,IF(F_Baseline_data!C645&gt;3,C645-1,F_Baseline_data!C645)))</f>
        <v>9</v>
      </c>
      <c r="D645">
        <f ca="1">MAX(5000,ROUND(F_Baseline_data!D645*(1+_xlfn.NORM.INV(RAND(),0.12,0.1)),-2))</f>
        <v>70700</v>
      </c>
      <c r="E645" t="str">
        <f ca="1">IF(I645=1,IF(RAND()&lt;0.95,"Piped Water",F_Baseline_data!E645),F_Baseline_data!E645)</f>
        <v>Piped Water</v>
      </c>
      <c r="F645">
        <f t="shared" ca="1" si="20"/>
        <v>3</v>
      </c>
      <c r="G645">
        <v>7.7</v>
      </c>
      <c r="H645">
        <f ca="1">MAX(0,ROUND(F_Baseline_data!H645+(F_Baseline_data!C645-5)*200+(D645-30000)*0.015+(F645-50)*15-IF(I645=1,1200,0)+_xlfn.NORM.INV(RAND(),0,2500),-2))</f>
        <v>8000</v>
      </c>
      <c r="I645">
        <v>1</v>
      </c>
      <c r="J645">
        <f>1</f>
        <v>1</v>
      </c>
      <c r="K645">
        <f>1</f>
        <v>1</v>
      </c>
      <c r="L645">
        <v>0</v>
      </c>
      <c r="M645">
        <f t="shared" ca="1" si="21"/>
        <v>0.95064258684445213</v>
      </c>
      <c r="N645">
        <v>0</v>
      </c>
      <c r="O645">
        <v>0</v>
      </c>
      <c r="P645">
        <v>0</v>
      </c>
    </row>
    <row r="646" spans="1:16" x14ac:dyDescent="0.3">
      <c r="A646" t="s">
        <v>758</v>
      </c>
      <c r="B646" t="s">
        <v>513</v>
      </c>
      <c r="C646">
        <f ca="1">IF(RAND()&lt;0.8,F_Baseline_data!C646,IF(RAND()&lt;0.85,F_Baseline_data!C646+1,IF(F_Baseline_data!C646&gt;3,C646-1,F_Baseline_data!C646)))</f>
        <v>6</v>
      </c>
      <c r="D646">
        <f ca="1">MAX(5000,ROUND(F_Baseline_data!D646*(1+_xlfn.NORM.INV(RAND(),0.12,0.1)),-2))</f>
        <v>155400</v>
      </c>
      <c r="E646" t="str">
        <f ca="1">IF(I646=1,IF(RAND()&lt;0.95,"Piped Water",F_Baseline_data!E646),F_Baseline_data!E646)</f>
        <v>Piped Water</v>
      </c>
      <c r="F646">
        <f t="shared" ca="1" si="20"/>
        <v>8</v>
      </c>
      <c r="G646">
        <v>2.2000000000000002</v>
      </c>
      <c r="H646">
        <f ca="1">MAX(0,ROUND(F_Baseline_data!H646+(F_Baseline_data!C646-5)*200+(D646-30000)*0.015+(F646-50)*15-IF(I646=1,1200,0)+_xlfn.NORM.INV(RAND(),0,2500),-2))</f>
        <v>7200</v>
      </c>
      <c r="I646">
        <v>1</v>
      </c>
      <c r="J646">
        <f>1</f>
        <v>1</v>
      </c>
      <c r="K646">
        <f>1</f>
        <v>1</v>
      </c>
      <c r="L646">
        <v>0</v>
      </c>
      <c r="M646">
        <f t="shared" ca="1" si="21"/>
        <v>0.65909648187513947</v>
      </c>
      <c r="N646">
        <v>0</v>
      </c>
      <c r="O646">
        <v>0</v>
      </c>
      <c r="P646">
        <v>0</v>
      </c>
    </row>
    <row r="647" spans="1:16" x14ac:dyDescent="0.3">
      <c r="A647" t="s">
        <v>759</v>
      </c>
      <c r="B647" t="s">
        <v>64</v>
      </c>
      <c r="C647">
        <f ca="1">IF(RAND()&lt;0.8,F_Baseline_data!C647,IF(RAND()&lt;0.85,F_Baseline_data!C647+1,IF(F_Baseline_data!C647&gt;3,C647-1,F_Baseline_data!C647)))</f>
        <v>8</v>
      </c>
      <c r="D647">
        <f ca="1">MAX(5000,ROUND(F_Baseline_data!D647*(1+_xlfn.NORM.INV(RAND(),0.12,0.1)),-2))</f>
        <v>31200</v>
      </c>
      <c r="E647" t="str">
        <f ca="1">IF(I647=1,IF(RAND()&lt;0.95,"Piped Water",F_Baseline_data!E647),F_Baseline_data!E647)</f>
        <v>Piped Water</v>
      </c>
      <c r="F647">
        <f t="shared" ca="1" si="20"/>
        <v>0</v>
      </c>
      <c r="G647">
        <v>3.6</v>
      </c>
      <c r="H647">
        <f ca="1">MAX(0,ROUND(F_Baseline_data!H647+(F_Baseline_data!C647-5)*200+(D647-30000)*0.015+(F647-50)*15-IF(I647=1,1200,0)+_xlfn.NORM.INV(RAND(),0,2500),-2))</f>
        <v>3200</v>
      </c>
      <c r="I647">
        <v>1</v>
      </c>
      <c r="J647">
        <f>1</f>
        <v>1</v>
      </c>
      <c r="K647">
        <f>1</f>
        <v>1</v>
      </c>
      <c r="L647">
        <v>0</v>
      </c>
      <c r="M647">
        <f t="shared" ca="1" si="21"/>
        <v>0.54720238854395786</v>
      </c>
      <c r="N647">
        <v>0</v>
      </c>
      <c r="O647">
        <v>0</v>
      </c>
      <c r="P647">
        <v>0</v>
      </c>
    </row>
    <row r="648" spans="1:16" x14ac:dyDescent="0.3">
      <c r="A648" t="s">
        <v>760</v>
      </c>
      <c r="B648" t="s">
        <v>65</v>
      </c>
      <c r="C648">
        <f ca="1">IF(RAND()&lt;0.8,F_Baseline_data!C648,IF(RAND()&lt;0.85,F_Baseline_data!C648+1,IF(F_Baseline_data!C648&gt;3,C648-1,F_Baseline_data!C648)))</f>
        <v>10</v>
      </c>
      <c r="D648">
        <f ca="1">MAX(5000,ROUND(F_Baseline_data!D648*(1+_xlfn.NORM.INV(RAND(),0.12,0.1)),-2))</f>
        <v>42300</v>
      </c>
      <c r="E648" t="str">
        <f ca="1">IF(I648=1,IF(RAND()&lt;0.95,"Piped Water",F_Baseline_data!E648),F_Baseline_data!E648)</f>
        <v>Piped Water</v>
      </c>
      <c r="F648">
        <f t="shared" ca="1" si="20"/>
        <v>4</v>
      </c>
      <c r="G648">
        <v>4.0999999999999996</v>
      </c>
      <c r="H648">
        <f ca="1">MAX(0,ROUND(F_Baseline_data!H648+(F_Baseline_data!C648-5)*200+(D648-30000)*0.015+(F648-50)*15-IF(I648=1,1200,0)+_xlfn.NORM.INV(RAND(),0,2500),-2))</f>
        <v>0</v>
      </c>
      <c r="I648">
        <v>1</v>
      </c>
      <c r="J648">
        <f>1</f>
        <v>1</v>
      </c>
      <c r="K648">
        <f>1</f>
        <v>1</v>
      </c>
      <c r="L648">
        <v>0</v>
      </c>
      <c r="M648">
        <f t="shared" ca="1" si="21"/>
        <v>0.62863188376169132</v>
      </c>
      <c r="N648">
        <v>0</v>
      </c>
      <c r="O648">
        <v>0</v>
      </c>
      <c r="P648">
        <v>0</v>
      </c>
    </row>
    <row r="649" spans="1:16" x14ac:dyDescent="0.3">
      <c r="A649" t="s">
        <v>761</v>
      </c>
      <c r="B649" t="s">
        <v>64</v>
      </c>
      <c r="C649">
        <f ca="1">IF(RAND()&lt;0.8,F_Baseline_data!C649,IF(RAND()&lt;0.85,F_Baseline_data!C649+1,IF(F_Baseline_data!C649&gt;3,C649-1,F_Baseline_data!C649)))</f>
        <v>10</v>
      </c>
      <c r="D649">
        <f ca="1">MAX(5000,ROUND(F_Baseline_data!D649*(1+_xlfn.NORM.INV(RAND(),0.12,0.1)),-2))</f>
        <v>70200</v>
      </c>
      <c r="E649" t="str">
        <f ca="1">IF(I649=1,IF(RAND()&lt;0.95,"Piped Water",F_Baseline_data!E649),F_Baseline_data!E649)</f>
        <v>Piped Water</v>
      </c>
      <c r="F649">
        <f t="shared" ca="1" si="20"/>
        <v>2</v>
      </c>
      <c r="G649">
        <v>6.2</v>
      </c>
      <c r="H649">
        <f ca="1">MAX(0,ROUND(F_Baseline_data!H649+(F_Baseline_data!C649-5)*200+(D649-30000)*0.015+(F649-50)*15-IF(I649=1,1200,0)+_xlfn.NORM.INV(RAND(),0,2500),-2))</f>
        <v>9100</v>
      </c>
      <c r="I649">
        <v>1</v>
      </c>
      <c r="J649">
        <f>1</f>
        <v>1</v>
      </c>
      <c r="K649">
        <f>1</f>
        <v>1</v>
      </c>
      <c r="L649">
        <v>0</v>
      </c>
      <c r="M649">
        <f t="shared" ca="1" si="21"/>
        <v>0.77727688518500937</v>
      </c>
      <c r="N649">
        <v>0</v>
      </c>
      <c r="O649">
        <v>0</v>
      </c>
      <c r="P649">
        <v>0</v>
      </c>
    </row>
    <row r="650" spans="1:16" x14ac:dyDescent="0.3">
      <c r="A650" t="s">
        <v>762</v>
      </c>
      <c r="B650" t="s">
        <v>64</v>
      </c>
      <c r="C650">
        <f ca="1">IF(RAND()&lt;0.8,F_Baseline_data!C650,IF(RAND()&lt;0.85,F_Baseline_data!C650+1,IF(F_Baseline_data!C650&gt;3,C650-1,F_Baseline_data!C650)))</f>
        <v>9</v>
      </c>
      <c r="D650">
        <f ca="1">MAX(5000,ROUND(F_Baseline_data!D650*(1+_xlfn.NORM.INV(RAND(),0.12,0.1)),-2))</f>
        <v>33500</v>
      </c>
      <c r="E650" t="str">
        <f ca="1">IF(I650=1,IF(RAND()&lt;0.95,"Piped Water",F_Baseline_data!E650),F_Baseline_data!E650)</f>
        <v>Piped Water</v>
      </c>
      <c r="F650">
        <f t="shared" ca="1" si="20"/>
        <v>1</v>
      </c>
      <c r="G650">
        <v>10.6</v>
      </c>
      <c r="H650">
        <f ca="1">MAX(0,ROUND(F_Baseline_data!H650+(F_Baseline_data!C650-5)*200+(D650-30000)*0.015+(F650-50)*15-IF(I650=1,1200,0)+_xlfn.NORM.INV(RAND(),0,2500),-2))</f>
        <v>900</v>
      </c>
      <c r="I650">
        <v>1</v>
      </c>
      <c r="J650">
        <f>1</f>
        <v>1</v>
      </c>
      <c r="K650">
        <f>1</f>
        <v>1</v>
      </c>
      <c r="L650">
        <v>0</v>
      </c>
      <c r="M650">
        <f t="shared" ca="1" si="21"/>
        <v>0.81036304390508707</v>
      </c>
      <c r="N650">
        <v>0</v>
      </c>
      <c r="O650">
        <v>0</v>
      </c>
      <c r="P650">
        <v>0</v>
      </c>
    </row>
    <row r="651" spans="1:16" x14ac:dyDescent="0.3">
      <c r="A651" t="s">
        <v>763</v>
      </c>
      <c r="B651" t="s">
        <v>65</v>
      </c>
      <c r="C651">
        <f ca="1">IF(RAND()&lt;0.8,F_Baseline_data!C651,IF(RAND()&lt;0.85,F_Baseline_data!C651+1,IF(F_Baseline_data!C651&gt;3,C651-1,F_Baseline_data!C651)))</f>
        <v>7</v>
      </c>
      <c r="D651">
        <f ca="1">MAX(5000,ROUND(F_Baseline_data!D651*(1+_xlfn.NORM.INV(RAND(),0.12,0.1)),-2))</f>
        <v>67200</v>
      </c>
      <c r="E651" t="str">
        <f ca="1">IF(I651=1,IF(RAND()&lt;0.95,"Piped Water",F_Baseline_data!E651),F_Baseline_data!E651)</f>
        <v>Piped Water</v>
      </c>
      <c r="F651">
        <f t="shared" ca="1" si="20"/>
        <v>6</v>
      </c>
      <c r="G651">
        <v>0.7</v>
      </c>
      <c r="H651">
        <f ca="1">MAX(0,ROUND(F_Baseline_data!H651+(F_Baseline_data!C651-5)*200+(D651-30000)*0.015+(F651-50)*15-IF(I651=1,1200,0)+_xlfn.NORM.INV(RAND(),0,2500),-2))</f>
        <v>1500</v>
      </c>
      <c r="I651">
        <v>1</v>
      </c>
      <c r="J651">
        <f>1</f>
        <v>1</v>
      </c>
      <c r="K651">
        <f>1</f>
        <v>1</v>
      </c>
      <c r="L651">
        <v>0</v>
      </c>
      <c r="M651">
        <f t="shared" ca="1" si="21"/>
        <v>8.7033551053304015E-2</v>
      </c>
      <c r="N651">
        <v>0</v>
      </c>
      <c r="O651">
        <v>0</v>
      </c>
      <c r="P651">
        <v>0</v>
      </c>
    </row>
    <row r="652" spans="1:16" x14ac:dyDescent="0.3">
      <c r="A652" t="s">
        <v>764</v>
      </c>
      <c r="B652" t="s">
        <v>62</v>
      </c>
      <c r="C652">
        <f ca="1">IF(RAND()&lt;0.8,F_Baseline_data!C652,IF(RAND()&lt;0.85,F_Baseline_data!C652+1,IF(F_Baseline_data!C652&gt;3,C652-1,F_Baseline_data!C652)))</f>
        <v>8</v>
      </c>
      <c r="D652">
        <f ca="1">MAX(5000,ROUND(F_Baseline_data!D652*(1+_xlfn.NORM.INV(RAND(),0.12,0.1)),-2))</f>
        <v>43400</v>
      </c>
      <c r="E652" t="str">
        <f ca="1">IF(I652=1,IF(RAND()&lt;0.95,"Piped Water",F_Baseline_data!E652),F_Baseline_data!E652)</f>
        <v>Piped Water</v>
      </c>
      <c r="F652">
        <f t="shared" ca="1" si="20"/>
        <v>7</v>
      </c>
      <c r="G652">
        <v>9.1999999999999993</v>
      </c>
      <c r="H652">
        <f ca="1">MAX(0,ROUND(F_Baseline_data!H652+(F_Baseline_data!C652-5)*200+(D652-30000)*0.015+(F652-50)*15-IF(I652=1,1200,0)+_xlfn.NORM.INV(RAND(),0,2500),-2))</f>
        <v>900</v>
      </c>
      <c r="I652">
        <v>1</v>
      </c>
      <c r="J652">
        <f>1</f>
        <v>1</v>
      </c>
      <c r="K652">
        <f>1</f>
        <v>1</v>
      </c>
      <c r="L652">
        <v>0</v>
      </c>
      <c r="M652">
        <f t="shared" ca="1" si="21"/>
        <v>0.89500070344717897</v>
      </c>
      <c r="N652">
        <v>0</v>
      </c>
      <c r="O652">
        <v>0</v>
      </c>
      <c r="P652">
        <v>0</v>
      </c>
    </row>
    <row r="653" spans="1:16" x14ac:dyDescent="0.3">
      <c r="A653" t="s">
        <v>765</v>
      </c>
      <c r="B653" t="s">
        <v>64</v>
      </c>
      <c r="C653">
        <f ca="1">IF(RAND()&lt;0.8,F_Baseline_data!C653,IF(RAND()&lt;0.85,F_Baseline_data!C653+1,IF(F_Baseline_data!C653&gt;3,C653-1,F_Baseline_data!C653)))</f>
        <v>8</v>
      </c>
      <c r="D653">
        <f ca="1">MAX(5000,ROUND(F_Baseline_data!D653*(1+_xlfn.NORM.INV(RAND(),0.12,0.1)),-2))</f>
        <v>50000</v>
      </c>
      <c r="E653" t="str">
        <f ca="1">IF(I653=1,IF(RAND()&lt;0.95,"Piped Water",F_Baseline_data!E653),F_Baseline_data!E653)</f>
        <v>Piped Water</v>
      </c>
      <c r="F653">
        <f t="shared" ca="1" si="20"/>
        <v>1</v>
      </c>
      <c r="G653">
        <v>8.6999999999999993</v>
      </c>
      <c r="H653">
        <f ca="1">MAX(0,ROUND(F_Baseline_data!H653+(F_Baseline_data!C653-5)*200+(D653-30000)*0.015+(F653-50)*15-IF(I653=1,1200,0)+_xlfn.NORM.INV(RAND(),0,2500),-2))</f>
        <v>11100</v>
      </c>
      <c r="I653">
        <v>1</v>
      </c>
      <c r="J653">
        <f>1</f>
        <v>1</v>
      </c>
      <c r="K653">
        <f>1</f>
        <v>1</v>
      </c>
      <c r="L653">
        <v>0</v>
      </c>
      <c r="M653">
        <f t="shared" ca="1" si="21"/>
        <v>0.13395450507454598</v>
      </c>
      <c r="N653">
        <v>0</v>
      </c>
      <c r="O653">
        <v>0</v>
      </c>
      <c r="P653">
        <v>0</v>
      </c>
    </row>
    <row r="654" spans="1:16" x14ac:dyDescent="0.3">
      <c r="A654" t="s">
        <v>766</v>
      </c>
      <c r="B654" t="s">
        <v>65</v>
      </c>
      <c r="C654">
        <f ca="1">IF(RAND()&lt;0.8,F_Baseline_data!C654,IF(RAND()&lt;0.85,F_Baseline_data!C654+1,IF(F_Baseline_data!C654&gt;3,C654-1,F_Baseline_data!C654)))</f>
        <v>4</v>
      </c>
      <c r="D654">
        <f ca="1">MAX(5000,ROUND(F_Baseline_data!D654*(1+_xlfn.NORM.INV(RAND(),0.12,0.1)),-2))</f>
        <v>31500</v>
      </c>
      <c r="E654" t="str">
        <f ca="1">IF(I654=1,IF(RAND()&lt;0.95,"Piped Water",F_Baseline_data!E654),F_Baseline_data!E654)</f>
        <v>Piped Water</v>
      </c>
      <c r="F654">
        <f t="shared" ca="1" si="20"/>
        <v>10</v>
      </c>
      <c r="G654">
        <v>12.7</v>
      </c>
      <c r="H654">
        <f ca="1">MAX(0,ROUND(F_Baseline_data!H654+(F_Baseline_data!C654-5)*200+(D654-30000)*0.015+(F654-50)*15-IF(I654=1,1200,0)+_xlfn.NORM.INV(RAND(),0,2500),-2))</f>
        <v>3900</v>
      </c>
      <c r="I654">
        <v>1</v>
      </c>
      <c r="J654">
        <f>1</f>
        <v>1</v>
      </c>
      <c r="K654">
        <f>1</f>
        <v>1</v>
      </c>
      <c r="L654">
        <v>0</v>
      </c>
      <c r="M654">
        <f t="shared" ca="1" si="21"/>
        <v>0.62001929117109555</v>
      </c>
      <c r="N654">
        <v>0</v>
      </c>
      <c r="O654">
        <v>0</v>
      </c>
      <c r="P654">
        <v>0</v>
      </c>
    </row>
    <row r="655" spans="1:16" x14ac:dyDescent="0.3">
      <c r="A655" t="s">
        <v>767</v>
      </c>
      <c r="B655" t="s">
        <v>513</v>
      </c>
      <c r="C655">
        <f ca="1">IF(RAND()&lt;0.8,F_Baseline_data!C655,IF(RAND()&lt;0.85,F_Baseline_data!C655+1,IF(F_Baseline_data!C655&gt;3,C655-1,F_Baseline_data!C655)))</f>
        <v>5</v>
      </c>
      <c r="D655">
        <f ca="1">MAX(5000,ROUND(F_Baseline_data!D655*(1+_xlfn.NORM.INV(RAND(),0.12,0.1)),-2))</f>
        <v>38000</v>
      </c>
      <c r="E655" t="str">
        <f ca="1">IF(I655=1,IF(RAND()&lt;0.95,"Piped Water",F_Baseline_data!E655),F_Baseline_data!E655)</f>
        <v>Piped Water</v>
      </c>
      <c r="F655">
        <f t="shared" ca="1" si="20"/>
        <v>5</v>
      </c>
      <c r="G655">
        <v>5</v>
      </c>
      <c r="H655">
        <f ca="1">MAX(0,ROUND(F_Baseline_data!H655+(F_Baseline_data!C655-5)*200+(D655-30000)*0.015+(F655-50)*15-IF(I655=1,1200,0)+_xlfn.NORM.INV(RAND(),0,2500),-2))</f>
        <v>1500</v>
      </c>
      <c r="I655">
        <v>1</v>
      </c>
      <c r="J655">
        <f>1</f>
        <v>1</v>
      </c>
      <c r="K655">
        <f>1</f>
        <v>1</v>
      </c>
      <c r="L655">
        <v>0</v>
      </c>
      <c r="M655">
        <f t="shared" ca="1" si="21"/>
        <v>0.6335678488457821</v>
      </c>
      <c r="N655">
        <v>0</v>
      </c>
      <c r="O655">
        <v>0</v>
      </c>
      <c r="P655">
        <v>0</v>
      </c>
    </row>
    <row r="656" spans="1:16" x14ac:dyDescent="0.3">
      <c r="A656" t="s">
        <v>768</v>
      </c>
      <c r="B656" t="s">
        <v>64</v>
      </c>
      <c r="C656">
        <f ca="1">IF(RAND()&lt;0.8,F_Baseline_data!C656,IF(RAND()&lt;0.85,F_Baseline_data!C656+1,IF(F_Baseline_data!C656&gt;3,C656-1,F_Baseline_data!C656)))</f>
        <v>5</v>
      </c>
      <c r="D656">
        <f ca="1">MAX(5000,ROUND(F_Baseline_data!D656*(1+_xlfn.NORM.INV(RAND(),0.12,0.1)),-2))</f>
        <v>60900</v>
      </c>
      <c r="E656" t="str">
        <f ca="1">IF(I656=1,IF(RAND()&lt;0.95,"Piped Water",F_Baseline_data!E656),F_Baseline_data!E656)</f>
        <v>Piped Water</v>
      </c>
      <c r="F656">
        <f t="shared" ca="1" si="20"/>
        <v>8</v>
      </c>
      <c r="G656">
        <v>7.2</v>
      </c>
      <c r="H656">
        <f ca="1">MAX(0,ROUND(F_Baseline_data!H656+(F_Baseline_data!C656-5)*200+(D656-30000)*0.015+(F656-50)*15-IF(I656=1,1200,0)+_xlfn.NORM.INV(RAND(),0,2500),-2))</f>
        <v>0</v>
      </c>
      <c r="I656">
        <v>1</v>
      </c>
      <c r="J656">
        <f>1</f>
        <v>1</v>
      </c>
      <c r="K656">
        <f>1</f>
        <v>1</v>
      </c>
      <c r="L656">
        <v>0</v>
      </c>
      <c r="M656">
        <f t="shared" ca="1" si="21"/>
        <v>0.20061754863965131</v>
      </c>
      <c r="N656">
        <v>0</v>
      </c>
      <c r="O656">
        <v>0</v>
      </c>
      <c r="P656">
        <v>0</v>
      </c>
    </row>
    <row r="657" spans="1:16" x14ac:dyDescent="0.3">
      <c r="A657" t="s">
        <v>769</v>
      </c>
      <c r="B657" t="s">
        <v>64</v>
      </c>
      <c r="C657">
        <f ca="1">IF(RAND()&lt;0.8,F_Baseline_data!C657,IF(RAND()&lt;0.85,F_Baseline_data!C657+1,IF(F_Baseline_data!C657&gt;3,C657-1,F_Baseline_data!C657)))</f>
        <v>6</v>
      </c>
      <c r="D657">
        <f ca="1">MAX(5000,ROUND(F_Baseline_data!D657*(1+_xlfn.NORM.INV(RAND(),0.12,0.1)),-2))</f>
        <v>33500</v>
      </c>
      <c r="E657" t="str">
        <f ca="1">IF(I657=1,IF(RAND()&lt;0.95,"Piped Water",F_Baseline_data!E657),F_Baseline_data!E657)</f>
        <v>Piped Water</v>
      </c>
      <c r="F657">
        <f t="shared" ca="1" si="20"/>
        <v>7</v>
      </c>
      <c r="G657">
        <v>1</v>
      </c>
      <c r="H657">
        <f ca="1">MAX(0,ROUND(F_Baseline_data!H657+(F_Baseline_data!C657-5)*200+(D657-30000)*0.015+(F657-50)*15-IF(I657=1,1200,0)+_xlfn.NORM.INV(RAND(),0,2500),-2))</f>
        <v>4100</v>
      </c>
      <c r="I657">
        <v>1</v>
      </c>
      <c r="J657">
        <f>1</f>
        <v>1</v>
      </c>
      <c r="K657">
        <f>1</f>
        <v>1</v>
      </c>
      <c r="L657">
        <v>0</v>
      </c>
      <c r="M657">
        <f t="shared" ca="1" si="21"/>
        <v>0.5720936002016459</v>
      </c>
      <c r="N657">
        <v>0</v>
      </c>
      <c r="O657">
        <v>0</v>
      </c>
      <c r="P657">
        <v>0</v>
      </c>
    </row>
    <row r="658" spans="1:16" x14ac:dyDescent="0.3">
      <c r="A658" t="s">
        <v>770</v>
      </c>
      <c r="B658" t="s">
        <v>65</v>
      </c>
      <c r="C658">
        <f ca="1">IF(RAND()&lt;0.8,F_Baseline_data!C658,IF(RAND()&lt;0.85,F_Baseline_data!C658+1,IF(F_Baseline_data!C658&gt;3,C658-1,F_Baseline_data!C658)))</f>
        <v>5</v>
      </c>
      <c r="D658">
        <f ca="1">MAX(5000,ROUND(F_Baseline_data!D658*(1+_xlfn.NORM.INV(RAND(),0.12,0.1)),-2))</f>
        <v>22700</v>
      </c>
      <c r="E658" t="str">
        <f ca="1">IF(I658=1,IF(RAND()&lt;0.95,"Piped Water",F_Baseline_data!E658),F_Baseline_data!E658)</f>
        <v>Piped Water</v>
      </c>
      <c r="F658">
        <f t="shared" ca="1" si="20"/>
        <v>9</v>
      </c>
      <c r="G658">
        <v>11.9</v>
      </c>
      <c r="H658">
        <f ca="1">MAX(0,ROUND(F_Baseline_data!H658+(F_Baseline_data!C658-5)*200+(D658-30000)*0.015+(F658-50)*15-IF(I658=1,1200,0)+_xlfn.NORM.INV(RAND(),0,2500),-2))</f>
        <v>6500</v>
      </c>
      <c r="I658">
        <v>1</v>
      </c>
      <c r="J658">
        <f>1</f>
        <v>1</v>
      </c>
      <c r="K658">
        <f>1</f>
        <v>1</v>
      </c>
      <c r="L658">
        <v>0</v>
      </c>
      <c r="M658">
        <f t="shared" ca="1" si="21"/>
        <v>0.9973310766493001</v>
      </c>
      <c r="N658">
        <v>0</v>
      </c>
      <c r="O658">
        <v>0</v>
      </c>
      <c r="P658">
        <v>0</v>
      </c>
    </row>
    <row r="659" spans="1:16" x14ac:dyDescent="0.3">
      <c r="A659" t="s">
        <v>771</v>
      </c>
      <c r="B659" t="s">
        <v>64</v>
      </c>
      <c r="C659">
        <f ca="1">IF(RAND()&lt;0.8,F_Baseline_data!C659,IF(RAND()&lt;0.85,F_Baseline_data!C659+1,IF(F_Baseline_data!C659&gt;3,C659-1,F_Baseline_data!C659)))</f>
        <v>2</v>
      </c>
      <c r="D659">
        <f ca="1">MAX(5000,ROUND(F_Baseline_data!D659*(1+_xlfn.NORM.INV(RAND(),0.12,0.1)),-2))</f>
        <v>53200</v>
      </c>
      <c r="E659" t="str">
        <f ca="1">IF(I659=1,IF(RAND()&lt;0.95,"Piped Water",F_Baseline_data!E659),F_Baseline_data!E659)</f>
        <v>Rainwater</v>
      </c>
      <c r="F659">
        <f t="shared" ca="1" si="20"/>
        <v>34</v>
      </c>
      <c r="G659">
        <v>8.6999999999999993</v>
      </c>
      <c r="H659">
        <f ca="1">MAX(0,ROUND(F_Baseline_data!H659+(F_Baseline_data!C659-5)*200+(D659-30000)*0.015+(F659-50)*15-IF(I659=1,1200,0)+_xlfn.NORM.INV(RAND(),0,2500),-2))</f>
        <v>3400</v>
      </c>
      <c r="I659">
        <v>1</v>
      </c>
      <c r="J659">
        <f>1</f>
        <v>1</v>
      </c>
      <c r="K659">
        <f>1</f>
        <v>1</v>
      </c>
      <c r="L659">
        <v>0</v>
      </c>
      <c r="M659">
        <f t="shared" ca="1" si="21"/>
        <v>0.64760616671367244</v>
      </c>
      <c r="N659">
        <v>0</v>
      </c>
      <c r="O659">
        <v>0</v>
      </c>
      <c r="P659">
        <v>0</v>
      </c>
    </row>
    <row r="660" spans="1:16" x14ac:dyDescent="0.3">
      <c r="A660" t="s">
        <v>772</v>
      </c>
      <c r="B660" t="s">
        <v>62</v>
      </c>
      <c r="C660">
        <f ca="1">IF(RAND()&lt;0.8,F_Baseline_data!C660,IF(RAND()&lt;0.85,F_Baseline_data!C660+1,IF(F_Baseline_data!C660&gt;3,C660-1,F_Baseline_data!C660)))</f>
        <v>9</v>
      </c>
      <c r="D660">
        <f ca="1">MAX(5000,ROUND(F_Baseline_data!D660*(1+_xlfn.NORM.INV(RAND(),0.12,0.1)),-2))</f>
        <v>84100</v>
      </c>
      <c r="E660" t="str">
        <f ca="1">IF(I660=1,IF(RAND()&lt;0.95,"Piped Water",F_Baseline_data!E660),F_Baseline_data!E660)</f>
        <v>Piped Water</v>
      </c>
      <c r="F660">
        <f t="shared" ca="1" si="20"/>
        <v>10</v>
      </c>
      <c r="G660">
        <v>9.8000000000000007</v>
      </c>
      <c r="H660">
        <f ca="1">MAX(0,ROUND(F_Baseline_data!H660+(F_Baseline_data!C660-5)*200+(D660-30000)*0.015+(F660-50)*15-IF(I660=1,1200,0)+_xlfn.NORM.INV(RAND(),0,2500),-2))</f>
        <v>600</v>
      </c>
      <c r="I660">
        <v>1</v>
      </c>
      <c r="J660">
        <f>1</f>
        <v>1</v>
      </c>
      <c r="K660">
        <f>1</f>
        <v>1</v>
      </c>
      <c r="L660">
        <v>0</v>
      </c>
      <c r="M660">
        <f t="shared" ca="1" si="21"/>
        <v>0.76720462909769793</v>
      </c>
      <c r="N660">
        <v>0</v>
      </c>
      <c r="O660">
        <v>0</v>
      </c>
      <c r="P660">
        <v>0</v>
      </c>
    </row>
    <row r="661" spans="1:16" x14ac:dyDescent="0.3">
      <c r="A661" t="s">
        <v>773</v>
      </c>
      <c r="B661" t="s">
        <v>64</v>
      </c>
      <c r="C661">
        <f ca="1">IF(RAND()&lt;0.8,F_Baseline_data!C661,IF(RAND()&lt;0.85,F_Baseline_data!C661+1,IF(F_Baseline_data!C661&gt;3,C661-1,F_Baseline_data!C661)))</f>
        <v>4</v>
      </c>
      <c r="D661">
        <f ca="1">MAX(5000,ROUND(F_Baseline_data!D661*(1+_xlfn.NORM.INV(RAND(),0.12,0.1)),-2))</f>
        <v>54100</v>
      </c>
      <c r="E661" t="str">
        <f ca="1">IF(I661=1,IF(RAND()&lt;0.95,"Piped Water",F_Baseline_data!E661),F_Baseline_data!E661)</f>
        <v>Piped Water</v>
      </c>
      <c r="F661">
        <f t="shared" ca="1" si="20"/>
        <v>1</v>
      </c>
      <c r="G661">
        <v>9.6</v>
      </c>
      <c r="H661">
        <f ca="1">MAX(0,ROUND(F_Baseline_data!H661+(F_Baseline_data!C661-5)*200+(D661-30000)*0.015+(F661-50)*15-IF(I661=1,1200,0)+_xlfn.NORM.INV(RAND(),0,2500),-2))</f>
        <v>11200</v>
      </c>
      <c r="I661">
        <v>1</v>
      </c>
      <c r="J661">
        <f>1</f>
        <v>1</v>
      </c>
      <c r="K661">
        <f>1</f>
        <v>1</v>
      </c>
      <c r="L661">
        <v>0</v>
      </c>
      <c r="M661">
        <f t="shared" ca="1" si="21"/>
        <v>0.78264489878651078</v>
      </c>
      <c r="N661">
        <v>0</v>
      </c>
      <c r="O661">
        <v>0</v>
      </c>
      <c r="P661">
        <v>0</v>
      </c>
    </row>
    <row r="662" spans="1:16" x14ac:dyDescent="0.3">
      <c r="A662" t="s">
        <v>774</v>
      </c>
      <c r="B662" t="s">
        <v>513</v>
      </c>
      <c r="C662">
        <f ca="1">IF(RAND()&lt;0.8,F_Baseline_data!C662,IF(RAND()&lt;0.85,F_Baseline_data!C662+1,IF(F_Baseline_data!C662&gt;3,C662-1,F_Baseline_data!C662)))</f>
        <v>7</v>
      </c>
      <c r="D662">
        <f ca="1">MAX(5000,ROUND(F_Baseline_data!D662*(1+_xlfn.NORM.INV(RAND(),0.12,0.1)),-2))</f>
        <v>16900</v>
      </c>
      <c r="E662" t="str">
        <f ca="1">IF(I662=1,IF(RAND()&lt;0.95,"Piped Water",F_Baseline_data!E662),F_Baseline_data!E662)</f>
        <v>Piped Water</v>
      </c>
      <c r="F662">
        <f t="shared" ca="1" si="20"/>
        <v>8</v>
      </c>
      <c r="G662">
        <v>4.9000000000000004</v>
      </c>
      <c r="H662">
        <f ca="1">MAX(0,ROUND(F_Baseline_data!H662+(F_Baseline_data!C662-5)*200+(D662-30000)*0.015+(F662-50)*15-IF(I662=1,1200,0)+_xlfn.NORM.INV(RAND(),0,2500),-2))</f>
        <v>6600</v>
      </c>
      <c r="I662">
        <v>1</v>
      </c>
      <c r="J662">
        <f>1</f>
        <v>1</v>
      </c>
      <c r="K662">
        <f>1</f>
        <v>1</v>
      </c>
      <c r="L662">
        <v>0</v>
      </c>
      <c r="M662">
        <f t="shared" ca="1" si="21"/>
        <v>0.96369554602551621</v>
      </c>
      <c r="N662">
        <v>0</v>
      </c>
      <c r="O662">
        <v>0</v>
      </c>
      <c r="P662">
        <v>0</v>
      </c>
    </row>
    <row r="663" spans="1:16" x14ac:dyDescent="0.3">
      <c r="A663" t="s">
        <v>775</v>
      </c>
      <c r="B663" t="s">
        <v>62</v>
      </c>
      <c r="C663">
        <f ca="1">IF(RAND()&lt;0.8,F_Baseline_data!C663,IF(RAND()&lt;0.85,F_Baseline_data!C663+1,IF(F_Baseline_data!C663&gt;3,C663-1,F_Baseline_data!C663)))</f>
        <v>6</v>
      </c>
      <c r="D663">
        <f ca="1">MAX(5000,ROUND(F_Baseline_data!D663*(1+_xlfn.NORM.INV(RAND(),0.12,0.1)),-2))</f>
        <v>36500</v>
      </c>
      <c r="E663" t="str">
        <f ca="1">IF(I663=1,IF(RAND()&lt;0.95,"Piped Water",F_Baseline_data!E663),F_Baseline_data!E663)</f>
        <v>Piped Water</v>
      </c>
      <c r="F663">
        <f t="shared" ca="1" si="20"/>
        <v>9</v>
      </c>
      <c r="G663">
        <v>9.5</v>
      </c>
      <c r="H663">
        <f ca="1">MAX(0,ROUND(F_Baseline_data!H663+(F_Baseline_data!C663-5)*200+(D663-30000)*0.015+(F663-50)*15-IF(I663=1,1200,0)+_xlfn.NORM.INV(RAND(),0,2500),-2))</f>
        <v>6800</v>
      </c>
      <c r="I663">
        <v>1</v>
      </c>
      <c r="J663">
        <f>1</f>
        <v>1</v>
      </c>
      <c r="K663">
        <f>1</f>
        <v>1</v>
      </c>
      <c r="L663">
        <v>0</v>
      </c>
      <c r="M663">
        <f t="shared" ca="1" si="21"/>
        <v>0.80116892253370431</v>
      </c>
      <c r="N663">
        <v>0</v>
      </c>
      <c r="O663">
        <v>0</v>
      </c>
      <c r="P663">
        <v>0</v>
      </c>
    </row>
    <row r="664" spans="1:16" x14ac:dyDescent="0.3">
      <c r="A664" t="s">
        <v>776</v>
      </c>
      <c r="B664" t="s">
        <v>64</v>
      </c>
      <c r="C664">
        <f ca="1">IF(RAND()&lt;0.8,F_Baseline_data!C664,IF(RAND()&lt;0.85,F_Baseline_data!C664+1,IF(F_Baseline_data!C664&gt;3,C664-1,F_Baseline_data!C664)))</f>
        <v>6</v>
      </c>
      <c r="D664">
        <f ca="1">MAX(5000,ROUND(F_Baseline_data!D664*(1+_xlfn.NORM.INV(RAND(),0.12,0.1)),-2))</f>
        <v>53700</v>
      </c>
      <c r="E664" t="str">
        <f ca="1">IF(I664=1,IF(RAND()&lt;0.95,"Piped Water",F_Baseline_data!E664),F_Baseline_data!E664)</f>
        <v>Piped Water</v>
      </c>
      <c r="F664">
        <f t="shared" ca="1" si="20"/>
        <v>8</v>
      </c>
      <c r="G664">
        <v>2.5</v>
      </c>
      <c r="H664">
        <f ca="1">MAX(0,ROUND(F_Baseline_data!H664+(F_Baseline_data!C664-5)*200+(D664-30000)*0.015+(F664-50)*15-IF(I664=1,1200,0)+_xlfn.NORM.INV(RAND(),0,2500),-2))</f>
        <v>6700</v>
      </c>
      <c r="I664">
        <v>1</v>
      </c>
      <c r="J664">
        <f>1</f>
        <v>1</v>
      </c>
      <c r="K664">
        <f>1</f>
        <v>1</v>
      </c>
      <c r="L664">
        <v>0</v>
      </c>
      <c r="M664">
        <f t="shared" ca="1" si="21"/>
        <v>7.5876601343718875E-2</v>
      </c>
      <c r="N664">
        <v>0</v>
      </c>
      <c r="O664">
        <v>0</v>
      </c>
      <c r="P664">
        <v>0</v>
      </c>
    </row>
    <row r="665" spans="1:16" x14ac:dyDescent="0.3">
      <c r="A665" t="s">
        <v>777</v>
      </c>
      <c r="B665" t="s">
        <v>62</v>
      </c>
      <c r="C665">
        <f ca="1">IF(RAND()&lt;0.8,F_Baseline_data!C665,IF(RAND()&lt;0.85,F_Baseline_data!C665+1,IF(F_Baseline_data!C665&gt;3,C665-1,F_Baseline_data!C665)))</f>
        <v>8</v>
      </c>
      <c r="D665">
        <f ca="1">MAX(5000,ROUND(F_Baseline_data!D665*(1+_xlfn.NORM.INV(RAND(),0.12,0.1)),-2))</f>
        <v>70700</v>
      </c>
      <c r="E665" t="str">
        <f ca="1">IF(I665=1,IF(RAND()&lt;0.95,"Piped Water",F_Baseline_data!E665),F_Baseline_data!E665)</f>
        <v>Piped Water</v>
      </c>
      <c r="F665">
        <f t="shared" ca="1" si="20"/>
        <v>1</v>
      </c>
      <c r="G665">
        <v>9.6999999999999993</v>
      </c>
      <c r="H665">
        <f ca="1">MAX(0,ROUND(F_Baseline_data!H665+(F_Baseline_data!C665-5)*200+(D665-30000)*0.015+(F665-50)*15-IF(I665=1,1200,0)+_xlfn.NORM.INV(RAND(),0,2500),-2))</f>
        <v>6300</v>
      </c>
      <c r="I665">
        <v>1</v>
      </c>
      <c r="J665">
        <f>1</f>
        <v>1</v>
      </c>
      <c r="K665">
        <f>1</f>
        <v>1</v>
      </c>
      <c r="L665">
        <v>0</v>
      </c>
      <c r="M665">
        <f t="shared" ca="1" si="21"/>
        <v>0.42974073176035965</v>
      </c>
      <c r="N665">
        <v>0</v>
      </c>
      <c r="O665">
        <v>0</v>
      </c>
      <c r="P665">
        <v>0</v>
      </c>
    </row>
    <row r="666" spans="1:16" x14ac:dyDescent="0.3">
      <c r="A666" t="s">
        <v>778</v>
      </c>
      <c r="B666" t="s">
        <v>62</v>
      </c>
      <c r="C666">
        <f ca="1">IF(RAND()&lt;0.8,F_Baseline_data!C666,IF(RAND()&lt;0.85,F_Baseline_data!C666+1,IF(F_Baseline_data!C666&gt;3,C666-1,F_Baseline_data!C666)))</f>
        <v>6</v>
      </c>
      <c r="D666">
        <f ca="1">MAX(5000,ROUND(F_Baseline_data!D666*(1+_xlfn.NORM.INV(RAND(),0.12,0.1)),-2))</f>
        <v>64700</v>
      </c>
      <c r="E666" t="str">
        <f ca="1">IF(I666=1,IF(RAND()&lt;0.95,"Piped Water",F_Baseline_data!E666),F_Baseline_data!E666)</f>
        <v>Piped Water</v>
      </c>
      <c r="F666">
        <f t="shared" ca="1" si="20"/>
        <v>10</v>
      </c>
      <c r="G666">
        <v>5.2</v>
      </c>
      <c r="H666">
        <f ca="1">MAX(0,ROUND(F_Baseline_data!H666+(F_Baseline_data!C666-5)*200+(D666-30000)*0.015+(F666-50)*15-IF(I666=1,1200,0)+_xlfn.NORM.INV(RAND(),0,2500),-2))</f>
        <v>7000</v>
      </c>
      <c r="I666">
        <v>1</v>
      </c>
      <c r="J666">
        <f>1</f>
        <v>1</v>
      </c>
      <c r="K666">
        <f>1</f>
        <v>1</v>
      </c>
      <c r="L666">
        <v>0</v>
      </c>
      <c r="M666">
        <f t="shared" ca="1" si="21"/>
        <v>0.59334219027933055</v>
      </c>
      <c r="N666">
        <v>0</v>
      </c>
      <c r="O666">
        <v>0</v>
      </c>
      <c r="P666">
        <v>0</v>
      </c>
    </row>
    <row r="667" spans="1:16" x14ac:dyDescent="0.3">
      <c r="A667" t="s">
        <v>779</v>
      </c>
      <c r="B667" t="s">
        <v>513</v>
      </c>
      <c r="C667">
        <f ca="1">IF(RAND()&lt;0.8,F_Baseline_data!C667,IF(RAND()&lt;0.85,F_Baseline_data!C667+1,IF(F_Baseline_data!C667&gt;3,C667-1,F_Baseline_data!C667)))</f>
        <v>4</v>
      </c>
      <c r="D667">
        <f ca="1">MAX(5000,ROUND(F_Baseline_data!D667*(1+_xlfn.NORM.INV(RAND(),0.12,0.1)),-2))</f>
        <v>35900</v>
      </c>
      <c r="E667" t="str">
        <f ca="1">IF(I667=1,IF(RAND()&lt;0.95,"Piped Water",F_Baseline_data!E667),F_Baseline_data!E667)</f>
        <v>Piped Water</v>
      </c>
      <c r="F667">
        <f t="shared" ca="1" si="20"/>
        <v>9</v>
      </c>
      <c r="G667">
        <v>10.7</v>
      </c>
      <c r="H667">
        <f ca="1">MAX(0,ROUND(F_Baseline_data!H667+(F_Baseline_data!C667-5)*200+(D667-30000)*0.015+(F667-50)*15-IF(I667=1,1200,0)+_xlfn.NORM.INV(RAND(),0,2500),-2))</f>
        <v>2200</v>
      </c>
      <c r="I667">
        <v>1</v>
      </c>
      <c r="J667">
        <f>1</f>
        <v>1</v>
      </c>
      <c r="K667">
        <f>1</f>
        <v>1</v>
      </c>
      <c r="L667">
        <v>0</v>
      </c>
      <c r="M667">
        <f t="shared" ca="1" si="21"/>
        <v>0.75333713156688098</v>
      </c>
      <c r="N667">
        <v>0</v>
      </c>
      <c r="O667">
        <v>0</v>
      </c>
      <c r="P667">
        <v>0</v>
      </c>
    </row>
    <row r="668" spans="1:16" x14ac:dyDescent="0.3">
      <c r="A668" t="s">
        <v>780</v>
      </c>
      <c r="B668" t="s">
        <v>64</v>
      </c>
      <c r="C668">
        <f ca="1">IF(RAND()&lt;0.8,F_Baseline_data!C668,IF(RAND()&lt;0.85,F_Baseline_data!C668+1,IF(F_Baseline_data!C668&gt;3,C668-1,F_Baseline_data!C668)))</f>
        <v>4</v>
      </c>
      <c r="D668">
        <f ca="1">MAX(5000,ROUND(F_Baseline_data!D668*(1+_xlfn.NORM.INV(RAND(),0.12,0.1)),-2))</f>
        <v>36300</v>
      </c>
      <c r="E668" t="str">
        <f ca="1">IF(I668=1,IF(RAND()&lt;0.95,"Piped Water",F_Baseline_data!E668),F_Baseline_data!E668)</f>
        <v>Piped Water</v>
      </c>
      <c r="F668">
        <f t="shared" ca="1" si="20"/>
        <v>1</v>
      </c>
      <c r="G668">
        <v>9.1</v>
      </c>
      <c r="H668">
        <f ca="1">MAX(0,ROUND(F_Baseline_data!H668+(F_Baseline_data!C668-5)*200+(D668-30000)*0.015+(F668-50)*15-IF(I668=1,1200,0)+_xlfn.NORM.INV(RAND(),0,2500),-2))</f>
        <v>5300</v>
      </c>
      <c r="I668">
        <v>1</v>
      </c>
      <c r="J668">
        <f>1</f>
        <v>1</v>
      </c>
      <c r="K668">
        <f>1</f>
        <v>1</v>
      </c>
      <c r="L668">
        <v>0</v>
      </c>
      <c r="M668">
        <f t="shared" ca="1" si="21"/>
        <v>0.31394815252758002</v>
      </c>
      <c r="N668">
        <v>0</v>
      </c>
      <c r="O668">
        <v>0</v>
      </c>
      <c r="P668">
        <v>0</v>
      </c>
    </row>
    <row r="669" spans="1:16" x14ac:dyDescent="0.3">
      <c r="A669" t="s">
        <v>781</v>
      </c>
      <c r="B669" t="s">
        <v>62</v>
      </c>
      <c r="C669">
        <f ca="1">IF(RAND()&lt;0.8,F_Baseline_data!C669,IF(RAND()&lt;0.85,F_Baseline_data!C669+1,IF(F_Baseline_data!C669&gt;3,C669-1,F_Baseline_data!C669)))</f>
        <v>6</v>
      </c>
      <c r="D669">
        <f ca="1">MAX(5000,ROUND(F_Baseline_data!D669*(1+_xlfn.NORM.INV(RAND(),0.12,0.1)),-2))</f>
        <v>32700</v>
      </c>
      <c r="E669" t="str">
        <f ca="1">IF(I669=1,IF(RAND()&lt;0.95,"Piped Water",F_Baseline_data!E669),F_Baseline_data!E669)</f>
        <v>Piped Water</v>
      </c>
      <c r="F669">
        <f t="shared" ca="1" si="20"/>
        <v>4</v>
      </c>
      <c r="G669">
        <v>8.1999999999999993</v>
      </c>
      <c r="H669">
        <f ca="1">MAX(0,ROUND(F_Baseline_data!H669+(F_Baseline_data!C669-5)*200+(D669-30000)*0.015+(F669-50)*15-IF(I669=1,1200,0)+_xlfn.NORM.INV(RAND(),0,2500),-2))</f>
        <v>8100</v>
      </c>
      <c r="I669">
        <v>1</v>
      </c>
      <c r="J669">
        <f>1</f>
        <v>1</v>
      </c>
      <c r="K669">
        <f>1</f>
        <v>1</v>
      </c>
      <c r="L669">
        <v>0</v>
      </c>
      <c r="M669">
        <f t="shared" ca="1" si="21"/>
        <v>5.6513658156611024E-2</v>
      </c>
      <c r="N669">
        <v>0</v>
      </c>
      <c r="O669">
        <v>0</v>
      </c>
      <c r="P669">
        <v>0</v>
      </c>
    </row>
    <row r="670" spans="1:16" x14ac:dyDescent="0.3">
      <c r="A670" t="s">
        <v>782</v>
      </c>
      <c r="B670" t="s">
        <v>513</v>
      </c>
      <c r="C670">
        <f ca="1">IF(RAND()&lt;0.8,F_Baseline_data!C670,IF(RAND()&lt;0.85,F_Baseline_data!C670+1,IF(F_Baseline_data!C670&gt;3,C670-1,F_Baseline_data!C670)))</f>
        <v>4</v>
      </c>
      <c r="D670">
        <f ca="1">MAX(5000,ROUND(F_Baseline_data!D670*(1+_xlfn.NORM.INV(RAND(),0.12,0.1)),-2))</f>
        <v>116700</v>
      </c>
      <c r="E670" t="str">
        <f ca="1">IF(I670=1,IF(RAND()&lt;0.95,"Piped Water",F_Baseline_data!E670),F_Baseline_data!E670)</f>
        <v>Piped Water</v>
      </c>
      <c r="F670">
        <f t="shared" ca="1" si="20"/>
        <v>8</v>
      </c>
      <c r="G670">
        <v>14.2</v>
      </c>
      <c r="H670">
        <f ca="1">MAX(0,ROUND(F_Baseline_data!H670+(F_Baseline_data!C670-5)*200+(D670-30000)*0.015+(F670-50)*15-IF(I670=1,1200,0)+_xlfn.NORM.INV(RAND(),0,2500),-2))</f>
        <v>5600</v>
      </c>
      <c r="I670">
        <v>1</v>
      </c>
      <c r="J670">
        <f>1</f>
        <v>1</v>
      </c>
      <c r="K670">
        <f>1</f>
        <v>1</v>
      </c>
      <c r="L670">
        <v>0</v>
      </c>
      <c r="M670">
        <f t="shared" ca="1" si="21"/>
        <v>7.0988986298141987E-2</v>
      </c>
      <c r="N670">
        <v>0</v>
      </c>
      <c r="O670">
        <v>0</v>
      </c>
      <c r="P670">
        <v>0</v>
      </c>
    </row>
    <row r="671" spans="1:16" x14ac:dyDescent="0.3">
      <c r="A671" t="s">
        <v>783</v>
      </c>
      <c r="B671" t="s">
        <v>62</v>
      </c>
      <c r="C671">
        <f ca="1">IF(RAND()&lt;0.8,F_Baseline_data!C671,IF(RAND()&lt;0.85,F_Baseline_data!C671+1,IF(F_Baseline_data!C671&gt;3,C671-1,F_Baseline_data!C671)))</f>
        <v>8</v>
      </c>
      <c r="D671">
        <f ca="1">MAX(5000,ROUND(F_Baseline_data!D671*(1+_xlfn.NORM.INV(RAND(),0.12,0.1)),-2))</f>
        <v>44100</v>
      </c>
      <c r="E671" t="str">
        <f ca="1">IF(I671=1,IF(RAND()&lt;0.95,"Piped Water",F_Baseline_data!E671),F_Baseline_data!E671)</f>
        <v>Piped Water</v>
      </c>
      <c r="F671">
        <f t="shared" ca="1" si="20"/>
        <v>2</v>
      </c>
      <c r="G671">
        <v>5.9</v>
      </c>
      <c r="H671">
        <f ca="1">MAX(0,ROUND(F_Baseline_data!H671+(F_Baseline_data!C671-5)*200+(D671-30000)*0.015+(F671-50)*15-IF(I671=1,1200,0)+_xlfn.NORM.INV(RAND(),0,2500),-2))</f>
        <v>1100</v>
      </c>
      <c r="I671">
        <v>1</v>
      </c>
      <c r="J671">
        <f>1</f>
        <v>1</v>
      </c>
      <c r="K671">
        <f>1</f>
        <v>1</v>
      </c>
      <c r="L671">
        <v>0</v>
      </c>
      <c r="M671">
        <f t="shared" ca="1" si="21"/>
        <v>0.80617353666732583</v>
      </c>
      <c r="N671">
        <v>0</v>
      </c>
      <c r="O671">
        <v>0</v>
      </c>
      <c r="P671">
        <v>0</v>
      </c>
    </row>
    <row r="672" spans="1:16" x14ac:dyDescent="0.3">
      <c r="A672" t="s">
        <v>784</v>
      </c>
      <c r="B672" t="s">
        <v>62</v>
      </c>
      <c r="C672">
        <f ca="1">IF(RAND()&lt;0.8,F_Baseline_data!C672,IF(RAND()&lt;0.85,F_Baseline_data!C672+1,IF(F_Baseline_data!C672&gt;3,C672-1,F_Baseline_data!C672)))</f>
        <v>4</v>
      </c>
      <c r="D672">
        <f ca="1">MAX(5000,ROUND(F_Baseline_data!D672*(1+_xlfn.NORM.INV(RAND(),0.12,0.1)),-2))</f>
        <v>47200</v>
      </c>
      <c r="E672" t="str">
        <f ca="1">IF(I672=1,IF(RAND()&lt;0.95,"Piped Water",F_Baseline_data!E672),F_Baseline_data!E672)</f>
        <v>Piped Water</v>
      </c>
      <c r="F672">
        <f t="shared" ca="1" si="20"/>
        <v>3</v>
      </c>
      <c r="G672">
        <v>6.1</v>
      </c>
      <c r="H672">
        <f ca="1">MAX(0,ROUND(F_Baseline_data!H672+(F_Baseline_data!C672-5)*200+(D672-30000)*0.015+(F672-50)*15-IF(I672=1,1200,0)+_xlfn.NORM.INV(RAND(),0,2500),-2))</f>
        <v>5900</v>
      </c>
      <c r="I672">
        <v>1</v>
      </c>
      <c r="J672">
        <f>1</f>
        <v>1</v>
      </c>
      <c r="K672">
        <f>1</f>
        <v>1</v>
      </c>
      <c r="L672">
        <v>0</v>
      </c>
      <c r="M672">
        <f t="shared" ca="1" si="21"/>
        <v>0.46316491005226468</v>
      </c>
      <c r="N672">
        <v>0</v>
      </c>
      <c r="O672">
        <v>0</v>
      </c>
      <c r="P672">
        <v>0</v>
      </c>
    </row>
    <row r="673" spans="1:16" x14ac:dyDescent="0.3">
      <c r="A673" t="s">
        <v>785</v>
      </c>
      <c r="B673" t="s">
        <v>65</v>
      </c>
      <c r="C673">
        <f ca="1">IF(RAND()&lt;0.8,F_Baseline_data!C673,IF(RAND()&lt;0.85,F_Baseline_data!C673+1,IF(F_Baseline_data!C673&gt;3,C673-1,F_Baseline_data!C673)))</f>
        <v>9</v>
      </c>
      <c r="D673">
        <f ca="1">MAX(5000,ROUND(F_Baseline_data!D673*(1+_xlfn.NORM.INV(RAND(),0.12,0.1)),-2))</f>
        <v>40800</v>
      </c>
      <c r="E673" t="str">
        <f ca="1">IF(I673=1,IF(RAND()&lt;0.95,"Piped Water",F_Baseline_data!E673),F_Baseline_data!E673)</f>
        <v>Piped Water</v>
      </c>
      <c r="F673">
        <f t="shared" ca="1" si="20"/>
        <v>9</v>
      </c>
      <c r="G673">
        <v>10.4</v>
      </c>
      <c r="H673">
        <f ca="1">MAX(0,ROUND(F_Baseline_data!H673+(F_Baseline_data!C673-5)*200+(D673-30000)*0.015+(F673-50)*15-IF(I673=1,1200,0)+_xlfn.NORM.INV(RAND(),0,2500),-2))</f>
        <v>11800</v>
      </c>
      <c r="I673">
        <v>1</v>
      </c>
      <c r="J673">
        <f>1</f>
        <v>1</v>
      </c>
      <c r="K673">
        <f>1</f>
        <v>1</v>
      </c>
      <c r="L673">
        <v>0</v>
      </c>
      <c r="M673">
        <f t="shared" ca="1" si="21"/>
        <v>0.86367712260070173</v>
      </c>
      <c r="N673">
        <v>0</v>
      </c>
      <c r="O673">
        <v>0</v>
      </c>
      <c r="P673">
        <v>0</v>
      </c>
    </row>
    <row r="674" spans="1:16" x14ac:dyDescent="0.3">
      <c r="A674" t="s">
        <v>786</v>
      </c>
      <c r="B674" t="s">
        <v>64</v>
      </c>
      <c r="C674">
        <f ca="1">IF(RAND()&lt;0.8,F_Baseline_data!C674,IF(RAND()&lt;0.85,F_Baseline_data!C674+1,IF(F_Baseline_data!C674&gt;3,C674-1,F_Baseline_data!C674)))</f>
        <v>5</v>
      </c>
      <c r="D674">
        <f ca="1">MAX(5000,ROUND(F_Baseline_data!D674*(1+_xlfn.NORM.INV(RAND(),0.12,0.1)),-2))</f>
        <v>32700</v>
      </c>
      <c r="E674" t="str">
        <f ca="1">IF(I674=1,IF(RAND()&lt;0.95,"Piped Water",F_Baseline_data!E674),F_Baseline_data!E674)</f>
        <v>Piped Water</v>
      </c>
      <c r="F674">
        <f t="shared" ca="1" si="20"/>
        <v>7</v>
      </c>
      <c r="G674">
        <v>9</v>
      </c>
      <c r="H674">
        <f ca="1">MAX(0,ROUND(F_Baseline_data!H674+(F_Baseline_data!C674-5)*200+(D674-30000)*0.015+(F674-50)*15-IF(I674=1,1200,0)+_xlfn.NORM.INV(RAND(),0,2500),-2))</f>
        <v>400</v>
      </c>
      <c r="I674">
        <v>1</v>
      </c>
      <c r="J674">
        <f>1</f>
        <v>1</v>
      </c>
      <c r="K674">
        <f>1</f>
        <v>1</v>
      </c>
      <c r="L674">
        <v>0</v>
      </c>
      <c r="M674">
        <f t="shared" ca="1" si="21"/>
        <v>0.42591467251111981</v>
      </c>
      <c r="N674">
        <v>0</v>
      </c>
      <c r="O674">
        <v>0</v>
      </c>
      <c r="P674">
        <v>0</v>
      </c>
    </row>
    <row r="675" spans="1:16" x14ac:dyDescent="0.3">
      <c r="A675" t="s">
        <v>787</v>
      </c>
      <c r="B675" t="s">
        <v>64</v>
      </c>
      <c r="C675">
        <f ca="1">IF(RAND()&lt;0.8,F_Baseline_data!C675,IF(RAND()&lt;0.85,F_Baseline_data!C675+1,IF(F_Baseline_data!C675&gt;3,C675-1,F_Baseline_data!C675)))</f>
        <v>7</v>
      </c>
      <c r="D675">
        <f ca="1">MAX(5000,ROUND(F_Baseline_data!D675*(1+_xlfn.NORM.INV(RAND(),0.12,0.1)),-2))</f>
        <v>74900</v>
      </c>
      <c r="E675" t="str">
        <f ca="1">IF(I675=1,IF(RAND()&lt;0.95,"Piped Water",F_Baseline_data!E675),F_Baseline_data!E675)</f>
        <v>Piped Water</v>
      </c>
      <c r="F675">
        <f t="shared" ca="1" si="20"/>
        <v>6</v>
      </c>
      <c r="G675">
        <v>2.5</v>
      </c>
      <c r="H675">
        <f ca="1">MAX(0,ROUND(F_Baseline_data!H675+(F_Baseline_data!C675-5)*200+(D675-30000)*0.015+(F675-50)*15-IF(I675=1,1200,0)+_xlfn.NORM.INV(RAND(),0,2500),-2))</f>
        <v>12300</v>
      </c>
      <c r="I675">
        <v>1</v>
      </c>
      <c r="J675">
        <f>1</f>
        <v>1</v>
      </c>
      <c r="K675">
        <f>1</f>
        <v>1</v>
      </c>
      <c r="L675">
        <v>0</v>
      </c>
      <c r="M675">
        <f t="shared" ca="1" si="21"/>
        <v>0.5903530327340677</v>
      </c>
      <c r="N675">
        <v>0</v>
      </c>
      <c r="O675">
        <v>0</v>
      </c>
      <c r="P675">
        <v>0</v>
      </c>
    </row>
    <row r="676" spans="1:16" x14ac:dyDescent="0.3">
      <c r="A676" t="s">
        <v>788</v>
      </c>
      <c r="B676" t="s">
        <v>62</v>
      </c>
      <c r="C676">
        <f ca="1">IF(RAND()&lt;0.8,F_Baseline_data!C676,IF(RAND()&lt;0.85,F_Baseline_data!C676+1,IF(F_Baseline_data!C676&gt;3,C676-1,F_Baseline_data!C676)))</f>
        <v>7</v>
      </c>
      <c r="D676">
        <f ca="1">MAX(5000,ROUND(F_Baseline_data!D676*(1+_xlfn.NORM.INV(RAND(),0.12,0.1)),-2))</f>
        <v>54300</v>
      </c>
      <c r="E676" t="str">
        <f ca="1">IF(I676=1,IF(RAND()&lt;0.95,"Piped Water",F_Baseline_data!E676),F_Baseline_data!E676)</f>
        <v>Piped Water</v>
      </c>
      <c r="F676">
        <f t="shared" ca="1" si="20"/>
        <v>4</v>
      </c>
      <c r="G676">
        <v>7.4</v>
      </c>
      <c r="H676">
        <f ca="1">MAX(0,ROUND(F_Baseline_data!H676+(F_Baseline_data!C676-5)*200+(D676-30000)*0.015+(F676-50)*15-IF(I676=1,1200,0)+_xlfn.NORM.INV(RAND(),0,2500),-2))</f>
        <v>8200</v>
      </c>
      <c r="I676">
        <v>1</v>
      </c>
      <c r="J676">
        <f>1</f>
        <v>1</v>
      </c>
      <c r="K676">
        <f>1</f>
        <v>1</v>
      </c>
      <c r="L676">
        <v>0</v>
      </c>
      <c r="M676">
        <f t="shared" ca="1" si="21"/>
        <v>0.65347532741086134</v>
      </c>
      <c r="N676">
        <v>0</v>
      </c>
      <c r="O676">
        <v>0</v>
      </c>
      <c r="P676">
        <v>0</v>
      </c>
    </row>
    <row r="677" spans="1:16" x14ac:dyDescent="0.3">
      <c r="A677" t="s">
        <v>789</v>
      </c>
      <c r="B677" t="s">
        <v>513</v>
      </c>
      <c r="C677">
        <f ca="1">IF(RAND()&lt;0.8,F_Baseline_data!C677,IF(RAND()&lt;0.85,F_Baseline_data!C677+1,IF(F_Baseline_data!C677&gt;3,C677-1,F_Baseline_data!C677)))</f>
        <v>8</v>
      </c>
      <c r="D677">
        <f ca="1">MAX(5000,ROUND(F_Baseline_data!D677*(1+_xlfn.NORM.INV(RAND(),0.12,0.1)),-2))</f>
        <v>51100</v>
      </c>
      <c r="E677" t="str">
        <f ca="1">IF(I677=1,IF(RAND()&lt;0.95,"Piped Water",F_Baseline_data!E677),F_Baseline_data!E677)</f>
        <v>River</v>
      </c>
      <c r="F677">
        <f t="shared" ca="1" si="20"/>
        <v>76</v>
      </c>
      <c r="G677">
        <v>1.8</v>
      </c>
      <c r="H677">
        <f ca="1">MAX(0,ROUND(F_Baseline_data!H677+(F_Baseline_data!C677-5)*200+(D677-30000)*0.015+(F677-50)*15-IF(I677=1,1200,0)+_xlfn.NORM.INV(RAND(),0,2500),-2))</f>
        <v>2700</v>
      </c>
      <c r="I677">
        <v>1</v>
      </c>
      <c r="J677">
        <f>1</f>
        <v>1</v>
      </c>
      <c r="K677">
        <f>1</f>
        <v>1</v>
      </c>
      <c r="L677">
        <v>0</v>
      </c>
      <c r="M677">
        <f t="shared" ca="1" si="21"/>
        <v>0.46138598682656728</v>
      </c>
      <c r="N677">
        <v>0</v>
      </c>
      <c r="O677">
        <v>0</v>
      </c>
      <c r="P677">
        <v>0</v>
      </c>
    </row>
    <row r="678" spans="1:16" x14ac:dyDescent="0.3">
      <c r="A678" t="s">
        <v>790</v>
      </c>
      <c r="B678" t="s">
        <v>62</v>
      </c>
      <c r="C678">
        <f ca="1">IF(RAND()&lt;0.8,F_Baseline_data!C678,IF(RAND()&lt;0.85,F_Baseline_data!C678+1,IF(F_Baseline_data!C678&gt;3,C678-1,F_Baseline_data!C678)))</f>
        <v>8</v>
      </c>
      <c r="D678">
        <f ca="1">MAX(5000,ROUND(F_Baseline_data!D678*(1+_xlfn.NORM.INV(RAND(),0.12,0.1)),-2))</f>
        <v>62900</v>
      </c>
      <c r="E678" t="str">
        <f ca="1">IF(I678=1,IF(RAND()&lt;0.95,"Piped Water",F_Baseline_data!E678),F_Baseline_data!E678)</f>
        <v>Piped Water</v>
      </c>
      <c r="F678">
        <f t="shared" ca="1" si="20"/>
        <v>1</v>
      </c>
      <c r="G678">
        <v>8.5</v>
      </c>
      <c r="H678">
        <f ca="1">MAX(0,ROUND(F_Baseline_data!H678+(F_Baseline_data!C678-5)*200+(D678-30000)*0.015+(F678-50)*15-IF(I678=1,1200,0)+_xlfn.NORM.INV(RAND(),0,2500),-2))</f>
        <v>4600</v>
      </c>
      <c r="I678">
        <v>1</v>
      </c>
      <c r="J678">
        <f>1</f>
        <v>1</v>
      </c>
      <c r="K678">
        <f>1</f>
        <v>1</v>
      </c>
      <c r="L678">
        <v>0</v>
      </c>
      <c r="M678">
        <f t="shared" ca="1" si="21"/>
        <v>0.97860378556572025</v>
      </c>
      <c r="N678">
        <v>0</v>
      </c>
      <c r="O678">
        <v>0</v>
      </c>
      <c r="P678">
        <v>0</v>
      </c>
    </row>
    <row r="679" spans="1:16" x14ac:dyDescent="0.3">
      <c r="A679" t="s">
        <v>791</v>
      </c>
      <c r="B679" t="s">
        <v>64</v>
      </c>
      <c r="C679">
        <f ca="1">IF(RAND()&lt;0.8,F_Baseline_data!C679,IF(RAND()&lt;0.85,F_Baseline_data!C679+1,IF(F_Baseline_data!C679&gt;3,C679-1,F_Baseline_data!C679)))</f>
        <v>6</v>
      </c>
      <c r="D679">
        <f ca="1">MAX(5000,ROUND(F_Baseline_data!D679*(1+_xlfn.NORM.INV(RAND(),0.12,0.1)),-2))</f>
        <v>73600</v>
      </c>
      <c r="E679" t="str">
        <f ca="1">IF(I679=1,IF(RAND()&lt;0.95,"Piped Water",F_Baseline_data!E679),F_Baseline_data!E679)</f>
        <v>Piped Water</v>
      </c>
      <c r="F679">
        <f t="shared" ca="1" si="20"/>
        <v>4</v>
      </c>
      <c r="G679">
        <v>2.2000000000000002</v>
      </c>
      <c r="H679">
        <f ca="1">MAX(0,ROUND(F_Baseline_data!H679+(F_Baseline_data!C679-5)*200+(D679-30000)*0.015+(F679-50)*15-IF(I679=1,1200,0)+_xlfn.NORM.INV(RAND(),0,2500),-2))</f>
        <v>300</v>
      </c>
      <c r="I679">
        <v>1</v>
      </c>
      <c r="J679">
        <f>1</f>
        <v>1</v>
      </c>
      <c r="K679">
        <f>1</f>
        <v>1</v>
      </c>
      <c r="L679">
        <v>0</v>
      </c>
      <c r="M679">
        <f t="shared" ca="1" si="21"/>
        <v>0.49740171350848661</v>
      </c>
      <c r="N679">
        <v>0</v>
      </c>
      <c r="O679">
        <v>0</v>
      </c>
      <c r="P679">
        <v>0</v>
      </c>
    </row>
    <row r="680" spans="1:16" x14ac:dyDescent="0.3">
      <c r="A680" t="s">
        <v>792</v>
      </c>
      <c r="B680" t="s">
        <v>62</v>
      </c>
      <c r="C680">
        <f ca="1">IF(RAND()&lt;0.8,F_Baseline_data!C680,IF(RAND()&lt;0.85,F_Baseline_data!C680+1,IF(F_Baseline_data!C680&gt;3,C680-1,F_Baseline_data!C680)))</f>
        <v>5</v>
      </c>
      <c r="D680">
        <f ca="1">MAX(5000,ROUND(F_Baseline_data!D680*(1+_xlfn.NORM.INV(RAND(),0.12,0.1)),-2))</f>
        <v>14700</v>
      </c>
      <c r="E680" t="str">
        <f ca="1">IF(I680=1,IF(RAND()&lt;0.95,"Piped Water",F_Baseline_data!E680),F_Baseline_data!E680)</f>
        <v>Piped Water</v>
      </c>
      <c r="F680">
        <f t="shared" ca="1" si="20"/>
        <v>4</v>
      </c>
      <c r="G680">
        <v>7</v>
      </c>
      <c r="H680">
        <f ca="1">MAX(0,ROUND(F_Baseline_data!H680+(F_Baseline_data!C680-5)*200+(D680-30000)*0.015+(F680-50)*15-IF(I680=1,1200,0)+_xlfn.NORM.INV(RAND(),0,2500),-2))</f>
        <v>9500</v>
      </c>
      <c r="I680">
        <v>1</v>
      </c>
      <c r="J680">
        <f>1</f>
        <v>1</v>
      </c>
      <c r="K680">
        <f>1</f>
        <v>1</v>
      </c>
      <c r="L680">
        <v>0</v>
      </c>
      <c r="M680">
        <f t="shared" ca="1" si="21"/>
        <v>0.11635507669636624</v>
      </c>
      <c r="N680">
        <v>0</v>
      </c>
      <c r="O680">
        <v>0</v>
      </c>
      <c r="P680">
        <v>0</v>
      </c>
    </row>
    <row r="681" spans="1:16" x14ac:dyDescent="0.3">
      <c r="A681" t="s">
        <v>793</v>
      </c>
      <c r="B681" t="s">
        <v>62</v>
      </c>
      <c r="C681">
        <f ca="1">IF(RAND()&lt;0.8,F_Baseline_data!C681,IF(RAND()&lt;0.85,F_Baseline_data!C681+1,IF(F_Baseline_data!C681&gt;3,C681-1,F_Baseline_data!C681)))</f>
        <v>7</v>
      </c>
      <c r="D681">
        <f ca="1">MAX(5000,ROUND(F_Baseline_data!D681*(1+_xlfn.NORM.INV(RAND(),0.12,0.1)),-2))</f>
        <v>17500</v>
      </c>
      <c r="E681" t="str">
        <f ca="1">IF(I681=1,IF(RAND()&lt;0.95,"Piped Water",F_Baseline_data!E681),F_Baseline_data!E681)</f>
        <v>Piped Water</v>
      </c>
      <c r="F681">
        <f t="shared" ca="1" si="20"/>
        <v>8</v>
      </c>
      <c r="G681">
        <v>10</v>
      </c>
      <c r="H681">
        <f ca="1">MAX(0,ROUND(F_Baseline_data!H681+(F_Baseline_data!C681-5)*200+(D681-30000)*0.015+(F681-50)*15-IF(I681=1,1200,0)+_xlfn.NORM.INV(RAND(),0,2500),-2))</f>
        <v>5800</v>
      </c>
      <c r="I681">
        <v>1</v>
      </c>
      <c r="J681">
        <f>1</f>
        <v>1</v>
      </c>
      <c r="K681">
        <f>1</f>
        <v>1</v>
      </c>
      <c r="L681">
        <v>0</v>
      </c>
      <c r="M681">
        <f t="shared" ca="1" si="21"/>
        <v>0.44061535243793681</v>
      </c>
      <c r="N681">
        <v>0</v>
      </c>
      <c r="O681">
        <v>0</v>
      </c>
      <c r="P681">
        <v>0</v>
      </c>
    </row>
    <row r="682" spans="1:16" x14ac:dyDescent="0.3">
      <c r="A682" t="s">
        <v>794</v>
      </c>
      <c r="B682" t="s">
        <v>65</v>
      </c>
      <c r="C682">
        <f ca="1">IF(RAND()&lt;0.8,F_Baseline_data!C682,IF(RAND()&lt;0.85,F_Baseline_data!C682+1,IF(F_Baseline_data!C682&gt;3,C682-1,F_Baseline_data!C682)))</f>
        <v>7</v>
      </c>
      <c r="D682">
        <f ca="1">MAX(5000,ROUND(F_Baseline_data!D682*(1+_xlfn.NORM.INV(RAND(),0.12,0.1)),-2))</f>
        <v>19100</v>
      </c>
      <c r="E682" t="str">
        <f ca="1">IF(I682=1,IF(RAND()&lt;0.95,"Piped Water",F_Baseline_data!E682),F_Baseline_data!E682)</f>
        <v>Piped Water</v>
      </c>
      <c r="F682">
        <f t="shared" ca="1" si="20"/>
        <v>1</v>
      </c>
      <c r="G682">
        <v>4.3</v>
      </c>
      <c r="H682">
        <f ca="1">MAX(0,ROUND(F_Baseline_data!H682+(F_Baseline_data!C682-5)*200+(D682-30000)*0.015+(F682-50)*15-IF(I682=1,1200,0)+_xlfn.NORM.INV(RAND(),0,2500),-2))</f>
        <v>0</v>
      </c>
      <c r="I682">
        <v>1</v>
      </c>
      <c r="J682">
        <f>1</f>
        <v>1</v>
      </c>
      <c r="K682">
        <f>1</f>
        <v>1</v>
      </c>
      <c r="L682">
        <v>0</v>
      </c>
      <c r="M682">
        <f t="shared" ca="1" si="21"/>
        <v>0.43670210007964816</v>
      </c>
      <c r="N682">
        <v>0</v>
      </c>
      <c r="O682">
        <v>0</v>
      </c>
      <c r="P682">
        <v>0</v>
      </c>
    </row>
    <row r="683" spans="1:16" x14ac:dyDescent="0.3">
      <c r="A683" t="s">
        <v>795</v>
      </c>
      <c r="B683" t="s">
        <v>513</v>
      </c>
      <c r="C683">
        <f ca="1">IF(RAND()&lt;0.8,F_Baseline_data!C683,IF(RAND()&lt;0.85,F_Baseline_data!C683+1,IF(F_Baseline_data!C683&gt;3,C683-1,F_Baseline_data!C683)))</f>
        <v>10</v>
      </c>
      <c r="D683">
        <f ca="1">MAX(5000,ROUND(F_Baseline_data!D683*(1+_xlfn.NORM.INV(RAND(),0.12,0.1)),-2))</f>
        <v>150400</v>
      </c>
      <c r="E683" t="str">
        <f ca="1">IF(I683=1,IF(RAND()&lt;0.95,"Piped Water",F_Baseline_data!E683),F_Baseline_data!E683)</f>
        <v>Piped Water</v>
      </c>
      <c r="F683">
        <f t="shared" ca="1" si="20"/>
        <v>0</v>
      </c>
      <c r="G683">
        <v>10.199999999999999</v>
      </c>
      <c r="H683">
        <f ca="1">MAX(0,ROUND(F_Baseline_data!H683+(F_Baseline_data!C683-5)*200+(D683-30000)*0.015+(F683-50)*15-IF(I683=1,1200,0)+_xlfn.NORM.INV(RAND(),0,2500),-2))</f>
        <v>10700</v>
      </c>
      <c r="I683">
        <v>1</v>
      </c>
      <c r="J683">
        <f>1</f>
        <v>1</v>
      </c>
      <c r="K683">
        <f>1</f>
        <v>1</v>
      </c>
      <c r="L683">
        <v>0</v>
      </c>
      <c r="M683">
        <f t="shared" ca="1" si="21"/>
        <v>0.88094362951773564</v>
      </c>
      <c r="N683">
        <v>0</v>
      </c>
      <c r="O683">
        <v>0</v>
      </c>
      <c r="P683">
        <v>0</v>
      </c>
    </row>
    <row r="684" spans="1:16" x14ac:dyDescent="0.3">
      <c r="A684" t="s">
        <v>796</v>
      </c>
      <c r="B684" t="s">
        <v>62</v>
      </c>
      <c r="C684">
        <f ca="1">IF(RAND()&lt;0.8,F_Baseline_data!C684,IF(RAND()&lt;0.85,F_Baseline_data!C684+1,IF(F_Baseline_data!C684&gt;3,C684-1,F_Baseline_data!C684)))</f>
        <v>2</v>
      </c>
      <c r="D684">
        <f ca="1">MAX(5000,ROUND(F_Baseline_data!D684*(1+_xlfn.NORM.INV(RAND(),0.12,0.1)),-2))</f>
        <v>33300</v>
      </c>
      <c r="E684" t="str">
        <f ca="1">IF(I684=1,IF(RAND()&lt;0.95,"Piped Water",F_Baseline_data!E684),F_Baseline_data!E684)</f>
        <v>Piped Water</v>
      </c>
      <c r="F684">
        <f t="shared" ca="1" si="20"/>
        <v>5</v>
      </c>
      <c r="G684">
        <v>2.5</v>
      </c>
      <c r="H684">
        <f ca="1">MAX(0,ROUND(F_Baseline_data!H684+(F_Baseline_data!C684-5)*200+(D684-30000)*0.015+(F684-50)*15-IF(I684=1,1200,0)+_xlfn.NORM.INV(RAND(),0,2500),-2))</f>
        <v>2600</v>
      </c>
      <c r="I684">
        <v>1</v>
      </c>
      <c r="J684">
        <f>1</f>
        <v>1</v>
      </c>
      <c r="K684">
        <f>1</f>
        <v>1</v>
      </c>
      <c r="L684">
        <v>0</v>
      </c>
      <c r="M684">
        <f t="shared" ca="1" si="21"/>
        <v>0.7253187731051508</v>
      </c>
      <c r="N684">
        <v>0</v>
      </c>
      <c r="O684">
        <v>0</v>
      </c>
      <c r="P684">
        <v>0</v>
      </c>
    </row>
    <row r="685" spans="1:16" x14ac:dyDescent="0.3">
      <c r="A685" t="s">
        <v>797</v>
      </c>
      <c r="B685" t="s">
        <v>65</v>
      </c>
      <c r="C685">
        <f ca="1">IF(RAND()&lt;0.8,F_Baseline_data!C685,IF(RAND()&lt;0.85,F_Baseline_data!C685+1,IF(F_Baseline_data!C685&gt;3,C685-1,F_Baseline_data!C685)))</f>
        <v>7</v>
      </c>
      <c r="D685">
        <f ca="1">MAX(5000,ROUND(F_Baseline_data!D685*(1+_xlfn.NORM.INV(RAND(),0.12,0.1)),-2))</f>
        <v>65100</v>
      </c>
      <c r="E685" t="str">
        <f ca="1">IF(I685=1,IF(RAND()&lt;0.95,"Piped Water",F_Baseline_data!E685),F_Baseline_data!E685)</f>
        <v>Piped Water</v>
      </c>
      <c r="F685">
        <f t="shared" ca="1" si="20"/>
        <v>8</v>
      </c>
      <c r="G685">
        <v>5.0999999999999996</v>
      </c>
      <c r="H685">
        <f ca="1">MAX(0,ROUND(F_Baseline_data!H685+(F_Baseline_data!C685-5)*200+(D685-30000)*0.015+(F685-50)*15-IF(I685=1,1200,0)+_xlfn.NORM.INV(RAND(),0,2500),-2))</f>
        <v>4000</v>
      </c>
      <c r="I685">
        <v>1</v>
      </c>
      <c r="J685">
        <f>1</f>
        <v>1</v>
      </c>
      <c r="K685">
        <f>1</f>
        <v>1</v>
      </c>
      <c r="L685">
        <v>0</v>
      </c>
      <c r="M685">
        <f t="shared" ca="1" si="21"/>
        <v>0.24779255668784994</v>
      </c>
      <c r="N685">
        <v>0</v>
      </c>
      <c r="O685">
        <v>0</v>
      </c>
      <c r="P685">
        <v>0</v>
      </c>
    </row>
    <row r="686" spans="1:16" x14ac:dyDescent="0.3">
      <c r="A686" t="s">
        <v>798</v>
      </c>
      <c r="B686" t="s">
        <v>65</v>
      </c>
      <c r="C686">
        <f ca="1">IF(RAND()&lt;0.8,F_Baseline_data!C686,IF(RAND()&lt;0.85,F_Baseline_data!C686+1,IF(F_Baseline_data!C686&gt;3,C686-1,F_Baseline_data!C686)))</f>
        <v>4</v>
      </c>
      <c r="D686">
        <f ca="1">MAX(5000,ROUND(F_Baseline_data!D686*(1+_xlfn.NORM.INV(RAND(),0.12,0.1)),-2))</f>
        <v>41700</v>
      </c>
      <c r="E686" t="str">
        <f ca="1">IF(I686=1,IF(RAND()&lt;0.95,"Piped Water",F_Baseline_data!E686),F_Baseline_data!E686)</f>
        <v>Piped Water</v>
      </c>
      <c r="F686">
        <f t="shared" ca="1" si="20"/>
        <v>5</v>
      </c>
      <c r="G686">
        <v>2.4</v>
      </c>
      <c r="H686">
        <f ca="1">MAX(0,ROUND(F_Baseline_data!H686+(F_Baseline_data!C686-5)*200+(D686-30000)*0.015+(F686-50)*15-IF(I686=1,1200,0)+_xlfn.NORM.INV(RAND(),0,2500),-2))</f>
        <v>0</v>
      </c>
      <c r="I686">
        <v>1</v>
      </c>
      <c r="J686">
        <f>1</f>
        <v>1</v>
      </c>
      <c r="K686">
        <f>1</f>
        <v>1</v>
      </c>
      <c r="L686">
        <v>0</v>
      </c>
      <c r="M686">
        <f t="shared" ca="1" si="21"/>
        <v>0.91465250760998462</v>
      </c>
      <c r="N686">
        <v>0</v>
      </c>
      <c r="O686">
        <v>0</v>
      </c>
      <c r="P686">
        <v>0</v>
      </c>
    </row>
    <row r="687" spans="1:16" x14ac:dyDescent="0.3">
      <c r="A687" t="s">
        <v>799</v>
      </c>
      <c r="B687" t="s">
        <v>65</v>
      </c>
      <c r="C687">
        <f ca="1">IF(RAND()&lt;0.8,F_Baseline_data!C687,IF(RAND()&lt;0.85,F_Baseline_data!C687+1,IF(F_Baseline_data!C687&gt;3,C687-1,F_Baseline_data!C687)))</f>
        <v>5</v>
      </c>
      <c r="D687">
        <f ca="1">MAX(5000,ROUND(F_Baseline_data!D687*(1+_xlfn.NORM.INV(RAND(),0.12,0.1)),-2))</f>
        <v>47900</v>
      </c>
      <c r="E687" t="str">
        <f ca="1">IF(I687=1,IF(RAND()&lt;0.95,"Piped Water",F_Baseline_data!E687),F_Baseline_data!E687)</f>
        <v>Piped Water</v>
      </c>
      <c r="F687">
        <f t="shared" ca="1" si="20"/>
        <v>4</v>
      </c>
      <c r="G687">
        <v>10.5</v>
      </c>
      <c r="H687">
        <f ca="1">MAX(0,ROUND(F_Baseline_data!H687+(F_Baseline_data!C687-5)*200+(D687-30000)*0.015+(F687-50)*15-IF(I687=1,1200,0)+_xlfn.NORM.INV(RAND(),0,2500),-2))</f>
        <v>4000</v>
      </c>
      <c r="I687">
        <v>1</v>
      </c>
      <c r="J687">
        <f>1</f>
        <v>1</v>
      </c>
      <c r="K687">
        <f>1</f>
        <v>1</v>
      </c>
      <c r="L687">
        <v>0</v>
      </c>
      <c r="M687">
        <f t="shared" ca="1" si="21"/>
        <v>0.54359814819075003</v>
      </c>
      <c r="N687">
        <v>0</v>
      </c>
      <c r="O687">
        <v>0</v>
      </c>
      <c r="P687">
        <v>0</v>
      </c>
    </row>
    <row r="688" spans="1:16" x14ac:dyDescent="0.3">
      <c r="A688" t="s">
        <v>800</v>
      </c>
      <c r="B688" t="s">
        <v>64</v>
      </c>
      <c r="C688">
        <f ca="1">IF(RAND()&lt;0.8,F_Baseline_data!C688,IF(RAND()&lt;0.85,F_Baseline_data!C688+1,IF(F_Baseline_data!C688&gt;3,C688-1,F_Baseline_data!C688)))</f>
        <v>8</v>
      </c>
      <c r="D688">
        <f ca="1">MAX(5000,ROUND(F_Baseline_data!D688*(1+_xlfn.NORM.INV(RAND(),0.12,0.1)),-2))</f>
        <v>108000</v>
      </c>
      <c r="E688" t="str">
        <f ca="1">IF(I688=1,IF(RAND()&lt;0.95,"Piped Water",F_Baseline_data!E688),F_Baseline_data!E688)</f>
        <v>Piped Water</v>
      </c>
      <c r="F688">
        <f t="shared" ca="1" si="20"/>
        <v>2</v>
      </c>
      <c r="G688">
        <v>7.3</v>
      </c>
      <c r="H688">
        <f ca="1">MAX(0,ROUND(F_Baseline_data!H688+(F_Baseline_data!C688-5)*200+(D688-30000)*0.015+(F688-50)*15-IF(I688=1,1200,0)+_xlfn.NORM.INV(RAND(),0,2500),-2))</f>
        <v>300</v>
      </c>
      <c r="I688">
        <v>1</v>
      </c>
      <c r="J688">
        <f>1</f>
        <v>1</v>
      </c>
      <c r="K688">
        <f>1</f>
        <v>1</v>
      </c>
      <c r="L688">
        <v>0</v>
      </c>
      <c r="M688">
        <f t="shared" ca="1" si="21"/>
        <v>0.38207452524152796</v>
      </c>
      <c r="N688">
        <v>0</v>
      </c>
      <c r="O688">
        <v>0</v>
      </c>
      <c r="P688">
        <v>0</v>
      </c>
    </row>
    <row r="689" spans="1:16" x14ac:dyDescent="0.3">
      <c r="A689" t="s">
        <v>801</v>
      </c>
      <c r="B689" t="s">
        <v>62</v>
      </c>
      <c r="C689">
        <f ca="1">IF(RAND()&lt;0.8,F_Baseline_data!C689,IF(RAND()&lt;0.85,F_Baseline_data!C689+1,IF(F_Baseline_data!C689&gt;3,C689-1,F_Baseline_data!C689)))</f>
        <v>8</v>
      </c>
      <c r="D689">
        <f ca="1">MAX(5000,ROUND(F_Baseline_data!D689*(1+_xlfn.NORM.INV(RAND(),0.12,0.1)),-2))</f>
        <v>54000</v>
      </c>
      <c r="E689" t="str">
        <f ca="1">IF(I689=1,IF(RAND()&lt;0.95,"Piped Water",F_Baseline_data!E689),F_Baseline_data!E689)</f>
        <v>Piped Water</v>
      </c>
      <c r="F689">
        <f t="shared" ca="1" si="20"/>
        <v>3</v>
      </c>
      <c r="G689">
        <v>4.8</v>
      </c>
      <c r="H689">
        <f ca="1">MAX(0,ROUND(F_Baseline_data!H689+(F_Baseline_data!C689-5)*200+(D689-30000)*0.015+(F689-50)*15-IF(I689=1,1200,0)+_xlfn.NORM.INV(RAND(),0,2500),-2))</f>
        <v>12400</v>
      </c>
      <c r="I689">
        <v>1</v>
      </c>
      <c r="J689">
        <f>1</f>
        <v>1</v>
      </c>
      <c r="K689">
        <f>1</f>
        <v>1</v>
      </c>
      <c r="L689">
        <v>0</v>
      </c>
      <c r="M689">
        <f t="shared" ca="1" si="21"/>
        <v>0.61466338616317451</v>
      </c>
      <c r="N689">
        <v>0</v>
      </c>
      <c r="O689">
        <v>0</v>
      </c>
      <c r="P689">
        <v>0</v>
      </c>
    </row>
    <row r="690" spans="1:16" x14ac:dyDescent="0.3">
      <c r="A690" t="s">
        <v>802</v>
      </c>
      <c r="B690" t="s">
        <v>64</v>
      </c>
      <c r="C690">
        <f ca="1">IF(RAND()&lt;0.8,F_Baseline_data!C690,IF(RAND()&lt;0.85,F_Baseline_data!C690+1,IF(F_Baseline_data!C690&gt;3,C690-1,F_Baseline_data!C690)))</f>
        <v>6</v>
      </c>
      <c r="D690">
        <f ca="1">MAX(5000,ROUND(F_Baseline_data!D690*(1+_xlfn.NORM.INV(RAND(),0.12,0.1)),-2))</f>
        <v>72300</v>
      </c>
      <c r="E690" t="str">
        <f ca="1">IF(I690=1,IF(RAND()&lt;0.95,"Piped Water",F_Baseline_data!E690),F_Baseline_data!E690)</f>
        <v>Piped Water</v>
      </c>
      <c r="F690">
        <f t="shared" ca="1" si="20"/>
        <v>1</v>
      </c>
      <c r="G690">
        <v>10.199999999999999</v>
      </c>
      <c r="H690">
        <f ca="1">MAX(0,ROUND(F_Baseline_data!H690+(F_Baseline_data!C690-5)*200+(D690-30000)*0.015+(F690-50)*15-IF(I690=1,1200,0)+_xlfn.NORM.INV(RAND(),0,2500),-2))</f>
        <v>9900</v>
      </c>
      <c r="I690">
        <v>1</v>
      </c>
      <c r="J690">
        <f>1</f>
        <v>1</v>
      </c>
      <c r="K690">
        <f>1</f>
        <v>1</v>
      </c>
      <c r="L690">
        <v>0</v>
      </c>
      <c r="M690">
        <f t="shared" ca="1" si="21"/>
        <v>0.35365525402864184</v>
      </c>
      <c r="N690">
        <v>0</v>
      </c>
      <c r="O690">
        <v>0</v>
      </c>
      <c r="P690">
        <v>0</v>
      </c>
    </row>
    <row r="691" spans="1:16" x14ac:dyDescent="0.3">
      <c r="A691" t="s">
        <v>803</v>
      </c>
      <c r="B691" t="s">
        <v>62</v>
      </c>
      <c r="C691">
        <f ca="1">IF(RAND()&lt;0.8,F_Baseline_data!C691,IF(RAND()&lt;0.85,F_Baseline_data!C691+1,IF(F_Baseline_data!C691&gt;3,C691-1,F_Baseline_data!C691)))</f>
        <v>5</v>
      </c>
      <c r="D691">
        <f ca="1">MAX(5000,ROUND(F_Baseline_data!D691*(1+_xlfn.NORM.INV(RAND(),0.12,0.1)),-2))</f>
        <v>17500</v>
      </c>
      <c r="E691" t="str">
        <f ca="1">IF(I691=1,IF(RAND()&lt;0.95,"Piped Water",F_Baseline_data!E691),F_Baseline_data!E691)</f>
        <v>Piped Water</v>
      </c>
      <c r="F691">
        <f t="shared" ca="1" si="20"/>
        <v>1</v>
      </c>
      <c r="G691">
        <v>1.1000000000000001</v>
      </c>
      <c r="H691">
        <f ca="1">MAX(0,ROUND(F_Baseline_data!H691+(F_Baseline_data!C691-5)*200+(D691-30000)*0.015+(F691-50)*15-IF(I691=1,1200,0)+_xlfn.NORM.INV(RAND(),0,2500),-2))</f>
        <v>0</v>
      </c>
      <c r="I691">
        <v>1</v>
      </c>
      <c r="J691">
        <f>1</f>
        <v>1</v>
      </c>
      <c r="K691">
        <f>1</f>
        <v>1</v>
      </c>
      <c r="L691">
        <v>0</v>
      </c>
      <c r="M691">
        <f t="shared" ca="1" si="21"/>
        <v>0.46676840625202998</v>
      </c>
      <c r="N691">
        <v>0</v>
      </c>
      <c r="O691">
        <v>0</v>
      </c>
      <c r="P691">
        <v>0</v>
      </c>
    </row>
    <row r="692" spans="1:16" x14ac:dyDescent="0.3">
      <c r="A692" t="s">
        <v>804</v>
      </c>
      <c r="B692" t="s">
        <v>65</v>
      </c>
      <c r="C692">
        <f ca="1">IF(RAND()&lt;0.8,F_Baseline_data!C692,IF(RAND()&lt;0.85,F_Baseline_data!C692+1,IF(F_Baseline_data!C692&gt;3,C692-1,F_Baseline_data!C692)))</f>
        <v>5</v>
      </c>
      <c r="D692">
        <f ca="1">MAX(5000,ROUND(F_Baseline_data!D692*(1+_xlfn.NORM.INV(RAND(),0.12,0.1)),-2))</f>
        <v>14400</v>
      </c>
      <c r="E692" t="str">
        <f ca="1">IF(I692=1,IF(RAND()&lt;0.95,"Piped Water",F_Baseline_data!E692),F_Baseline_data!E692)</f>
        <v>Piped Water</v>
      </c>
      <c r="F692">
        <f t="shared" ca="1" si="20"/>
        <v>6</v>
      </c>
      <c r="G692">
        <v>1</v>
      </c>
      <c r="H692">
        <f ca="1">MAX(0,ROUND(F_Baseline_data!H692+(F_Baseline_data!C692-5)*200+(D692-30000)*0.015+(F692-50)*15-IF(I692=1,1200,0)+_xlfn.NORM.INV(RAND(),0,2500),-2))</f>
        <v>5100</v>
      </c>
      <c r="I692">
        <v>1</v>
      </c>
      <c r="J692">
        <f>1</f>
        <v>1</v>
      </c>
      <c r="K692">
        <f>1</f>
        <v>1</v>
      </c>
      <c r="L692">
        <v>0</v>
      </c>
      <c r="M692">
        <f t="shared" ca="1" si="21"/>
        <v>0.58314899395366238</v>
      </c>
      <c r="N692">
        <v>0</v>
      </c>
      <c r="O692">
        <v>0</v>
      </c>
      <c r="P692">
        <v>0</v>
      </c>
    </row>
    <row r="693" spans="1:16" x14ac:dyDescent="0.3">
      <c r="A693" t="s">
        <v>805</v>
      </c>
      <c r="B693" t="s">
        <v>64</v>
      </c>
      <c r="C693">
        <f ca="1">IF(RAND()&lt;0.8,F_Baseline_data!C693,IF(RAND()&lt;0.85,F_Baseline_data!C693+1,IF(F_Baseline_data!C693&gt;3,C693-1,F_Baseline_data!C693)))</f>
        <v>6</v>
      </c>
      <c r="D693">
        <f ca="1">MAX(5000,ROUND(F_Baseline_data!D693*(1+_xlfn.NORM.INV(RAND(),0.12,0.1)),-2))</f>
        <v>22600</v>
      </c>
      <c r="E693" t="str">
        <f ca="1">IF(I693=1,IF(RAND()&lt;0.95,"Piped Water",F_Baseline_data!E693),F_Baseline_data!E693)</f>
        <v>Piped Water</v>
      </c>
      <c r="F693">
        <f t="shared" ca="1" si="20"/>
        <v>1</v>
      </c>
      <c r="G693">
        <v>5.5</v>
      </c>
      <c r="H693">
        <f ca="1">MAX(0,ROUND(F_Baseline_data!H693+(F_Baseline_data!C693-5)*200+(D693-30000)*0.015+(F693-50)*15-IF(I693=1,1200,0)+_xlfn.NORM.INV(RAND(),0,2500),-2))</f>
        <v>500</v>
      </c>
      <c r="I693">
        <v>1</v>
      </c>
      <c r="J693">
        <f>1</f>
        <v>1</v>
      </c>
      <c r="K693">
        <f>1</f>
        <v>1</v>
      </c>
      <c r="L693">
        <v>0</v>
      </c>
      <c r="M693">
        <f t="shared" ca="1" si="21"/>
        <v>5.3405666209468294E-2</v>
      </c>
      <c r="N693">
        <v>0</v>
      </c>
      <c r="O693">
        <v>0</v>
      </c>
      <c r="P693">
        <v>0</v>
      </c>
    </row>
    <row r="694" spans="1:16" x14ac:dyDescent="0.3">
      <c r="A694" t="s">
        <v>806</v>
      </c>
      <c r="B694" t="s">
        <v>64</v>
      </c>
      <c r="C694">
        <f ca="1">IF(RAND()&lt;0.8,F_Baseline_data!C694,IF(RAND()&lt;0.85,F_Baseline_data!C694+1,IF(F_Baseline_data!C694&gt;3,C694-1,F_Baseline_data!C694)))</f>
        <v>2</v>
      </c>
      <c r="D694">
        <f ca="1">MAX(5000,ROUND(F_Baseline_data!D694*(1+_xlfn.NORM.INV(RAND(),0.12,0.1)),-2))</f>
        <v>17300</v>
      </c>
      <c r="E694" t="str">
        <f ca="1">IF(I694=1,IF(RAND()&lt;0.95,"Piped Water",F_Baseline_data!E694),F_Baseline_data!E694)</f>
        <v>Piped Water</v>
      </c>
      <c r="F694">
        <f t="shared" ca="1" si="20"/>
        <v>1</v>
      </c>
      <c r="G694">
        <v>5</v>
      </c>
      <c r="H694">
        <f ca="1">MAX(0,ROUND(F_Baseline_data!H694+(F_Baseline_data!C694-5)*200+(D694-30000)*0.015+(F694-50)*15-IF(I694=1,1200,0)+_xlfn.NORM.INV(RAND(),0,2500),-2))</f>
        <v>0</v>
      </c>
      <c r="I694">
        <v>1</v>
      </c>
      <c r="J694">
        <f>1</f>
        <v>1</v>
      </c>
      <c r="K694">
        <f>1</f>
        <v>1</v>
      </c>
      <c r="L694">
        <v>0</v>
      </c>
      <c r="M694">
        <f t="shared" ca="1" si="21"/>
        <v>0.87592137361012501</v>
      </c>
      <c r="N694">
        <v>0</v>
      </c>
      <c r="O694">
        <v>0</v>
      </c>
      <c r="P694">
        <v>0</v>
      </c>
    </row>
    <row r="695" spans="1:16" x14ac:dyDescent="0.3">
      <c r="A695" t="s">
        <v>807</v>
      </c>
      <c r="B695" t="s">
        <v>62</v>
      </c>
      <c r="C695">
        <f ca="1">IF(RAND()&lt;0.8,F_Baseline_data!C695,IF(RAND()&lt;0.85,F_Baseline_data!C695+1,IF(F_Baseline_data!C695&gt;3,C695-1,F_Baseline_data!C695)))</f>
        <v>6</v>
      </c>
      <c r="D695">
        <f ca="1">MAX(5000,ROUND(F_Baseline_data!D695*(1+_xlfn.NORM.INV(RAND(),0.12,0.1)),-2))</f>
        <v>124600</v>
      </c>
      <c r="E695" t="str">
        <f ca="1">IF(I695=1,IF(RAND()&lt;0.95,"Piped Water",F_Baseline_data!E695),F_Baseline_data!E695)</f>
        <v>Piped Water</v>
      </c>
      <c r="F695">
        <f t="shared" ca="1" si="20"/>
        <v>10</v>
      </c>
      <c r="G695">
        <v>9.1</v>
      </c>
      <c r="H695">
        <f ca="1">MAX(0,ROUND(F_Baseline_data!H695+(F_Baseline_data!C695-5)*200+(D695-30000)*0.015+(F695-50)*15-IF(I695=1,1200,0)+_xlfn.NORM.INV(RAND(),0,2500),-2))</f>
        <v>8500</v>
      </c>
      <c r="I695">
        <v>1</v>
      </c>
      <c r="J695">
        <f>1</f>
        <v>1</v>
      </c>
      <c r="K695">
        <f>1</f>
        <v>1</v>
      </c>
      <c r="L695">
        <v>0</v>
      </c>
      <c r="M695">
        <f t="shared" ca="1" si="21"/>
        <v>0.46655203895922204</v>
      </c>
      <c r="N695">
        <v>0</v>
      </c>
      <c r="O695">
        <v>0</v>
      </c>
      <c r="P695">
        <v>0</v>
      </c>
    </row>
    <row r="696" spans="1:16" x14ac:dyDescent="0.3">
      <c r="A696" t="s">
        <v>808</v>
      </c>
      <c r="B696" t="s">
        <v>513</v>
      </c>
      <c r="C696">
        <f ca="1">IF(RAND()&lt;0.8,F_Baseline_data!C696,IF(RAND()&lt;0.85,F_Baseline_data!C696+1,IF(F_Baseline_data!C696&gt;3,C696-1,F_Baseline_data!C696)))</f>
        <v>6</v>
      </c>
      <c r="D696">
        <f ca="1">MAX(5000,ROUND(F_Baseline_data!D696*(1+_xlfn.NORM.INV(RAND(),0.12,0.1)),-2))</f>
        <v>61400</v>
      </c>
      <c r="E696" t="str">
        <f ca="1">IF(I696=1,IF(RAND()&lt;0.95,"Piped Water",F_Baseline_data!E696),F_Baseline_data!E696)</f>
        <v>Piped Water</v>
      </c>
      <c r="F696">
        <f t="shared" ca="1" si="20"/>
        <v>5</v>
      </c>
      <c r="G696">
        <v>5</v>
      </c>
      <c r="H696">
        <f ca="1">MAX(0,ROUND(F_Baseline_data!H696+(F_Baseline_data!C696-5)*200+(D696-30000)*0.015+(F696-50)*15-IF(I696=1,1200,0)+_xlfn.NORM.INV(RAND(),0,2500),-2))</f>
        <v>0</v>
      </c>
      <c r="I696">
        <v>1</v>
      </c>
      <c r="J696">
        <f>1</f>
        <v>1</v>
      </c>
      <c r="K696">
        <f>1</f>
        <v>1</v>
      </c>
      <c r="L696">
        <v>0</v>
      </c>
      <c r="M696">
        <f t="shared" ca="1" si="21"/>
        <v>0.11505271758110336</v>
      </c>
      <c r="N696">
        <v>0</v>
      </c>
      <c r="O696">
        <v>0</v>
      </c>
      <c r="P696">
        <v>0</v>
      </c>
    </row>
    <row r="697" spans="1:16" x14ac:dyDescent="0.3">
      <c r="A697" t="s">
        <v>809</v>
      </c>
      <c r="B697" t="s">
        <v>62</v>
      </c>
      <c r="C697">
        <f ca="1">IF(RAND()&lt;0.8,F_Baseline_data!C697,IF(RAND()&lt;0.85,F_Baseline_data!C697+1,IF(F_Baseline_data!C697&gt;3,C697-1,F_Baseline_data!C697)))</f>
        <v>5</v>
      </c>
      <c r="D697">
        <f ca="1">MAX(5000,ROUND(F_Baseline_data!D697*(1+_xlfn.NORM.INV(RAND(),0.12,0.1)),-2))</f>
        <v>23900</v>
      </c>
      <c r="E697" t="str">
        <f ca="1">IF(I697=1,IF(RAND()&lt;0.95,"Piped Water",F_Baseline_data!E697),F_Baseline_data!E697)</f>
        <v>Vendor</v>
      </c>
      <c r="F697">
        <f t="shared" ca="1" si="20"/>
        <v>47</v>
      </c>
      <c r="G697">
        <v>9.5</v>
      </c>
      <c r="H697">
        <f ca="1">MAX(0,ROUND(F_Baseline_data!H697+(F_Baseline_data!C697-5)*200+(D697-30000)*0.015+(F697-50)*15-IF(I697=1,1200,0)+_xlfn.NORM.INV(RAND(),0,2500),-2))</f>
        <v>10500</v>
      </c>
      <c r="I697">
        <v>1</v>
      </c>
      <c r="J697">
        <f>1</f>
        <v>1</v>
      </c>
      <c r="K697">
        <f>1</f>
        <v>1</v>
      </c>
      <c r="L697">
        <v>0</v>
      </c>
      <c r="M697">
        <f t="shared" ca="1" si="21"/>
        <v>0.76516757658644141</v>
      </c>
      <c r="N697">
        <v>0</v>
      </c>
      <c r="O697">
        <v>0</v>
      </c>
      <c r="P697">
        <v>0</v>
      </c>
    </row>
    <row r="698" spans="1:16" x14ac:dyDescent="0.3">
      <c r="A698" t="s">
        <v>810</v>
      </c>
      <c r="B698" t="s">
        <v>513</v>
      </c>
      <c r="C698">
        <f ca="1">IF(RAND()&lt;0.8,F_Baseline_data!C698,IF(RAND()&lt;0.85,F_Baseline_data!C698+1,IF(F_Baseline_data!C698&gt;3,C698-1,F_Baseline_data!C698)))</f>
        <v>3</v>
      </c>
      <c r="D698">
        <f ca="1">MAX(5000,ROUND(F_Baseline_data!D698*(1+_xlfn.NORM.INV(RAND(),0.12,0.1)),-2))</f>
        <v>69400</v>
      </c>
      <c r="E698" t="str">
        <f ca="1">IF(I698=1,IF(RAND()&lt;0.95,"Piped Water",F_Baseline_data!E698),F_Baseline_data!E698)</f>
        <v>Piped Water</v>
      </c>
      <c r="F698">
        <f t="shared" ca="1" si="20"/>
        <v>1</v>
      </c>
      <c r="G698">
        <v>6.3</v>
      </c>
      <c r="H698">
        <f ca="1">MAX(0,ROUND(F_Baseline_data!H698+(F_Baseline_data!C698-5)*200+(D698-30000)*0.015+(F698-50)*15-IF(I698=1,1200,0)+_xlfn.NORM.INV(RAND(),0,2500),-2))</f>
        <v>6000</v>
      </c>
      <c r="I698">
        <v>1</v>
      </c>
      <c r="J698">
        <f>1</f>
        <v>1</v>
      </c>
      <c r="K698">
        <f>1</f>
        <v>1</v>
      </c>
      <c r="L698">
        <v>0</v>
      </c>
      <c r="M698">
        <f t="shared" ca="1" si="21"/>
        <v>0.15092879120082481</v>
      </c>
      <c r="N698">
        <v>0</v>
      </c>
      <c r="O698">
        <v>0</v>
      </c>
      <c r="P698">
        <v>0</v>
      </c>
    </row>
    <row r="699" spans="1:16" x14ac:dyDescent="0.3">
      <c r="A699" t="s">
        <v>811</v>
      </c>
      <c r="B699" t="s">
        <v>64</v>
      </c>
      <c r="C699">
        <f ca="1">IF(RAND()&lt;0.8,F_Baseline_data!C699,IF(RAND()&lt;0.85,F_Baseline_data!C699+1,IF(F_Baseline_data!C699&gt;3,C699-1,F_Baseline_data!C699)))</f>
        <v>5</v>
      </c>
      <c r="D699">
        <f ca="1">MAX(5000,ROUND(F_Baseline_data!D699*(1+_xlfn.NORM.INV(RAND(),0.12,0.1)),-2))</f>
        <v>37600</v>
      </c>
      <c r="E699" t="str">
        <f ca="1">IF(I699=1,IF(RAND()&lt;0.95,"Piped Water",F_Baseline_data!E699),F_Baseline_data!E699)</f>
        <v>Piped Water</v>
      </c>
      <c r="F699">
        <f t="shared" ca="1" si="20"/>
        <v>5</v>
      </c>
      <c r="G699">
        <v>7</v>
      </c>
      <c r="H699">
        <f ca="1">MAX(0,ROUND(F_Baseline_data!H699+(F_Baseline_data!C699-5)*200+(D699-30000)*0.015+(F699-50)*15-IF(I699=1,1200,0)+_xlfn.NORM.INV(RAND(),0,2500),-2))</f>
        <v>100</v>
      </c>
      <c r="I699">
        <v>1</v>
      </c>
      <c r="J699">
        <f>1</f>
        <v>1</v>
      </c>
      <c r="K699">
        <f>1</f>
        <v>1</v>
      </c>
      <c r="L699">
        <v>0</v>
      </c>
      <c r="M699">
        <f t="shared" ca="1" si="21"/>
        <v>0.9402289356170741</v>
      </c>
      <c r="N699">
        <v>0</v>
      </c>
      <c r="O699">
        <v>0</v>
      </c>
      <c r="P699">
        <v>0</v>
      </c>
    </row>
    <row r="700" spans="1:16" x14ac:dyDescent="0.3">
      <c r="A700" t="s">
        <v>812</v>
      </c>
      <c r="B700" t="s">
        <v>62</v>
      </c>
      <c r="C700">
        <f ca="1">IF(RAND()&lt;0.8,F_Baseline_data!C700,IF(RAND()&lt;0.85,F_Baseline_data!C700+1,IF(F_Baseline_data!C700&gt;3,C700-1,F_Baseline_data!C700)))</f>
        <v>6</v>
      </c>
      <c r="D700">
        <f ca="1">MAX(5000,ROUND(F_Baseline_data!D700*(1+_xlfn.NORM.INV(RAND(),0.12,0.1)),-2))</f>
        <v>26100</v>
      </c>
      <c r="E700" t="str">
        <f ca="1">IF(I700=1,IF(RAND()&lt;0.95,"Piped Water",F_Baseline_data!E700),F_Baseline_data!E700)</f>
        <v>Piped Water</v>
      </c>
      <c r="F700">
        <f t="shared" ca="1" si="20"/>
        <v>8</v>
      </c>
      <c r="G700">
        <v>2.8</v>
      </c>
      <c r="H700">
        <f ca="1">MAX(0,ROUND(F_Baseline_data!H700+(F_Baseline_data!C700-5)*200+(D700-30000)*0.015+(F700-50)*15-IF(I700=1,1200,0)+_xlfn.NORM.INV(RAND(),0,2500),-2))</f>
        <v>3000</v>
      </c>
      <c r="I700">
        <v>1</v>
      </c>
      <c r="J700">
        <f>1</f>
        <v>1</v>
      </c>
      <c r="K700">
        <f>1</f>
        <v>1</v>
      </c>
      <c r="L700">
        <v>0</v>
      </c>
      <c r="M700">
        <f t="shared" ca="1" si="21"/>
        <v>0.59675430447105648</v>
      </c>
      <c r="N700">
        <v>0</v>
      </c>
      <c r="O700">
        <v>0</v>
      </c>
      <c r="P700">
        <v>0</v>
      </c>
    </row>
    <row r="701" spans="1:16" x14ac:dyDescent="0.3">
      <c r="A701" t="s">
        <v>813</v>
      </c>
      <c r="B701" t="s">
        <v>64</v>
      </c>
      <c r="C701">
        <f ca="1">IF(RAND()&lt;0.8,F_Baseline_data!C701,IF(RAND()&lt;0.85,F_Baseline_data!C701+1,IF(F_Baseline_data!C701&gt;3,C701-1,F_Baseline_data!C701)))</f>
        <v>3</v>
      </c>
      <c r="D701">
        <f ca="1">MAX(5000,ROUND(F_Baseline_data!D701*(1+_xlfn.NORM.INV(RAND(),0.12,0.1)),-2))</f>
        <v>52800</v>
      </c>
      <c r="E701" t="str">
        <f ca="1">IF(I701=1,IF(RAND()&lt;0.95,"Piped Water",F_Baseline_data!E701),F_Baseline_data!E701)</f>
        <v>Piped Water</v>
      </c>
      <c r="F701">
        <f t="shared" ca="1" si="20"/>
        <v>3</v>
      </c>
      <c r="G701">
        <v>2</v>
      </c>
      <c r="H701">
        <f ca="1">MAX(0,ROUND(F_Baseline_data!H701+(F_Baseline_data!C701-5)*200+(D701-30000)*0.015+(F701-50)*15-IF(I701=1,1200,0)+_xlfn.NORM.INV(RAND(),0,2500),-2))</f>
        <v>3500</v>
      </c>
      <c r="I701">
        <v>1</v>
      </c>
      <c r="J701">
        <f>1</f>
        <v>1</v>
      </c>
      <c r="K701">
        <f>1</f>
        <v>1</v>
      </c>
      <c r="L701">
        <v>0</v>
      </c>
      <c r="M701">
        <f t="shared" ca="1" si="21"/>
        <v>0.64162363464888572</v>
      </c>
      <c r="N701">
        <v>0</v>
      </c>
      <c r="O701">
        <v>0</v>
      </c>
      <c r="P701">
        <v>0</v>
      </c>
    </row>
    <row r="702" spans="1:16" x14ac:dyDescent="0.3">
      <c r="A702" t="s">
        <v>814</v>
      </c>
      <c r="B702" t="s">
        <v>513</v>
      </c>
      <c r="C702">
        <f ca="1">IF(RAND()&lt;0.8,F_Baseline_data!C702,IF(RAND()&lt;0.85,F_Baseline_data!C702+1,IF(F_Baseline_data!C702&gt;3,C702-1,F_Baseline_data!C702)))</f>
        <v>6</v>
      </c>
      <c r="D702">
        <f ca="1">MAX(5000,ROUND(F_Baseline_data!D702*(1+_xlfn.NORM.INV(RAND(),0.12,0.1)),-2))</f>
        <v>24800</v>
      </c>
      <c r="E702" t="str">
        <f ca="1">IF(I702=1,IF(RAND()&lt;0.95,"Piped Water",F_Baseline_data!E702),F_Baseline_data!E702)</f>
        <v>Piped Water</v>
      </c>
      <c r="F702">
        <f t="shared" ca="1" si="20"/>
        <v>6</v>
      </c>
      <c r="G702">
        <v>8.6</v>
      </c>
      <c r="H702">
        <f ca="1">MAX(0,ROUND(F_Baseline_data!H702+(F_Baseline_data!C702-5)*200+(D702-30000)*0.015+(F702-50)*15-IF(I702=1,1200,0)+_xlfn.NORM.INV(RAND(),0,2500),-2))</f>
        <v>0</v>
      </c>
      <c r="I702">
        <v>1</v>
      </c>
      <c r="J702">
        <f>1</f>
        <v>1</v>
      </c>
      <c r="K702">
        <f>1</f>
        <v>1</v>
      </c>
      <c r="L702">
        <v>0</v>
      </c>
      <c r="M702">
        <f t="shared" ca="1" si="21"/>
        <v>0.28289795090373027</v>
      </c>
      <c r="N702">
        <v>0</v>
      </c>
      <c r="O702">
        <v>0</v>
      </c>
      <c r="P702">
        <v>0</v>
      </c>
    </row>
    <row r="703" spans="1:16" x14ac:dyDescent="0.3">
      <c r="A703" t="s">
        <v>815</v>
      </c>
      <c r="B703" t="s">
        <v>64</v>
      </c>
      <c r="C703">
        <f ca="1">IF(RAND()&lt;0.8,F_Baseline_data!C703,IF(RAND()&lt;0.85,F_Baseline_data!C703+1,IF(F_Baseline_data!C703&gt;3,C703-1,F_Baseline_data!C703)))</f>
        <v>5</v>
      </c>
      <c r="D703">
        <f ca="1">MAX(5000,ROUND(F_Baseline_data!D703*(1+_xlfn.NORM.INV(RAND(),0.12,0.1)),-2))</f>
        <v>41700</v>
      </c>
      <c r="E703" t="str">
        <f ca="1">IF(I703=1,IF(RAND()&lt;0.95,"Piped Water",F_Baseline_data!E703),F_Baseline_data!E703)</f>
        <v>Piped Water</v>
      </c>
      <c r="F703">
        <f t="shared" ca="1" si="20"/>
        <v>3</v>
      </c>
      <c r="G703">
        <v>2.2999999999999998</v>
      </c>
      <c r="H703">
        <f ca="1">MAX(0,ROUND(F_Baseline_data!H703+(F_Baseline_data!C703-5)*200+(D703-30000)*0.015+(F703-50)*15-IF(I703=1,1200,0)+_xlfn.NORM.INV(RAND(),0,2500),-2))</f>
        <v>5900</v>
      </c>
      <c r="I703">
        <v>1</v>
      </c>
      <c r="J703">
        <f>1</f>
        <v>1</v>
      </c>
      <c r="K703">
        <f>1</f>
        <v>1</v>
      </c>
      <c r="L703">
        <v>0</v>
      </c>
      <c r="M703">
        <f t="shared" ca="1" si="21"/>
        <v>0.41102662968989945</v>
      </c>
      <c r="N703">
        <v>0</v>
      </c>
      <c r="O703">
        <v>0</v>
      </c>
      <c r="P703">
        <v>0</v>
      </c>
    </row>
    <row r="704" spans="1:16" x14ac:dyDescent="0.3">
      <c r="A704" t="s">
        <v>816</v>
      </c>
      <c r="B704" t="s">
        <v>513</v>
      </c>
      <c r="C704">
        <f ca="1">IF(RAND()&lt;0.8,F_Baseline_data!C704,IF(RAND()&lt;0.85,F_Baseline_data!C704+1,IF(F_Baseline_data!C704&gt;3,C704-1,F_Baseline_data!C704)))</f>
        <v>7</v>
      </c>
      <c r="D704">
        <f ca="1">MAX(5000,ROUND(F_Baseline_data!D704*(1+_xlfn.NORM.INV(RAND(),0.12,0.1)),-2))</f>
        <v>55000</v>
      </c>
      <c r="E704" t="str">
        <f ca="1">IF(I704=1,IF(RAND()&lt;0.95,"Piped Water",F_Baseline_data!E704),F_Baseline_data!E704)</f>
        <v>Piped Water</v>
      </c>
      <c r="F704">
        <f t="shared" ca="1" si="20"/>
        <v>2</v>
      </c>
      <c r="G704">
        <v>5.6</v>
      </c>
      <c r="H704">
        <f ca="1">MAX(0,ROUND(F_Baseline_data!H704+(F_Baseline_data!C704-5)*200+(D704-30000)*0.015+(F704-50)*15-IF(I704=1,1200,0)+_xlfn.NORM.INV(RAND(),0,2500),-2))</f>
        <v>4700</v>
      </c>
      <c r="I704">
        <v>1</v>
      </c>
      <c r="J704">
        <f>1</f>
        <v>1</v>
      </c>
      <c r="K704">
        <f>1</f>
        <v>1</v>
      </c>
      <c r="L704">
        <v>0</v>
      </c>
      <c r="M704">
        <f t="shared" ca="1" si="21"/>
        <v>0.89122693637113404</v>
      </c>
      <c r="N704">
        <v>0</v>
      </c>
      <c r="O704">
        <v>0</v>
      </c>
      <c r="P704">
        <v>0</v>
      </c>
    </row>
    <row r="705" spans="1:16" x14ac:dyDescent="0.3">
      <c r="A705" t="s">
        <v>817</v>
      </c>
      <c r="B705" t="s">
        <v>64</v>
      </c>
      <c r="C705">
        <f ca="1">IF(RAND()&lt;0.8,F_Baseline_data!C705,IF(RAND()&lt;0.85,F_Baseline_data!C705+1,IF(F_Baseline_data!C705&gt;3,C705-1,F_Baseline_data!C705)))</f>
        <v>1</v>
      </c>
      <c r="D705">
        <f ca="1">MAX(5000,ROUND(F_Baseline_data!D705*(1+_xlfn.NORM.INV(RAND(),0.12,0.1)),-2))</f>
        <v>27700</v>
      </c>
      <c r="E705" t="str">
        <f ca="1">IF(I705=1,IF(RAND()&lt;0.95,"Piped Water",F_Baseline_data!E705),F_Baseline_data!E705)</f>
        <v>Piped Water</v>
      </c>
      <c r="F705">
        <f t="shared" ca="1" si="20"/>
        <v>9</v>
      </c>
      <c r="G705">
        <v>2.4</v>
      </c>
      <c r="H705">
        <f ca="1">MAX(0,ROUND(F_Baseline_data!H705+(F_Baseline_data!C705-5)*200+(D705-30000)*0.015+(F705-50)*15-IF(I705=1,1200,0)+_xlfn.NORM.INV(RAND(),0,2500),-2))</f>
        <v>4600</v>
      </c>
      <c r="I705">
        <v>1</v>
      </c>
      <c r="J705">
        <f>1</f>
        <v>1</v>
      </c>
      <c r="K705">
        <f>1</f>
        <v>1</v>
      </c>
      <c r="L705">
        <v>0</v>
      </c>
      <c r="M705">
        <f t="shared" ca="1" si="21"/>
        <v>0.87691987828321016</v>
      </c>
      <c r="N705">
        <v>0</v>
      </c>
      <c r="O705">
        <v>0</v>
      </c>
      <c r="P705">
        <v>0</v>
      </c>
    </row>
    <row r="706" spans="1:16" x14ac:dyDescent="0.3">
      <c r="A706" t="s">
        <v>818</v>
      </c>
      <c r="B706" t="s">
        <v>65</v>
      </c>
      <c r="C706">
        <f ca="1">IF(RAND()&lt;0.8,F_Baseline_data!C706,IF(RAND()&lt;0.85,F_Baseline_data!C706+1,IF(F_Baseline_data!C706&gt;3,C706-1,F_Baseline_data!C706)))</f>
        <v>2</v>
      </c>
      <c r="D706">
        <f ca="1">MAX(5000,ROUND(F_Baseline_data!D706*(1+_xlfn.NORM.INV(RAND(),0.12,0.1)),-2))</f>
        <v>29300</v>
      </c>
      <c r="E706" t="str">
        <f ca="1">IF(I706=1,IF(RAND()&lt;0.95,"Piped Water",F_Baseline_data!E706),F_Baseline_data!E706)</f>
        <v>Piped Water</v>
      </c>
      <c r="F706">
        <f t="shared" ref="F706:F769" ca="1" si="22">IF(E706="Piped Water",RANDBETWEEN(0,10),IF(E706="River",RANDBETWEEN(45,120),IF(E706="Rainwater",RANDBETWEEN(15,70),IF(E706="Borehole",RANDBETWEEN(20,75),RANDBETWEEN(10,60)))))</f>
        <v>2</v>
      </c>
      <c r="G706">
        <v>10.199999999999999</v>
      </c>
      <c r="H706">
        <f ca="1">MAX(0,ROUND(F_Baseline_data!H706+(F_Baseline_data!C706-5)*200+(D706-30000)*0.015+(F706-50)*15-IF(I706=1,1200,0)+_xlfn.NORM.INV(RAND(),0,2500),-2))</f>
        <v>200</v>
      </c>
      <c r="I706">
        <v>1</v>
      </c>
      <c r="J706">
        <f>1</f>
        <v>1</v>
      </c>
      <c r="K706">
        <f>1</f>
        <v>1</v>
      </c>
      <c r="L706">
        <v>0</v>
      </c>
      <c r="M706">
        <f t="shared" ref="M706:M769" ca="1" si="23">RAND()</f>
        <v>0.94739610472737468</v>
      </c>
      <c r="N706">
        <v>0</v>
      </c>
      <c r="O706">
        <v>0</v>
      </c>
      <c r="P706">
        <v>0</v>
      </c>
    </row>
    <row r="707" spans="1:16" x14ac:dyDescent="0.3">
      <c r="A707" t="s">
        <v>819</v>
      </c>
      <c r="B707" t="s">
        <v>64</v>
      </c>
      <c r="C707">
        <f ca="1">IF(RAND()&lt;0.8,F_Baseline_data!C707,IF(RAND()&lt;0.85,F_Baseline_data!C707+1,IF(F_Baseline_data!C707&gt;3,C707-1,F_Baseline_data!C707)))</f>
        <v>3</v>
      </c>
      <c r="D707">
        <f ca="1">MAX(5000,ROUND(F_Baseline_data!D707*(1+_xlfn.NORM.INV(RAND(),0.12,0.1)),-2))</f>
        <v>48500</v>
      </c>
      <c r="E707" t="str">
        <f ca="1">IF(I707=1,IF(RAND()&lt;0.95,"Piped Water",F_Baseline_data!E707),F_Baseline_data!E707)</f>
        <v>Piped Water</v>
      </c>
      <c r="F707">
        <f t="shared" ca="1" si="22"/>
        <v>3</v>
      </c>
      <c r="G707">
        <v>6.2</v>
      </c>
      <c r="H707">
        <f ca="1">MAX(0,ROUND(F_Baseline_data!H707+(F_Baseline_data!C707-5)*200+(D707-30000)*0.015+(F707-50)*15-IF(I707=1,1200,0)+_xlfn.NORM.INV(RAND(),0,2500),-2))</f>
        <v>7500</v>
      </c>
      <c r="I707">
        <v>1</v>
      </c>
      <c r="J707">
        <f>1</f>
        <v>1</v>
      </c>
      <c r="K707">
        <f>1</f>
        <v>1</v>
      </c>
      <c r="L707">
        <v>0</v>
      </c>
      <c r="M707">
        <f t="shared" ca="1" si="23"/>
        <v>0.65777541402643913</v>
      </c>
      <c r="N707">
        <v>0</v>
      </c>
      <c r="O707">
        <v>0</v>
      </c>
      <c r="P707">
        <v>0</v>
      </c>
    </row>
    <row r="708" spans="1:16" x14ac:dyDescent="0.3">
      <c r="A708" t="s">
        <v>820</v>
      </c>
      <c r="B708" t="s">
        <v>62</v>
      </c>
      <c r="C708">
        <f ca="1">IF(RAND()&lt;0.8,F_Baseline_data!C708,IF(RAND()&lt;0.85,F_Baseline_data!C708+1,IF(F_Baseline_data!C708&gt;3,C708-1,F_Baseline_data!C708)))</f>
        <v>7</v>
      </c>
      <c r="D708">
        <f ca="1">MAX(5000,ROUND(F_Baseline_data!D708*(1+_xlfn.NORM.INV(RAND(),0.12,0.1)),-2))</f>
        <v>42200</v>
      </c>
      <c r="E708" t="str">
        <f ca="1">IF(I708=1,IF(RAND()&lt;0.95,"Piped Water",F_Baseline_data!E708),F_Baseline_data!E708)</f>
        <v>Vendor</v>
      </c>
      <c r="F708">
        <f t="shared" ca="1" si="22"/>
        <v>40</v>
      </c>
      <c r="G708">
        <v>8.3000000000000007</v>
      </c>
      <c r="H708">
        <f ca="1">MAX(0,ROUND(F_Baseline_data!H708+(F_Baseline_data!C708-5)*200+(D708-30000)*0.015+(F708-50)*15-IF(I708=1,1200,0)+_xlfn.NORM.INV(RAND(),0,2500),-2))</f>
        <v>2900</v>
      </c>
      <c r="I708">
        <v>1</v>
      </c>
      <c r="J708">
        <f>1</f>
        <v>1</v>
      </c>
      <c r="K708">
        <f>1</f>
        <v>1</v>
      </c>
      <c r="L708">
        <v>0</v>
      </c>
      <c r="M708">
        <f t="shared" ca="1" si="23"/>
        <v>0.1403076869653147</v>
      </c>
      <c r="N708">
        <v>0</v>
      </c>
      <c r="O708">
        <v>0</v>
      </c>
      <c r="P708">
        <v>0</v>
      </c>
    </row>
    <row r="709" spans="1:16" x14ac:dyDescent="0.3">
      <c r="A709" t="s">
        <v>821</v>
      </c>
      <c r="B709" t="s">
        <v>513</v>
      </c>
      <c r="C709">
        <f ca="1">IF(RAND()&lt;0.8,F_Baseline_data!C709,IF(RAND()&lt;0.85,F_Baseline_data!C709+1,IF(F_Baseline_data!C709&gt;3,C709-1,F_Baseline_data!C709)))</f>
        <v>7</v>
      </c>
      <c r="D709">
        <f ca="1">MAX(5000,ROUND(F_Baseline_data!D709*(1+_xlfn.NORM.INV(RAND(),0.12,0.1)),-2))</f>
        <v>18600</v>
      </c>
      <c r="E709" t="str">
        <f ca="1">IF(I709=1,IF(RAND()&lt;0.95,"Piped Water",F_Baseline_data!E709),F_Baseline_data!E709)</f>
        <v>Piped Water</v>
      </c>
      <c r="F709">
        <f t="shared" ca="1" si="22"/>
        <v>6</v>
      </c>
      <c r="G709">
        <v>7.5</v>
      </c>
      <c r="H709">
        <f ca="1">MAX(0,ROUND(F_Baseline_data!H709+(F_Baseline_data!C709-5)*200+(D709-30000)*0.015+(F709-50)*15-IF(I709=1,1200,0)+_xlfn.NORM.INV(RAND(),0,2500),-2))</f>
        <v>9400</v>
      </c>
      <c r="I709">
        <v>1</v>
      </c>
      <c r="J709">
        <f>1</f>
        <v>1</v>
      </c>
      <c r="K709">
        <f>1</f>
        <v>1</v>
      </c>
      <c r="L709">
        <v>0</v>
      </c>
      <c r="M709">
        <f t="shared" ca="1" si="23"/>
        <v>0.1979842552142338</v>
      </c>
      <c r="N709">
        <v>0</v>
      </c>
      <c r="O709">
        <v>0</v>
      </c>
      <c r="P709">
        <v>0</v>
      </c>
    </row>
    <row r="710" spans="1:16" x14ac:dyDescent="0.3">
      <c r="A710" t="s">
        <v>822</v>
      </c>
      <c r="B710" t="s">
        <v>513</v>
      </c>
      <c r="C710">
        <f ca="1">IF(RAND()&lt;0.8,F_Baseline_data!C710,IF(RAND()&lt;0.85,F_Baseline_data!C710+1,IF(F_Baseline_data!C710&gt;3,C710-1,F_Baseline_data!C710)))</f>
        <v>5</v>
      </c>
      <c r="D710">
        <f ca="1">MAX(5000,ROUND(F_Baseline_data!D710*(1+_xlfn.NORM.INV(RAND(),0.12,0.1)),-2))</f>
        <v>91200</v>
      </c>
      <c r="E710" t="str">
        <f ca="1">IF(I710=1,IF(RAND()&lt;0.95,"Piped Water",F_Baseline_data!E710),F_Baseline_data!E710)</f>
        <v>Piped Water</v>
      </c>
      <c r="F710">
        <f t="shared" ca="1" si="22"/>
        <v>1</v>
      </c>
      <c r="G710">
        <v>8.9</v>
      </c>
      <c r="H710">
        <f ca="1">MAX(0,ROUND(F_Baseline_data!H710+(F_Baseline_data!C710-5)*200+(D710-30000)*0.015+(F710-50)*15-IF(I710=1,1200,0)+_xlfn.NORM.INV(RAND(),0,2500),-2))</f>
        <v>1400</v>
      </c>
      <c r="I710">
        <v>1</v>
      </c>
      <c r="J710">
        <f>1</f>
        <v>1</v>
      </c>
      <c r="K710">
        <f>1</f>
        <v>1</v>
      </c>
      <c r="L710">
        <v>0</v>
      </c>
      <c r="M710">
        <f t="shared" ca="1" si="23"/>
        <v>0.15373428776407239</v>
      </c>
      <c r="N710">
        <v>0</v>
      </c>
      <c r="O710">
        <v>0</v>
      </c>
      <c r="P710">
        <v>0</v>
      </c>
    </row>
    <row r="711" spans="1:16" x14ac:dyDescent="0.3">
      <c r="A711" t="s">
        <v>823</v>
      </c>
      <c r="B711" t="s">
        <v>65</v>
      </c>
      <c r="C711">
        <f ca="1">IF(RAND()&lt;0.8,F_Baseline_data!C711,IF(RAND()&lt;0.85,F_Baseline_data!C711+1,IF(F_Baseline_data!C711&gt;3,C711-1,F_Baseline_data!C711)))</f>
        <v>5</v>
      </c>
      <c r="D711">
        <f ca="1">MAX(5000,ROUND(F_Baseline_data!D711*(1+_xlfn.NORM.INV(RAND(),0.12,0.1)),-2))</f>
        <v>18000</v>
      </c>
      <c r="E711" t="str">
        <f ca="1">IF(I711=1,IF(RAND()&lt;0.95,"Piped Water",F_Baseline_data!E711),F_Baseline_data!E711)</f>
        <v>Piped Water</v>
      </c>
      <c r="F711">
        <f t="shared" ca="1" si="22"/>
        <v>7</v>
      </c>
      <c r="G711">
        <v>1.8</v>
      </c>
      <c r="H711">
        <f ca="1">MAX(0,ROUND(F_Baseline_data!H711+(F_Baseline_data!C711-5)*200+(D711-30000)*0.015+(F711-50)*15-IF(I711=1,1200,0)+_xlfn.NORM.INV(RAND(),0,2500),-2))</f>
        <v>3900</v>
      </c>
      <c r="I711">
        <v>1</v>
      </c>
      <c r="J711">
        <f>1</f>
        <v>1</v>
      </c>
      <c r="K711">
        <f>1</f>
        <v>1</v>
      </c>
      <c r="L711">
        <v>0</v>
      </c>
      <c r="M711">
        <f t="shared" ca="1" si="23"/>
        <v>0.91309705779713901</v>
      </c>
      <c r="N711">
        <v>0</v>
      </c>
      <c r="O711">
        <v>0</v>
      </c>
      <c r="P711">
        <v>0</v>
      </c>
    </row>
    <row r="712" spans="1:16" x14ac:dyDescent="0.3">
      <c r="A712" t="s">
        <v>824</v>
      </c>
      <c r="B712" t="s">
        <v>65</v>
      </c>
      <c r="C712">
        <f ca="1">IF(RAND()&lt;0.8,F_Baseline_data!C712,IF(RAND()&lt;0.85,F_Baseline_data!C712+1,IF(F_Baseline_data!C712&gt;3,C712-1,F_Baseline_data!C712)))</f>
        <v>4</v>
      </c>
      <c r="D712">
        <f ca="1">MAX(5000,ROUND(F_Baseline_data!D712*(1+_xlfn.NORM.INV(RAND(),0.12,0.1)),-2))</f>
        <v>30800</v>
      </c>
      <c r="E712" t="str">
        <f ca="1">IF(I712=1,IF(RAND()&lt;0.95,"Piped Water",F_Baseline_data!E712),F_Baseline_data!E712)</f>
        <v>Piped Water</v>
      </c>
      <c r="F712">
        <f t="shared" ca="1" si="22"/>
        <v>5</v>
      </c>
      <c r="G712">
        <v>12.3</v>
      </c>
      <c r="H712">
        <f ca="1">MAX(0,ROUND(F_Baseline_data!H712+(F_Baseline_data!C712-5)*200+(D712-30000)*0.015+(F712-50)*15-IF(I712=1,1200,0)+_xlfn.NORM.INV(RAND(),0,2500),-2))</f>
        <v>3500</v>
      </c>
      <c r="I712">
        <v>1</v>
      </c>
      <c r="J712">
        <f>1</f>
        <v>1</v>
      </c>
      <c r="K712">
        <f>1</f>
        <v>1</v>
      </c>
      <c r="L712">
        <v>0</v>
      </c>
      <c r="M712">
        <f t="shared" ca="1" si="23"/>
        <v>0.39273449741212663</v>
      </c>
      <c r="N712">
        <v>0</v>
      </c>
      <c r="O712">
        <v>0</v>
      </c>
      <c r="P712">
        <v>0</v>
      </c>
    </row>
    <row r="713" spans="1:16" x14ac:dyDescent="0.3">
      <c r="A713" t="s">
        <v>825</v>
      </c>
      <c r="B713" t="s">
        <v>64</v>
      </c>
      <c r="C713">
        <f ca="1">IF(RAND()&lt;0.8,F_Baseline_data!C713,IF(RAND()&lt;0.85,F_Baseline_data!C713+1,IF(F_Baseline_data!C713&gt;3,C713-1,F_Baseline_data!C713)))</f>
        <v>3</v>
      </c>
      <c r="D713">
        <f ca="1">MAX(5000,ROUND(F_Baseline_data!D713*(1+_xlfn.NORM.INV(RAND(),0.12,0.1)),-2))</f>
        <v>70700</v>
      </c>
      <c r="E713" t="str">
        <f ca="1">IF(I713=1,IF(RAND()&lt;0.95,"Piped Water",F_Baseline_data!E713),F_Baseline_data!E713)</f>
        <v>Piped Water</v>
      </c>
      <c r="F713">
        <f t="shared" ca="1" si="22"/>
        <v>9</v>
      </c>
      <c r="G713">
        <v>4.4000000000000004</v>
      </c>
      <c r="H713">
        <f ca="1">MAX(0,ROUND(F_Baseline_data!H713+(F_Baseline_data!C713-5)*200+(D713-30000)*0.015+(F713-50)*15-IF(I713=1,1200,0)+_xlfn.NORM.INV(RAND(),0,2500),-2))</f>
        <v>8800</v>
      </c>
      <c r="I713">
        <v>1</v>
      </c>
      <c r="J713">
        <f>1</f>
        <v>1</v>
      </c>
      <c r="K713">
        <f>1</f>
        <v>1</v>
      </c>
      <c r="L713">
        <v>0</v>
      </c>
      <c r="M713">
        <f t="shared" ca="1" si="23"/>
        <v>0.50291090488185308</v>
      </c>
      <c r="N713">
        <v>0</v>
      </c>
      <c r="O713">
        <v>0</v>
      </c>
      <c r="P713">
        <v>0</v>
      </c>
    </row>
    <row r="714" spans="1:16" x14ac:dyDescent="0.3">
      <c r="A714" t="s">
        <v>826</v>
      </c>
      <c r="B714" t="s">
        <v>62</v>
      </c>
      <c r="C714">
        <f ca="1">IF(RAND()&lt;0.8,F_Baseline_data!C714,IF(RAND()&lt;0.85,F_Baseline_data!C714+1,IF(F_Baseline_data!C714&gt;3,C714-1,F_Baseline_data!C714)))</f>
        <v>7</v>
      </c>
      <c r="D714">
        <f ca="1">MAX(5000,ROUND(F_Baseline_data!D714*(1+_xlfn.NORM.INV(RAND(),0.12,0.1)),-2))</f>
        <v>53100</v>
      </c>
      <c r="E714" t="str">
        <f ca="1">IF(I714=1,IF(RAND()&lt;0.95,"Piped Water",F_Baseline_data!E714),F_Baseline_data!E714)</f>
        <v>Piped Water</v>
      </c>
      <c r="F714">
        <f t="shared" ca="1" si="22"/>
        <v>8</v>
      </c>
      <c r="G714">
        <v>3.2</v>
      </c>
      <c r="H714">
        <f ca="1">MAX(0,ROUND(F_Baseline_data!H714+(F_Baseline_data!C714-5)*200+(D714-30000)*0.015+(F714-50)*15-IF(I714=1,1200,0)+_xlfn.NORM.INV(RAND(),0,2500),-2))</f>
        <v>2000</v>
      </c>
      <c r="I714">
        <v>1</v>
      </c>
      <c r="J714">
        <f>1</f>
        <v>1</v>
      </c>
      <c r="K714">
        <f>1</f>
        <v>1</v>
      </c>
      <c r="L714">
        <v>0</v>
      </c>
      <c r="M714">
        <f t="shared" ca="1" si="23"/>
        <v>0.12342622069048426</v>
      </c>
      <c r="N714">
        <v>0</v>
      </c>
      <c r="O714">
        <v>0</v>
      </c>
      <c r="P714">
        <v>0</v>
      </c>
    </row>
    <row r="715" spans="1:16" x14ac:dyDescent="0.3">
      <c r="A715" t="s">
        <v>827</v>
      </c>
      <c r="B715" t="s">
        <v>513</v>
      </c>
      <c r="C715">
        <f ca="1">IF(RAND()&lt;0.8,F_Baseline_data!C715,IF(RAND()&lt;0.85,F_Baseline_data!C715+1,IF(F_Baseline_data!C715&gt;3,C715-1,F_Baseline_data!C715)))</f>
        <v>10</v>
      </c>
      <c r="D715">
        <f ca="1">MAX(5000,ROUND(F_Baseline_data!D715*(1+_xlfn.NORM.INV(RAND(),0.12,0.1)),-2))</f>
        <v>85100</v>
      </c>
      <c r="E715" t="str">
        <f ca="1">IF(I715=1,IF(RAND()&lt;0.95,"Piped Water",F_Baseline_data!E715),F_Baseline_data!E715)</f>
        <v>Piped Water</v>
      </c>
      <c r="F715">
        <f t="shared" ca="1" si="22"/>
        <v>2</v>
      </c>
      <c r="G715">
        <v>4.3</v>
      </c>
      <c r="H715">
        <f ca="1">MAX(0,ROUND(F_Baseline_data!H715+(F_Baseline_data!C715-5)*200+(D715-30000)*0.015+(F715-50)*15-IF(I715=1,1200,0)+_xlfn.NORM.INV(RAND(),0,2500),-2))</f>
        <v>600</v>
      </c>
      <c r="I715">
        <v>1</v>
      </c>
      <c r="J715">
        <f>1</f>
        <v>1</v>
      </c>
      <c r="K715">
        <f>1</f>
        <v>1</v>
      </c>
      <c r="L715">
        <v>0</v>
      </c>
      <c r="M715">
        <f t="shared" ca="1" si="23"/>
        <v>0.31132966160748077</v>
      </c>
      <c r="N715">
        <v>0</v>
      </c>
      <c r="O715">
        <v>0</v>
      </c>
      <c r="P715">
        <v>0</v>
      </c>
    </row>
    <row r="716" spans="1:16" x14ac:dyDescent="0.3">
      <c r="A716" t="s">
        <v>828</v>
      </c>
      <c r="B716" t="s">
        <v>64</v>
      </c>
      <c r="C716">
        <f ca="1">IF(RAND()&lt;0.8,F_Baseline_data!C716,IF(RAND()&lt;0.85,F_Baseline_data!C716+1,IF(F_Baseline_data!C716&gt;3,C716-1,F_Baseline_data!C716)))</f>
        <v>3</v>
      </c>
      <c r="D716">
        <f ca="1">MAX(5000,ROUND(F_Baseline_data!D716*(1+_xlfn.NORM.INV(RAND(),0.12,0.1)),-2))</f>
        <v>29400</v>
      </c>
      <c r="E716" t="str">
        <f ca="1">IF(I716=1,IF(RAND()&lt;0.95,"Piped Water",F_Baseline_data!E716),F_Baseline_data!E716)</f>
        <v>Piped Water</v>
      </c>
      <c r="F716">
        <f t="shared" ca="1" si="22"/>
        <v>6</v>
      </c>
      <c r="G716">
        <v>6</v>
      </c>
      <c r="H716">
        <f ca="1">MAX(0,ROUND(F_Baseline_data!H716+(F_Baseline_data!C716-5)*200+(D716-30000)*0.015+(F716-50)*15-IF(I716=1,1200,0)+_xlfn.NORM.INV(RAND(),0,2500),-2))</f>
        <v>10100</v>
      </c>
      <c r="I716">
        <v>1</v>
      </c>
      <c r="J716">
        <f>1</f>
        <v>1</v>
      </c>
      <c r="K716">
        <f>1</f>
        <v>1</v>
      </c>
      <c r="L716">
        <v>0</v>
      </c>
      <c r="M716">
        <f t="shared" ca="1" si="23"/>
        <v>0.23513693426868809</v>
      </c>
      <c r="N716">
        <v>0</v>
      </c>
      <c r="O716">
        <v>0</v>
      </c>
      <c r="P716">
        <v>0</v>
      </c>
    </row>
    <row r="717" spans="1:16" x14ac:dyDescent="0.3">
      <c r="A717" t="s">
        <v>829</v>
      </c>
      <c r="B717" t="s">
        <v>65</v>
      </c>
      <c r="C717">
        <f ca="1">IF(RAND()&lt;0.8,F_Baseline_data!C717,IF(RAND()&lt;0.85,F_Baseline_data!C717+1,IF(F_Baseline_data!C717&gt;3,C717-1,F_Baseline_data!C717)))</f>
        <v>6</v>
      </c>
      <c r="D717">
        <f ca="1">MAX(5000,ROUND(F_Baseline_data!D717*(1+_xlfn.NORM.INV(RAND(),0.12,0.1)),-2))</f>
        <v>28100</v>
      </c>
      <c r="E717" t="str">
        <f ca="1">IF(I717=1,IF(RAND()&lt;0.95,"Piped Water",F_Baseline_data!E717),F_Baseline_data!E717)</f>
        <v>Piped Water</v>
      </c>
      <c r="F717">
        <f t="shared" ca="1" si="22"/>
        <v>1</v>
      </c>
      <c r="G717">
        <v>10.1</v>
      </c>
      <c r="H717">
        <f ca="1">MAX(0,ROUND(F_Baseline_data!H717+(F_Baseline_data!C717-5)*200+(D717-30000)*0.015+(F717-50)*15-IF(I717=1,1200,0)+_xlfn.NORM.INV(RAND(),0,2500),-2))</f>
        <v>12400</v>
      </c>
      <c r="I717">
        <v>1</v>
      </c>
      <c r="J717">
        <f>1</f>
        <v>1</v>
      </c>
      <c r="K717">
        <f>1</f>
        <v>1</v>
      </c>
      <c r="L717">
        <v>0</v>
      </c>
      <c r="M717">
        <f t="shared" ca="1" si="23"/>
        <v>0.25084593292917923</v>
      </c>
      <c r="N717">
        <v>0</v>
      </c>
      <c r="O717">
        <v>0</v>
      </c>
      <c r="P717">
        <v>0</v>
      </c>
    </row>
    <row r="718" spans="1:16" x14ac:dyDescent="0.3">
      <c r="A718" t="s">
        <v>830</v>
      </c>
      <c r="B718" t="s">
        <v>65</v>
      </c>
      <c r="C718">
        <f ca="1">IF(RAND()&lt;0.8,F_Baseline_data!C718,IF(RAND()&lt;0.85,F_Baseline_data!C718+1,IF(F_Baseline_data!C718&gt;3,C718-1,F_Baseline_data!C718)))</f>
        <v>4</v>
      </c>
      <c r="D718">
        <f ca="1">MAX(5000,ROUND(F_Baseline_data!D718*(1+_xlfn.NORM.INV(RAND(),0.12,0.1)),-2))</f>
        <v>20300</v>
      </c>
      <c r="E718" t="str">
        <f ca="1">IF(I718=1,IF(RAND()&lt;0.95,"Piped Water",F_Baseline_data!E718),F_Baseline_data!E718)</f>
        <v>Piped Water</v>
      </c>
      <c r="F718">
        <f t="shared" ca="1" si="22"/>
        <v>3</v>
      </c>
      <c r="G718">
        <v>12.2</v>
      </c>
      <c r="H718">
        <f ca="1">MAX(0,ROUND(F_Baseline_data!H718+(F_Baseline_data!C718-5)*200+(D718-30000)*0.015+(F718-50)*15-IF(I718=1,1200,0)+_xlfn.NORM.INV(RAND(),0,2500),-2))</f>
        <v>0</v>
      </c>
      <c r="I718">
        <v>1</v>
      </c>
      <c r="J718">
        <f>1</f>
        <v>1</v>
      </c>
      <c r="K718">
        <f>1</f>
        <v>1</v>
      </c>
      <c r="L718">
        <v>0</v>
      </c>
      <c r="M718">
        <f t="shared" ca="1" si="23"/>
        <v>0.42937885077250693</v>
      </c>
      <c r="N718">
        <v>0</v>
      </c>
      <c r="O718">
        <v>0</v>
      </c>
      <c r="P718">
        <v>0</v>
      </c>
    </row>
    <row r="719" spans="1:16" x14ac:dyDescent="0.3">
      <c r="A719" t="s">
        <v>831</v>
      </c>
      <c r="B719" t="s">
        <v>65</v>
      </c>
      <c r="C719">
        <f ca="1">IF(RAND()&lt;0.8,F_Baseline_data!C719,IF(RAND()&lt;0.85,F_Baseline_data!C719+1,IF(F_Baseline_data!C719&gt;3,C719-1,F_Baseline_data!C719)))</f>
        <v>7</v>
      </c>
      <c r="D719">
        <f ca="1">MAX(5000,ROUND(F_Baseline_data!D719*(1+_xlfn.NORM.INV(RAND(),0.12,0.1)),-2))</f>
        <v>31400</v>
      </c>
      <c r="E719" t="str">
        <f ca="1">IF(I719=1,IF(RAND()&lt;0.95,"Piped Water",F_Baseline_data!E719),F_Baseline_data!E719)</f>
        <v>Piped Water</v>
      </c>
      <c r="F719">
        <f t="shared" ca="1" si="22"/>
        <v>8</v>
      </c>
      <c r="G719">
        <v>5.9</v>
      </c>
      <c r="H719">
        <f ca="1">MAX(0,ROUND(F_Baseline_data!H719+(F_Baseline_data!C719-5)*200+(D719-30000)*0.015+(F719-50)*15-IF(I719=1,1200,0)+_xlfn.NORM.INV(RAND(),0,2500),-2))</f>
        <v>10400</v>
      </c>
      <c r="I719">
        <v>1</v>
      </c>
      <c r="J719">
        <f>1</f>
        <v>1</v>
      </c>
      <c r="K719">
        <f>1</f>
        <v>1</v>
      </c>
      <c r="L719">
        <v>0</v>
      </c>
      <c r="M719">
        <f t="shared" ca="1" si="23"/>
        <v>0.66743995812955326</v>
      </c>
      <c r="N719">
        <v>0</v>
      </c>
      <c r="O719">
        <v>0</v>
      </c>
      <c r="P719">
        <v>0</v>
      </c>
    </row>
    <row r="720" spans="1:16" x14ac:dyDescent="0.3">
      <c r="A720" t="s">
        <v>832</v>
      </c>
      <c r="B720" t="s">
        <v>64</v>
      </c>
      <c r="C720">
        <f ca="1">IF(RAND()&lt;0.8,F_Baseline_data!C720,IF(RAND()&lt;0.85,F_Baseline_data!C720+1,IF(F_Baseline_data!C720&gt;3,C720-1,F_Baseline_data!C720)))</f>
        <v>2</v>
      </c>
      <c r="D720">
        <f ca="1">MAX(5000,ROUND(F_Baseline_data!D720*(1+_xlfn.NORM.INV(RAND(),0.12,0.1)),-2))</f>
        <v>24000</v>
      </c>
      <c r="E720" t="str">
        <f ca="1">IF(I720=1,IF(RAND()&lt;0.95,"Piped Water",F_Baseline_data!E720),F_Baseline_data!E720)</f>
        <v>Piped Water</v>
      </c>
      <c r="F720">
        <f t="shared" ca="1" si="22"/>
        <v>10</v>
      </c>
      <c r="G720">
        <v>2</v>
      </c>
      <c r="H720">
        <f ca="1">MAX(0,ROUND(F_Baseline_data!H720+(F_Baseline_data!C720-5)*200+(D720-30000)*0.015+(F720-50)*15-IF(I720=1,1200,0)+_xlfn.NORM.INV(RAND(),0,2500),-2))</f>
        <v>0</v>
      </c>
      <c r="I720">
        <v>1</v>
      </c>
      <c r="J720">
        <f>1</f>
        <v>1</v>
      </c>
      <c r="K720">
        <f>1</f>
        <v>1</v>
      </c>
      <c r="L720">
        <v>0</v>
      </c>
      <c r="M720">
        <f t="shared" ca="1" si="23"/>
        <v>0.39319392367175043</v>
      </c>
      <c r="N720">
        <v>0</v>
      </c>
      <c r="O720">
        <v>0</v>
      </c>
      <c r="P720">
        <v>0</v>
      </c>
    </row>
    <row r="721" spans="1:16" x14ac:dyDescent="0.3">
      <c r="A721" t="s">
        <v>833</v>
      </c>
      <c r="B721" t="s">
        <v>62</v>
      </c>
      <c r="C721">
        <f ca="1">IF(RAND()&lt;0.8,F_Baseline_data!C721,IF(RAND()&lt;0.85,F_Baseline_data!C721+1,IF(F_Baseline_data!C721&gt;3,C721-1,F_Baseline_data!C721)))</f>
        <v>6</v>
      </c>
      <c r="D721">
        <f ca="1">MAX(5000,ROUND(F_Baseline_data!D721*(1+_xlfn.NORM.INV(RAND(),0.12,0.1)),-2))</f>
        <v>43400</v>
      </c>
      <c r="E721" t="str">
        <f ca="1">IF(I721=1,IF(RAND()&lt;0.95,"Piped Water",F_Baseline_data!E721),F_Baseline_data!E721)</f>
        <v>Piped Water</v>
      </c>
      <c r="F721">
        <f t="shared" ca="1" si="22"/>
        <v>3</v>
      </c>
      <c r="G721">
        <v>8.5</v>
      </c>
      <c r="H721">
        <f ca="1">MAX(0,ROUND(F_Baseline_data!H721+(F_Baseline_data!C721-5)*200+(D721-30000)*0.015+(F721-50)*15-IF(I721=1,1200,0)+_xlfn.NORM.INV(RAND(),0,2500),-2))</f>
        <v>2400</v>
      </c>
      <c r="I721">
        <v>1</v>
      </c>
      <c r="J721">
        <f>1</f>
        <v>1</v>
      </c>
      <c r="K721">
        <f>1</f>
        <v>1</v>
      </c>
      <c r="L721">
        <v>0</v>
      </c>
      <c r="M721">
        <f t="shared" ca="1" si="23"/>
        <v>0.45138554394295538</v>
      </c>
      <c r="N721">
        <v>0</v>
      </c>
      <c r="O721">
        <v>0</v>
      </c>
      <c r="P721">
        <v>0</v>
      </c>
    </row>
    <row r="722" spans="1:16" x14ac:dyDescent="0.3">
      <c r="A722" t="s">
        <v>834</v>
      </c>
      <c r="B722" t="s">
        <v>64</v>
      </c>
      <c r="C722">
        <f ca="1">IF(RAND()&lt;0.8,F_Baseline_data!C722,IF(RAND()&lt;0.85,F_Baseline_data!C722+1,IF(F_Baseline_data!C722&gt;3,C722-1,F_Baseline_data!C722)))</f>
        <v>2</v>
      </c>
      <c r="D722">
        <f ca="1">MAX(5000,ROUND(F_Baseline_data!D722*(1+_xlfn.NORM.INV(RAND(),0.12,0.1)),-2))</f>
        <v>23500</v>
      </c>
      <c r="E722" t="str">
        <f ca="1">IF(I722=1,IF(RAND()&lt;0.95,"Piped Water",F_Baseline_data!E722),F_Baseline_data!E722)</f>
        <v>Piped Water</v>
      </c>
      <c r="F722">
        <f t="shared" ca="1" si="22"/>
        <v>0</v>
      </c>
      <c r="G722">
        <v>7.7</v>
      </c>
      <c r="H722">
        <f ca="1">MAX(0,ROUND(F_Baseline_data!H722+(F_Baseline_data!C722-5)*200+(D722-30000)*0.015+(F722-50)*15-IF(I722=1,1200,0)+_xlfn.NORM.INV(RAND(),0,2500),-2))</f>
        <v>400</v>
      </c>
      <c r="I722">
        <v>1</v>
      </c>
      <c r="J722">
        <f>1</f>
        <v>1</v>
      </c>
      <c r="K722">
        <f>1</f>
        <v>1</v>
      </c>
      <c r="L722">
        <v>0</v>
      </c>
      <c r="M722">
        <f t="shared" ca="1" si="23"/>
        <v>0.71403821061544204</v>
      </c>
      <c r="N722">
        <v>0</v>
      </c>
      <c r="O722">
        <v>0</v>
      </c>
      <c r="P722">
        <v>0</v>
      </c>
    </row>
    <row r="723" spans="1:16" x14ac:dyDescent="0.3">
      <c r="A723" t="s">
        <v>835</v>
      </c>
      <c r="B723" t="s">
        <v>62</v>
      </c>
      <c r="C723">
        <f ca="1">IF(RAND()&lt;0.8,F_Baseline_data!C723,IF(RAND()&lt;0.85,F_Baseline_data!C723+1,IF(F_Baseline_data!C723&gt;3,C723-1,F_Baseline_data!C723)))</f>
        <v>4</v>
      </c>
      <c r="D723">
        <f ca="1">MAX(5000,ROUND(F_Baseline_data!D723*(1+_xlfn.NORM.INV(RAND(),0.12,0.1)),-2))</f>
        <v>32400</v>
      </c>
      <c r="E723" t="str">
        <f ca="1">IF(I723=1,IF(RAND()&lt;0.95,"Piped Water",F_Baseline_data!E723),F_Baseline_data!E723)</f>
        <v>Piped Water</v>
      </c>
      <c r="F723">
        <f t="shared" ca="1" si="22"/>
        <v>8</v>
      </c>
      <c r="G723">
        <v>2.2999999999999998</v>
      </c>
      <c r="H723">
        <f ca="1">MAX(0,ROUND(F_Baseline_data!H723+(F_Baseline_data!C723-5)*200+(D723-30000)*0.015+(F723-50)*15-IF(I723=1,1200,0)+_xlfn.NORM.INV(RAND(),0,2500),-2))</f>
        <v>0</v>
      </c>
      <c r="I723">
        <v>1</v>
      </c>
      <c r="J723">
        <f>1</f>
        <v>1</v>
      </c>
      <c r="K723">
        <f>1</f>
        <v>1</v>
      </c>
      <c r="L723">
        <v>0</v>
      </c>
      <c r="M723">
        <f t="shared" ca="1" si="23"/>
        <v>0.97790641732093042</v>
      </c>
      <c r="N723">
        <v>0</v>
      </c>
      <c r="O723">
        <v>0</v>
      </c>
      <c r="P723">
        <v>0</v>
      </c>
    </row>
    <row r="724" spans="1:16" x14ac:dyDescent="0.3">
      <c r="A724" t="s">
        <v>836</v>
      </c>
      <c r="B724" t="s">
        <v>62</v>
      </c>
      <c r="C724">
        <f ca="1">IF(RAND()&lt;0.8,F_Baseline_data!C724,IF(RAND()&lt;0.85,F_Baseline_data!C724+1,IF(F_Baseline_data!C724&gt;3,C724-1,F_Baseline_data!C724)))</f>
        <v>2</v>
      </c>
      <c r="D724">
        <f ca="1">MAX(5000,ROUND(F_Baseline_data!D724*(1+_xlfn.NORM.INV(RAND(),0.12,0.1)),-2))</f>
        <v>16200</v>
      </c>
      <c r="E724" t="str">
        <f ca="1">IF(I724=1,IF(RAND()&lt;0.95,"Piped Water",F_Baseline_data!E724),F_Baseline_data!E724)</f>
        <v>Piped Water</v>
      </c>
      <c r="F724">
        <f t="shared" ca="1" si="22"/>
        <v>10</v>
      </c>
      <c r="G724">
        <v>9.6999999999999993</v>
      </c>
      <c r="H724">
        <f ca="1">MAX(0,ROUND(F_Baseline_data!H724+(F_Baseline_data!C724-5)*200+(D724-30000)*0.015+(F724-50)*15-IF(I724=1,1200,0)+_xlfn.NORM.INV(RAND(),0,2500),-2))</f>
        <v>4800</v>
      </c>
      <c r="I724">
        <v>1</v>
      </c>
      <c r="J724">
        <f>1</f>
        <v>1</v>
      </c>
      <c r="K724">
        <f>1</f>
        <v>1</v>
      </c>
      <c r="L724">
        <v>0</v>
      </c>
      <c r="M724">
        <f t="shared" ca="1" si="23"/>
        <v>0.94186161698307147</v>
      </c>
      <c r="N724">
        <v>0</v>
      </c>
      <c r="O724">
        <v>0</v>
      </c>
      <c r="P724">
        <v>0</v>
      </c>
    </row>
    <row r="725" spans="1:16" x14ac:dyDescent="0.3">
      <c r="A725" t="s">
        <v>837</v>
      </c>
      <c r="B725" t="s">
        <v>513</v>
      </c>
      <c r="C725">
        <f ca="1">IF(RAND()&lt;0.8,F_Baseline_data!C725,IF(RAND()&lt;0.85,F_Baseline_data!C725+1,IF(F_Baseline_data!C725&gt;3,C725-1,F_Baseline_data!C725)))</f>
        <v>8</v>
      </c>
      <c r="D725">
        <f ca="1">MAX(5000,ROUND(F_Baseline_data!D725*(1+_xlfn.NORM.INV(RAND(),0.12,0.1)),-2))</f>
        <v>105800</v>
      </c>
      <c r="E725" t="str">
        <f ca="1">IF(I725=1,IF(RAND()&lt;0.95,"Piped Water",F_Baseline_data!E725),F_Baseline_data!E725)</f>
        <v>Piped Water</v>
      </c>
      <c r="F725">
        <f t="shared" ca="1" si="22"/>
        <v>0</v>
      </c>
      <c r="G725">
        <v>4.2</v>
      </c>
      <c r="H725">
        <f ca="1">MAX(0,ROUND(F_Baseline_data!H725+(F_Baseline_data!C725-5)*200+(D725-30000)*0.015+(F725-50)*15-IF(I725=1,1200,0)+_xlfn.NORM.INV(RAND(),0,2500),-2))</f>
        <v>7300</v>
      </c>
      <c r="I725">
        <v>1</v>
      </c>
      <c r="J725">
        <f>1</f>
        <v>1</v>
      </c>
      <c r="K725">
        <f>1</f>
        <v>1</v>
      </c>
      <c r="L725">
        <v>0</v>
      </c>
      <c r="M725">
        <f t="shared" ca="1" si="23"/>
        <v>0.11068351049409597</v>
      </c>
      <c r="N725">
        <v>0</v>
      </c>
      <c r="O725">
        <v>0</v>
      </c>
      <c r="P725">
        <v>0</v>
      </c>
    </row>
    <row r="726" spans="1:16" x14ac:dyDescent="0.3">
      <c r="A726" t="s">
        <v>838</v>
      </c>
      <c r="B726" t="s">
        <v>65</v>
      </c>
      <c r="C726">
        <f ca="1">IF(RAND()&lt;0.8,F_Baseline_data!C726,IF(RAND()&lt;0.85,F_Baseline_data!C726+1,IF(F_Baseline_data!C726&gt;3,C726-1,F_Baseline_data!C726)))</f>
        <v>7</v>
      </c>
      <c r="D726">
        <f ca="1">MAX(5000,ROUND(F_Baseline_data!D726*(1+_xlfn.NORM.INV(RAND(),0.12,0.1)),-2))</f>
        <v>17700</v>
      </c>
      <c r="E726" t="str">
        <f ca="1">IF(I726=1,IF(RAND()&lt;0.95,"Piped Water",F_Baseline_data!E726),F_Baseline_data!E726)</f>
        <v>Piped Water</v>
      </c>
      <c r="F726">
        <f t="shared" ca="1" si="22"/>
        <v>8</v>
      </c>
      <c r="G726">
        <v>12.3</v>
      </c>
      <c r="H726">
        <f ca="1">MAX(0,ROUND(F_Baseline_data!H726+(F_Baseline_data!C726-5)*200+(D726-30000)*0.015+(F726-50)*15-IF(I726=1,1200,0)+_xlfn.NORM.INV(RAND(),0,2500),-2))</f>
        <v>4000</v>
      </c>
      <c r="I726">
        <v>1</v>
      </c>
      <c r="J726">
        <f>1</f>
        <v>1</v>
      </c>
      <c r="K726">
        <f>1</f>
        <v>1</v>
      </c>
      <c r="L726">
        <v>0</v>
      </c>
      <c r="M726">
        <f t="shared" ca="1" si="23"/>
        <v>0.56353999109984865</v>
      </c>
      <c r="N726">
        <v>0</v>
      </c>
      <c r="O726">
        <v>0</v>
      </c>
      <c r="P726">
        <v>0</v>
      </c>
    </row>
    <row r="727" spans="1:16" x14ac:dyDescent="0.3">
      <c r="A727" t="s">
        <v>839</v>
      </c>
      <c r="B727" t="s">
        <v>64</v>
      </c>
      <c r="C727">
        <f ca="1">IF(RAND()&lt;0.8,F_Baseline_data!C727,IF(RAND()&lt;0.85,F_Baseline_data!C727+1,IF(F_Baseline_data!C727&gt;3,C727-1,F_Baseline_data!C727)))</f>
        <v>4</v>
      </c>
      <c r="D727">
        <f ca="1">MAX(5000,ROUND(F_Baseline_data!D727*(1+_xlfn.NORM.INV(RAND(),0.12,0.1)),-2))</f>
        <v>15100</v>
      </c>
      <c r="E727" t="str">
        <f ca="1">IF(I727=1,IF(RAND()&lt;0.95,"Piped Water",F_Baseline_data!E727),F_Baseline_data!E727)</f>
        <v>Piped Water</v>
      </c>
      <c r="F727">
        <f t="shared" ca="1" si="22"/>
        <v>2</v>
      </c>
      <c r="G727">
        <v>2.4</v>
      </c>
      <c r="H727">
        <f ca="1">MAX(0,ROUND(F_Baseline_data!H727+(F_Baseline_data!C727-5)*200+(D727-30000)*0.015+(F727-50)*15-IF(I727=1,1200,0)+_xlfn.NORM.INV(RAND(),0,2500),-2))</f>
        <v>4200</v>
      </c>
      <c r="I727">
        <v>1</v>
      </c>
      <c r="J727">
        <f>1</f>
        <v>1</v>
      </c>
      <c r="K727">
        <f>1</f>
        <v>1</v>
      </c>
      <c r="L727">
        <v>0</v>
      </c>
      <c r="M727">
        <f t="shared" ca="1" si="23"/>
        <v>0.9714364040439597</v>
      </c>
      <c r="N727">
        <v>0</v>
      </c>
      <c r="O727">
        <v>0</v>
      </c>
      <c r="P727">
        <v>0</v>
      </c>
    </row>
    <row r="728" spans="1:16" x14ac:dyDescent="0.3">
      <c r="A728" t="s">
        <v>840</v>
      </c>
      <c r="B728" t="s">
        <v>65</v>
      </c>
      <c r="C728">
        <f ca="1">IF(RAND()&lt;0.8,F_Baseline_data!C728,IF(RAND()&lt;0.85,F_Baseline_data!C728+1,IF(F_Baseline_data!C728&gt;3,C728-1,F_Baseline_data!C728)))</f>
        <v>9</v>
      </c>
      <c r="D728">
        <f ca="1">MAX(5000,ROUND(F_Baseline_data!D728*(1+_xlfn.NORM.INV(RAND(),0.12,0.1)),-2))</f>
        <v>18800</v>
      </c>
      <c r="E728" t="str">
        <f ca="1">IF(I728=1,IF(RAND()&lt;0.95,"Piped Water",F_Baseline_data!E728),F_Baseline_data!E728)</f>
        <v>Piped Water</v>
      </c>
      <c r="F728">
        <f t="shared" ca="1" si="22"/>
        <v>0</v>
      </c>
      <c r="G728">
        <v>8.4</v>
      </c>
      <c r="H728">
        <f ca="1">MAX(0,ROUND(F_Baseline_data!H728+(F_Baseline_data!C728-5)*200+(D728-30000)*0.015+(F728-50)*15-IF(I728=1,1200,0)+_xlfn.NORM.INV(RAND(),0,2500),-2))</f>
        <v>11800</v>
      </c>
      <c r="I728">
        <v>1</v>
      </c>
      <c r="J728">
        <f>1</f>
        <v>1</v>
      </c>
      <c r="K728">
        <f>1</f>
        <v>1</v>
      </c>
      <c r="L728">
        <v>0</v>
      </c>
      <c r="M728">
        <f t="shared" ca="1" si="23"/>
        <v>0.85326684823979004</v>
      </c>
      <c r="N728">
        <v>0</v>
      </c>
      <c r="O728">
        <v>0</v>
      </c>
      <c r="P728">
        <v>0</v>
      </c>
    </row>
    <row r="729" spans="1:16" x14ac:dyDescent="0.3">
      <c r="A729" t="s">
        <v>841</v>
      </c>
      <c r="B729" t="s">
        <v>64</v>
      </c>
      <c r="C729">
        <f ca="1">IF(RAND()&lt;0.8,F_Baseline_data!C729,IF(RAND()&lt;0.85,F_Baseline_data!C729+1,IF(F_Baseline_data!C729&gt;3,C729-1,F_Baseline_data!C729)))</f>
        <v>8</v>
      </c>
      <c r="D729">
        <f ca="1">MAX(5000,ROUND(F_Baseline_data!D729*(1+_xlfn.NORM.INV(RAND(),0.12,0.1)),-2))</f>
        <v>28000</v>
      </c>
      <c r="E729" t="str">
        <f ca="1">IF(I729=1,IF(RAND()&lt;0.95,"Piped Water",F_Baseline_data!E729),F_Baseline_data!E729)</f>
        <v>Piped Water</v>
      </c>
      <c r="F729">
        <f t="shared" ca="1" si="22"/>
        <v>2</v>
      </c>
      <c r="G729">
        <v>11.8</v>
      </c>
      <c r="H729">
        <f ca="1">MAX(0,ROUND(F_Baseline_data!H729+(F_Baseline_data!C729-5)*200+(D729-30000)*0.015+(F729-50)*15-IF(I729=1,1200,0)+_xlfn.NORM.INV(RAND(),0,2500),-2))</f>
        <v>4700</v>
      </c>
      <c r="I729">
        <v>1</v>
      </c>
      <c r="J729">
        <f>1</f>
        <v>1</v>
      </c>
      <c r="K729">
        <f>1</f>
        <v>1</v>
      </c>
      <c r="L729">
        <v>0</v>
      </c>
      <c r="M729">
        <f t="shared" ca="1" si="23"/>
        <v>0.24682948605749189</v>
      </c>
      <c r="N729">
        <v>0</v>
      </c>
      <c r="O729">
        <v>0</v>
      </c>
      <c r="P729">
        <v>0</v>
      </c>
    </row>
    <row r="730" spans="1:16" x14ac:dyDescent="0.3">
      <c r="A730" t="s">
        <v>842</v>
      </c>
      <c r="B730" t="s">
        <v>64</v>
      </c>
      <c r="C730">
        <f ca="1">IF(RAND()&lt;0.8,F_Baseline_data!C730,IF(RAND()&lt;0.85,F_Baseline_data!C730+1,IF(F_Baseline_data!C730&gt;3,C730-1,F_Baseline_data!C730)))</f>
        <v>4</v>
      </c>
      <c r="D730">
        <f ca="1">MAX(5000,ROUND(F_Baseline_data!D730*(1+_xlfn.NORM.INV(RAND(),0.12,0.1)),-2))</f>
        <v>9100</v>
      </c>
      <c r="E730" t="str">
        <f ca="1">IF(I730=1,IF(RAND()&lt;0.95,"Piped Water",F_Baseline_data!E730),F_Baseline_data!E730)</f>
        <v>Piped Water</v>
      </c>
      <c r="F730">
        <f t="shared" ca="1" si="22"/>
        <v>3</v>
      </c>
      <c r="G730">
        <v>8.6</v>
      </c>
      <c r="H730">
        <f ca="1">MAX(0,ROUND(F_Baseline_data!H730+(F_Baseline_data!C730-5)*200+(D730-30000)*0.015+(F730-50)*15-IF(I730=1,1200,0)+_xlfn.NORM.INV(RAND(),0,2500),-2))</f>
        <v>0</v>
      </c>
      <c r="I730">
        <v>1</v>
      </c>
      <c r="J730">
        <f>1</f>
        <v>1</v>
      </c>
      <c r="K730">
        <f>1</f>
        <v>1</v>
      </c>
      <c r="L730">
        <v>0</v>
      </c>
      <c r="M730">
        <f t="shared" ca="1" si="23"/>
        <v>0.79745713855243527</v>
      </c>
      <c r="N730">
        <v>0</v>
      </c>
      <c r="O730">
        <v>0</v>
      </c>
      <c r="P730">
        <v>0</v>
      </c>
    </row>
    <row r="731" spans="1:16" x14ac:dyDescent="0.3">
      <c r="A731" t="s">
        <v>843</v>
      </c>
      <c r="B731" t="s">
        <v>62</v>
      </c>
      <c r="C731">
        <f ca="1">IF(RAND()&lt;0.8,F_Baseline_data!C731,IF(RAND()&lt;0.85,F_Baseline_data!C731+1,IF(F_Baseline_data!C731&gt;3,C731-1,F_Baseline_data!C731)))</f>
        <v>6</v>
      </c>
      <c r="D731">
        <f ca="1">MAX(5000,ROUND(F_Baseline_data!D731*(1+_xlfn.NORM.INV(RAND(),0.12,0.1)),-2))</f>
        <v>20300</v>
      </c>
      <c r="E731" t="str">
        <f ca="1">IF(I731=1,IF(RAND()&lt;0.95,"Piped Water",F_Baseline_data!E731),F_Baseline_data!E731)</f>
        <v>Piped Water</v>
      </c>
      <c r="F731">
        <f t="shared" ca="1" si="22"/>
        <v>1</v>
      </c>
      <c r="G731">
        <v>1.8</v>
      </c>
      <c r="H731">
        <f ca="1">MAX(0,ROUND(F_Baseline_data!H731+(F_Baseline_data!C731-5)*200+(D731-30000)*0.015+(F731-50)*15-IF(I731=1,1200,0)+_xlfn.NORM.INV(RAND(),0,2500),-2))</f>
        <v>3600</v>
      </c>
      <c r="I731">
        <v>1</v>
      </c>
      <c r="J731">
        <f>1</f>
        <v>1</v>
      </c>
      <c r="K731">
        <f>1</f>
        <v>1</v>
      </c>
      <c r="L731">
        <v>0</v>
      </c>
      <c r="M731">
        <f t="shared" ca="1" si="23"/>
        <v>0.96980833407156164</v>
      </c>
      <c r="N731">
        <v>0</v>
      </c>
      <c r="O731">
        <v>0</v>
      </c>
      <c r="P731">
        <v>0</v>
      </c>
    </row>
    <row r="732" spans="1:16" x14ac:dyDescent="0.3">
      <c r="A732" t="s">
        <v>844</v>
      </c>
      <c r="B732" t="s">
        <v>64</v>
      </c>
      <c r="C732">
        <f ca="1">IF(RAND()&lt;0.8,F_Baseline_data!C732,IF(RAND()&lt;0.85,F_Baseline_data!C732+1,IF(F_Baseline_data!C732&gt;3,C732-1,F_Baseline_data!C732)))</f>
        <v>3</v>
      </c>
      <c r="D732">
        <f ca="1">MAX(5000,ROUND(F_Baseline_data!D732*(1+_xlfn.NORM.INV(RAND(),0.12,0.1)),-2))</f>
        <v>23300</v>
      </c>
      <c r="E732" t="str">
        <f ca="1">IF(I732=1,IF(RAND()&lt;0.95,"Piped Water",F_Baseline_data!E732),F_Baseline_data!E732)</f>
        <v>Piped Water</v>
      </c>
      <c r="F732">
        <f t="shared" ca="1" si="22"/>
        <v>7</v>
      </c>
      <c r="G732">
        <v>10.9</v>
      </c>
      <c r="H732">
        <f ca="1">MAX(0,ROUND(F_Baseline_data!H732+(F_Baseline_data!C732-5)*200+(D732-30000)*0.015+(F732-50)*15-IF(I732=1,1200,0)+_xlfn.NORM.INV(RAND(),0,2500),-2))</f>
        <v>4800</v>
      </c>
      <c r="I732">
        <v>1</v>
      </c>
      <c r="J732">
        <f>1</f>
        <v>1</v>
      </c>
      <c r="K732">
        <f>1</f>
        <v>1</v>
      </c>
      <c r="L732">
        <v>0</v>
      </c>
      <c r="M732">
        <f t="shared" ca="1" si="23"/>
        <v>0.29158977224537319</v>
      </c>
      <c r="N732">
        <v>0</v>
      </c>
      <c r="O732">
        <v>0</v>
      </c>
      <c r="P732">
        <v>0</v>
      </c>
    </row>
    <row r="733" spans="1:16" x14ac:dyDescent="0.3">
      <c r="A733" t="s">
        <v>845</v>
      </c>
      <c r="B733" t="s">
        <v>64</v>
      </c>
      <c r="C733">
        <f ca="1">IF(RAND()&lt;0.8,F_Baseline_data!C733,IF(RAND()&lt;0.85,F_Baseline_data!C733+1,IF(F_Baseline_data!C733&gt;3,C733-1,F_Baseline_data!C733)))</f>
        <v>3</v>
      </c>
      <c r="D733">
        <f ca="1">MAX(5000,ROUND(F_Baseline_data!D733*(1+_xlfn.NORM.INV(RAND(),0.12,0.1)),-2))</f>
        <v>33400</v>
      </c>
      <c r="E733" t="str">
        <f ca="1">IF(I733=1,IF(RAND()&lt;0.95,"Piped Water",F_Baseline_data!E733),F_Baseline_data!E733)</f>
        <v>Piped Water</v>
      </c>
      <c r="F733">
        <f t="shared" ca="1" si="22"/>
        <v>8</v>
      </c>
      <c r="G733">
        <v>4.8</v>
      </c>
      <c r="H733">
        <f ca="1">MAX(0,ROUND(F_Baseline_data!H733+(F_Baseline_data!C733-5)*200+(D733-30000)*0.015+(F733-50)*15-IF(I733=1,1200,0)+_xlfn.NORM.INV(RAND(),0,2500),-2))</f>
        <v>5800</v>
      </c>
      <c r="I733">
        <v>1</v>
      </c>
      <c r="J733">
        <f>1</f>
        <v>1</v>
      </c>
      <c r="K733">
        <f>1</f>
        <v>1</v>
      </c>
      <c r="L733">
        <v>0</v>
      </c>
      <c r="M733">
        <f t="shared" ca="1" si="23"/>
        <v>0.17931541362659886</v>
      </c>
      <c r="N733">
        <v>0</v>
      </c>
      <c r="O733">
        <v>0</v>
      </c>
      <c r="P733">
        <v>0</v>
      </c>
    </row>
    <row r="734" spans="1:16" x14ac:dyDescent="0.3">
      <c r="A734" t="s">
        <v>846</v>
      </c>
      <c r="B734" t="s">
        <v>65</v>
      </c>
      <c r="C734">
        <f ca="1">IF(RAND()&lt;0.8,F_Baseline_data!C734,IF(RAND()&lt;0.85,F_Baseline_data!C734+1,IF(F_Baseline_data!C734&gt;3,C734-1,F_Baseline_data!C734)))</f>
        <v>3</v>
      </c>
      <c r="D734">
        <f ca="1">MAX(5000,ROUND(F_Baseline_data!D734*(1+_xlfn.NORM.INV(RAND(),0.12,0.1)),-2))</f>
        <v>37500</v>
      </c>
      <c r="E734" t="str">
        <f ca="1">IF(I734=1,IF(RAND()&lt;0.95,"Piped Water",F_Baseline_data!E734),F_Baseline_data!E734)</f>
        <v>Piped Water</v>
      </c>
      <c r="F734">
        <f t="shared" ca="1" si="22"/>
        <v>6</v>
      </c>
      <c r="G734">
        <v>3.8</v>
      </c>
      <c r="H734">
        <f ca="1">MAX(0,ROUND(F_Baseline_data!H734+(F_Baseline_data!C734-5)*200+(D734-30000)*0.015+(F734-50)*15-IF(I734=1,1200,0)+_xlfn.NORM.INV(RAND(),0,2500),-2))</f>
        <v>200</v>
      </c>
      <c r="I734">
        <v>1</v>
      </c>
      <c r="J734">
        <f>1</f>
        <v>1</v>
      </c>
      <c r="K734">
        <f>1</f>
        <v>1</v>
      </c>
      <c r="L734">
        <v>0</v>
      </c>
      <c r="M734">
        <f t="shared" ca="1" si="23"/>
        <v>0.7957689214015784</v>
      </c>
      <c r="N734">
        <v>0</v>
      </c>
      <c r="O734">
        <v>0</v>
      </c>
      <c r="P734">
        <v>0</v>
      </c>
    </row>
    <row r="735" spans="1:16" x14ac:dyDescent="0.3">
      <c r="A735" t="s">
        <v>847</v>
      </c>
      <c r="B735" t="s">
        <v>513</v>
      </c>
      <c r="C735">
        <f ca="1">IF(RAND()&lt;0.8,F_Baseline_data!C735,IF(RAND()&lt;0.85,F_Baseline_data!C735+1,IF(F_Baseline_data!C735&gt;3,C735-1,F_Baseline_data!C735)))</f>
        <v>4</v>
      </c>
      <c r="D735">
        <f ca="1">MAX(5000,ROUND(F_Baseline_data!D735*(1+_xlfn.NORM.INV(RAND(),0.12,0.1)),-2))</f>
        <v>30300</v>
      </c>
      <c r="E735" t="str">
        <f ca="1">IF(I735=1,IF(RAND()&lt;0.95,"Piped Water",F_Baseline_data!E735),F_Baseline_data!E735)</f>
        <v>Piped Water</v>
      </c>
      <c r="F735">
        <f t="shared" ca="1" si="22"/>
        <v>2</v>
      </c>
      <c r="G735">
        <v>10.6</v>
      </c>
      <c r="H735">
        <f ca="1">MAX(0,ROUND(F_Baseline_data!H735+(F_Baseline_data!C735-5)*200+(D735-30000)*0.015+(F735-50)*15-IF(I735=1,1200,0)+_xlfn.NORM.INV(RAND(),0,2500),-2))</f>
        <v>800</v>
      </c>
      <c r="I735">
        <v>1</v>
      </c>
      <c r="J735">
        <f>1</f>
        <v>1</v>
      </c>
      <c r="K735">
        <f>1</f>
        <v>1</v>
      </c>
      <c r="L735">
        <v>0</v>
      </c>
      <c r="M735">
        <f t="shared" ca="1" si="23"/>
        <v>0.86230767638252737</v>
      </c>
      <c r="N735">
        <v>0</v>
      </c>
      <c r="O735">
        <v>0</v>
      </c>
      <c r="P735">
        <v>0</v>
      </c>
    </row>
    <row r="736" spans="1:16" x14ac:dyDescent="0.3">
      <c r="A736" t="s">
        <v>848</v>
      </c>
      <c r="B736" t="s">
        <v>513</v>
      </c>
      <c r="C736">
        <f ca="1">IF(RAND()&lt;0.8,F_Baseline_data!C736,IF(RAND()&lt;0.85,F_Baseline_data!C736+1,IF(F_Baseline_data!C736&gt;3,C736-1,F_Baseline_data!C736)))</f>
        <v>5</v>
      </c>
      <c r="D736">
        <f ca="1">MAX(5000,ROUND(F_Baseline_data!D736*(1+_xlfn.NORM.INV(RAND(),0.12,0.1)),-2))</f>
        <v>23600</v>
      </c>
      <c r="E736" t="str">
        <f ca="1">IF(I736=1,IF(RAND()&lt;0.95,"Piped Water",F_Baseline_data!E736),F_Baseline_data!E736)</f>
        <v>Piped Water</v>
      </c>
      <c r="F736">
        <f t="shared" ca="1" si="22"/>
        <v>4</v>
      </c>
      <c r="G736">
        <v>13.4</v>
      </c>
      <c r="H736">
        <f ca="1">MAX(0,ROUND(F_Baseline_data!H736+(F_Baseline_data!C736-5)*200+(D736-30000)*0.015+(F736-50)*15-IF(I736=1,1200,0)+_xlfn.NORM.INV(RAND(),0,2500),-2))</f>
        <v>5500</v>
      </c>
      <c r="I736">
        <v>1</v>
      </c>
      <c r="J736">
        <f>1</f>
        <v>1</v>
      </c>
      <c r="K736">
        <f>1</f>
        <v>1</v>
      </c>
      <c r="L736">
        <v>0</v>
      </c>
      <c r="M736">
        <f t="shared" ca="1" si="23"/>
        <v>0.40026011242996029</v>
      </c>
      <c r="N736">
        <v>0</v>
      </c>
      <c r="O736">
        <v>0</v>
      </c>
      <c r="P736">
        <v>0</v>
      </c>
    </row>
    <row r="737" spans="1:16" x14ac:dyDescent="0.3">
      <c r="A737" t="s">
        <v>849</v>
      </c>
      <c r="B737" t="s">
        <v>64</v>
      </c>
      <c r="C737">
        <f ca="1">IF(RAND()&lt;0.8,F_Baseline_data!C737,IF(RAND()&lt;0.85,F_Baseline_data!C737+1,IF(F_Baseline_data!C737&gt;3,C737-1,F_Baseline_data!C737)))</f>
        <v>5</v>
      </c>
      <c r="D737">
        <f ca="1">MAX(5000,ROUND(F_Baseline_data!D737*(1+_xlfn.NORM.INV(RAND(),0.12,0.1)),-2))</f>
        <v>20000</v>
      </c>
      <c r="E737" t="str">
        <f ca="1">IF(I737=1,IF(RAND()&lt;0.95,"Piped Water",F_Baseline_data!E737),F_Baseline_data!E737)</f>
        <v>Piped Water</v>
      </c>
      <c r="F737">
        <f t="shared" ca="1" si="22"/>
        <v>2</v>
      </c>
      <c r="G737">
        <v>9.8000000000000007</v>
      </c>
      <c r="H737">
        <f ca="1">MAX(0,ROUND(F_Baseline_data!H737+(F_Baseline_data!C737-5)*200+(D737-30000)*0.015+(F737-50)*15-IF(I737=1,1200,0)+_xlfn.NORM.INV(RAND(),0,2500),-2))</f>
        <v>3100</v>
      </c>
      <c r="I737">
        <v>1</v>
      </c>
      <c r="J737">
        <f>1</f>
        <v>1</v>
      </c>
      <c r="K737">
        <f>1</f>
        <v>1</v>
      </c>
      <c r="L737">
        <v>0</v>
      </c>
      <c r="M737">
        <f t="shared" ca="1" si="23"/>
        <v>0.27205743833726526</v>
      </c>
      <c r="N737">
        <v>0</v>
      </c>
      <c r="O737">
        <v>0</v>
      </c>
      <c r="P737">
        <v>0</v>
      </c>
    </row>
    <row r="738" spans="1:16" x14ac:dyDescent="0.3">
      <c r="A738" t="s">
        <v>850</v>
      </c>
      <c r="B738" t="s">
        <v>65</v>
      </c>
      <c r="C738">
        <f ca="1">IF(RAND()&lt;0.8,F_Baseline_data!C738,IF(RAND()&lt;0.85,F_Baseline_data!C738+1,IF(F_Baseline_data!C738&gt;3,C738-1,F_Baseline_data!C738)))</f>
        <v>1</v>
      </c>
      <c r="D738">
        <f ca="1">MAX(5000,ROUND(F_Baseline_data!D738*(1+_xlfn.NORM.INV(RAND(),0.12,0.1)),-2))</f>
        <v>32300</v>
      </c>
      <c r="E738" t="str">
        <f ca="1">IF(I738=1,IF(RAND()&lt;0.95,"Piped Water",F_Baseline_data!E738),F_Baseline_data!E738)</f>
        <v>Piped Water</v>
      </c>
      <c r="F738">
        <f t="shared" ca="1" si="22"/>
        <v>4</v>
      </c>
      <c r="G738">
        <v>9</v>
      </c>
      <c r="H738">
        <f ca="1">MAX(0,ROUND(F_Baseline_data!H738+(F_Baseline_data!C738-5)*200+(D738-30000)*0.015+(F738-50)*15-IF(I738=1,1200,0)+_xlfn.NORM.INV(RAND(),0,2500),-2))</f>
        <v>5000</v>
      </c>
      <c r="I738">
        <v>1</v>
      </c>
      <c r="J738">
        <f>1</f>
        <v>1</v>
      </c>
      <c r="K738">
        <f>1</f>
        <v>1</v>
      </c>
      <c r="L738">
        <v>0</v>
      </c>
      <c r="M738">
        <f t="shared" ca="1" si="23"/>
        <v>0.88204635270925114</v>
      </c>
      <c r="N738">
        <v>0</v>
      </c>
      <c r="O738">
        <v>0</v>
      </c>
      <c r="P738">
        <v>0</v>
      </c>
    </row>
    <row r="739" spans="1:16" x14ac:dyDescent="0.3">
      <c r="A739" t="s">
        <v>851</v>
      </c>
      <c r="B739" t="s">
        <v>64</v>
      </c>
      <c r="C739">
        <f ca="1">IF(RAND()&lt;0.8,F_Baseline_data!C739,IF(RAND()&lt;0.85,F_Baseline_data!C739+1,IF(F_Baseline_data!C739&gt;3,C739-1,F_Baseline_data!C739)))</f>
        <v>5</v>
      </c>
      <c r="D739">
        <f ca="1">MAX(5000,ROUND(F_Baseline_data!D739*(1+_xlfn.NORM.INV(RAND(),0.12,0.1)),-2))</f>
        <v>27600</v>
      </c>
      <c r="E739" t="str">
        <f ca="1">IF(I739=1,IF(RAND()&lt;0.95,"Piped Water",F_Baseline_data!E739),F_Baseline_data!E739)</f>
        <v>Piped Water</v>
      </c>
      <c r="F739">
        <f t="shared" ca="1" si="22"/>
        <v>8</v>
      </c>
      <c r="G739">
        <v>8.1999999999999993</v>
      </c>
      <c r="H739">
        <f ca="1">MAX(0,ROUND(F_Baseline_data!H739+(F_Baseline_data!C739-5)*200+(D739-30000)*0.015+(F739-50)*15-IF(I739=1,1200,0)+_xlfn.NORM.INV(RAND(),0,2500),-2))</f>
        <v>1300</v>
      </c>
      <c r="I739">
        <v>1</v>
      </c>
      <c r="J739">
        <f>1</f>
        <v>1</v>
      </c>
      <c r="K739">
        <f>1</f>
        <v>1</v>
      </c>
      <c r="L739">
        <v>0</v>
      </c>
      <c r="M739">
        <f t="shared" ca="1" si="23"/>
        <v>0.88127611224856495</v>
      </c>
      <c r="N739">
        <v>0</v>
      </c>
      <c r="O739">
        <v>0</v>
      </c>
      <c r="P739">
        <v>0</v>
      </c>
    </row>
    <row r="740" spans="1:16" x14ac:dyDescent="0.3">
      <c r="A740" t="s">
        <v>852</v>
      </c>
      <c r="B740" t="s">
        <v>62</v>
      </c>
      <c r="C740">
        <f ca="1">IF(RAND()&lt;0.8,F_Baseline_data!C740,IF(RAND()&lt;0.85,F_Baseline_data!C740+1,IF(F_Baseline_data!C740&gt;3,C740-1,F_Baseline_data!C740)))</f>
        <v>7</v>
      </c>
      <c r="D740">
        <f ca="1">MAX(5000,ROUND(F_Baseline_data!D740*(1+_xlfn.NORM.INV(RAND(),0.12,0.1)),-2))</f>
        <v>42900</v>
      </c>
      <c r="E740" t="str">
        <f ca="1">IF(I740=1,IF(RAND()&lt;0.95,"Piped Water",F_Baseline_data!E740),F_Baseline_data!E740)</f>
        <v>Piped Water</v>
      </c>
      <c r="F740">
        <f t="shared" ca="1" si="22"/>
        <v>5</v>
      </c>
      <c r="G740">
        <v>4.3</v>
      </c>
      <c r="H740">
        <f ca="1">MAX(0,ROUND(F_Baseline_data!H740+(F_Baseline_data!C740-5)*200+(D740-30000)*0.015+(F740-50)*15-IF(I740=1,1200,0)+_xlfn.NORM.INV(RAND(),0,2500),-2))</f>
        <v>8500</v>
      </c>
      <c r="I740">
        <v>1</v>
      </c>
      <c r="J740">
        <f>1</f>
        <v>1</v>
      </c>
      <c r="K740">
        <f>1</f>
        <v>1</v>
      </c>
      <c r="L740">
        <v>0</v>
      </c>
      <c r="M740">
        <f t="shared" ca="1" si="23"/>
        <v>0.17638775188038314</v>
      </c>
      <c r="N740">
        <v>0</v>
      </c>
      <c r="O740">
        <v>0</v>
      </c>
      <c r="P740">
        <v>0</v>
      </c>
    </row>
    <row r="741" spans="1:16" x14ac:dyDescent="0.3">
      <c r="A741" t="s">
        <v>853</v>
      </c>
      <c r="B741" t="s">
        <v>65</v>
      </c>
      <c r="C741">
        <f ca="1">IF(RAND()&lt;0.8,F_Baseline_data!C741,IF(RAND()&lt;0.85,F_Baseline_data!C741+1,IF(F_Baseline_data!C741&gt;3,C741-1,F_Baseline_data!C741)))</f>
        <v>6</v>
      </c>
      <c r="D741">
        <f ca="1">MAX(5000,ROUND(F_Baseline_data!D741*(1+_xlfn.NORM.INV(RAND(),0.12,0.1)),-2))</f>
        <v>86000</v>
      </c>
      <c r="E741" t="str">
        <f ca="1">IF(I741=1,IF(RAND()&lt;0.95,"Piped Water",F_Baseline_data!E741),F_Baseline_data!E741)</f>
        <v>Piped Water</v>
      </c>
      <c r="F741">
        <f t="shared" ca="1" si="22"/>
        <v>7</v>
      </c>
      <c r="G741">
        <v>11.6</v>
      </c>
      <c r="H741">
        <f ca="1">MAX(0,ROUND(F_Baseline_data!H741+(F_Baseline_data!C741-5)*200+(D741-30000)*0.015+(F741-50)*15-IF(I741=1,1200,0)+_xlfn.NORM.INV(RAND(),0,2500),-2))</f>
        <v>5900</v>
      </c>
      <c r="I741">
        <v>1</v>
      </c>
      <c r="J741">
        <f>1</f>
        <v>1</v>
      </c>
      <c r="K741">
        <f>1</f>
        <v>1</v>
      </c>
      <c r="L741">
        <v>0</v>
      </c>
      <c r="M741">
        <f t="shared" ca="1" si="23"/>
        <v>0.75071349471444115</v>
      </c>
      <c r="N741">
        <v>0</v>
      </c>
      <c r="O741">
        <v>0</v>
      </c>
      <c r="P741">
        <v>0</v>
      </c>
    </row>
    <row r="742" spans="1:16" x14ac:dyDescent="0.3">
      <c r="A742" t="s">
        <v>854</v>
      </c>
      <c r="B742" t="s">
        <v>62</v>
      </c>
      <c r="C742">
        <f ca="1">IF(RAND()&lt;0.8,F_Baseline_data!C742,IF(RAND()&lt;0.85,F_Baseline_data!C742+1,IF(F_Baseline_data!C742&gt;3,C742-1,F_Baseline_data!C742)))</f>
        <v>8</v>
      </c>
      <c r="D742">
        <f ca="1">MAX(5000,ROUND(F_Baseline_data!D742*(1+_xlfn.NORM.INV(RAND(),0.12,0.1)),-2))</f>
        <v>93100</v>
      </c>
      <c r="E742" t="str">
        <f ca="1">IF(I742=1,IF(RAND()&lt;0.95,"Piped Water",F_Baseline_data!E742),F_Baseline_data!E742)</f>
        <v>Piped Water</v>
      </c>
      <c r="F742">
        <f t="shared" ca="1" si="22"/>
        <v>8</v>
      </c>
      <c r="G742">
        <v>5.9</v>
      </c>
      <c r="H742">
        <f ca="1">MAX(0,ROUND(F_Baseline_data!H742+(F_Baseline_data!C742-5)*200+(D742-30000)*0.015+(F742-50)*15-IF(I742=1,1200,0)+_xlfn.NORM.INV(RAND(),0,2500),-2))</f>
        <v>0</v>
      </c>
      <c r="I742">
        <v>1</v>
      </c>
      <c r="J742">
        <f>1</f>
        <v>1</v>
      </c>
      <c r="K742">
        <f>1</f>
        <v>1</v>
      </c>
      <c r="L742">
        <v>0</v>
      </c>
      <c r="M742">
        <f t="shared" ca="1" si="23"/>
        <v>0.9871927311807821</v>
      </c>
      <c r="N742">
        <v>0</v>
      </c>
      <c r="O742">
        <v>0</v>
      </c>
      <c r="P742">
        <v>0</v>
      </c>
    </row>
    <row r="743" spans="1:16" x14ac:dyDescent="0.3">
      <c r="A743" t="s">
        <v>855</v>
      </c>
      <c r="B743" t="s">
        <v>64</v>
      </c>
      <c r="C743">
        <f ca="1">IF(RAND()&lt;0.8,F_Baseline_data!C743,IF(RAND()&lt;0.85,F_Baseline_data!C743+1,IF(F_Baseline_data!C743&gt;3,C743-1,F_Baseline_data!C743)))</f>
        <v>2</v>
      </c>
      <c r="D743">
        <f ca="1">MAX(5000,ROUND(F_Baseline_data!D743*(1+_xlfn.NORM.INV(RAND(),0.12,0.1)),-2))</f>
        <v>22900</v>
      </c>
      <c r="E743" t="str">
        <f ca="1">IF(I743=1,IF(RAND()&lt;0.95,"Piped Water",F_Baseline_data!E743),F_Baseline_data!E743)</f>
        <v>Piped Water</v>
      </c>
      <c r="F743">
        <f t="shared" ca="1" si="22"/>
        <v>2</v>
      </c>
      <c r="G743">
        <v>8.3000000000000007</v>
      </c>
      <c r="H743">
        <f ca="1">MAX(0,ROUND(F_Baseline_data!H743+(F_Baseline_data!C743-5)*200+(D743-30000)*0.015+(F743-50)*15-IF(I743=1,1200,0)+_xlfn.NORM.INV(RAND(),0,2500),-2))</f>
        <v>0</v>
      </c>
      <c r="I743">
        <v>1</v>
      </c>
      <c r="J743">
        <f>1</f>
        <v>1</v>
      </c>
      <c r="K743">
        <f>1</f>
        <v>1</v>
      </c>
      <c r="L743">
        <v>0</v>
      </c>
      <c r="M743">
        <f t="shared" ca="1" si="23"/>
        <v>0.39612989735693582</v>
      </c>
      <c r="N743">
        <v>0</v>
      </c>
      <c r="O743">
        <v>0</v>
      </c>
      <c r="P743">
        <v>0</v>
      </c>
    </row>
    <row r="744" spans="1:16" x14ac:dyDescent="0.3">
      <c r="A744" t="s">
        <v>856</v>
      </c>
      <c r="B744" t="s">
        <v>513</v>
      </c>
      <c r="C744">
        <f ca="1">IF(RAND()&lt;0.8,F_Baseline_data!C744,IF(RAND()&lt;0.85,F_Baseline_data!C744+1,IF(F_Baseline_data!C744&gt;3,C744-1,F_Baseline_data!C744)))</f>
        <v>2</v>
      </c>
      <c r="D744">
        <f ca="1">MAX(5000,ROUND(F_Baseline_data!D744*(1+_xlfn.NORM.INV(RAND(),0.12,0.1)),-2))</f>
        <v>47000</v>
      </c>
      <c r="E744" t="str">
        <f ca="1">IF(I744=1,IF(RAND()&lt;0.95,"Piped Water",F_Baseline_data!E744),F_Baseline_data!E744)</f>
        <v>Piped Water</v>
      </c>
      <c r="F744">
        <f t="shared" ca="1" si="22"/>
        <v>0</v>
      </c>
      <c r="G744">
        <v>4.5</v>
      </c>
      <c r="H744">
        <f ca="1">MAX(0,ROUND(F_Baseline_data!H744+(F_Baseline_data!C744-5)*200+(D744-30000)*0.015+(F744-50)*15-IF(I744=1,1200,0)+_xlfn.NORM.INV(RAND(),0,2500),-2))</f>
        <v>7000</v>
      </c>
      <c r="I744">
        <v>1</v>
      </c>
      <c r="J744">
        <f>1</f>
        <v>1</v>
      </c>
      <c r="K744">
        <f>1</f>
        <v>1</v>
      </c>
      <c r="L744">
        <v>0</v>
      </c>
      <c r="M744">
        <f t="shared" ca="1" si="23"/>
        <v>0.16917075085474642</v>
      </c>
      <c r="N744">
        <v>0</v>
      </c>
      <c r="O744">
        <v>0</v>
      </c>
      <c r="P744">
        <v>0</v>
      </c>
    </row>
    <row r="745" spans="1:16" x14ac:dyDescent="0.3">
      <c r="A745" t="s">
        <v>857</v>
      </c>
      <c r="B745" t="s">
        <v>64</v>
      </c>
      <c r="C745">
        <f ca="1">IF(RAND()&lt;0.8,F_Baseline_data!C745,IF(RAND()&lt;0.85,F_Baseline_data!C745+1,IF(F_Baseline_data!C745&gt;3,C745-1,F_Baseline_data!C745)))</f>
        <v>4</v>
      </c>
      <c r="D745">
        <f ca="1">MAX(5000,ROUND(F_Baseline_data!D745*(1+_xlfn.NORM.INV(RAND(),0.12,0.1)),-2))</f>
        <v>49800</v>
      </c>
      <c r="E745" t="str">
        <f ca="1">IF(I745=1,IF(RAND()&lt;0.95,"Piped Water",F_Baseline_data!E745),F_Baseline_data!E745)</f>
        <v>Vendor</v>
      </c>
      <c r="F745">
        <f t="shared" ca="1" si="22"/>
        <v>34</v>
      </c>
      <c r="G745">
        <v>5</v>
      </c>
      <c r="H745">
        <f ca="1">MAX(0,ROUND(F_Baseline_data!H745+(F_Baseline_data!C745-5)*200+(D745-30000)*0.015+(F745-50)*15-IF(I745=1,1200,0)+_xlfn.NORM.INV(RAND(),0,2500),-2))</f>
        <v>2800</v>
      </c>
      <c r="I745">
        <v>1</v>
      </c>
      <c r="J745">
        <f>1</f>
        <v>1</v>
      </c>
      <c r="K745">
        <f>1</f>
        <v>1</v>
      </c>
      <c r="L745">
        <v>0</v>
      </c>
      <c r="M745">
        <f t="shared" ca="1" si="23"/>
        <v>0.77341036415410791</v>
      </c>
      <c r="N745">
        <v>0</v>
      </c>
      <c r="O745">
        <v>0</v>
      </c>
      <c r="P745">
        <v>0</v>
      </c>
    </row>
    <row r="746" spans="1:16" x14ac:dyDescent="0.3">
      <c r="A746" t="s">
        <v>858</v>
      </c>
      <c r="B746" t="s">
        <v>65</v>
      </c>
      <c r="C746">
        <f ca="1">IF(RAND()&lt;0.8,F_Baseline_data!C746,IF(RAND()&lt;0.85,F_Baseline_data!C746+1,IF(F_Baseline_data!C746&gt;3,C746-1,F_Baseline_data!C746)))</f>
        <v>4</v>
      </c>
      <c r="D746">
        <f ca="1">MAX(5000,ROUND(F_Baseline_data!D746*(1+_xlfn.NORM.INV(RAND(),0.12,0.1)),-2))</f>
        <v>30000</v>
      </c>
      <c r="E746" t="str">
        <f ca="1">IF(I746=1,IF(RAND()&lt;0.95,"Piped Water",F_Baseline_data!E746),F_Baseline_data!E746)</f>
        <v>Piped Water</v>
      </c>
      <c r="F746">
        <f t="shared" ca="1" si="22"/>
        <v>8</v>
      </c>
      <c r="G746">
        <v>9.5</v>
      </c>
      <c r="H746">
        <f ca="1">MAX(0,ROUND(F_Baseline_data!H746+(F_Baseline_data!C746-5)*200+(D746-30000)*0.015+(F746-50)*15-IF(I746=1,1200,0)+_xlfn.NORM.INV(RAND(),0,2500),-2))</f>
        <v>5200</v>
      </c>
      <c r="I746">
        <v>1</v>
      </c>
      <c r="J746">
        <f>1</f>
        <v>1</v>
      </c>
      <c r="K746">
        <f>1</f>
        <v>1</v>
      </c>
      <c r="L746">
        <v>0</v>
      </c>
      <c r="M746">
        <f t="shared" ca="1" si="23"/>
        <v>0.66319280486067045</v>
      </c>
      <c r="N746">
        <v>0</v>
      </c>
      <c r="O746">
        <v>0</v>
      </c>
      <c r="P746">
        <v>0</v>
      </c>
    </row>
    <row r="747" spans="1:16" x14ac:dyDescent="0.3">
      <c r="A747" t="s">
        <v>859</v>
      </c>
      <c r="B747" t="s">
        <v>62</v>
      </c>
      <c r="C747">
        <f ca="1">IF(RAND()&lt;0.8,F_Baseline_data!C747,IF(RAND()&lt;0.85,F_Baseline_data!C747+1,IF(F_Baseline_data!C747&gt;3,C747-1,F_Baseline_data!C747)))</f>
        <v>7</v>
      </c>
      <c r="D747">
        <f ca="1">MAX(5000,ROUND(F_Baseline_data!D747*(1+_xlfn.NORM.INV(RAND(),0.12,0.1)),-2))</f>
        <v>39400</v>
      </c>
      <c r="E747" t="str">
        <f ca="1">IF(I747=1,IF(RAND()&lt;0.95,"Piped Water",F_Baseline_data!E747),F_Baseline_data!E747)</f>
        <v>Piped Water</v>
      </c>
      <c r="F747">
        <f t="shared" ca="1" si="22"/>
        <v>1</v>
      </c>
      <c r="G747">
        <v>2.1</v>
      </c>
      <c r="H747">
        <f ca="1">MAX(0,ROUND(F_Baseline_data!H747+(F_Baseline_data!C747-5)*200+(D747-30000)*0.015+(F747-50)*15-IF(I747=1,1200,0)+_xlfn.NORM.INV(RAND(),0,2500),-2))</f>
        <v>7400</v>
      </c>
      <c r="I747">
        <v>1</v>
      </c>
      <c r="J747">
        <f>1</f>
        <v>1</v>
      </c>
      <c r="K747">
        <f>1</f>
        <v>1</v>
      </c>
      <c r="L747">
        <v>0</v>
      </c>
      <c r="M747">
        <f t="shared" ca="1" si="23"/>
        <v>4.0447841273025475E-2</v>
      </c>
      <c r="N747">
        <v>0</v>
      </c>
      <c r="O747">
        <v>0</v>
      </c>
      <c r="P747">
        <v>0</v>
      </c>
    </row>
    <row r="748" spans="1:16" x14ac:dyDescent="0.3">
      <c r="A748" t="s">
        <v>860</v>
      </c>
      <c r="B748" t="s">
        <v>64</v>
      </c>
      <c r="C748">
        <f ca="1">IF(RAND()&lt;0.8,F_Baseline_data!C748,IF(RAND()&lt;0.85,F_Baseline_data!C748+1,IF(F_Baseline_data!C748&gt;3,C748-1,F_Baseline_data!C748)))</f>
        <v>7</v>
      </c>
      <c r="D748">
        <f ca="1">MAX(5000,ROUND(F_Baseline_data!D748*(1+_xlfn.NORM.INV(RAND(),0.12,0.1)),-2))</f>
        <v>59300</v>
      </c>
      <c r="E748" t="str">
        <f ca="1">IF(I748=1,IF(RAND()&lt;0.95,"Piped Water",F_Baseline_data!E748),F_Baseline_data!E748)</f>
        <v>Piped Water</v>
      </c>
      <c r="F748">
        <f t="shared" ca="1" si="22"/>
        <v>5</v>
      </c>
      <c r="G748">
        <v>6.3</v>
      </c>
      <c r="H748">
        <f ca="1">MAX(0,ROUND(F_Baseline_data!H748+(F_Baseline_data!C748-5)*200+(D748-30000)*0.015+(F748-50)*15-IF(I748=1,1200,0)+_xlfn.NORM.INV(RAND(),0,2500),-2))</f>
        <v>3500</v>
      </c>
      <c r="I748">
        <v>1</v>
      </c>
      <c r="J748">
        <f>1</f>
        <v>1</v>
      </c>
      <c r="K748">
        <f>1</f>
        <v>1</v>
      </c>
      <c r="L748">
        <v>0</v>
      </c>
      <c r="M748">
        <f t="shared" ca="1" si="23"/>
        <v>0.68408934090862727</v>
      </c>
      <c r="N748">
        <v>0</v>
      </c>
      <c r="O748">
        <v>0</v>
      </c>
      <c r="P748">
        <v>0</v>
      </c>
    </row>
    <row r="749" spans="1:16" x14ac:dyDescent="0.3">
      <c r="A749" t="s">
        <v>861</v>
      </c>
      <c r="B749" t="s">
        <v>513</v>
      </c>
      <c r="C749">
        <f ca="1">IF(RAND()&lt;0.8,F_Baseline_data!C749,IF(RAND()&lt;0.85,F_Baseline_data!C749+1,IF(F_Baseline_data!C749&gt;3,C749-1,F_Baseline_data!C749)))</f>
        <v>8</v>
      </c>
      <c r="D749">
        <f ca="1">MAX(5000,ROUND(F_Baseline_data!D749*(1+_xlfn.NORM.INV(RAND(),0.12,0.1)),-2))</f>
        <v>17300</v>
      </c>
      <c r="E749" t="str">
        <f ca="1">IF(I749=1,IF(RAND()&lt;0.95,"Piped Water",F_Baseline_data!E749),F_Baseline_data!E749)</f>
        <v>Piped Water</v>
      </c>
      <c r="F749">
        <f t="shared" ca="1" si="22"/>
        <v>7</v>
      </c>
      <c r="G749">
        <v>1.8</v>
      </c>
      <c r="H749">
        <f ca="1">MAX(0,ROUND(F_Baseline_data!H749+(F_Baseline_data!C749-5)*200+(D749-30000)*0.015+(F749-50)*15-IF(I749=1,1200,0)+_xlfn.NORM.INV(RAND(),0,2500),-2))</f>
        <v>9900</v>
      </c>
      <c r="I749">
        <v>1</v>
      </c>
      <c r="J749">
        <f>1</f>
        <v>1</v>
      </c>
      <c r="K749">
        <f>1</f>
        <v>1</v>
      </c>
      <c r="L749">
        <v>0</v>
      </c>
      <c r="M749">
        <f t="shared" ca="1" si="23"/>
        <v>0.38220346177242437</v>
      </c>
      <c r="N749">
        <v>0</v>
      </c>
      <c r="O749">
        <v>0</v>
      </c>
      <c r="P749">
        <v>0</v>
      </c>
    </row>
    <row r="750" spans="1:16" x14ac:dyDescent="0.3">
      <c r="A750" t="s">
        <v>862</v>
      </c>
      <c r="B750" t="s">
        <v>64</v>
      </c>
      <c r="C750">
        <f ca="1">IF(RAND()&lt;0.8,F_Baseline_data!C750,IF(RAND()&lt;0.85,F_Baseline_data!C750+1,IF(F_Baseline_data!C750&gt;3,C750-1,F_Baseline_data!C750)))</f>
        <v>5</v>
      </c>
      <c r="D750">
        <f ca="1">MAX(5000,ROUND(F_Baseline_data!D750*(1+_xlfn.NORM.INV(RAND(),0.12,0.1)),-2))</f>
        <v>34000</v>
      </c>
      <c r="E750" t="str">
        <f ca="1">IF(I750=1,IF(RAND()&lt;0.95,"Piped Water",F_Baseline_data!E750),F_Baseline_data!E750)</f>
        <v>Piped Water</v>
      </c>
      <c r="F750">
        <f t="shared" ca="1" si="22"/>
        <v>10</v>
      </c>
      <c r="G750">
        <v>9.6999999999999993</v>
      </c>
      <c r="H750">
        <f ca="1">MAX(0,ROUND(F_Baseline_data!H750+(F_Baseline_data!C750-5)*200+(D750-30000)*0.015+(F750-50)*15-IF(I750=1,1200,0)+_xlfn.NORM.INV(RAND(),0,2500),-2))</f>
        <v>6800</v>
      </c>
      <c r="I750">
        <v>1</v>
      </c>
      <c r="J750">
        <f>1</f>
        <v>1</v>
      </c>
      <c r="K750">
        <f>1</f>
        <v>1</v>
      </c>
      <c r="L750">
        <v>0</v>
      </c>
      <c r="M750">
        <f t="shared" ca="1" si="23"/>
        <v>0.59508802826758023</v>
      </c>
      <c r="N750">
        <v>0</v>
      </c>
      <c r="O750">
        <v>0</v>
      </c>
      <c r="P750">
        <v>0</v>
      </c>
    </row>
    <row r="751" spans="1:16" x14ac:dyDescent="0.3">
      <c r="A751" t="s">
        <v>863</v>
      </c>
      <c r="B751" t="s">
        <v>62</v>
      </c>
      <c r="C751">
        <f ca="1">IF(RAND()&lt;0.8,F_Baseline_data!C751,IF(RAND()&lt;0.85,F_Baseline_data!C751+1,IF(F_Baseline_data!C751&gt;3,C751-1,F_Baseline_data!C751)))</f>
        <v>7</v>
      </c>
      <c r="D751">
        <f ca="1">MAX(5000,ROUND(F_Baseline_data!D751*(1+_xlfn.NORM.INV(RAND(),0.12,0.1)),-2))</f>
        <v>35000</v>
      </c>
      <c r="E751" t="str">
        <f ca="1">IF(I751=1,IF(RAND()&lt;0.95,"Piped Water",F_Baseline_data!E751),F_Baseline_data!E751)</f>
        <v>Piped Water</v>
      </c>
      <c r="F751">
        <f t="shared" ca="1" si="22"/>
        <v>2</v>
      </c>
      <c r="G751">
        <v>0.2</v>
      </c>
      <c r="H751">
        <f ca="1">MAX(0,ROUND(F_Baseline_data!H751+(F_Baseline_data!C751-5)*200+(D751-30000)*0.015+(F751-50)*15-IF(I751=1,1200,0)+_xlfn.NORM.INV(RAND(),0,2500),-2))</f>
        <v>4600</v>
      </c>
      <c r="I751">
        <v>1</v>
      </c>
      <c r="J751">
        <f>1</f>
        <v>1</v>
      </c>
      <c r="K751">
        <f>1</f>
        <v>1</v>
      </c>
      <c r="L751">
        <v>0</v>
      </c>
      <c r="M751">
        <f t="shared" ca="1" si="23"/>
        <v>0.12795311227443318</v>
      </c>
      <c r="N751">
        <v>0</v>
      </c>
      <c r="O751">
        <v>0</v>
      </c>
      <c r="P751">
        <v>0</v>
      </c>
    </row>
    <row r="752" spans="1:16" x14ac:dyDescent="0.3">
      <c r="A752" t="s">
        <v>864</v>
      </c>
      <c r="B752" t="s">
        <v>64</v>
      </c>
      <c r="C752">
        <f ca="1">IF(RAND()&lt;0.8,F_Baseline_data!C752,IF(RAND()&lt;0.85,F_Baseline_data!C752+1,IF(F_Baseline_data!C752&gt;3,C752-1,F_Baseline_data!C752)))</f>
        <v>6</v>
      </c>
      <c r="D752">
        <f ca="1">MAX(5000,ROUND(F_Baseline_data!D752*(1+_xlfn.NORM.INV(RAND(),0.12,0.1)),-2))</f>
        <v>27900</v>
      </c>
      <c r="E752" t="str">
        <f ca="1">IF(I752=1,IF(RAND()&lt;0.95,"Piped Water",F_Baseline_data!E752),F_Baseline_data!E752)</f>
        <v>Piped Water</v>
      </c>
      <c r="F752">
        <f t="shared" ca="1" si="22"/>
        <v>3</v>
      </c>
      <c r="G752">
        <v>10.5</v>
      </c>
      <c r="H752">
        <f ca="1">MAX(0,ROUND(F_Baseline_data!H752+(F_Baseline_data!C752-5)*200+(D752-30000)*0.015+(F752-50)*15-IF(I752=1,1200,0)+_xlfn.NORM.INV(RAND(),0,2500),-2))</f>
        <v>1400</v>
      </c>
      <c r="I752">
        <v>1</v>
      </c>
      <c r="J752">
        <f>1</f>
        <v>1</v>
      </c>
      <c r="K752">
        <f>1</f>
        <v>1</v>
      </c>
      <c r="L752">
        <v>0</v>
      </c>
      <c r="M752">
        <f t="shared" ca="1" si="23"/>
        <v>8.7841383017281283E-2</v>
      </c>
      <c r="N752">
        <v>0</v>
      </c>
      <c r="O752">
        <v>0</v>
      </c>
      <c r="P752">
        <v>0</v>
      </c>
    </row>
    <row r="753" spans="1:16" x14ac:dyDescent="0.3">
      <c r="A753" t="s">
        <v>865</v>
      </c>
      <c r="B753" t="s">
        <v>64</v>
      </c>
      <c r="C753">
        <f ca="1">IF(RAND()&lt;0.8,F_Baseline_data!C753,IF(RAND()&lt;0.85,F_Baseline_data!C753+1,IF(F_Baseline_data!C753&gt;3,C753-1,F_Baseline_data!C753)))</f>
        <v>5</v>
      </c>
      <c r="D753">
        <f ca="1">MAX(5000,ROUND(F_Baseline_data!D753*(1+_xlfn.NORM.INV(RAND(),0.12,0.1)),-2))</f>
        <v>62400</v>
      </c>
      <c r="E753" t="str">
        <f ca="1">IF(I753=1,IF(RAND()&lt;0.95,"Piped Water",F_Baseline_data!E753),F_Baseline_data!E753)</f>
        <v>Piped Water</v>
      </c>
      <c r="F753">
        <f t="shared" ca="1" si="22"/>
        <v>5</v>
      </c>
      <c r="G753">
        <v>3.4</v>
      </c>
      <c r="H753">
        <f ca="1">MAX(0,ROUND(F_Baseline_data!H753+(F_Baseline_data!C753-5)*200+(D753-30000)*0.015+(F753-50)*15-IF(I753=1,1200,0)+_xlfn.NORM.INV(RAND(),0,2500),-2))</f>
        <v>0</v>
      </c>
      <c r="I753">
        <v>1</v>
      </c>
      <c r="J753">
        <f>1</f>
        <v>1</v>
      </c>
      <c r="K753">
        <f>1</f>
        <v>1</v>
      </c>
      <c r="L753">
        <v>0</v>
      </c>
      <c r="M753">
        <f t="shared" ca="1" si="23"/>
        <v>0.977732986284371</v>
      </c>
      <c r="N753">
        <v>0</v>
      </c>
      <c r="O753">
        <v>0</v>
      </c>
      <c r="P753">
        <v>0</v>
      </c>
    </row>
    <row r="754" spans="1:16" x14ac:dyDescent="0.3">
      <c r="A754" t="s">
        <v>866</v>
      </c>
      <c r="B754" t="s">
        <v>65</v>
      </c>
      <c r="C754">
        <f ca="1">IF(RAND()&lt;0.8,F_Baseline_data!C754,IF(RAND()&lt;0.85,F_Baseline_data!C754+1,IF(F_Baseline_data!C754&gt;3,C754-1,F_Baseline_data!C754)))</f>
        <v>9</v>
      </c>
      <c r="D754">
        <f ca="1">MAX(5000,ROUND(F_Baseline_data!D754*(1+_xlfn.NORM.INV(RAND(),0.12,0.1)),-2))</f>
        <v>10200</v>
      </c>
      <c r="E754" t="str">
        <f ca="1">IF(I754=1,IF(RAND()&lt;0.95,"Piped Water",F_Baseline_data!E754),F_Baseline_data!E754)</f>
        <v>Piped Water</v>
      </c>
      <c r="F754">
        <f t="shared" ca="1" si="22"/>
        <v>0</v>
      </c>
      <c r="G754">
        <v>0.8</v>
      </c>
      <c r="H754">
        <f ca="1">MAX(0,ROUND(F_Baseline_data!H754+(F_Baseline_data!C754-5)*200+(D754-30000)*0.015+(F754-50)*15-IF(I754=1,1200,0)+_xlfn.NORM.INV(RAND(),0,2500),-2))</f>
        <v>5400</v>
      </c>
      <c r="I754">
        <v>1</v>
      </c>
      <c r="J754">
        <f>1</f>
        <v>1</v>
      </c>
      <c r="K754">
        <f>1</f>
        <v>1</v>
      </c>
      <c r="L754">
        <v>0</v>
      </c>
      <c r="M754">
        <f t="shared" ca="1" si="23"/>
        <v>0.50358552579205595</v>
      </c>
      <c r="N754">
        <v>0</v>
      </c>
      <c r="O754">
        <v>0</v>
      </c>
      <c r="P754">
        <v>0</v>
      </c>
    </row>
    <row r="755" spans="1:16" x14ac:dyDescent="0.3">
      <c r="A755" t="s">
        <v>867</v>
      </c>
      <c r="B755" t="s">
        <v>62</v>
      </c>
      <c r="C755">
        <f ca="1">IF(RAND()&lt;0.8,F_Baseline_data!C755,IF(RAND()&lt;0.85,F_Baseline_data!C755+1,IF(F_Baseline_data!C755&gt;3,C755-1,F_Baseline_data!C755)))</f>
        <v>5</v>
      </c>
      <c r="D755">
        <f ca="1">MAX(5000,ROUND(F_Baseline_data!D755*(1+_xlfn.NORM.INV(RAND(),0.12,0.1)),-2))</f>
        <v>55200</v>
      </c>
      <c r="E755" t="str">
        <f ca="1">IF(I755=1,IF(RAND()&lt;0.95,"Piped Water",F_Baseline_data!E755),F_Baseline_data!E755)</f>
        <v>Piped Water</v>
      </c>
      <c r="F755">
        <f t="shared" ca="1" si="22"/>
        <v>10</v>
      </c>
      <c r="G755">
        <v>6.5</v>
      </c>
      <c r="H755">
        <f ca="1">MAX(0,ROUND(F_Baseline_data!H755+(F_Baseline_data!C755-5)*200+(D755-30000)*0.015+(F755-50)*15-IF(I755=1,1200,0)+_xlfn.NORM.INV(RAND(),0,2500),-2))</f>
        <v>7000</v>
      </c>
      <c r="I755">
        <v>1</v>
      </c>
      <c r="J755">
        <f>1</f>
        <v>1</v>
      </c>
      <c r="K755">
        <f>1</f>
        <v>1</v>
      </c>
      <c r="L755">
        <v>0</v>
      </c>
      <c r="M755">
        <f t="shared" ca="1" si="23"/>
        <v>0.64324220076132121</v>
      </c>
      <c r="N755">
        <v>0</v>
      </c>
      <c r="O755">
        <v>0</v>
      </c>
      <c r="P755">
        <v>0</v>
      </c>
    </row>
    <row r="756" spans="1:16" x14ac:dyDescent="0.3">
      <c r="A756" t="s">
        <v>868</v>
      </c>
      <c r="B756" t="s">
        <v>65</v>
      </c>
      <c r="C756">
        <f ca="1">IF(RAND()&lt;0.8,F_Baseline_data!C756,IF(RAND()&lt;0.85,F_Baseline_data!C756+1,IF(F_Baseline_data!C756&gt;3,C756-1,F_Baseline_data!C756)))</f>
        <v>4</v>
      </c>
      <c r="D756">
        <f ca="1">MAX(5000,ROUND(F_Baseline_data!D756*(1+_xlfn.NORM.INV(RAND(),0.12,0.1)),-2))</f>
        <v>66700</v>
      </c>
      <c r="E756" t="str">
        <f ca="1">IF(I756=1,IF(RAND()&lt;0.95,"Piped Water",F_Baseline_data!E756),F_Baseline_data!E756)</f>
        <v>Borehole</v>
      </c>
      <c r="F756">
        <f t="shared" ca="1" si="22"/>
        <v>38</v>
      </c>
      <c r="G756">
        <v>13.1</v>
      </c>
      <c r="H756">
        <f ca="1">MAX(0,ROUND(F_Baseline_data!H756+(F_Baseline_data!C756-5)*200+(D756-30000)*0.015+(F756-50)*15-IF(I756=1,1200,0)+_xlfn.NORM.INV(RAND(),0,2500),-2))</f>
        <v>4900</v>
      </c>
      <c r="I756">
        <v>1</v>
      </c>
      <c r="J756">
        <f>1</f>
        <v>1</v>
      </c>
      <c r="K756">
        <f>1</f>
        <v>1</v>
      </c>
      <c r="L756">
        <v>0</v>
      </c>
      <c r="M756">
        <f t="shared" ca="1" si="23"/>
        <v>0.89389694299930211</v>
      </c>
      <c r="N756">
        <v>0</v>
      </c>
      <c r="O756">
        <v>0</v>
      </c>
      <c r="P756">
        <v>0</v>
      </c>
    </row>
    <row r="757" spans="1:16" x14ac:dyDescent="0.3">
      <c r="A757" t="s">
        <v>869</v>
      </c>
      <c r="B757" t="s">
        <v>62</v>
      </c>
      <c r="C757">
        <f ca="1">IF(RAND()&lt;0.8,F_Baseline_data!C757,IF(RAND()&lt;0.85,F_Baseline_data!C757+1,IF(F_Baseline_data!C757&gt;3,C757-1,F_Baseline_data!C757)))</f>
        <v>4</v>
      </c>
      <c r="D757">
        <f ca="1">MAX(5000,ROUND(F_Baseline_data!D757*(1+_xlfn.NORM.INV(RAND(),0.12,0.1)),-2))</f>
        <v>22300</v>
      </c>
      <c r="E757" t="str">
        <f ca="1">IF(I757=1,IF(RAND()&lt;0.95,"Piped Water",F_Baseline_data!E757),F_Baseline_data!E757)</f>
        <v>Piped Water</v>
      </c>
      <c r="F757">
        <f t="shared" ca="1" si="22"/>
        <v>3</v>
      </c>
      <c r="G757">
        <v>6.7</v>
      </c>
      <c r="H757">
        <f ca="1">MAX(0,ROUND(F_Baseline_data!H757+(F_Baseline_data!C757-5)*200+(D757-30000)*0.015+(F757-50)*15-IF(I757=1,1200,0)+_xlfn.NORM.INV(RAND(),0,2500),-2))</f>
        <v>5500</v>
      </c>
      <c r="I757">
        <v>1</v>
      </c>
      <c r="J757">
        <f>1</f>
        <v>1</v>
      </c>
      <c r="K757">
        <f>1</f>
        <v>1</v>
      </c>
      <c r="L757">
        <v>0</v>
      </c>
      <c r="M757">
        <f t="shared" ca="1" si="23"/>
        <v>0.34241382998679348</v>
      </c>
      <c r="N757">
        <v>0</v>
      </c>
      <c r="O757">
        <v>0</v>
      </c>
      <c r="P757">
        <v>0</v>
      </c>
    </row>
    <row r="758" spans="1:16" x14ac:dyDescent="0.3">
      <c r="A758" t="s">
        <v>870</v>
      </c>
      <c r="B758" t="s">
        <v>62</v>
      </c>
      <c r="C758">
        <f ca="1">IF(RAND()&lt;0.8,F_Baseline_data!C758,IF(RAND()&lt;0.85,F_Baseline_data!C758+1,IF(F_Baseline_data!C758&gt;3,C758-1,F_Baseline_data!C758)))</f>
        <v>2</v>
      </c>
      <c r="D758">
        <f ca="1">MAX(5000,ROUND(F_Baseline_data!D758*(1+_xlfn.NORM.INV(RAND(),0.12,0.1)),-2))</f>
        <v>17400</v>
      </c>
      <c r="E758" t="str">
        <f ca="1">IF(I758=1,IF(RAND()&lt;0.95,"Piped Water",F_Baseline_data!E758),F_Baseline_data!E758)</f>
        <v>Piped Water</v>
      </c>
      <c r="F758">
        <f t="shared" ca="1" si="22"/>
        <v>8</v>
      </c>
      <c r="G758">
        <v>4.7</v>
      </c>
      <c r="H758">
        <f ca="1">MAX(0,ROUND(F_Baseline_data!H758+(F_Baseline_data!C758-5)*200+(D758-30000)*0.015+(F758-50)*15-IF(I758=1,1200,0)+_xlfn.NORM.INV(RAND(),0,2500),-2))</f>
        <v>8700</v>
      </c>
      <c r="I758">
        <v>1</v>
      </c>
      <c r="J758">
        <f>1</f>
        <v>1</v>
      </c>
      <c r="K758">
        <f>1</f>
        <v>1</v>
      </c>
      <c r="L758">
        <v>0</v>
      </c>
      <c r="M758">
        <f t="shared" ca="1" si="23"/>
        <v>0.3525328423264934</v>
      </c>
      <c r="N758">
        <v>0</v>
      </c>
      <c r="O758">
        <v>0</v>
      </c>
      <c r="P758">
        <v>0</v>
      </c>
    </row>
    <row r="759" spans="1:16" x14ac:dyDescent="0.3">
      <c r="A759" t="s">
        <v>871</v>
      </c>
      <c r="B759" t="s">
        <v>62</v>
      </c>
      <c r="C759">
        <f ca="1">IF(RAND()&lt;0.8,F_Baseline_data!C759,IF(RAND()&lt;0.85,F_Baseline_data!C759+1,IF(F_Baseline_data!C759&gt;3,C759-1,F_Baseline_data!C759)))</f>
        <v>3</v>
      </c>
      <c r="D759">
        <f ca="1">MAX(5000,ROUND(F_Baseline_data!D759*(1+_xlfn.NORM.INV(RAND(),0.12,0.1)),-2))</f>
        <v>56800</v>
      </c>
      <c r="E759" t="str">
        <f ca="1">IF(I759=1,IF(RAND()&lt;0.95,"Piped Water",F_Baseline_data!E759),F_Baseline_data!E759)</f>
        <v>Piped Water</v>
      </c>
      <c r="F759">
        <f t="shared" ca="1" si="22"/>
        <v>0</v>
      </c>
      <c r="G759">
        <v>8.1999999999999993</v>
      </c>
      <c r="H759">
        <f ca="1">MAX(0,ROUND(F_Baseline_data!H759+(F_Baseline_data!C759-5)*200+(D759-30000)*0.015+(F759-50)*15-IF(I759=1,1200,0)+_xlfn.NORM.INV(RAND(),0,2500),-2))</f>
        <v>0</v>
      </c>
      <c r="I759">
        <v>1</v>
      </c>
      <c r="J759">
        <f>1</f>
        <v>1</v>
      </c>
      <c r="K759">
        <f>1</f>
        <v>1</v>
      </c>
      <c r="L759">
        <v>0</v>
      </c>
      <c r="M759">
        <f t="shared" ca="1" si="23"/>
        <v>0.19939635969446978</v>
      </c>
      <c r="N759">
        <v>0</v>
      </c>
      <c r="O759">
        <v>0</v>
      </c>
      <c r="P759">
        <v>0</v>
      </c>
    </row>
    <row r="760" spans="1:16" x14ac:dyDescent="0.3">
      <c r="A760" t="s">
        <v>872</v>
      </c>
      <c r="B760" t="s">
        <v>64</v>
      </c>
      <c r="C760">
        <f ca="1">IF(RAND()&lt;0.8,F_Baseline_data!C760,IF(RAND()&lt;0.85,F_Baseline_data!C760+1,IF(F_Baseline_data!C760&gt;3,C760-1,F_Baseline_data!C760)))</f>
        <v>4</v>
      </c>
      <c r="D760">
        <f ca="1">MAX(5000,ROUND(F_Baseline_data!D760*(1+_xlfn.NORM.INV(RAND(),0.12,0.1)),-2))</f>
        <v>49300</v>
      </c>
      <c r="E760" t="str">
        <f ca="1">IF(I760=1,IF(RAND()&lt;0.95,"Piped Water",F_Baseline_data!E760),F_Baseline_data!E760)</f>
        <v>Piped Water</v>
      </c>
      <c r="F760">
        <f t="shared" ca="1" si="22"/>
        <v>2</v>
      </c>
      <c r="G760">
        <v>1.4</v>
      </c>
      <c r="H760">
        <f ca="1">MAX(0,ROUND(F_Baseline_data!H760+(F_Baseline_data!C760-5)*200+(D760-30000)*0.015+(F760-50)*15-IF(I760=1,1200,0)+_xlfn.NORM.INV(RAND(),0,2500),-2))</f>
        <v>2100</v>
      </c>
      <c r="I760">
        <v>1</v>
      </c>
      <c r="J760">
        <f>1</f>
        <v>1</v>
      </c>
      <c r="K760">
        <f>1</f>
        <v>1</v>
      </c>
      <c r="L760">
        <v>0</v>
      </c>
      <c r="M760">
        <f t="shared" ca="1" si="23"/>
        <v>0.68288891974851129</v>
      </c>
      <c r="N760">
        <v>0</v>
      </c>
      <c r="O760">
        <v>0</v>
      </c>
      <c r="P760">
        <v>0</v>
      </c>
    </row>
    <row r="761" spans="1:16" x14ac:dyDescent="0.3">
      <c r="A761" t="s">
        <v>873</v>
      </c>
      <c r="B761" t="s">
        <v>65</v>
      </c>
      <c r="C761">
        <f ca="1">IF(RAND()&lt;0.8,F_Baseline_data!C761,IF(RAND()&lt;0.85,F_Baseline_data!C761+1,IF(F_Baseline_data!C761&gt;3,C761-1,F_Baseline_data!C761)))</f>
        <v>6</v>
      </c>
      <c r="D761">
        <f ca="1">MAX(5000,ROUND(F_Baseline_data!D761*(1+_xlfn.NORM.INV(RAND(),0.12,0.1)),-2))</f>
        <v>64400</v>
      </c>
      <c r="E761" t="str">
        <f ca="1">IF(I761=1,IF(RAND()&lt;0.95,"Piped Water",F_Baseline_data!E761),F_Baseline_data!E761)</f>
        <v>Piped Water</v>
      </c>
      <c r="F761">
        <f t="shared" ca="1" si="22"/>
        <v>8</v>
      </c>
      <c r="G761">
        <v>8.8000000000000007</v>
      </c>
      <c r="H761">
        <f ca="1">MAX(0,ROUND(F_Baseline_data!H761+(F_Baseline_data!C761-5)*200+(D761-30000)*0.015+(F761-50)*15-IF(I761=1,1200,0)+_xlfn.NORM.INV(RAND(),0,2500),-2))</f>
        <v>5400</v>
      </c>
      <c r="I761">
        <v>1</v>
      </c>
      <c r="J761">
        <f>1</f>
        <v>1</v>
      </c>
      <c r="K761">
        <f>1</f>
        <v>1</v>
      </c>
      <c r="L761">
        <v>0</v>
      </c>
      <c r="M761">
        <f t="shared" ca="1" si="23"/>
        <v>0.92080123862711161</v>
      </c>
      <c r="N761">
        <v>0</v>
      </c>
      <c r="O761">
        <v>0</v>
      </c>
      <c r="P761">
        <v>0</v>
      </c>
    </row>
    <row r="762" spans="1:16" x14ac:dyDescent="0.3">
      <c r="A762" t="s">
        <v>874</v>
      </c>
      <c r="B762" t="s">
        <v>62</v>
      </c>
      <c r="C762">
        <f ca="1">IF(RAND()&lt;0.8,F_Baseline_data!C762,IF(RAND()&lt;0.85,F_Baseline_data!C762+1,IF(F_Baseline_data!C762&gt;3,C762-1,F_Baseline_data!C762)))</f>
        <v>7</v>
      </c>
      <c r="D762">
        <f ca="1">MAX(5000,ROUND(F_Baseline_data!D762*(1+_xlfn.NORM.INV(RAND(),0.12,0.1)),-2))</f>
        <v>74300</v>
      </c>
      <c r="E762" t="str">
        <f ca="1">IF(I762=1,IF(RAND()&lt;0.95,"Piped Water",F_Baseline_data!E762),F_Baseline_data!E762)</f>
        <v>Piped Water</v>
      </c>
      <c r="F762">
        <f t="shared" ca="1" si="22"/>
        <v>1</v>
      </c>
      <c r="G762">
        <v>4</v>
      </c>
      <c r="H762">
        <f ca="1">MAX(0,ROUND(F_Baseline_data!H762+(F_Baseline_data!C762-5)*200+(D762-30000)*0.015+(F762-50)*15-IF(I762=1,1200,0)+_xlfn.NORM.INV(RAND(),0,2500),-2))</f>
        <v>9600</v>
      </c>
      <c r="I762">
        <v>1</v>
      </c>
      <c r="J762">
        <f>1</f>
        <v>1</v>
      </c>
      <c r="K762">
        <f>1</f>
        <v>1</v>
      </c>
      <c r="L762">
        <v>0</v>
      </c>
      <c r="M762">
        <f t="shared" ca="1" si="23"/>
        <v>0.95629318614379755</v>
      </c>
      <c r="N762">
        <v>0</v>
      </c>
      <c r="O762">
        <v>0</v>
      </c>
      <c r="P762">
        <v>0</v>
      </c>
    </row>
    <row r="763" spans="1:16" x14ac:dyDescent="0.3">
      <c r="A763" t="s">
        <v>875</v>
      </c>
      <c r="B763" t="s">
        <v>513</v>
      </c>
      <c r="C763">
        <f ca="1">IF(RAND()&lt;0.8,F_Baseline_data!C763,IF(RAND()&lt;0.85,F_Baseline_data!C763+1,IF(F_Baseline_data!C763&gt;3,C763-1,F_Baseline_data!C763)))</f>
        <v>4</v>
      </c>
      <c r="D763">
        <f ca="1">MAX(5000,ROUND(F_Baseline_data!D763*(1+_xlfn.NORM.INV(RAND(),0.12,0.1)),-2))</f>
        <v>27500</v>
      </c>
      <c r="E763" t="str">
        <f ca="1">IF(I763=1,IF(RAND()&lt;0.95,"Piped Water",F_Baseline_data!E763),F_Baseline_data!E763)</f>
        <v>Piped Water</v>
      </c>
      <c r="F763">
        <f t="shared" ca="1" si="22"/>
        <v>7</v>
      </c>
      <c r="G763">
        <v>8.8000000000000007</v>
      </c>
      <c r="H763">
        <f ca="1">MAX(0,ROUND(F_Baseline_data!H763+(F_Baseline_data!C763-5)*200+(D763-30000)*0.015+(F763-50)*15-IF(I763=1,1200,0)+_xlfn.NORM.INV(RAND(),0,2500),-2))</f>
        <v>100</v>
      </c>
      <c r="I763">
        <v>1</v>
      </c>
      <c r="J763">
        <f>1</f>
        <v>1</v>
      </c>
      <c r="K763">
        <f>1</f>
        <v>1</v>
      </c>
      <c r="L763">
        <v>0</v>
      </c>
      <c r="M763">
        <f t="shared" ca="1" si="23"/>
        <v>0.13777673022379122</v>
      </c>
      <c r="N763">
        <v>0</v>
      </c>
      <c r="O763">
        <v>0</v>
      </c>
      <c r="P763">
        <v>0</v>
      </c>
    </row>
    <row r="764" spans="1:16" x14ac:dyDescent="0.3">
      <c r="A764" t="s">
        <v>876</v>
      </c>
      <c r="B764" t="s">
        <v>65</v>
      </c>
      <c r="C764">
        <f ca="1">IF(RAND()&lt;0.8,F_Baseline_data!C764,IF(RAND()&lt;0.85,F_Baseline_data!C764+1,IF(F_Baseline_data!C764&gt;3,C764-1,F_Baseline_data!C764)))</f>
        <v>5</v>
      </c>
      <c r="D764">
        <f ca="1">MAX(5000,ROUND(F_Baseline_data!D764*(1+_xlfn.NORM.INV(RAND(),0.12,0.1)),-2))</f>
        <v>34200</v>
      </c>
      <c r="E764" t="str">
        <f ca="1">IF(I764=1,IF(RAND()&lt;0.95,"Piped Water",F_Baseline_data!E764),F_Baseline_data!E764)</f>
        <v>Piped Water</v>
      </c>
      <c r="F764">
        <f t="shared" ca="1" si="22"/>
        <v>1</v>
      </c>
      <c r="G764">
        <v>7.7</v>
      </c>
      <c r="H764">
        <f ca="1">MAX(0,ROUND(F_Baseline_data!H764+(F_Baseline_data!C764-5)*200+(D764-30000)*0.015+(F764-50)*15-IF(I764=1,1200,0)+_xlfn.NORM.INV(RAND(),0,2500),-2))</f>
        <v>1800</v>
      </c>
      <c r="I764">
        <v>1</v>
      </c>
      <c r="J764">
        <f>1</f>
        <v>1</v>
      </c>
      <c r="K764">
        <f>1</f>
        <v>1</v>
      </c>
      <c r="L764">
        <v>0</v>
      </c>
      <c r="M764">
        <f t="shared" ca="1" si="23"/>
        <v>0.57159625511650536</v>
      </c>
      <c r="N764">
        <v>0</v>
      </c>
      <c r="O764">
        <v>0</v>
      </c>
      <c r="P764">
        <v>0</v>
      </c>
    </row>
    <row r="765" spans="1:16" x14ac:dyDescent="0.3">
      <c r="A765" t="s">
        <v>877</v>
      </c>
      <c r="B765" t="s">
        <v>64</v>
      </c>
      <c r="C765">
        <f ca="1">IF(RAND()&lt;0.8,F_Baseline_data!C765,IF(RAND()&lt;0.85,F_Baseline_data!C765+1,IF(F_Baseline_data!C765&gt;3,C765-1,F_Baseline_data!C765)))</f>
        <v>7</v>
      </c>
      <c r="D765">
        <f ca="1">MAX(5000,ROUND(F_Baseline_data!D765*(1+_xlfn.NORM.INV(RAND(),0.12,0.1)),-2))</f>
        <v>139400</v>
      </c>
      <c r="E765" t="str">
        <f ca="1">IF(I765=1,IF(RAND()&lt;0.95,"Piped Water",F_Baseline_data!E765),F_Baseline_data!E765)</f>
        <v>Piped Water</v>
      </c>
      <c r="F765">
        <f t="shared" ca="1" si="22"/>
        <v>5</v>
      </c>
      <c r="G765">
        <v>2.2000000000000002</v>
      </c>
      <c r="H765">
        <f ca="1">MAX(0,ROUND(F_Baseline_data!H765+(F_Baseline_data!C765-5)*200+(D765-30000)*0.015+(F765-50)*15-IF(I765=1,1200,0)+_xlfn.NORM.INV(RAND(),0,2500),-2))</f>
        <v>16700</v>
      </c>
      <c r="I765">
        <v>1</v>
      </c>
      <c r="J765">
        <f>1</f>
        <v>1</v>
      </c>
      <c r="K765">
        <f>1</f>
        <v>1</v>
      </c>
      <c r="L765">
        <v>0</v>
      </c>
      <c r="M765">
        <f t="shared" ca="1" si="23"/>
        <v>0.73780689938793098</v>
      </c>
      <c r="N765">
        <v>0</v>
      </c>
      <c r="O765">
        <v>0</v>
      </c>
      <c r="P765">
        <v>0</v>
      </c>
    </row>
    <row r="766" spans="1:16" x14ac:dyDescent="0.3">
      <c r="A766" t="s">
        <v>878</v>
      </c>
      <c r="B766" t="s">
        <v>513</v>
      </c>
      <c r="C766">
        <f ca="1">IF(RAND()&lt;0.8,F_Baseline_data!C766,IF(RAND()&lt;0.85,F_Baseline_data!C766+1,IF(F_Baseline_data!C766&gt;3,C766-1,F_Baseline_data!C766)))</f>
        <v>5</v>
      </c>
      <c r="D766">
        <f ca="1">MAX(5000,ROUND(F_Baseline_data!D766*(1+_xlfn.NORM.INV(RAND(),0.12,0.1)),-2))</f>
        <v>57500</v>
      </c>
      <c r="E766" t="str">
        <f ca="1">IF(I766=1,IF(RAND()&lt;0.95,"Piped Water",F_Baseline_data!E766),F_Baseline_data!E766)</f>
        <v>Piped Water</v>
      </c>
      <c r="F766">
        <f t="shared" ca="1" si="22"/>
        <v>6</v>
      </c>
      <c r="G766">
        <v>10.199999999999999</v>
      </c>
      <c r="H766">
        <f ca="1">MAX(0,ROUND(F_Baseline_data!H766+(F_Baseline_data!C766-5)*200+(D766-30000)*0.015+(F766-50)*15-IF(I766=1,1200,0)+_xlfn.NORM.INV(RAND(),0,2500),-2))</f>
        <v>8800</v>
      </c>
      <c r="I766">
        <v>1</v>
      </c>
      <c r="J766">
        <f>1</f>
        <v>1</v>
      </c>
      <c r="K766">
        <f>1</f>
        <v>1</v>
      </c>
      <c r="L766">
        <v>0</v>
      </c>
      <c r="M766">
        <f t="shared" ca="1" si="23"/>
        <v>9.2922916706591474E-2</v>
      </c>
      <c r="N766">
        <v>0</v>
      </c>
      <c r="O766">
        <v>0</v>
      </c>
      <c r="P766">
        <v>0</v>
      </c>
    </row>
    <row r="767" spans="1:16" x14ac:dyDescent="0.3">
      <c r="A767" t="s">
        <v>879</v>
      </c>
      <c r="B767" t="s">
        <v>65</v>
      </c>
      <c r="C767">
        <f ca="1">IF(RAND()&lt;0.8,F_Baseline_data!C767,IF(RAND()&lt;0.85,F_Baseline_data!C767+1,IF(F_Baseline_data!C767&gt;3,C767-1,F_Baseline_data!C767)))</f>
        <v>3</v>
      </c>
      <c r="D767">
        <f ca="1">MAX(5000,ROUND(F_Baseline_data!D767*(1+_xlfn.NORM.INV(RAND(),0.12,0.1)),-2))</f>
        <v>73000</v>
      </c>
      <c r="E767" t="str">
        <f ca="1">IF(I767=1,IF(RAND()&lt;0.95,"Piped Water",F_Baseline_data!E767),F_Baseline_data!E767)</f>
        <v>Piped Water</v>
      </c>
      <c r="F767">
        <f t="shared" ca="1" si="22"/>
        <v>5</v>
      </c>
      <c r="G767">
        <v>7</v>
      </c>
      <c r="H767">
        <f ca="1">MAX(0,ROUND(F_Baseline_data!H767+(F_Baseline_data!C767-5)*200+(D767-30000)*0.015+(F767-50)*15-IF(I767=1,1200,0)+_xlfn.NORM.INV(RAND(),0,2500),-2))</f>
        <v>3800</v>
      </c>
      <c r="I767">
        <v>1</v>
      </c>
      <c r="J767">
        <f>1</f>
        <v>1</v>
      </c>
      <c r="K767">
        <f>1</f>
        <v>1</v>
      </c>
      <c r="L767">
        <v>0</v>
      </c>
      <c r="M767">
        <f t="shared" ca="1" si="23"/>
        <v>0.37647283006502363</v>
      </c>
      <c r="N767">
        <v>0</v>
      </c>
      <c r="O767">
        <v>0</v>
      </c>
      <c r="P767">
        <v>0</v>
      </c>
    </row>
    <row r="768" spans="1:16" x14ac:dyDescent="0.3">
      <c r="A768" t="s">
        <v>880</v>
      </c>
      <c r="B768" t="s">
        <v>513</v>
      </c>
      <c r="C768">
        <f ca="1">IF(RAND()&lt;0.8,F_Baseline_data!C768,IF(RAND()&lt;0.85,F_Baseline_data!C768+1,IF(F_Baseline_data!C768&gt;3,C768-1,F_Baseline_data!C768)))</f>
        <v>6</v>
      </c>
      <c r="D768">
        <f ca="1">MAX(5000,ROUND(F_Baseline_data!D768*(1+_xlfn.NORM.INV(RAND(),0.12,0.1)),-2))</f>
        <v>52200</v>
      </c>
      <c r="E768" t="str">
        <f ca="1">IF(I768=1,IF(RAND()&lt;0.95,"Piped Water",F_Baseline_data!E768),F_Baseline_data!E768)</f>
        <v>Piped Water</v>
      </c>
      <c r="F768">
        <f t="shared" ca="1" si="22"/>
        <v>4</v>
      </c>
      <c r="G768">
        <v>5</v>
      </c>
      <c r="H768">
        <f ca="1">MAX(0,ROUND(F_Baseline_data!H768+(F_Baseline_data!C768-5)*200+(D768-30000)*0.015+(F768-50)*15-IF(I768=1,1200,0)+_xlfn.NORM.INV(RAND(),0,2500),-2))</f>
        <v>8600</v>
      </c>
      <c r="I768">
        <v>1</v>
      </c>
      <c r="J768">
        <f>1</f>
        <v>1</v>
      </c>
      <c r="K768">
        <f>1</f>
        <v>1</v>
      </c>
      <c r="L768">
        <v>0</v>
      </c>
      <c r="M768">
        <f t="shared" ca="1" si="23"/>
        <v>0.61636924838516605</v>
      </c>
      <c r="N768">
        <v>0</v>
      </c>
      <c r="O768">
        <v>0</v>
      </c>
      <c r="P768">
        <v>0</v>
      </c>
    </row>
    <row r="769" spans="1:16" x14ac:dyDescent="0.3">
      <c r="A769" t="s">
        <v>881</v>
      </c>
      <c r="B769" t="s">
        <v>62</v>
      </c>
      <c r="C769">
        <f ca="1">IF(RAND()&lt;0.8,F_Baseline_data!C769,IF(RAND()&lt;0.85,F_Baseline_data!C769+1,IF(F_Baseline_data!C769&gt;3,C769-1,F_Baseline_data!C769)))</f>
        <v>9</v>
      </c>
      <c r="D769">
        <f ca="1">MAX(5000,ROUND(F_Baseline_data!D769*(1+_xlfn.NORM.INV(RAND(),0.12,0.1)),-2))</f>
        <v>61200</v>
      </c>
      <c r="E769" t="str">
        <f ca="1">IF(I769=1,IF(RAND()&lt;0.95,"Piped Water",F_Baseline_data!E769),F_Baseline_data!E769)</f>
        <v>Piped Water</v>
      </c>
      <c r="F769">
        <f t="shared" ca="1" si="22"/>
        <v>6</v>
      </c>
      <c r="G769">
        <v>2.1</v>
      </c>
      <c r="H769">
        <f ca="1">MAX(0,ROUND(F_Baseline_data!H769+(F_Baseline_data!C769-5)*200+(D769-30000)*0.015+(F769-50)*15-IF(I769=1,1200,0)+_xlfn.NORM.INV(RAND(),0,2500),-2))</f>
        <v>3700</v>
      </c>
      <c r="I769">
        <v>1</v>
      </c>
      <c r="J769">
        <f>1</f>
        <v>1</v>
      </c>
      <c r="K769">
        <f>1</f>
        <v>1</v>
      </c>
      <c r="L769">
        <v>0</v>
      </c>
      <c r="M769">
        <f t="shared" ca="1" si="23"/>
        <v>0.68854374650907835</v>
      </c>
      <c r="N769">
        <v>0</v>
      </c>
      <c r="O769">
        <v>0</v>
      </c>
      <c r="P769">
        <v>0</v>
      </c>
    </row>
    <row r="770" spans="1:16" x14ac:dyDescent="0.3">
      <c r="A770" t="s">
        <v>882</v>
      </c>
      <c r="B770" t="s">
        <v>64</v>
      </c>
      <c r="C770">
        <f ca="1">IF(RAND()&lt;0.8,F_Baseline_data!C770,IF(RAND()&lt;0.85,F_Baseline_data!C770+1,IF(F_Baseline_data!C770&gt;3,C770-1,F_Baseline_data!C770)))</f>
        <v>5</v>
      </c>
      <c r="D770">
        <f ca="1">MAX(5000,ROUND(F_Baseline_data!D770*(1+_xlfn.NORM.INV(RAND(),0.12,0.1)),-2))</f>
        <v>66200</v>
      </c>
      <c r="E770" t="str">
        <f ca="1">IF(I770=1,IF(RAND()&lt;0.95,"Piped Water",F_Baseline_data!E770),F_Baseline_data!E770)</f>
        <v>Piped Water</v>
      </c>
      <c r="F770">
        <f t="shared" ref="F770:F833" ca="1" si="24">IF(E770="Piped Water",RANDBETWEEN(0,10),IF(E770="River",RANDBETWEEN(45,120),IF(E770="Rainwater",RANDBETWEEN(15,70),IF(E770="Borehole",RANDBETWEEN(20,75),RANDBETWEEN(10,60)))))</f>
        <v>8</v>
      </c>
      <c r="G770">
        <v>9.1</v>
      </c>
      <c r="H770">
        <f ca="1">MAX(0,ROUND(F_Baseline_data!H770+(F_Baseline_data!C770-5)*200+(D770-30000)*0.015+(F770-50)*15-IF(I770=1,1200,0)+_xlfn.NORM.INV(RAND(),0,2500),-2))</f>
        <v>6800</v>
      </c>
      <c r="I770">
        <v>1</v>
      </c>
      <c r="J770">
        <f>1</f>
        <v>1</v>
      </c>
      <c r="K770">
        <f>1</f>
        <v>1</v>
      </c>
      <c r="L770">
        <v>0</v>
      </c>
      <c r="M770">
        <f t="shared" ref="M770:M833" ca="1" si="25">RAND()</f>
        <v>0.52394963270372452</v>
      </c>
      <c r="N770">
        <v>0</v>
      </c>
      <c r="O770">
        <v>0</v>
      </c>
      <c r="P770">
        <v>0</v>
      </c>
    </row>
    <row r="771" spans="1:16" x14ac:dyDescent="0.3">
      <c r="A771" t="s">
        <v>883</v>
      </c>
      <c r="B771" t="s">
        <v>62</v>
      </c>
      <c r="C771">
        <f ca="1">IF(RAND()&lt;0.8,F_Baseline_data!C771,IF(RAND()&lt;0.85,F_Baseline_data!C771+1,IF(F_Baseline_data!C771&gt;3,C771-1,F_Baseline_data!C771)))</f>
        <v>5</v>
      </c>
      <c r="D771">
        <f ca="1">MAX(5000,ROUND(F_Baseline_data!D771*(1+_xlfn.NORM.INV(RAND(),0.12,0.1)),-2))</f>
        <v>52600</v>
      </c>
      <c r="E771" t="str">
        <f ca="1">IF(I771=1,IF(RAND()&lt;0.95,"Piped Water",F_Baseline_data!E771),F_Baseline_data!E771)</f>
        <v>Piped Water</v>
      </c>
      <c r="F771">
        <f t="shared" ca="1" si="24"/>
        <v>1</v>
      </c>
      <c r="G771">
        <v>3.9</v>
      </c>
      <c r="H771">
        <f ca="1">MAX(0,ROUND(F_Baseline_data!H771+(F_Baseline_data!C771-5)*200+(D771-30000)*0.015+(F771-50)*15-IF(I771=1,1200,0)+_xlfn.NORM.INV(RAND(),0,2500),-2))</f>
        <v>4800</v>
      </c>
      <c r="I771">
        <v>1</v>
      </c>
      <c r="J771">
        <f>1</f>
        <v>1</v>
      </c>
      <c r="K771">
        <f>1</f>
        <v>1</v>
      </c>
      <c r="L771">
        <v>0</v>
      </c>
      <c r="M771">
        <f t="shared" ca="1" si="25"/>
        <v>7.645175767146406E-3</v>
      </c>
      <c r="N771">
        <v>0</v>
      </c>
      <c r="O771">
        <v>0</v>
      </c>
      <c r="P771">
        <v>0</v>
      </c>
    </row>
    <row r="772" spans="1:16" x14ac:dyDescent="0.3">
      <c r="A772" t="s">
        <v>884</v>
      </c>
      <c r="B772" t="s">
        <v>65</v>
      </c>
      <c r="C772">
        <f ca="1">IF(RAND()&lt;0.8,F_Baseline_data!C772,IF(RAND()&lt;0.85,F_Baseline_data!C772+1,IF(F_Baseline_data!C772&gt;3,C772-1,F_Baseline_data!C772)))</f>
        <v>9</v>
      </c>
      <c r="D772">
        <f ca="1">MAX(5000,ROUND(F_Baseline_data!D772*(1+_xlfn.NORM.INV(RAND(),0.12,0.1)),-2))</f>
        <v>44300</v>
      </c>
      <c r="E772" t="str">
        <f ca="1">IF(I772=1,IF(RAND()&lt;0.95,"Piped Water",F_Baseline_data!E772),F_Baseline_data!E772)</f>
        <v>Piped Water</v>
      </c>
      <c r="F772">
        <f t="shared" ca="1" si="24"/>
        <v>9</v>
      </c>
      <c r="G772">
        <v>2.8</v>
      </c>
      <c r="H772">
        <f ca="1">MAX(0,ROUND(F_Baseline_data!H772+(F_Baseline_data!C772-5)*200+(D772-30000)*0.015+(F772-50)*15-IF(I772=1,1200,0)+_xlfn.NORM.INV(RAND(),0,2500),-2))</f>
        <v>7500</v>
      </c>
      <c r="I772">
        <v>1</v>
      </c>
      <c r="J772">
        <f>1</f>
        <v>1</v>
      </c>
      <c r="K772">
        <f>1</f>
        <v>1</v>
      </c>
      <c r="L772">
        <v>0</v>
      </c>
      <c r="M772">
        <f t="shared" ca="1" si="25"/>
        <v>0.37477661049009603</v>
      </c>
      <c r="N772">
        <v>0</v>
      </c>
      <c r="O772">
        <v>0</v>
      </c>
      <c r="P772">
        <v>0</v>
      </c>
    </row>
    <row r="773" spans="1:16" x14ac:dyDescent="0.3">
      <c r="A773" t="s">
        <v>885</v>
      </c>
      <c r="B773" t="s">
        <v>513</v>
      </c>
      <c r="C773">
        <f ca="1">IF(RAND()&lt;0.8,F_Baseline_data!C773,IF(RAND()&lt;0.85,F_Baseline_data!C773+1,IF(F_Baseline_data!C773&gt;3,C773-1,F_Baseline_data!C773)))</f>
        <v>4</v>
      </c>
      <c r="D773">
        <f ca="1">MAX(5000,ROUND(F_Baseline_data!D773*(1+_xlfn.NORM.INV(RAND(),0.12,0.1)),-2))</f>
        <v>16500</v>
      </c>
      <c r="E773" t="str">
        <f ca="1">IF(I773=1,IF(RAND()&lt;0.95,"Piped Water",F_Baseline_data!E773),F_Baseline_data!E773)</f>
        <v>Piped Water</v>
      </c>
      <c r="F773">
        <f t="shared" ca="1" si="24"/>
        <v>1</v>
      </c>
      <c r="G773">
        <v>11</v>
      </c>
      <c r="H773">
        <f ca="1">MAX(0,ROUND(F_Baseline_data!H773+(F_Baseline_data!C773-5)*200+(D773-30000)*0.015+(F773-50)*15-IF(I773=1,1200,0)+_xlfn.NORM.INV(RAND(),0,2500),-2))</f>
        <v>0</v>
      </c>
      <c r="I773">
        <v>1</v>
      </c>
      <c r="J773">
        <f>1</f>
        <v>1</v>
      </c>
      <c r="K773">
        <f>1</f>
        <v>1</v>
      </c>
      <c r="L773">
        <v>0</v>
      </c>
      <c r="M773">
        <f t="shared" ca="1" si="25"/>
        <v>0.97145567078039274</v>
      </c>
      <c r="N773">
        <v>0</v>
      </c>
      <c r="O773">
        <v>0</v>
      </c>
      <c r="P773">
        <v>0</v>
      </c>
    </row>
    <row r="774" spans="1:16" x14ac:dyDescent="0.3">
      <c r="A774" t="s">
        <v>886</v>
      </c>
      <c r="B774" t="s">
        <v>513</v>
      </c>
      <c r="C774">
        <f ca="1">IF(RAND()&lt;0.8,F_Baseline_data!C774,IF(RAND()&lt;0.85,F_Baseline_data!C774+1,IF(F_Baseline_data!C774&gt;3,C774-1,F_Baseline_data!C774)))</f>
        <v>7</v>
      </c>
      <c r="D774">
        <f ca="1">MAX(5000,ROUND(F_Baseline_data!D774*(1+_xlfn.NORM.INV(RAND(),0.12,0.1)),-2))</f>
        <v>44300</v>
      </c>
      <c r="E774" t="str">
        <f ca="1">IF(I774=1,IF(RAND()&lt;0.95,"Piped Water",F_Baseline_data!E774),F_Baseline_data!E774)</f>
        <v>Piped Water</v>
      </c>
      <c r="F774">
        <f t="shared" ca="1" si="24"/>
        <v>5</v>
      </c>
      <c r="G774">
        <v>3.4</v>
      </c>
      <c r="H774">
        <f ca="1">MAX(0,ROUND(F_Baseline_data!H774+(F_Baseline_data!C774-5)*200+(D774-30000)*0.015+(F774-50)*15-IF(I774=1,1200,0)+_xlfn.NORM.INV(RAND(),0,2500),-2))</f>
        <v>2300</v>
      </c>
      <c r="I774">
        <v>1</v>
      </c>
      <c r="J774">
        <f>1</f>
        <v>1</v>
      </c>
      <c r="K774">
        <f>1</f>
        <v>1</v>
      </c>
      <c r="L774">
        <v>0</v>
      </c>
      <c r="M774">
        <f t="shared" ca="1" si="25"/>
        <v>0.72450637555356556</v>
      </c>
      <c r="N774">
        <v>0</v>
      </c>
      <c r="O774">
        <v>0</v>
      </c>
      <c r="P774">
        <v>0</v>
      </c>
    </row>
    <row r="775" spans="1:16" x14ac:dyDescent="0.3">
      <c r="A775" t="s">
        <v>887</v>
      </c>
      <c r="B775" t="s">
        <v>513</v>
      </c>
      <c r="C775">
        <f ca="1">IF(RAND()&lt;0.8,F_Baseline_data!C775,IF(RAND()&lt;0.85,F_Baseline_data!C775+1,IF(F_Baseline_data!C775&gt;3,C775-1,F_Baseline_data!C775)))</f>
        <v>5</v>
      </c>
      <c r="D775">
        <f ca="1">MAX(5000,ROUND(F_Baseline_data!D775*(1+_xlfn.NORM.INV(RAND(),0.12,0.1)),-2))</f>
        <v>14600</v>
      </c>
      <c r="E775" t="str">
        <f ca="1">IF(I775=1,IF(RAND()&lt;0.95,"Piped Water",F_Baseline_data!E775),F_Baseline_data!E775)</f>
        <v>Piped Water</v>
      </c>
      <c r="F775">
        <f t="shared" ca="1" si="24"/>
        <v>3</v>
      </c>
      <c r="G775">
        <v>9.6</v>
      </c>
      <c r="H775">
        <f ca="1">MAX(0,ROUND(F_Baseline_data!H775+(F_Baseline_data!C775-5)*200+(D775-30000)*0.015+(F775-50)*15-IF(I775=1,1200,0)+_xlfn.NORM.INV(RAND(),0,2500),-2))</f>
        <v>4200</v>
      </c>
      <c r="I775">
        <v>1</v>
      </c>
      <c r="J775">
        <f>1</f>
        <v>1</v>
      </c>
      <c r="K775">
        <f>1</f>
        <v>1</v>
      </c>
      <c r="L775">
        <v>0</v>
      </c>
      <c r="M775">
        <f t="shared" ca="1" si="25"/>
        <v>0.22114015766819461</v>
      </c>
      <c r="N775">
        <v>0</v>
      </c>
      <c r="O775">
        <v>0</v>
      </c>
      <c r="P775">
        <v>0</v>
      </c>
    </row>
    <row r="776" spans="1:16" x14ac:dyDescent="0.3">
      <c r="A776" t="s">
        <v>888</v>
      </c>
      <c r="B776" t="s">
        <v>65</v>
      </c>
      <c r="C776">
        <f ca="1">IF(RAND()&lt;0.8,F_Baseline_data!C776,IF(RAND()&lt;0.85,F_Baseline_data!C776+1,IF(F_Baseline_data!C776&gt;3,C776-1,F_Baseline_data!C776)))</f>
        <v>3</v>
      </c>
      <c r="D776">
        <f ca="1">MAX(5000,ROUND(F_Baseline_data!D776*(1+_xlfn.NORM.INV(RAND(),0.12,0.1)),-2))</f>
        <v>8400</v>
      </c>
      <c r="E776" t="str">
        <f ca="1">IF(I776=1,IF(RAND()&lt;0.95,"Piped Water",F_Baseline_data!E776),F_Baseline_data!E776)</f>
        <v>Piped Water</v>
      </c>
      <c r="F776">
        <f t="shared" ca="1" si="24"/>
        <v>6</v>
      </c>
      <c r="G776">
        <v>10.9</v>
      </c>
      <c r="H776">
        <f ca="1">MAX(0,ROUND(F_Baseline_data!H776+(F_Baseline_data!C776-5)*200+(D776-30000)*0.015+(F776-50)*15-IF(I776=1,1200,0)+_xlfn.NORM.INV(RAND(),0,2500),-2))</f>
        <v>0</v>
      </c>
      <c r="I776">
        <v>1</v>
      </c>
      <c r="J776">
        <f>1</f>
        <v>1</v>
      </c>
      <c r="K776">
        <f>1</f>
        <v>1</v>
      </c>
      <c r="L776">
        <v>0</v>
      </c>
      <c r="M776">
        <f t="shared" ca="1" si="25"/>
        <v>0.12411504145071395</v>
      </c>
      <c r="N776">
        <v>0</v>
      </c>
      <c r="O776">
        <v>0</v>
      </c>
      <c r="P776">
        <v>0</v>
      </c>
    </row>
    <row r="777" spans="1:16" x14ac:dyDescent="0.3">
      <c r="A777" t="s">
        <v>889</v>
      </c>
      <c r="B777" t="s">
        <v>513</v>
      </c>
      <c r="C777">
        <f ca="1">IF(RAND()&lt;0.8,F_Baseline_data!C777,IF(RAND()&lt;0.85,F_Baseline_data!C777+1,IF(F_Baseline_data!C777&gt;3,C777-1,F_Baseline_data!C777)))</f>
        <v>6</v>
      </c>
      <c r="D777">
        <f ca="1">MAX(5000,ROUND(F_Baseline_data!D777*(1+_xlfn.NORM.INV(RAND(),0.12,0.1)),-2))</f>
        <v>13500</v>
      </c>
      <c r="E777" t="str">
        <f ca="1">IF(I777=1,IF(RAND()&lt;0.95,"Piped Water",F_Baseline_data!E777),F_Baseline_data!E777)</f>
        <v>Piped Water</v>
      </c>
      <c r="F777">
        <f t="shared" ca="1" si="24"/>
        <v>8</v>
      </c>
      <c r="G777">
        <v>9.6999999999999993</v>
      </c>
      <c r="H777">
        <f ca="1">MAX(0,ROUND(F_Baseline_data!H777+(F_Baseline_data!C777-5)*200+(D777-30000)*0.015+(F777-50)*15-IF(I777=1,1200,0)+_xlfn.NORM.INV(RAND(),0,2500),-2))</f>
        <v>8400</v>
      </c>
      <c r="I777">
        <v>1</v>
      </c>
      <c r="J777">
        <f>1</f>
        <v>1</v>
      </c>
      <c r="K777">
        <f>1</f>
        <v>1</v>
      </c>
      <c r="L777">
        <v>0</v>
      </c>
      <c r="M777">
        <f t="shared" ca="1" si="25"/>
        <v>0.85256674267959809</v>
      </c>
      <c r="N777">
        <v>0</v>
      </c>
      <c r="O777">
        <v>0</v>
      </c>
      <c r="P777">
        <v>0</v>
      </c>
    </row>
    <row r="778" spans="1:16" x14ac:dyDescent="0.3">
      <c r="A778" t="s">
        <v>890</v>
      </c>
      <c r="B778" t="s">
        <v>64</v>
      </c>
      <c r="C778">
        <f ca="1">IF(RAND()&lt;0.8,F_Baseline_data!C778,IF(RAND()&lt;0.85,F_Baseline_data!C778+1,IF(F_Baseline_data!C778&gt;3,C778-1,F_Baseline_data!C778)))</f>
        <v>4</v>
      </c>
      <c r="D778">
        <f ca="1">MAX(5000,ROUND(F_Baseline_data!D778*(1+_xlfn.NORM.INV(RAND(),0.12,0.1)),-2))</f>
        <v>138000</v>
      </c>
      <c r="E778" t="str">
        <f ca="1">IF(I778=1,IF(RAND()&lt;0.95,"Piped Water",F_Baseline_data!E778),F_Baseline_data!E778)</f>
        <v>Piped Water</v>
      </c>
      <c r="F778">
        <f t="shared" ca="1" si="24"/>
        <v>2</v>
      </c>
      <c r="G778">
        <v>5.3</v>
      </c>
      <c r="H778">
        <f ca="1">MAX(0,ROUND(F_Baseline_data!H778+(F_Baseline_data!C778-5)*200+(D778-30000)*0.015+(F778-50)*15-IF(I778=1,1200,0)+_xlfn.NORM.INV(RAND(),0,2500),-2))</f>
        <v>2900</v>
      </c>
      <c r="I778">
        <v>1</v>
      </c>
      <c r="J778">
        <f>1</f>
        <v>1</v>
      </c>
      <c r="K778">
        <f>1</f>
        <v>1</v>
      </c>
      <c r="L778">
        <v>0</v>
      </c>
      <c r="M778">
        <f t="shared" ca="1" si="25"/>
        <v>0.11610875891505901</v>
      </c>
      <c r="N778">
        <v>0</v>
      </c>
      <c r="O778">
        <v>0</v>
      </c>
      <c r="P778">
        <v>0</v>
      </c>
    </row>
    <row r="779" spans="1:16" x14ac:dyDescent="0.3">
      <c r="A779" t="s">
        <v>891</v>
      </c>
      <c r="B779" t="s">
        <v>65</v>
      </c>
      <c r="C779">
        <f ca="1">IF(RAND()&lt;0.8,F_Baseline_data!C779,IF(RAND()&lt;0.85,F_Baseline_data!C779+1,IF(F_Baseline_data!C779&gt;3,C779-1,F_Baseline_data!C779)))</f>
        <v>6</v>
      </c>
      <c r="D779">
        <f ca="1">MAX(5000,ROUND(F_Baseline_data!D779*(1+_xlfn.NORM.INV(RAND(),0.12,0.1)),-2))</f>
        <v>14700</v>
      </c>
      <c r="E779" t="str">
        <f ca="1">IF(I779=1,IF(RAND()&lt;0.95,"Piped Water",F_Baseline_data!E779),F_Baseline_data!E779)</f>
        <v>Piped Water</v>
      </c>
      <c r="F779">
        <f t="shared" ca="1" si="24"/>
        <v>1</v>
      </c>
      <c r="G779">
        <v>9.1</v>
      </c>
      <c r="H779">
        <f ca="1">MAX(0,ROUND(F_Baseline_data!H779+(F_Baseline_data!C779-5)*200+(D779-30000)*0.015+(F779-50)*15-IF(I779=1,1200,0)+_xlfn.NORM.INV(RAND(),0,2500),-2))</f>
        <v>9000</v>
      </c>
      <c r="I779">
        <v>1</v>
      </c>
      <c r="J779">
        <f>1</f>
        <v>1</v>
      </c>
      <c r="K779">
        <f>1</f>
        <v>1</v>
      </c>
      <c r="L779">
        <v>0</v>
      </c>
      <c r="M779">
        <f t="shared" ca="1" si="25"/>
        <v>7.4886009597044056E-2</v>
      </c>
      <c r="N779">
        <v>0</v>
      </c>
      <c r="O779">
        <v>0</v>
      </c>
      <c r="P779">
        <v>0</v>
      </c>
    </row>
    <row r="780" spans="1:16" x14ac:dyDescent="0.3">
      <c r="A780" t="s">
        <v>892</v>
      </c>
      <c r="B780" t="s">
        <v>62</v>
      </c>
      <c r="C780">
        <f ca="1">IF(RAND()&lt;0.8,F_Baseline_data!C780,IF(RAND()&lt;0.85,F_Baseline_data!C780+1,IF(F_Baseline_data!C780&gt;3,C780-1,F_Baseline_data!C780)))</f>
        <v>4</v>
      </c>
      <c r="D780">
        <f ca="1">MAX(5000,ROUND(F_Baseline_data!D780*(1+_xlfn.NORM.INV(RAND(),0.12,0.1)),-2))</f>
        <v>26900</v>
      </c>
      <c r="E780" t="str">
        <f ca="1">IF(I780=1,IF(RAND()&lt;0.95,"Piped Water",F_Baseline_data!E780),F_Baseline_data!E780)</f>
        <v>Piped Water</v>
      </c>
      <c r="F780">
        <f t="shared" ca="1" si="24"/>
        <v>5</v>
      </c>
      <c r="G780">
        <v>1</v>
      </c>
      <c r="H780">
        <f ca="1">MAX(0,ROUND(F_Baseline_data!H780+(F_Baseline_data!C780-5)*200+(D780-30000)*0.015+(F780-50)*15-IF(I780=1,1200,0)+_xlfn.NORM.INV(RAND(),0,2500),-2))</f>
        <v>4700</v>
      </c>
      <c r="I780">
        <v>1</v>
      </c>
      <c r="J780">
        <f>1</f>
        <v>1</v>
      </c>
      <c r="K780">
        <f>1</f>
        <v>1</v>
      </c>
      <c r="L780">
        <v>0</v>
      </c>
      <c r="M780">
        <f t="shared" ca="1" si="25"/>
        <v>0.83226294954569391</v>
      </c>
      <c r="N780">
        <v>0</v>
      </c>
      <c r="O780">
        <v>0</v>
      </c>
      <c r="P780">
        <v>0</v>
      </c>
    </row>
    <row r="781" spans="1:16" x14ac:dyDescent="0.3">
      <c r="A781" t="s">
        <v>893</v>
      </c>
      <c r="B781" t="s">
        <v>65</v>
      </c>
      <c r="C781">
        <f ca="1">IF(RAND()&lt;0.8,F_Baseline_data!C781,IF(RAND()&lt;0.85,F_Baseline_data!C781+1,IF(F_Baseline_data!C781&gt;3,C781-1,F_Baseline_data!C781)))</f>
        <v>5</v>
      </c>
      <c r="D781">
        <f ca="1">MAX(5000,ROUND(F_Baseline_data!D781*(1+_xlfn.NORM.INV(RAND(),0.12,0.1)),-2))</f>
        <v>35500</v>
      </c>
      <c r="E781" t="str">
        <f ca="1">IF(I781=1,IF(RAND()&lt;0.95,"Piped Water",F_Baseline_data!E781),F_Baseline_data!E781)</f>
        <v>Piped Water</v>
      </c>
      <c r="F781">
        <f t="shared" ca="1" si="24"/>
        <v>8</v>
      </c>
      <c r="G781">
        <v>3.1</v>
      </c>
      <c r="H781">
        <f ca="1">MAX(0,ROUND(F_Baseline_data!H781+(F_Baseline_data!C781-5)*200+(D781-30000)*0.015+(F781-50)*15-IF(I781=1,1200,0)+_xlfn.NORM.INV(RAND(),0,2500),-2))</f>
        <v>6200</v>
      </c>
      <c r="I781">
        <v>1</v>
      </c>
      <c r="J781">
        <f>1</f>
        <v>1</v>
      </c>
      <c r="K781">
        <f>1</f>
        <v>1</v>
      </c>
      <c r="L781">
        <v>0</v>
      </c>
      <c r="M781">
        <f t="shared" ca="1" si="25"/>
        <v>0.36014776778549007</v>
      </c>
      <c r="N781">
        <v>0</v>
      </c>
      <c r="O781">
        <v>0</v>
      </c>
      <c r="P781">
        <v>0</v>
      </c>
    </row>
    <row r="782" spans="1:16" x14ac:dyDescent="0.3">
      <c r="A782" t="s">
        <v>894</v>
      </c>
      <c r="B782" t="s">
        <v>64</v>
      </c>
      <c r="C782">
        <f ca="1">IF(RAND()&lt;0.8,F_Baseline_data!C782,IF(RAND()&lt;0.85,F_Baseline_data!C782+1,IF(F_Baseline_data!C782&gt;3,C782-1,F_Baseline_data!C782)))</f>
        <v>4</v>
      </c>
      <c r="D782">
        <f ca="1">MAX(5000,ROUND(F_Baseline_data!D782*(1+_xlfn.NORM.INV(RAND(),0.12,0.1)),-2))</f>
        <v>44500</v>
      </c>
      <c r="E782" t="str">
        <f ca="1">IF(I782=1,IF(RAND()&lt;0.95,"Piped Water",F_Baseline_data!E782),F_Baseline_data!E782)</f>
        <v>Piped Water</v>
      </c>
      <c r="F782">
        <f t="shared" ca="1" si="24"/>
        <v>2</v>
      </c>
      <c r="G782">
        <v>5.8</v>
      </c>
      <c r="H782">
        <f ca="1">MAX(0,ROUND(F_Baseline_data!H782+(F_Baseline_data!C782-5)*200+(D782-30000)*0.015+(F782-50)*15-IF(I782=1,1200,0)+_xlfn.NORM.INV(RAND(),0,2500),-2))</f>
        <v>1100</v>
      </c>
      <c r="I782">
        <v>1</v>
      </c>
      <c r="J782">
        <f>1</f>
        <v>1</v>
      </c>
      <c r="K782">
        <f>1</f>
        <v>1</v>
      </c>
      <c r="L782">
        <v>0</v>
      </c>
      <c r="M782">
        <f t="shared" ca="1" si="25"/>
        <v>0.47414425501764113</v>
      </c>
      <c r="N782">
        <v>0</v>
      </c>
      <c r="O782">
        <v>0</v>
      </c>
      <c r="P782">
        <v>0</v>
      </c>
    </row>
    <row r="783" spans="1:16" x14ac:dyDescent="0.3">
      <c r="A783" t="s">
        <v>895</v>
      </c>
      <c r="B783" t="s">
        <v>65</v>
      </c>
      <c r="C783">
        <f ca="1">IF(RAND()&lt;0.8,F_Baseline_data!C783,IF(RAND()&lt;0.85,F_Baseline_data!C783+1,IF(F_Baseline_data!C783&gt;3,C783-1,F_Baseline_data!C783)))</f>
        <v>9</v>
      </c>
      <c r="D783">
        <f ca="1">MAX(5000,ROUND(F_Baseline_data!D783*(1+_xlfn.NORM.INV(RAND(),0.12,0.1)),-2))</f>
        <v>33500</v>
      </c>
      <c r="E783" t="str">
        <f ca="1">IF(I783=1,IF(RAND()&lt;0.95,"Piped Water",F_Baseline_data!E783),F_Baseline_data!E783)</f>
        <v>Piped Water</v>
      </c>
      <c r="F783">
        <f t="shared" ca="1" si="24"/>
        <v>9</v>
      </c>
      <c r="G783">
        <v>7.4</v>
      </c>
      <c r="H783">
        <f ca="1">MAX(0,ROUND(F_Baseline_data!H783+(F_Baseline_data!C783-5)*200+(D783-30000)*0.015+(F783-50)*15-IF(I783=1,1200,0)+_xlfn.NORM.INV(RAND(),0,2500),-2))</f>
        <v>0</v>
      </c>
      <c r="I783">
        <v>1</v>
      </c>
      <c r="J783">
        <f>1</f>
        <v>1</v>
      </c>
      <c r="K783">
        <f>1</f>
        <v>1</v>
      </c>
      <c r="L783">
        <v>0</v>
      </c>
      <c r="M783">
        <f t="shared" ca="1" si="25"/>
        <v>0.60583374878684682</v>
      </c>
      <c r="N783">
        <v>0</v>
      </c>
      <c r="O783">
        <v>0</v>
      </c>
      <c r="P783">
        <v>0</v>
      </c>
    </row>
    <row r="784" spans="1:16" x14ac:dyDescent="0.3">
      <c r="A784" t="s">
        <v>896</v>
      </c>
      <c r="B784" t="s">
        <v>62</v>
      </c>
      <c r="C784">
        <f ca="1">IF(RAND()&lt;0.8,F_Baseline_data!C784,IF(RAND()&lt;0.85,F_Baseline_data!C784+1,IF(F_Baseline_data!C784&gt;3,C784-1,F_Baseline_data!C784)))</f>
        <v>6</v>
      </c>
      <c r="D784">
        <f ca="1">MAX(5000,ROUND(F_Baseline_data!D784*(1+_xlfn.NORM.INV(RAND(),0.12,0.1)),-2))</f>
        <v>38700</v>
      </c>
      <c r="E784" t="str">
        <f ca="1">IF(I784=1,IF(RAND()&lt;0.95,"Piped Water",F_Baseline_data!E784),F_Baseline_data!E784)</f>
        <v>Piped Water</v>
      </c>
      <c r="F784">
        <f t="shared" ca="1" si="24"/>
        <v>5</v>
      </c>
      <c r="G784">
        <v>3.5</v>
      </c>
      <c r="H784">
        <f ca="1">MAX(0,ROUND(F_Baseline_data!H784+(F_Baseline_data!C784-5)*200+(D784-30000)*0.015+(F784-50)*15-IF(I784=1,1200,0)+_xlfn.NORM.INV(RAND(),0,2500),-2))</f>
        <v>0</v>
      </c>
      <c r="I784">
        <v>1</v>
      </c>
      <c r="J784">
        <f>1</f>
        <v>1</v>
      </c>
      <c r="K784">
        <f>1</f>
        <v>1</v>
      </c>
      <c r="L784">
        <v>0</v>
      </c>
      <c r="M784">
        <f t="shared" ca="1" si="25"/>
        <v>0.81979216880268435</v>
      </c>
      <c r="N784">
        <v>0</v>
      </c>
      <c r="O784">
        <v>0</v>
      </c>
      <c r="P784">
        <v>0</v>
      </c>
    </row>
    <row r="785" spans="1:16" x14ac:dyDescent="0.3">
      <c r="A785" t="s">
        <v>897</v>
      </c>
      <c r="B785" t="s">
        <v>62</v>
      </c>
      <c r="C785">
        <f ca="1">IF(RAND()&lt;0.8,F_Baseline_data!C785,IF(RAND()&lt;0.85,F_Baseline_data!C785+1,IF(F_Baseline_data!C785&gt;3,C785-1,F_Baseline_data!C785)))</f>
        <v>8</v>
      </c>
      <c r="D785">
        <f ca="1">MAX(5000,ROUND(F_Baseline_data!D785*(1+_xlfn.NORM.INV(RAND(),0.12,0.1)),-2))</f>
        <v>70100</v>
      </c>
      <c r="E785" t="str">
        <f ca="1">IF(I785=1,IF(RAND()&lt;0.95,"Piped Water",F_Baseline_data!E785),F_Baseline_data!E785)</f>
        <v>Piped Water</v>
      </c>
      <c r="F785">
        <f t="shared" ca="1" si="24"/>
        <v>9</v>
      </c>
      <c r="G785">
        <v>4.3</v>
      </c>
      <c r="H785">
        <f ca="1">MAX(0,ROUND(F_Baseline_data!H785+(F_Baseline_data!C785-5)*200+(D785-30000)*0.015+(F785-50)*15-IF(I785=1,1200,0)+_xlfn.NORM.INV(RAND(),0,2500),-2))</f>
        <v>0</v>
      </c>
      <c r="I785">
        <v>1</v>
      </c>
      <c r="J785">
        <f>1</f>
        <v>1</v>
      </c>
      <c r="K785">
        <f>1</f>
        <v>1</v>
      </c>
      <c r="L785">
        <v>0</v>
      </c>
      <c r="M785">
        <f t="shared" ca="1" si="25"/>
        <v>0.4204309695243883</v>
      </c>
      <c r="N785">
        <v>0</v>
      </c>
      <c r="O785">
        <v>0</v>
      </c>
      <c r="P785">
        <v>0</v>
      </c>
    </row>
    <row r="786" spans="1:16" x14ac:dyDescent="0.3">
      <c r="A786" t="s">
        <v>898</v>
      </c>
      <c r="B786" t="s">
        <v>62</v>
      </c>
      <c r="C786">
        <f ca="1">IF(RAND()&lt;0.8,F_Baseline_data!C786,IF(RAND()&lt;0.85,F_Baseline_data!C786+1,IF(F_Baseline_data!C786&gt;3,C786-1,F_Baseline_data!C786)))</f>
        <v>4</v>
      </c>
      <c r="D786">
        <f ca="1">MAX(5000,ROUND(F_Baseline_data!D786*(1+_xlfn.NORM.INV(RAND(),0.12,0.1)),-2))</f>
        <v>21700</v>
      </c>
      <c r="E786" t="str">
        <f ca="1">IF(I786=1,IF(RAND()&lt;0.95,"Piped Water",F_Baseline_data!E786),F_Baseline_data!E786)</f>
        <v>Rainwater</v>
      </c>
      <c r="F786">
        <f t="shared" ca="1" si="24"/>
        <v>52</v>
      </c>
      <c r="G786">
        <v>8.8000000000000007</v>
      </c>
      <c r="H786">
        <f ca="1">MAX(0,ROUND(F_Baseline_data!H786+(F_Baseline_data!C786-5)*200+(D786-30000)*0.015+(F786-50)*15-IF(I786=1,1200,0)+_xlfn.NORM.INV(RAND(),0,2500),-2))</f>
        <v>4900</v>
      </c>
      <c r="I786">
        <v>1</v>
      </c>
      <c r="J786">
        <f>1</f>
        <v>1</v>
      </c>
      <c r="K786">
        <f>1</f>
        <v>1</v>
      </c>
      <c r="L786">
        <v>0</v>
      </c>
      <c r="M786">
        <f t="shared" ca="1" si="25"/>
        <v>0.46686490082285415</v>
      </c>
      <c r="N786">
        <v>0</v>
      </c>
      <c r="O786">
        <v>0</v>
      </c>
      <c r="P786">
        <v>0</v>
      </c>
    </row>
    <row r="787" spans="1:16" x14ac:dyDescent="0.3">
      <c r="A787" t="s">
        <v>899</v>
      </c>
      <c r="B787" t="s">
        <v>62</v>
      </c>
      <c r="C787">
        <f ca="1">IF(RAND()&lt;0.8,F_Baseline_data!C787,IF(RAND()&lt;0.85,F_Baseline_data!C787+1,IF(F_Baseline_data!C787&gt;3,C787-1,F_Baseline_data!C787)))</f>
        <v>5</v>
      </c>
      <c r="D787">
        <f ca="1">MAX(5000,ROUND(F_Baseline_data!D787*(1+_xlfn.NORM.INV(RAND(),0.12,0.1)),-2))</f>
        <v>89500</v>
      </c>
      <c r="E787" t="str">
        <f ca="1">IF(I787=1,IF(RAND()&lt;0.95,"Piped Water",F_Baseline_data!E787),F_Baseline_data!E787)</f>
        <v>Piped Water</v>
      </c>
      <c r="F787">
        <f t="shared" ca="1" si="24"/>
        <v>8</v>
      </c>
      <c r="G787">
        <v>7.3</v>
      </c>
      <c r="H787">
        <f ca="1">MAX(0,ROUND(F_Baseline_data!H787+(F_Baseline_data!C787-5)*200+(D787-30000)*0.015+(F787-50)*15-IF(I787=1,1200,0)+_xlfn.NORM.INV(RAND(),0,2500),-2))</f>
        <v>1600</v>
      </c>
      <c r="I787">
        <v>1</v>
      </c>
      <c r="J787">
        <f>1</f>
        <v>1</v>
      </c>
      <c r="K787">
        <f>1</f>
        <v>1</v>
      </c>
      <c r="L787">
        <v>0</v>
      </c>
      <c r="M787">
        <f t="shared" ca="1" si="25"/>
        <v>2.5472459074187936E-2</v>
      </c>
      <c r="N787">
        <v>0</v>
      </c>
      <c r="O787">
        <v>0</v>
      </c>
      <c r="P787">
        <v>0</v>
      </c>
    </row>
    <row r="788" spans="1:16" x14ac:dyDescent="0.3">
      <c r="A788" t="s">
        <v>900</v>
      </c>
      <c r="B788" t="s">
        <v>65</v>
      </c>
      <c r="C788">
        <f ca="1">IF(RAND()&lt;0.8,F_Baseline_data!C788,IF(RAND()&lt;0.85,F_Baseline_data!C788+1,IF(F_Baseline_data!C788&gt;3,C788-1,F_Baseline_data!C788)))</f>
        <v>8</v>
      </c>
      <c r="D788">
        <f ca="1">MAX(5000,ROUND(F_Baseline_data!D788*(1+_xlfn.NORM.INV(RAND(),0.12,0.1)),-2))</f>
        <v>45800</v>
      </c>
      <c r="E788" t="str">
        <f ca="1">IF(I788=1,IF(RAND()&lt;0.95,"Piped Water",F_Baseline_data!E788),F_Baseline_data!E788)</f>
        <v>Piped Water</v>
      </c>
      <c r="F788">
        <f t="shared" ca="1" si="24"/>
        <v>6</v>
      </c>
      <c r="G788">
        <v>9.9</v>
      </c>
      <c r="H788">
        <f ca="1">MAX(0,ROUND(F_Baseline_data!H788+(F_Baseline_data!C788-5)*200+(D788-30000)*0.015+(F788-50)*15-IF(I788=1,1200,0)+_xlfn.NORM.INV(RAND(),0,2500),-2))</f>
        <v>6600</v>
      </c>
      <c r="I788">
        <v>1</v>
      </c>
      <c r="J788">
        <f>1</f>
        <v>1</v>
      </c>
      <c r="K788">
        <f>1</f>
        <v>1</v>
      </c>
      <c r="L788">
        <v>0</v>
      </c>
      <c r="M788">
        <f t="shared" ca="1" si="25"/>
        <v>0.1754678582561533</v>
      </c>
      <c r="N788">
        <v>0</v>
      </c>
      <c r="O788">
        <v>0</v>
      </c>
      <c r="P788">
        <v>0</v>
      </c>
    </row>
    <row r="789" spans="1:16" x14ac:dyDescent="0.3">
      <c r="A789" t="s">
        <v>901</v>
      </c>
      <c r="B789" t="s">
        <v>65</v>
      </c>
      <c r="C789">
        <f ca="1">IF(RAND()&lt;0.8,F_Baseline_data!C789,IF(RAND()&lt;0.85,F_Baseline_data!C789+1,IF(F_Baseline_data!C789&gt;3,C789-1,F_Baseline_data!C789)))</f>
        <v>5</v>
      </c>
      <c r="D789">
        <f ca="1">MAX(5000,ROUND(F_Baseline_data!D789*(1+_xlfn.NORM.INV(RAND(),0.12,0.1)),-2))</f>
        <v>73100</v>
      </c>
      <c r="E789" t="str">
        <f ca="1">IF(I789=1,IF(RAND()&lt;0.95,"Piped Water",F_Baseline_data!E789),F_Baseline_data!E789)</f>
        <v>Piped Water</v>
      </c>
      <c r="F789">
        <f t="shared" ca="1" si="24"/>
        <v>6</v>
      </c>
      <c r="G789">
        <v>8.6999999999999993</v>
      </c>
      <c r="H789">
        <f ca="1">MAX(0,ROUND(F_Baseline_data!H789+(F_Baseline_data!C789-5)*200+(D789-30000)*0.015+(F789-50)*15-IF(I789=1,1200,0)+_xlfn.NORM.INV(RAND(),0,2500),-2))</f>
        <v>8600</v>
      </c>
      <c r="I789">
        <v>1</v>
      </c>
      <c r="J789">
        <f>1</f>
        <v>1</v>
      </c>
      <c r="K789">
        <f>1</f>
        <v>1</v>
      </c>
      <c r="L789">
        <v>0</v>
      </c>
      <c r="M789">
        <f t="shared" ca="1" si="25"/>
        <v>0.26781847914935564</v>
      </c>
      <c r="N789">
        <v>0</v>
      </c>
      <c r="O789">
        <v>0</v>
      </c>
      <c r="P789">
        <v>0</v>
      </c>
    </row>
    <row r="790" spans="1:16" x14ac:dyDescent="0.3">
      <c r="A790" t="s">
        <v>902</v>
      </c>
      <c r="B790" t="s">
        <v>62</v>
      </c>
      <c r="C790">
        <f ca="1">IF(RAND()&lt;0.8,F_Baseline_data!C790,IF(RAND()&lt;0.85,F_Baseline_data!C790+1,IF(F_Baseline_data!C790&gt;3,C790-1,F_Baseline_data!C790)))</f>
        <v>7</v>
      </c>
      <c r="D790">
        <f ca="1">MAX(5000,ROUND(F_Baseline_data!D790*(1+_xlfn.NORM.INV(RAND(),0.12,0.1)),-2))</f>
        <v>132300</v>
      </c>
      <c r="E790" t="str">
        <f ca="1">IF(I790=1,IF(RAND()&lt;0.95,"Piped Water",F_Baseline_data!E790),F_Baseline_data!E790)</f>
        <v>Piped Water</v>
      </c>
      <c r="F790">
        <f t="shared" ca="1" si="24"/>
        <v>2</v>
      </c>
      <c r="G790">
        <v>2.2000000000000002</v>
      </c>
      <c r="H790">
        <f ca="1">MAX(0,ROUND(F_Baseline_data!H790+(F_Baseline_data!C790-5)*200+(D790-30000)*0.015+(F790-50)*15-IF(I790=1,1200,0)+_xlfn.NORM.INV(RAND(),0,2500),-2))</f>
        <v>3500</v>
      </c>
      <c r="I790">
        <v>1</v>
      </c>
      <c r="J790">
        <f>1</f>
        <v>1</v>
      </c>
      <c r="K790">
        <f>1</f>
        <v>1</v>
      </c>
      <c r="L790">
        <v>0</v>
      </c>
      <c r="M790">
        <f t="shared" ca="1" si="25"/>
        <v>0.3045363897472193</v>
      </c>
      <c r="N790">
        <v>0</v>
      </c>
      <c r="O790">
        <v>0</v>
      </c>
      <c r="P790">
        <v>0</v>
      </c>
    </row>
    <row r="791" spans="1:16" x14ac:dyDescent="0.3">
      <c r="A791" t="s">
        <v>903</v>
      </c>
      <c r="B791" t="s">
        <v>65</v>
      </c>
      <c r="C791">
        <f ca="1">IF(RAND()&lt;0.8,F_Baseline_data!C791,IF(RAND()&lt;0.85,F_Baseline_data!C791+1,IF(F_Baseline_data!C791&gt;3,C791-1,F_Baseline_data!C791)))</f>
        <v>5</v>
      </c>
      <c r="D791">
        <f ca="1">MAX(5000,ROUND(F_Baseline_data!D791*(1+_xlfn.NORM.INV(RAND(),0.12,0.1)),-2))</f>
        <v>48200</v>
      </c>
      <c r="E791" t="str">
        <f ca="1">IF(I791=1,IF(RAND()&lt;0.95,"Piped Water",F_Baseline_data!E791),F_Baseline_data!E791)</f>
        <v>Piped Water</v>
      </c>
      <c r="F791">
        <f t="shared" ca="1" si="24"/>
        <v>2</v>
      </c>
      <c r="G791">
        <v>8.6</v>
      </c>
      <c r="H791">
        <f ca="1">MAX(0,ROUND(F_Baseline_data!H791+(F_Baseline_data!C791-5)*200+(D791-30000)*0.015+(F791-50)*15-IF(I791=1,1200,0)+_xlfn.NORM.INV(RAND(),0,2500),-2))</f>
        <v>11400</v>
      </c>
      <c r="I791">
        <v>1</v>
      </c>
      <c r="J791">
        <f>1</f>
        <v>1</v>
      </c>
      <c r="K791">
        <f>1</f>
        <v>1</v>
      </c>
      <c r="L791">
        <v>0</v>
      </c>
      <c r="M791">
        <f t="shared" ca="1" si="25"/>
        <v>0.78004170854923749</v>
      </c>
      <c r="N791">
        <v>0</v>
      </c>
      <c r="O791">
        <v>0</v>
      </c>
      <c r="P791">
        <v>0</v>
      </c>
    </row>
    <row r="792" spans="1:16" x14ac:dyDescent="0.3">
      <c r="A792" t="s">
        <v>904</v>
      </c>
      <c r="B792" t="s">
        <v>64</v>
      </c>
      <c r="C792">
        <f ca="1">IF(RAND()&lt;0.8,F_Baseline_data!C792,IF(RAND()&lt;0.85,F_Baseline_data!C792+1,IF(F_Baseline_data!C792&gt;3,C792-1,F_Baseline_data!C792)))</f>
        <v>7</v>
      </c>
      <c r="D792">
        <f ca="1">MAX(5000,ROUND(F_Baseline_data!D792*(1+_xlfn.NORM.INV(RAND(),0.12,0.1)),-2))</f>
        <v>61300</v>
      </c>
      <c r="E792" t="str">
        <f ca="1">IF(I792=1,IF(RAND()&lt;0.95,"Piped Water",F_Baseline_data!E792),F_Baseline_data!E792)</f>
        <v>Rainwater</v>
      </c>
      <c r="F792">
        <f t="shared" ca="1" si="24"/>
        <v>56</v>
      </c>
      <c r="G792">
        <v>0.8</v>
      </c>
      <c r="H792">
        <f ca="1">MAX(0,ROUND(F_Baseline_data!H792+(F_Baseline_data!C792-5)*200+(D792-30000)*0.015+(F792-50)*15-IF(I792=1,1200,0)+_xlfn.NORM.INV(RAND(),0,2500),-2))</f>
        <v>7800</v>
      </c>
      <c r="I792">
        <v>1</v>
      </c>
      <c r="J792">
        <f>1</f>
        <v>1</v>
      </c>
      <c r="K792">
        <f>1</f>
        <v>1</v>
      </c>
      <c r="L792">
        <v>0</v>
      </c>
      <c r="M792">
        <f t="shared" ca="1" si="25"/>
        <v>0.60166632104081585</v>
      </c>
      <c r="N792">
        <v>0</v>
      </c>
      <c r="O792">
        <v>0</v>
      </c>
      <c r="P792">
        <v>0</v>
      </c>
    </row>
    <row r="793" spans="1:16" x14ac:dyDescent="0.3">
      <c r="A793" t="s">
        <v>905</v>
      </c>
      <c r="B793" t="s">
        <v>65</v>
      </c>
      <c r="C793">
        <f ca="1">IF(RAND()&lt;0.8,F_Baseline_data!C793,IF(RAND()&lt;0.85,F_Baseline_data!C793+1,IF(F_Baseline_data!C793&gt;3,C793-1,F_Baseline_data!C793)))</f>
        <v>9</v>
      </c>
      <c r="D793">
        <f ca="1">MAX(5000,ROUND(F_Baseline_data!D793*(1+_xlfn.NORM.INV(RAND(),0.12,0.1)),-2))</f>
        <v>56300</v>
      </c>
      <c r="E793" t="str">
        <f ca="1">IF(I793=1,IF(RAND()&lt;0.95,"Piped Water",F_Baseline_data!E793),F_Baseline_data!E793)</f>
        <v>Piped Water</v>
      </c>
      <c r="F793">
        <f t="shared" ca="1" si="24"/>
        <v>2</v>
      </c>
      <c r="G793">
        <v>6.2</v>
      </c>
      <c r="H793">
        <f ca="1">MAX(0,ROUND(F_Baseline_data!H793+(F_Baseline_data!C793-5)*200+(D793-30000)*0.015+(F793-50)*15-IF(I793=1,1200,0)+_xlfn.NORM.INV(RAND(),0,2500),-2))</f>
        <v>2000</v>
      </c>
      <c r="I793">
        <v>1</v>
      </c>
      <c r="J793">
        <f>1</f>
        <v>1</v>
      </c>
      <c r="K793">
        <f>1</f>
        <v>1</v>
      </c>
      <c r="L793">
        <v>0</v>
      </c>
      <c r="M793">
        <f t="shared" ca="1" si="25"/>
        <v>0.60833888582491169</v>
      </c>
      <c r="N793">
        <v>0</v>
      </c>
      <c r="O793">
        <v>0</v>
      </c>
      <c r="P793">
        <v>0</v>
      </c>
    </row>
    <row r="794" spans="1:16" x14ac:dyDescent="0.3">
      <c r="A794" t="s">
        <v>906</v>
      </c>
      <c r="B794" t="s">
        <v>64</v>
      </c>
      <c r="C794">
        <f ca="1">IF(RAND()&lt;0.8,F_Baseline_data!C794,IF(RAND()&lt;0.85,F_Baseline_data!C794+1,IF(F_Baseline_data!C794&gt;3,C794-1,F_Baseline_data!C794)))</f>
        <v>6</v>
      </c>
      <c r="D794">
        <f ca="1">MAX(5000,ROUND(F_Baseline_data!D794*(1+_xlfn.NORM.INV(RAND(),0.12,0.1)),-2))</f>
        <v>46000</v>
      </c>
      <c r="E794" t="str">
        <f ca="1">IF(I794=1,IF(RAND()&lt;0.95,"Piped Water",F_Baseline_data!E794),F_Baseline_data!E794)</f>
        <v>Piped Water</v>
      </c>
      <c r="F794">
        <f t="shared" ca="1" si="24"/>
        <v>0</v>
      </c>
      <c r="G794">
        <v>8.4</v>
      </c>
      <c r="H794">
        <f ca="1">MAX(0,ROUND(F_Baseline_data!H794+(F_Baseline_data!C794-5)*200+(D794-30000)*0.015+(F794-50)*15-IF(I794=1,1200,0)+_xlfn.NORM.INV(RAND(),0,2500),-2))</f>
        <v>4000</v>
      </c>
      <c r="I794">
        <v>1</v>
      </c>
      <c r="J794">
        <f>1</f>
        <v>1</v>
      </c>
      <c r="K794">
        <f>1</f>
        <v>1</v>
      </c>
      <c r="L794">
        <v>0</v>
      </c>
      <c r="M794">
        <f t="shared" ca="1" si="25"/>
        <v>0.73298880173859704</v>
      </c>
      <c r="N794">
        <v>0</v>
      </c>
      <c r="O794">
        <v>0</v>
      </c>
      <c r="P794">
        <v>0</v>
      </c>
    </row>
    <row r="795" spans="1:16" x14ac:dyDescent="0.3">
      <c r="A795" t="s">
        <v>907</v>
      </c>
      <c r="B795" t="s">
        <v>513</v>
      </c>
      <c r="C795">
        <f ca="1">IF(RAND()&lt;0.8,F_Baseline_data!C795,IF(RAND()&lt;0.85,F_Baseline_data!C795+1,IF(F_Baseline_data!C795&gt;3,C795-1,F_Baseline_data!C795)))</f>
        <v>6</v>
      </c>
      <c r="D795">
        <f ca="1">MAX(5000,ROUND(F_Baseline_data!D795*(1+_xlfn.NORM.INV(RAND(),0.12,0.1)),-2))</f>
        <v>30000</v>
      </c>
      <c r="E795" t="str">
        <f ca="1">IF(I795=1,IF(RAND()&lt;0.95,"Piped Water",F_Baseline_data!E795),F_Baseline_data!E795)</f>
        <v>Piped Water</v>
      </c>
      <c r="F795">
        <f t="shared" ca="1" si="24"/>
        <v>9</v>
      </c>
      <c r="G795">
        <v>3.8</v>
      </c>
      <c r="H795">
        <f ca="1">MAX(0,ROUND(F_Baseline_data!H795+(F_Baseline_data!C795-5)*200+(D795-30000)*0.015+(F795-50)*15-IF(I795=1,1200,0)+_xlfn.NORM.INV(RAND(),0,2500),-2))</f>
        <v>3000</v>
      </c>
      <c r="I795">
        <v>1</v>
      </c>
      <c r="J795">
        <f>1</f>
        <v>1</v>
      </c>
      <c r="K795">
        <f>1</f>
        <v>1</v>
      </c>
      <c r="L795">
        <v>0</v>
      </c>
      <c r="M795">
        <f t="shared" ca="1" si="25"/>
        <v>0.49496848866818555</v>
      </c>
      <c r="N795">
        <v>0</v>
      </c>
      <c r="O795">
        <v>0</v>
      </c>
      <c r="P795">
        <v>0</v>
      </c>
    </row>
    <row r="796" spans="1:16" x14ac:dyDescent="0.3">
      <c r="A796" t="s">
        <v>908</v>
      </c>
      <c r="B796" t="s">
        <v>64</v>
      </c>
      <c r="C796">
        <f ca="1">IF(RAND()&lt;0.8,F_Baseline_data!C796,IF(RAND()&lt;0.85,F_Baseline_data!C796+1,IF(F_Baseline_data!C796&gt;3,C796-1,F_Baseline_data!C796)))</f>
        <v>4</v>
      </c>
      <c r="D796">
        <f ca="1">MAX(5000,ROUND(F_Baseline_data!D796*(1+_xlfn.NORM.INV(RAND(),0.12,0.1)),-2))</f>
        <v>53100</v>
      </c>
      <c r="E796" t="str">
        <f ca="1">IF(I796=1,IF(RAND()&lt;0.95,"Piped Water",F_Baseline_data!E796),F_Baseline_data!E796)</f>
        <v>Piped Water</v>
      </c>
      <c r="F796">
        <f t="shared" ca="1" si="24"/>
        <v>0</v>
      </c>
      <c r="G796">
        <v>9.3000000000000007</v>
      </c>
      <c r="H796">
        <f ca="1">MAX(0,ROUND(F_Baseline_data!H796+(F_Baseline_data!C796-5)*200+(D796-30000)*0.015+(F796-50)*15-IF(I796=1,1200,0)+_xlfn.NORM.INV(RAND(),0,2500),-2))</f>
        <v>2300</v>
      </c>
      <c r="I796">
        <v>1</v>
      </c>
      <c r="J796">
        <f>1</f>
        <v>1</v>
      </c>
      <c r="K796">
        <f>1</f>
        <v>1</v>
      </c>
      <c r="L796">
        <v>0</v>
      </c>
      <c r="M796">
        <f t="shared" ca="1" si="25"/>
        <v>0.73318417339032793</v>
      </c>
      <c r="N796">
        <v>0</v>
      </c>
      <c r="O796">
        <v>0</v>
      </c>
      <c r="P796">
        <v>0</v>
      </c>
    </row>
    <row r="797" spans="1:16" x14ac:dyDescent="0.3">
      <c r="A797" t="s">
        <v>909</v>
      </c>
      <c r="B797" t="s">
        <v>513</v>
      </c>
      <c r="C797">
        <f ca="1">IF(RAND()&lt;0.8,F_Baseline_data!C797,IF(RAND()&lt;0.85,F_Baseline_data!C797+1,IF(F_Baseline_data!C797&gt;3,C797-1,F_Baseline_data!C797)))</f>
        <v>3</v>
      </c>
      <c r="D797">
        <f ca="1">MAX(5000,ROUND(F_Baseline_data!D797*(1+_xlfn.NORM.INV(RAND(),0.12,0.1)),-2))</f>
        <v>50500</v>
      </c>
      <c r="E797" t="str">
        <f ca="1">IF(I797=1,IF(RAND()&lt;0.95,"Piped Water",F_Baseline_data!E797),F_Baseline_data!E797)</f>
        <v>Piped Water</v>
      </c>
      <c r="F797">
        <f t="shared" ca="1" si="24"/>
        <v>7</v>
      </c>
      <c r="G797">
        <v>7.8</v>
      </c>
      <c r="H797">
        <f ca="1">MAX(0,ROUND(F_Baseline_data!H797+(F_Baseline_data!C797-5)*200+(D797-30000)*0.015+(F797-50)*15-IF(I797=1,1200,0)+_xlfn.NORM.INV(RAND(),0,2500),-2))</f>
        <v>4500</v>
      </c>
      <c r="I797">
        <v>1</v>
      </c>
      <c r="J797">
        <f>1</f>
        <v>1</v>
      </c>
      <c r="K797">
        <f>1</f>
        <v>1</v>
      </c>
      <c r="L797">
        <v>0</v>
      </c>
      <c r="M797">
        <f t="shared" ca="1" si="25"/>
        <v>0.20148739438652907</v>
      </c>
      <c r="N797">
        <v>0</v>
      </c>
      <c r="O797">
        <v>0</v>
      </c>
      <c r="P797">
        <v>0</v>
      </c>
    </row>
    <row r="798" spans="1:16" x14ac:dyDescent="0.3">
      <c r="A798" t="s">
        <v>910</v>
      </c>
      <c r="B798" t="s">
        <v>62</v>
      </c>
      <c r="C798">
        <f ca="1">IF(RAND()&lt;0.8,F_Baseline_data!C798,IF(RAND()&lt;0.85,F_Baseline_data!C798+1,IF(F_Baseline_data!C798&gt;3,C798-1,F_Baseline_data!C798)))</f>
        <v>3</v>
      </c>
      <c r="D798">
        <f ca="1">MAX(5000,ROUND(F_Baseline_data!D798*(1+_xlfn.NORM.INV(RAND(),0.12,0.1)),-2))</f>
        <v>62400</v>
      </c>
      <c r="E798" t="str">
        <f ca="1">IF(I798=1,IF(RAND()&lt;0.95,"Piped Water",F_Baseline_data!E798),F_Baseline_data!E798)</f>
        <v>Piped Water</v>
      </c>
      <c r="F798">
        <f t="shared" ca="1" si="24"/>
        <v>6</v>
      </c>
      <c r="G798">
        <v>5.0999999999999996</v>
      </c>
      <c r="H798">
        <f ca="1">MAX(0,ROUND(F_Baseline_data!H798+(F_Baseline_data!C798-5)*200+(D798-30000)*0.015+(F798-50)*15-IF(I798=1,1200,0)+_xlfn.NORM.INV(RAND(),0,2500),-2))</f>
        <v>3500</v>
      </c>
      <c r="I798">
        <v>1</v>
      </c>
      <c r="J798">
        <f>1</f>
        <v>1</v>
      </c>
      <c r="K798">
        <f>1</f>
        <v>1</v>
      </c>
      <c r="L798">
        <v>0</v>
      </c>
      <c r="M798">
        <f t="shared" ca="1" si="25"/>
        <v>0.66819243269494544</v>
      </c>
      <c r="N798">
        <v>0</v>
      </c>
      <c r="O798">
        <v>0</v>
      </c>
      <c r="P798">
        <v>0</v>
      </c>
    </row>
    <row r="799" spans="1:16" x14ac:dyDescent="0.3">
      <c r="A799" t="s">
        <v>911</v>
      </c>
      <c r="B799" t="s">
        <v>64</v>
      </c>
      <c r="C799">
        <f ca="1">IF(RAND()&lt;0.8,F_Baseline_data!C799,IF(RAND()&lt;0.85,F_Baseline_data!C799+1,IF(F_Baseline_data!C799&gt;3,C799-1,F_Baseline_data!C799)))</f>
        <v>6</v>
      </c>
      <c r="D799">
        <f ca="1">MAX(5000,ROUND(F_Baseline_data!D799*(1+_xlfn.NORM.INV(RAND(),0.12,0.1)),-2))</f>
        <v>82800</v>
      </c>
      <c r="E799" t="str">
        <f ca="1">IF(I799=1,IF(RAND()&lt;0.95,"Piped Water",F_Baseline_data!E799),F_Baseline_data!E799)</f>
        <v>Piped Water</v>
      </c>
      <c r="F799">
        <f t="shared" ca="1" si="24"/>
        <v>0</v>
      </c>
      <c r="G799">
        <v>2.9</v>
      </c>
      <c r="H799">
        <f ca="1">MAX(0,ROUND(F_Baseline_data!H799+(F_Baseline_data!C799-5)*200+(D799-30000)*0.015+(F799-50)*15-IF(I799=1,1200,0)+_xlfn.NORM.INV(RAND(),0,2500),-2))</f>
        <v>5100</v>
      </c>
      <c r="I799">
        <v>1</v>
      </c>
      <c r="J799">
        <f>1</f>
        <v>1</v>
      </c>
      <c r="K799">
        <f>1</f>
        <v>1</v>
      </c>
      <c r="L799">
        <v>0</v>
      </c>
      <c r="M799">
        <f t="shared" ca="1" si="25"/>
        <v>0.87956396354342437</v>
      </c>
      <c r="N799">
        <v>0</v>
      </c>
      <c r="O799">
        <v>0</v>
      </c>
      <c r="P799">
        <v>0</v>
      </c>
    </row>
    <row r="800" spans="1:16" x14ac:dyDescent="0.3">
      <c r="A800" t="s">
        <v>912</v>
      </c>
      <c r="B800" t="s">
        <v>513</v>
      </c>
      <c r="C800">
        <f ca="1">IF(RAND()&lt;0.8,F_Baseline_data!C800,IF(RAND()&lt;0.85,F_Baseline_data!C800+1,IF(F_Baseline_data!C800&gt;3,C800-1,F_Baseline_data!C800)))</f>
        <v>7</v>
      </c>
      <c r="D800">
        <f ca="1">MAX(5000,ROUND(F_Baseline_data!D800*(1+_xlfn.NORM.INV(RAND(),0.12,0.1)),-2))</f>
        <v>72700</v>
      </c>
      <c r="E800" t="str">
        <f ca="1">IF(I800=1,IF(RAND()&lt;0.95,"Piped Water",F_Baseline_data!E800),F_Baseline_data!E800)</f>
        <v>Piped Water</v>
      </c>
      <c r="F800">
        <f t="shared" ca="1" si="24"/>
        <v>10</v>
      </c>
      <c r="G800">
        <v>9.1999999999999993</v>
      </c>
      <c r="H800">
        <f ca="1">MAX(0,ROUND(F_Baseline_data!H800+(F_Baseline_data!C800-5)*200+(D800-30000)*0.015+(F800-50)*15-IF(I800=1,1200,0)+_xlfn.NORM.INV(RAND(),0,2500),-2))</f>
        <v>1600</v>
      </c>
      <c r="I800">
        <v>1</v>
      </c>
      <c r="J800">
        <f>1</f>
        <v>1</v>
      </c>
      <c r="K800">
        <f>1</f>
        <v>1</v>
      </c>
      <c r="L800">
        <v>0</v>
      </c>
      <c r="M800">
        <f t="shared" ca="1" si="25"/>
        <v>0.57628259257697456</v>
      </c>
      <c r="N800">
        <v>0</v>
      </c>
      <c r="O800">
        <v>0</v>
      </c>
      <c r="P800">
        <v>0</v>
      </c>
    </row>
    <row r="801" spans="1:16" x14ac:dyDescent="0.3">
      <c r="A801" t="s">
        <v>913</v>
      </c>
      <c r="B801" t="s">
        <v>64</v>
      </c>
      <c r="C801">
        <f ca="1">IF(RAND()&lt;0.8,F_Baseline_data!C801,IF(RAND()&lt;0.85,F_Baseline_data!C801+1,IF(F_Baseline_data!C801&gt;3,C801-1,F_Baseline_data!C801)))</f>
        <v>6</v>
      </c>
      <c r="D801">
        <f ca="1">MAX(5000,ROUND(F_Baseline_data!D801*(1+_xlfn.NORM.INV(RAND(),0.12,0.1)),-2))</f>
        <v>52000</v>
      </c>
      <c r="E801" t="str">
        <f ca="1">IF(I801=1,IF(RAND()&lt;0.95,"Piped Water",F_Baseline_data!E801),F_Baseline_data!E801)</f>
        <v>Piped Water</v>
      </c>
      <c r="F801">
        <f t="shared" ca="1" si="24"/>
        <v>4</v>
      </c>
      <c r="G801">
        <v>6</v>
      </c>
      <c r="H801">
        <f ca="1">MAX(0,ROUND(F_Baseline_data!H801+(F_Baseline_data!C801-5)*200+(D801-30000)*0.015+(F801-50)*15-IF(I801=1,1200,0)+_xlfn.NORM.INV(RAND(),0,2500),-2))</f>
        <v>10400</v>
      </c>
      <c r="I801">
        <v>1</v>
      </c>
      <c r="J801">
        <f>1</f>
        <v>1</v>
      </c>
      <c r="K801">
        <f>1</f>
        <v>1</v>
      </c>
      <c r="L801">
        <v>0</v>
      </c>
      <c r="M801">
        <f t="shared" ca="1" si="25"/>
        <v>0.31607009243491968</v>
      </c>
      <c r="N801">
        <v>0</v>
      </c>
      <c r="O801">
        <v>0</v>
      </c>
      <c r="P801">
        <v>0</v>
      </c>
    </row>
    <row r="802" spans="1:16" x14ac:dyDescent="0.3">
      <c r="A802" t="s">
        <v>914</v>
      </c>
      <c r="B802" t="s">
        <v>62</v>
      </c>
      <c r="C802">
        <f ca="1">IF(RAND()&lt;0.8,F_Baseline_data!C802,IF(RAND()&lt;0.85,F_Baseline_data!C802+1,IF(F_Baseline_data!C802&gt;3,C802-1,F_Baseline_data!C802)))</f>
        <v>6</v>
      </c>
      <c r="D802">
        <f ca="1">MAX(5000,ROUND(F_Baseline_data!D802*(1+_xlfn.NORM.INV(RAND(),0.12,0.1)),-2))</f>
        <v>51200</v>
      </c>
      <c r="E802" t="str">
        <f ca="1">IF(I802=1,IF(RAND()&lt;0.95,"Piped Water",F_Baseline_data!E802),F_Baseline_data!E802)</f>
        <v>Piped Water</v>
      </c>
      <c r="F802">
        <f t="shared" ca="1" si="24"/>
        <v>0</v>
      </c>
      <c r="G802">
        <v>7.3</v>
      </c>
      <c r="H802">
        <f ca="1">MAX(0,ROUND(F_Baseline_data!H802+(F_Baseline_data!C802-5)*200+(D802-30000)*0.015+(F802-50)*15-IF(I802=1,1200,0)+_xlfn.NORM.INV(RAND(),0,2500),-2))</f>
        <v>10300</v>
      </c>
      <c r="I802">
        <v>1</v>
      </c>
      <c r="J802">
        <f>1</f>
        <v>1</v>
      </c>
      <c r="K802">
        <f>1</f>
        <v>1</v>
      </c>
      <c r="L802">
        <v>0</v>
      </c>
      <c r="M802">
        <f t="shared" ca="1" si="25"/>
        <v>0.75298561278021059</v>
      </c>
      <c r="N802">
        <v>0</v>
      </c>
      <c r="O802">
        <v>0</v>
      </c>
      <c r="P802">
        <v>0</v>
      </c>
    </row>
    <row r="803" spans="1:16" x14ac:dyDescent="0.3">
      <c r="A803" t="s">
        <v>915</v>
      </c>
      <c r="B803" t="s">
        <v>513</v>
      </c>
      <c r="C803">
        <f ca="1">IF(RAND()&lt;0.8,F_Baseline_data!C803,IF(RAND()&lt;0.85,F_Baseline_data!C803+1,IF(F_Baseline_data!C803&gt;3,C803-1,F_Baseline_data!C803)))</f>
        <v>5</v>
      </c>
      <c r="D803">
        <f ca="1">MAX(5000,ROUND(F_Baseline_data!D803*(1+_xlfn.NORM.INV(RAND(),0.12,0.1)),-2))</f>
        <v>37100</v>
      </c>
      <c r="E803" t="str">
        <f ca="1">IF(I803=1,IF(RAND()&lt;0.95,"Piped Water",F_Baseline_data!E803),F_Baseline_data!E803)</f>
        <v>Piped Water</v>
      </c>
      <c r="F803">
        <f t="shared" ca="1" si="24"/>
        <v>3</v>
      </c>
      <c r="G803">
        <v>4</v>
      </c>
      <c r="H803">
        <f ca="1">MAX(0,ROUND(F_Baseline_data!H803+(F_Baseline_data!C803-5)*200+(D803-30000)*0.015+(F803-50)*15-IF(I803=1,1200,0)+_xlfn.NORM.INV(RAND(),0,2500),-2))</f>
        <v>3500</v>
      </c>
      <c r="I803">
        <v>1</v>
      </c>
      <c r="J803">
        <f>1</f>
        <v>1</v>
      </c>
      <c r="K803">
        <f>1</f>
        <v>1</v>
      </c>
      <c r="L803">
        <v>0</v>
      </c>
      <c r="M803">
        <f t="shared" ca="1" si="25"/>
        <v>0.32454716283237395</v>
      </c>
      <c r="N803">
        <v>0</v>
      </c>
      <c r="O803">
        <v>0</v>
      </c>
      <c r="P803">
        <v>0</v>
      </c>
    </row>
    <row r="804" spans="1:16" x14ac:dyDescent="0.3">
      <c r="A804" t="s">
        <v>916</v>
      </c>
      <c r="B804" t="s">
        <v>64</v>
      </c>
      <c r="C804">
        <f ca="1">IF(RAND()&lt;0.8,F_Baseline_data!C804,IF(RAND()&lt;0.85,F_Baseline_data!C804+1,IF(F_Baseline_data!C804&gt;3,C804-1,F_Baseline_data!C804)))</f>
        <v>6</v>
      </c>
      <c r="D804">
        <f ca="1">MAX(5000,ROUND(F_Baseline_data!D804*(1+_xlfn.NORM.INV(RAND(),0.12,0.1)),-2))</f>
        <v>56800</v>
      </c>
      <c r="E804" t="str">
        <f ca="1">IF(I804=1,IF(RAND()&lt;0.95,"Piped Water",F_Baseline_data!E804),F_Baseline_data!E804)</f>
        <v>Piped Water</v>
      </c>
      <c r="F804">
        <f t="shared" ca="1" si="24"/>
        <v>0</v>
      </c>
      <c r="G804">
        <v>7</v>
      </c>
      <c r="H804">
        <f ca="1">MAX(0,ROUND(F_Baseline_data!H804+(F_Baseline_data!C804-5)*200+(D804-30000)*0.015+(F804-50)*15-IF(I804=1,1200,0)+_xlfn.NORM.INV(RAND(),0,2500),-2))</f>
        <v>5700</v>
      </c>
      <c r="I804">
        <v>1</v>
      </c>
      <c r="J804">
        <f>1</f>
        <v>1</v>
      </c>
      <c r="K804">
        <f>1</f>
        <v>1</v>
      </c>
      <c r="L804">
        <v>0</v>
      </c>
      <c r="M804">
        <f t="shared" ca="1" si="25"/>
        <v>0.99908276979315735</v>
      </c>
      <c r="N804">
        <v>0</v>
      </c>
      <c r="O804">
        <v>0</v>
      </c>
      <c r="P804">
        <v>0</v>
      </c>
    </row>
    <row r="805" spans="1:16" x14ac:dyDescent="0.3">
      <c r="A805" t="s">
        <v>917</v>
      </c>
      <c r="B805" t="s">
        <v>65</v>
      </c>
      <c r="C805">
        <f ca="1">IF(RAND()&lt;0.8,F_Baseline_data!C805,IF(RAND()&lt;0.85,F_Baseline_data!C805+1,IF(F_Baseline_data!C805&gt;3,C805-1,F_Baseline_data!C805)))</f>
        <v>9</v>
      </c>
      <c r="D805">
        <f ca="1">MAX(5000,ROUND(F_Baseline_data!D805*(1+_xlfn.NORM.INV(RAND(),0.12,0.1)),-2))</f>
        <v>28600</v>
      </c>
      <c r="E805" t="str">
        <f ca="1">IF(I805=1,IF(RAND()&lt;0.95,"Piped Water",F_Baseline_data!E805),F_Baseline_data!E805)</f>
        <v>Piped Water</v>
      </c>
      <c r="F805">
        <f t="shared" ca="1" si="24"/>
        <v>6</v>
      </c>
      <c r="G805">
        <v>10.8</v>
      </c>
      <c r="H805">
        <f ca="1">MAX(0,ROUND(F_Baseline_data!H805+(F_Baseline_data!C805-5)*200+(D805-30000)*0.015+(F805-50)*15-IF(I805=1,1200,0)+_xlfn.NORM.INV(RAND(),0,2500),-2))</f>
        <v>0</v>
      </c>
      <c r="I805">
        <v>1</v>
      </c>
      <c r="J805">
        <f>1</f>
        <v>1</v>
      </c>
      <c r="K805">
        <f>1</f>
        <v>1</v>
      </c>
      <c r="L805">
        <v>0</v>
      </c>
      <c r="M805">
        <f t="shared" ca="1" si="25"/>
        <v>0.43964824997131768</v>
      </c>
      <c r="N805">
        <v>0</v>
      </c>
      <c r="O805">
        <v>0</v>
      </c>
      <c r="P805">
        <v>0</v>
      </c>
    </row>
    <row r="806" spans="1:16" x14ac:dyDescent="0.3">
      <c r="A806" t="s">
        <v>918</v>
      </c>
      <c r="B806" t="s">
        <v>513</v>
      </c>
      <c r="C806">
        <f ca="1">IF(RAND()&lt;0.8,F_Baseline_data!C806,IF(RAND()&lt;0.85,F_Baseline_data!C806+1,IF(F_Baseline_data!C806&gt;3,C806-1,F_Baseline_data!C806)))</f>
        <v>5</v>
      </c>
      <c r="D806">
        <f ca="1">MAX(5000,ROUND(F_Baseline_data!D806*(1+_xlfn.NORM.INV(RAND(),0.12,0.1)),-2))</f>
        <v>23000</v>
      </c>
      <c r="E806" t="str">
        <f ca="1">IF(I806=1,IF(RAND()&lt;0.95,"Piped Water",F_Baseline_data!E806),F_Baseline_data!E806)</f>
        <v>Piped Water</v>
      </c>
      <c r="F806">
        <f t="shared" ca="1" si="24"/>
        <v>4</v>
      </c>
      <c r="G806">
        <v>2.8</v>
      </c>
      <c r="H806">
        <f ca="1">MAX(0,ROUND(F_Baseline_data!H806+(F_Baseline_data!C806-5)*200+(D806-30000)*0.015+(F806-50)*15-IF(I806=1,1200,0)+_xlfn.NORM.INV(RAND(),0,2500),-2))</f>
        <v>5400</v>
      </c>
      <c r="I806">
        <v>1</v>
      </c>
      <c r="J806">
        <f>1</f>
        <v>1</v>
      </c>
      <c r="K806">
        <f>1</f>
        <v>1</v>
      </c>
      <c r="L806">
        <v>0</v>
      </c>
      <c r="M806">
        <f t="shared" ca="1" si="25"/>
        <v>0.22343645522232114</v>
      </c>
      <c r="N806">
        <v>0</v>
      </c>
      <c r="O806">
        <v>0</v>
      </c>
      <c r="P806">
        <v>0</v>
      </c>
    </row>
    <row r="807" spans="1:16" x14ac:dyDescent="0.3">
      <c r="A807" t="s">
        <v>919</v>
      </c>
      <c r="B807" t="s">
        <v>513</v>
      </c>
      <c r="C807">
        <f ca="1">IF(RAND()&lt;0.8,F_Baseline_data!C807,IF(RAND()&lt;0.85,F_Baseline_data!C807+1,IF(F_Baseline_data!C807&gt;3,C807-1,F_Baseline_data!C807)))</f>
        <v>4</v>
      </c>
      <c r="D807">
        <f ca="1">MAX(5000,ROUND(F_Baseline_data!D807*(1+_xlfn.NORM.INV(RAND(),0.12,0.1)),-2))</f>
        <v>32300</v>
      </c>
      <c r="E807" t="str">
        <f ca="1">IF(I807=1,IF(RAND()&lt;0.95,"Piped Water",F_Baseline_data!E807),F_Baseline_data!E807)</f>
        <v>Piped Water</v>
      </c>
      <c r="F807">
        <f t="shared" ca="1" si="24"/>
        <v>5</v>
      </c>
      <c r="G807">
        <v>1.8</v>
      </c>
      <c r="H807">
        <f ca="1">MAX(0,ROUND(F_Baseline_data!H807+(F_Baseline_data!C807-5)*200+(D807-30000)*0.015+(F807-50)*15-IF(I807=1,1200,0)+_xlfn.NORM.INV(RAND(),0,2500),-2))</f>
        <v>0</v>
      </c>
      <c r="I807">
        <v>1</v>
      </c>
      <c r="J807">
        <f>1</f>
        <v>1</v>
      </c>
      <c r="K807">
        <f>1</f>
        <v>1</v>
      </c>
      <c r="L807">
        <v>0</v>
      </c>
      <c r="M807">
        <f t="shared" ca="1" si="25"/>
        <v>7.767641378556478E-2</v>
      </c>
      <c r="N807">
        <v>0</v>
      </c>
      <c r="O807">
        <v>0</v>
      </c>
      <c r="P807">
        <v>0</v>
      </c>
    </row>
    <row r="808" spans="1:16" x14ac:dyDescent="0.3">
      <c r="A808" t="s">
        <v>920</v>
      </c>
      <c r="B808" t="s">
        <v>65</v>
      </c>
      <c r="C808">
        <f ca="1">IF(RAND()&lt;0.8,F_Baseline_data!C808,IF(RAND()&lt;0.85,F_Baseline_data!C808+1,IF(F_Baseline_data!C808&gt;3,C808-1,F_Baseline_data!C808)))</f>
        <v>6</v>
      </c>
      <c r="D808">
        <f ca="1">MAX(5000,ROUND(F_Baseline_data!D808*(1+_xlfn.NORM.INV(RAND(),0.12,0.1)),-2))</f>
        <v>63900</v>
      </c>
      <c r="E808" t="str">
        <f ca="1">IF(I808=1,IF(RAND()&lt;0.95,"Piped Water",F_Baseline_data!E808),F_Baseline_data!E808)</f>
        <v>Piped Water</v>
      </c>
      <c r="F808">
        <f t="shared" ca="1" si="24"/>
        <v>0</v>
      </c>
      <c r="G808">
        <v>9.6999999999999993</v>
      </c>
      <c r="H808">
        <f ca="1">MAX(0,ROUND(F_Baseline_data!H808+(F_Baseline_data!C808-5)*200+(D808-30000)*0.015+(F808-50)*15-IF(I808=1,1200,0)+_xlfn.NORM.INV(RAND(),0,2500),-2))</f>
        <v>5500</v>
      </c>
      <c r="I808">
        <v>1</v>
      </c>
      <c r="J808">
        <f>1</f>
        <v>1</v>
      </c>
      <c r="K808">
        <f>1</f>
        <v>1</v>
      </c>
      <c r="L808">
        <v>0</v>
      </c>
      <c r="M808">
        <f t="shared" ca="1" si="25"/>
        <v>0.42686861374020646</v>
      </c>
      <c r="N808">
        <v>0</v>
      </c>
      <c r="O808">
        <v>0</v>
      </c>
      <c r="P808">
        <v>0</v>
      </c>
    </row>
    <row r="809" spans="1:16" x14ac:dyDescent="0.3">
      <c r="A809" t="s">
        <v>921</v>
      </c>
      <c r="B809" t="s">
        <v>62</v>
      </c>
      <c r="C809">
        <f ca="1">IF(RAND()&lt;0.8,F_Baseline_data!C809,IF(RAND()&lt;0.85,F_Baseline_data!C809+1,IF(F_Baseline_data!C809&gt;3,C809-1,F_Baseline_data!C809)))</f>
        <v>8</v>
      </c>
      <c r="D809">
        <f ca="1">MAX(5000,ROUND(F_Baseline_data!D809*(1+_xlfn.NORM.INV(RAND(),0.12,0.1)),-2))</f>
        <v>91300</v>
      </c>
      <c r="E809" t="str">
        <f ca="1">IF(I809=1,IF(RAND()&lt;0.95,"Piped Water",F_Baseline_data!E809),F_Baseline_data!E809)</f>
        <v>Piped Water</v>
      </c>
      <c r="F809">
        <f t="shared" ca="1" si="24"/>
        <v>2</v>
      </c>
      <c r="G809">
        <v>0.8</v>
      </c>
      <c r="H809">
        <f ca="1">MAX(0,ROUND(F_Baseline_data!H809+(F_Baseline_data!C809-5)*200+(D809-30000)*0.015+(F809-50)*15-IF(I809=1,1200,0)+_xlfn.NORM.INV(RAND(),0,2500),-2))</f>
        <v>9000</v>
      </c>
      <c r="I809">
        <v>1</v>
      </c>
      <c r="J809">
        <f>1</f>
        <v>1</v>
      </c>
      <c r="K809">
        <f>1</f>
        <v>1</v>
      </c>
      <c r="L809">
        <v>0</v>
      </c>
      <c r="M809">
        <f t="shared" ca="1" si="25"/>
        <v>0.7303034103605005</v>
      </c>
      <c r="N809">
        <v>0</v>
      </c>
      <c r="O809">
        <v>0</v>
      </c>
      <c r="P809">
        <v>0</v>
      </c>
    </row>
    <row r="810" spans="1:16" x14ac:dyDescent="0.3">
      <c r="A810" t="s">
        <v>922</v>
      </c>
      <c r="B810" t="s">
        <v>513</v>
      </c>
      <c r="C810">
        <f ca="1">IF(RAND()&lt;0.8,F_Baseline_data!C810,IF(RAND()&lt;0.85,F_Baseline_data!C810+1,IF(F_Baseline_data!C810&gt;3,C810-1,F_Baseline_data!C810)))</f>
        <v>5</v>
      </c>
      <c r="D810">
        <f ca="1">MAX(5000,ROUND(F_Baseline_data!D810*(1+_xlfn.NORM.INV(RAND(),0.12,0.1)),-2))</f>
        <v>41500</v>
      </c>
      <c r="E810" t="str">
        <f ca="1">IF(I810=1,IF(RAND()&lt;0.95,"Piped Water",F_Baseline_data!E810),F_Baseline_data!E810)</f>
        <v>Piped Water</v>
      </c>
      <c r="F810">
        <f t="shared" ca="1" si="24"/>
        <v>10</v>
      </c>
      <c r="G810">
        <v>8</v>
      </c>
      <c r="H810">
        <f ca="1">MAX(0,ROUND(F_Baseline_data!H810+(F_Baseline_data!C810-5)*200+(D810-30000)*0.015+(F810-50)*15-IF(I810=1,1200,0)+_xlfn.NORM.INV(RAND(),0,2500),-2))</f>
        <v>1500</v>
      </c>
      <c r="I810">
        <v>1</v>
      </c>
      <c r="J810">
        <f>1</f>
        <v>1</v>
      </c>
      <c r="K810">
        <f>1</f>
        <v>1</v>
      </c>
      <c r="L810">
        <v>0</v>
      </c>
      <c r="M810">
        <f t="shared" ca="1" si="25"/>
        <v>0.94022752692355238</v>
      </c>
      <c r="N810">
        <v>0</v>
      </c>
      <c r="O810">
        <v>0</v>
      </c>
      <c r="P810">
        <v>0</v>
      </c>
    </row>
    <row r="811" spans="1:16" x14ac:dyDescent="0.3">
      <c r="A811" t="s">
        <v>923</v>
      </c>
      <c r="B811" t="s">
        <v>65</v>
      </c>
      <c r="C811">
        <f ca="1">IF(RAND()&lt;0.8,F_Baseline_data!C811,IF(RAND()&lt;0.85,F_Baseline_data!C811+1,IF(F_Baseline_data!C811&gt;3,C811-1,F_Baseline_data!C811)))</f>
        <v>1</v>
      </c>
      <c r="D811">
        <f ca="1">MAX(5000,ROUND(F_Baseline_data!D811*(1+_xlfn.NORM.INV(RAND(),0.12,0.1)),-2))</f>
        <v>31900</v>
      </c>
      <c r="E811" t="str">
        <f ca="1">IF(I811=1,IF(RAND()&lt;0.95,"Piped Water",F_Baseline_data!E811),F_Baseline_data!E811)</f>
        <v>River</v>
      </c>
      <c r="F811">
        <f t="shared" ca="1" si="24"/>
        <v>116</v>
      </c>
      <c r="G811">
        <v>3</v>
      </c>
      <c r="H811">
        <f ca="1">MAX(0,ROUND(F_Baseline_data!H811+(F_Baseline_data!C811-5)*200+(D811-30000)*0.015+(F811-50)*15-IF(I811=1,1200,0)+_xlfn.NORM.INV(RAND(),0,2500),-2))</f>
        <v>6400</v>
      </c>
      <c r="I811">
        <v>1</v>
      </c>
      <c r="J811">
        <f>1</f>
        <v>1</v>
      </c>
      <c r="K811">
        <f>1</f>
        <v>1</v>
      </c>
      <c r="L811">
        <v>0</v>
      </c>
      <c r="M811">
        <f t="shared" ca="1" si="25"/>
        <v>0.54849444775896639</v>
      </c>
      <c r="N811">
        <v>0</v>
      </c>
      <c r="O811">
        <v>0</v>
      </c>
      <c r="P811">
        <v>0</v>
      </c>
    </row>
    <row r="812" spans="1:16" x14ac:dyDescent="0.3">
      <c r="A812" t="s">
        <v>924</v>
      </c>
      <c r="B812" t="s">
        <v>64</v>
      </c>
      <c r="C812">
        <f ca="1">IF(RAND()&lt;0.8,F_Baseline_data!C812,IF(RAND()&lt;0.85,F_Baseline_data!C812+1,IF(F_Baseline_data!C812&gt;3,C812-1,F_Baseline_data!C812)))</f>
        <v>9</v>
      </c>
      <c r="D812">
        <f ca="1">MAX(5000,ROUND(F_Baseline_data!D812*(1+_xlfn.NORM.INV(RAND(),0.12,0.1)),-2))</f>
        <v>22000</v>
      </c>
      <c r="E812" t="str">
        <f ca="1">IF(I812=1,IF(RAND()&lt;0.95,"Piped Water",F_Baseline_data!E812),F_Baseline_data!E812)</f>
        <v>Piped Water</v>
      </c>
      <c r="F812">
        <f t="shared" ca="1" si="24"/>
        <v>7</v>
      </c>
      <c r="G812">
        <v>3.6</v>
      </c>
      <c r="H812">
        <f ca="1">MAX(0,ROUND(F_Baseline_data!H812+(F_Baseline_data!C812-5)*200+(D812-30000)*0.015+(F812-50)*15-IF(I812=1,1200,0)+_xlfn.NORM.INV(RAND(),0,2500),-2))</f>
        <v>2800</v>
      </c>
      <c r="I812">
        <v>1</v>
      </c>
      <c r="J812">
        <f>1</f>
        <v>1</v>
      </c>
      <c r="K812">
        <f>1</f>
        <v>1</v>
      </c>
      <c r="L812">
        <v>0</v>
      </c>
      <c r="M812">
        <f t="shared" ca="1" si="25"/>
        <v>8.5765399145271037E-2</v>
      </c>
      <c r="N812">
        <v>0</v>
      </c>
      <c r="O812">
        <v>0</v>
      </c>
      <c r="P812">
        <v>0</v>
      </c>
    </row>
    <row r="813" spans="1:16" x14ac:dyDescent="0.3">
      <c r="A813" t="s">
        <v>925</v>
      </c>
      <c r="B813" t="s">
        <v>65</v>
      </c>
      <c r="C813">
        <f ca="1">IF(RAND()&lt;0.8,F_Baseline_data!C813,IF(RAND()&lt;0.85,F_Baseline_data!C813+1,IF(F_Baseline_data!C813&gt;3,C813-1,F_Baseline_data!C813)))</f>
        <v>8</v>
      </c>
      <c r="D813">
        <f ca="1">MAX(5000,ROUND(F_Baseline_data!D813*(1+_xlfn.NORM.INV(RAND(),0.12,0.1)),-2))</f>
        <v>106100</v>
      </c>
      <c r="E813" t="str">
        <f ca="1">IF(I813=1,IF(RAND()&lt;0.95,"Piped Water",F_Baseline_data!E813),F_Baseline_data!E813)</f>
        <v>Piped Water</v>
      </c>
      <c r="F813">
        <f t="shared" ca="1" si="24"/>
        <v>0</v>
      </c>
      <c r="G813">
        <v>6.6</v>
      </c>
      <c r="H813">
        <f ca="1">MAX(0,ROUND(F_Baseline_data!H813+(F_Baseline_data!C813-5)*200+(D813-30000)*0.015+(F813-50)*15-IF(I813=1,1200,0)+_xlfn.NORM.INV(RAND(),0,2500),-2))</f>
        <v>15900</v>
      </c>
      <c r="I813">
        <v>1</v>
      </c>
      <c r="J813">
        <f>1</f>
        <v>1</v>
      </c>
      <c r="K813">
        <f>1</f>
        <v>1</v>
      </c>
      <c r="L813">
        <v>0</v>
      </c>
      <c r="M813">
        <f t="shared" ca="1" si="25"/>
        <v>8.693502301741618E-2</v>
      </c>
      <c r="N813">
        <v>0</v>
      </c>
      <c r="O813">
        <v>0</v>
      </c>
      <c r="P813">
        <v>0</v>
      </c>
    </row>
    <row r="814" spans="1:16" x14ac:dyDescent="0.3">
      <c r="A814" t="s">
        <v>926</v>
      </c>
      <c r="B814" t="s">
        <v>513</v>
      </c>
      <c r="C814">
        <f ca="1">IF(RAND()&lt;0.8,F_Baseline_data!C814,IF(RAND()&lt;0.85,F_Baseline_data!C814+1,IF(F_Baseline_data!C814&gt;3,C814-1,F_Baseline_data!C814)))</f>
        <v>3</v>
      </c>
      <c r="D814">
        <f ca="1">MAX(5000,ROUND(F_Baseline_data!D814*(1+_xlfn.NORM.INV(RAND(),0.12,0.1)),-2))</f>
        <v>26300</v>
      </c>
      <c r="E814" t="str">
        <f ca="1">IF(I814=1,IF(RAND()&lt;0.95,"Piped Water",F_Baseline_data!E814),F_Baseline_data!E814)</f>
        <v>Piped Water</v>
      </c>
      <c r="F814">
        <f t="shared" ca="1" si="24"/>
        <v>7</v>
      </c>
      <c r="G814">
        <v>10.6</v>
      </c>
      <c r="H814">
        <f ca="1">MAX(0,ROUND(F_Baseline_data!H814+(F_Baseline_data!C814-5)*200+(D814-30000)*0.015+(F814-50)*15-IF(I814=1,1200,0)+_xlfn.NORM.INV(RAND(),0,2500),-2))</f>
        <v>1500</v>
      </c>
      <c r="I814">
        <v>1</v>
      </c>
      <c r="J814">
        <f>1</f>
        <v>1</v>
      </c>
      <c r="K814">
        <f>1</f>
        <v>1</v>
      </c>
      <c r="L814">
        <v>0</v>
      </c>
      <c r="M814">
        <f t="shared" ca="1" si="25"/>
        <v>0.10656490371922622</v>
      </c>
      <c r="N814">
        <v>0</v>
      </c>
      <c r="O814">
        <v>0</v>
      </c>
      <c r="P814">
        <v>0</v>
      </c>
    </row>
    <row r="815" spans="1:16" x14ac:dyDescent="0.3">
      <c r="A815" t="s">
        <v>927</v>
      </c>
      <c r="B815" t="s">
        <v>513</v>
      </c>
      <c r="C815">
        <f ca="1">IF(RAND()&lt;0.8,F_Baseline_data!C815,IF(RAND()&lt;0.85,F_Baseline_data!C815+1,IF(F_Baseline_data!C815&gt;3,C815-1,F_Baseline_data!C815)))</f>
        <v>10</v>
      </c>
      <c r="D815">
        <f ca="1">MAX(5000,ROUND(F_Baseline_data!D815*(1+_xlfn.NORM.INV(RAND(),0.12,0.1)),-2))</f>
        <v>33700</v>
      </c>
      <c r="E815" t="str">
        <f ca="1">IF(I815=1,IF(RAND()&lt;0.95,"Piped Water",F_Baseline_data!E815),F_Baseline_data!E815)</f>
        <v>Piped Water</v>
      </c>
      <c r="F815">
        <f t="shared" ca="1" si="24"/>
        <v>7</v>
      </c>
      <c r="G815">
        <v>7.9</v>
      </c>
      <c r="H815">
        <f ca="1">MAX(0,ROUND(F_Baseline_data!H815+(F_Baseline_data!C815-5)*200+(D815-30000)*0.015+(F815-50)*15-IF(I815=1,1200,0)+_xlfn.NORM.INV(RAND(),0,2500),-2))</f>
        <v>600</v>
      </c>
      <c r="I815">
        <v>1</v>
      </c>
      <c r="J815">
        <f>1</f>
        <v>1</v>
      </c>
      <c r="K815">
        <f>1</f>
        <v>1</v>
      </c>
      <c r="L815">
        <v>0</v>
      </c>
      <c r="M815">
        <f t="shared" ca="1" si="25"/>
        <v>2.0190424057882073E-2</v>
      </c>
      <c r="N815">
        <v>0</v>
      </c>
      <c r="O815">
        <v>0</v>
      </c>
      <c r="P815">
        <v>0</v>
      </c>
    </row>
    <row r="816" spans="1:16" x14ac:dyDescent="0.3">
      <c r="A816" t="s">
        <v>928</v>
      </c>
      <c r="B816" t="s">
        <v>65</v>
      </c>
      <c r="C816">
        <f ca="1">IF(RAND()&lt;0.8,F_Baseline_data!C816,IF(RAND()&lt;0.85,F_Baseline_data!C816+1,IF(F_Baseline_data!C816&gt;3,C816-1,F_Baseline_data!C816)))</f>
        <v>6</v>
      </c>
      <c r="D816">
        <f ca="1">MAX(5000,ROUND(F_Baseline_data!D816*(1+_xlfn.NORM.INV(RAND(),0.12,0.1)),-2))</f>
        <v>99200</v>
      </c>
      <c r="E816" t="str">
        <f ca="1">IF(I816=1,IF(RAND()&lt;0.95,"Piped Water",F_Baseline_data!E816),F_Baseline_data!E816)</f>
        <v>Piped Water</v>
      </c>
      <c r="F816">
        <f t="shared" ca="1" si="24"/>
        <v>6</v>
      </c>
      <c r="G816">
        <v>5.5</v>
      </c>
      <c r="H816">
        <f ca="1">MAX(0,ROUND(F_Baseline_data!H816+(F_Baseline_data!C816-5)*200+(D816-30000)*0.015+(F816-50)*15-IF(I816=1,1200,0)+_xlfn.NORM.INV(RAND(),0,2500),-2))</f>
        <v>8100</v>
      </c>
      <c r="I816">
        <v>1</v>
      </c>
      <c r="J816">
        <f>1</f>
        <v>1</v>
      </c>
      <c r="K816">
        <f>1</f>
        <v>1</v>
      </c>
      <c r="L816">
        <v>0</v>
      </c>
      <c r="M816">
        <f t="shared" ca="1" si="25"/>
        <v>0.42713273512481087</v>
      </c>
      <c r="N816">
        <v>0</v>
      </c>
      <c r="O816">
        <v>0</v>
      </c>
      <c r="P816">
        <v>0</v>
      </c>
    </row>
    <row r="817" spans="1:16" x14ac:dyDescent="0.3">
      <c r="A817" t="s">
        <v>929</v>
      </c>
      <c r="B817" t="s">
        <v>62</v>
      </c>
      <c r="C817">
        <f ca="1">IF(RAND()&lt;0.8,F_Baseline_data!C817,IF(RAND()&lt;0.85,F_Baseline_data!C817+1,IF(F_Baseline_data!C817&gt;3,C817-1,F_Baseline_data!C817)))</f>
        <v>5</v>
      </c>
      <c r="D817">
        <f ca="1">MAX(5000,ROUND(F_Baseline_data!D817*(1+_xlfn.NORM.INV(RAND(),0.12,0.1)),-2))</f>
        <v>186300</v>
      </c>
      <c r="E817" t="str">
        <f ca="1">IF(I817=1,IF(RAND()&lt;0.95,"Piped Water",F_Baseline_data!E817),F_Baseline_data!E817)</f>
        <v>Piped Water</v>
      </c>
      <c r="F817">
        <f t="shared" ca="1" si="24"/>
        <v>9</v>
      </c>
      <c r="G817">
        <v>6.8</v>
      </c>
      <c r="H817">
        <f ca="1">MAX(0,ROUND(F_Baseline_data!H817+(F_Baseline_data!C817-5)*200+(D817-30000)*0.015+(F817-50)*15-IF(I817=1,1200,0)+_xlfn.NORM.INV(RAND(),0,2500),-2))</f>
        <v>9600</v>
      </c>
      <c r="I817">
        <v>1</v>
      </c>
      <c r="J817">
        <f>1</f>
        <v>1</v>
      </c>
      <c r="K817">
        <f>1</f>
        <v>1</v>
      </c>
      <c r="L817">
        <v>0</v>
      </c>
      <c r="M817">
        <f t="shared" ca="1" si="25"/>
        <v>0.46767977043833886</v>
      </c>
      <c r="N817">
        <v>0</v>
      </c>
      <c r="O817">
        <v>0</v>
      </c>
      <c r="P817">
        <v>0</v>
      </c>
    </row>
    <row r="818" spans="1:16" x14ac:dyDescent="0.3">
      <c r="A818" t="s">
        <v>930</v>
      </c>
      <c r="B818" t="s">
        <v>62</v>
      </c>
      <c r="C818">
        <f ca="1">IF(RAND()&lt;0.8,F_Baseline_data!C818,IF(RAND()&lt;0.85,F_Baseline_data!C818+1,IF(F_Baseline_data!C818&gt;3,C818-1,F_Baseline_data!C818)))</f>
        <v>7</v>
      </c>
      <c r="D818">
        <f ca="1">MAX(5000,ROUND(F_Baseline_data!D818*(1+_xlfn.NORM.INV(RAND(),0.12,0.1)),-2))</f>
        <v>96900</v>
      </c>
      <c r="E818" t="str">
        <f ca="1">IF(I818=1,IF(RAND()&lt;0.95,"Piped Water",F_Baseline_data!E818),F_Baseline_data!E818)</f>
        <v>Piped Water</v>
      </c>
      <c r="F818">
        <f t="shared" ca="1" si="24"/>
        <v>5</v>
      </c>
      <c r="G818">
        <v>7.4</v>
      </c>
      <c r="H818">
        <f ca="1">MAX(0,ROUND(F_Baseline_data!H818+(F_Baseline_data!C818-5)*200+(D818-30000)*0.015+(F818-50)*15-IF(I818=1,1200,0)+_xlfn.NORM.INV(RAND(),0,2500),-2))</f>
        <v>3500</v>
      </c>
      <c r="I818">
        <v>1</v>
      </c>
      <c r="J818">
        <f>1</f>
        <v>1</v>
      </c>
      <c r="K818">
        <f>1</f>
        <v>1</v>
      </c>
      <c r="L818">
        <v>0</v>
      </c>
      <c r="M818">
        <f t="shared" ca="1" si="25"/>
        <v>0.61133404381198286</v>
      </c>
      <c r="N818">
        <v>0</v>
      </c>
      <c r="O818">
        <v>0</v>
      </c>
      <c r="P818">
        <v>0</v>
      </c>
    </row>
    <row r="819" spans="1:16" x14ac:dyDescent="0.3">
      <c r="A819" t="s">
        <v>931</v>
      </c>
      <c r="B819" t="s">
        <v>513</v>
      </c>
      <c r="C819">
        <f ca="1">IF(RAND()&lt;0.8,F_Baseline_data!C819,IF(RAND()&lt;0.85,F_Baseline_data!C819+1,IF(F_Baseline_data!C819&gt;3,C819-1,F_Baseline_data!C819)))</f>
        <v>3</v>
      </c>
      <c r="D819">
        <f ca="1">MAX(5000,ROUND(F_Baseline_data!D819*(1+_xlfn.NORM.INV(RAND(),0.12,0.1)),-2))</f>
        <v>8400</v>
      </c>
      <c r="E819" t="str">
        <f ca="1">IF(I819=1,IF(RAND()&lt;0.95,"Piped Water",F_Baseline_data!E819),F_Baseline_data!E819)</f>
        <v>Piped Water</v>
      </c>
      <c r="F819">
        <f t="shared" ca="1" si="24"/>
        <v>8</v>
      </c>
      <c r="G819">
        <v>7.8</v>
      </c>
      <c r="H819">
        <f ca="1">MAX(0,ROUND(F_Baseline_data!H819+(F_Baseline_data!C819-5)*200+(D819-30000)*0.015+(F819-50)*15-IF(I819=1,1200,0)+_xlfn.NORM.INV(RAND(),0,2500),-2))</f>
        <v>0</v>
      </c>
      <c r="I819">
        <v>1</v>
      </c>
      <c r="J819">
        <f>1</f>
        <v>1</v>
      </c>
      <c r="K819">
        <f>1</f>
        <v>1</v>
      </c>
      <c r="L819">
        <v>0</v>
      </c>
      <c r="M819">
        <f t="shared" ca="1" si="25"/>
        <v>0.65645886512052953</v>
      </c>
      <c r="N819">
        <v>0</v>
      </c>
      <c r="O819">
        <v>0</v>
      </c>
      <c r="P819">
        <v>0</v>
      </c>
    </row>
    <row r="820" spans="1:16" x14ac:dyDescent="0.3">
      <c r="A820" t="s">
        <v>932</v>
      </c>
      <c r="B820" t="s">
        <v>62</v>
      </c>
      <c r="C820">
        <f ca="1">IF(RAND()&lt;0.8,F_Baseline_data!C820,IF(RAND()&lt;0.85,F_Baseline_data!C820+1,IF(F_Baseline_data!C820&gt;3,C820-1,F_Baseline_data!C820)))</f>
        <v>4</v>
      </c>
      <c r="D820">
        <f ca="1">MAX(5000,ROUND(F_Baseline_data!D820*(1+_xlfn.NORM.INV(RAND(),0.12,0.1)),-2))</f>
        <v>17800</v>
      </c>
      <c r="E820" t="str">
        <f ca="1">IF(I820=1,IF(RAND()&lt;0.95,"Piped Water",F_Baseline_data!E820),F_Baseline_data!E820)</f>
        <v>Piped Water</v>
      </c>
      <c r="F820">
        <f t="shared" ca="1" si="24"/>
        <v>1</v>
      </c>
      <c r="G820">
        <v>10</v>
      </c>
      <c r="H820">
        <f ca="1">MAX(0,ROUND(F_Baseline_data!H820+(F_Baseline_data!C820-5)*200+(D820-30000)*0.015+(F820-50)*15-IF(I820=1,1200,0)+_xlfn.NORM.INV(RAND(),0,2500),-2))</f>
        <v>3700</v>
      </c>
      <c r="I820">
        <v>1</v>
      </c>
      <c r="J820">
        <f>1</f>
        <v>1</v>
      </c>
      <c r="K820">
        <f>1</f>
        <v>1</v>
      </c>
      <c r="L820">
        <v>0</v>
      </c>
      <c r="M820">
        <f t="shared" ca="1" si="25"/>
        <v>0.12450872152362602</v>
      </c>
      <c r="N820">
        <v>0</v>
      </c>
      <c r="O820">
        <v>0</v>
      </c>
      <c r="P820">
        <v>0</v>
      </c>
    </row>
    <row r="821" spans="1:16" x14ac:dyDescent="0.3">
      <c r="A821" t="s">
        <v>933</v>
      </c>
      <c r="B821" t="s">
        <v>62</v>
      </c>
      <c r="C821">
        <f ca="1">IF(RAND()&lt;0.8,F_Baseline_data!C821,IF(RAND()&lt;0.85,F_Baseline_data!C821+1,IF(F_Baseline_data!C821&gt;3,C821-1,F_Baseline_data!C821)))</f>
        <v>8</v>
      </c>
      <c r="D821">
        <f ca="1">MAX(5000,ROUND(F_Baseline_data!D821*(1+_xlfn.NORM.INV(RAND(),0.12,0.1)),-2))</f>
        <v>69000</v>
      </c>
      <c r="E821" t="str">
        <f ca="1">IF(I821=1,IF(RAND()&lt;0.95,"Piped Water",F_Baseline_data!E821),F_Baseline_data!E821)</f>
        <v>Piped Water</v>
      </c>
      <c r="F821">
        <f t="shared" ca="1" si="24"/>
        <v>10</v>
      </c>
      <c r="G821">
        <v>9</v>
      </c>
      <c r="H821">
        <f ca="1">MAX(0,ROUND(F_Baseline_data!H821+(F_Baseline_data!C821-5)*200+(D821-30000)*0.015+(F821-50)*15-IF(I821=1,1200,0)+_xlfn.NORM.INV(RAND(),0,2500),-2))</f>
        <v>5100</v>
      </c>
      <c r="I821">
        <v>1</v>
      </c>
      <c r="J821">
        <f>1</f>
        <v>1</v>
      </c>
      <c r="K821">
        <f>1</f>
        <v>1</v>
      </c>
      <c r="L821">
        <v>0</v>
      </c>
      <c r="M821">
        <f t="shared" ca="1" si="25"/>
        <v>0.83716651771314665</v>
      </c>
      <c r="N821">
        <v>0</v>
      </c>
      <c r="O821">
        <v>0</v>
      </c>
      <c r="P821">
        <v>0</v>
      </c>
    </row>
    <row r="822" spans="1:16" x14ac:dyDescent="0.3">
      <c r="A822" t="s">
        <v>934</v>
      </c>
      <c r="B822" t="s">
        <v>64</v>
      </c>
      <c r="C822">
        <f ca="1">IF(RAND()&lt;0.8,F_Baseline_data!C822,IF(RAND()&lt;0.85,F_Baseline_data!C822+1,IF(F_Baseline_data!C822&gt;3,C822-1,F_Baseline_data!C822)))</f>
        <v>7</v>
      </c>
      <c r="D822">
        <f ca="1">MAX(5000,ROUND(F_Baseline_data!D822*(1+_xlfn.NORM.INV(RAND(),0.12,0.1)),-2))</f>
        <v>50400</v>
      </c>
      <c r="E822" t="str">
        <f ca="1">IF(I822=1,IF(RAND()&lt;0.95,"Piped Water",F_Baseline_data!E822),F_Baseline_data!E822)</f>
        <v>Piped Water</v>
      </c>
      <c r="F822">
        <f t="shared" ca="1" si="24"/>
        <v>4</v>
      </c>
      <c r="G822">
        <v>7.2</v>
      </c>
      <c r="H822">
        <f ca="1">MAX(0,ROUND(F_Baseline_data!H822+(F_Baseline_data!C822-5)*200+(D822-30000)*0.015+(F822-50)*15-IF(I822=1,1200,0)+_xlfn.NORM.INV(RAND(),0,2500),-2))</f>
        <v>7800</v>
      </c>
      <c r="I822">
        <v>1</v>
      </c>
      <c r="J822">
        <f>1</f>
        <v>1</v>
      </c>
      <c r="K822">
        <f>1</f>
        <v>1</v>
      </c>
      <c r="L822">
        <v>0</v>
      </c>
      <c r="M822">
        <f t="shared" ca="1" si="25"/>
        <v>0.67304432185509966</v>
      </c>
      <c r="N822">
        <v>0</v>
      </c>
      <c r="O822">
        <v>0</v>
      </c>
      <c r="P822">
        <v>0</v>
      </c>
    </row>
    <row r="823" spans="1:16" x14ac:dyDescent="0.3">
      <c r="A823" t="s">
        <v>935</v>
      </c>
      <c r="B823" t="s">
        <v>513</v>
      </c>
      <c r="C823">
        <f ca="1">IF(RAND()&lt;0.8,F_Baseline_data!C823,IF(RAND()&lt;0.85,F_Baseline_data!C823+1,IF(F_Baseline_data!C823&gt;3,C823-1,F_Baseline_data!C823)))</f>
        <v>5</v>
      </c>
      <c r="D823">
        <f ca="1">MAX(5000,ROUND(F_Baseline_data!D823*(1+_xlfn.NORM.INV(RAND(),0.12,0.1)),-2))</f>
        <v>30200</v>
      </c>
      <c r="E823" t="str">
        <f ca="1">IF(I823=1,IF(RAND()&lt;0.95,"Piped Water",F_Baseline_data!E823),F_Baseline_data!E823)</f>
        <v>Piped Water</v>
      </c>
      <c r="F823">
        <f t="shared" ca="1" si="24"/>
        <v>10</v>
      </c>
      <c r="G823">
        <v>14.1</v>
      </c>
      <c r="H823">
        <f ca="1">MAX(0,ROUND(F_Baseline_data!H823+(F_Baseline_data!C823-5)*200+(D823-30000)*0.015+(F823-50)*15-IF(I823=1,1200,0)+_xlfn.NORM.INV(RAND(),0,2500),-2))</f>
        <v>1300</v>
      </c>
      <c r="I823">
        <v>1</v>
      </c>
      <c r="J823">
        <f>1</f>
        <v>1</v>
      </c>
      <c r="K823">
        <f>1</f>
        <v>1</v>
      </c>
      <c r="L823">
        <v>0</v>
      </c>
      <c r="M823">
        <f t="shared" ca="1" si="25"/>
        <v>0.47520509784723086</v>
      </c>
      <c r="N823">
        <v>0</v>
      </c>
      <c r="O823">
        <v>0</v>
      </c>
      <c r="P823">
        <v>0</v>
      </c>
    </row>
    <row r="824" spans="1:16" x14ac:dyDescent="0.3">
      <c r="A824" t="s">
        <v>936</v>
      </c>
      <c r="B824" t="s">
        <v>62</v>
      </c>
      <c r="C824">
        <f ca="1">IF(RAND()&lt;0.8,F_Baseline_data!C824,IF(RAND()&lt;0.85,F_Baseline_data!C824+1,IF(F_Baseline_data!C824&gt;3,C824-1,F_Baseline_data!C824)))</f>
        <v>8</v>
      </c>
      <c r="D824">
        <f ca="1">MAX(5000,ROUND(F_Baseline_data!D824*(1+_xlfn.NORM.INV(RAND(),0.12,0.1)),-2))</f>
        <v>122100</v>
      </c>
      <c r="E824" t="str">
        <f ca="1">IF(I824=1,IF(RAND()&lt;0.95,"Piped Water",F_Baseline_data!E824),F_Baseline_data!E824)</f>
        <v>Piped Water</v>
      </c>
      <c r="F824">
        <f t="shared" ca="1" si="24"/>
        <v>7</v>
      </c>
      <c r="G824">
        <v>8.4</v>
      </c>
      <c r="H824">
        <f ca="1">MAX(0,ROUND(F_Baseline_data!H824+(F_Baseline_data!C824-5)*200+(D824-30000)*0.015+(F824-50)*15-IF(I824=1,1200,0)+_xlfn.NORM.INV(RAND(),0,2500),-2))</f>
        <v>4200</v>
      </c>
      <c r="I824">
        <v>1</v>
      </c>
      <c r="J824">
        <f>1</f>
        <v>1</v>
      </c>
      <c r="K824">
        <f>1</f>
        <v>1</v>
      </c>
      <c r="L824">
        <v>0</v>
      </c>
      <c r="M824">
        <f t="shared" ca="1" si="25"/>
        <v>0.31092131733281569</v>
      </c>
      <c r="N824">
        <v>0</v>
      </c>
      <c r="O824">
        <v>0</v>
      </c>
      <c r="P824">
        <v>0</v>
      </c>
    </row>
    <row r="825" spans="1:16" x14ac:dyDescent="0.3">
      <c r="A825" t="s">
        <v>937</v>
      </c>
      <c r="B825" t="s">
        <v>64</v>
      </c>
      <c r="C825">
        <f ca="1">IF(RAND()&lt;0.8,F_Baseline_data!C825,IF(RAND()&lt;0.85,F_Baseline_data!C825+1,IF(F_Baseline_data!C825&gt;3,C825-1,F_Baseline_data!C825)))</f>
        <v>3</v>
      </c>
      <c r="D825">
        <f ca="1">MAX(5000,ROUND(F_Baseline_data!D825*(1+_xlfn.NORM.INV(RAND(),0.12,0.1)),-2))</f>
        <v>57200</v>
      </c>
      <c r="E825" t="str">
        <f ca="1">IF(I825=1,IF(RAND()&lt;0.95,"Piped Water",F_Baseline_data!E825),F_Baseline_data!E825)</f>
        <v>Piped Water</v>
      </c>
      <c r="F825">
        <f t="shared" ca="1" si="24"/>
        <v>5</v>
      </c>
      <c r="G825">
        <v>10</v>
      </c>
      <c r="H825">
        <f ca="1">MAX(0,ROUND(F_Baseline_data!H825+(F_Baseline_data!C825-5)*200+(D825-30000)*0.015+(F825-50)*15-IF(I825=1,1200,0)+_xlfn.NORM.INV(RAND(),0,2500),-2))</f>
        <v>0</v>
      </c>
      <c r="I825">
        <v>1</v>
      </c>
      <c r="J825">
        <f>1</f>
        <v>1</v>
      </c>
      <c r="K825">
        <f>1</f>
        <v>1</v>
      </c>
      <c r="L825">
        <v>0</v>
      </c>
      <c r="M825">
        <f t="shared" ca="1" si="25"/>
        <v>0.5684159196362949</v>
      </c>
      <c r="N825">
        <v>0</v>
      </c>
      <c r="O825">
        <v>0</v>
      </c>
      <c r="P825">
        <v>0</v>
      </c>
    </row>
    <row r="826" spans="1:16" x14ac:dyDescent="0.3">
      <c r="A826" t="s">
        <v>938</v>
      </c>
      <c r="B826" t="s">
        <v>513</v>
      </c>
      <c r="C826">
        <f ca="1">IF(RAND()&lt;0.8,F_Baseline_data!C826,IF(RAND()&lt;0.85,F_Baseline_data!C826+1,IF(F_Baseline_data!C826&gt;3,C826-1,F_Baseline_data!C826)))</f>
        <v>5</v>
      </c>
      <c r="D826">
        <f ca="1">MAX(5000,ROUND(F_Baseline_data!D826*(1+_xlfn.NORM.INV(RAND(),0.12,0.1)),-2))</f>
        <v>60000</v>
      </c>
      <c r="E826" t="str">
        <f ca="1">IF(I826=1,IF(RAND()&lt;0.95,"Piped Water",F_Baseline_data!E826),F_Baseline_data!E826)</f>
        <v>Piped Water</v>
      </c>
      <c r="F826">
        <f t="shared" ca="1" si="24"/>
        <v>0</v>
      </c>
      <c r="G826">
        <v>10.8</v>
      </c>
      <c r="H826">
        <f ca="1">MAX(0,ROUND(F_Baseline_data!H826+(F_Baseline_data!C826-5)*200+(D826-30000)*0.015+(F826-50)*15-IF(I826=1,1200,0)+_xlfn.NORM.INV(RAND(),0,2500),-2))</f>
        <v>900</v>
      </c>
      <c r="I826">
        <v>1</v>
      </c>
      <c r="J826">
        <f>1</f>
        <v>1</v>
      </c>
      <c r="K826">
        <f>1</f>
        <v>1</v>
      </c>
      <c r="L826">
        <v>0</v>
      </c>
      <c r="M826">
        <f t="shared" ca="1" si="25"/>
        <v>6.5976422480760744E-2</v>
      </c>
      <c r="N826">
        <v>0</v>
      </c>
      <c r="O826">
        <v>0</v>
      </c>
      <c r="P826">
        <v>0</v>
      </c>
    </row>
    <row r="827" spans="1:16" x14ac:dyDescent="0.3">
      <c r="A827" t="s">
        <v>939</v>
      </c>
      <c r="B827" t="s">
        <v>64</v>
      </c>
      <c r="C827">
        <f ca="1">IF(RAND()&lt;0.8,F_Baseline_data!C827,IF(RAND()&lt;0.85,F_Baseline_data!C827+1,IF(F_Baseline_data!C827&gt;3,C827-1,F_Baseline_data!C827)))</f>
        <v>4</v>
      </c>
      <c r="D827">
        <f ca="1">MAX(5000,ROUND(F_Baseline_data!D827*(1+_xlfn.NORM.INV(RAND(),0.12,0.1)),-2))</f>
        <v>31500</v>
      </c>
      <c r="E827" t="str">
        <f ca="1">IF(I827=1,IF(RAND()&lt;0.95,"Piped Water",F_Baseline_data!E827),F_Baseline_data!E827)</f>
        <v>Piped Water</v>
      </c>
      <c r="F827">
        <f t="shared" ca="1" si="24"/>
        <v>1</v>
      </c>
      <c r="G827">
        <v>10.199999999999999</v>
      </c>
      <c r="H827">
        <f ca="1">MAX(0,ROUND(F_Baseline_data!H827+(F_Baseline_data!C827-5)*200+(D827-30000)*0.015+(F827-50)*15-IF(I827=1,1200,0)+_xlfn.NORM.INV(RAND(),0,2500),-2))</f>
        <v>6800</v>
      </c>
      <c r="I827">
        <v>1</v>
      </c>
      <c r="J827">
        <f>1</f>
        <v>1</v>
      </c>
      <c r="K827">
        <f>1</f>
        <v>1</v>
      </c>
      <c r="L827">
        <v>0</v>
      </c>
      <c r="M827">
        <f t="shared" ca="1" si="25"/>
        <v>0.51230515567365809</v>
      </c>
      <c r="N827">
        <v>0</v>
      </c>
      <c r="O827">
        <v>0</v>
      </c>
      <c r="P827">
        <v>0</v>
      </c>
    </row>
    <row r="828" spans="1:16" x14ac:dyDescent="0.3">
      <c r="A828" t="s">
        <v>940</v>
      </c>
      <c r="B828" t="s">
        <v>64</v>
      </c>
      <c r="C828">
        <f ca="1">IF(RAND()&lt;0.8,F_Baseline_data!C828,IF(RAND()&lt;0.85,F_Baseline_data!C828+1,IF(F_Baseline_data!C828&gt;3,C828-1,F_Baseline_data!C828)))</f>
        <v>2</v>
      </c>
      <c r="D828">
        <f ca="1">MAX(5000,ROUND(F_Baseline_data!D828*(1+_xlfn.NORM.INV(RAND(),0.12,0.1)),-2))</f>
        <v>33300</v>
      </c>
      <c r="E828" t="str">
        <f ca="1">IF(I828=1,IF(RAND()&lt;0.95,"Piped Water",F_Baseline_data!E828),F_Baseline_data!E828)</f>
        <v>Piped Water</v>
      </c>
      <c r="F828">
        <f t="shared" ca="1" si="24"/>
        <v>1</v>
      </c>
      <c r="G828">
        <v>6.1</v>
      </c>
      <c r="H828">
        <f ca="1">MAX(0,ROUND(F_Baseline_data!H828+(F_Baseline_data!C828-5)*200+(D828-30000)*0.015+(F828-50)*15-IF(I828=1,1200,0)+_xlfn.NORM.INV(RAND(),0,2500),-2))</f>
        <v>0</v>
      </c>
      <c r="I828">
        <v>1</v>
      </c>
      <c r="J828">
        <f>1</f>
        <v>1</v>
      </c>
      <c r="K828">
        <f>1</f>
        <v>1</v>
      </c>
      <c r="L828">
        <v>0</v>
      </c>
      <c r="M828">
        <f t="shared" ca="1" si="25"/>
        <v>0.63035419806327886</v>
      </c>
      <c r="N828">
        <v>0</v>
      </c>
      <c r="O828">
        <v>0</v>
      </c>
      <c r="P828">
        <v>0</v>
      </c>
    </row>
    <row r="829" spans="1:16" x14ac:dyDescent="0.3">
      <c r="A829" t="s">
        <v>941</v>
      </c>
      <c r="B829" t="s">
        <v>64</v>
      </c>
      <c r="C829">
        <f ca="1">IF(RAND()&lt;0.8,F_Baseline_data!C829,IF(RAND()&lt;0.85,F_Baseline_data!C829+1,IF(F_Baseline_data!C829&gt;3,C829-1,F_Baseline_data!C829)))</f>
        <v>6</v>
      </c>
      <c r="D829">
        <f ca="1">MAX(5000,ROUND(F_Baseline_data!D829*(1+_xlfn.NORM.INV(RAND(),0.12,0.1)),-2))</f>
        <v>68300</v>
      </c>
      <c r="E829" t="str">
        <f ca="1">IF(I829=1,IF(RAND()&lt;0.95,"Piped Water",F_Baseline_data!E829),F_Baseline_data!E829)</f>
        <v>Piped Water</v>
      </c>
      <c r="F829">
        <f t="shared" ca="1" si="24"/>
        <v>0</v>
      </c>
      <c r="G829">
        <v>9.6</v>
      </c>
      <c r="H829">
        <f ca="1">MAX(0,ROUND(F_Baseline_data!H829+(F_Baseline_data!C829-5)*200+(D829-30000)*0.015+(F829-50)*15-IF(I829=1,1200,0)+_xlfn.NORM.INV(RAND(),0,2500),-2))</f>
        <v>1700</v>
      </c>
      <c r="I829">
        <v>1</v>
      </c>
      <c r="J829">
        <f>1</f>
        <v>1</v>
      </c>
      <c r="K829">
        <f>1</f>
        <v>1</v>
      </c>
      <c r="L829">
        <v>0</v>
      </c>
      <c r="M829">
        <f t="shared" ca="1" si="25"/>
        <v>0.64688933599803666</v>
      </c>
      <c r="N829">
        <v>0</v>
      </c>
      <c r="O829">
        <v>0</v>
      </c>
      <c r="P829">
        <v>0</v>
      </c>
    </row>
    <row r="830" spans="1:16" x14ac:dyDescent="0.3">
      <c r="A830" t="s">
        <v>942</v>
      </c>
      <c r="B830" t="s">
        <v>65</v>
      </c>
      <c r="C830">
        <f ca="1">IF(RAND()&lt;0.8,F_Baseline_data!C830,IF(RAND()&lt;0.85,F_Baseline_data!C830+1,IF(F_Baseline_data!C830&gt;3,C830-1,F_Baseline_data!C830)))</f>
        <v>5</v>
      </c>
      <c r="D830">
        <f ca="1">MAX(5000,ROUND(F_Baseline_data!D830*(1+_xlfn.NORM.INV(RAND(),0.12,0.1)),-2))</f>
        <v>32000</v>
      </c>
      <c r="E830" t="str">
        <f ca="1">IF(I830=1,IF(RAND()&lt;0.95,"Piped Water",F_Baseline_data!E830),F_Baseline_data!E830)</f>
        <v>Piped Water</v>
      </c>
      <c r="F830">
        <f t="shared" ca="1" si="24"/>
        <v>10</v>
      </c>
      <c r="G830">
        <v>11.2</v>
      </c>
      <c r="H830">
        <f ca="1">MAX(0,ROUND(F_Baseline_data!H830+(F_Baseline_data!C830-5)*200+(D830-30000)*0.015+(F830-50)*15-IF(I830=1,1200,0)+_xlfn.NORM.INV(RAND(),0,2500),-2))</f>
        <v>7100</v>
      </c>
      <c r="I830">
        <v>1</v>
      </c>
      <c r="J830">
        <f>1</f>
        <v>1</v>
      </c>
      <c r="K830">
        <f>1</f>
        <v>1</v>
      </c>
      <c r="L830">
        <v>0</v>
      </c>
      <c r="M830">
        <f t="shared" ca="1" si="25"/>
        <v>0.20174349781798084</v>
      </c>
      <c r="N830">
        <v>0</v>
      </c>
      <c r="O830">
        <v>0</v>
      </c>
      <c r="P830">
        <v>0</v>
      </c>
    </row>
    <row r="831" spans="1:16" x14ac:dyDescent="0.3">
      <c r="A831" t="s">
        <v>943</v>
      </c>
      <c r="B831" t="s">
        <v>513</v>
      </c>
      <c r="C831">
        <f ca="1">IF(RAND()&lt;0.8,F_Baseline_data!C831,IF(RAND()&lt;0.85,F_Baseline_data!C831+1,IF(F_Baseline_data!C831&gt;3,C831-1,F_Baseline_data!C831)))</f>
        <v>5</v>
      </c>
      <c r="D831">
        <f ca="1">MAX(5000,ROUND(F_Baseline_data!D831*(1+_xlfn.NORM.INV(RAND(),0.12,0.1)),-2))</f>
        <v>51900</v>
      </c>
      <c r="E831" t="str">
        <f ca="1">IF(I831=1,IF(RAND()&lt;0.95,"Piped Water",F_Baseline_data!E831),F_Baseline_data!E831)</f>
        <v>Piped Water</v>
      </c>
      <c r="F831">
        <f t="shared" ca="1" si="24"/>
        <v>0</v>
      </c>
      <c r="G831">
        <v>4.0999999999999996</v>
      </c>
      <c r="H831">
        <f ca="1">MAX(0,ROUND(F_Baseline_data!H831+(F_Baseline_data!C831-5)*200+(D831-30000)*0.015+(F831-50)*15-IF(I831=1,1200,0)+_xlfn.NORM.INV(RAND(),0,2500),-2))</f>
        <v>4300</v>
      </c>
      <c r="I831">
        <v>1</v>
      </c>
      <c r="J831">
        <f>1</f>
        <v>1</v>
      </c>
      <c r="K831">
        <f>1</f>
        <v>1</v>
      </c>
      <c r="L831">
        <v>0</v>
      </c>
      <c r="M831">
        <f t="shared" ca="1" si="25"/>
        <v>0.42495609816543645</v>
      </c>
      <c r="N831">
        <v>0</v>
      </c>
      <c r="O831">
        <v>0</v>
      </c>
      <c r="P831">
        <v>0</v>
      </c>
    </row>
    <row r="832" spans="1:16" x14ac:dyDescent="0.3">
      <c r="A832" t="s">
        <v>944</v>
      </c>
      <c r="B832" t="s">
        <v>64</v>
      </c>
      <c r="C832">
        <f ca="1">IF(RAND()&lt;0.8,F_Baseline_data!C832,IF(RAND()&lt;0.85,F_Baseline_data!C832+1,IF(F_Baseline_data!C832&gt;3,C832-1,F_Baseline_data!C832)))</f>
        <v>5</v>
      </c>
      <c r="D832">
        <f ca="1">MAX(5000,ROUND(F_Baseline_data!D832*(1+_xlfn.NORM.INV(RAND(),0.12,0.1)),-2))</f>
        <v>19500</v>
      </c>
      <c r="E832" t="str">
        <f ca="1">IF(I832=1,IF(RAND()&lt;0.95,"Piped Water",F_Baseline_data!E832),F_Baseline_data!E832)</f>
        <v>Piped Water</v>
      </c>
      <c r="F832">
        <f t="shared" ca="1" si="24"/>
        <v>9</v>
      </c>
      <c r="G832">
        <v>10.8</v>
      </c>
      <c r="H832">
        <f ca="1">MAX(0,ROUND(F_Baseline_data!H832+(F_Baseline_data!C832-5)*200+(D832-30000)*0.015+(F832-50)*15-IF(I832=1,1200,0)+_xlfn.NORM.INV(RAND(),0,2500),-2))</f>
        <v>6600</v>
      </c>
      <c r="I832">
        <v>1</v>
      </c>
      <c r="J832">
        <f>1</f>
        <v>1</v>
      </c>
      <c r="K832">
        <f>1</f>
        <v>1</v>
      </c>
      <c r="L832">
        <v>0</v>
      </c>
      <c r="M832">
        <f t="shared" ca="1" si="25"/>
        <v>0.65316869520258736</v>
      </c>
      <c r="N832">
        <v>0</v>
      </c>
      <c r="O832">
        <v>0</v>
      </c>
      <c r="P832">
        <v>0</v>
      </c>
    </row>
    <row r="833" spans="1:16" x14ac:dyDescent="0.3">
      <c r="A833" t="s">
        <v>945</v>
      </c>
      <c r="B833" t="s">
        <v>513</v>
      </c>
      <c r="C833">
        <f ca="1">IF(RAND()&lt;0.8,F_Baseline_data!C833,IF(RAND()&lt;0.85,F_Baseline_data!C833+1,IF(F_Baseline_data!C833&gt;3,C833-1,F_Baseline_data!C833)))</f>
        <v>6</v>
      </c>
      <c r="D833">
        <f ca="1">MAX(5000,ROUND(F_Baseline_data!D833*(1+_xlfn.NORM.INV(RAND(),0.12,0.1)),-2))</f>
        <v>37600</v>
      </c>
      <c r="E833" t="str">
        <f ca="1">IF(I833=1,IF(RAND()&lt;0.95,"Piped Water",F_Baseline_data!E833),F_Baseline_data!E833)</f>
        <v>Piped Water</v>
      </c>
      <c r="F833">
        <f t="shared" ca="1" si="24"/>
        <v>0</v>
      </c>
      <c r="G833">
        <v>4.3</v>
      </c>
      <c r="H833">
        <f ca="1">MAX(0,ROUND(F_Baseline_data!H833+(F_Baseline_data!C833-5)*200+(D833-30000)*0.015+(F833-50)*15-IF(I833=1,1200,0)+_xlfn.NORM.INV(RAND(),0,2500),-2))</f>
        <v>4500</v>
      </c>
      <c r="I833">
        <v>1</v>
      </c>
      <c r="J833">
        <f>1</f>
        <v>1</v>
      </c>
      <c r="K833">
        <f>1</f>
        <v>1</v>
      </c>
      <c r="L833">
        <v>0</v>
      </c>
      <c r="M833">
        <f t="shared" ca="1" si="25"/>
        <v>0.39325503664464623</v>
      </c>
      <c r="N833">
        <v>0</v>
      </c>
      <c r="O833">
        <v>0</v>
      </c>
      <c r="P833">
        <v>0</v>
      </c>
    </row>
    <row r="834" spans="1:16" x14ac:dyDescent="0.3">
      <c r="A834" t="s">
        <v>946</v>
      </c>
      <c r="B834" t="s">
        <v>65</v>
      </c>
      <c r="C834">
        <f ca="1">IF(RAND()&lt;0.8,F_Baseline_data!C834,IF(RAND()&lt;0.85,F_Baseline_data!C834+1,IF(F_Baseline_data!C834&gt;3,C834-1,F_Baseline_data!C834)))</f>
        <v>7</v>
      </c>
      <c r="D834">
        <f ca="1">MAX(5000,ROUND(F_Baseline_data!D834*(1+_xlfn.NORM.INV(RAND(),0.12,0.1)),-2))</f>
        <v>12900</v>
      </c>
      <c r="E834" t="str">
        <f ca="1">IF(I834=1,IF(RAND()&lt;0.95,"Piped Water",F_Baseline_data!E834),F_Baseline_data!E834)</f>
        <v>Piped Water</v>
      </c>
      <c r="F834">
        <f t="shared" ref="F834:F897" ca="1" si="26">IF(E834="Piped Water",RANDBETWEEN(0,10),IF(E834="River",RANDBETWEEN(45,120),IF(E834="Rainwater",RANDBETWEEN(15,70),IF(E834="Borehole",RANDBETWEEN(20,75),RANDBETWEEN(10,60)))))</f>
        <v>2</v>
      </c>
      <c r="G834">
        <v>7.5</v>
      </c>
      <c r="H834">
        <f ca="1">MAX(0,ROUND(F_Baseline_data!H834+(F_Baseline_data!C834-5)*200+(D834-30000)*0.015+(F834-50)*15-IF(I834=1,1200,0)+_xlfn.NORM.INV(RAND(),0,2500),-2))</f>
        <v>7600</v>
      </c>
      <c r="I834">
        <v>1</v>
      </c>
      <c r="J834">
        <f>1</f>
        <v>1</v>
      </c>
      <c r="K834">
        <f>1</f>
        <v>1</v>
      </c>
      <c r="L834">
        <v>0</v>
      </c>
      <c r="M834">
        <f t="shared" ref="M834:M897" ca="1" si="27">RAND()</f>
        <v>6.5902778012262297E-3</v>
      </c>
      <c r="N834">
        <v>0</v>
      </c>
      <c r="O834">
        <v>0</v>
      </c>
      <c r="P834">
        <v>0</v>
      </c>
    </row>
    <row r="835" spans="1:16" x14ac:dyDescent="0.3">
      <c r="A835" t="s">
        <v>947</v>
      </c>
      <c r="B835" t="s">
        <v>65</v>
      </c>
      <c r="C835">
        <f ca="1">IF(RAND()&lt;0.8,F_Baseline_data!C835,IF(RAND()&lt;0.85,F_Baseline_data!C835+1,IF(F_Baseline_data!C835&gt;3,C835-1,F_Baseline_data!C835)))</f>
        <v>9</v>
      </c>
      <c r="D835">
        <f ca="1">MAX(5000,ROUND(F_Baseline_data!D835*(1+_xlfn.NORM.INV(RAND(),0.12,0.1)),-2))</f>
        <v>8200</v>
      </c>
      <c r="E835" t="str">
        <f ca="1">IF(I835=1,IF(RAND()&lt;0.95,"Piped Water",F_Baseline_data!E835),F_Baseline_data!E835)</f>
        <v>Piped Water</v>
      </c>
      <c r="F835">
        <f t="shared" ca="1" si="26"/>
        <v>2</v>
      </c>
      <c r="G835">
        <v>10.6</v>
      </c>
      <c r="H835">
        <f ca="1">MAX(0,ROUND(F_Baseline_data!H835+(F_Baseline_data!C835-5)*200+(D835-30000)*0.015+(F835-50)*15-IF(I835=1,1200,0)+_xlfn.NORM.INV(RAND(),0,2500),-2))</f>
        <v>7300</v>
      </c>
      <c r="I835">
        <v>1</v>
      </c>
      <c r="J835">
        <f>1</f>
        <v>1</v>
      </c>
      <c r="K835">
        <f>1</f>
        <v>1</v>
      </c>
      <c r="L835">
        <v>0</v>
      </c>
      <c r="M835">
        <f t="shared" ca="1" si="27"/>
        <v>0.90340917080765193</v>
      </c>
      <c r="N835">
        <v>0</v>
      </c>
      <c r="O835">
        <v>0</v>
      </c>
      <c r="P835">
        <v>0</v>
      </c>
    </row>
    <row r="836" spans="1:16" x14ac:dyDescent="0.3">
      <c r="A836" t="s">
        <v>948</v>
      </c>
      <c r="B836" t="s">
        <v>62</v>
      </c>
      <c r="C836">
        <f ca="1">IF(RAND()&lt;0.8,F_Baseline_data!C836,IF(RAND()&lt;0.85,F_Baseline_data!C836+1,IF(F_Baseline_data!C836&gt;3,C836-1,F_Baseline_data!C836)))</f>
        <v>5</v>
      </c>
      <c r="D836">
        <f ca="1">MAX(5000,ROUND(F_Baseline_data!D836*(1+_xlfn.NORM.INV(RAND(),0.12,0.1)),-2))</f>
        <v>42900</v>
      </c>
      <c r="E836" t="str">
        <f ca="1">IF(I836=1,IF(RAND()&lt;0.95,"Piped Water",F_Baseline_data!E836),F_Baseline_data!E836)</f>
        <v>Piped Water</v>
      </c>
      <c r="F836">
        <f t="shared" ca="1" si="26"/>
        <v>9</v>
      </c>
      <c r="G836">
        <v>2.2999999999999998</v>
      </c>
      <c r="H836">
        <f ca="1">MAX(0,ROUND(F_Baseline_data!H836+(F_Baseline_data!C836-5)*200+(D836-30000)*0.015+(F836-50)*15-IF(I836=1,1200,0)+_xlfn.NORM.INV(RAND(),0,2500),-2))</f>
        <v>1400</v>
      </c>
      <c r="I836">
        <v>1</v>
      </c>
      <c r="J836">
        <f>1</f>
        <v>1</v>
      </c>
      <c r="K836">
        <f>1</f>
        <v>1</v>
      </c>
      <c r="L836">
        <v>0</v>
      </c>
      <c r="M836">
        <f t="shared" ca="1" si="27"/>
        <v>0.31719014685372005</v>
      </c>
      <c r="N836">
        <v>0</v>
      </c>
      <c r="O836">
        <v>0</v>
      </c>
      <c r="P836">
        <v>0</v>
      </c>
    </row>
    <row r="837" spans="1:16" x14ac:dyDescent="0.3">
      <c r="A837" t="s">
        <v>949</v>
      </c>
      <c r="B837" t="s">
        <v>64</v>
      </c>
      <c r="C837">
        <f ca="1">IF(RAND()&lt;0.8,F_Baseline_data!C837,IF(RAND()&lt;0.85,F_Baseline_data!C837+1,IF(F_Baseline_data!C837&gt;3,C837-1,F_Baseline_data!C837)))</f>
        <v>8</v>
      </c>
      <c r="D837">
        <f ca="1">MAX(5000,ROUND(F_Baseline_data!D837*(1+_xlfn.NORM.INV(RAND(),0.12,0.1)),-2))</f>
        <v>46100</v>
      </c>
      <c r="E837" t="str">
        <f ca="1">IF(I837=1,IF(RAND()&lt;0.95,"Piped Water",F_Baseline_data!E837),F_Baseline_data!E837)</f>
        <v>Piped Water</v>
      </c>
      <c r="F837">
        <f t="shared" ca="1" si="26"/>
        <v>4</v>
      </c>
      <c r="G837">
        <v>11.6</v>
      </c>
      <c r="H837">
        <f ca="1">MAX(0,ROUND(F_Baseline_data!H837+(F_Baseline_data!C837-5)*200+(D837-30000)*0.015+(F837-50)*15-IF(I837=1,1200,0)+_xlfn.NORM.INV(RAND(),0,2500),-2))</f>
        <v>8900</v>
      </c>
      <c r="I837">
        <v>1</v>
      </c>
      <c r="J837">
        <f>1</f>
        <v>1</v>
      </c>
      <c r="K837">
        <f>1</f>
        <v>1</v>
      </c>
      <c r="L837">
        <v>0</v>
      </c>
      <c r="M837">
        <f t="shared" ca="1" si="27"/>
        <v>0.57468188194113579</v>
      </c>
      <c r="N837">
        <v>0</v>
      </c>
      <c r="O837">
        <v>0</v>
      </c>
      <c r="P837">
        <v>0</v>
      </c>
    </row>
    <row r="838" spans="1:16" x14ac:dyDescent="0.3">
      <c r="A838" t="s">
        <v>950</v>
      </c>
      <c r="B838" t="s">
        <v>513</v>
      </c>
      <c r="C838">
        <f ca="1">IF(RAND()&lt;0.8,F_Baseline_data!C838,IF(RAND()&lt;0.85,F_Baseline_data!C838+1,IF(F_Baseline_data!C838&gt;3,C838-1,F_Baseline_data!C838)))</f>
        <v>5</v>
      </c>
      <c r="D838">
        <f ca="1">MAX(5000,ROUND(F_Baseline_data!D838*(1+_xlfn.NORM.INV(RAND(),0.12,0.1)),-2))</f>
        <v>34200</v>
      </c>
      <c r="E838" t="str">
        <f ca="1">IF(I838=1,IF(RAND()&lt;0.95,"Piped Water",F_Baseline_data!E838),F_Baseline_data!E838)</f>
        <v>Piped Water</v>
      </c>
      <c r="F838">
        <f t="shared" ca="1" si="26"/>
        <v>7</v>
      </c>
      <c r="G838">
        <v>10</v>
      </c>
      <c r="H838">
        <f ca="1">MAX(0,ROUND(F_Baseline_data!H838+(F_Baseline_data!C838-5)*200+(D838-30000)*0.015+(F838-50)*15-IF(I838=1,1200,0)+_xlfn.NORM.INV(RAND(),0,2500),-2))</f>
        <v>4400</v>
      </c>
      <c r="I838">
        <v>1</v>
      </c>
      <c r="J838">
        <f>1</f>
        <v>1</v>
      </c>
      <c r="K838">
        <f>1</f>
        <v>1</v>
      </c>
      <c r="L838">
        <v>0</v>
      </c>
      <c r="M838">
        <f t="shared" ca="1" si="27"/>
        <v>0.30385465990708149</v>
      </c>
      <c r="N838">
        <v>0</v>
      </c>
      <c r="O838">
        <v>0</v>
      </c>
      <c r="P838">
        <v>0</v>
      </c>
    </row>
    <row r="839" spans="1:16" x14ac:dyDescent="0.3">
      <c r="A839" t="s">
        <v>951</v>
      </c>
      <c r="B839" t="s">
        <v>64</v>
      </c>
      <c r="C839">
        <f ca="1">IF(RAND()&lt;0.8,F_Baseline_data!C839,IF(RAND()&lt;0.85,F_Baseline_data!C839+1,IF(F_Baseline_data!C839&gt;3,C839-1,F_Baseline_data!C839)))</f>
        <v>5</v>
      </c>
      <c r="D839">
        <f ca="1">MAX(5000,ROUND(F_Baseline_data!D839*(1+_xlfn.NORM.INV(RAND(),0.12,0.1)),-2))</f>
        <v>66700</v>
      </c>
      <c r="E839" t="str">
        <f ca="1">IF(I839=1,IF(RAND()&lt;0.95,"Piped Water",F_Baseline_data!E839),F_Baseline_data!E839)</f>
        <v>Piped Water</v>
      </c>
      <c r="F839">
        <f t="shared" ca="1" si="26"/>
        <v>2</v>
      </c>
      <c r="G839">
        <v>5</v>
      </c>
      <c r="H839">
        <f ca="1">MAX(0,ROUND(F_Baseline_data!H839+(F_Baseline_data!C839-5)*200+(D839-30000)*0.015+(F839-50)*15-IF(I839=1,1200,0)+_xlfn.NORM.INV(RAND(),0,2500),-2))</f>
        <v>3200</v>
      </c>
      <c r="I839">
        <v>1</v>
      </c>
      <c r="J839">
        <f>1</f>
        <v>1</v>
      </c>
      <c r="K839">
        <f>1</f>
        <v>1</v>
      </c>
      <c r="L839">
        <v>0</v>
      </c>
      <c r="M839">
        <f t="shared" ca="1" si="27"/>
        <v>0.59895414100362865</v>
      </c>
      <c r="N839">
        <v>0</v>
      </c>
      <c r="O839">
        <v>0</v>
      </c>
      <c r="P839">
        <v>0</v>
      </c>
    </row>
    <row r="840" spans="1:16" x14ac:dyDescent="0.3">
      <c r="A840" t="s">
        <v>952</v>
      </c>
      <c r="B840" t="s">
        <v>65</v>
      </c>
      <c r="C840">
        <f ca="1">IF(RAND()&lt;0.8,F_Baseline_data!C840,IF(RAND()&lt;0.85,F_Baseline_data!C840+1,IF(F_Baseline_data!C840&gt;3,C840-1,F_Baseline_data!C840)))</f>
        <v>4</v>
      </c>
      <c r="D840">
        <f ca="1">MAX(5000,ROUND(F_Baseline_data!D840*(1+_xlfn.NORM.INV(RAND(),0.12,0.1)),-2))</f>
        <v>37000</v>
      </c>
      <c r="E840" t="str">
        <f ca="1">IF(I840=1,IF(RAND()&lt;0.95,"Piped Water",F_Baseline_data!E840),F_Baseline_data!E840)</f>
        <v>Piped Water</v>
      </c>
      <c r="F840">
        <f t="shared" ca="1" si="26"/>
        <v>4</v>
      </c>
      <c r="G840">
        <v>13.3</v>
      </c>
      <c r="H840">
        <f ca="1">MAX(0,ROUND(F_Baseline_data!H840+(F_Baseline_data!C840-5)*200+(D840-30000)*0.015+(F840-50)*15-IF(I840=1,1200,0)+_xlfn.NORM.INV(RAND(),0,2500),-2))</f>
        <v>0</v>
      </c>
      <c r="I840">
        <v>1</v>
      </c>
      <c r="J840">
        <f>1</f>
        <v>1</v>
      </c>
      <c r="K840">
        <f>1</f>
        <v>1</v>
      </c>
      <c r="L840">
        <v>0</v>
      </c>
      <c r="M840">
        <f t="shared" ca="1" si="27"/>
        <v>0.12244711358931426</v>
      </c>
      <c r="N840">
        <v>0</v>
      </c>
      <c r="O840">
        <v>0</v>
      </c>
      <c r="P840">
        <v>0</v>
      </c>
    </row>
    <row r="841" spans="1:16" x14ac:dyDescent="0.3">
      <c r="A841" t="s">
        <v>953</v>
      </c>
      <c r="B841" t="s">
        <v>65</v>
      </c>
      <c r="C841">
        <f ca="1">IF(RAND()&lt;0.8,F_Baseline_data!C841,IF(RAND()&lt;0.85,F_Baseline_data!C841+1,IF(F_Baseline_data!C841&gt;3,C841-1,F_Baseline_data!C841)))</f>
        <v>5</v>
      </c>
      <c r="D841">
        <f ca="1">MAX(5000,ROUND(F_Baseline_data!D841*(1+_xlfn.NORM.INV(RAND(),0.12,0.1)),-2))</f>
        <v>25600</v>
      </c>
      <c r="E841" t="str">
        <f ca="1">IF(I841=1,IF(RAND()&lt;0.95,"Piped Water",F_Baseline_data!E841),F_Baseline_data!E841)</f>
        <v>Piped Water</v>
      </c>
      <c r="F841">
        <f t="shared" ca="1" si="26"/>
        <v>5</v>
      </c>
      <c r="G841">
        <v>1.6</v>
      </c>
      <c r="H841">
        <f ca="1">MAX(0,ROUND(F_Baseline_data!H841+(F_Baseline_data!C841-5)*200+(D841-30000)*0.015+(F841-50)*15-IF(I841=1,1200,0)+_xlfn.NORM.INV(RAND(),0,2500),-2))</f>
        <v>1700</v>
      </c>
      <c r="I841">
        <v>1</v>
      </c>
      <c r="J841">
        <f>1</f>
        <v>1</v>
      </c>
      <c r="K841">
        <f>1</f>
        <v>1</v>
      </c>
      <c r="L841">
        <v>0</v>
      </c>
      <c r="M841">
        <f t="shared" ca="1" si="27"/>
        <v>0.46237427712101642</v>
      </c>
      <c r="N841">
        <v>0</v>
      </c>
      <c r="O841">
        <v>0</v>
      </c>
      <c r="P841">
        <v>0</v>
      </c>
    </row>
    <row r="842" spans="1:16" x14ac:dyDescent="0.3">
      <c r="A842" t="s">
        <v>954</v>
      </c>
      <c r="B842" t="s">
        <v>513</v>
      </c>
      <c r="C842">
        <f ca="1">IF(RAND()&lt;0.8,F_Baseline_data!C842,IF(RAND()&lt;0.85,F_Baseline_data!C842+1,IF(F_Baseline_data!C842&gt;3,C842-1,F_Baseline_data!C842)))</f>
        <v>4</v>
      </c>
      <c r="D842">
        <f ca="1">MAX(5000,ROUND(F_Baseline_data!D842*(1+_xlfn.NORM.INV(RAND(),0.12,0.1)),-2))</f>
        <v>28600</v>
      </c>
      <c r="E842" t="str">
        <f ca="1">IF(I842=1,IF(RAND()&lt;0.95,"Piped Water",F_Baseline_data!E842),F_Baseline_data!E842)</f>
        <v>Piped Water</v>
      </c>
      <c r="F842">
        <f t="shared" ca="1" si="26"/>
        <v>6</v>
      </c>
      <c r="G842">
        <v>10.9</v>
      </c>
      <c r="H842">
        <f ca="1">MAX(0,ROUND(F_Baseline_data!H842+(F_Baseline_data!C842-5)*200+(D842-30000)*0.015+(F842-50)*15-IF(I842=1,1200,0)+_xlfn.NORM.INV(RAND(),0,2500),-2))</f>
        <v>1300</v>
      </c>
      <c r="I842">
        <v>1</v>
      </c>
      <c r="J842">
        <f>1</f>
        <v>1</v>
      </c>
      <c r="K842">
        <f>1</f>
        <v>1</v>
      </c>
      <c r="L842">
        <v>0</v>
      </c>
      <c r="M842">
        <f t="shared" ca="1" si="27"/>
        <v>0.43284987596311741</v>
      </c>
      <c r="N842">
        <v>0</v>
      </c>
      <c r="O842">
        <v>0</v>
      </c>
      <c r="P842">
        <v>0</v>
      </c>
    </row>
    <row r="843" spans="1:16" x14ac:dyDescent="0.3">
      <c r="A843" t="s">
        <v>955</v>
      </c>
      <c r="B843" t="s">
        <v>513</v>
      </c>
      <c r="C843">
        <f ca="1">IF(RAND()&lt;0.8,F_Baseline_data!C843,IF(RAND()&lt;0.85,F_Baseline_data!C843+1,IF(F_Baseline_data!C843&gt;3,C843-1,F_Baseline_data!C843)))</f>
        <v>6</v>
      </c>
      <c r="D843">
        <f ca="1">MAX(5000,ROUND(F_Baseline_data!D843*(1+_xlfn.NORM.INV(RAND(),0.12,0.1)),-2))</f>
        <v>21700</v>
      </c>
      <c r="E843" t="str">
        <f ca="1">IF(I843=1,IF(RAND()&lt;0.95,"Piped Water",F_Baseline_data!E843),F_Baseline_data!E843)</f>
        <v>Piped Water</v>
      </c>
      <c r="F843">
        <f t="shared" ca="1" si="26"/>
        <v>4</v>
      </c>
      <c r="G843">
        <v>14.9</v>
      </c>
      <c r="H843">
        <f ca="1">MAX(0,ROUND(F_Baseline_data!H843+(F_Baseline_data!C843-5)*200+(D843-30000)*0.015+(F843-50)*15-IF(I843=1,1200,0)+_xlfn.NORM.INV(RAND(),0,2500),-2))</f>
        <v>0</v>
      </c>
      <c r="I843">
        <v>1</v>
      </c>
      <c r="J843">
        <f>1</f>
        <v>1</v>
      </c>
      <c r="K843">
        <f>1</f>
        <v>1</v>
      </c>
      <c r="L843">
        <v>0</v>
      </c>
      <c r="M843">
        <f t="shared" ca="1" si="27"/>
        <v>0.27008168856654247</v>
      </c>
      <c r="N843">
        <v>0</v>
      </c>
      <c r="O843">
        <v>0</v>
      </c>
      <c r="P843">
        <v>0</v>
      </c>
    </row>
    <row r="844" spans="1:16" x14ac:dyDescent="0.3">
      <c r="A844" t="s">
        <v>956</v>
      </c>
      <c r="B844" t="s">
        <v>64</v>
      </c>
      <c r="C844">
        <f ca="1">IF(RAND()&lt;0.8,F_Baseline_data!C844,IF(RAND()&lt;0.85,F_Baseline_data!C844+1,IF(F_Baseline_data!C844&gt;3,C844-1,F_Baseline_data!C844)))</f>
        <v>5</v>
      </c>
      <c r="D844">
        <f ca="1">MAX(5000,ROUND(F_Baseline_data!D844*(1+_xlfn.NORM.INV(RAND(),0.12,0.1)),-2))</f>
        <v>53100</v>
      </c>
      <c r="E844" t="str">
        <f ca="1">IF(I844=1,IF(RAND()&lt;0.95,"Piped Water",F_Baseline_data!E844),F_Baseline_data!E844)</f>
        <v>Piped Water</v>
      </c>
      <c r="F844">
        <f t="shared" ca="1" si="26"/>
        <v>2</v>
      </c>
      <c r="G844">
        <v>11.1</v>
      </c>
      <c r="H844">
        <f ca="1">MAX(0,ROUND(F_Baseline_data!H844+(F_Baseline_data!C844-5)*200+(D844-30000)*0.015+(F844-50)*15-IF(I844=1,1200,0)+_xlfn.NORM.INV(RAND(),0,2500),-2))</f>
        <v>1400</v>
      </c>
      <c r="I844">
        <v>1</v>
      </c>
      <c r="J844">
        <f>1</f>
        <v>1</v>
      </c>
      <c r="K844">
        <f>1</f>
        <v>1</v>
      </c>
      <c r="L844">
        <v>0</v>
      </c>
      <c r="M844">
        <f t="shared" ca="1" si="27"/>
        <v>0.27222219225174316</v>
      </c>
      <c r="N844">
        <v>0</v>
      </c>
      <c r="O844">
        <v>0</v>
      </c>
      <c r="P844">
        <v>0</v>
      </c>
    </row>
    <row r="845" spans="1:16" x14ac:dyDescent="0.3">
      <c r="A845" t="s">
        <v>957</v>
      </c>
      <c r="B845" t="s">
        <v>513</v>
      </c>
      <c r="C845">
        <f ca="1">IF(RAND()&lt;0.8,F_Baseline_data!C845,IF(RAND()&lt;0.85,F_Baseline_data!C845+1,IF(F_Baseline_data!C845&gt;3,C845-1,F_Baseline_data!C845)))</f>
        <v>9</v>
      </c>
      <c r="D845">
        <f ca="1">MAX(5000,ROUND(F_Baseline_data!D845*(1+_xlfn.NORM.INV(RAND(),0.12,0.1)),-2))</f>
        <v>36600</v>
      </c>
      <c r="E845" t="str">
        <f ca="1">IF(I845=1,IF(RAND()&lt;0.95,"Piped Water",F_Baseline_data!E845),F_Baseline_data!E845)</f>
        <v>Piped Water</v>
      </c>
      <c r="F845">
        <f t="shared" ca="1" si="26"/>
        <v>8</v>
      </c>
      <c r="G845">
        <v>1.8</v>
      </c>
      <c r="H845">
        <f ca="1">MAX(0,ROUND(F_Baseline_data!H845+(F_Baseline_data!C845-5)*200+(D845-30000)*0.015+(F845-50)*15-IF(I845=1,1200,0)+_xlfn.NORM.INV(RAND(),0,2500),-2))</f>
        <v>9600</v>
      </c>
      <c r="I845">
        <v>1</v>
      </c>
      <c r="J845">
        <f>1</f>
        <v>1</v>
      </c>
      <c r="K845">
        <f>1</f>
        <v>1</v>
      </c>
      <c r="L845">
        <v>0</v>
      </c>
      <c r="M845">
        <f t="shared" ca="1" si="27"/>
        <v>0.42264837785859588</v>
      </c>
      <c r="N845">
        <v>0</v>
      </c>
      <c r="O845">
        <v>0</v>
      </c>
      <c r="P845">
        <v>0</v>
      </c>
    </row>
    <row r="846" spans="1:16" x14ac:dyDescent="0.3">
      <c r="A846" t="s">
        <v>958</v>
      </c>
      <c r="B846" t="s">
        <v>65</v>
      </c>
      <c r="C846">
        <f ca="1">IF(RAND()&lt;0.8,F_Baseline_data!C846,IF(RAND()&lt;0.85,F_Baseline_data!C846+1,IF(F_Baseline_data!C846&gt;3,C846-1,F_Baseline_data!C846)))</f>
        <v>5</v>
      </c>
      <c r="D846">
        <f ca="1">MAX(5000,ROUND(F_Baseline_data!D846*(1+_xlfn.NORM.INV(RAND(),0.12,0.1)),-2))</f>
        <v>79900</v>
      </c>
      <c r="E846" t="str">
        <f ca="1">IF(I846=1,IF(RAND()&lt;0.95,"Piped Water",F_Baseline_data!E846),F_Baseline_data!E846)</f>
        <v>Piped Water</v>
      </c>
      <c r="F846">
        <f t="shared" ca="1" si="26"/>
        <v>0</v>
      </c>
      <c r="G846">
        <v>3.7</v>
      </c>
      <c r="H846">
        <f ca="1">MAX(0,ROUND(F_Baseline_data!H846+(F_Baseline_data!C846-5)*200+(D846-30000)*0.015+(F846-50)*15-IF(I846=1,1200,0)+_xlfn.NORM.INV(RAND(),0,2500),-2))</f>
        <v>11600</v>
      </c>
      <c r="I846">
        <v>1</v>
      </c>
      <c r="J846">
        <f>1</f>
        <v>1</v>
      </c>
      <c r="K846">
        <f>1</f>
        <v>1</v>
      </c>
      <c r="L846">
        <v>0</v>
      </c>
      <c r="M846">
        <f t="shared" ca="1" si="27"/>
        <v>0.48616146834989604</v>
      </c>
      <c r="N846">
        <v>0</v>
      </c>
      <c r="O846">
        <v>0</v>
      </c>
      <c r="P846">
        <v>0</v>
      </c>
    </row>
    <row r="847" spans="1:16" x14ac:dyDescent="0.3">
      <c r="A847" t="s">
        <v>959</v>
      </c>
      <c r="B847" t="s">
        <v>513</v>
      </c>
      <c r="C847">
        <f ca="1">IF(RAND()&lt;0.8,F_Baseline_data!C847,IF(RAND()&lt;0.85,F_Baseline_data!C847+1,IF(F_Baseline_data!C847&gt;3,C847-1,F_Baseline_data!C847)))</f>
        <v>4</v>
      </c>
      <c r="D847">
        <f ca="1">MAX(5000,ROUND(F_Baseline_data!D847*(1+_xlfn.NORM.INV(RAND(),0.12,0.1)),-2))</f>
        <v>40200</v>
      </c>
      <c r="E847" t="str">
        <f ca="1">IF(I847=1,IF(RAND()&lt;0.95,"Piped Water",F_Baseline_data!E847),F_Baseline_data!E847)</f>
        <v>Piped Water</v>
      </c>
      <c r="F847">
        <f t="shared" ca="1" si="26"/>
        <v>6</v>
      </c>
      <c r="G847">
        <v>7.3</v>
      </c>
      <c r="H847">
        <f ca="1">MAX(0,ROUND(F_Baseline_data!H847+(F_Baseline_data!C847-5)*200+(D847-30000)*0.015+(F847-50)*15-IF(I847=1,1200,0)+_xlfn.NORM.INV(RAND(),0,2500),-2))</f>
        <v>8200</v>
      </c>
      <c r="I847">
        <v>1</v>
      </c>
      <c r="J847">
        <f>1</f>
        <v>1</v>
      </c>
      <c r="K847">
        <f>1</f>
        <v>1</v>
      </c>
      <c r="L847">
        <v>0</v>
      </c>
      <c r="M847">
        <f t="shared" ca="1" si="27"/>
        <v>5.5664409246434232E-2</v>
      </c>
      <c r="N847">
        <v>0</v>
      </c>
      <c r="O847">
        <v>0</v>
      </c>
      <c r="P847">
        <v>0</v>
      </c>
    </row>
    <row r="848" spans="1:16" x14ac:dyDescent="0.3">
      <c r="A848" t="s">
        <v>960</v>
      </c>
      <c r="B848" t="s">
        <v>513</v>
      </c>
      <c r="C848">
        <f ca="1">IF(RAND()&lt;0.8,F_Baseline_data!C848,IF(RAND()&lt;0.85,F_Baseline_data!C848+1,IF(F_Baseline_data!C848&gt;3,C848-1,F_Baseline_data!C848)))</f>
        <v>2</v>
      </c>
      <c r="D848">
        <f ca="1">MAX(5000,ROUND(F_Baseline_data!D848*(1+_xlfn.NORM.INV(RAND(),0.12,0.1)),-2))</f>
        <v>145500</v>
      </c>
      <c r="E848" t="str">
        <f ca="1">IF(I848=1,IF(RAND()&lt;0.95,"Piped Water",F_Baseline_data!E848),F_Baseline_data!E848)</f>
        <v>Piped Water</v>
      </c>
      <c r="F848">
        <f t="shared" ca="1" si="26"/>
        <v>2</v>
      </c>
      <c r="G848">
        <v>11.2</v>
      </c>
      <c r="H848">
        <f ca="1">MAX(0,ROUND(F_Baseline_data!H848+(F_Baseline_data!C848-5)*200+(D848-30000)*0.015+(F848-50)*15-IF(I848=1,1200,0)+_xlfn.NORM.INV(RAND(),0,2500),-2))</f>
        <v>10000</v>
      </c>
      <c r="I848">
        <v>1</v>
      </c>
      <c r="J848">
        <f>1</f>
        <v>1</v>
      </c>
      <c r="K848">
        <f>1</f>
        <v>1</v>
      </c>
      <c r="L848">
        <v>0</v>
      </c>
      <c r="M848">
        <f t="shared" ca="1" si="27"/>
        <v>0.53388339986841704</v>
      </c>
      <c r="N848">
        <v>0</v>
      </c>
      <c r="O848">
        <v>0</v>
      </c>
      <c r="P848">
        <v>0</v>
      </c>
    </row>
    <row r="849" spans="1:16" x14ac:dyDescent="0.3">
      <c r="A849" t="s">
        <v>961</v>
      </c>
      <c r="B849" t="s">
        <v>62</v>
      </c>
      <c r="C849">
        <f ca="1">IF(RAND()&lt;0.8,F_Baseline_data!C849,IF(RAND()&lt;0.85,F_Baseline_data!C849+1,IF(F_Baseline_data!C849&gt;3,C849-1,F_Baseline_data!C849)))</f>
        <v>9</v>
      </c>
      <c r="D849">
        <f ca="1">MAX(5000,ROUND(F_Baseline_data!D849*(1+_xlfn.NORM.INV(RAND(),0.12,0.1)),-2))</f>
        <v>16000</v>
      </c>
      <c r="E849" t="str">
        <f ca="1">IF(I849=1,IF(RAND()&lt;0.95,"Piped Water",F_Baseline_data!E849),F_Baseline_data!E849)</f>
        <v>Piped Water</v>
      </c>
      <c r="F849">
        <f t="shared" ca="1" si="26"/>
        <v>7</v>
      </c>
      <c r="G849">
        <v>0.9</v>
      </c>
      <c r="H849">
        <f ca="1">MAX(0,ROUND(F_Baseline_data!H849+(F_Baseline_data!C849-5)*200+(D849-30000)*0.015+(F849-50)*15-IF(I849=1,1200,0)+_xlfn.NORM.INV(RAND(),0,2500),-2))</f>
        <v>8400</v>
      </c>
      <c r="I849">
        <v>1</v>
      </c>
      <c r="J849">
        <f>1</f>
        <v>1</v>
      </c>
      <c r="K849">
        <f>1</f>
        <v>1</v>
      </c>
      <c r="L849">
        <v>0</v>
      </c>
      <c r="M849">
        <f t="shared" ca="1" si="27"/>
        <v>0.88459525382410331</v>
      </c>
      <c r="N849">
        <v>0</v>
      </c>
      <c r="O849">
        <v>0</v>
      </c>
      <c r="P849">
        <v>0</v>
      </c>
    </row>
    <row r="850" spans="1:16" x14ac:dyDescent="0.3">
      <c r="A850" t="s">
        <v>962</v>
      </c>
      <c r="B850" t="s">
        <v>64</v>
      </c>
      <c r="C850">
        <f ca="1">IF(RAND()&lt;0.8,F_Baseline_data!C850,IF(RAND()&lt;0.85,F_Baseline_data!C850+1,IF(F_Baseline_data!C850&gt;3,C850-1,F_Baseline_data!C850)))</f>
        <v>4</v>
      </c>
      <c r="D850">
        <f ca="1">MAX(5000,ROUND(F_Baseline_data!D850*(1+_xlfn.NORM.INV(RAND(),0.12,0.1)),-2))</f>
        <v>47100</v>
      </c>
      <c r="E850" t="str">
        <f ca="1">IF(I850=1,IF(RAND()&lt;0.95,"Piped Water",F_Baseline_data!E850),F_Baseline_data!E850)</f>
        <v>Piped Water</v>
      </c>
      <c r="F850">
        <f t="shared" ca="1" si="26"/>
        <v>9</v>
      </c>
      <c r="G850">
        <v>0.5</v>
      </c>
      <c r="H850">
        <f ca="1">MAX(0,ROUND(F_Baseline_data!H850+(F_Baseline_data!C850-5)*200+(D850-30000)*0.015+(F850-50)*15-IF(I850=1,1200,0)+_xlfn.NORM.INV(RAND(),0,2500),-2))</f>
        <v>12200</v>
      </c>
      <c r="I850">
        <v>1</v>
      </c>
      <c r="J850">
        <f>1</f>
        <v>1</v>
      </c>
      <c r="K850">
        <f>1</f>
        <v>1</v>
      </c>
      <c r="L850">
        <v>0</v>
      </c>
      <c r="M850">
        <f t="shared" ca="1" si="27"/>
        <v>1.7941098322696303E-2</v>
      </c>
      <c r="N850">
        <v>0</v>
      </c>
      <c r="O850">
        <v>0</v>
      </c>
      <c r="P850">
        <v>0</v>
      </c>
    </row>
    <row r="851" spans="1:16" x14ac:dyDescent="0.3">
      <c r="A851" t="s">
        <v>963</v>
      </c>
      <c r="B851" t="s">
        <v>62</v>
      </c>
      <c r="C851">
        <f ca="1">IF(RAND()&lt;0.8,F_Baseline_data!C851,IF(RAND()&lt;0.85,F_Baseline_data!C851+1,IF(F_Baseline_data!C851&gt;3,C851-1,F_Baseline_data!C851)))</f>
        <v>11</v>
      </c>
      <c r="D851">
        <f ca="1">MAX(5000,ROUND(F_Baseline_data!D851*(1+_xlfn.NORM.INV(RAND(),0.12,0.1)),-2))</f>
        <v>91000</v>
      </c>
      <c r="E851" t="str">
        <f ca="1">IF(I851=1,IF(RAND()&lt;0.95,"Piped Water",F_Baseline_data!E851),F_Baseline_data!E851)</f>
        <v>Piped Water</v>
      </c>
      <c r="F851">
        <f t="shared" ca="1" si="26"/>
        <v>10</v>
      </c>
      <c r="G851">
        <v>9.6</v>
      </c>
      <c r="H851">
        <f ca="1">MAX(0,ROUND(F_Baseline_data!H851+(F_Baseline_data!C851-5)*200+(D851-30000)*0.015+(F851-50)*15-IF(I851=1,1200,0)+_xlfn.NORM.INV(RAND(),0,2500),-2))</f>
        <v>13200</v>
      </c>
      <c r="I851">
        <v>1</v>
      </c>
      <c r="J851">
        <f>1</f>
        <v>1</v>
      </c>
      <c r="K851">
        <f>1</f>
        <v>1</v>
      </c>
      <c r="L851">
        <v>0</v>
      </c>
      <c r="M851">
        <f t="shared" ca="1" si="27"/>
        <v>3.4807369888284478E-3</v>
      </c>
      <c r="N851">
        <v>0</v>
      </c>
      <c r="O851">
        <v>0</v>
      </c>
      <c r="P851">
        <v>0</v>
      </c>
    </row>
    <row r="852" spans="1:16" x14ac:dyDescent="0.3">
      <c r="A852" t="s">
        <v>964</v>
      </c>
      <c r="B852" t="s">
        <v>64</v>
      </c>
      <c r="C852">
        <f ca="1">IF(RAND()&lt;0.8,F_Baseline_data!C852,IF(RAND()&lt;0.85,F_Baseline_data!C852+1,IF(F_Baseline_data!C852&gt;3,C852-1,F_Baseline_data!C852)))</f>
        <v>6</v>
      </c>
      <c r="D852">
        <f ca="1">MAX(5000,ROUND(F_Baseline_data!D852*(1+_xlfn.NORM.INV(RAND(),0.12,0.1)),-2))</f>
        <v>34300</v>
      </c>
      <c r="E852" t="str">
        <f ca="1">IF(I852=1,IF(RAND()&lt;0.95,"Piped Water",F_Baseline_data!E852),F_Baseline_data!E852)</f>
        <v>Vendor</v>
      </c>
      <c r="F852">
        <f t="shared" ca="1" si="26"/>
        <v>41</v>
      </c>
      <c r="G852">
        <v>8.8000000000000007</v>
      </c>
      <c r="H852">
        <f ca="1">MAX(0,ROUND(F_Baseline_data!H852+(F_Baseline_data!C852-5)*200+(D852-30000)*0.015+(F852-50)*15-IF(I852=1,1200,0)+_xlfn.NORM.INV(RAND(),0,2500),-2))</f>
        <v>8800</v>
      </c>
      <c r="I852">
        <v>1</v>
      </c>
      <c r="J852">
        <f>1</f>
        <v>1</v>
      </c>
      <c r="K852">
        <f>1</f>
        <v>1</v>
      </c>
      <c r="L852">
        <v>0</v>
      </c>
      <c r="M852">
        <f t="shared" ca="1" si="27"/>
        <v>0.43653382003354113</v>
      </c>
      <c r="N852">
        <v>0</v>
      </c>
      <c r="O852">
        <v>0</v>
      </c>
      <c r="P852">
        <v>0</v>
      </c>
    </row>
    <row r="853" spans="1:16" x14ac:dyDescent="0.3">
      <c r="A853" t="s">
        <v>965</v>
      </c>
      <c r="B853" t="s">
        <v>513</v>
      </c>
      <c r="C853">
        <f ca="1">IF(RAND()&lt;0.8,F_Baseline_data!C853,IF(RAND()&lt;0.85,F_Baseline_data!C853+1,IF(F_Baseline_data!C853&gt;3,C853-1,F_Baseline_data!C853)))</f>
        <v>7</v>
      </c>
      <c r="D853">
        <f ca="1">MAX(5000,ROUND(F_Baseline_data!D853*(1+_xlfn.NORM.INV(RAND(),0.12,0.1)),-2))</f>
        <v>26700</v>
      </c>
      <c r="E853" t="str">
        <f ca="1">IF(I853=1,IF(RAND()&lt;0.95,"Piped Water",F_Baseline_data!E853),F_Baseline_data!E853)</f>
        <v>Piped Water</v>
      </c>
      <c r="F853">
        <f t="shared" ca="1" si="26"/>
        <v>2</v>
      </c>
      <c r="G853">
        <v>13.3</v>
      </c>
      <c r="H853">
        <f ca="1">MAX(0,ROUND(F_Baseline_data!H853+(F_Baseline_data!C853-5)*200+(D853-30000)*0.015+(F853-50)*15-IF(I853=1,1200,0)+_xlfn.NORM.INV(RAND(),0,2500),-2))</f>
        <v>9100</v>
      </c>
      <c r="I853">
        <v>1</v>
      </c>
      <c r="J853">
        <f>1</f>
        <v>1</v>
      </c>
      <c r="K853">
        <f>1</f>
        <v>1</v>
      </c>
      <c r="L853">
        <v>0</v>
      </c>
      <c r="M853">
        <f t="shared" ca="1" si="27"/>
        <v>0.70646632852450153</v>
      </c>
      <c r="N853">
        <v>0</v>
      </c>
      <c r="O853">
        <v>0</v>
      </c>
      <c r="P853">
        <v>0</v>
      </c>
    </row>
    <row r="854" spans="1:16" x14ac:dyDescent="0.3">
      <c r="A854" t="s">
        <v>966</v>
      </c>
      <c r="B854" t="s">
        <v>62</v>
      </c>
      <c r="C854">
        <f ca="1">IF(RAND()&lt;0.8,F_Baseline_data!C854,IF(RAND()&lt;0.85,F_Baseline_data!C854+1,IF(F_Baseline_data!C854&gt;3,C854-1,F_Baseline_data!C854)))</f>
        <v>4</v>
      </c>
      <c r="D854">
        <f ca="1">MAX(5000,ROUND(F_Baseline_data!D854*(1+_xlfn.NORM.INV(RAND(),0.12,0.1)),-2))</f>
        <v>27100</v>
      </c>
      <c r="E854" t="str">
        <f ca="1">IF(I854=1,IF(RAND()&lt;0.95,"Piped Water",F_Baseline_data!E854),F_Baseline_data!E854)</f>
        <v>Piped Water</v>
      </c>
      <c r="F854">
        <f t="shared" ca="1" si="26"/>
        <v>3</v>
      </c>
      <c r="G854">
        <v>0.5</v>
      </c>
      <c r="H854">
        <f ca="1">MAX(0,ROUND(F_Baseline_data!H854+(F_Baseline_data!C854-5)*200+(D854-30000)*0.015+(F854-50)*15-IF(I854=1,1200,0)+_xlfn.NORM.INV(RAND(),0,2500),-2))</f>
        <v>900</v>
      </c>
      <c r="I854">
        <v>1</v>
      </c>
      <c r="J854">
        <f>1</f>
        <v>1</v>
      </c>
      <c r="K854">
        <f>1</f>
        <v>1</v>
      </c>
      <c r="L854">
        <v>0</v>
      </c>
      <c r="M854">
        <f t="shared" ca="1" si="27"/>
        <v>3.9964804563545786E-2</v>
      </c>
      <c r="N854">
        <v>0</v>
      </c>
      <c r="O854">
        <v>0</v>
      </c>
      <c r="P854">
        <v>0</v>
      </c>
    </row>
    <row r="855" spans="1:16" x14ac:dyDescent="0.3">
      <c r="A855" t="s">
        <v>967</v>
      </c>
      <c r="B855" t="s">
        <v>62</v>
      </c>
      <c r="C855">
        <f ca="1">IF(RAND()&lt;0.8,F_Baseline_data!C855,IF(RAND()&lt;0.85,F_Baseline_data!C855+1,IF(F_Baseline_data!C855&gt;3,C855-1,F_Baseline_data!C855)))</f>
        <v>4</v>
      </c>
      <c r="D855">
        <f ca="1">MAX(5000,ROUND(F_Baseline_data!D855*(1+_xlfn.NORM.INV(RAND(),0.12,0.1)),-2))</f>
        <v>50000</v>
      </c>
      <c r="E855" t="str">
        <f ca="1">IF(I855=1,IF(RAND()&lt;0.95,"Piped Water",F_Baseline_data!E855),F_Baseline_data!E855)</f>
        <v>Piped Water</v>
      </c>
      <c r="F855">
        <f t="shared" ca="1" si="26"/>
        <v>1</v>
      </c>
      <c r="G855">
        <v>3.5</v>
      </c>
      <c r="H855">
        <f ca="1">MAX(0,ROUND(F_Baseline_data!H855+(F_Baseline_data!C855-5)*200+(D855-30000)*0.015+(F855-50)*15-IF(I855=1,1200,0)+_xlfn.NORM.INV(RAND(),0,2500),-2))</f>
        <v>0</v>
      </c>
      <c r="I855">
        <v>1</v>
      </c>
      <c r="J855">
        <f>1</f>
        <v>1</v>
      </c>
      <c r="K855">
        <f>1</f>
        <v>1</v>
      </c>
      <c r="L855">
        <v>0</v>
      </c>
      <c r="M855">
        <f t="shared" ca="1" si="27"/>
        <v>0.70346986046083881</v>
      </c>
      <c r="N855">
        <v>0</v>
      </c>
      <c r="O855">
        <v>0</v>
      </c>
      <c r="P855">
        <v>0</v>
      </c>
    </row>
    <row r="856" spans="1:16" x14ac:dyDescent="0.3">
      <c r="A856" t="s">
        <v>968</v>
      </c>
      <c r="B856" t="s">
        <v>65</v>
      </c>
      <c r="C856">
        <f ca="1">IF(RAND()&lt;0.8,F_Baseline_data!C856,IF(RAND()&lt;0.85,F_Baseline_data!C856+1,IF(F_Baseline_data!C856&gt;3,C856-1,F_Baseline_data!C856)))</f>
        <v>4</v>
      </c>
      <c r="D856">
        <f ca="1">MAX(5000,ROUND(F_Baseline_data!D856*(1+_xlfn.NORM.INV(RAND(),0.12,0.1)),-2))</f>
        <v>51300</v>
      </c>
      <c r="E856" t="str">
        <f ca="1">IF(I856=1,IF(RAND()&lt;0.95,"Piped Water",F_Baseline_data!E856),F_Baseline_data!E856)</f>
        <v>Piped Water</v>
      </c>
      <c r="F856">
        <f t="shared" ca="1" si="26"/>
        <v>9</v>
      </c>
      <c r="G856">
        <v>4.4000000000000004</v>
      </c>
      <c r="H856">
        <f ca="1">MAX(0,ROUND(F_Baseline_data!H856+(F_Baseline_data!C856-5)*200+(D856-30000)*0.015+(F856-50)*15-IF(I856=1,1200,0)+_xlfn.NORM.INV(RAND(),0,2500),-2))</f>
        <v>9800</v>
      </c>
      <c r="I856">
        <v>1</v>
      </c>
      <c r="J856">
        <f>1</f>
        <v>1</v>
      </c>
      <c r="K856">
        <f>1</f>
        <v>1</v>
      </c>
      <c r="L856">
        <v>0</v>
      </c>
      <c r="M856">
        <f t="shared" ca="1" si="27"/>
        <v>0.10659422390187323</v>
      </c>
      <c r="N856">
        <v>0</v>
      </c>
      <c r="O856">
        <v>0</v>
      </c>
      <c r="P856">
        <v>0</v>
      </c>
    </row>
    <row r="857" spans="1:16" x14ac:dyDescent="0.3">
      <c r="A857" t="s">
        <v>969</v>
      </c>
      <c r="B857" t="s">
        <v>64</v>
      </c>
      <c r="C857">
        <f ca="1">IF(RAND()&lt;0.8,F_Baseline_data!C857,IF(RAND()&lt;0.85,F_Baseline_data!C857+1,IF(F_Baseline_data!C857&gt;3,C857-1,F_Baseline_data!C857)))</f>
        <v>3</v>
      </c>
      <c r="D857">
        <f ca="1">MAX(5000,ROUND(F_Baseline_data!D857*(1+_xlfn.NORM.INV(RAND(),0.12,0.1)),-2))</f>
        <v>30700</v>
      </c>
      <c r="E857" t="str">
        <f ca="1">IF(I857=1,IF(RAND()&lt;0.95,"Piped Water",F_Baseline_data!E857),F_Baseline_data!E857)</f>
        <v>Piped Water</v>
      </c>
      <c r="F857">
        <f t="shared" ca="1" si="26"/>
        <v>8</v>
      </c>
      <c r="G857">
        <v>8.1999999999999993</v>
      </c>
      <c r="H857">
        <f ca="1">MAX(0,ROUND(F_Baseline_data!H857+(F_Baseline_data!C857-5)*200+(D857-30000)*0.015+(F857-50)*15-IF(I857=1,1200,0)+_xlfn.NORM.INV(RAND(),0,2500),-2))</f>
        <v>2400</v>
      </c>
      <c r="I857">
        <v>1</v>
      </c>
      <c r="J857">
        <f>1</f>
        <v>1</v>
      </c>
      <c r="K857">
        <f>1</f>
        <v>1</v>
      </c>
      <c r="L857">
        <v>0</v>
      </c>
      <c r="M857">
        <f t="shared" ca="1" si="27"/>
        <v>0.18818307382845578</v>
      </c>
      <c r="N857">
        <v>0</v>
      </c>
      <c r="O857">
        <v>0</v>
      </c>
      <c r="P857">
        <v>0</v>
      </c>
    </row>
    <row r="858" spans="1:16" x14ac:dyDescent="0.3">
      <c r="A858" t="s">
        <v>970</v>
      </c>
      <c r="B858" t="s">
        <v>513</v>
      </c>
      <c r="C858">
        <f ca="1">IF(RAND()&lt;0.8,F_Baseline_data!C858,IF(RAND()&lt;0.85,F_Baseline_data!C858+1,IF(F_Baseline_data!C858&gt;3,C858-1,F_Baseline_data!C858)))</f>
        <v>6</v>
      </c>
      <c r="D858">
        <f ca="1">MAX(5000,ROUND(F_Baseline_data!D858*(1+_xlfn.NORM.INV(RAND(),0.12,0.1)),-2))</f>
        <v>70500</v>
      </c>
      <c r="E858" t="str">
        <f ca="1">IF(I858=1,IF(RAND()&lt;0.95,"Piped Water",F_Baseline_data!E858),F_Baseline_data!E858)</f>
        <v>Piped Water</v>
      </c>
      <c r="F858">
        <f t="shared" ca="1" si="26"/>
        <v>6</v>
      </c>
      <c r="G858">
        <v>12</v>
      </c>
      <c r="H858">
        <f ca="1">MAX(0,ROUND(F_Baseline_data!H858+(F_Baseline_data!C858-5)*200+(D858-30000)*0.015+(F858-50)*15-IF(I858=1,1200,0)+_xlfn.NORM.INV(RAND(),0,2500),-2))</f>
        <v>800</v>
      </c>
      <c r="I858">
        <v>1</v>
      </c>
      <c r="J858">
        <f>1</f>
        <v>1</v>
      </c>
      <c r="K858">
        <f>1</f>
        <v>1</v>
      </c>
      <c r="L858">
        <v>0</v>
      </c>
      <c r="M858">
        <f t="shared" ca="1" si="27"/>
        <v>0.90187825927735232</v>
      </c>
      <c r="N858">
        <v>0</v>
      </c>
      <c r="O858">
        <v>0</v>
      </c>
      <c r="P858">
        <v>0</v>
      </c>
    </row>
    <row r="859" spans="1:16" x14ac:dyDescent="0.3">
      <c r="A859" t="s">
        <v>971</v>
      </c>
      <c r="B859" t="s">
        <v>62</v>
      </c>
      <c r="C859">
        <f ca="1">IF(RAND()&lt;0.8,F_Baseline_data!C859,IF(RAND()&lt;0.85,F_Baseline_data!C859+1,IF(F_Baseline_data!C859&gt;3,C859-1,F_Baseline_data!C859)))</f>
        <v>8</v>
      </c>
      <c r="D859">
        <f ca="1">MAX(5000,ROUND(F_Baseline_data!D859*(1+_xlfn.NORM.INV(RAND(),0.12,0.1)),-2))</f>
        <v>19400</v>
      </c>
      <c r="E859" t="str">
        <f ca="1">IF(I859=1,IF(RAND()&lt;0.95,"Piped Water",F_Baseline_data!E859),F_Baseline_data!E859)</f>
        <v>Piped Water</v>
      </c>
      <c r="F859">
        <f t="shared" ca="1" si="26"/>
        <v>1</v>
      </c>
      <c r="G859">
        <v>5.2</v>
      </c>
      <c r="H859">
        <f ca="1">MAX(0,ROUND(F_Baseline_data!H859+(F_Baseline_data!C859-5)*200+(D859-30000)*0.015+(F859-50)*15-IF(I859=1,1200,0)+_xlfn.NORM.INV(RAND(),0,2500),-2))</f>
        <v>0</v>
      </c>
      <c r="I859">
        <v>1</v>
      </c>
      <c r="J859">
        <f>1</f>
        <v>1</v>
      </c>
      <c r="K859">
        <f>1</f>
        <v>1</v>
      </c>
      <c r="L859">
        <v>0</v>
      </c>
      <c r="M859">
        <f t="shared" ca="1" si="27"/>
        <v>0.64705814586292765</v>
      </c>
      <c r="N859">
        <v>0</v>
      </c>
      <c r="O859">
        <v>0</v>
      </c>
      <c r="P859">
        <v>0</v>
      </c>
    </row>
    <row r="860" spans="1:16" x14ac:dyDescent="0.3">
      <c r="A860" t="s">
        <v>972</v>
      </c>
      <c r="B860" t="s">
        <v>64</v>
      </c>
      <c r="C860">
        <f ca="1">IF(RAND()&lt;0.8,F_Baseline_data!C860,IF(RAND()&lt;0.85,F_Baseline_data!C860+1,IF(F_Baseline_data!C860&gt;3,C860-1,F_Baseline_data!C860)))</f>
        <v>7</v>
      </c>
      <c r="D860">
        <f ca="1">MAX(5000,ROUND(F_Baseline_data!D860*(1+_xlfn.NORM.INV(RAND(),0.12,0.1)),-2))</f>
        <v>55000</v>
      </c>
      <c r="E860" t="str">
        <f ca="1">IF(I860=1,IF(RAND()&lt;0.95,"Piped Water",F_Baseline_data!E860),F_Baseline_data!E860)</f>
        <v>Piped Water</v>
      </c>
      <c r="F860">
        <f t="shared" ca="1" si="26"/>
        <v>1</v>
      </c>
      <c r="G860">
        <v>9.9</v>
      </c>
      <c r="H860">
        <f ca="1">MAX(0,ROUND(F_Baseline_data!H860+(F_Baseline_data!C860-5)*200+(D860-30000)*0.015+(F860-50)*15-IF(I860=1,1200,0)+_xlfn.NORM.INV(RAND(),0,2500),-2))</f>
        <v>8700</v>
      </c>
      <c r="I860">
        <v>1</v>
      </c>
      <c r="J860">
        <f>1</f>
        <v>1</v>
      </c>
      <c r="K860">
        <f>1</f>
        <v>1</v>
      </c>
      <c r="L860">
        <v>0</v>
      </c>
      <c r="M860">
        <f t="shared" ca="1" si="27"/>
        <v>0.39607973596930024</v>
      </c>
      <c r="N860">
        <v>0</v>
      </c>
      <c r="O860">
        <v>0</v>
      </c>
      <c r="P860">
        <v>0</v>
      </c>
    </row>
    <row r="861" spans="1:16" x14ac:dyDescent="0.3">
      <c r="A861" t="s">
        <v>973</v>
      </c>
      <c r="B861" t="s">
        <v>65</v>
      </c>
      <c r="C861">
        <f ca="1">IF(RAND()&lt;0.8,F_Baseline_data!C861,IF(RAND()&lt;0.85,F_Baseline_data!C861+1,IF(F_Baseline_data!C861&gt;3,C861-1,F_Baseline_data!C861)))</f>
        <v>11</v>
      </c>
      <c r="D861">
        <f ca="1">MAX(5000,ROUND(F_Baseline_data!D861*(1+_xlfn.NORM.INV(RAND(),0.12,0.1)),-2))</f>
        <v>31400</v>
      </c>
      <c r="E861" t="str">
        <f ca="1">IF(I861=1,IF(RAND()&lt;0.95,"Piped Water",F_Baseline_data!E861),F_Baseline_data!E861)</f>
        <v>Piped Water</v>
      </c>
      <c r="F861">
        <f t="shared" ca="1" si="26"/>
        <v>10</v>
      </c>
      <c r="G861">
        <v>13.9</v>
      </c>
      <c r="H861">
        <f ca="1">MAX(0,ROUND(F_Baseline_data!H861+(F_Baseline_data!C861-5)*200+(D861-30000)*0.015+(F861-50)*15-IF(I861=1,1200,0)+_xlfn.NORM.INV(RAND(),0,2500),-2))</f>
        <v>3800</v>
      </c>
      <c r="I861">
        <v>1</v>
      </c>
      <c r="J861">
        <f>1</f>
        <v>1</v>
      </c>
      <c r="K861">
        <f>1</f>
        <v>1</v>
      </c>
      <c r="L861">
        <v>0</v>
      </c>
      <c r="M861">
        <f t="shared" ca="1" si="27"/>
        <v>0.4914987477583912</v>
      </c>
      <c r="N861">
        <v>0</v>
      </c>
      <c r="O861">
        <v>0</v>
      </c>
      <c r="P861">
        <v>0</v>
      </c>
    </row>
    <row r="862" spans="1:16" x14ac:dyDescent="0.3">
      <c r="A862" t="s">
        <v>974</v>
      </c>
      <c r="B862" t="s">
        <v>65</v>
      </c>
      <c r="C862">
        <f ca="1">IF(RAND()&lt;0.8,F_Baseline_data!C862,IF(RAND()&lt;0.85,F_Baseline_data!C862+1,IF(F_Baseline_data!C862&gt;3,C862-1,F_Baseline_data!C862)))</f>
        <v>5</v>
      </c>
      <c r="D862">
        <f ca="1">MAX(5000,ROUND(F_Baseline_data!D862*(1+_xlfn.NORM.INV(RAND(),0.12,0.1)),-2))</f>
        <v>73800</v>
      </c>
      <c r="E862" t="str">
        <f ca="1">IF(I862=1,IF(RAND()&lt;0.95,"Piped Water",F_Baseline_data!E862),F_Baseline_data!E862)</f>
        <v>Piped Water</v>
      </c>
      <c r="F862">
        <f t="shared" ca="1" si="26"/>
        <v>1</v>
      </c>
      <c r="G862">
        <v>1.9</v>
      </c>
      <c r="H862">
        <f ca="1">MAX(0,ROUND(F_Baseline_data!H862+(F_Baseline_data!C862-5)*200+(D862-30000)*0.015+(F862-50)*15-IF(I862=1,1200,0)+_xlfn.NORM.INV(RAND(),0,2500),-2))</f>
        <v>7500</v>
      </c>
      <c r="I862">
        <v>1</v>
      </c>
      <c r="J862">
        <f>1</f>
        <v>1</v>
      </c>
      <c r="K862">
        <f>1</f>
        <v>1</v>
      </c>
      <c r="L862">
        <v>0</v>
      </c>
      <c r="M862">
        <f t="shared" ca="1" si="27"/>
        <v>0.68534240076312003</v>
      </c>
      <c r="N862">
        <v>0</v>
      </c>
      <c r="O862">
        <v>0</v>
      </c>
      <c r="P862">
        <v>0</v>
      </c>
    </row>
    <row r="863" spans="1:16" x14ac:dyDescent="0.3">
      <c r="A863" t="s">
        <v>975</v>
      </c>
      <c r="B863" t="s">
        <v>65</v>
      </c>
      <c r="C863">
        <f ca="1">IF(RAND()&lt;0.8,F_Baseline_data!C863,IF(RAND()&lt;0.85,F_Baseline_data!C863+1,IF(F_Baseline_data!C863&gt;3,C863-1,F_Baseline_data!C863)))</f>
        <v>8</v>
      </c>
      <c r="D863">
        <f ca="1">MAX(5000,ROUND(F_Baseline_data!D863*(1+_xlfn.NORM.INV(RAND(),0.12,0.1)),-2))</f>
        <v>26600</v>
      </c>
      <c r="E863" t="str">
        <f ca="1">IF(I863=1,IF(RAND()&lt;0.95,"Piped Water",F_Baseline_data!E863),F_Baseline_data!E863)</f>
        <v>Piped Water</v>
      </c>
      <c r="F863">
        <f t="shared" ca="1" si="26"/>
        <v>1</v>
      </c>
      <c r="G863">
        <v>10.3</v>
      </c>
      <c r="H863">
        <f ca="1">MAX(0,ROUND(F_Baseline_data!H863+(F_Baseline_data!C863-5)*200+(D863-30000)*0.015+(F863-50)*15-IF(I863=1,1200,0)+_xlfn.NORM.INV(RAND(),0,2500),-2))</f>
        <v>12800</v>
      </c>
      <c r="I863">
        <v>1</v>
      </c>
      <c r="J863">
        <f>1</f>
        <v>1</v>
      </c>
      <c r="K863">
        <f>1</f>
        <v>1</v>
      </c>
      <c r="L863">
        <v>0</v>
      </c>
      <c r="M863">
        <f t="shared" ca="1" si="27"/>
        <v>0.99623964023540224</v>
      </c>
      <c r="N863">
        <v>0</v>
      </c>
      <c r="O863">
        <v>0</v>
      </c>
      <c r="P863">
        <v>0</v>
      </c>
    </row>
    <row r="864" spans="1:16" x14ac:dyDescent="0.3">
      <c r="A864" t="s">
        <v>976</v>
      </c>
      <c r="B864" t="s">
        <v>62</v>
      </c>
      <c r="C864">
        <f ca="1">IF(RAND()&lt;0.8,F_Baseline_data!C864,IF(RAND()&lt;0.85,F_Baseline_data!C864+1,IF(F_Baseline_data!C864&gt;3,C864-1,F_Baseline_data!C864)))</f>
        <v>8</v>
      </c>
      <c r="D864">
        <f ca="1">MAX(5000,ROUND(F_Baseline_data!D864*(1+_xlfn.NORM.INV(RAND(),0.12,0.1)),-2))</f>
        <v>26300</v>
      </c>
      <c r="E864" t="str">
        <f ca="1">IF(I864=1,IF(RAND()&lt;0.95,"Piped Water",F_Baseline_data!E864),F_Baseline_data!E864)</f>
        <v>Piped Water</v>
      </c>
      <c r="F864">
        <f t="shared" ca="1" si="26"/>
        <v>4</v>
      </c>
      <c r="G864">
        <v>4.2</v>
      </c>
      <c r="H864">
        <f ca="1">MAX(0,ROUND(F_Baseline_data!H864+(F_Baseline_data!C864-5)*200+(D864-30000)*0.015+(F864-50)*15-IF(I864=1,1200,0)+_xlfn.NORM.INV(RAND(),0,2500),-2))</f>
        <v>6900</v>
      </c>
      <c r="I864">
        <v>1</v>
      </c>
      <c r="J864">
        <f>1</f>
        <v>1</v>
      </c>
      <c r="K864">
        <f>1</f>
        <v>1</v>
      </c>
      <c r="L864">
        <v>0</v>
      </c>
      <c r="M864">
        <f t="shared" ca="1" si="27"/>
        <v>0.56686165254105836</v>
      </c>
      <c r="N864">
        <v>0</v>
      </c>
      <c r="O864">
        <v>0</v>
      </c>
      <c r="P864">
        <v>0</v>
      </c>
    </row>
    <row r="865" spans="1:16" x14ac:dyDescent="0.3">
      <c r="A865" t="s">
        <v>977</v>
      </c>
      <c r="B865" t="s">
        <v>64</v>
      </c>
      <c r="C865">
        <f ca="1">IF(RAND()&lt;0.8,F_Baseline_data!C865,IF(RAND()&lt;0.85,F_Baseline_data!C865+1,IF(F_Baseline_data!C865&gt;3,C865-1,F_Baseline_data!C865)))</f>
        <v>7</v>
      </c>
      <c r="D865">
        <f ca="1">MAX(5000,ROUND(F_Baseline_data!D865*(1+_xlfn.NORM.INV(RAND(),0.12,0.1)),-2))</f>
        <v>84800</v>
      </c>
      <c r="E865" t="str">
        <f ca="1">IF(I865=1,IF(RAND()&lt;0.95,"Piped Water",F_Baseline_data!E865),F_Baseline_data!E865)</f>
        <v>Rainwater</v>
      </c>
      <c r="F865">
        <f t="shared" ca="1" si="26"/>
        <v>21</v>
      </c>
      <c r="G865">
        <v>5.8</v>
      </c>
      <c r="H865">
        <f ca="1">MAX(0,ROUND(F_Baseline_data!H865+(F_Baseline_data!C865-5)*200+(D865-30000)*0.015+(F865-50)*15-IF(I865=1,1200,0)+_xlfn.NORM.INV(RAND(),0,2500),-2))</f>
        <v>5400</v>
      </c>
      <c r="I865">
        <v>1</v>
      </c>
      <c r="J865">
        <f>1</f>
        <v>1</v>
      </c>
      <c r="K865">
        <f>1</f>
        <v>1</v>
      </c>
      <c r="L865">
        <v>0</v>
      </c>
      <c r="M865">
        <f t="shared" ca="1" si="27"/>
        <v>0.22492877299474112</v>
      </c>
      <c r="N865">
        <v>0</v>
      </c>
      <c r="O865">
        <v>0</v>
      </c>
      <c r="P865">
        <v>0</v>
      </c>
    </row>
    <row r="866" spans="1:16" x14ac:dyDescent="0.3">
      <c r="A866" t="s">
        <v>978</v>
      </c>
      <c r="B866" t="s">
        <v>65</v>
      </c>
      <c r="C866">
        <f ca="1">IF(RAND()&lt;0.8,F_Baseline_data!C866,IF(RAND()&lt;0.85,F_Baseline_data!C866+1,IF(F_Baseline_data!C866&gt;3,C866-1,F_Baseline_data!C866)))</f>
        <v>7</v>
      </c>
      <c r="D866">
        <f ca="1">MAX(5000,ROUND(F_Baseline_data!D866*(1+_xlfn.NORM.INV(RAND(),0.12,0.1)),-2))</f>
        <v>23900</v>
      </c>
      <c r="E866" t="str">
        <f ca="1">IF(I866=1,IF(RAND()&lt;0.95,"Piped Water",F_Baseline_data!E866),F_Baseline_data!E866)</f>
        <v>Piped Water</v>
      </c>
      <c r="F866">
        <f t="shared" ca="1" si="26"/>
        <v>4</v>
      </c>
      <c r="G866">
        <v>6.5</v>
      </c>
      <c r="H866">
        <f ca="1">MAX(0,ROUND(F_Baseline_data!H866+(F_Baseline_data!C866-5)*200+(D866-30000)*0.015+(F866-50)*15-IF(I866=1,1200,0)+_xlfn.NORM.INV(RAND(),0,2500),-2))</f>
        <v>1500</v>
      </c>
      <c r="I866">
        <v>1</v>
      </c>
      <c r="J866">
        <f>1</f>
        <v>1</v>
      </c>
      <c r="K866">
        <f>1</f>
        <v>1</v>
      </c>
      <c r="L866">
        <v>0</v>
      </c>
      <c r="M866">
        <f t="shared" ca="1" si="27"/>
        <v>0.40579296748630966</v>
      </c>
      <c r="N866">
        <v>0</v>
      </c>
      <c r="O866">
        <v>0</v>
      </c>
      <c r="P866">
        <v>0</v>
      </c>
    </row>
    <row r="867" spans="1:16" x14ac:dyDescent="0.3">
      <c r="A867" t="s">
        <v>979</v>
      </c>
      <c r="B867" t="s">
        <v>65</v>
      </c>
      <c r="C867">
        <f ca="1">IF(RAND()&lt;0.8,F_Baseline_data!C867,IF(RAND()&lt;0.85,F_Baseline_data!C867+1,IF(F_Baseline_data!C867&gt;3,C867-1,F_Baseline_data!C867)))</f>
        <v>2</v>
      </c>
      <c r="D867">
        <f ca="1">MAX(5000,ROUND(F_Baseline_data!D867*(1+_xlfn.NORM.INV(RAND(),0.12,0.1)),-2))</f>
        <v>22800</v>
      </c>
      <c r="E867" t="str">
        <f ca="1">IF(I867=1,IF(RAND()&lt;0.95,"Piped Water",F_Baseline_data!E867),F_Baseline_data!E867)</f>
        <v>Piped Water</v>
      </c>
      <c r="F867">
        <f t="shared" ca="1" si="26"/>
        <v>9</v>
      </c>
      <c r="G867">
        <v>10.6</v>
      </c>
      <c r="H867">
        <f ca="1">MAX(0,ROUND(F_Baseline_data!H867+(F_Baseline_data!C867-5)*200+(D867-30000)*0.015+(F867-50)*15-IF(I867=1,1200,0)+_xlfn.NORM.INV(RAND(),0,2500),-2))</f>
        <v>300</v>
      </c>
      <c r="I867">
        <v>1</v>
      </c>
      <c r="J867">
        <f>1</f>
        <v>1</v>
      </c>
      <c r="K867">
        <f>1</f>
        <v>1</v>
      </c>
      <c r="L867">
        <v>0</v>
      </c>
      <c r="M867">
        <f t="shared" ca="1" si="27"/>
        <v>0.8814610788414069</v>
      </c>
      <c r="N867">
        <v>0</v>
      </c>
      <c r="O867">
        <v>0</v>
      </c>
      <c r="P867">
        <v>0</v>
      </c>
    </row>
    <row r="868" spans="1:16" x14ac:dyDescent="0.3">
      <c r="A868" t="s">
        <v>980</v>
      </c>
      <c r="B868" t="s">
        <v>65</v>
      </c>
      <c r="C868">
        <f ca="1">IF(RAND()&lt;0.8,F_Baseline_data!C868,IF(RAND()&lt;0.85,F_Baseline_data!C868+1,IF(F_Baseline_data!C868&gt;3,C868-1,F_Baseline_data!C868)))</f>
        <v>7</v>
      </c>
      <c r="D868">
        <f ca="1">MAX(5000,ROUND(F_Baseline_data!D868*(1+_xlfn.NORM.INV(RAND(),0.12,0.1)),-2))</f>
        <v>43500</v>
      </c>
      <c r="E868" t="str">
        <f ca="1">IF(I868=1,IF(RAND()&lt;0.95,"Piped Water",F_Baseline_data!E868),F_Baseline_data!E868)</f>
        <v>Piped Water</v>
      </c>
      <c r="F868">
        <f t="shared" ca="1" si="26"/>
        <v>10</v>
      </c>
      <c r="G868">
        <v>13.3</v>
      </c>
      <c r="H868">
        <f ca="1">MAX(0,ROUND(F_Baseline_data!H868+(F_Baseline_data!C868-5)*200+(D868-30000)*0.015+(F868-50)*15-IF(I868=1,1200,0)+_xlfn.NORM.INV(RAND(),0,2500),-2))</f>
        <v>10600</v>
      </c>
      <c r="I868">
        <v>1</v>
      </c>
      <c r="J868">
        <f>1</f>
        <v>1</v>
      </c>
      <c r="K868">
        <f>1</f>
        <v>1</v>
      </c>
      <c r="L868">
        <v>0</v>
      </c>
      <c r="M868">
        <f t="shared" ca="1" si="27"/>
        <v>0.64717213184304978</v>
      </c>
      <c r="N868">
        <v>0</v>
      </c>
      <c r="O868">
        <v>0</v>
      </c>
      <c r="P868">
        <v>0</v>
      </c>
    </row>
    <row r="869" spans="1:16" x14ac:dyDescent="0.3">
      <c r="A869" t="s">
        <v>981</v>
      </c>
      <c r="B869" t="s">
        <v>513</v>
      </c>
      <c r="C869">
        <f ca="1">IF(RAND()&lt;0.8,F_Baseline_data!C869,IF(RAND()&lt;0.85,F_Baseline_data!C869+1,IF(F_Baseline_data!C869&gt;3,C869-1,F_Baseline_data!C869)))</f>
        <v>3</v>
      </c>
      <c r="D869">
        <f ca="1">MAX(5000,ROUND(F_Baseline_data!D869*(1+_xlfn.NORM.INV(RAND(),0.12,0.1)),-2))</f>
        <v>41700</v>
      </c>
      <c r="E869" t="str">
        <f ca="1">IF(I869=1,IF(RAND()&lt;0.95,"Piped Water",F_Baseline_data!E869),F_Baseline_data!E869)</f>
        <v>Piped Water</v>
      </c>
      <c r="F869">
        <f t="shared" ca="1" si="26"/>
        <v>6</v>
      </c>
      <c r="G869">
        <v>9.3000000000000007</v>
      </c>
      <c r="H869">
        <f ca="1">MAX(0,ROUND(F_Baseline_data!H869+(F_Baseline_data!C869-5)*200+(D869-30000)*0.015+(F869-50)*15-IF(I869=1,1200,0)+_xlfn.NORM.INV(RAND(),0,2500),-2))</f>
        <v>0</v>
      </c>
      <c r="I869">
        <v>1</v>
      </c>
      <c r="J869">
        <f>1</f>
        <v>1</v>
      </c>
      <c r="K869">
        <f>1</f>
        <v>1</v>
      </c>
      <c r="L869">
        <v>0</v>
      </c>
      <c r="M869">
        <f t="shared" ca="1" si="27"/>
        <v>0.41445710723766638</v>
      </c>
      <c r="N869">
        <v>0</v>
      </c>
      <c r="O869">
        <v>0</v>
      </c>
      <c r="P869">
        <v>0</v>
      </c>
    </row>
    <row r="870" spans="1:16" x14ac:dyDescent="0.3">
      <c r="A870" t="s">
        <v>982</v>
      </c>
      <c r="B870" t="s">
        <v>513</v>
      </c>
      <c r="C870">
        <f ca="1">IF(RAND()&lt;0.8,F_Baseline_data!C870,IF(RAND()&lt;0.85,F_Baseline_data!C870+1,IF(F_Baseline_data!C870&gt;3,C870-1,F_Baseline_data!C870)))</f>
        <v>3</v>
      </c>
      <c r="D870">
        <f ca="1">MAX(5000,ROUND(F_Baseline_data!D870*(1+_xlfn.NORM.INV(RAND(),0.12,0.1)),-2))</f>
        <v>15400</v>
      </c>
      <c r="E870" t="str">
        <f ca="1">IF(I870=1,IF(RAND()&lt;0.95,"Piped Water",F_Baseline_data!E870),F_Baseline_data!E870)</f>
        <v>Piped Water</v>
      </c>
      <c r="F870">
        <f t="shared" ca="1" si="26"/>
        <v>8</v>
      </c>
      <c r="G870">
        <v>11.8</v>
      </c>
      <c r="H870">
        <f ca="1">MAX(0,ROUND(F_Baseline_data!H870+(F_Baseline_data!C870-5)*200+(D870-30000)*0.015+(F870-50)*15-IF(I870=1,1200,0)+_xlfn.NORM.INV(RAND(),0,2500),-2))</f>
        <v>0</v>
      </c>
      <c r="I870">
        <v>1</v>
      </c>
      <c r="J870">
        <f>1</f>
        <v>1</v>
      </c>
      <c r="K870">
        <f>1</f>
        <v>1</v>
      </c>
      <c r="L870">
        <v>0</v>
      </c>
      <c r="M870">
        <f t="shared" ca="1" si="27"/>
        <v>6.3133829823072141E-2</v>
      </c>
      <c r="N870">
        <v>0</v>
      </c>
      <c r="O870">
        <v>0</v>
      </c>
      <c r="P870">
        <v>0</v>
      </c>
    </row>
    <row r="871" spans="1:16" x14ac:dyDescent="0.3">
      <c r="A871" t="s">
        <v>983</v>
      </c>
      <c r="B871" t="s">
        <v>62</v>
      </c>
      <c r="C871">
        <f ca="1">IF(RAND()&lt;0.8,F_Baseline_data!C871,IF(RAND()&lt;0.85,F_Baseline_data!C871+1,IF(F_Baseline_data!C871&gt;3,C871-1,F_Baseline_data!C871)))</f>
        <v>6</v>
      </c>
      <c r="D871">
        <f ca="1">MAX(5000,ROUND(F_Baseline_data!D871*(1+_xlfn.NORM.INV(RAND(),0.12,0.1)),-2))</f>
        <v>35200</v>
      </c>
      <c r="E871" t="str">
        <f ca="1">IF(I871=1,IF(RAND()&lt;0.95,"Piped Water",F_Baseline_data!E871),F_Baseline_data!E871)</f>
        <v>Piped Water</v>
      </c>
      <c r="F871">
        <f t="shared" ca="1" si="26"/>
        <v>10</v>
      </c>
      <c r="G871">
        <v>3.9</v>
      </c>
      <c r="H871">
        <f ca="1">MAX(0,ROUND(F_Baseline_data!H871+(F_Baseline_data!C871-5)*200+(D871-30000)*0.015+(F871-50)*15-IF(I871=1,1200,0)+_xlfn.NORM.INV(RAND(),0,2500),-2))</f>
        <v>1700</v>
      </c>
      <c r="I871">
        <v>1</v>
      </c>
      <c r="J871">
        <f>1</f>
        <v>1</v>
      </c>
      <c r="K871">
        <f>1</f>
        <v>1</v>
      </c>
      <c r="L871">
        <v>0</v>
      </c>
      <c r="M871">
        <f t="shared" ca="1" si="27"/>
        <v>0.79676453831632577</v>
      </c>
      <c r="N871">
        <v>0</v>
      </c>
      <c r="O871">
        <v>0</v>
      </c>
      <c r="P871">
        <v>0</v>
      </c>
    </row>
    <row r="872" spans="1:16" x14ac:dyDescent="0.3">
      <c r="A872" t="s">
        <v>984</v>
      </c>
      <c r="B872" t="s">
        <v>65</v>
      </c>
      <c r="C872">
        <f ca="1">IF(RAND()&lt;0.8,F_Baseline_data!C872,IF(RAND()&lt;0.85,F_Baseline_data!C872+1,IF(F_Baseline_data!C872&gt;3,C872-1,F_Baseline_data!C872)))</f>
        <v>4</v>
      </c>
      <c r="D872">
        <f ca="1">MAX(5000,ROUND(F_Baseline_data!D872*(1+_xlfn.NORM.INV(RAND(),0.12,0.1)),-2))</f>
        <v>19900</v>
      </c>
      <c r="E872" t="str">
        <f ca="1">IF(I872=1,IF(RAND()&lt;0.95,"Piped Water",F_Baseline_data!E872),F_Baseline_data!E872)</f>
        <v>Piped Water</v>
      </c>
      <c r="F872">
        <f t="shared" ca="1" si="26"/>
        <v>3</v>
      </c>
      <c r="G872">
        <v>6.3</v>
      </c>
      <c r="H872">
        <f ca="1">MAX(0,ROUND(F_Baseline_data!H872+(F_Baseline_data!C872-5)*200+(D872-30000)*0.015+(F872-50)*15-IF(I872=1,1200,0)+_xlfn.NORM.INV(RAND(),0,2500),-2))</f>
        <v>1500</v>
      </c>
      <c r="I872">
        <v>1</v>
      </c>
      <c r="J872">
        <f>1</f>
        <v>1</v>
      </c>
      <c r="K872">
        <f>1</f>
        <v>1</v>
      </c>
      <c r="L872">
        <v>0</v>
      </c>
      <c r="M872">
        <f t="shared" ca="1" si="27"/>
        <v>9.6046415590353984E-2</v>
      </c>
      <c r="N872">
        <v>0</v>
      </c>
      <c r="O872">
        <v>0</v>
      </c>
      <c r="P872">
        <v>0</v>
      </c>
    </row>
    <row r="873" spans="1:16" x14ac:dyDescent="0.3">
      <c r="A873" t="s">
        <v>985</v>
      </c>
      <c r="B873" t="s">
        <v>513</v>
      </c>
      <c r="C873">
        <f ca="1">IF(RAND()&lt;0.8,F_Baseline_data!C873,IF(RAND()&lt;0.85,F_Baseline_data!C873+1,IF(F_Baseline_data!C873&gt;3,C873-1,F_Baseline_data!C873)))</f>
        <v>7</v>
      </c>
      <c r="D873">
        <f ca="1">MAX(5000,ROUND(F_Baseline_data!D873*(1+_xlfn.NORM.INV(RAND(),0.12,0.1)),-2))</f>
        <v>42800</v>
      </c>
      <c r="E873" t="str">
        <f ca="1">IF(I873=1,IF(RAND()&lt;0.95,"Piped Water",F_Baseline_data!E873),F_Baseline_data!E873)</f>
        <v>Piped Water</v>
      </c>
      <c r="F873">
        <f t="shared" ca="1" si="26"/>
        <v>7</v>
      </c>
      <c r="G873">
        <v>8.6999999999999993</v>
      </c>
      <c r="H873">
        <f ca="1">MAX(0,ROUND(F_Baseline_data!H873+(F_Baseline_data!C873-5)*200+(D873-30000)*0.015+(F873-50)*15-IF(I873=1,1200,0)+_xlfn.NORM.INV(RAND(),0,2500),-2))</f>
        <v>0</v>
      </c>
      <c r="I873">
        <v>1</v>
      </c>
      <c r="J873">
        <f>1</f>
        <v>1</v>
      </c>
      <c r="K873">
        <f>1</f>
        <v>1</v>
      </c>
      <c r="L873">
        <v>0</v>
      </c>
      <c r="M873">
        <f t="shared" ca="1" si="27"/>
        <v>0.29885153521617625</v>
      </c>
      <c r="N873">
        <v>0</v>
      </c>
      <c r="O873">
        <v>0</v>
      </c>
      <c r="P873">
        <v>0</v>
      </c>
    </row>
    <row r="874" spans="1:16" x14ac:dyDescent="0.3">
      <c r="A874" t="s">
        <v>986</v>
      </c>
      <c r="B874" t="s">
        <v>513</v>
      </c>
      <c r="C874">
        <f ca="1">IF(RAND()&lt;0.8,F_Baseline_data!C874,IF(RAND()&lt;0.85,F_Baseline_data!C874+1,IF(F_Baseline_data!C874&gt;3,C874-1,F_Baseline_data!C874)))</f>
        <v>6</v>
      </c>
      <c r="D874">
        <f ca="1">MAX(5000,ROUND(F_Baseline_data!D874*(1+_xlfn.NORM.INV(RAND(),0.12,0.1)),-2))</f>
        <v>24200</v>
      </c>
      <c r="E874" t="str">
        <f ca="1">IF(I874=1,IF(RAND()&lt;0.95,"Piped Water",F_Baseline_data!E874),F_Baseline_data!E874)</f>
        <v>Piped Water</v>
      </c>
      <c r="F874">
        <f t="shared" ca="1" si="26"/>
        <v>7</v>
      </c>
      <c r="G874">
        <v>6.8</v>
      </c>
      <c r="H874">
        <f ca="1">MAX(0,ROUND(F_Baseline_data!H874+(F_Baseline_data!C874-5)*200+(D874-30000)*0.015+(F874-50)*15-IF(I874=1,1200,0)+_xlfn.NORM.INV(RAND(),0,2500),-2))</f>
        <v>3500</v>
      </c>
      <c r="I874">
        <v>1</v>
      </c>
      <c r="J874">
        <f>1</f>
        <v>1</v>
      </c>
      <c r="K874">
        <f>1</f>
        <v>1</v>
      </c>
      <c r="L874">
        <v>0</v>
      </c>
      <c r="M874">
        <f t="shared" ca="1" si="27"/>
        <v>0.78735373977507561</v>
      </c>
      <c r="N874">
        <v>0</v>
      </c>
      <c r="O874">
        <v>0</v>
      </c>
      <c r="P874">
        <v>0</v>
      </c>
    </row>
    <row r="875" spans="1:16" x14ac:dyDescent="0.3">
      <c r="A875" t="s">
        <v>987</v>
      </c>
      <c r="B875" t="s">
        <v>62</v>
      </c>
      <c r="C875">
        <f ca="1">IF(RAND()&lt;0.8,F_Baseline_data!C875,IF(RAND()&lt;0.85,F_Baseline_data!C875+1,IF(F_Baseline_data!C875&gt;3,C875-1,F_Baseline_data!C875)))</f>
        <v>3</v>
      </c>
      <c r="D875">
        <f ca="1">MAX(5000,ROUND(F_Baseline_data!D875*(1+_xlfn.NORM.INV(RAND(),0.12,0.1)),-2))</f>
        <v>36600</v>
      </c>
      <c r="E875" t="str">
        <f ca="1">IF(I875=1,IF(RAND()&lt;0.95,"Piped Water",F_Baseline_data!E875),F_Baseline_data!E875)</f>
        <v>Piped Water</v>
      </c>
      <c r="F875">
        <f t="shared" ca="1" si="26"/>
        <v>0</v>
      </c>
      <c r="G875">
        <v>0.3</v>
      </c>
      <c r="H875">
        <f ca="1">MAX(0,ROUND(F_Baseline_data!H875+(F_Baseline_data!C875-5)*200+(D875-30000)*0.015+(F875-50)*15-IF(I875=1,1200,0)+_xlfn.NORM.INV(RAND(),0,2500),-2))</f>
        <v>1400</v>
      </c>
      <c r="I875">
        <v>1</v>
      </c>
      <c r="J875">
        <f>1</f>
        <v>1</v>
      </c>
      <c r="K875">
        <f>1</f>
        <v>1</v>
      </c>
      <c r="L875">
        <v>0</v>
      </c>
      <c r="M875">
        <f t="shared" ca="1" si="27"/>
        <v>0.45976694472246693</v>
      </c>
      <c r="N875">
        <v>0</v>
      </c>
      <c r="O875">
        <v>0</v>
      </c>
      <c r="P875">
        <v>0</v>
      </c>
    </row>
    <row r="876" spans="1:16" x14ac:dyDescent="0.3">
      <c r="A876" t="s">
        <v>988</v>
      </c>
      <c r="B876" t="s">
        <v>62</v>
      </c>
      <c r="C876">
        <f ca="1">IF(RAND()&lt;0.8,F_Baseline_data!C876,IF(RAND()&lt;0.85,F_Baseline_data!C876+1,IF(F_Baseline_data!C876&gt;3,C876-1,F_Baseline_data!C876)))</f>
        <v>9</v>
      </c>
      <c r="D876">
        <f ca="1">MAX(5000,ROUND(F_Baseline_data!D876*(1+_xlfn.NORM.INV(RAND(),0.12,0.1)),-2))</f>
        <v>79800</v>
      </c>
      <c r="E876" t="str">
        <f ca="1">IF(I876=1,IF(RAND()&lt;0.95,"Piped Water",F_Baseline_data!E876),F_Baseline_data!E876)</f>
        <v>Piped Water</v>
      </c>
      <c r="F876">
        <f t="shared" ca="1" si="26"/>
        <v>6</v>
      </c>
      <c r="G876">
        <v>2.8</v>
      </c>
      <c r="H876">
        <f ca="1">MAX(0,ROUND(F_Baseline_data!H876+(F_Baseline_data!C876-5)*200+(D876-30000)*0.015+(F876-50)*15-IF(I876=1,1200,0)+_xlfn.NORM.INV(RAND(),0,2500),-2))</f>
        <v>10900</v>
      </c>
      <c r="I876">
        <v>1</v>
      </c>
      <c r="J876">
        <f>1</f>
        <v>1</v>
      </c>
      <c r="K876">
        <f>1</f>
        <v>1</v>
      </c>
      <c r="L876">
        <v>0</v>
      </c>
      <c r="M876">
        <f t="shared" ca="1" si="27"/>
        <v>0.66188166710479523</v>
      </c>
      <c r="N876">
        <v>0</v>
      </c>
      <c r="O876">
        <v>0</v>
      </c>
      <c r="P876">
        <v>0</v>
      </c>
    </row>
    <row r="877" spans="1:16" x14ac:dyDescent="0.3">
      <c r="A877" t="s">
        <v>989</v>
      </c>
      <c r="B877" t="s">
        <v>65</v>
      </c>
      <c r="C877">
        <f ca="1">IF(RAND()&lt;0.8,F_Baseline_data!C877,IF(RAND()&lt;0.85,F_Baseline_data!C877+1,IF(F_Baseline_data!C877&gt;3,C877-1,F_Baseline_data!C877)))</f>
        <v>5</v>
      </c>
      <c r="D877">
        <f ca="1">MAX(5000,ROUND(F_Baseline_data!D877*(1+_xlfn.NORM.INV(RAND(),0.12,0.1)),-2))</f>
        <v>30400</v>
      </c>
      <c r="E877" t="str">
        <f ca="1">IF(I877=1,IF(RAND()&lt;0.95,"Piped Water",F_Baseline_data!E877),F_Baseline_data!E877)</f>
        <v>Piped Water</v>
      </c>
      <c r="F877">
        <f t="shared" ca="1" si="26"/>
        <v>6</v>
      </c>
      <c r="G877">
        <v>9.8000000000000007</v>
      </c>
      <c r="H877">
        <f ca="1">MAX(0,ROUND(F_Baseline_data!H877+(F_Baseline_data!C877-5)*200+(D877-30000)*0.015+(F877-50)*15-IF(I877=1,1200,0)+_xlfn.NORM.INV(RAND(),0,2500),-2))</f>
        <v>1000</v>
      </c>
      <c r="I877">
        <v>1</v>
      </c>
      <c r="J877">
        <f>1</f>
        <v>1</v>
      </c>
      <c r="K877">
        <f>1</f>
        <v>1</v>
      </c>
      <c r="L877">
        <v>0</v>
      </c>
      <c r="M877">
        <f t="shared" ca="1" si="27"/>
        <v>0.2687278215134502</v>
      </c>
      <c r="N877">
        <v>0</v>
      </c>
      <c r="O877">
        <v>0</v>
      </c>
      <c r="P877">
        <v>0</v>
      </c>
    </row>
    <row r="878" spans="1:16" x14ac:dyDescent="0.3">
      <c r="A878" t="s">
        <v>990</v>
      </c>
      <c r="B878" t="s">
        <v>65</v>
      </c>
      <c r="C878">
        <f ca="1">IF(RAND()&lt;0.8,F_Baseline_data!C878,IF(RAND()&lt;0.85,F_Baseline_data!C878+1,IF(F_Baseline_data!C878&gt;3,C878-1,F_Baseline_data!C878)))</f>
        <v>9</v>
      </c>
      <c r="D878">
        <f ca="1">MAX(5000,ROUND(F_Baseline_data!D878*(1+_xlfn.NORM.INV(RAND(),0.12,0.1)),-2))</f>
        <v>48500</v>
      </c>
      <c r="E878" t="str">
        <f ca="1">IF(I878=1,IF(RAND()&lt;0.95,"Piped Water",F_Baseline_data!E878),F_Baseline_data!E878)</f>
        <v>Piped Water</v>
      </c>
      <c r="F878">
        <f t="shared" ca="1" si="26"/>
        <v>5</v>
      </c>
      <c r="G878">
        <v>10.7</v>
      </c>
      <c r="H878">
        <f ca="1">MAX(0,ROUND(F_Baseline_data!H878+(F_Baseline_data!C878-5)*200+(D878-30000)*0.015+(F878-50)*15-IF(I878=1,1200,0)+_xlfn.NORM.INV(RAND(),0,2500),-2))</f>
        <v>10400</v>
      </c>
      <c r="I878">
        <v>1</v>
      </c>
      <c r="J878">
        <f>1</f>
        <v>1</v>
      </c>
      <c r="K878">
        <f>1</f>
        <v>1</v>
      </c>
      <c r="L878">
        <v>0</v>
      </c>
      <c r="M878">
        <f t="shared" ca="1" si="27"/>
        <v>0.53942613605039791</v>
      </c>
      <c r="N878">
        <v>0</v>
      </c>
      <c r="O878">
        <v>0</v>
      </c>
      <c r="P878">
        <v>0</v>
      </c>
    </row>
    <row r="879" spans="1:16" x14ac:dyDescent="0.3">
      <c r="A879" t="s">
        <v>991</v>
      </c>
      <c r="B879" t="s">
        <v>513</v>
      </c>
      <c r="C879">
        <f ca="1">IF(RAND()&lt;0.8,F_Baseline_data!C879,IF(RAND()&lt;0.85,F_Baseline_data!C879+1,IF(F_Baseline_data!C879&gt;3,C879-1,F_Baseline_data!C879)))</f>
        <v>2</v>
      </c>
      <c r="D879">
        <f ca="1">MAX(5000,ROUND(F_Baseline_data!D879*(1+_xlfn.NORM.INV(RAND(),0.12,0.1)),-2))</f>
        <v>105900</v>
      </c>
      <c r="E879" t="str">
        <f ca="1">IF(I879=1,IF(RAND()&lt;0.95,"Piped Water",F_Baseline_data!E879),F_Baseline_data!E879)</f>
        <v>Piped Water</v>
      </c>
      <c r="F879">
        <f t="shared" ca="1" si="26"/>
        <v>4</v>
      </c>
      <c r="G879">
        <v>3.8</v>
      </c>
      <c r="H879">
        <f ca="1">MAX(0,ROUND(F_Baseline_data!H879+(F_Baseline_data!C879-5)*200+(D879-30000)*0.015+(F879-50)*15-IF(I879=1,1200,0)+_xlfn.NORM.INV(RAND(),0,2500),-2))</f>
        <v>12600</v>
      </c>
      <c r="I879">
        <v>1</v>
      </c>
      <c r="J879">
        <f>1</f>
        <v>1</v>
      </c>
      <c r="K879">
        <f>1</f>
        <v>1</v>
      </c>
      <c r="L879">
        <v>0</v>
      </c>
      <c r="M879">
        <f t="shared" ca="1" si="27"/>
        <v>0.62519698651771205</v>
      </c>
      <c r="N879">
        <v>0</v>
      </c>
      <c r="O879">
        <v>0</v>
      </c>
      <c r="P879">
        <v>0</v>
      </c>
    </row>
    <row r="880" spans="1:16" x14ac:dyDescent="0.3">
      <c r="A880" t="s">
        <v>992</v>
      </c>
      <c r="B880" t="s">
        <v>65</v>
      </c>
      <c r="C880">
        <f ca="1">IF(RAND()&lt;0.8,F_Baseline_data!C880,IF(RAND()&lt;0.85,F_Baseline_data!C880+1,IF(F_Baseline_data!C880&gt;3,C880-1,F_Baseline_data!C880)))</f>
        <v>8</v>
      </c>
      <c r="D880">
        <f ca="1">MAX(5000,ROUND(F_Baseline_data!D880*(1+_xlfn.NORM.INV(RAND(),0.12,0.1)),-2))</f>
        <v>77100</v>
      </c>
      <c r="E880" t="str">
        <f ca="1">IF(I880=1,IF(RAND()&lt;0.95,"Piped Water",F_Baseline_data!E880),F_Baseline_data!E880)</f>
        <v>Piped Water</v>
      </c>
      <c r="F880">
        <f t="shared" ca="1" si="26"/>
        <v>7</v>
      </c>
      <c r="G880">
        <v>10.6</v>
      </c>
      <c r="H880">
        <f ca="1">MAX(0,ROUND(F_Baseline_data!H880+(F_Baseline_data!C880-5)*200+(D880-30000)*0.015+(F880-50)*15-IF(I880=1,1200,0)+_xlfn.NORM.INV(RAND(),0,2500),-2))</f>
        <v>4300</v>
      </c>
      <c r="I880">
        <v>1</v>
      </c>
      <c r="J880">
        <f>1</f>
        <v>1</v>
      </c>
      <c r="K880">
        <f>1</f>
        <v>1</v>
      </c>
      <c r="L880">
        <v>0</v>
      </c>
      <c r="M880">
        <f t="shared" ca="1" si="27"/>
        <v>0.65079185191106059</v>
      </c>
      <c r="N880">
        <v>0</v>
      </c>
      <c r="O880">
        <v>0</v>
      </c>
      <c r="P880">
        <v>0</v>
      </c>
    </row>
    <row r="881" spans="1:16" x14ac:dyDescent="0.3">
      <c r="A881" t="s">
        <v>993</v>
      </c>
      <c r="B881" t="s">
        <v>513</v>
      </c>
      <c r="C881">
        <f ca="1">IF(RAND()&lt;0.8,F_Baseline_data!C881,IF(RAND()&lt;0.85,F_Baseline_data!C881+1,IF(F_Baseline_data!C881&gt;3,C881-1,F_Baseline_data!C881)))</f>
        <v>6</v>
      </c>
      <c r="D881">
        <f ca="1">MAX(5000,ROUND(F_Baseline_data!D881*(1+_xlfn.NORM.INV(RAND(),0.12,0.1)),-2))</f>
        <v>118300</v>
      </c>
      <c r="E881" t="str">
        <f ca="1">IF(I881=1,IF(RAND()&lt;0.95,"Piped Water",F_Baseline_data!E881),F_Baseline_data!E881)</f>
        <v>Piped Water</v>
      </c>
      <c r="F881">
        <f t="shared" ca="1" si="26"/>
        <v>2</v>
      </c>
      <c r="G881">
        <v>13.5</v>
      </c>
      <c r="H881">
        <f ca="1">MAX(0,ROUND(F_Baseline_data!H881+(F_Baseline_data!C881-5)*200+(D881-30000)*0.015+(F881-50)*15-IF(I881=1,1200,0)+_xlfn.NORM.INV(RAND(),0,2500),-2))</f>
        <v>6800</v>
      </c>
      <c r="I881">
        <v>1</v>
      </c>
      <c r="J881">
        <f>1</f>
        <v>1</v>
      </c>
      <c r="K881">
        <f>1</f>
        <v>1</v>
      </c>
      <c r="L881">
        <v>0</v>
      </c>
      <c r="M881">
        <f t="shared" ca="1" si="27"/>
        <v>5.7438442855398675E-2</v>
      </c>
      <c r="N881">
        <v>0</v>
      </c>
      <c r="O881">
        <v>0</v>
      </c>
      <c r="P881">
        <v>0</v>
      </c>
    </row>
    <row r="882" spans="1:16" x14ac:dyDescent="0.3">
      <c r="A882" t="s">
        <v>994</v>
      </c>
      <c r="B882" t="s">
        <v>513</v>
      </c>
      <c r="C882">
        <f ca="1">IF(RAND()&lt;0.8,F_Baseline_data!C882,IF(RAND()&lt;0.85,F_Baseline_data!C882+1,IF(F_Baseline_data!C882&gt;3,C882-1,F_Baseline_data!C882)))</f>
        <v>6</v>
      </c>
      <c r="D882">
        <f ca="1">MAX(5000,ROUND(F_Baseline_data!D882*(1+_xlfn.NORM.INV(RAND(),0.12,0.1)),-2))</f>
        <v>36500</v>
      </c>
      <c r="E882" t="str">
        <f ca="1">IF(I882=1,IF(RAND()&lt;0.95,"Piped Water",F_Baseline_data!E882),F_Baseline_data!E882)</f>
        <v>Piped Water</v>
      </c>
      <c r="F882">
        <f t="shared" ca="1" si="26"/>
        <v>6</v>
      </c>
      <c r="G882">
        <v>6.1</v>
      </c>
      <c r="H882">
        <f ca="1">MAX(0,ROUND(F_Baseline_data!H882+(F_Baseline_data!C882-5)*200+(D882-30000)*0.015+(F882-50)*15-IF(I882=1,1200,0)+_xlfn.NORM.INV(RAND(),0,2500),-2))</f>
        <v>3000</v>
      </c>
      <c r="I882">
        <v>1</v>
      </c>
      <c r="J882">
        <f>1</f>
        <v>1</v>
      </c>
      <c r="K882">
        <f>1</f>
        <v>1</v>
      </c>
      <c r="L882">
        <v>0</v>
      </c>
      <c r="M882">
        <f t="shared" ca="1" si="27"/>
        <v>0.52313137059247794</v>
      </c>
      <c r="N882">
        <v>0</v>
      </c>
      <c r="O882">
        <v>0</v>
      </c>
      <c r="P882">
        <v>0</v>
      </c>
    </row>
    <row r="883" spans="1:16" x14ac:dyDescent="0.3">
      <c r="A883" t="s">
        <v>995</v>
      </c>
      <c r="B883" t="s">
        <v>64</v>
      </c>
      <c r="C883">
        <f ca="1">IF(RAND()&lt;0.8,F_Baseline_data!C883,IF(RAND()&lt;0.85,F_Baseline_data!C883+1,IF(F_Baseline_data!C883&gt;3,C883-1,F_Baseline_data!C883)))</f>
        <v>3</v>
      </c>
      <c r="D883">
        <f ca="1">MAX(5000,ROUND(F_Baseline_data!D883*(1+_xlfn.NORM.INV(RAND(),0.12,0.1)),-2))</f>
        <v>51500</v>
      </c>
      <c r="E883" t="str">
        <f ca="1">IF(I883=1,IF(RAND()&lt;0.95,"Piped Water",F_Baseline_data!E883),F_Baseline_data!E883)</f>
        <v>Piped Water</v>
      </c>
      <c r="F883">
        <f t="shared" ca="1" si="26"/>
        <v>0</v>
      </c>
      <c r="G883">
        <v>12</v>
      </c>
      <c r="H883">
        <f ca="1">MAX(0,ROUND(F_Baseline_data!H883+(F_Baseline_data!C883-5)*200+(D883-30000)*0.015+(F883-50)*15-IF(I883=1,1200,0)+_xlfn.NORM.INV(RAND(),0,2500),-2))</f>
        <v>6300</v>
      </c>
      <c r="I883">
        <v>1</v>
      </c>
      <c r="J883">
        <f>1</f>
        <v>1</v>
      </c>
      <c r="K883">
        <f>1</f>
        <v>1</v>
      </c>
      <c r="L883">
        <v>0</v>
      </c>
      <c r="M883">
        <f t="shared" ca="1" si="27"/>
        <v>2.6181990594587812E-2</v>
      </c>
      <c r="N883">
        <v>0</v>
      </c>
      <c r="O883">
        <v>0</v>
      </c>
      <c r="P883">
        <v>0</v>
      </c>
    </row>
    <row r="884" spans="1:16" x14ac:dyDescent="0.3">
      <c r="A884" t="s">
        <v>996</v>
      </c>
      <c r="B884" t="s">
        <v>64</v>
      </c>
      <c r="C884">
        <f ca="1">IF(RAND()&lt;0.8,F_Baseline_data!C884,IF(RAND()&lt;0.85,F_Baseline_data!C884+1,IF(F_Baseline_data!C884&gt;3,C884-1,F_Baseline_data!C884)))</f>
        <v>5</v>
      </c>
      <c r="D884">
        <f ca="1">MAX(5000,ROUND(F_Baseline_data!D884*(1+_xlfn.NORM.INV(RAND(),0.12,0.1)),-2))</f>
        <v>17200</v>
      </c>
      <c r="E884" t="str">
        <f ca="1">IF(I884=1,IF(RAND()&lt;0.95,"Piped Water",F_Baseline_data!E884),F_Baseline_data!E884)</f>
        <v>Piped Water</v>
      </c>
      <c r="F884">
        <f t="shared" ca="1" si="26"/>
        <v>2</v>
      </c>
      <c r="G884">
        <v>1.3</v>
      </c>
      <c r="H884">
        <f ca="1">MAX(0,ROUND(F_Baseline_data!H884+(F_Baseline_data!C884-5)*200+(D884-30000)*0.015+(F884-50)*15-IF(I884=1,1200,0)+_xlfn.NORM.INV(RAND(),0,2500),-2))</f>
        <v>9300</v>
      </c>
      <c r="I884">
        <v>1</v>
      </c>
      <c r="J884">
        <f>1</f>
        <v>1</v>
      </c>
      <c r="K884">
        <f>1</f>
        <v>1</v>
      </c>
      <c r="L884">
        <v>0</v>
      </c>
      <c r="M884">
        <f t="shared" ca="1" si="27"/>
        <v>0.26270330218688087</v>
      </c>
      <c r="N884">
        <v>0</v>
      </c>
      <c r="O884">
        <v>0</v>
      </c>
      <c r="P884">
        <v>0</v>
      </c>
    </row>
    <row r="885" spans="1:16" x14ac:dyDescent="0.3">
      <c r="A885" t="s">
        <v>997</v>
      </c>
      <c r="B885" t="s">
        <v>513</v>
      </c>
      <c r="C885">
        <f ca="1">IF(RAND()&lt;0.8,F_Baseline_data!C885,IF(RAND()&lt;0.85,F_Baseline_data!C885+1,IF(F_Baseline_data!C885&gt;3,C885-1,F_Baseline_data!C885)))</f>
        <v>7</v>
      </c>
      <c r="D885">
        <f ca="1">MAX(5000,ROUND(F_Baseline_data!D885*(1+_xlfn.NORM.INV(RAND(),0.12,0.1)),-2))</f>
        <v>29300</v>
      </c>
      <c r="E885" t="str">
        <f ca="1">IF(I885=1,IF(RAND()&lt;0.95,"Piped Water",F_Baseline_data!E885),F_Baseline_data!E885)</f>
        <v>Piped Water</v>
      </c>
      <c r="F885">
        <f t="shared" ca="1" si="26"/>
        <v>9</v>
      </c>
      <c r="G885">
        <v>2.7</v>
      </c>
      <c r="H885">
        <f ca="1">MAX(0,ROUND(F_Baseline_data!H885+(F_Baseline_data!C885-5)*200+(D885-30000)*0.015+(F885-50)*15-IF(I885=1,1200,0)+_xlfn.NORM.INV(RAND(),0,2500),-2))</f>
        <v>3200</v>
      </c>
      <c r="I885">
        <v>1</v>
      </c>
      <c r="J885">
        <f>1</f>
        <v>1</v>
      </c>
      <c r="K885">
        <f>1</f>
        <v>1</v>
      </c>
      <c r="L885">
        <v>0</v>
      </c>
      <c r="M885">
        <f t="shared" ca="1" si="27"/>
        <v>0.59404869620747947</v>
      </c>
      <c r="N885">
        <v>0</v>
      </c>
      <c r="O885">
        <v>0</v>
      </c>
      <c r="P885">
        <v>0</v>
      </c>
    </row>
    <row r="886" spans="1:16" x14ac:dyDescent="0.3">
      <c r="A886" t="s">
        <v>998</v>
      </c>
      <c r="B886" t="s">
        <v>62</v>
      </c>
      <c r="C886">
        <f ca="1">IF(RAND()&lt;0.8,F_Baseline_data!C886,IF(RAND()&lt;0.85,F_Baseline_data!C886+1,IF(F_Baseline_data!C886&gt;3,C886-1,F_Baseline_data!C886)))</f>
        <v>4</v>
      </c>
      <c r="D886">
        <f ca="1">MAX(5000,ROUND(F_Baseline_data!D886*(1+_xlfn.NORM.INV(RAND(),0.12,0.1)),-2))</f>
        <v>32300</v>
      </c>
      <c r="E886" t="str">
        <f ca="1">IF(I886=1,IF(RAND()&lt;0.95,"Piped Water",F_Baseline_data!E886),F_Baseline_data!E886)</f>
        <v>Piped Water</v>
      </c>
      <c r="F886">
        <f t="shared" ca="1" si="26"/>
        <v>6</v>
      </c>
      <c r="G886">
        <v>1.4</v>
      </c>
      <c r="H886">
        <f ca="1">MAX(0,ROUND(F_Baseline_data!H886+(F_Baseline_data!C886-5)*200+(D886-30000)*0.015+(F886-50)*15-IF(I886=1,1200,0)+_xlfn.NORM.INV(RAND(),0,2500),-2))</f>
        <v>2000</v>
      </c>
      <c r="I886">
        <v>1</v>
      </c>
      <c r="J886">
        <f>1</f>
        <v>1</v>
      </c>
      <c r="K886">
        <f>1</f>
        <v>1</v>
      </c>
      <c r="L886">
        <v>0</v>
      </c>
      <c r="M886">
        <f t="shared" ca="1" si="27"/>
        <v>0.51947531052060647</v>
      </c>
      <c r="N886">
        <v>0</v>
      </c>
      <c r="O886">
        <v>0</v>
      </c>
      <c r="P886">
        <v>0</v>
      </c>
    </row>
    <row r="887" spans="1:16" x14ac:dyDescent="0.3">
      <c r="A887" t="s">
        <v>999</v>
      </c>
      <c r="B887" t="s">
        <v>513</v>
      </c>
      <c r="C887">
        <f ca="1">IF(RAND()&lt;0.8,F_Baseline_data!C887,IF(RAND()&lt;0.85,F_Baseline_data!C887+1,IF(F_Baseline_data!C887&gt;3,C887-1,F_Baseline_data!C887)))</f>
        <v>7</v>
      </c>
      <c r="D887">
        <f ca="1">MAX(5000,ROUND(F_Baseline_data!D887*(1+_xlfn.NORM.INV(RAND(),0.12,0.1)),-2))</f>
        <v>40200</v>
      </c>
      <c r="E887" t="str">
        <f ca="1">IF(I887=1,IF(RAND()&lt;0.95,"Piped Water",F_Baseline_data!E887),F_Baseline_data!E887)</f>
        <v>Piped Water</v>
      </c>
      <c r="F887">
        <f t="shared" ca="1" si="26"/>
        <v>6</v>
      </c>
      <c r="G887">
        <v>10.199999999999999</v>
      </c>
      <c r="H887">
        <f ca="1">MAX(0,ROUND(F_Baseline_data!H887+(F_Baseline_data!C887-5)*200+(D887-30000)*0.015+(F887-50)*15-IF(I887=1,1200,0)+_xlfn.NORM.INV(RAND(),0,2500),-2))</f>
        <v>6100</v>
      </c>
      <c r="I887">
        <v>1</v>
      </c>
      <c r="J887">
        <f>1</f>
        <v>1</v>
      </c>
      <c r="K887">
        <f>1</f>
        <v>1</v>
      </c>
      <c r="L887">
        <v>0</v>
      </c>
      <c r="M887">
        <f t="shared" ca="1" si="27"/>
        <v>0.86269877711840359</v>
      </c>
      <c r="N887">
        <v>0</v>
      </c>
      <c r="O887">
        <v>0</v>
      </c>
      <c r="P887">
        <v>0</v>
      </c>
    </row>
    <row r="888" spans="1:16" x14ac:dyDescent="0.3">
      <c r="A888" t="s">
        <v>1000</v>
      </c>
      <c r="B888" t="s">
        <v>513</v>
      </c>
      <c r="C888">
        <f ca="1">IF(RAND()&lt;0.8,F_Baseline_data!C888,IF(RAND()&lt;0.85,F_Baseline_data!C888+1,IF(F_Baseline_data!C888&gt;3,C888-1,F_Baseline_data!C888)))</f>
        <v>7</v>
      </c>
      <c r="D888">
        <f ca="1">MAX(5000,ROUND(F_Baseline_data!D888*(1+_xlfn.NORM.INV(RAND(),0.12,0.1)),-2))</f>
        <v>18400</v>
      </c>
      <c r="E888" t="str">
        <f ca="1">IF(I888=1,IF(RAND()&lt;0.95,"Piped Water",F_Baseline_data!E888),F_Baseline_data!E888)</f>
        <v>Piped Water</v>
      </c>
      <c r="F888">
        <f t="shared" ca="1" si="26"/>
        <v>10</v>
      </c>
      <c r="G888">
        <v>11.5</v>
      </c>
      <c r="H888">
        <f ca="1">MAX(0,ROUND(F_Baseline_data!H888+(F_Baseline_data!C888-5)*200+(D888-30000)*0.015+(F888-50)*15-IF(I888=1,1200,0)+_xlfn.NORM.INV(RAND(),0,2500),-2))</f>
        <v>12900</v>
      </c>
      <c r="I888">
        <v>1</v>
      </c>
      <c r="J888">
        <f>1</f>
        <v>1</v>
      </c>
      <c r="K888">
        <f>1</f>
        <v>1</v>
      </c>
      <c r="L888">
        <v>0</v>
      </c>
      <c r="M888">
        <f t="shared" ca="1" si="27"/>
        <v>0.19224060177185065</v>
      </c>
      <c r="N888">
        <v>0</v>
      </c>
      <c r="O888">
        <v>0</v>
      </c>
      <c r="P888">
        <v>0</v>
      </c>
    </row>
    <row r="889" spans="1:16" x14ac:dyDescent="0.3">
      <c r="A889" t="s">
        <v>1001</v>
      </c>
      <c r="B889" t="s">
        <v>62</v>
      </c>
      <c r="C889">
        <f ca="1">IF(RAND()&lt;0.8,F_Baseline_data!C889,IF(RAND()&lt;0.85,F_Baseline_data!C889+1,IF(F_Baseline_data!C889&gt;3,C889-1,F_Baseline_data!C889)))</f>
        <v>4</v>
      </c>
      <c r="D889">
        <f ca="1">MAX(5000,ROUND(F_Baseline_data!D889*(1+_xlfn.NORM.INV(RAND(),0.12,0.1)),-2))</f>
        <v>24000</v>
      </c>
      <c r="E889" t="str">
        <f ca="1">IF(I889=1,IF(RAND()&lt;0.95,"Piped Water",F_Baseline_data!E889),F_Baseline_data!E889)</f>
        <v>Piped Water</v>
      </c>
      <c r="F889">
        <f t="shared" ca="1" si="26"/>
        <v>2</v>
      </c>
      <c r="G889">
        <v>8.5</v>
      </c>
      <c r="H889">
        <f ca="1">MAX(0,ROUND(F_Baseline_data!H889+(F_Baseline_data!C889-5)*200+(D889-30000)*0.015+(F889-50)*15-IF(I889=1,1200,0)+_xlfn.NORM.INV(RAND(),0,2500),-2))</f>
        <v>0</v>
      </c>
      <c r="I889">
        <v>1</v>
      </c>
      <c r="J889">
        <f>1</f>
        <v>1</v>
      </c>
      <c r="K889">
        <f>1</f>
        <v>1</v>
      </c>
      <c r="L889">
        <v>0</v>
      </c>
      <c r="M889">
        <f t="shared" ca="1" si="27"/>
        <v>0.12146735709654921</v>
      </c>
      <c r="N889">
        <v>0</v>
      </c>
      <c r="O889">
        <v>0</v>
      </c>
      <c r="P889">
        <v>0</v>
      </c>
    </row>
    <row r="890" spans="1:16" x14ac:dyDescent="0.3">
      <c r="A890" t="s">
        <v>1002</v>
      </c>
      <c r="B890" t="s">
        <v>513</v>
      </c>
      <c r="C890">
        <f ca="1">IF(RAND()&lt;0.8,F_Baseline_data!C890,IF(RAND()&lt;0.85,F_Baseline_data!C890+1,IF(F_Baseline_data!C890&gt;3,C890-1,F_Baseline_data!C890)))</f>
        <v>9</v>
      </c>
      <c r="D890">
        <f ca="1">MAX(5000,ROUND(F_Baseline_data!D890*(1+_xlfn.NORM.INV(RAND(),0.12,0.1)),-2))</f>
        <v>17300</v>
      </c>
      <c r="E890" t="str">
        <f ca="1">IF(I890=1,IF(RAND()&lt;0.95,"Piped Water",F_Baseline_data!E890),F_Baseline_data!E890)</f>
        <v>Piped Water</v>
      </c>
      <c r="F890">
        <f t="shared" ca="1" si="26"/>
        <v>6</v>
      </c>
      <c r="G890">
        <v>7.7</v>
      </c>
      <c r="H890">
        <f ca="1">MAX(0,ROUND(F_Baseline_data!H890+(F_Baseline_data!C890-5)*200+(D890-30000)*0.015+(F890-50)*15-IF(I890=1,1200,0)+_xlfn.NORM.INV(RAND(),0,2500),-2))</f>
        <v>5000</v>
      </c>
      <c r="I890">
        <v>1</v>
      </c>
      <c r="J890">
        <f>1</f>
        <v>1</v>
      </c>
      <c r="K890">
        <f>1</f>
        <v>1</v>
      </c>
      <c r="L890">
        <v>0</v>
      </c>
      <c r="M890">
        <f t="shared" ca="1" si="27"/>
        <v>0.62366081183259581</v>
      </c>
      <c r="N890">
        <v>0</v>
      </c>
      <c r="O890">
        <v>0</v>
      </c>
      <c r="P890">
        <v>0</v>
      </c>
    </row>
    <row r="891" spans="1:16" x14ac:dyDescent="0.3">
      <c r="A891" t="s">
        <v>1003</v>
      </c>
      <c r="B891" t="s">
        <v>65</v>
      </c>
      <c r="C891">
        <f ca="1">IF(RAND()&lt;0.8,F_Baseline_data!C891,IF(RAND()&lt;0.85,F_Baseline_data!C891+1,IF(F_Baseline_data!C891&gt;3,C891-1,F_Baseline_data!C891)))</f>
        <v>9</v>
      </c>
      <c r="D891">
        <f ca="1">MAX(5000,ROUND(F_Baseline_data!D891*(1+_xlfn.NORM.INV(RAND(),0.12,0.1)),-2))</f>
        <v>34500</v>
      </c>
      <c r="E891" t="str">
        <f ca="1">IF(I891=1,IF(RAND()&lt;0.95,"Piped Water",F_Baseline_data!E891),F_Baseline_data!E891)</f>
        <v>Piped Water</v>
      </c>
      <c r="F891">
        <f t="shared" ca="1" si="26"/>
        <v>1</v>
      </c>
      <c r="G891">
        <v>10.199999999999999</v>
      </c>
      <c r="H891">
        <f ca="1">MAX(0,ROUND(F_Baseline_data!H891+(F_Baseline_data!C891-5)*200+(D891-30000)*0.015+(F891-50)*15-IF(I891=1,1200,0)+_xlfn.NORM.INV(RAND(),0,2500),-2))</f>
        <v>4500</v>
      </c>
      <c r="I891">
        <v>1</v>
      </c>
      <c r="J891">
        <f>1</f>
        <v>1</v>
      </c>
      <c r="K891">
        <f>1</f>
        <v>1</v>
      </c>
      <c r="L891">
        <v>0</v>
      </c>
      <c r="M891">
        <f t="shared" ca="1" si="27"/>
        <v>8.8465099805645764E-2</v>
      </c>
      <c r="N891">
        <v>0</v>
      </c>
      <c r="O891">
        <v>0</v>
      </c>
      <c r="P891">
        <v>0</v>
      </c>
    </row>
    <row r="892" spans="1:16" x14ac:dyDescent="0.3">
      <c r="A892" t="s">
        <v>1004</v>
      </c>
      <c r="B892" t="s">
        <v>65</v>
      </c>
      <c r="C892">
        <f ca="1">IF(RAND()&lt;0.8,F_Baseline_data!C892,IF(RAND()&lt;0.85,F_Baseline_data!C892+1,IF(F_Baseline_data!C892&gt;3,C892-1,F_Baseline_data!C892)))</f>
        <v>7</v>
      </c>
      <c r="D892">
        <f ca="1">MAX(5000,ROUND(F_Baseline_data!D892*(1+_xlfn.NORM.INV(RAND(),0.12,0.1)),-2))</f>
        <v>29400</v>
      </c>
      <c r="E892" t="str">
        <f ca="1">IF(I892=1,IF(RAND()&lt;0.95,"Piped Water",F_Baseline_data!E892),F_Baseline_data!E892)</f>
        <v>Piped Water</v>
      </c>
      <c r="F892">
        <f t="shared" ca="1" si="26"/>
        <v>8</v>
      </c>
      <c r="G892">
        <v>13.9</v>
      </c>
      <c r="H892">
        <f ca="1">MAX(0,ROUND(F_Baseline_data!H892+(F_Baseline_data!C892-5)*200+(D892-30000)*0.015+(F892-50)*15-IF(I892=1,1200,0)+_xlfn.NORM.INV(RAND(),0,2500),-2))</f>
        <v>2000</v>
      </c>
      <c r="I892">
        <v>1</v>
      </c>
      <c r="J892">
        <f>1</f>
        <v>1</v>
      </c>
      <c r="K892">
        <f>1</f>
        <v>1</v>
      </c>
      <c r="L892">
        <v>0</v>
      </c>
      <c r="M892">
        <f t="shared" ca="1" si="27"/>
        <v>0.60534431041630965</v>
      </c>
      <c r="N892">
        <v>0</v>
      </c>
      <c r="O892">
        <v>0</v>
      </c>
      <c r="P892">
        <v>0</v>
      </c>
    </row>
    <row r="893" spans="1:16" x14ac:dyDescent="0.3">
      <c r="A893" t="s">
        <v>1005</v>
      </c>
      <c r="B893" t="s">
        <v>62</v>
      </c>
      <c r="C893">
        <f ca="1">IF(RAND()&lt;0.8,F_Baseline_data!C893,IF(RAND()&lt;0.85,F_Baseline_data!C893+1,IF(F_Baseline_data!C893&gt;3,C893-1,F_Baseline_data!C893)))</f>
        <v>7</v>
      </c>
      <c r="D893">
        <f ca="1">MAX(5000,ROUND(F_Baseline_data!D893*(1+_xlfn.NORM.INV(RAND(),0.12,0.1)),-2))</f>
        <v>66300</v>
      </c>
      <c r="E893" t="str">
        <f ca="1">IF(I893=1,IF(RAND()&lt;0.95,"Piped Water",F_Baseline_data!E893),F_Baseline_data!E893)</f>
        <v>Piped Water</v>
      </c>
      <c r="F893">
        <f t="shared" ca="1" si="26"/>
        <v>1</v>
      </c>
      <c r="G893">
        <v>8</v>
      </c>
      <c r="H893">
        <f ca="1">MAX(0,ROUND(F_Baseline_data!H893+(F_Baseline_data!C893-5)*200+(D893-30000)*0.015+(F893-50)*15-IF(I893=1,1200,0)+_xlfn.NORM.INV(RAND(),0,2500),-2))</f>
        <v>6000</v>
      </c>
      <c r="I893">
        <v>1</v>
      </c>
      <c r="J893">
        <f>1</f>
        <v>1</v>
      </c>
      <c r="K893">
        <f>1</f>
        <v>1</v>
      </c>
      <c r="L893">
        <v>0</v>
      </c>
      <c r="M893">
        <f t="shared" ca="1" si="27"/>
        <v>0.51766502685624283</v>
      </c>
      <c r="N893">
        <v>0</v>
      </c>
      <c r="O893">
        <v>0</v>
      </c>
      <c r="P893">
        <v>0</v>
      </c>
    </row>
    <row r="894" spans="1:16" x14ac:dyDescent="0.3">
      <c r="A894" t="s">
        <v>1006</v>
      </c>
      <c r="B894" t="s">
        <v>64</v>
      </c>
      <c r="C894">
        <f ca="1">IF(RAND()&lt;0.8,F_Baseline_data!C894,IF(RAND()&lt;0.85,F_Baseline_data!C894+1,IF(F_Baseline_data!C894&gt;3,C894-1,F_Baseline_data!C894)))</f>
        <v>8</v>
      </c>
      <c r="D894">
        <f ca="1">MAX(5000,ROUND(F_Baseline_data!D894*(1+_xlfn.NORM.INV(RAND(),0.12,0.1)),-2))</f>
        <v>36600</v>
      </c>
      <c r="E894" t="str">
        <f ca="1">IF(I894=1,IF(RAND()&lt;0.95,"Piped Water",F_Baseline_data!E894),F_Baseline_data!E894)</f>
        <v>Piped Water</v>
      </c>
      <c r="F894">
        <f t="shared" ca="1" si="26"/>
        <v>9</v>
      </c>
      <c r="G894">
        <v>8.1</v>
      </c>
      <c r="H894">
        <f ca="1">MAX(0,ROUND(F_Baseline_data!H894+(F_Baseline_data!C894-5)*200+(D894-30000)*0.015+(F894-50)*15-IF(I894=1,1200,0)+_xlfn.NORM.INV(RAND(),0,2500),-2))</f>
        <v>7400</v>
      </c>
      <c r="I894">
        <v>1</v>
      </c>
      <c r="J894">
        <f>1</f>
        <v>1</v>
      </c>
      <c r="K894">
        <f>1</f>
        <v>1</v>
      </c>
      <c r="L894">
        <v>0</v>
      </c>
      <c r="M894">
        <f t="shared" ca="1" si="27"/>
        <v>0.78454756775435297</v>
      </c>
      <c r="N894">
        <v>0</v>
      </c>
      <c r="O894">
        <v>0</v>
      </c>
      <c r="P894">
        <v>0</v>
      </c>
    </row>
    <row r="895" spans="1:16" x14ac:dyDescent="0.3">
      <c r="A895" t="s">
        <v>1007</v>
      </c>
      <c r="B895" t="s">
        <v>513</v>
      </c>
      <c r="C895">
        <f ca="1">IF(RAND()&lt;0.8,F_Baseline_data!C895,IF(RAND()&lt;0.85,F_Baseline_data!C895+1,IF(F_Baseline_data!C895&gt;3,C895-1,F_Baseline_data!C895)))</f>
        <v>7</v>
      </c>
      <c r="D895">
        <f ca="1">MAX(5000,ROUND(F_Baseline_data!D895*(1+_xlfn.NORM.INV(RAND(),0.12,0.1)),-2))</f>
        <v>32100</v>
      </c>
      <c r="E895" t="str">
        <f ca="1">IF(I895=1,IF(RAND()&lt;0.95,"Piped Water",F_Baseline_data!E895),F_Baseline_data!E895)</f>
        <v>Piped Water</v>
      </c>
      <c r="F895">
        <f t="shared" ca="1" si="26"/>
        <v>6</v>
      </c>
      <c r="G895">
        <v>7.8</v>
      </c>
      <c r="H895">
        <f ca="1">MAX(0,ROUND(F_Baseline_data!H895+(F_Baseline_data!C895-5)*200+(D895-30000)*0.015+(F895-50)*15-IF(I895=1,1200,0)+_xlfn.NORM.INV(RAND(),0,2500),-2))</f>
        <v>3300</v>
      </c>
      <c r="I895">
        <v>1</v>
      </c>
      <c r="J895">
        <f>1</f>
        <v>1</v>
      </c>
      <c r="K895">
        <f>1</f>
        <v>1</v>
      </c>
      <c r="L895">
        <v>0</v>
      </c>
      <c r="M895">
        <f t="shared" ca="1" si="27"/>
        <v>0.36264682269269211</v>
      </c>
      <c r="N895">
        <v>0</v>
      </c>
      <c r="O895">
        <v>0</v>
      </c>
      <c r="P895">
        <v>0</v>
      </c>
    </row>
    <row r="896" spans="1:16" x14ac:dyDescent="0.3">
      <c r="A896" t="s">
        <v>1008</v>
      </c>
      <c r="B896" t="s">
        <v>65</v>
      </c>
      <c r="C896">
        <f ca="1">IF(RAND()&lt;0.8,F_Baseline_data!C896,IF(RAND()&lt;0.85,F_Baseline_data!C896+1,IF(F_Baseline_data!C896&gt;3,C896-1,F_Baseline_data!C896)))</f>
        <v>4</v>
      </c>
      <c r="D896">
        <f ca="1">MAX(5000,ROUND(F_Baseline_data!D896*(1+_xlfn.NORM.INV(RAND(),0.12,0.1)),-2))</f>
        <v>33100</v>
      </c>
      <c r="E896" t="str">
        <f ca="1">IF(I896=1,IF(RAND()&lt;0.95,"Piped Water",F_Baseline_data!E896),F_Baseline_data!E896)</f>
        <v>Piped Water</v>
      </c>
      <c r="F896">
        <f t="shared" ca="1" si="26"/>
        <v>8</v>
      </c>
      <c r="G896">
        <v>11.2</v>
      </c>
      <c r="H896">
        <f ca="1">MAX(0,ROUND(F_Baseline_data!H896+(F_Baseline_data!C896-5)*200+(D896-30000)*0.015+(F896-50)*15-IF(I896=1,1200,0)+_xlfn.NORM.INV(RAND(),0,2500),-2))</f>
        <v>5400</v>
      </c>
      <c r="I896">
        <v>1</v>
      </c>
      <c r="J896">
        <f>1</f>
        <v>1</v>
      </c>
      <c r="K896">
        <f>1</f>
        <v>1</v>
      </c>
      <c r="L896">
        <v>0</v>
      </c>
      <c r="M896">
        <f t="shared" ca="1" si="27"/>
        <v>0.57299155564188464</v>
      </c>
      <c r="N896">
        <v>0</v>
      </c>
      <c r="O896">
        <v>0</v>
      </c>
      <c r="P896">
        <v>0</v>
      </c>
    </row>
    <row r="897" spans="1:16" x14ac:dyDescent="0.3">
      <c r="A897" t="s">
        <v>1009</v>
      </c>
      <c r="B897" t="s">
        <v>64</v>
      </c>
      <c r="C897">
        <f ca="1">IF(RAND()&lt;0.8,F_Baseline_data!C897,IF(RAND()&lt;0.85,F_Baseline_data!C897+1,IF(F_Baseline_data!C897&gt;3,C897-1,F_Baseline_data!C897)))</f>
        <v>8</v>
      </c>
      <c r="D897">
        <f ca="1">MAX(5000,ROUND(F_Baseline_data!D897*(1+_xlfn.NORM.INV(RAND(),0.12,0.1)),-2))</f>
        <v>81200</v>
      </c>
      <c r="E897" t="str">
        <f ca="1">IF(I897=1,IF(RAND()&lt;0.95,"Piped Water",F_Baseline_data!E897),F_Baseline_data!E897)</f>
        <v>Piped Water</v>
      </c>
      <c r="F897">
        <f t="shared" ca="1" si="26"/>
        <v>10</v>
      </c>
      <c r="G897">
        <v>9.4</v>
      </c>
      <c r="H897">
        <f ca="1">MAX(0,ROUND(F_Baseline_data!H897+(F_Baseline_data!C897-5)*200+(D897-30000)*0.015+(F897-50)*15-IF(I897=1,1200,0)+_xlfn.NORM.INV(RAND(),0,2500),-2))</f>
        <v>3000</v>
      </c>
      <c r="I897">
        <v>1</v>
      </c>
      <c r="J897">
        <f>1</f>
        <v>1</v>
      </c>
      <c r="K897">
        <f>1</f>
        <v>1</v>
      </c>
      <c r="L897">
        <v>0</v>
      </c>
      <c r="M897">
        <f t="shared" ca="1" si="27"/>
        <v>0.81406387344979947</v>
      </c>
      <c r="N897">
        <v>0</v>
      </c>
      <c r="O897">
        <v>0</v>
      </c>
      <c r="P897">
        <v>0</v>
      </c>
    </row>
    <row r="898" spans="1:16" x14ac:dyDescent="0.3">
      <c r="A898" t="s">
        <v>1010</v>
      </c>
      <c r="B898" t="s">
        <v>64</v>
      </c>
      <c r="C898">
        <f ca="1">IF(RAND()&lt;0.8,F_Baseline_data!C898,IF(RAND()&lt;0.85,F_Baseline_data!C898+1,IF(F_Baseline_data!C898&gt;3,C898-1,F_Baseline_data!C898)))</f>
        <v>7</v>
      </c>
      <c r="D898">
        <f ca="1">MAX(5000,ROUND(F_Baseline_data!D898*(1+_xlfn.NORM.INV(RAND(),0.12,0.1)),-2))</f>
        <v>73200</v>
      </c>
      <c r="E898" t="str">
        <f ca="1">IF(I898=1,IF(RAND()&lt;0.95,"Piped Water",F_Baseline_data!E898),F_Baseline_data!E898)</f>
        <v>Piped Water</v>
      </c>
      <c r="F898">
        <f t="shared" ref="F898:F961" ca="1" si="28">IF(E898="Piped Water",RANDBETWEEN(0,10),IF(E898="River",RANDBETWEEN(45,120),IF(E898="Rainwater",RANDBETWEEN(15,70),IF(E898="Borehole",RANDBETWEEN(20,75),RANDBETWEEN(10,60)))))</f>
        <v>2</v>
      </c>
      <c r="G898">
        <v>8.5</v>
      </c>
      <c r="H898">
        <f ca="1">MAX(0,ROUND(F_Baseline_data!H898+(F_Baseline_data!C898-5)*200+(D898-30000)*0.015+(F898-50)*15-IF(I898=1,1200,0)+_xlfn.NORM.INV(RAND(),0,2500),-2))</f>
        <v>12500</v>
      </c>
      <c r="I898">
        <v>1</v>
      </c>
      <c r="J898">
        <f>1</f>
        <v>1</v>
      </c>
      <c r="K898">
        <f>1</f>
        <v>1</v>
      </c>
      <c r="L898">
        <v>0</v>
      </c>
      <c r="M898">
        <f t="shared" ref="M898:M961" ca="1" si="29">RAND()</f>
        <v>0.87176445846716455</v>
      </c>
      <c r="N898">
        <v>0</v>
      </c>
      <c r="O898">
        <v>0</v>
      </c>
      <c r="P898">
        <v>0</v>
      </c>
    </row>
    <row r="899" spans="1:16" x14ac:dyDescent="0.3">
      <c r="A899" t="s">
        <v>1011</v>
      </c>
      <c r="B899" t="s">
        <v>513</v>
      </c>
      <c r="C899">
        <f ca="1">IF(RAND()&lt;0.8,F_Baseline_data!C899,IF(RAND()&lt;0.85,F_Baseline_data!C899+1,IF(F_Baseline_data!C899&gt;3,C899-1,F_Baseline_data!C899)))</f>
        <v>3</v>
      </c>
      <c r="D899">
        <f ca="1">MAX(5000,ROUND(F_Baseline_data!D899*(1+_xlfn.NORM.INV(RAND(),0.12,0.1)),-2))</f>
        <v>55300</v>
      </c>
      <c r="E899" t="str">
        <f ca="1">IF(I899=1,IF(RAND()&lt;0.95,"Piped Water",F_Baseline_data!E899),F_Baseline_data!E899)</f>
        <v>Piped Water</v>
      </c>
      <c r="F899">
        <f t="shared" ca="1" si="28"/>
        <v>1</v>
      </c>
      <c r="G899">
        <v>2.6</v>
      </c>
      <c r="H899">
        <f ca="1">MAX(0,ROUND(F_Baseline_data!H899+(F_Baseline_data!C899-5)*200+(D899-30000)*0.015+(F899-50)*15-IF(I899=1,1200,0)+_xlfn.NORM.INV(RAND(),0,2500),-2))</f>
        <v>6200</v>
      </c>
      <c r="I899">
        <v>1</v>
      </c>
      <c r="J899">
        <f>1</f>
        <v>1</v>
      </c>
      <c r="K899">
        <f>1</f>
        <v>1</v>
      </c>
      <c r="L899">
        <v>0</v>
      </c>
      <c r="M899">
        <f t="shared" ca="1" si="29"/>
        <v>0.89477733003928062</v>
      </c>
      <c r="N899">
        <v>0</v>
      </c>
      <c r="O899">
        <v>0</v>
      </c>
      <c r="P899">
        <v>0</v>
      </c>
    </row>
    <row r="900" spans="1:16" x14ac:dyDescent="0.3">
      <c r="A900" t="s">
        <v>1012</v>
      </c>
      <c r="B900" t="s">
        <v>64</v>
      </c>
      <c r="C900">
        <f ca="1">IF(RAND()&lt;0.8,F_Baseline_data!C900,IF(RAND()&lt;0.85,F_Baseline_data!C900+1,IF(F_Baseline_data!C900&gt;3,C900-1,F_Baseline_data!C900)))</f>
        <v>7</v>
      </c>
      <c r="D900">
        <f ca="1">MAX(5000,ROUND(F_Baseline_data!D900*(1+_xlfn.NORM.INV(RAND(),0.12,0.1)),-2))</f>
        <v>21700</v>
      </c>
      <c r="E900" t="str">
        <f ca="1">IF(I900=1,IF(RAND()&lt;0.95,"Piped Water",F_Baseline_data!E900),F_Baseline_data!E900)</f>
        <v>Piped Water</v>
      </c>
      <c r="F900">
        <f t="shared" ca="1" si="28"/>
        <v>7</v>
      </c>
      <c r="G900">
        <v>2</v>
      </c>
      <c r="H900">
        <f ca="1">MAX(0,ROUND(F_Baseline_data!H900+(F_Baseline_data!C900-5)*200+(D900-30000)*0.015+(F900-50)*15-IF(I900=1,1200,0)+_xlfn.NORM.INV(RAND(),0,2500),-2))</f>
        <v>0</v>
      </c>
      <c r="I900">
        <v>1</v>
      </c>
      <c r="J900">
        <f>1</f>
        <v>1</v>
      </c>
      <c r="K900">
        <f>1</f>
        <v>1</v>
      </c>
      <c r="L900">
        <v>0</v>
      </c>
      <c r="M900">
        <f t="shared" ca="1" si="29"/>
        <v>0.31596787039335561</v>
      </c>
      <c r="N900">
        <v>0</v>
      </c>
      <c r="O900">
        <v>0</v>
      </c>
      <c r="P900">
        <v>0</v>
      </c>
    </row>
    <row r="901" spans="1:16" x14ac:dyDescent="0.3">
      <c r="A901" t="s">
        <v>1013</v>
      </c>
      <c r="B901" t="s">
        <v>62</v>
      </c>
      <c r="C901">
        <f ca="1">IF(RAND()&lt;0.8,F_Baseline_data!C901,IF(RAND()&lt;0.85,F_Baseline_data!C901+1,IF(F_Baseline_data!C901&gt;3,C901-1,F_Baseline_data!C901)))</f>
        <v>9</v>
      </c>
      <c r="D901">
        <f ca="1">MAX(5000,ROUND(F_Baseline_data!D901*(1+_xlfn.NORM.INV(RAND(),0.12,0.1)),-2))</f>
        <v>25200</v>
      </c>
      <c r="E901" t="str">
        <f ca="1">IF(I901=1,IF(RAND()&lt;0.95,"Piped Water",F_Baseline_data!E901),F_Baseline_data!E901)</f>
        <v>Piped Water</v>
      </c>
      <c r="F901">
        <f t="shared" ca="1" si="28"/>
        <v>5</v>
      </c>
      <c r="G901">
        <v>5.5</v>
      </c>
      <c r="H901">
        <f ca="1">MAX(0,ROUND(F_Baseline_data!H901+(F_Baseline_data!C901-5)*200+(D901-30000)*0.015+(F901-50)*15-IF(I901=1,1200,0)+_xlfn.NORM.INV(RAND(),0,2500),-2))</f>
        <v>0</v>
      </c>
      <c r="I901">
        <v>1</v>
      </c>
      <c r="J901">
        <f>1</f>
        <v>1</v>
      </c>
      <c r="K901">
        <f>1</f>
        <v>1</v>
      </c>
      <c r="L901">
        <v>0</v>
      </c>
      <c r="M901">
        <f t="shared" ca="1" si="29"/>
        <v>0.45758830574649823</v>
      </c>
      <c r="N901">
        <v>0</v>
      </c>
      <c r="O901">
        <v>0</v>
      </c>
      <c r="P901">
        <v>0</v>
      </c>
    </row>
    <row r="902" spans="1:16" x14ac:dyDescent="0.3">
      <c r="A902" t="s">
        <v>1014</v>
      </c>
      <c r="B902" t="s">
        <v>65</v>
      </c>
      <c r="C902">
        <f ca="1">IF(RAND()&lt;0.8,F_Baseline_data!C902,IF(RAND()&lt;0.85,F_Baseline_data!C902+1,IF(F_Baseline_data!C902&gt;3,C902-1,F_Baseline_data!C902)))</f>
        <v>6</v>
      </c>
      <c r="D902">
        <f ca="1">MAX(5000,ROUND(F_Baseline_data!D902*(1+_xlfn.NORM.INV(RAND(),0.12,0.1)),-2))</f>
        <v>23100</v>
      </c>
      <c r="E902" t="str">
        <f ca="1">IF(I902=1,IF(RAND()&lt;0.95,"Piped Water",F_Baseline_data!E902),F_Baseline_data!E902)</f>
        <v>Piped Water</v>
      </c>
      <c r="F902">
        <f t="shared" ca="1" si="28"/>
        <v>5</v>
      </c>
      <c r="G902">
        <v>6.9</v>
      </c>
      <c r="H902">
        <f ca="1">MAX(0,ROUND(F_Baseline_data!H902+(F_Baseline_data!C902-5)*200+(D902-30000)*0.015+(F902-50)*15-IF(I902=1,1200,0)+_xlfn.NORM.INV(RAND(),0,2500),-2))</f>
        <v>7500</v>
      </c>
      <c r="I902">
        <v>1</v>
      </c>
      <c r="J902">
        <f>1</f>
        <v>1</v>
      </c>
      <c r="K902">
        <f>1</f>
        <v>1</v>
      </c>
      <c r="L902">
        <v>0</v>
      </c>
      <c r="M902">
        <f t="shared" ca="1" si="29"/>
        <v>0.47956233880746146</v>
      </c>
      <c r="N902">
        <v>0</v>
      </c>
      <c r="O902">
        <v>0</v>
      </c>
      <c r="P902">
        <v>0</v>
      </c>
    </row>
    <row r="903" spans="1:16" x14ac:dyDescent="0.3">
      <c r="A903" t="s">
        <v>1015</v>
      </c>
      <c r="B903" t="s">
        <v>64</v>
      </c>
      <c r="C903">
        <f ca="1">IF(RAND()&lt;0.8,F_Baseline_data!C903,IF(RAND()&lt;0.85,F_Baseline_data!C903+1,IF(F_Baseline_data!C903&gt;3,C903-1,F_Baseline_data!C903)))</f>
        <v>4</v>
      </c>
      <c r="D903">
        <f ca="1">MAX(5000,ROUND(F_Baseline_data!D903*(1+_xlfn.NORM.INV(RAND(),0.12,0.1)),-2))</f>
        <v>17100</v>
      </c>
      <c r="E903" t="str">
        <f ca="1">IF(I903=1,IF(RAND()&lt;0.95,"Piped Water",F_Baseline_data!E903),F_Baseline_data!E903)</f>
        <v>Piped Water</v>
      </c>
      <c r="F903">
        <f t="shared" ca="1" si="28"/>
        <v>6</v>
      </c>
      <c r="G903">
        <v>11</v>
      </c>
      <c r="H903">
        <f ca="1">MAX(0,ROUND(F_Baseline_data!H903+(F_Baseline_data!C903-5)*200+(D903-30000)*0.015+(F903-50)*15-IF(I903=1,1200,0)+_xlfn.NORM.INV(RAND(),0,2500),-2))</f>
        <v>0</v>
      </c>
      <c r="I903">
        <v>1</v>
      </c>
      <c r="J903">
        <f>1</f>
        <v>1</v>
      </c>
      <c r="K903">
        <f>1</f>
        <v>1</v>
      </c>
      <c r="L903">
        <v>0</v>
      </c>
      <c r="M903">
        <f t="shared" ca="1" si="29"/>
        <v>8.4822077957362962E-2</v>
      </c>
      <c r="N903">
        <v>0</v>
      </c>
      <c r="O903">
        <v>0</v>
      </c>
      <c r="P903">
        <v>0</v>
      </c>
    </row>
    <row r="904" spans="1:16" x14ac:dyDescent="0.3">
      <c r="A904" t="s">
        <v>1016</v>
      </c>
      <c r="B904" t="s">
        <v>64</v>
      </c>
      <c r="C904">
        <f ca="1">IF(RAND()&lt;0.8,F_Baseline_data!C904,IF(RAND()&lt;0.85,F_Baseline_data!C904+1,IF(F_Baseline_data!C904&gt;3,C904-1,F_Baseline_data!C904)))</f>
        <v>6</v>
      </c>
      <c r="D904">
        <f ca="1">MAX(5000,ROUND(F_Baseline_data!D904*(1+_xlfn.NORM.INV(RAND(),0.12,0.1)),-2))</f>
        <v>22900</v>
      </c>
      <c r="E904" t="str">
        <f ca="1">IF(I904=1,IF(RAND()&lt;0.95,"Piped Water",F_Baseline_data!E904),F_Baseline_data!E904)</f>
        <v>Piped Water</v>
      </c>
      <c r="F904">
        <f t="shared" ca="1" si="28"/>
        <v>4</v>
      </c>
      <c r="G904">
        <v>0.6</v>
      </c>
      <c r="H904">
        <f ca="1">MAX(0,ROUND(F_Baseline_data!H904+(F_Baseline_data!C904-5)*200+(D904-30000)*0.015+(F904-50)*15-IF(I904=1,1200,0)+_xlfn.NORM.INV(RAND(),0,2500),-2))</f>
        <v>1800</v>
      </c>
      <c r="I904">
        <v>1</v>
      </c>
      <c r="J904">
        <f>1</f>
        <v>1</v>
      </c>
      <c r="K904">
        <f>1</f>
        <v>1</v>
      </c>
      <c r="L904">
        <v>0</v>
      </c>
      <c r="M904">
        <f t="shared" ca="1" si="29"/>
        <v>0.21415968501560234</v>
      </c>
      <c r="N904">
        <v>0</v>
      </c>
      <c r="O904">
        <v>0</v>
      </c>
      <c r="P904">
        <v>0</v>
      </c>
    </row>
    <row r="905" spans="1:16" x14ac:dyDescent="0.3">
      <c r="A905" t="s">
        <v>1017</v>
      </c>
      <c r="B905" t="s">
        <v>65</v>
      </c>
      <c r="C905">
        <f ca="1">IF(RAND()&lt;0.8,F_Baseline_data!C905,IF(RAND()&lt;0.85,F_Baseline_data!C905+1,IF(F_Baseline_data!C905&gt;3,C905-1,F_Baseline_data!C905)))</f>
        <v>3</v>
      </c>
      <c r="D905">
        <f ca="1">MAX(5000,ROUND(F_Baseline_data!D905*(1+_xlfn.NORM.INV(RAND(),0.12,0.1)),-2))</f>
        <v>70300</v>
      </c>
      <c r="E905" t="str">
        <f ca="1">IF(I905=1,IF(RAND()&lt;0.95,"Piped Water",F_Baseline_data!E905),F_Baseline_data!E905)</f>
        <v>Piped Water</v>
      </c>
      <c r="F905">
        <f t="shared" ca="1" si="28"/>
        <v>1</v>
      </c>
      <c r="G905">
        <v>8.1</v>
      </c>
      <c r="H905">
        <f ca="1">MAX(0,ROUND(F_Baseline_data!H905+(F_Baseline_data!C905-5)*200+(D905-30000)*0.015+(F905-50)*15-IF(I905=1,1200,0)+_xlfn.NORM.INV(RAND(),0,2500),-2))</f>
        <v>9900</v>
      </c>
      <c r="I905">
        <v>1</v>
      </c>
      <c r="J905">
        <f>1</f>
        <v>1</v>
      </c>
      <c r="K905">
        <f>1</f>
        <v>1</v>
      </c>
      <c r="L905">
        <v>0</v>
      </c>
      <c r="M905">
        <f t="shared" ca="1" si="29"/>
        <v>0.92215887760481785</v>
      </c>
      <c r="N905">
        <v>0</v>
      </c>
      <c r="O905">
        <v>0</v>
      </c>
      <c r="P905">
        <v>0</v>
      </c>
    </row>
    <row r="906" spans="1:16" x14ac:dyDescent="0.3">
      <c r="A906" t="s">
        <v>1018</v>
      </c>
      <c r="B906" t="s">
        <v>513</v>
      </c>
      <c r="C906">
        <f ca="1">IF(RAND()&lt;0.8,F_Baseline_data!C906,IF(RAND()&lt;0.85,F_Baseline_data!C906+1,IF(F_Baseline_data!C906&gt;3,C906-1,F_Baseline_data!C906)))</f>
        <v>7</v>
      </c>
      <c r="D906">
        <f ca="1">MAX(5000,ROUND(F_Baseline_data!D906*(1+_xlfn.NORM.INV(RAND(),0.12,0.1)),-2))</f>
        <v>56800</v>
      </c>
      <c r="E906" t="str">
        <f ca="1">IF(I906=1,IF(RAND()&lt;0.95,"Piped Water",F_Baseline_data!E906),F_Baseline_data!E906)</f>
        <v>Piped Water</v>
      </c>
      <c r="F906">
        <f t="shared" ca="1" si="28"/>
        <v>7</v>
      </c>
      <c r="G906">
        <v>13.1</v>
      </c>
      <c r="H906">
        <f ca="1">MAX(0,ROUND(F_Baseline_data!H906+(F_Baseline_data!C906-5)*200+(D906-30000)*0.015+(F906-50)*15-IF(I906=1,1200,0)+_xlfn.NORM.INV(RAND(),0,2500),-2))</f>
        <v>8400</v>
      </c>
      <c r="I906">
        <v>1</v>
      </c>
      <c r="J906">
        <f>1</f>
        <v>1</v>
      </c>
      <c r="K906">
        <f>1</f>
        <v>1</v>
      </c>
      <c r="L906">
        <v>0</v>
      </c>
      <c r="M906">
        <f t="shared" ca="1" si="29"/>
        <v>0.44525851073317801</v>
      </c>
      <c r="N906">
        <v>0</v>
      </c>
      <c r="O906">
        <v>0</v>
      </c>
      <c r="P906">
        <v>0</v>
      </c>
    </row>
    <row r="907" spans="1:16" x14ac:dyDescent="0.3">
      <c r="A907" t="s">
        <v>1019</v>
      </c>
      <c r="B907" t="s">
        <v>513</v>
      </c>
      <c r="C907">
        <f ca="1">IF(RAND()&lt;0.8,F_Baseline_data!C907,IF(RAND()&lt;0.85,F_Baseline_data!C907+1,IF(F_Baseline_data!C907&gt;3,C907-1,F_Baseline_data!C907)))</f>
        <v>10</v>
      </c>
      <c r="D907">
        <f ca="1">MAX(5000,ROUND(F_Baseline_data!D907*(1+_xlfn.NORM.INV(RAND(),0.12,0.1)),-2))</f>
        <v>43500</v>
      </c>
      <c r="E907" t="str">
        <f ca="1">IF(I907=1,IF(RAND()&lt;0.95,"Piped Water",F_Baseline_data!E907),F_Baseline_data!E907)</f>
        <v>Piped Water</v>
      </c>
      <c r="F907">
        <f t="shared" ca="1" si="28"/>
        <v>5</v>
      </c>
      <c r="G907">
        <v>3.4</v>
      </c>
      <c r="H907">
        <f ca="1">MAX(0,ROUND(F_Baseline_data!H907+(F_Baseline_data!C907-5)*200+(D907-30000)*0.015+(F907-50)*15-IF(I907=1,1200,0)+_xlfn.NORM.INV(RAND(),0,2500),-2))</f>
        <v>5400</v>
      </c>
      <c r="I907">
        <v>1</v>
      </c>
      <c r="J907">
        <f>1</f>
        <v>1</v>
      </c>
      <c r="K907">
        <f>1</f>
        <v>1</v>
      </c>
      <c r="L907">
        <v>0</v>
      </c>
      <c r="M907">
        <f t="shared" ca="1" si="29"/>
        <v>0.77370994914914493</v>
      </c>
      <c r="N907">
        <v>0</v>
      </c>
      <c r="O907">
        <v>0</v>
      </c>
      <c r="P907">
        <v>0</v>
      </c>
    </row>
    <row r="908" spans="1:16" x14ac:dyDescent="0.3">
      <c r="A908" t="s">
        <v>1020</v>
      </c>
      <c r="B908" t="s">
        <v>62</v>
      </c>
      <c r="C908">
        <f ca="1">IF(RAND()&lt;0.8,F_Baseline_data!C908,IF(RAND()&lt;0.85,F_Baseline_data!C908+1,IF(F_Baseline_data!C908&gt;3,C908-1,F_Baseline_data!C908)))</f>
        <v>6</v>
      </c>
      <c r="D908">
        <f ca="1">MAX(5000,ROUND(F_Baseline_data!D908*(1+_xlfn.NORM.INV(RAND(),0.12,0.1)),-2))</f>
        <v>19300</v>
      </c>
      <c r="E908" t="str">
        <f ca="1">IF(I908=1,IF(RAND()&lt;0.95,"Piped Water",F_Baseline_data!E908),F_Baseline_data!E908)</f>
        <v>Piped Water</v>
      </c>
      <c r="F908">
        <f t="shared" ca="1" si="28"/>
        <v>2</v>
      </c>
      <c r="G908">
        <v>7.8</v>
      </c>
      <c r="H908">
        <f ca="1">MAX(0,ROUND(F_Baseline_data!H908+(F_Baseline_data!C908-5)*200+(D908-30000)*0.015+(F908-50)*15-IF(I908=1,1200,0)+_xlfn.NORM.INV(RAND(),0,2500),-2))</f>
        <v>5100</v>
      </c>
      <c r="I908">
        <v>1</v>
      </c>
      <c r="J908">
        <f>1</f>
        <v>1</v>
      </c>
      <c r="K908">
        <f>1</f>
        <v>1</v>
      </c>
      <c r="L908">
        <v>0</v>
      </c>
      <c r="M908">
        <f t="shared" ca="1" si="29"/>
        <v>6.5165833576090626E-2</v>
      </c>
      <c r="N908">
        <v>0</v>
      </c>
      <c r="O908">
        <v>0</v>
      </c>
      <c r="P908">
        <v>0</v>
      </c>
    </row>
    <row r="909" spans="1:16" x14ac:dyDescent="0.3">
      <c r="A909" t="s">
        <v>1021</v>
      </c>
      <c r="B909" t="s">
        <v>62</v>
      </c>
      <c r="C909">
        <f ca="1">IF(RAND()&lt;0.8,F_Baseline_data!C909,IF(RAND()&lt;0.85,F_Baseline_data!C909+1,IF(F_Baseline_data!C909&gt;3,C909-1,F_Baseline_data!C909)))</f>
        <v>4</v>
      </c>
      <c r="D909">
        <f ca="1">MAX(5000,ROUND(F_Baseline_data!D909*(1+_xlfn.NORM.INV(RAND(),0.12,0.1)),-2))</f>
        <v>38800</v>
      </c>
      <c r="E909" t="str">
        <f ca="1">IF(I909=1,IF(RAND()&lt;0.95,"Piped Water",F_Baseline_data!E909),F_Baseline_data!E909)</f>
        <v>Piped Water</v>
      </c>
      <c r="F909">
        <f t="shared" ca="1" si="28"/>
        <v>3</v>
      </c>
      <c r="G909">
        <v>7.1</v>
      </c>
      <c r="H909">
        <f ca="1">MAX(0,ROUND(F_Baseline_data!H909+(F_Baseline_data!C909-5)*200+(D909-30000)*0.015+(F909-50)*15-IF(I909=1,1200,0)+_xlfn.NORM.INV(RAND(),0,2500),-2))</f>
        <v>1000</v>
      </c>
      <c r="I909">
        <v>1</v>
      </c>
      <c r="J909">
        <f>1</f>
        <v>1</v>
      </c>
      <c r="K909">
        <f>1</f>
        <v>1</v>
      </c>
      <c r="L909">
        <v>0</v>
      </c>
      <c r="M909">
        <f t="shared" ca="1" si="29"/>
        <v>0.10157252954387885</v>
      </c>
      <c r="N909">
        <v>0</v>
      </c>
      <c r="O909">
        <v>0</v>
      </c>
      <c r="P909">
        <v>0</v>
      </c>
    </row>
    <row r="910" spans="1:16" x14ac:dyDescent="0.3">
      <c r="A910" t="s">
        <v>1022</v>
      </c>
      <c r="B910" t="s">
        <v>62</v>
      </c>
      <c r="C910">
        <f ca="1">IF(RAND()&lt;0.8,F_Baseline_data!C910,IF(RAND()&lt;0.85,F_Baseline_data!C910+1,IF(F_Baseline_data!C910&gt;3,C910-1,F_Baseline_data!C910)))</f>
        <v>5</v>
      </c>
      <c r="D910">
        <f ca="1">MAX(5000,ROUND(F_Baseline_data!D910*(1+_xlfn.NORM.INV(RAND(),0.12,0.1)),-2))</f>
        <v>31800</v>
      </c>
      <c r="E910" t="str">
        <f ca="1">IF(I910=1,IF(RAND()&lt;0.95,"Piped Water",F_Baseline_data!E910),F_Baseline_data!E910)</f>
        <v>Piped Water</v>
      </c>
      <c r="F910">
        <f t="shared" ca="1" si="28"/>
        <v>6</v>
      </c>
      <c r="G910">
        <v>5.7</v>
      </c>
      <c r="H910">
        <f ca="1">MAX(0,ROUND(F_Baseline_data!H910+(F_Baseline_data!C910-5)*200+(D910-30000)*0.015+(F910-50)*15-IF(I910=1,1200,0)+_xlfn.NORM.INV(RAND(),0,2500),-2))</f>
        <v>0</v>
      </c>
      <c r="I910">
        <v>1</v>
      </c>
      <c r="J910">
        <f>1</f>
        <v>1</v>
      </c>
      <c r="K910">
        <f>1</f>
        <v>1</v>
      </c>
      <c r="L910">
        <v>0</v>
      </c>
      <c r="M910">
        <f t="shared" ca="1" si="29"/>
        <v>0.64156412407249042</v>
      </c>
      <c r="N910">
        <v>0</v>
      </c>
      <c r="O910">
        <v>0</v>
      </c>
      <c r="P910">
        <v>0</v>
      </c>
    </row>
    <row r="911" spans="1:16" x14ac:dyDescent="0.3">
      <c r="A911" t="s">
        <v>1023</v>
      </c>
      <c r="B911" t="s">
        <v>62</v>
      </c>
      <c r="C911">
        <f ca="1">IF(RAND()&lt;0.8,F_Baseline_data!C911,IF(RAND()&lt;0.85,F_Baseline_data!C911+1,IF(F_Baseline_data!C911&gt;3,C911-1,F_Baseline_data!C911)))</f>
        <v>2</v>
      </c>
      <c r="D911">
        <f ca="1">MAX(5000,ROUND(F_Baseline_data!D911*(1+_xlfn.NORM.INV(RAND(),0.12,0.1)),-2))</f>
        <v>28900</v>
      </c>
      <c r="E911" t="str">
        <f ca="1">IF(I911=1,IF(RAND()&lt;0.95,"Piped Water",F_Baseline_data!E911),F_Baseline_data!E911)</f>
        <v>Piped Water</v>
      </c>
      <c r="F911">
        <f t="shared" ca="1" si="28"/>
        <v>6</v>
      </c>
      <c r="G911">
        <v>3.6</v>
      </c>
      <c r="H911">
        <f ca="1">MAX(0,ROUND(F_Baseline_data!H911+(F_Baseline_data!C911-5)*200+(D911-30000)*0.015+(F911-50)*15-IF(I911=1,1200,0)+_xlfn.NORM.INV(RAND(),0,2500),-2))</f>
        <v>4000</v>
      </c>
      <c r="I911">
        <v>1</v>
      </c>
      <c r="J911">
        <f>1</f>
        <v>1</v>
      </c>
      <c r="K911">
        <f>1</f>
        <v>1</v>
      </c>
      <c r="L911">
        <v>0</v>
      </c>
      <c r="M911">
        <f t="shared" ca="1" si="29"/>
        <v>0.37435020852555001</v>
      </c>
      <c r="N911">
        <v>0</v>
      </c>
      <c r="O911">
        <v>0</v>
      </c>
      <c r="P911">
        <v>0</v>
      </c>
    </row>
    <row r="912" spans="1:16" x14ac:dyDescent="0.3">
      <c r="A912" t="s">
        <v>1024</v>
      </c>
      <c r="B912" t="s">
        <v>513</v>
      </c>
      <c r="C912">
        <f ca="1">IF(RAND()&lt;0.8,F_Baseline_data!C912,IF(RAND()&lt;0.85,F_Baseline_data!C912+1,IF(F_Baseline_data!C912&gt;3,C912-1,F_Baseline_data!C912)))</f>
        <v>2</v>
      </c>
      <c r="D912">
        <f ca="1">MAX(5000,ROUND(F_Baseline_data!D912*(1+_xlfn.NORM.INV(RAND(),0.12,0.1)),-2))</f>
        <v>28200</v>
      </c>
      <c r="E912" t="str">
        <f ca="1">IF(I912=1,IF(RAND()&lt;0.95,"Piped Water",F_Baseline_data!E912),F_Baseline_data!E912)</f>
        <v>Piped Water</v>
      </c>
      <c r="F912">
        <f t="shared" ca="1" si="28"/>
        <v>3</v>
      </c>
      <c r="G912">
        <v>11.7</v>
      </c>
      <c r="H912">
        <f ca="1">MAX(0,ROUND(F_Baseline_data!H912+(F_Baseline_data!C912-5)*200+(D912-30000)*0.015+(F912-50)*15-IF(I912=1,1200,0)+_xlfn.NORM.INV(RAND(),0,2500),-2))</f>
        <v>5500</v>
      </c>
      <c r="I912">
        <v>1</v>
      </c>
      <c r="J912">
        <f>1</f>
        <v>1</v>
      </c>
      <c r="K912">
        <f>1</f>
        <v>1</v>
      </c>
      <c r="L912">
        <v>0</v>
      </c>
      <c r="M912">
        <f t="shared" ca="1" si="29"/>
        <v>0.6260429365759741</v>
      </c>
      <c r="N912">
        <v>0</v>
      </c>
      <c r="O912">
        <v>0</v>
      </c>
      <c r="P912">
        <v>0</v>
      </c>
    </row>
    <row r="913" spans="1:16" x14ac:dyDescent="0.3">
      <c r="A913" t="s">
        <v>1025</v>
      </c>
      <c r="B913" t="s">
        <v>65</v>
      </c>
      <c r="C913">
        <f ca="1">IF(RAND()&lt;0.8,F_Baseline_data!C913,IF(RAND()&lt;0.85,F_Baseline_data!C913+1,IF(F_Baseline_data!C913&gt;3,C913-1,F_Baseline_data!C913)))</f>
        <v>5</v>
      </c>
      <c r="D913">
        <f ca="1">MAX(5000,ROUND(F_Baseline_data!D913*(1+_xlfn.NORM.INV(RAND(),0.12,0.1)),-2))</f>
        <v>28500</v>
      </c>
      <c r="E913" t="str">
        <f ca="1">IF(I913=1,IF(RAND()&lt;0.95,"Piped Water",F_Baseline_data!E913),F_Baseline_data!E913)</f>
        <v>River</v>
      </c>
      <c r="F913">
        <f t="shared" ca="1" si="28"/>
        <v>98</v>
      </c>
      <c r="G913">
        <v>2.2999999999999998</v>
      </c>
      <c r="H913">
        <f ca="1">MAX(0,ROUND(F_Baseline_data!H913+(F_Baseline_data!C913-5)*200+(D913-30000)*0.015+(F913-50)*15-IF(I913=1,1200,0)+_xlfn.NORM.INV(RAND(),0,2500),-2))</f>
        <v>1700</v>
      </c>
      <c r="I913">
        <v>1</v>
      </c>
      <c r="J913">
        <f>1</f>
        <v>1</v>
      </c>
      <c r="K913">
        <f>1</f>
        <v>1</v>
      </c>
      <c r="L913">
        <v>0</v>
      </c>
      <c r="M913">
        <f t="shared" ca="1" si="29"/>
        <v>0.35192699345637901</v>
      </c>
      <c r="N913">
        <v>0</v>
      </c>
      <c r="O913">
        <v>0</v>
      </c>
      <c r="P913">
        <v>0</v>
      </c>
    </row>
    <row r="914" spans="1:16" x14ac:dyDescent="0.3">
      <c r="A914" t="s">
        <v>1026</v>
      </c>
      <c r="B914" t="s">
        <v>65</v>
      </c>
      <c r="C914">
        <f ca="1">IF(RAND()&lt;0.8,F_Baseline_data!C914,IF(RAND()&lt;0.85,F_Baseline_data!C914+1,IF(F_Baseline_data!C914&gt;3,C914-1,F_Baseline_data!C914)))</f>
        <v>5</v>
      </c>
      <c r="D914">
        <f ca="1">MAX(5000,ROUND(F_Baseline_data!D914*(1+_xlfn.NORM.INV(RAND(),0.12,0.1)),-2))</f>
        <v>7800</v>
      </c>
      <c r="E914" t="str">
        <f ca="1">IF(I914=1,IF(RAND()&lt;0.95,"Piped Water",F_Baseline_data!E914),F_Baseline_data!E914)</f>
        <v>Piped Water</v>
      </c>
      <c r="F914">
        <f t="shared" ca="1" si="28"/>
        <v>3</v>
      </c>
      <c r="G914">
        <v>2.6</v>
      </c>
      <c r="H914">
        <f ca="1">MAX(0,ROUND(F_Baseline_data!H914+(F_Baseline_data!C914-5)*200+(D914-30000)*0.015+(F914-50)*15-IF(I914=1,1200,0)+_xlfn.NORM.INV(RAND(),0,2500),-2))</f>
        <v>0</v>
      </c>
      <c r="I914">
        <v>1</v>
      </c>
      <c r="J914">
        <f>1</f>
        <v>1</v>
      </c>
      <c r="K914">
        <f>1</f>
        <v>1</v>
      </c>
      <c r="L914">
        <v>0</v>
      </c>
      <c r="M914">
        <f t="shared" ca="1" si="29"/>
        <v>0.93958649635208091</v>
      </c>
      <c r="N914">
        <v>0</v>
      </c>
      <c r="O914">
        <v>0</v>
      </c>
      <c r="P914">
        <v>0</v>
      </c>
    </row>
    <row r="915" spans="1:16" x14ac:dyDescent="0.3">
      <c r="A915" t="s">
        <v>1027</v>
      </c>
      <c r="B915" t="s">
        <v>65</v>
      </c>
      <c r="C915">
        <f ca="1">IF(RAND()&lt;0.8,F_Baseline_data!C915,IF(RAND()&lt;0.85,F_Baseline_data!C915+1,IF(F_Baseline_data!C915&gt;3,C915-1,F_Baseline_data!C915)))</f>
        <v>4</v>
      </c>
      <c r="D915">
        <f ca="1">MAX(5000,ROUND(F_Baseline_data!D915*(1+_xlfn.NORM.INV(RAND(),0.12,0.1)),-2))</f>
        <v>18100</v>
      </c>
      <c r="E915" t="str">
        <f ca="1">IF(I915=1,IF(RAND()&lt;0.95,"Piped Water",F_Baseline_data!E915),F_Baseline_data!E915)</f>
        <v>Piped Water</v>
      </c>
      <c r="F915">
        <f t="shared" ca="1" si="28"/>
        <v>9</v>
      </c>
      <c r="G915">
        <v>7.3</v>
      </c>
      <c r="H915">
        <f ca="1">MAX(0,ROUND(F_Baseline_data!H915+(F_Baseline_data!C915-5)*200+(D915-30000)*0.015+(F915-50)*15-IF(I915=1,1200,0)+_xlfn.NORM.INV(RAND(),0,2500),-2))</f>
        <v>1900</v>
      </c>
      <c r="I915">
        <v>1</v>
      </c>
      <c r="J915">
        <f>1</f>
        <v>1</v>
      </c>
      <c r="K915">
        <f>1</f>
        <v>1</v>
      </c>
      <c r="L915">
        <v>0</v>
      </c>
      <c r="M915">
        <f t="shared" ca="1" si="29"/>
        <v>0.73299281609933387</v>
      </c>
      <c r="N915">
        <v>0</v>
      </c>
      <c r="O915">
        <v>0</v>
      </c>
      <c r="P915">
        <v>0</v>
      </c>
    </row>
    <row r="916" spans="1:16" x14ac:dyDescent="0.3">
      <c r="A916" t="s">
        <v>1028</v>
      </c>
      <c r="B916" t="s">
        <v>513</v>
      </c>
      <c r="C916">
        <f ca="1">IF(RAND()&lt;0.8,F_Baseline_data!C916,IF(RAND()&lt;0.85,F_Baseline_data!C916+1,IF(F_Baseline_data!C916&gt;3,C916-1,F_Baseline_data!C916)))</f>
        <v>6</v>
      </c>
      <c r="D916">
        <f ca="1">MAX(5000,ROUND(F_Baseline_data!D916*(1+_xlfn.NORM.INV(RAND(),0.12,0.1)),-2))</f>
        <v>72700</v>
      </c>
      <c r="E916" t="str">
        <f ca="1">IF(I916=1,IF(RAND()&lt;0.95,"Piped Water",F_Baseline_data!E916),F_Baseline_data!E916)</f>
        <v>Piped Water</v>
      </c>
      <c r="F916">
        <f t="shared" ca="1" si="28"/>
        <v>10</v>
      </c>
      <c r="G916">
        <v>9.1</v>
      </c>
      <c r="H916">
        <f ca="1">MAX(0,ROUND(F_Baseline_data!H916+(F_Baseline_data!C916-5)*200+(D916-30000)*0.015+(F916-50)*15-IF(I916=1,1200,0)+_xlfn.NORM.INV(RAND(),0,2500),-2))</f>
        <v>11900</v>
      </c>
      <c r="I916">
        <v>1</v>
      </c>
      <c r="J916">
        <f>1</f>
        <v>1</v>
      </c>
      <c r="K916">
        <f>1</f>
        <v>1</v>
      </c>
      <c r="L916">
        <v>0</v>
      </c>
      <c r="M916">
        <f t="shared" ca="1" si="29"/>
        <v>0.47232006573043417</v>
      </c>
      <c r="N916">
        <v>0</v>
      </c>
      <c r="O916">
        <v>0</v>
      </c>
      <c r="P916">
        <v>0</v>
      </c>
    </row>
    <row r="917" spans="1:16" x14ac:dyDescent="0.3">
      <c r="A917" t="s">
        <v>1029</v>
      </c>
      <c r="B917" t="s">
        <v>513</v>
      </c>
      <c r="C917">
        <f ca="1">IF(RAND()&lt;0.8,F_Baseline_data!C917,IF(RAND()&lt;0.85,F_Baseline_data!C917+1,IF(F_Baseline_data!C917&gt;3,C917-1,F_Baseline_data!C917)))</f>
        <v>4</v>
      </c>
      <c r="D917">
        <f ca="1">MAX(5000,ROUND(F_Baseline_data!D917*(1+_xlfn.NORM.INV(RAND(),0.12,0.1)),-2))</f>
        <v>84500</v>
      </c>
      <c r="E917" t="str">
        <f ca="1">IF(I917=1,IF(RAND()&lt;0.95,"Piped Water",F_Baseline_data!E917),F_Baseline_data!E917)</f>
        <v>Piped Water</v>
      </c>
      <c r="F917">
        <f t="shared" ca="1" si="28"/>
        <v>2</v>
      </c>
      <c r="G917">
        <v>3.1</v>
      </c>
      <c r="H917">
        <f ca="1">MAX(0,ROUND(F_Baseline_data!H917+(F_Baseline_data!C917-5)*200+(D917-30000)*0.015+(F917-50)*15-IF(I917=1,1200,0)+_xlfn.NORM.INV(RAND(),0,2500),-2))</f>
        <v>1200</v>
      </c>
      <c r="I917">
        <v>1</v>
      </c>
      <c r="J917">
        <f>1</f>
        <v>1</v>
      </c>
      <c r="K917">
        <f>1</f>
        <v>1</v>
      </c>
      <c r="L917">
        <v>0</v>
      </c>
      <c r="M917">
        <f t="shared" ca="1" si="29"/>
        <v>0.70201786230565011</v>
      </c>
      <c r="N917">
        <v>0</v>
      </c>
      <c r="O917">
        <v>0</v>
      </c>
      <c r="P917">
        <v>0</v>
      </c>
    </row>
    <row r="918" spans="1:16" x14ac:dyDescent="0.3">
      <c r="A918" t="s">
        <v>1030</v>
      </c>
      <c r="B918" t="s">
        <v>64</v>
      </c>
      <c r="C918">
        <f ca="1">IF(RAND()&lt;0.8,F_Baseline_data!C918,IF(RAND()&lt;0.85,F_Baseline_data!C918+1,IF(F_Baseline_data!C918&gt;3,C918-1,F_Baseline_data!C918)))</f>
        <v>9</v>
      </c>
      <c r="D918">
        <f ca="1">MAX(5000,ROUND(F_Baseline_data!D918*(1+_xlfn.NORM.INV(RAND(),0.12,0.1)),-2))</f>
        <v>63700</v>
      </c>
      <c r="E918" t="str">
        <f ca="1">IF(I918=1,IF(RAND()&lt;0.95,"Piped Water",F_Baseline_data!E918),F_Baseline_data!E918)</f>
        <v>Piped Water</v>
      </c>
      <c r="F918">
        <f t="shared" ca="1" si="28"/>
        <v>6</v>
      </c>
      <c r="G918">
        <v>2.5</v>
      </c>
      <c r="H918">
        <f ca="1">MAX(0,ROUND(F_Baseline_data!H918+(F_Baseline_data!C918-5)*200+(D918-30000)*0.015+(F918-50)*15-IF(I918=1,1200,0)+_xlfn.NORM.INV(RAND(),0,2500),-2))</f>
        <v>7100</v>
      </c>
      <c r="I918">
        <v>1</v>
      </c>
      <c r="J918">
        <f>1</f>
        <v>1</v>
      </c>
      <c r="K918">
        <f>1</f>
        <v>1</v>
      </c>
      <c r="L918">
        <v>0</v>
      </c>
      <c r="M918">
        <f t="shared" ca="1" si="29"/>
        <v>0.51717924111765112</v>
      </c>
      <c r="N918">
        <v>0</v>
      </c>
      <c r="O918">
        <v>0</v>
      </c>
      <c r="P918">
        <v>0</v>
      </c>
    </row>
    <row r="919" spans="1:16" x14ac:dyDescent="0.3">
      <c r="A919" t="s">
        <v>1031</v>
      </c>
      <c r="B919" t="s">
        <v>513</v>
      </c>
      <c r="C919">
        <f ca="1">IF(RAND()&lt;0.8,F_Baseline_data!C919,IF(RAND()&lt;0.85,F_Baseline_data!C919+1,IF(F_Baseline_data!C919&gt;3,C919-1,F_Baseline_data!C919)))</f>
        <v>5</v>
      </c>
      <c r="D919">
        <f ca="1">MAX(5000,ROUND(F_Baseline_data!D919*(1+_xlfn.NORM.INV(RAND(),0.12,0.1)),-2))</f>
        <v>46100</v>
      </c>
      <c r="E919" t="str">
        <f ca="1">IF(I919=1,IF(RAND()&lt;0.95,"Piped Water",F_Baseline_data!E919),F_Baseline_data!E919)</f>
        <v>Piped Water</v>
      </c>
      <c r="F919">
        <f t="shared" ca="1" si="28"/>
        <v>1</v>
      </c>
      <c r="G919">
        <v>11</v>
      </c>
      <c r="H919">
        <f ca="1">MAX(0,ROUND(F_Baseline_data!H919+(F_Baseline_data!C919-5)*200+(D919-30000)*0.015+(F919-50)*15-IF(I919=1,1200,0)+_xlfn.NORM.INV(RAND(),0,2500),-2))</f>
        <v>1000</v>
      </c>
      <c r="I919">
        <v>1</v>
      </c>
      <c r="J919">
        <f>1</f>
        <v>1</v>
      </c>
      <c r="K919">
        <f>1</f>
        <v>1</v>
      </c>
      <c r="L919">
        <v>0</v>
      </c>
      <c r="M919">
        <f t="shared" ca="1" si="29"/>
        <v>0.60592587420045829</v>
      </c>
      <c r="N919">
        <v>0</v>
      </c>
      <c r="O919">
        <v>0</v>
      </c>
      <c r="P919">
        <v>0</v>
      </c>
    </row>
    <row r="920" spans="1:16" x14ac:dyDescent="0.3">
      <c r="A920" t="s">
        <v>1032</v>
      </c>
      <c r="B920" t="s">
        <v>65</v>
      </c>
      <c r="C920">
        <f ca="1">IF(RAND()&lt;0.8,F_Baseline_data!C920,IF(RAND()&lt;0.85,F_Baseline_data!C920+1,IF(F_Baseline_data!C920&gt;3,C920-1,F_Baseline_data!C920)))</f>
        <v>8</v>
      </c>
      <c r="D920">
        <f ca="1">MAX(5000,ROUND(F_Baseline_data!D920*(1+_xlfn.NORM.INV(RAND(),0.12,0.1)),-2))</f>
        <v>17200</v>
      </c>
      <c r="E920" t="str">
        <f ca="1">IF(I920=1,IF(RAND()&lt;0.95,"Piped Water",F_Baseline_data!E920),F_Baseline_data!E920)</f>
        <v>Piped Water</v>
      </c>
      <c r="F920">
        <f t="shared" ca="1" si="28"/>
        <v>8</v>
      </c>
      <c r="G920">
        <v>6.5</v>
      </c>
      <c r="H920">
        <f ca="1">MAX(0,ROUND(F_Baseline_data!H920+(F_Baseline_data!C920-5)*200+(D920-30000)*0.015+(F920-50)*15-IF(I920=1,1200,0)+_xlfn.NORM.INV(RAND(),0,2500),-2))</f>
        <v>700</v>
      </c>
      <c r="I920">
        <v>1</v>
      </c>
      <c r="J920">
        <f>1</f>
        <v>1</v>
      </c>
      <c r="K920">
        <f>1</f>
        <v>1</v>
      </c>
      <c r="L920">
        <v>0</v>
      </c>
      <c r="M920">
        <f t="shared" ca="1" si="29"/>
        <v>0.93097994295166175</v>
      </c>
      <c r="N920">
        <v>0</v>
      </c>
      <c r="O920">
        <v>0</v>
      </c>
      <c r="P920">
        <v>0</v>
      </c>
    </row>
    <row r="921" spans="1:16" x14ac:dyDescent="0.3">
      <c r="A921" t="s">
        <v>1033</v>
      </c>
      <c r="B921" t="s">
        <v>65</v>
      </c>
      <c r="C921">
        <f ca="1">IF(RAND()&lt;0.8,F_Baseline_data!C921,IF(RAND()&lt;0.85,F_Baseline_data!C921+1,IF(F_Baseline_data!C921&gt;3,C921-1,F_Baseline_data!C921)))</f>
        <v>4</v>
      </c>
      <c r="D921">
        <f ca="1">MAX(5000,ROUND(F_Baseline_data!D921*(1+_xlfn.NORM.INV(RAND(),0.12,0.1)),-2))</f>
        <v>34700</v>
      </c>
      <c r="E921" t="str">
        <f ca="1">IF(I921=1,IF(RAND()&lt;0.95,"Piped Water",F_Baseline_data!E921),F_Baseline_data!E921)</f>
        <v>Piped Water</v>
      </c>
      <c r="F921">
        <f t="shared" ca="1" si="28"/>
        <v>4</v>
      </c>
      <c r="G921">
        <v>12.7</v>
      </c>
      <c r="H921">
        <f ca="1">MAX(0,ROUND(F_Baseline_data!H921+(F_Baseline_data!C921-5)*200+(D921-30000)*0.015+(F921-50)*15-IF(I921=1,1200,0)+_xlfn.NORM.INV(RAND(),0,2500),-2))</f>
        <v>0</v>
      </c>
      <c r="I921">
        <v>1</v>
      </c>
      <c r="J921">
        <f>1</f>
        <v>1</v>
      </c>
      <c r="K921">
        <f>1</f>
        <v>1</v>
      </c>
      <c r="L921">
        <v>0</v>
      </c>
      <c r="M921">
        <f t="shared" ca="1" si="29"/>
        <v>0.53321907841971183</v>
      </c>
      <c r="N921">
        <v>0</v>
      </c>
      <c r="O921">
        <v>0</v>
      </c>
      <c r="P921">
        <v>0</v>
      </c>
    </row>
    <row r="922" spans="1:16" x14ac:dyDescent="0.3">
      <c r="A922" t="s">
        <v>1034</v>
      </c>
      <c r="B922" t="s">
        <v>513</v>
      </c>
      <c r="C922">
        <f ca="1">IF(RAND()&lt;0.8,F_Baseline_data!C922,IF(RAND()&lt;0.85,F_Baseline_data!C922+1,IF(F_Baseline_data!C922&gt;3,C922-1,F_Baseline_data!C922)))</f>
        <v>6</v>
      </c>
      <c r="D922">
        <f ca="1">MAX(5000,ROUND(F_Baseline_data!D922*(1+_xlfn.NORM.INV(RAND(),0.12,0.1)),-2))</f>
        <v>25500</v>
      </c>
      <c r="E922" t="str">
        <f ca="1">IF(I922=1,IF(RAND()&lt;0.95,"Piped Water",F_Baseline_data!E922),F_Baseline_data!E922)</f>
        <v>Piped Water</v>
      </c>
      <c r="F922">
        <f t="shared" ca="1" si="28"/>
        <v>4</v>
      </c>
      <c r="G922">
        <v>3</v>
      </c>
      <c r="H922">
        <f ca="1">MAX(0,ROUND(F_Baseline_data!H922+(F_Baseline_data!C922-5)*200+(D922-30000)*0.015+(F922-50)*15-IF(I922=1,1200,0)+_xlfn.NORM.INV(RAND(),0,2500),-2))</f>
        <v>2200</v>
      </c>
      <c r="I922">
        <v>1</v>
      </c>
      <c r="J922">
        <f>1</f>
        <v>1</v>
      </c>
      <c r="K922">
        <f>1</f>
        <v>1</v>
      </c>
      <c r="L922">
        <v>0</v>
      </c>
      <c r="M922">
        <f t="shared" ca="1" si="29"/>
        <v>0.52287436261012987</v>
      </c>
      <c r="N922">
        <v>0</v>
      </c>
      <c r="O922">
        <v>0</v>
      </c>
      <c r="P922">
        <v>0</v>
      </c>
    </row>
    <row r="923" spans="1:16" x14ac:dyDescent="0.3">
      <c r="A923" t="s">
        <v>1035</v>
      </c>
      <c r="B923" t="s">
        <v>62</v>
      </c>
      <c r="C923">
        <f ca="1">IF(RAND()&lt;0.8,F_Baseline_data!C923,IF(RAND()&lt;0.85,F_Baseline_data!C923+1,IF(F_Baseline_data!C923&gt;3,C923-1,F_Baseline_data!C923)))</f>
        <v>4</v>
      </c>
      <c r="D923">
        <f ca="1">MAX(5000,ROUND(F_Baseline_data!D923*(1+_xlfn.NORM.INV(RAND(),0.12,0.1)),-2))</f>
        <v>17100</v>
      </c>
      <c r="E923" t="str">
        <f ca="1">IF(I923=1,IF(RAND()&lt;0.95,"Piped Water",F_Baseline_data!E923),F_Baseline_data!E923)</f>
        <v>Rainwater</v>
      </c>
      <c r="F923">
        <f t="shared" ca="1" si="28"/>
        <v>62</v>
      </c>
      <c r="G923">
        <v>8.6999999999999993</v>
      </c>
      <c r="H923">
        <f ca="1">MAX(0,ROUND(F_Baseline_data!H923+(F_Baseline_data!C923-5)*200+(D923-30000)*0.015+(F923-50)*15-IF(I923=1,1200,0)+_xlfn.NORM.INV(RAND(),0,2500),-2))</f>
        <v>6200</v>
      </c>
      <c r="I923">
        <v>1</v>
      </c>
      <c r="J923">
        <f>1</f>
        <v>1</v>
      </c>
      <c r="K923">
        <f>1</f>
        <v>1</v>
      </c>
      <c r="L923">
        <v>0</v>
      </c>
      <c r="M923">
        <f t="shared" ca="1" si="29"/>
        <v>0.90009399158880976</v>
      </c>
      <c r="N923">
        <v>0</v>
      </c>
      <c r="O923">
        <v>0</v>
      </c>
      <c r="P923">
        <v>0</v>
      </c>
    </row>
    <row r="924" spans="1:16" x14ac:dyDescent="0.3">
      <c r="A924" t="s">
        <v>1036</v>
      </c>
      <c r="B924" t="s">
        <v>62</v>
      </c>
      <c r="C924">
        <f ca="1">IF(RAND()&lt;0.8,F_Baseline_data!C924,IF(RAND()&lt;0.85,F_Baseline_data!C924+1,IF(F_Baseline_data!C924&gt;3,C924-1,F_Baseline_data!C924)))</f>
        <v>5</v>
      </c>
      <c r="D924">
        <f ca="1">MAX(5000,ROUND(F_Baseline_data!D924*(1+_xlfn.NORM.INV(RAND(),0.12,0.1)),-2))</f>
        <v>15300</v>
      </c>
      <c r="E924" t="str">
        <f ca="1">IF(I924=1,IF(RAND()&lt;0.95,"Piped Water",F_Baseline_data!E924),F_Baseline_data!E924)</f>
        <v>Piped Water</v>
      </c>
      <c r="F924">
        <f t="shared" ca="1" si="28"/>
        <v>5</v>
      </c>
      <c r="G924">
        <v>4.5</v>
      </c>
      <c r="H924">
        <f ca="1">MAX(0,ROUND(F_Baseline_data!H924+(F_Baseline_data!C924-5)*200+(D924-30000)*0.015+(F924-50)*15-IF(I924=1,1200,0)+_xlfn.NORM.INV(RAND(),0,2500),-2))</f>
        <v>0</v>
      </c>
      <c r="I924">
        <v>1</v>
      </c>
      <c r="J924">
        <f>1</f>
        <v>1</v>
      </c>
      <c r="K924">
        <f>1</f>
        <v>1</v>
      </c>
      <c r="L924">
        <v>0</v>
      </c>
      <c r="M924">
        <f t="shared" ca="1" si="29"/>
        <v>0.66374817841138523</v>
      </c>
      <c r="N924">
        <v>0</v>
      </c>
      <c r="O924">
        <v>0</v>
      </c>
      <c r="P924">
        <v>0</v>
      </c>
    </row>
    <row r="925" spans="1:16" x14ac:dyDescent="0.3">
      <c r="A925" t="s">
        <v>1037</v>
      </c>
      <c r="B925" t="s">
        <v>65</v>
      </c>
      <c r="C925">
        <f ca="1">IF(RAND()&lt;0.8,F_Baseline_data!C925,IF(RAND()&lt;0.85,F_Baseline_data!C925+1,IF(F_Baseline_data!C925&gt;3,C925-1,F_Baseline_data!C925)))</f>
        <v>7</v>
      </c>
      <c r="D925">
        <f ca="1">MAX(5000,ROUND(F_Baseline_data!D925*(1+_xlfn.NORM.INV(RAND(),0.12,0.1)),-2))</f>
        <v>26700</v>
      </c>
      <c r="E925" t="str">
        <f ca="1">IF(I925=1,IF(RAND()&lt;0.95,"Piped Water",F_Baseline_data!E925),F_Baseline_data!E925)</f>
        <v>Piped Water</v>
      </c>
      <c r="F925">
        <f t="shared" ca="1" si="28"/>
        <v>6</v>
      </c>
      <c r="G925">
        <v>12.8</v>
      </c>
      <c r="H925">
        <f ca="1">MAX(0,ROUND(F_Baseline_data!H925+(F_Baseline_data!C925-5)*200+(D925-30000)*0.015+(F925-50)*15-IF(I925=1,1200,0)+_xlfn.NORM.INV(RAND(),0,2500),-2))</f>
        <v>1600</v>
      </c>
      <c r="I925">
        <v>1</v>
      </c>
      <c r="J925">
        <f>1</f>
        <v>1</v>
      </c>
      <c r="K925">
        <f>1</f>
        <v>1</v>
      </c>
      <c r="L925">
        <v>0</v>
      </c>
      <c r="M925">
        <f t="shared" ca="1" si="29"/>
        <v>0.74745305720225252</v>
      </c>
      <c r="N925">
        <v>0</v>
      </c>
      <c r="O925">
        <v>0</v>
      </c>
      <c r="P925">
        <v>0</v>
      </c>
    </row>
    <row r="926" spans="1:16" x14ac:dyDescent="0.3">
      <c r="A926" t="s">
        <v>1038</v>
      </c>
      <c r="B926" t="s">
        <v>64</v>
      </c>
      <c r="C926">
        <f ca="1">IF(RAND()&lt;0.8,F_Baseline_data!C926,IF(RAND()&lt;0.85,F_Baseline_data!C926+1,IF(F_Baseline_data!C926&gt;3,C926-1,F_Baseline_data!C926)))</f>
        <v>3</v>
      </c>
      <c r="D926">
        <f ca="1">MAX(5000,ROUND(F_Baseline_data!D926*(1+_xlfn.NORM.INV(RAND(),0.12,0.1)),-2))</f>
        <v>25300</v>
      </c>
      <c r="E926" t="str">
        <f ca="1">IF(I926=1,IF(RAND()&lt;0.95,"Piped Water",F_Baseline_data!E926),F_Baseline_data!E926)</f>
        <v>Piped Water</v>
      </c>
      <c r="F926">
        <f t="shared" ca="1" si="28"/>
        <v>7</v>
      </c>
      <c r="G926">
        <v>10</v>
      </c>
      <c r="H926">
        <f ca="1">MAX(0,ROUND(F_Baseline_data!H926+(F_Baseline_data!C926-5)*200+(D926-30000)*0.015+(F926-50)*15-IF(I926=1,1200,0)+_xlfn.NORM.INV(RAND(),0,2500),-2))</f>
        <v>8100</v>
      </c>
      <c r="I926">
        <v>1</v>
      </c>
      <c r="J926">
        <f>1</f>
        <v>1</v>
      </c>
      <c r="K926">
        <f>1</f>
        <v>1</v>
      </c>
      <c r="L926">
        <v>0</v>
      </c>
      <c r="M926">
        <f t="shared" ca="1" si="29"/>
        <v>0.95339451491765081</v>
      </c>
      <c r="N926">
        <v>0</v>
      </c>
      <c r="O926">
        <v>0</v>
      </c>
      <c r="P926">
        <v>0</v>
      </c>
    </row>
    <row r="927" spans="1:16" x14ac:dyDescent="0.3">
      <c r="A927" t="s">
        <v>1039</v>
      </c>
      <c r="B927" t="s">
        <v>513</v>
      </c>
      <c r="C927">
        <f ca="1">IF(RAND()&lt;0.8,F_Baseline_data!C927,IF(RAND()&lt;0.85,F_Baseline_data!C927+1,IF(F_Baseline_data!C927&gt;3,C927-1,F_Baseline_data!C927)))</f>
        <v>7</v>
      </c>
      <c r="D927">
        <f ca="1">MAX(5000,ROUND(F_Baseline_data!D927*(1+_xlfn.NORM.INV(RAND(),0.12,0.1)),-2))</f>
        <v>28400</v>
      </c>
      <c r="E927" t="str">
        <f ca="1">IF(I927=1,IF(RAND()&lt;0.95,"Piped Water",F_Baseline_data!E927),F_Baseline_data!E927)</f>
        <v>Piped Water</v>
      </c>
      <c r="F927">
        <f t="shared" ca="1" si="28"/>
        <v>4</v>
      </c>
      <c r="G927">
        <v>2.5</v>
      </c>
      <c r="H927">
        <f ca="1">MAX(0,ROUND(F_Baseline_data!H927+(F_Baseline_data!C927-5)*200+(D927-30000)*0.015+(F927-50)*15-IF(I927=1,1200,0)+_xlfn.NORM.INV(RAND(),0,2500),-2))</f>
        <v>5500</v>
      </c>
      <c r="I927">
        <v>1</v>
      </c>
      <c r="J927">
        <f>1</f>
        <v>1</v>
      </c>
      <c r="K927">
        <f>1</f>
        <v>1</v>
      </c>
      <c r="L927">
        <v>0</v>
      </c>
      <c r="M927">
        <f t="shared" ca="1" si="29"/>
        <v>0.96299098644833303</v>
      </c>
      <c r="N927">
        <v>0</v>
      </c>
      <c r="O927">
        <v>0</v>
      </c>
      <c r="P927">
        <v>0</v>
      </c>
    </row>
    <row r="928" spans="1:16" x14ac:dyDescent="0.3">
      <c r="A928" t="s">
        <v>1040</v>
      </c>
      <c r="B928" t="s">
        <v>513</v>
      </c>
      <c r="C928">
        <f ca="1">IF(RAND()&lt;0.8,F_Baseline_data!C928,IF(RAND()&lt;0.85,F_Baseline_data!C928+1,IF(F_Baseline_data!C928&gt;3,C928-1,F_Baseline_data!C928)))</f>
        <v>3</v>
      </c>
      <c r="D928">
        <f ca="1">MAX(5000,ROUND(F_Baseline_data!D928*(1+_xlfn.NORM.INV(RAND(),0.12,0.1)),-2))</f>
        <v>39700</v>
      </c>
      <c r="E928" t="str">
        <f ca="1">IF(I928=1,IF(RAND()&lt;0.95,"Piped Water",F_Baseline_data!E928),F_Baseline_data!E928)</f>
        <v>Piped Water</v>
      </c>
      <c r="F928">
        <f t="shared" ca="1" si="28"/>
        <v>2</v>
      </c>
      <c r="G928">
        <v>4.7</v>
      </c>
      <c r="H928">
        <f ca="1">MAX(0,ROUND(F_Baseline_data!H928+(F_Baseline_data!C928-5)*200+(D928-30000)*0.015+(F928-50)*15-IF(I928=1,1200,0)+_xlfn.NORM.INV(RAND(),0,2500),-2))</f>
        <v>1500</v>
      </c>
      <c r="I928">
        <v>1</v>
      </c>
      <c r="J928">
        <f>1</f>
        <v>1</v>
      </c>
      <c r="K928">
        <f>1</f>
        <v>1</v>
      </c>
      <c r="L928">
        <v>0</v>
      </c>
      <c r="M928">
        <f t="shared" ca="1" si="29"/>
        <v>8.3323342541542056E-2</v>
      </c>
      <c r="N928">
        <v>0</v>
      </c>
      <c r="O928">
        <v>0</v>
      </c>
      <c r="P928">
        <v>0</v>
      </c>
    </row>
    <row r="929" spans="1:16" x14ac:dyDescent="0.3">
      <c r="A929" t="s">
        <v>1041</v>
      </c>
      <c r="B929" t="s">
        <v>65</v>
      </c>
      <c r="C929">
        <f ca="1">IF(RAND()&lt;0.8,F_Baseline_data!C929,IF(RAND()&lt;0.85,F_Baseline_data!C929+1,IF(F_Baseline_data!C929&gt;3,C929-1,F_Baseline_data!C929)))</f>
        <v>6</v>
      </c>
      <c r="D929">
        <f ca="1">MAX(5000,ROUND(F_Baseline_data!D929*(1+_xlfn.NORM.INV(RAND(),0.12,0.1)),-2))</f>
        <v>33300</v>
      </c>
      <c r="E929" t="str">
        <f ca="1">IF(I929=1,IF(RAND()&lt;0.95,"Piped Water",F_Baseline_data!E929),F_Baseline_data!E929)</f>
        <v>Borehole</v>
      </c>
      <c r="F929">
        <f t="shared" ca="1" si="28"/>
        <v>58</v>
      </c>
      <c r="G929">
        <v>5</v>
      </c>
      <c r="H929">
        <f ca="1">MAX(0,ROUND(F_Baseline_data!H929+(F_Baseline_data!C929-5)*200+(D929-30000)*0.015+(F929-50)*15-IF(I929=1,1200,0)+_xlfn.NORM.INV(RAND(),0,2500),-2))</f>
        <v>6200</v>
      </c>
      <c r="I929">
        <v>1</v>
      </c>
      <c r="J929">
        <f>1</f>
        <v>1</v>
      </c>
      <c r="K929">
        <f>1</f>
        <v>1</v>
      </c>
      <c r="L929">
        <v>0</v>
      </c>
      <c r="M929">
        <f t="shared" ca="1" si="29"/>
        <v>0.55682713000290196</v>
      </c>
      <c r="N929">
        <v>0</v>
      </c>
      <c r="O929">
        <v>0</v>
      </c>
      <c r="P929">
        <v>0</v>
      </c>
    </row>
    <row r="930" spans="1:16" x14ac:dyDescent="0.3">
      <c r="A930" t="s">
        <v>1042</v>
      </c>
      <c r="B930" t="s">
        <v>65</v>
      </c>
      <c r="C930">
        <f ca="1">IF(RAND()&lt;0.8,F_Baseline_data!C930,IF(RAND()&lt;0.85,F_Baseline_data!C930+1,IF(F_Baseline_data!C930&gt;3,C930-1,F_Baseline_data!C930)))</f>
        <v>3</v>
      </c>
      <c r="D930">
        <f ca="1">MAX(5000,ROUND(F_Baseline_data!D930*(1+_xlfn.NORM.INV(RAND(),0.12,0.1)),-2))</f>
        <v>28100</v>
      </c>
      <c r="E930" t="str">
        <f ca="1">IF(I930=1,IF(RAND()&lt;0.95,"Piped Water",F_Baseline_data!E930),F_Baseline_data!E930)</f>
        <v>Piped Water</v>
      </c>
      <c r="F930">
        <f t="shared" ca="1" si="28"/>
        <v>0</v>
      </c>
      <c r="G930">
        <v>12.8</v>
      </c>
      <c r="H930">
        <f ca="1">MAX(0,ROUND(F_Baseline_data!H930+(F_Baseline_data!C930-5)*200+(D930-30000)*0.015+(F930-50)*15-IF(I930=1,1200,0)+_xlfn.NORM.INV(RAND(),0,2500),-2))</f>
        <v>12500</v>
      </c>
      <c r="I930">
        <v>1</v>
      </c>
      <c r="J930">
        <f>1</f>
        <v>1</v>
      </c>
      <c r="K930">
        <f>1</f>
        <v>1</v>
      </c>
      <c r="L930">
        <v>0</v>
      </c>
      <c r="M930">
        <f t="shared" ca="1" si="29"/>
        <v>0.78168824313216534</v>
      </c>
      <c r="N930">
        <v>0</v>
      </c>
      <c r="O930">
        <v>0</v>
      </c>
      <c r="P930">
        <v>0</v>
      </c>
    </row>
    <row r="931" spans="1:16" x14ac:dyDescent="0.3">
      <c r="A931" t="s">
        <v>1043</v>
      </c>
      <c r="B931" t="s">
        <v>513</v>
      </c>
      <c r="C931">
        <f ca="1">IF(RAND()&lt;0.8,F_Baseline_data!C931,IF(RAND()&lt;0.85,F_Baseline_data!C931+1,IF(F_Baseline_data!C931&gt;3,C931-1,F_Baseline_data!C931)))</f>
        <v>6</v>
      </c>
      <c r="D931">
        <f ca="1">MAX(5000,ROUND(F_Baseline_data!D931*(1+_xlfn.NORM.INV(RAND(),0.12,0.1)),-2))</f>
        <v>87600</v>
      </c>
      <c r="E931" t="str">
        <f ca="1">IF(I931=1,IF(RAND()&lt;0.95,"Piped Water",F_Baseline_data!E931),F_Baseline_data!E931)</f>
        <v>Piped Water</v>
      </c>
      <c r="F931">
        <f t="shared" ca="1" si="28"/>
        <v>9</v>
      </c>
      <c r="G931">
        <v>7.1</v>
      </c>
      <c r="H931">
        <f ca="1">MAX(0,ROUND(F_Baseline_data!H931+(F_Baseline_data!C931-5)*200+(D931-30000)*0.015+(F931-50)*15-IF(I931=1,1200,0)+_xlfn.NORM.INV(RAND(),0,2500),-2))</f>
        <v>6700</v>
      </c>
      <c r="I931">
        <v>1</v>
      </c>
      <c r="J931">
        <f>1</f>
        <v>1</v>
      </c>
      <c r="K931">
        <f>1</f>
        <v>1</v>
      </c>
      <c r="L931">
        <v>0</v>
      </c>
      <c r="M931">
        <f t="shared" ca="1" si="29"/>
        <v>0.2524226347540468</v>
      </c>
      <c r="N931">
        <v>0</v>
      </c>
      <c r="O931">
        <v>0</v>
      </c>
      <c r="P931">
        <v>0</v>
      </c>
    </row>
    <row r="932" spans="1:16" x14ac:dyDescent="0.3">
      <c r="A932" t="s">
        <v>1044</v>
      </c>
      <c r="B932" t="s">
        <v>65</v>
      </c>
      <c r="C932">
        <f ca="1">IF(RAND()&lt;0.8,F_Baseline_data!C932,IF(RAND()&lt;0.85,F_Baseline_data!C932+1,IF(F_Baseline_data!C932&gt;3,C932-1,F_Baseline_data!C932)))</f>
        <v>2</v>
      </c>
      <c r="D932">
        <f ca="1">MAX(5000,ROUND(F_Baseline_data!D932*(1+_xlfn.NORM.INV(RAND(),0.12,0.1)),-2))</f>
        <v>42500</v>
      </c>
      <c r="E932" t="str">
        <f ca="1">IF(I932=1,IF(RAND()&lt;0.95,"Piped Water",F_Baseline_data!E932),F_Baseline_data!E932)</f>
        <v>Piped Water</v>
      </c>
      <c r="F932">
        <f t="shared" ca="1" si="28"/>
        <v>7</v>
      </c>
      <c r="G932">
        <v>4.5999999999999996</v>
      </c>
      <c r="H932">
        <f ca="1">MAX(0,ROUND(F_Baseline_data!H932+(F_Baseline_data!C932-5)*200+(D932-30000)*0.015+(F932-50)*15-IF(I932=1,1200,0)+_xlfn.NORM.INV(RAND(),0,2500),-2))</f>
        <v>5800</v>
      </c>
      <c r="I932">
        <v>1</v>
      </c>
      <c r="J932">
        <f>1</f>
        <v>1</v>
      </c>
      <c r="K932">
        <f>1</f>
        <v>1</v>
      </c>
      <c r="L932">
        <v>0</v>
      </c>
      <c r="M932">
        <f t="shared" ca="1" si="29"/>
        <v>0.24789901725762387</v>
      </c>
      <c r="N932">
        <v>0</v>
      </c>
      <c r="O932">
        <v>0</v>
      </c>
      <c r="P932">
        <v>0</v>
      </c>
    </row>
    <row r="933" spans="1:16" x14ac:dyDescent="0.3">
      <c r="A933" t="s">
        <v>1045</v>
      </c>
      <c r="B933" t="s">
        <v>513</v>
      </c>
      <c r="C933">
        <f ca="1">IF(RAND()&lt;0.8,F_Baseline_data!C933,IF(RAND()&lt;0.85,F_Baseline_data!C933+1,IF(F_Baseline_data!C933&gt;3,C933-1,F_Baseline_data!C933)))</f>
        <v>10</v>
      </c>
      <c r="D933">
        <f ca="1">MAX(5000,ROUND(F_Baseline_data!D933*(1+_xlfn.NORM.INV(RAND(),0.12,0.1)),-2))</f>
        <v>85700</v>
      </c>
      <c r="E933" t="str">
        <f ca="1">IF(I933=1,IF(RAND()&lt;0.95,"Piped Water",F_Baseline_data!E933),F_Baseline_data!E933)</f>
        <v>Piped Water</v>
      </c>
      <c r="F933">
        <f t="shared" ca="1" si="28"/>
        <v>5</v>
      </c>
      <c r="G933">
        <v>9.6</v>
      </c>
      <c r="H933">
        <f ca="1">MAX(0,ROUND(F_Baseline_data!H933+(F_Baseline_data!C933-5)*200+(D933-30000)*0.015+(F933-50)*15-IF(I933=1,1200,0)+_xlfn.NORM.INV(RAND(),0,2500),-2))</f>
        <v>11900</v>
      </c>
      <c r="I933">
        <v>1</v>
      </c>
      <c r="J933">
        <f>1</f>
        <v>1</v>
      </c>
      <c r="K933">
        <f>1</f>
        <v>1</v>
      </c>
      <c r="L933">
        <v>0</v>
      </c>
      <c r="M933">
        <f t="shared" ca="1" si="29"/>
        <v>0.70655256613239859</v>
      </c>
      <c r="N933">
        <v>0</v>
      </c>
      <c r="O933">
        <v>0</v>
      </c>
      <c r="P933">
        <v>0</v>
      </c>
    </row>
    <row r="934" spans="1:16" x14ac:dyDescent="0.3">
      <c r="A934" t="s">
        <v>1046</v>
      </c>
      <c r="B934" t="s">
        <v>62</v>
      </c>
      <c r="C934">
        <f ca="1">IF(RAND()&lt;0.8,F_Baseline_data!C934,IF(RAND()&lt;0.85,F_Baseline_data!C934+1,IF(F_Baseline_data!C934&gt;3,C934-1,F_Baseline_data!C934)))</f>
        <v>6</v>
      </c>
      <c r="D934">
        <f ca="1">MAX(5000,ROUND(F_Baseline_data!D934*(1+_xlfn.NORM.INV(RAND(),0.12,0.1)),-2))</f>
        <v>28400</v>
      </c>
      <c r="E934" t="str">
        <f ca="1">IF(I934=1,IF(RAND()&lt;0.95,"Piped Water",F_Baseline_data!E934),F_Baseline_data!E934)</f>
        <v>Piped Water</v>
      </c>
      <c r="F934">
        <f t="shared" ca="1" si="28"/>
        <v>4</v>
      </c>
      <c r="G934">
        <v>1.2</v>
      </c>
      <c r="H934">
        <f ca="1">MAX(0,ROUND(F_Baseline_data!H934+(F_Baseline_data!C934-5)*200+(D934-30000)*0.015+(F934-50)*15-IF(I934=1,1200,0)+_xlfn.NORM.INV(RAND(),0,2500),-2))</f>
        <v>7700</v>
      </c>
      <c r="I934">
        <v>1</v>
      </c>
      <c r="J934">
        <f>1</f>
        <v>1</v>
      </c>
      <c r="K934">
        <f>1</f>
        <v>1</v>
      </c>
      <c r="L934">
        <v>0</v>
      </c>
      <c r="M934">
        <f t="shared" ca="1" si="29"/>
        <v>0.9807264590930429</v>
      </c>
      <c r="N934">
        <v>0</v>
      </c>
      <c r="O934">
        <v>0</v>
      </c>
      <c r="P934">
        <v>0</v>
      </c>
    </row>
    <row r="935" spans="1:16" x14ac:dyDescent="0.3">
      <c r="A935" t="s">
        <v>1047</v>
      </c>
      <c r="B935" t="s">
        <v>64</v>
      </c>
      <c r="C935">
        <f ca="1">IF(RAND()&lt;0.8,F_Baseline_data!C935,IF(RAND()&lt;0.85,F_Baseline_data!C935+1,IF(F_Baseline_data!C935&gt;3,C935-1,F_Baseline_data!C935)))</f>
        <v>8</v>
      </c>
      <c r="D935">
        <f ca="1">MAX(5000,ROUND(F_Baseline_data!D935*(1+_xlfn.NORM.INV(RAND(),0.12,0.1)),-2))</f>
        <v>43200</v>
      </c>
      <c r="E935" t="str">
        <f ca="1">IF(I935=1,IF(RAND()&lt;0.95,"Piped Water",F_Baseline_data!E935),F_Baseline_data!E935)</f>
        <v>Piped Water</v>
      </c>
      <c r="F935">
        <f t="shared" ca="1" si="28"/>
        <v>6</v>
      </c>
      <c r="G935">
        <v>2.7</v>
      </c>
      <c r="H935">
        <f ca="1">MAX(0,ROUND(F_Baseline_data!H935+(F_Baseline_data!C935-5)*200+(D935-30000)*0.015+(F935-50)*15-IF(I935=1,1200,0)+_xlfn.NORM.INV(RAND(),0,2500),-2))</f>
        <v>11100</v>
      </c>
      <c r="I935">
        <v>1</v>
      </c>
      <c r="J935">
        <f>1</f>
        <v>1</v>
      </c>
      <c r="K935">
        <f>1</f>
        <v>1</v>
      </c>
      <c r="L935">
        <v>0</v>
      </c>
      <c r="M935">
        <f t="shared" ca="1" si="29"/>
        <v>6.1106265698992246E-2</v>
      </c>
      <c r="N935">
        <v>0</v>
      </c>
      <c r="O935">
        <v>0</v>
      </c>
      <c r="P935">
        <v>0</v>
      </c>
    </row>
    <row r="936" spans="1:16" x14ac:dyDescent="0.3">
      <c r="A936" t="s">
        <v>1048</v>
      </c>
      <c r="B936" t="s">
        <v>62</v>
      </c>
      <c r="C936">
        <f ca="1">IF(RAND()&lt;0.8,F_Baseline_data!C936,IF(RAND()&lt;0.85,F_Baseline_data!C936+1,IF(F_Baseline_data!C936&gt;3,C936-1,F_Baseline_data!C936)))</f>
        <v>5</v>
      </c>
      <c r="D936">
        <f ca="1">MAX(5000,ROUND(F_Baseline_data!D936*(1+_xlfn.NORM.INV(RAND(),0.12,0.1)),-2))</f>
        <v>122400</v>
      </c>
      <c r="E936" t="str">
        <f ca="1">IF(I936=1,IF(RAND()&lt;0.95,"Piped Water",F_Baseline_data!E936),F_Baseline_data!E936)</f>
        <v>Piped Water</v>
      </c>
      <c r="F936">
        <f t="shared" ca="1" si="28"/>
        <v>1</v>
      </c>
      <c r="G936">
        <v>4.3</v>
      </c>
      <c r="H936">
        <f ca="1">MAX(0,ROUND(F_Baseline_data!H936+(F_Baseline_data!C936-5)*200+(D936-30000)*0.015+(F936-50)*15-IF(I936=1,1200,0)+_xlfn.NORM.INV(RAND(),0,2500),-2))</f>
        <v>8400</v>
      </c>
      <c r="I936">
        <v>1</v>
      </c>
      <c r="J936">
        <f>1</f>
        <v>1</v>
      </c>
      <c r="K936">
        <f>1</f>
        <v>1</v>
      </c>
      <c r="L936">
        <v>0</v>
      </c>
      <c r="M936">
        <f t="shared" ca="1" si="29"/>
        <v>0.12688656461062353</v>
      </c>
      <c r="N936">
        <v>0</v>
      </c>
      <c r="O936">
        <v>0</v>
      </c>
      <c r="P936">
        <v>0</v>
      </c>
    </row>
    <row r="937" spans="1:16" x14ac:dyDescent="0.3">
      <c r="A937" t="s">
        <v>1049</v>
      </c>
      <c r="B937" t="s">
        <v>62</v>
      </c>
      <c r="C937">
        <f ca="1">IF(RAND()&lt;0.8,F_Baseline_data!C937,IF(RAND()&lt;0.85,F_Baseline_data!C937+1,IF(F_Baseline_data!C937&gt;3,C937-1,F_Baseline_data!C937)))</f>
        <v>9</v>
      </c>
      <c r="D937">
        <f ca="1">MAX(5000,ROUND(F_Baseline_data!D937*(1+_xlfn.NORM.INV(RAND(),0.12,0.1)),-2))</f>
        <v>34500</v>
      </c>
      <c r="E937" t="str">
        <f ca="1">IF(I937=1,IF(RAND()&lt;0.95,"Piped Water",F_Baseline_data!E937),F_Baseline_data!E937)</f>
        <v>Piped Water</v>
      </c>
      <c r="F937">
        <f t="shared" ca="1" si="28"/>
        <v>2</v>
      </c>
      <c r="G937">
        <v>4.7</v>
      </c>
      <c r="H937">
        <f ca="1">MAX(0,ROUND(F_Baseline_data!H937+(F_Baseline_data!C937-5)*200+(D937-30000)*0.015+(F937-50)*15-IF(I937=1,1200,0)+_xlfn.NORM.INV(RAND(),0,2500),-2))</f>
        <v>3300</v>
      </c>
      <c r="I937">
        <v>1</v>
      </c>
      <c r="J937">
        <f>1</f>
        <v>1</v>
      </c>
      <c r="K937">
        <f>1</f>
        <v>1</v>
      </c>
      <c r="L937">
        <v>0</v>
      </c>
      <c r="M937">
        <f t="shared" ca="1" si="29"/>
        <v>0.88163239853306052</v>
      </c>
      <c r="N937">
        <v>0</v>
      </c>
      <c r="O937">
        <v>0</v>
      </c>
      <c r="P937">
        <v>0</v>
      </c>
    </row>
    <row r="938" spans="1:16" x14ac:dyDescent="0.3">
      <c r="A938" t="s">
        <v>1050</v>
      </c>
      <c r="B938" t="s">
        <v>62</v>
      </c>
      <c r="C938">
        <f ca="1">IF(RAND()&lt;0.8,F_Baseline_data!C938,IF(RAND()&lt;0.85,F_Baseline_data!C938+1,IF(F_Baseline_data!C938&gt;3,C938-1,F_Baseline_data!C938)))</f>
        <v>6</v>
      </c>
      <c r="D938">
        <f ca="1">MAX(5000,ROUND(F_Baseline_data!D938*(1+_xlfn.NORM.INV(RAND(),0.12,0.1)),-2))</f>
        <v>34300</v>
      </c>
      <c r="E938" t="str">
        <f ca="1">IF(I938=1,IF(RAND()&lt;0.95,"Piped Water",F_Baseline_data!E938),F_Baseline_data!E938)</f>
        <v>Piped Water</v>
      </c>
      <c r="F938">
        <f t="shared" ca="1" si="28"/>
        <v>1</v>
      </c>
      <c r="G938">
        <v>8</v>
      </c>
      <c r="H938">
        <f ca="1">MAX(0,ROUND(F_Baseline_data!H938+(F_Baseline_data!C938-5)*200+(D938-30000)*0.015+(F938-50)*15-IF(I938=1,1200,0)+_xlfn.NORM.INV(RAND(),0,2500),-2))</f>
        <v>5100</v>
      </c>
      <c r="I938">
        <v>1</v>
      </c>
      <c r="J938">
        <f>1</f>
        <v>1</v>
      </c>
      <c r="K938">
        <f>1</f>
        <v>1</v>
      </c>
      <c r="L938">
        <v>0</v>
      </c>
      <c r="M938">
        <f t="shared" ca="1" si="29"/>
        <v>0.15766159474173935</v>
      </c>
      <c r="N938">
        <v>0</v>
      </c>
      <c r="O938">
        <v>0</v>
      </c>
      <c r="P938">
        <v>0</v>
      </c>
    </row>
    <row r="939" spans="1:16" x14ac:dyDescent="0.3">
      <c r="A939" t="s">
        <v>1051</v>
      </c>
      <c r="B939" t="s">
        <v>513</v>
      </c>
      <c r="C939">
        <f ca="1">IF(RAND()&lt;0.8,F_Baseline_data!C939,IF(RAND()&lt;0.85,F_Baseline_data!C939+1,IF(F_Baseline_data!C939&gt;3,C939-1,F_Baseline_data!C939)))</f>
        <v>1</v>
      </c>
      <c r="D939">
        <f ca="1">MAX(5000,ROUND(F_Baseline_data!D939*(1+_xlfn.NORM.INV(RAND(),0.12,0.1)),-2))</f>
        <v>27300</v>
      </c>
      <c r="E939" t="str">
        <f ca="1">IF(I939=1,IF(RAND()&lt;0.95,"Piped Water",F_Baseline_data!E939),F_Baseline_data!E939)</f>
        <v>Piped Water</v>
      </c>
      <c r="F939">
        <f t="shared" ca="1" si="28"/>
        <v>8</v>
      </c>
      <c r="G939">
        <v>5.9</v>
      </c>
      <c r="H939">
        <f ca="1">MAX(0,ROUND(F_Baseline_data!H939+(F_Baseline_data!C939-5)*200+(D939-30000)*0.015+(F939-50)*15-IF(I939=1,1200,0)+_xlfn.NORM.INV(RAND(),0,2500),-2))</f>
        <v>2300</v>
      </c>
      <c r="I939">
        <v>1</v>
      </c>
      <c r="J939">
        <f>1</f>
        <v>1</v>
      </c>
      <c r="K939">
        <f>1</f>
        <v>1</v>
      </c>
      <c r="L939">
        <v>0</v>
      </c>
      <c r="M939">
        <f t="shared" ca="1" si="29"/>
        <v>0.35213123177822225</v>
      </c>
      <c r="N939">
        <v>0</v>
      </c>
      <c r="O939">
        <v>0</v>
      </c>
      <c r="P939">
        <v>0</v>
      </c>
    </row>
    <row r="940" spans="1:16" x14ac:dyDescent="0.3">
      <c r="A940" t="s">
        <v>1052</v>
      </c>
      <c r="B940" t="s">
        <v>513</v>
      </c>
      <c r="C940">
        <f ca="1">IF(RAND()&lt;0.8,F_Baseline_data!C940,IF(RAND()&lt;0.85,F_Baseline_data!C940+1,IF(F_Baseline_data!C940&gt;3,C940-1,F_Baseline_data!C940)))</f>
        <v>4</v>
      </c>
      <c r="D940">
        <f ca="1">MAX(5000,ROUND(F_Baseline_data!D940*(1+_xlfn.NORM.INV(RAND(),0.12,0.1)),-2))</f>
        <v>46700</v>
      </c>
      <c r="E940" t="str">
        <f ca="1">IF(I940=1,IF(RAND()&lt;0.95,"Piped Water",F_Baseline_data!E940),F_Baseline_data!E940)</f>
        <v>Piped Water</v>
      </c>
      <c r="F940">
        <f t="shared" ca="1" si="28"/>
        <v>9</v>
      </c>
      <c r="G940">
        <v>8.9</v>
      </c>
      <c r="H940">
        <f ca="1">MAX(0,ROUND(F_Baseline_data!H940+(F_Baseline_data!C940-5)*200+(D940-30000)*0.015+(F940-50)*15-IF(I940=1,1200,0)+_xlfn.NORM.INV(RAND(),0,2500),-2))</f>
        <v>5300</v>
      </c>
      <c r="I940">
        <v>1</v>
      </c>
      <c r="J940">
        <f>1</f>
        <v>1</v>
      </c>
      <c r="K940">
        <f>1</f>
        <v>1</v>
      </c>
      <c r="L940">
        <v>0</v>
      </c>
      <c r="M940">
        <f t="shared" ca="1" si="29"/>
        <v>0.42023455441219959</v>
      </c>
      <c r="N940">
        <v>0</v>
      </c>
      <c r="O940">
        <v>0</v>
      </c>
      <c r="P940">
        <v>0</v>
      </c>
    </row>
    <row r="941" spans="1:16" x14ac:dyDescent="0.3">
      <c r="A941" t="s">
        <v>1053</v>
      </c>
      <c r="B941" t="s">
        <v>62</v>
      </c>
      <c r="C941">
        <f ca="1">IF(RAND()&lt;0.8,F_Baseline_data!C941,IF(RAND()&lt;0.85,F_Baseline_data!C941+1,IF(F_Baseline_data!C941&gt;3,C941-1,F_Baseline_data!C941)))</f>
        <v>10</v>
      </c>
      <c r="D941">
        <f ca="1">MAX(5000,ROUND(F_Baseline_data!D941*(1+_xlfn.NORM.INV(RAND(),0.12,0.1)),-2))</f>
        <v>56700</v>
      </c>
      <c r="E941" t="str">
        <f ca="1">IF(I941=1,IF(RAND()&lt;0.95,"Piped Water",F_Baseline_data!E941),F_Baseline_data!E941)</f>
        <v>Piped Water</v>
      </c>
      <c r="F941">
        <f t="shared" ca="1" si="28"/>
        <v>7</v>
      </c>
      <c r="G941">
        <v>2.9</v>
      </c>
      <c r="H941">
        <f ca="1">MAX(0,ROUND(F_Baseline_data!H941+(F_Baseline_data!C941-5)*200+(D941-30000)*0.015+(F941-50)*15-IF(I941=1,1200,0)+_xlfn.NORM.INV(RAND(),0,2500),-2))</f>
        <v>600</v>
      </c>
      <c r="I941">
        <v>1</v>
      </c>
      <c r="J941">
        <f>1</f>
        <v>1</v>
      </c>
      <c r="K941">
        <f>1</f>
        <v>1</v>
      </c>
      <c r="L941">
        <v>0</v>
      </c>
      <c r="M941">
        <f t="shared" ca="1" si="29"/>
        <v>0.69098919411264836</v>
      </c>
      <c r="N941">
        <v>0</v>
      </c>
      <c r="O941">
        <v>0</v>
      </c>
      <c r="P941">
        <v>0</v>
      </c>
    </row>
    <row r="942" spans="1:16" x14ac:dyDescent="0.3">
      <c r="A942" t="s">
        <v>1054</v>
      </c>
      <c r="B942" t="s">
        <v>62</v>
      </c>
      <c r="C942">
        <f ca="1">IF(RAND()&lt;0.8,F_Baseline_data!C942,IF(RAND()&lt;0.85,F_Baseline_data!C942+1,IF(F_Baseline_data!C942&gt;3,C942-1,F_Baseline_data!C942)))</f>
        <v>6</v>
      </c>
      <c r="D942">
        <f ca="1">MAX(5000,ROUND(F_Baseline_data!D942*(1+_xlfn.NORM.INV(RAND(),0.12,0.1)),-2))</f>
        <v>27500</v>
      </c>
      <c r="E942" t="str">
        <f ca="1">IF(I942=1,IF(RAND()&lt;0.95,"Piped Water",F_Baseline_data!E942),F_Baseline_data!E942)</f>
        <v>Piped Water</v>
      </c>
      <c r="F942">
        <f t="shared" ca="1" si="28"/>
        <v>10</v>
      </c>
      <c r="G942">
        <v>6</v>
      </c>
      <c r="H942">
        <f ca="1">MAX(0,ROUND(F_Baseline_data!H942+(F_Baseline_data!C942-5)*200+(D942-30000)*0.015+(F942-50)*15-IF(I942=1,1200,0)+_xlfn.NORM.INV(RAND(),0,2500),-2))</f>
        <v>6300</v>
      </c>
      <c r="I942">
        <v>1</v>
      </c>
      <c r="J942">
        <f>1</f>
        <v>1</v>
      </c>
      <c r="K942">
        <f>1</f>
        <v>1</v>
      </c>
      <c r="L942">
        <v>0</v>
      </c>
      <c r="M942">
        <f t="shared" ca="1" si="29"/>
        <v>0.25162176079726994</v>
      </c>
      <c r="N942">
        <v>0</v>
      </c>
      <c r="O942">
        <v>0</v>
      </c>
      <c r="P942">
        <v>0</v>
      </c>
    </row>
    <row r="943" spans="1:16" x14ac:dyDescent="0.3">
      <c r="A943" t="s">
        <v>1055</v>
      </c>
      <c r="B943" t="s">
        <v>62</v>
      </c>
      <c r="C943">
        <f ca="1">IF(RAND()&lt;0.8,F_Baseline_data!C943,IF(RAND()&lt;0.85,F_Baseline_data!C943+1,IF(F_Baseline_data!C943&gt;3,C943-1,F_Baseline_data!C943)))</f>
        <v>10</v>
      </c>
      <c r="D943">
        <f ca="1">MAX(5000,ROUND(F_Baseline_data!D943*(1+_xlfn.NORM.INV(RAND(),0.12,0.1)),-2))</f>
        <v>31600</v>
      </c>
      <c r="E943" t="str">
        <f ca="1">IF(I943=1,IF(RAND()&lt;0.95,"Piped Water",F_Baseline_data!E943),F_Baseline_data!E943)</f>
        <v>Piped Water</v>
      </c>
      <c r="F943">
        <f t="shared" ca="1" si="28"/>
        <v>8</v>
      </c>
      <c r="G943">
        <v>6.9</v>
      </c>
      <c r="H943">
        <f ca="1">MAX(0,ROUND(F_Baseline_data!H943+(F_Baseline_data!C943-5)*200+(D943-30000)*0.015+(F943-50)*15-IF(I943=1,1200,0)+_xlfn.NORM.INV(RAND(),0,2500),-2))</f>
        <v>3500</v>
      </c>
      <c r="I943">
        <v>1</v>
      </c>
      <c r="J943">
        <f>1</f>
        <v>1</v>
      </c>
      <c r="K943">
        <f>1</f>
        <v>1</v>
      </c>
      <c r="L943">
        <v>0</v>
      </c>
      <c r="M943">
        <f t="shared" ca="1" si="29"/>
        <v>0.8560108612757471</v>
      </c>
      <c r="N943">
        <v>0</v>
      </c>
      <c r="O943">
        <v>0</v>
      </c>
      <c r="P943">
        <v>0</v>
      </c>
    </row>
    <row r="944" spans="1:16" x14ac:dyDescent="0.3">
      <c r="A944" t="s">
        <v>1056</v>
      </c>
      <c r="B944" t="s">
        <v>65</v>
      </c>
      <c r="C944">
        <f ca="1">IF(RAND()&lt;0.8,F_Baseline_data!C944,IF(RAND()&lt;0.85,F_Baseline_data!C944+1,IF(F_Baseline_data!C944&gt;3,C944-1,F_Baseline_data!C944)))</f>
        <v>4</v>
      </c>
      <c r="D944">
        <f ca="1">MAX(5000,ROUND(F_Baseline_data!D944*(1+_xlfn.NORM.INV(RAND(),0.12,0.1)),-2))</f>
        <v>26600</v>
      </c>
      <c r="E944" t="str">
        <f ca="1">IF(I944=1,IF(RAND()&lt;0.95,"Piped Water",F_Baseline_data!E944),F_Baseline_data!E944)</f>
        <v>Piped Water</v>
      </c>
      <c r="F944">
        <f t="shared" ca="1" si="28"/>
        <v>10</v>
      </c>
      <c r="G944">
        <v>13.6</v>
      </c>
      <c r="H944">
        <f ca="1">MAX(0,ROUND(F_Baseline_data!H944+(F_Baseline_data!C944-5)*200+(D944-30000)*0.015+(F944-50)*15-IF(I944=1,1200,0)+_xlfn.NORM.INV(RAND(),0,2500),-2))</f>
        <v>4200</v>
      </c>
      <c r="I944">
        <v>1</v>
      </c>
      <c r="J944">
        <f>1</f>
        <v>1</v>
      </c>
      <c r="K944">
        <f>1</f>
        <v>1</v>
      </c>
      <c r="L944">
        <v>0</v>
      </c>
      <c r="M944">
        <f t="shared" ca="1" si="29"/>
        <v>0.99140079864649411</v>
      </c>
      <c r="N944">
        <v>0</v>
      </c>
      <c r="O944">
        <v>0</v>
      </c>
      <c r="P944">
        <v>0</v>
      </c>
    </row>
    <row r="945" spans="1:16" x14ac:dyDescent="0.3">
      <c r="A945" t="s">
        <v>1057</v>
      </c>
      <c r="B945" t="s">
        <v>62</v>
      </c>
      <c r="C945">
        <f ca="1">IF(RAND()&lt;0.8,F_Baseline_data!C945,IF(RAND()&lt;0.85,F_Baseline_data!C945+1,IF(F_Baseline_data!C945&gt;3,C945-1,F_Baseline_data!C945)))</f>
        <v>5</v>
      </c>
      <c r="D945">
        <f ca="1">MAX(5000,ROUND(F_Baseline_data!D945*(1+_xlfn.NORM.INV(RAND(),0.12,0.1)),-2))</f>
        <v>38000</v>
      </c>
      <c r="E945" t="str">
        <f ca="1">IF(I945=1,IF(RAND()&lt;0.95,"Piped Water",F_Baseline_data!E945),F_Baseline_data!E945)</f>
        <v>Piped Water</v>
      </c>
      <c r="F945">
        <f t="shared" ca="1" si="28"/>
        <v>9</v>
      </c>
      <c r="G945">
        <v>4.5</v>
      </c>
      <c r="H945">
        <f ca="1">MAX(0,ROUND(F_Baseline_data!H945+(F_Baseline_data!C945-5)*200+(D945-30000)*0.015+(F945-50)*15-IF(I945=1,1200,0)+_xlfn.NORM.INV(RAND(),0,2500),-2))</f>
        <v>6200</v>
      </c>
      <c r="I945">
        <v>1</v>
      </c>
      <c r="J945">
        <f>1</f>
        <v>1</v>
      </c>
      <c r="K945">
        <f>1</f>
        <v>1</v>
      </c>
      <c r="L945">
        <v>0</v>
      </c>
      <c r="M945">
        <f t="shared" ca="1" si="29"/>
        <v>0.90081200296673336</v>
      </c>
      <c r="N945">
        <v>0</v>
      </c>
      <c r="O945">
        <v>0</v>
      </c>
      <c r="P945">
        <v>0</v>
      </c>
    </row>
    <row r="946" spans="1:16" x14ac:dyDescent="0.3">
      <c r="A946" t="s">
        <v>1058</v>
      </c>
      <c r="B946" t="s">
        <v>64</v>
      </c>
      <c r="C946">
        <f ca="1">IF(RAND()&lt;0.8,F_Baseline_data!C946,IF(RAND()&lt;0.85,F_Baseline_data!C946+1,IF(F_Baseline_data!C946&gt;3,C946-1,F_Baseline_data!C946)))</f>
        <v>5</v>
      </c>
      <c r="D946">
        <f ca="1">MAX(5000,ROUND(F_Baseline_data!D946*(1+_xlfn.NORM.INV(RAND(),0.12,0.1)),-2))</f>
        <v>31300</v>
      </c>
      <c r="E946" t="str">
        <f ca="1">IF(I946=1,IF(RAND()&lt;0.95,"Piped Water",F_Baseline_data!E946),F_Baseline_data!E946)</f>
        <v>Piped Water</v>
      </c>
      <c r="F946">
        <f t="shared" ca="1" si="28"/>
        <v>9</v>
      </c>
      <c r="G946">
        <v>1.1000000000000001</v>
      </c>
      <c r="H946">
        <f ca="1">MAX(0,ROUND(F_Baseline_data!H946+(F_Baseline_data!C946-5)*200+(D946-30000)*0.015+(F946-50)*15-IF(I946=1,1200,0)+_xlfn.NORM.INV(RAND(),0,2500),-2))</f>
        <v>0</v>
      </c>
      <c r="I946">
        <v>1</v>
      </c>
      <c r="J946">
        <f>1</f>
        <v>1</v>
      </c>
      <c r="K946">
        <f>1</f>
        <v>1</v>
      </c>
      <c r="L946">
        <v>0</v>
      </c>
      <c r="M946">
        <f t="shared" ca="1" si="29"/>
        <v>0.72265066108344167</v>
      </c>
      <c r="N946">
        <v>0</v>
      </c>
      <c r="O946">
        <v>0</v>
      </c>
      <c r="P946">
        <v>0</v>
      </c>
    </row>
    <row r="947" spans="1:16" x14ac:dyDescent="0.3">
      <c r="A947" t="s">
        <v>1059</v>
      </c>
      <c r="B947" t="s">
        <v>65</v>
      </c>
      <c r="C947">
        <f ca="1">IF(RAND()&lt;0.8,F_Baseline_data!C947,IF(RAND()&lt;0.85,F_Baseline_data!C947+1,IF(F_Baseline_data!C947&gt;3,C947-1,F_Baseline_data!C947)))</f>
        <v>5</v>
      </c>
      <c r="D947">
        <f ca="1">MAX(5000,ROUND(F_Baseline_data!D947*(1+_xlfn.NORM.INV(RAND(),0.12,0.1)),-2))</f>
        <v>83700</v>
      </c>
      <c r="E947" t="str">
        <f ca="1">IF(I947=1,IF(RAND()&lt;0.95,"Piped Water",F_Baseline_data!E947),F_Baseline_data!E947)</f>
        <v>Piped Water</v>
      </c>
      <c r="F947">
        <f t="shared" ca="1" si="28"/>
        <v>6</v>
      </c>
      <c r="G947">
        <v>5.2</v>
      </c>
      <c r="H947">
        <f ca="1">MAX(0,ROUND(F_Baseline_data!H947+(F_Baseline_data!C947-5)*200+(D947-30000)*0.015+(F947-50)*15-IF(I947=1,1200,0)+_xlfn.NORM.INV(RAND(),0,2500),-2))</f>
        <v>6800</v>
      </c>
      <c r="I947">
        <v>1</v>
      </c>
      <c r="J947">
        <f>1</f>
        <v>1</v>
      </c>
      <c r="K947">
        <f>1</f>
        <v>1</v>
      </c>
      <c r="L947">
        <v>0</v>
      </c>
      <c r="M947">
        <f t="shared" ca="1" si="29"/>
        <v>0.18752687692623826</v>
      </c>
      <c r="N947">
        <v>0</v>
      </c>
      <c r="O947">
        <v>0</v>
      </c>
      <c r="P947">
        <v>0</v>
      </c>
    </row>
    <row r="948" spans="1:16" x14ac:dyDescent="0.3">
      <c r="A948" t="s">
        <v>1060</v>
      </c>
      <c r="B948" t="s">
        <v>62</v>
      </c>
      <c r="C948">
        <f ca="1">IF(RAND()&lt;0.8,F_Baseline_data!C948,IF(RAND()&lt;0.85,F_Baseline_data!C948+1,IF(F_Baseline_data!C948&gt;3,C948-1,F_Baseline_data!C948)))</f>
        <v>6</v>
      </c>
      <c r="D948">
        <f ca="1">MAX(5000,ROUND(F_Baseline_data!D948*(1+_xlfn.NORM.INV(RAND(),0.12,0.1)),-2))</f>
        <v>56000</v>
      </c>
      <c r="E948" t="str">
        <f ca="1">IF(I948=1,IF(RAND()&lt;0.95,"Piped Water",F_Baseline_data!E948),F_Baseline_data!E948)</f>
        <v>Piped Water</v>
      </c>
      <c r="F948">
        <f t="shared" ca="1" si="28"/>
        <v>6</v>
      </c>
      <c r="G948">
        <v>0.8</v>
      </c>
      <c r="H948">
        <f ca="1">MAX(0,ROUND(F_Baseline_data!H948+(F_Baseline_data!C948-5)*200+(D948-30000)*0.015+(F948-50)*15-IF(I948=1,1200,0)+_xlfn.NORM.INV(RAND(),0,2500),-2))</f>
        <v>1400</v>
      </c>
      <c r="I948">
        <v>1</v>
      </c>
      <c r="J948">
        <f>1</f>
        <v>1</v>
      </c>
      <c r="K948">
        <f>1</f>
        <v>1</v>
      </c>
      <c r="L948">
        <v>0</v>
      </c>
      <c r="M948">
        <f t="shared" ca="1" si="29"/>
        <v>0.91985664278241541</v>
      </c>
      <c r="N948">
        <v>0</v>
      </c>
      <c r="O948">
        <v>0</v>
      </c>
      <c r="P948">
        <v>0</v>
      </c>
    </row>
    <row r="949" spans="1:16" x14ac:dyDescent="0.3">
      <c r="A949" t="s">
        <v>1061</v>
      </c>
      <c r="B949" t="s">
        <v>65</v>
      </c>
      <c r="C949">
        <f ca="1">IF(RAND()&lt;0.8,F_Baseline_data!C949,IF(RAND()&lt;0.85,F_Baseline_data!C949+1,IF(F_Baseline_data!C949&gt;3,C949-1,F_Baseline_data!C949)))</f>
        <v>10</v>
      </c>
      <c r="D949">
        <f ca="1">MAX(5000,ROUND(F_Baseline_data!D949*(1+_xlfn.NORM.INV(RAND(),0.12,0.1)),-2))</f>
        <v>73300</v>
      </c>
      <c r="E949" t="str">
        <f ca="1">IF(I949=1,IF(RAND()&lt;0.95,"Piped Water",F_Baseline_data!E949),F_Baseline_data!E949)</f>
        <v>Piped Water</v>
      </c>
      <c r="F949">
        <f t="shared" ca="1" si="28"/>
        <v>3</v>
      </c>
      <c r="G949">
        <v>5.7</v>
      </c>
      <c r="H949">
        <f ca="1">MAX(0,ROUND(F_Baseline_data!H949+(F_Baseline_data!C949-5)*200+(D949-30000)*0.015+(F949-50)*15-IF(I949=1,1200,0)+_xlfn.NORM.INV(RAND(),0,2500),-2))</f>
        <v>5300</v>
      </c>
      <c r="I949">
        <v>1</v>
      </c>
      <c r="J949">
        <f>1</f>
        <v>1</v>
      </c>
      <c r="K949">
        <f>1</f>
        <v>1</v>
      </c>
      <c r="L949">
        <v>0</v>
      </c>
      <c r="M949">
        <f t="shared" ca="1" si="29"/>
        <v>0.95306478179281628</v>
      </c>
      <c r="N949">
        <v>0</v>
      </c>
      <c r="O949">
        <v>0</v>
      </c>
      <c r="P949">
        <v>0</v>
      </c>
    </row>
    <row r="950" spans="1:16" x14ac:dyDescent="0.3">
      <c r="A950" t="s">
        <v>1062</v>
      </c>
      <c r="B950" t="s">
        <v>62</v>
      </c>
      <c r="C950">
        <f ca="1">IF(RAND()&lt;0.8,F_Baseline_data!C950,IF(RAND()&lt;0.85,F_Baseline_data!C950+1,IF(F_Baseline_data!C950&gt;3,C950-1,F_Baseline_data!C950)))</f>
        <v>4</v>
      </c>
      <c r="D950">
        <f ca="1">MAX(5000,ROUND(F_Baseline_data!D950*(1+_xlfn.NORM.INV(RAND(),0.12,0.1)),-2))</f>
        <v>48200</v>
      </c>
      <c r="E950" t="str">
        <f ca="1">IF(I950=1,IF(RAND()&lt;0.95,"Piped Water",F_Baseline_data!E950),F_Baseline_data!E950)</f>
        <v>Piped Water</v>
      </c>
      <c r="F950">
        <f t="shared" ca="1" si="28"/>
        <v>0</v>
      </c>
      <c r="G950">
        <v>3.6</v>
      </c>
      <c r="H950">
        <f ca="1">MAX(0,ROUND(F_Baseline_data!H950+(F_Baseline_data!C950-5)*200+(D950-30000)*0.015+(F950-50)*15-IF(I950=1,1200,0)+_xlfn.NORM.INV(RAND(),0,2500),-2))</f>
        <v>2800</v>
      </c>
      <c r="I950">
        <v>1</v>
      </c>
      <c r="J950">
        <f>1</f>
        <v>1</v>
      </c>
      <c r="K950">
        <f>1</f>
        <v>1</v>
      </c>
      <c r="L950">
        <v>0</v>
      </c>
      <c r="M950">
        <f t="shared" ca="1" si="29"/>
        <v>0.44877677916177716</v>
      </c>
      <c r="N950">
        <v>0</v>
      </c>
      <c r="O950">
        <v>0</v>
      </c>
      <c r="P950">
        <v>0</v>
      </c>
    </row>
    <row r="951" spans="1:16" x14ac:dyDescent="0.3">
      <c r="A951" t="s">
        <v>1063</v>
      </c>
      <c r="B951" t="s">
        <v>62</v>
      </c>
      <c r="C951">
        <f ca="1">IF(RAND()&lt;0.8,F_Baseline_data!C951,IF(RAND()&lt;0.85,F_Baseline_data!C951+1,IF(F_Baseline_data!C951&gt;3,C951-1,F_Baseline_data!C951)))</f>
        <v>6</v>
      </c>
      <c r="D951">
        <f ca="1">MAX(5000,ROUND(F_Baseline_data!D951*(1+_xlfn.NORM.INV(RAND(),0.12,0.1)),-2))</f>
        <v>81500</v>
      </c>
      <c r="E951" t="str">
        <f ca="1">IF(I951=1,IF(RAND()&lt;0.95,"Piped Water",F_Baseline_data!E951),F_Baseline_data!E951)</f>
        <v>Piped Water</v>
      </c>
      <c r="F951">
        <f t="shared" ca="1" si="28"/>
        <v>0</v>
      </c>
      <c r="G951">
        <v>7.8</v>
      </c>
      <c r="H951">
        <f ca="1">MAX(0,ROUND(F_Baseline_data!H951+(F_Baseline_data!C951-5)*200+(D951-30000)*0.015+(F951-50)*15-IF(I951=1,1200,0)+_xlfn.NORM.INV(RAND(),0,2500),-2))</f>
        <v>8400</v>
      </c>
      <c r="I951">
        <v>1</v>
      </c>
      <c r="J951">
        <f>1</f>
        <v>1</v>
      </c>
      <c r="K951">
        <f>1</f>
        <v>1</v>
      </c>
      <c r="L951">
        <v>0</v>
      </c>
      <c r="M951">
        <f t="shared" ca="1" si="29"/>
        <v>0.15615528222256891</v>
      </c>
      <c r="N951">
        <v>0</v>
      </c>
      <c r="O951">
        <v>0</v>
      </c>
      <c r="P951">
        <v>0</v>
      </c>
    </row>
    <row r="952" spans="1:16" x14ac:dyDescent="0.3">
      <c r="A952" t="s">
        <v>1064</v>
      </c>
      <c r="B952" t="s">
        <v>65</v>
      </c>
      <c r="C952">
        <f ca="1">IF(RAND()&lt;0.8,F_Baseline_data!C952,IF(RAND()&lt;0.85,F_Baseline_data!C952+1,IF(F_Baseline_data!C952&gt;3,C952-1,F_Baseline_data!C952)))</f>
        <v>9</v>
      </c>
      <c r="D952">
        <f ca="1">MAX(5000,ROUND(F_Baseline_data!D952*(1+_xlfn.NORM.INV(RAND(),0.12,0.1)),-2))</f>
        <v>32400</v>
      </c>
      <c r="E952" t="str">
        <f ca="1">IF(I952=1,IF(RAND()&lt;0.95,"Piped Water",F_Baseline_data!E952),F_Baseline_data!E952)</f>
        <v>Piped Water</v>
      </c>
      <c r="F952">
        <f t="shared" ca="1" si="28"/>
        <v>2</v>
      </c>
      <c r="G952">
        <v>6.3</v>
      </c>
      <c r="H952">
        <f ca="1">MAX(0,ROUND(F_Baseline_data!H952+(F_Baseline_data!C952-5)*200+(D952-30000)*0.015+(F952-50)*15-IF(I952=1,1200,0)+_xlfn.NORM.INV(RAND(),0,2500),-2))</f>
        <v>0</v>
      </c>
      <c r="I952">
        <v>1</v>
      </c>
      <c r="J952">
        <f>1</f>
        <v>1</v>
      </c>
      <c r="K952">
        <f>1</f>
        <v>1</v>
      </c>
      <c r="L952">
        <v>0</v>
      </c>
      <c r="M952">
        <f t="shared" ca="1" si="29"/>
        <v>0.91308833744716877</v>
      </c>
      <c r="N952">
        <v>0</v>
      </c>
      <c r="O952">
        <v>0</v>
      </c>
      <c r="P952">
        <v>0</v>
      </c>
    </row>
    <row r="953" spans="1:16" x14ac:dyDescent="0.3">
      <c r="A953" t="s">
        <v>1065</v>
      </c>
      <c r="B953" t="s">
        <v>65</v>
      </c>
      <c r="C953">
        <f ca="1">IF(RAND()&lt;0.8,F_Baseline_data!C953,IF(RAND()&lt;0.85,F_Baseline_data!C953+1,IF(F_Baseline_data!C953&gt;3,C953-1,F_Baseline_data!C953)))</f>
        <v>7</v>
      </c>
      <c r="D953">
        <f ca="1">MAX(5000,ROUND(F_Baseline_data!D953*(1+_xlfn.NORM.INV(RAND(),0.12,0.1)),-2))</f>
        <v>48400</v>
      </c>
      <c r="E953" t="str">
        <f ca="1">IF(I953=1,IF(RAND()&lt;0.95,"Piped Water",F_Baseline_data!E953),F_Baseline_data!E953)</f>
        <v>Piped Water</v>
      </c>
      <c r="F953">
        <f t="shared" ca="1" si="28"/>
        <v>8</v>
      </c>
      <c r="G953">
        <v>2.7</v>
      </c>
      <c r="H953">
        <f ca="1">MAX(0,ROUND(F_Baseline_data!H953+(F_Baseline_data!C953-5)*200+(D953-30000)*0.015+(F953-50)*15-IF(I953=1,1200,0)+_xlfn.NORM.INV(RAND(),0,2500),-2))</f>
        <v>5100</v>
      </c>
      <c r="I953">
        <v>1</v>
      </c>
      <c r="J953">
        <f>1</f>
        <v>1</v>
      </c>
      <c r="K953">
        <f>1</f>
        <v>1</v>
      </c>
      <c r="L953">
        <v>0</v>
      </c>
      <c r="M953">
        <f t="shared" ca="1" si="29"/>
        <v>0.83312001998456231</v>
      </c>
      <c r="N953">
        <v>0</v>
      </c>
      <c r="O953">
        <v>0</v>
      </c>
      <c r="P953">
        <v>0</v>
      </c>
    </row>
    <row r="954" spans="1:16" x14ac:dyDescent="0.3">
      <c r="A954" t="s">
        <v>1066</v>
      </c>
      <c r="B954" t="s">
        <v>65</v>
      </c>
      <c r="C954">
        <f ca="1">IF(RAND()&lt;0.8,F_Baseline_data!C954,IF(RAND()&lt;0.85,F_Baseline_data!C954+1,IF(F_Baseline_data!C954&gt;3,C954-1,F_Baseline_data!C954)))</f>
        <v>5</v>
      </c>
      <c r="D954">
        <f ca="1">MAX(5000,ROUND(F_Baseline_data!D954*(1+_xlfn.NORM.INV(RAND(),0.12,0.1)),-2))</f>
        <v>80900</v>
      </c>
      <c r="E954" t="str">
        <f ca="1">IF(I954=1,IF(RAND()&lt;0.95,"Piped Water",F_Baseline_data!E954),F_Baseline_data!E954)</f>
        <v>Piped Water</v>
      </c>
      <c r="F954">
        <f t="shared" ca="1" si="28"/>
        <v>7</v>
      </c>
      <c r="G954">
        <v>8.9</v>
      </c>
      <c r="H954">
        <f ca="1">MAX(0,ROUND(F_Baseline_data!H954+(F_Baseline_data!C954-5)*200+(D954-30000)*0.015+(F954-50)*15-IF(I954=1,1200,0)+_xlfn.NORM.INV(RAND(),0,2500),-2))</f>
        <v>8100</v>
      </c>
      <c r="I954">
        <v>1</v>
      </c>
      <c r="J954">
        <f>1</f>
        <v>1</v>
      </c>
      <c r="K954">
        <f>1</f>
        <v>1</v>
      </c>
      <c r="L954">
        <v>0</v>
      </c>
      <c r="M954">
        <f t="shared" ca="1" si="29"/>
        <v>0.45821242295913134</v>
      </c>
      <c r="N954">
        <v>0</v>
      </c>
      <c r="O954">
        <v>0</v>
      </c>
      <c r="P954">
        <v>0</v>
      </c>
    </row>
    <row r="955" spans="1:16" x14ac:dyDescent="0.3">
      <c r="A955" t="s">
        <v>1067</v>
      </c>
      <c r="B955" t="s">
        <v>64</v>
      </c>
      <c r="C955">
        <f ca="1">IF(RAND()&lt;0.8,F_Baseline_data!C955,IF(RAND()&lt;0.85,F_Baseline_data!C955+1,IF(F_Baseline_data!C955&gt;3,C955-1,F_Baseline_data!C955)))</f>
        <v>3</v>
      </c>
      <c r="D955">
        <f ca="1">MAX(5000,ROUND(F_Baseline_data!D955*(1+_xlfn.NORM.INV(RAND(),0.12,0.1)),-2))</f>
        <v>10600</v>
      </c>
      <c r="E955" t="str">
        <f ca="1">IF(I955=1,IF(RAND()&lt;0.95,"Piped Water",F_Baseline_data!E955),F_Baseline_data!E955)</f>
        <v>Piped Water</v>
      </c>
      <c r="F955">
        <f t="shared" ca="1" si="28"/>
        <v>4</v>
      </c>
      <c r="G955">
        <v>5.7</v>
      </c>
      <c r="H955">
        <f ca="1">MAX(0,ROUND(F_Baseline_data!H955+(F_Baseline_data!C955-5)*200+(D955-30000)*0.015+(F955-50)*15-IF(I955=1,1200,0)+_xlfn.NORM.INV(RAND(),0,2500),-2))</f>
        <v>2600</v>
      </c>
      <c r="I955">
        <v>1</v>
      </c>
      <c r="J955">
        <f>1</f>
        <v>1</v>
      </c>
      <c r="K955">
        <f>1</f>
        <v>1</v>
      </c>
      <c r="L955">
        <v>0</v>
      </c>
      <c r="M955">
        <f t="shared" ca="1" si="29"/>
        <v>0.83678239220749551</v>
      </c>
      <c r="N955">
        <v>0</v>
      </c>
      <c r="O955">
        <v>0</v>
      </c>
      <c r="P955">
        <v>0</v>
      </c>
    </row>
    <row r="956" spans="1:16" x14ac:dyDescent="0.3">
      <c r="A956" t="s">
        <v>1068</v>
      </c>
      <c r="B956" t="s">
        <v>64</v>
      </c>
      <c r="C956">
        <f ca="1">IF(RAND()&lt;0.8,F_Baseline_data!C956,IF(RAND()&lt;0.85,F_Baseline_data!C956+1,IF(F_Baseline_data!C956&gt;3,C956-1,F_Baseline_data!C956)))</f>
        <v>6</v>
      </c>
      <c r="D956">
        <f ca="1">MAX(5000,ROUND(F_Baseline_data!D956*(1+_xlfn.NORM.INV(RAND(),0.12,0.1)),-2))</f>
        <v>35300</v>
      </c>
      <c r="E956" t="str">
        <f ca="1">IF(I956=1,IF(RAND()&lt;0.95,"Piped Water",F_Baseline_data!E956),F_Baseline_data!E956)</f>
        <v>Piped Water</v>
      </c>
      <c r="F956">
        <f t="shared" ca="1" si="28"/>
        <v>0</v>
      </c>
      <c r="G956">
        <v>10.8</v>
      </c>
      <c r="H956">
        <f ca="1">MAX(0,ROUND(F_Baseline_data!H956+(F_Baseline_data!C956-5)*200+(D956-30000)*0.015+(F956-50)*15-IF(I956=1,1200,0)+_xlfn.NORM.INV(RAND(),0,2500),-2))</f>
        <v>0</v>
      </c>
      <c r="I956">
        <v>1</v>
      </c>
      <c r="J956">
        <f>1</f>
        <v>1</v>
      </c>
      <c r="K956">
        <f>1</f>
        <v>1</v>
      </c>
      <c r="L956">
        <v>0</v>
      </c>
      <c r="M956">
        <f t="shared" ca="1" si="29"/>
        <v>0.84113322864716156</v>
      </c>
      <c r="N956">
        <v>0</v>
      </c>
      <c r="O956">
        <v>0</v>
      </c>
      <c r="P956">
        <v>0</v>
      </c>
    </row>
    <row r="957" spans="1:16" x14ac:dyDescent="0.3">
      <c r="A957" t="s">
        <v>1069</v>
      </c>
      <c r="B957" t="s">
        <v>62</v>
      </c>
      <c r="C957">
        <f ca="1">IF(RAND()&lt;0.8,F_Baseline_data!C957,IF(RAND()&lt;0.85,F_Baseline_data!C957+1,IF(F_Baseline_data!C957&gt;3,C957-1,F_Baseline_data!C957)))</f>
        <v>8</v>
      </c>
      <c r="D957">
        <f ca="1">MAX(5000,ROUND(F_Baseline_data!D957*(1+_xlfn.NORM.INV(RAND(),0.12,0.1)),-2))</f>
        <v>61100</v>
      </c>
      <c r="E957" t="str">
        <f ca="1">IF(I957=1,IF(RAND()&lt;0.95,"Piped Water",F_Baseline_data!E957),F_Baseline_data!E957)</f>
        <v>Piped Water</v>
      </c>
      <c r="F957">
        <f t="shared" ca="1" si="28"/>
        <v>4</v>
      </c>
      <c r="G957">
        <v>1.1000000000000001</v>
      </c>
      <c r="H957">
        <f ca="1">MAX(0,ROUND(F_Baseline_data!H957+(F_Baseline_data!C957-5)*200+(D957-30000)*0.015+(F957-50)*15-IF(I957=1,1200,0)+_xlfn.NORM.INV(RAND(),0,2500),-2))</f>
        <v>6200</v>
      </c>
      <c r="I957">
        <v>1</v>
      </c>
      <c r="J957">
        <f>1</f>
        <v>1</v>
      </c>
      <c r="K957">
        <f>1</f>
        <v>1</v>
      </c>
      <c r="L957">
        <v>0</v>
      </c>
      <c r="M957">
        <f t="shared" ca="1" si="29"/>
        <v>0.48799664006100152</v>
      </c>
      <c r="N957">
        <v>0</v>
      </c>
      <c r="O957">
        <v>0</v>
      </c>
      <c r="P957">
        <v>0</v>
      </c>
    </row>
    <row r="958" spans="1:16" x14ac:dyDescent="0.3">
      <c r="A958" t="s">
        <v>1070</v>
      </c>
      <c r="B958" t="s">
        <v>513</v>
      </c>
      <c r="C958">
        <f ca="1">IF(RAND()&lt;0.8,F_Baseline_data!C958,IF(RAND()&lt;0.85,F_Baseline_data!C958+1,IF(F_Baseline_data!C958&gt;3,C958-1,F_Baseline_data!C958)))</f>
        <v>7</v>
      </c>
      <c r="D958">
        <f ca="1">MAX(5000,ROUND(F_Baseline_data!D958*(1+_xlfn.NORM.INV(RAND(),0.12,0.1)),-2))</f>
        <v>31800</v>
      </c>
      <c r="E958" t="str">
        <f ca="1">IF(I958=1,IF(RAND()&lt;0.95,"Piped Water",F_Baseline_data!E958),F_Baseline_data!E958)</f>
        <v>Piped Water</v>
      </c>
      <c r="F958">
        <f t="shared" ca="1" si="28"/>
        <v>6</v>
      </c>
      <c r="G958">
        <v>10.7</v>
      </c>
      <c r="H958">
        <f ca="1">MAX(0,ROUND(F_Baseline_data!H958+(F_Baseline_data!C958-5)*200+(D958-30000)*0.015+(F958-50)*15-IF(I958=1,1200,0)+_xlfn.NORM.INV(RAND(),0,2500),-2))</f>
        <v>9100</v>
      </c>
      <c r="I958">
        <v>1</v>
      </c>
      <c r="J958">
        <f>1</f>
        <v>1</v>
      </c>
      <c r="K958">
        <f>1</f>
        <v>1</v>
      </c>
      <c r="L958">
        <v>0</v>
      </c>
      <c r="M958">
        <f t="shared" ca="1" si="29"/>
        <v>0.77024788139846101</v>
      </c>
      <c r="N958">
        <v>0</v>
      </c>
      <c r="O958">
        <v>0</v>
      </c>
      <c r="P958">
        <v>0</v>
      </c>
    </row>
    <row r="959" spans="1:16" x14ac:dyDescent="0.3">
      <c r="A959" t="s">
        <v>1071</v>
      </c>
      <c r="B959" t="s">
        <v>65</v>
      </c>
      <c r="C959">
        <f ca="1">IF(RAND()&lt;0.8,F_Baseline_data!C959,IF(RAND()&lt;0.85,F_Baseline_data!C959+1,IF(F_Baseline_data!C959&gt;3,C959-1,F_Baseline_data!C959)))</f>
        <v>7</v>
      </c>
      <c r="D959">
        <f ca="1">MAX(5000,ROUND(F_Baseline_data!D959*(1+_xlfn.NORM.INV(RAND(),0.12,0.1)),-2))</f>
        <v>68900</v>
      </c>
      <c r="E959" t="str">
        <f ca="1">IF(I959=1,IF(RAND()&lt;0.95,"Piped Water",F_Baseline_data!E959),F_Baseline_data!E959)</f>
        <v>Piped Water</v>
      </c>
      <c r="F959">
        <f t="shared" ca="1" si="28"/>
        <v>4</v>
      </c>
      <c r="G959">
        <v>3.3</v>
      </c>
      <c r="H959">
        <f ca="1">MAX(0,ROUND(F_Baseline_data!H959+(F_Baseline_data!C959-5)*200+(D959-30000)*0.015+(F959-50)*15-IF(I959=1,1200,0)+_xlfn.NORM.INV(RAND(),0,2500),-2))</f>
        <v>3900</v>
      </c>
      <c r="I959">
        <v>1</v>
      </c>
      <c r="J959">
        <f>1</f>
        <v>1</v>
      </c>
      <c r="K959">
        <f>1</f>
        <v>1</v>
      </c>
      <c r="L959">
        <v>0</v>
      </c>
      <c r="M959">
        <f t="shared" ca="1" si="29"/>
        <v>0.87864373824120068</v>
      </c>
      <c r="N959">
        <v>0</v>
      </c>
      <c r="O959">
        <v>0</v>
      </c>
      <c r="P959">
        <v>0</v>
      </c>
    </row>
    <row r="960" spans="1:16" x14ac:dyDescent="0.3">
      <c r="A960" t="s">
        <v>1072</v>
      </c>
      <c r="B960" t="s">
        <v>513</v>
      </c>
      <c r="C960">
        <f ca="1">IF(RAND()&lt;0.8,F_Baseline_data!C960,IF(RAND()&lt;0.85,F_Baseline_data!C960+1,IF(F_Baseline_data!C960&gt;3,C960-1,F_Baseline_data!C960)))</f>
        <v>1</v>
      </c>
      <c r="D960">
        <f ca="1">MAX(5000,ROUND(F_Baseline_data!D960*(1+_xlfn.NORM.INV(RAND(),0.12,0.1)),-2))</f>
        <v>40900</v>
      </c>
      <c r="E960" t="str">
        <f ca="1">IF(I960=1,IF(RAND()&lt;0.95,"Piped Water",F_Baseline_data!E960),F_Baseline_data!E960)</f>
        <v>Piped Water</v>
      </c>
      <c r="F960">
        <f t="shared" ca="1" si="28"/>
        <v>5</v>
      </c>
      <c r="G960">
        <v>14</v>
      </c>
      <c r="H960">
        <f ca="1">MAX(0,ROUND(F_Baseline_data!H960+(F_Baseline_data!C960-5)*200+(D960-30000)*0.015+(F960-50)*15-IF(I960=1,1200,0)+_xlfn.NORM.INV(RAND(),0,2500),-2))</f>
        <v>9300</v>
      </c>
      <c r="I960">
        <v>1</v>
      </c>
      <c r="J960">
        <f>1</f>
        <v>1</v>
      </c>
      <c r="K960">
        <f>1</f>
        <v>1</v>
      </c>
      <c r="L960">
        <v>0</v>
      </c>
      <c r="M960">
        <f t="shared" ca="1" si="29"/>
        <v>0.83600997031271018</v>
      </c>
      <c r="N960">
        <v>0</v>
      </c>
      <c r="O960">
        <v>0</v>
      </c>
      <c r="P960">
        <v>0</v>
      </c>
    </row>
    <row r="961" spans="1:16" x14ac:dyDescent="0.3">
      <c r="A961" t="s">
        <v>1073</v>
      </c>
      <c r="B961" t="s">
        <v>513</v>
      </c>
      <c r="C961">
        <f ca="1">IF(RAND()&lt;0.8,F_Baseline_data!C961,IF(RAND()&lt;0.85,F_Baseline_data!C961+1,IF(F_Baseline_data!C961&gt;3,C961-1,F_Baseline_data!C961)))</f>
        <v>6</v>
      </c>
      <c r="D961">
        <f ca="1">MAX(5000,ROUND(F_Baseline_data!D961*(1+_xlfn.NORM.INV(RAND(),0.12,0.1)),-2))</f>
        <v>73000</v>
      </c>
      <c r="E961" t="str">
        <f ca="1">IF(I961=1,IF(RAND()&lt;0.95,"Piped Water",F_Baseline_data!E961),F_Baseline_data!E961)</f>
        <v>Piped Water</v>
      </c>
      <c r="F961">
        <f t="shared" ca="1" si="28"/>
        <v>1</v>
      </c>
      <c r="G961">
        <v>10.8</v>
      </c>
      <c r="H961">
        <f ca="1">MAX(0,ROUND(F_Baseline_data!H961+(F_Baseline_data!C961-5)*200+(D961-30000)*0.015+(F961-50)*15-IF(I961=1,1200,0)+_xlfn.NORM.INV(RAND(),0,2500),-2))</f>
        <v>5100</v>
      </c>
      <c r="I961">
        <v>1</v>
      </c>
      <c r="J961">
        <f>1</f>
        <v>1</v>
      </c>
      <c r="K961">
        <f>1</f>
        <v>1</v>
      </c>
      <c r="L961">
        <v>0</v>
      </c>
      <c r="M961">
        <f t="shared" ca="1" si="29"/>
        <v>0.11143928295809746</v>
      </c>
      <c r="N961">
        <v>0</v>
      </c>
      <c r="O961">
        <v>0</v>
      </c>
      <c r="P961">
        <v>0</v>
      </c>
    </row>
    <row r="962" spans="1:16" x14ac:dyDescent="0.3">
      <c r="A962" t="s">
        <v>1074</v>
      </c>
      <c r="B962" t="s">
        <v>65</v>
      </c>
      <c r="C962">
        <f ca="1">IF(RAND()&lt;0.8,F_Baseline_data!C962,IF(RAND()&lt;0.85,F_Baseline_data!C962+1,IF(F_Baseline_data!C962&gt;3,C962-1,F_Baseline_data!C962)))</f>
        <v>10</v>
      </c>
      <c r="D962">
        <f ca="1">MAX(5000,ROUND(F_Baseline_data!D962*(1+_xlfn.NORM.INV(RAND(),0.12,0.1)),-2))</f>
        <v>45000</v>
      </c>
      <c r="E962" t="str">
        <f ca="1">IF(I962=1,IF(RAND()&lt;0.95,"Piped Water",F_Baseline_data!E962),F_Baseline_data!E962)</f>
        <v>Piped Water</v>
      </c>
      <c r="F962">
        <f t="shared" ref="F962:F1025" ca="1" si="30">IF(E962="Piped Water",RANDBETWEEN(0,10),IF(E962="River",RANDBETWEEN(45,120),IF(E962="Rainwater",RANDBETWEEN(15,70),IF(E962="Borehole",RANDBETWEEN(20,75),RANDBETWEEN(10,60)))))</f>
        <v>1</v>
      </c>
      <c r="G962">
        <v>3.4</v>
      </c>
      <c r="H962">
        <f ca="1">MAX(0,ROUND(F_Baseline_data!H962+(F_Baseline_data!C962-5)*200+(D962-30000)*0.015+(F962-50)*15-IF(I962=1,1200,0)+_xlfn.NORM.INV(RAND(),0,2500),-2))</f>
        <v>16300</v>
      </c>
      <c r="I962">
        <v>1</v>
      </c>
      <c r="J962">
        <f>1</f>
        <v>1</v>
      </c>
      <c r="K962">
        <f>1</f>
        <v>1</v>
      </c>
      <c r="L962">
        <v>0</v>
      </c>
      <c r="M962">
        <f t="shared" ref="M962:M1025" ca="1" si="31">RAND()</f>
        <v>5.2578608400836835E-2</v>
      </c>
      <c r="N962">
        <v>0</v>
      </c>
      <c r="O962">
        <v>0</v>
      </c>
      <c r="P962">
        <v>0</v>
      </c>
    </row>
    <row r="963" spans="1:16" x14ac:dyDescent="0.3">
      <c r="A963" t="s">
        <v>1075</v>
      </c>
      <c r="B963" t="s">
        <v>513</v>
      </c>
      <c r="C963">
        <f ca="1">IF(RAND()&lt;0.8,F_Baseline_data!C963,IF(RAND()&lt;0.85,F_Baseline_data!C963+1,IF(F_Baseline_data!C963&gt;3,C963-1,F_Baseline_data!C963)))</f>
        <v>8</v>
      </c>
      <c r="D963">
        <f ca="1">MAX(5000,ROUND(F_Baseline_data!D963*(1+_xlfn.NORM.INV(RAND(),0.12,0.1)),-2))</f>
        <v>23500</v>
      </c>
      <c r="E963" t="str">
        <f ca="1">IF(I963=1,IF(RAND()&lt;0.95,"Piped Water",F_Baseline_data!E963),F_Baseline_data!E963)</f>
        <v>Piped Water</v>
      </c>
      <c r="F963">
        <f t="shared" ca="1" si="30"/>
        <v>6</v>
      </c>
      <c r="G963">
        <v>14</v>
      </c>
      <c r="H963">
        <f ca="1">MAX(0,ROUND(F_Baseline_data!H963+(F_Baseline_data!C963-5)*200+(D963-30000)*0.015+(F963-50)*15-IF(I963=1,1200,0)+_xlfn.NORM.INV(RAND(),0,2500),-2))</f>
        <v>0</v>
      </c>
      <c r="I963">
        <v>1</v>
      </c>
      <c r="J963">
        <f>1</f>
        <v>1</v>
      </c>
      <c r="K963">
        <f>1</f>
        <v>1</v>
      </c>
      <c r="L963">
        <v>0</v>
      </c>
      <c r="M963">
        <f t="shared" ca="1" si="31"/>
        <v>0.19830332421062136</v>
      </c>
      <c r="N963">
        <v>0</v>
      </c>
      <c r="O963">
        <v>0</v>
      </c>
      <c r="P963">
        <v>0</v>
      </c>
    </row>
    <row r="964" spans="1:16" x14ac:dyDescent="0.3">
      <c r="A964" t="s">
        <v>1076</v>
      </c>
      <c r="B964" t="s">
        <v>64</v>
      </c>
      <c r="C964">
        <f ca="1">IF(RAND()&lt;0.8,F_Baseline_data!C964,IF(RAND()&lt;0.85,F_Baseline_data!C964+1,IF(F_Baseline_data!C964&gt;3,C964-1,F_Baseline_data!C964)))</f>
        <v>2</v>
      </c>
      <c r="D964">
        <f ca="1">MAX(5000,ROUND(F_Baseline_data!D964*(1+_xlfn.NORM.INV(RAND(),0.12,0.1)),-2))</f>
        <v>38600</v>
      </c>
      <c r="E964" t="str">
        <f ca="1">IF(I964=1,IF(RAND()&lt;0.95,"Piped Water",F_Baseline_data!E964),F_Baseline_data!E964)</f>
        <v>Piped Water</v>
      </c>
      <c r="F964">
        <f t="shared" ca="1" si="30"/>
        <v>2</v>
      </c>
      <c r="G964">
        <v>3.1</v>
      </c>
      <c r="H964">
        <f ca="1">MAX(0,ROUND(F_Baseline_data!H964+(F_Baseline_data!C964-5)*200+(D964-30000)*0.015+(F964-50)*15-IF(I964=1,1200,0)+_xlfn.NORM.INV(RAND(),0,2500),-2))</f>
        <v>0</v>
      </c>
      <c r="I964">
        <v>1</v>
      </c>
      <c r="J964">
        <f>1</f>
        <v>1</v>
      </c>
      <c r="K964">
        <f>1</f>
        <v>1</v>
      </c>
      <c r="L964">
        <v>0</v>
      </c>
      <c r="M964">
        <f t="shared" ca="1" si="31"/>
        <v>0.57199739824454843</v>
      </c>
      <c r="N964">
        <v>0</v>
      </c>
      <c r="O964">
        <v>0</v>
      </c>
      <c r="P964">
        <v>0</v>
      </c>
    </row>
    <row r="965" spans="1:16" x14ac:dyDescent="0.3">
      <c r="A965" t="s">
        <v>1077</v>
      </c>
      <c r="B965" t="s">
        <v>62</v>
      </c>
      <c r="C965">
        <f ca="1">IF(RAND()&lt;0.8,F_Baseline_data!C965,IF(RAND()&lt;0.85,F_Baseline_data!C965+1,IF(F_Baseline_data!C965&gt;3,C965-1,F_Baseline_data!C965)))</f>
        <v>9</v>
      </c>
      <c r="D965">
        <f ca="1">MAX(5000,ROUND(F_Baseline_data!D965*(1+_xlfn.NORM.INV(RAND(),0.12,0.1)),-2))</f>
        <v>34200</v>
      </c>
      <c r="E965" t="str">
        <f ca="1">IF(I965=1,IF(RAND()&lt;0.95,"Piped Water",F_Baseline_data!E965),F_Baseline_data!E965)</f>
        <v>Piped Water</v>
      </c>
      <c r="F965">
        <f t="shared" ca="1" si="30"/>
        <v>4</v>
      </c>
      <c r="G965">
        <v>1.1000000000000001</v>
      </c>
      <c r="H965">
        <f ca="1">MAX(0,ROUND(F_Baseline_data!H965+(F_Baseline_data!C965-5)*200+(D965-30000)*0.015+(F965-50)*15-IF(I965=1,1200,0)+_xlfn.NORM.INV(RAND(),0,2500),-2))</f>
        <v>2900</v>
      </c>
      <c r="I965">
        <v>1</v>
      </c>
      <c r="J965">
        <f>1</f>
        <v>1</v>
      </c>
      <c r="K965">
        <f>1</f>
        <v>1</v>
      </c>
      <c r="L965">
        <v>0</v>
      </c>
      <c r="M965">
        <f t="shared" ca="1" si="31"/>
        <v>0.323561219672586</v>
      </c>
      <c r="N965">
        <v>0</v>
      </c>
      <c r="O965">
        <v>0</v>
      </c>
      <c r="P965">
        <v>0</v>
      </c>
    </row>
    <row r="966" spans="1:16" x14ac:dyDescent="0.3">
      <c r="A966" t="s">
        <v>1078</v>
      </c>
      <c r="B966" t="s">
        <v>513</v>
      </c>
      <c r="C966">
        <f ca="1">IF(RAND()&lt;0.8,F_Baseline_data!C966,IF(RAND()&lt;0.85,F_Baseline_data!C966+1,IF(F_Baseline_data!C966&gt;3,C966-1,F_Baseline_data!C966)))</f>
        <v>10</v>
      </c>
      <c r="D966">
        <f ca="1">MAX(5000,ROUND(F_Baseline_data!D966*(1+_xlfn.NORM.INV(RAND(),0.12,0.1)),-2))</f>
        <v>116900</v>
      </c>
      <c r="E966" t="str">
        <f ca="1">IF(I966=1,IF(RAND()&lt;0.95,"Piped Water",F_Baseline_data!E966),F_Baseline_data!E966)</f>
        <v>Piped Water</v>
      </c>
      <c r="F966">
        <f t="shared" ca="1" si="30"/>
        <v>9</v>
      </c>
      <c r="G966">
        <v>7.9</v>
      </c>
      <c r="H966">
        <f ca="1">MAX(0,ROUND(F_Baseline_data!H966+(F_Baseline_data!C966-5)*200+(D966-30000)*0.015+(F966-50)*15-IF(I966=1,1200,0)+_xlfn.NORM.INV(RAND(),0,2500),-2))</f>
        <v>13400</v>
      </c>
      <c r="I966">
        <v>1</v>
      </c>
      <c r="J966">
        <f>1</f>
        <v>1</v>
      </c>
      <c r="K966">
        <f>1</f>
        <v>1</v>
      </c>
      <c r="L966">
        <v>0</v>
      </c>
      <c r="M966">
        <f t="shared" ca="1" si="31"/>
        <v>0.63777827424730482</v>
      </c>
      <c r="N966">
        <v>0</v>
      </c>
      <c r="O966">
        <v>0</v>
      </c>
      <c r="P966">
        <v>0</v>
      </c>
    </row>
    <row r="967" spans="1:16" x14ac:dyDescent="0.3">
      <c r="A967" t="s">
        <v>1079</v>
      </c>
      <c r="B967" t="s">
        <v>62</v>
      </c>
      <c r="C967">
        <f ca="1">IF(RAND()&lt;0.8,F_Baseline_data!C967,IF(RAND()&lt;0.85,F_Baseline_data!C967+1,IF(F_Baseline_data!C967&gt;3,C967-1,F_Baseline_data!C967)))</f>
        <v>9</v>
      </c>
      <c r="D967">
        <f ca="1">MAX(5000,ROUND(F_Baseline_data!D967*(1+_xlfn.NORM.INV(RAND(),0.12,0.1)),-2))</f>
        <v>58700</v>
      </c>
      <c r="E967" t="str">
        <f ca="1">IF(I967=1,IF(RAND()&lt;0.95,"Piped Water",F_Baseline_data!E967),F_Baseline_data!E967)</f>
        <v>Piped Water</v>
      </c>
      <c r="F967">
        <f t="shared" ca="1" si="30"/>
        <v>10</v>
      </c>
      <c r="G967">
        <v>8.4</v>
      </c>
      <c r="H967">
        <f ca="1">MAX(0,ROUND(F_Baseline_data!H967+(F_Baseline_data!C967-5)*200+(D967-30000)*0.015+(F967-50)*15-IF(I967=1,1200,0)+_xlfn.NORM.INV(RAND(),0,2500),-2))</f>
        <v>14100</v>
      </c>
      <c r="I967">
        <v>1</v>
      </c>
      <c r="J967">
        <f>1</f>
        <v>1</v>
      </c>
      <c r="K967">
        <f>1</f>
        <v>1</v>
      </c>
      <c r="L967">
        <v>0</v>
      </c>
      <c r="M967">
        <f t="shared" ca="1" si="31"/>
        <v>0.81507649821921391</v>
      </c>
      <c r="N967">
        <v>0</v>
      </c>
      <c r="O967">
        <v>0</v>
      </c>
      <c r="P967">
        <v>0</v>
      </c>
    </row>
    <row r="968" spans="1:16" x14ac:dyDescent="0.3">
      <c r="A968" t="s">
        <v>1080</v>
      </c>
      <c r="B968" t="s">
        <v>65</v>
      </c>
      <c r="C968">
        <f ca="1">IF(RAND()&lt;0.8,F_Baseline_data!C968,IF(RAND()&lt;0.85,F_Baseline_data!C968+1,IF(F_Baseline_data!C968&gt;3,C968-1,F_Baseline_data!C968)))</f>
        <v>6</v>
      </c>
      <c r="D968">
        <f ca="1">MAX(5000,ROUND(F_Baseline_data!D968*(1+_xlfn.NORM.INV(RAND(),0.12,0.1)),-2))</f>
        <v>68600</v>
      </c>
      <c r="E968" t="str">
        <f ca="1">IF(I968=1,IF(RAND()&lt;0.95,"Piped Water",F_Baseline_data!E968),F_Baseline_data!E968)</f>
        <v>Piped Water</v>
      </c>
      <c r="F968">
        <f t="shared" ca="1" si="30"/>
        <v>3</v>
      </c>
      <c r="G968">
        <v>8.6999999999999993</v>
      </c>
      <c r="H968">
        <f ca="1">MAX(0,ROUND(F_Baseline_data!H968+(F_Baseline_data!C968-5)*200+(D968-30000)*0.015+(F968-50)*15-IF(I968=1,1200,0)+_xlfn.NORM.INV(RAND(),0,2500),-2))</f>
        <v>6900</v>
      </c>
      <c r="I968">
        <v>1</v>
      </c>
      <c r="J968">
        <f>1</f>
        <v>1</v>
      </c>
      <c r="K968">
        <f>1</f>
        <v>1</v>
      </c>
      <c r="L968">
        <v>0</v>
      </c>
      <c r="M968">
        <f t="shared" ca="1" si="31"/>
        <v>0.18525613794220497</v>
      </c>
      <c r="N968">
        <v>0</v>
      </c>
      <c r="O968">
        <v>0</v>
      </c>
      <c r="P968">
        <v>0</v>
      </c>
    </row>
    <row r="969" spans="1:16" x14ac:dyDescent="0.3">
      <c r="A969" t="s">
        <v>1081</v>
      </c>
      <c r="B969" t="s">
        <v>62</v>
      </c>
      <c r="C969">
        <f ca="1">IF(RAND()&lt;0.8,F_Baseline_data!C969,IF(RAND()&lt;0.85,F_Baseline_data!C969+1,IF(F_Baseline_data!C969&gt;3,C969-1,F_Baseline_data!C969)))</f>
        <v>4</v>
      </c>
      <c r="D969">
        <f ca="1">MAX(5000,ROUND(F_Baseline_data!D969*(1+_xlfn.NORM.INV(RAND(),0.12,0.1)),-2))</f>
        <v>21600</v>
      </c>
      <c r="E969" t="str">
        <f ca="1">IF(I969=1,IF(RAND()&lt;0.95,"Piped Water",F_Baseline_data!E969),F_Baseline_data!E969)</f>
        <v>Piped Water</v>
      </c>
      <c r="F969">
        <f t="shared" ca="1" si="30"/>
        <v>6</v>
      </c>
      <c r="G969">
        <v>3.7</v>
      </c>
      <c r="H969">
        <f ca="1">MAX(0,ROUND(F_Baseline_data!H969+(F_Baseline_data!C969-5)*200+(D969-30000)*0.015+(F969-50)*15-IF(I969=1,1200,0)+_xlfn.NORM.INV(RAND(),0,2500),-2))</f>
        <v>4900</v>
      </c>
      <c r="I969">
        <v>1</v>
      </c>
      <c r="J969">
        <f>1</f>
        <v>1</v>
      </c>
      <c r="K969">
        <f>1</f>
        <v>1</v>
      </c>
      <c r="L969">
        <v>0</v>
      </c>
      <c r="M969">
        <f t="shared" ca="1" si="31"/>
        <v>0.133714755924215</v>
      </c>
      <c r="N969">
        <v>0</v>
      </c>
      <c r="O969">
        <v>0</v>
      </c>
      <c r="P969">
        <v>0</v>
      </c>
    </row>
    <row r="970" spans="1:16" x14ac:dyDescent="0.3">
      <c r="A970" t="s">
        <v>1082</v>
      </c>
      <c r="B970" t="s">
        <v>64</v>
      </c>
      <c r="C970">
        <f ca="1">IF(RAND()&lt;0.8,F_Baseline_data!C970,IF(RAND()&lt;0.85,F_Baseline_data!C970+1,IF(F_Baseline_data!C970&gt;3,C970-1,F_Baseline_data!C970)))</f>
        <v>3</v>
      </c>
      <c r="D970">
        <f ca="1">MAX(5000,ROUND(F_Baseline_data!D970*(1+_xlfn.NORM.INV(RAND(),0.12,0.1)),-2))</f>
        <v>47800</v>
      </c>
      <c r="E970" t="str">
        <f ca="1">IF(I970=1,IF(RAND()&lt;0.95,"Piped Water",F_Baseline_data!E970),F_Baseline_data!E970)</f>
        <v>Piped Water</v>
      </c>
      <c r="F970">
        <f t="shared" ca="1" si="30"/>
        <v>10</v>
      </c>
      <c r="G970">
        <v>2.8</v>
      </c>
      <c r="H970">
        <f ca="1">MAX(0,ROUND(F_Baseline_data!H970+(F_Baseline_data!C970-5)*200+(D970-30000)*0.015+(F970-50)*15-IF(I970=1,1200,0)+_xlfn.NORM.INV(RAND(),0,2500),-2))</f>
        <v>0</v>
      </c>
      <c r="I970">
        <v>1</v>
      </c>
      <c r="J970">
        <f>1</f>
        <v>1</v>
      </c>
      <c r="K970">
        <f>1</f>
        <v>1</v>
      </c>
      <c r="L970">
        <v>0</v>
      </c>
      <c r="M970">
        <f t="shared" ca="1" si="31"/>
        <v>0.32177351873018989</v>
      </c>
      <c r="N970">
        <v>0</v>
      </c>
      <c r="O970">
        <v>0</v>
      </c>
      <c r="P970">
        <v>0</v>
      </c>
    </row>
    <row r="971" spans="1:16" x14ac:dyDescent="0.3">
      <c r="A971" t="s">
        <v>1083</v>
      </c>
      <c r="B971" t="s">
        <v>62</v>
      </c>
      <c r="C971">
        <f ca="1">IF(RAND()&lt;0.8,F_Baseline_data!C971,IF(RAND()&lt;0.85,F_Baseline_data!C971+1,IF(F_Baseline_data!C971&gt;3,C971-1,F_Baseline_data!C971)))</f>
        <v>6</v>
      </c>
      <c r="D971">
        <f ca="1">MAX(5000,ROUND(F_Baseline_data!D971*(1+_xlfn.NORM.INV(RAND(),0.12,0.1)),-2))</f>
        <v>94200</v>
      </c>
      <c r="E971" t="str">
        <f ca="1">IF(I971=1,IF(RAND()&lt;0.95,"Piped Water",F_Baseline_data!E971),F_Baseline_data!E971)</f>
        <v>Piped Water</v>
      </c>
      <c r="F971">
        <f t="shared" ca="1" si="30"/>
        <v>4</v>
      </c>
      <c r="G971">
        <v>5.8</v>
      </c>
      <c r="H971">
        <f ca="1">MAX(0,ROUND(F_Baseline_data!H971+(F_Baseline_data!C971-5)*200+(D971-30000)*0.015+(F971-50)*15-IF(I971=1,1200,0)+_xlfn.NORM.INV(RAND(),0,2500),-2))</f>
        <v>4600</v>
      </c>
      <c r="I971">
        <v>1</v>
      </c>
      <c r="J971">
        <f>1</f>
        <v>1</v>
      </c>
      <c r="K971">
        <f>1</f>
        <v>1</v>
      </c>
      <c r="L971">
        <v>0</v>
      </c>
      <c r="M971">
        <f t="shared" ca="1" si="31"/>
        <v>0.96609817986472568</v>
      </c>
      <c r="N971">
        <v>0</v>
      </c>
      <c r="O971">
        <v>0</v>
      </c>
      <c r="P971">
        <v>0</v>
      </c>
    </row>
    <row r="972" spans="1:16" x14ac:dyDescent="0.3">
      <c r="A972" t="s">
        <v>1084</v>
      </c>
      <c r="B972" t="s">
        <v>513</v>
      </c>
      <c r="C972">
        <f ca="1">IF(RAND()&lt;0.8,F_Baseline_data!C972,IF(RAND()&lt;0.85,F_Baseline_data!C972+1,IF(F_Baseline_data!C972&gt;3,C972-1,F_Baseline_data!C972)))</f>
        <v>5</v>
      </c>
      <c r="D972">
        <f ca="1">MAX(5000,ROUND(F_Baseline_data!D972*(1+_xlfn.NORM.INV(RAND(),0.12,0.1)),-2))</f>
        <v>100400</v>
      </c>
      <c r="E972" t="str">
        <f ca="1">IF(I972=1,IF(RAND()&lt;0.95,"Piped Water",F_Baseline_data!E972),F_Baseline_data!E972)</f>
        <v>Piped Water</v>
      </c>
      <c r="F972">
        <f t="shared" ca="1" si="30"/>
        <v>5</v>
      </c>
      <c r="G972">
        <v>13.7</v>
      </c>
      <c r="H972">
        <f ca="1">MAX(0,ROUND(F_Baseline_data!H972+(F_Baseline_data!C972-5)*200+(D972-30000)*0.015+(F972-50)*15-IF(I972=1,1200,0)+_xlfn.NORM.INV(RAND(),0,2500),-2))</f>
        <v>4200</v>
      </c>
      <c r="I972">
        <v>1</v>
      </c>
      <c r="J972">
        <f>1</f>
        <v>1</v>
      </c>
      <c r="K972">
        <f>1</f>
        <v>1</v>
      </c>
      <c r="L972">
        <v>0</v>
      </c>
      <c r="M972">
        <f t="shared" ca="1" si="31"/>
        <v>0.95707773592018819</v>
      </c>
      <c r="N972">
        <v>0</v>
      </c>
      <c r="O972">
        <v>0</v>
      </c>
      <c r="P972">
        <v>0</v>
      </c>
    </row>
    <row r="973" spans="1:16" x14ac:dyDescent="0.3">
      <c r="A973" t="s">
        <v>1085</v>
      </c>
      <c r="B973" t="s">
        <v>62</v>
      </c>
      <c r="C973">
        <f ca="1">IF(RAND()&lt;0.8,F_Baseline_data!C973,IF(RAND()&lt;0.85,F_Baseline_data!C973+1,IF(F_Baseline_data!C973&gt;3,C973-1,F_Baseline_data!C973)))</f>
        <v>7</v>
      </c>
      <c r="D973">
        <f ca="1">MAX(5000,ROUND(F_Baseline_data!D973*(1+_xlfn.NORM.INV(RAND(),0.12,0.1)),-2))</f>
        <v>25300</v>
      </c>
      <c r="E973" t="str">
        <f ca="1">IF(I973=1,IF(RAND()&lt;0.95,"Piped Water",F_Baseline_data!E973),F_Baseline_data!E973)</f>
        <v>Piped Water</v>
      </c>
      <c r="F973">
        <f t="shared" ca="1" si="30"/>
        <v>6</v>
      </c>
      <c r="G973">
        <v>1.2</v>
      </c>
      <c r="H973">
        <f ca="1">MAX(0,ROUND(F_Baseline_data!H973+(F_Baseline_data!C973-5)*200+(D973-30000)*0.015+(F973-50)*15-IF(I973=1,1200,0)+_xlfn.NORM.INV(RAND(),0,2500),-2))</f>
        <v>6300</v>
      </c>
      <c r="I973">
        <v>1</v>
      </c>
      <c r="J973">
        <f>1</f>
        <v>1</v>
      </c>
      <c r="K973">
        <f>1</f>
        <v>1</v>
      </c>
      <c r="L973">
        <v>0</v>
      </c>
      <c r="M973">
        <f t="shared" ca="1" si="31"/>
        <v>0.66201960840889273</v>
      </c>
      <c r="N973">
        <v>0</v>
      </c>
      <c r="O973">
        <v>0</v>
      </c>
      <c r="P973">
        <v>0</v>
      </c>
    </row>
    <row r="974" spans="1:16" x14ac:dyDescent="0.3">
      <c r="A974" t="s">
        <v>1086</v>
      </c>
      <c r="B974" t="s">
        <v>65</v>
      </c>
      <c r="C974">
        <f ca="1">IF(RAND()&lt;0.8,F_Baseline_data!C974,IF(RAND()&lt;0.85,F_Baseline_data!C974+1,IF(F_Baseline_data!C974&gt;3,C974-1,F_Baseline_data!C974)))</f>
        <v>5</v>
      </c>
      <c r="D974">
        <f ca="1">MAX(5000,ROUND(F_Baseline_data!D974*(1+_xlfn.NORM.INV(RAND(),0.12,0.1)),-2))</f>
        <v>31600</v>
      </c>
      <c r="E974" t="str">
        <f ca="1">IF(I974=1,IF(RAND()&lt;0.95,"Piped Water",F_Baseline_data!E974),F_Baseline_data!E974)</f>
        <v>Piped Water</v>
      </c>
      <c r="F974">
        <f t="shared" ca="1" si="30"/>
        <v>4</v>
      </c>
      <c r="G974">
        <v>0.5</v>
      </c>
      <c r="H974">
        <f ca="1">MAX(0,ROUND(F_Baseline_data!H974+(F_Baseline_data!C974-5)*200+(D974-30000)*0.015+(F974-50)*15-IF(I974=1,1200,0)+_xlfn.NORM.INV(RAND(),0,2500),-2))</f>
        <v>5500</v>
      </c>
      <c r="I974">
        <v>1</v>
      </c>
      <c r="J974">
        <f>1</f>
        <v>1</v>
      </c>
      <c r="K974">
        <f>1</f>
        <v>1</v>
      </c>
      <c r="L974">
        <v>0</v>
      </c>
      <c r="M974">
        <f t="shared" ca="1" si="31"/>
        <v>0.22104358257258871</v>
      </c>
      <c r="N974">
        <v>0</v>
      </c>
      <c r="O974">
        <v>0</v>
      </c>
      <c r="P974">
        <v>0</v>
      </c>
    </row>
    <row r="975" spans="1:16" x14ac:dyDescent="0.3">
      <c r="A975" t="s">
        <v>1087</v>
      </c>
      <c r="B975" t="s">
        <v>513</v>
      </c>
      <c r="C975">
        <f ca="1">IF(RAND()&lt;0.8,F_Baseline_data!C975,IF(RAND()&lt;0.85,F_Baseline_data!C975+1,IF(F_Baseline_data!C975&gt;3,C975-1,F_Baseline_data!C975)))</f>
        <v>4</v>
      </c>
      <c r="D975">
        <f ca="1">MAX(5000,ROUND(F_Baseline_data!D975*(1+_xlfn.NORM.INV(RAND(),0.12,0.1)),-2))</f>
        <v>36500</v>
      </c>
      <c r="E975" t="str">
        <f ca="1">IF(I975=1,IF(RAND()&lt;0.95,"Piped Water",F_Baseline_data!E975),F_Baseline_data!E975)</f>
        <v>Piped Water</v>
      </c>
      <c r="F975">
        <f t="shared" ca="1" si="30"/>
        <v>8</v>
      </c>
      <c r="G975">
        <v>5.9</v>
      </c>
      <c r="H975">
        <f ca="1">MAX(0,ROUND(F_Baseline_data!H975+(F_Baseline_data!C975-5)*200+(D975-30000)*0.015+(F975-50)*15-IF(I975=1,1200,0)+_xlfn.NORM.INV(RAND(),0,2500),-2))</f>
        <v>7300</v>
      </c>
      <c r="I975">
        <v>1</v>
      </c>
      <c r="J975">
        <f>1</f>
        <v>1</v>
      </c>
      <c r="K975">
        <f>1</f>
        <v>1</v>
      </c>
      <c r="L975">
        <v>0</v>
      </c>
      <c r="M975">
        <f t="shared" ca="1" si="31"/>
        <v>0.27529876953619259</v>
      </c>
      <c r="N975">
        <v>0</v>
      </c>
      <c r="O975">
        <v>0</v>
      </c>
      <c r="P975">
        <v>0</v>
      </c>
    </row>
    <row r="976" spans="1:16" x14ac:dyDescent="0.3">
      <c r="A976" t="s">
        <v>1088</v>
      </c>
      <c r="B976" t="s">
        <v>65</v>
      </c>
      <c r="C976">
        <f ca="1">IF(RAND()&lt;0.8,F_Baseline_data!C976,IF(RAND()&lt;0.85,F_Baseline_data!C976+1,IF(F_Baseline_data!C976&gt;3,C976-1,F_Baseline_data!C976)))</f>
        <v>8</v>
      </c>
      <c r="D976">
        <f ca="1">MAX(5000,ROUND(F_Baseline_data!D976*(1+_xlfn.NORM.INV(RAND(),0.12,0.1)),-2))</f>
        <v>50700</v>
      </c>
      <c r="E976" t="str">
        <f ca="1">IF(I976=1,IF(RAND()&lt;0.95,"Piped Water",F_Baseline_data!E976),F_Baseline_data!E976)</f>
        <v>Piped Water</v>
      </c>
      <c r="F976">
        <f t="shared" ca="1" si="30"/>
        <v>6</v>
      </c>
      <c r="G976">
        <v>11.6</v>
      </c>
      <c r="H976">
        <f ca="1">MAX(0,ROUND(F_Baseline_data!H976+(F_Baseline_data!C976-5)*200+(D976-30000)*0.015+(F976-50)*15-IF(I976=1,1200,0)+_xlfn.NORM.INV(RAND(),0,2500),-2))</f>
        <v>9400</v>
      </c>
      <c r="I976">
        <v>1</v>
      </c>
      <c r="J976">
        <f>1</f>
        <v>1</v>
      </c>
      <c r="K976">
        <f>1</f>
        <v>1</v>
      </c>
      <c r="L976">
        <v>0</v>
      </c>
      <c r="M976">
        <f t="shared" ca="1" si="31"/>
        <v>0.16971598166965718</v>
      </c>
      <c r="N976">
        <v>0</v>
      </c>
      <c r="O976">
        <v>0</v>
      </c>
      <c r="P976">
        <v>0</v>
      </c>
    </row>
    <row r="977" spans="1:16" x14ac:dyDescent="0.3">
      <c r="A977" t="s">
        <v>1089</v>
      </c>
      <c r="B977" t="s">
        <v>65</v>
      </c>
      <c r="C977">
        <f ca="1">IF(RAND()&lt;0.8,F_Baseline_data!C977,IF(RAND()&lt;0.85,F_Baseline_data!C977+1,IF(F_Baseline_data!C977&gt;3,C977-1,F_Baseline_data!C977)))</f>
        <v>3</v>
      </c>
      <c r="D977">
        <f ca="1">MAX(5000,ROUND(F_Baseline_data!D977*(1+_xlfn.NORM.INV(RAND(),0.12,0.1)),-2))</f>
        <v>45300</v>
      </c>
      <c r="E977" t="str">
        <f ca="1">IF(I977=1,IF(RAND()&lt;0.95,"Piped Water",F_Baseline_data!E977),F_Baseline_data!E977)</f>
        <v>Piped Water</v>
      </c>
      <c r="F977">
        <f t="shared" ca="1" si="30"/>
        <v>7</v>
      </c>
      <c r="G977">
        <v>3.5</v>
      </c>
      <c r="H977">
        <f ca="1">MAX(0,ROUND(F_Baseline_data!H977+(F_Baseline_data!C977-5)*200+(D977-30000)*0.015+(F977-50)*15-IF(I977=1,1200,0)+_xlfn.NORM.INV(RAND(),0,2500),-2))</f>
        <v>10800</v>
      </c>
      <c r="I977">
        <v>1</v>
      </c>
      <c r="J977">
        <f>1</f>
        <v>1</v>
      </c>
      <c r="K977">
        <f>1</f>
        <v>1</v>
      </c>
      <c r="L977">
        <v>0</v>
      </c>
      <c r="M977">
        <f t="shared" ca="1" si="31"/>
        <v>0.21549953120232168</v>
      </c>
      <c r="N977">
        <v>0</v>
      </c>
      <c r="O977">
        <v>0</v>
      </c>
      <c r="P977">
        <v>0</v>
      </c>
    </row>
    <row r="978" spans="1:16" x14ac:dyDescent="0.3">
      <c r="A978" t="s">
        <v>1090</v>
      </c>
      <c r="B978" t="s">
        <v>62</v>
      </c>
      <c r="C978">
        <f ca="1">IF(RAND()&lt;0.8,F_Baseline_data!C978,IF(RAND()&lt;0.85,F_Baseline_data!C978+1,IF(F_Baseline_data!C978&gt;3,C978-1,F_Baseline_data!C978)))</f>
        <v>3</v>
      </c>
      <c r="D978">
        <f ca="1">MAX(5000,ROUND(F_Baseline_data!D978*(1+_xlfn.NORM.INV(RAND(),0.12,0.1)),-2))</f>
        <v>38100</v>
      </c>
      <c r="E978" t="str">
        <f ca="1">IF(I978=1,IF(RAND()&lt;0.95,"Piped Water",F_Baseline_data!E978),F_Baseline_data!E978)</f>
        <v>Piped Water</v>
      </c>
      <c r="F978">
        <f t="shared" ca="1" si="30"/>
        <v>8</v>
      </c>
      <c r="G978">
        <v>0.8</v>
      </c>
      <c r="H978">
        <f ca="1">MAX(0,ROUND(F_Baseline_data!H978+(F_Baseline_data!C978-5)*200+(D978-30000)*0.015+(F978-50)*15-IF(I978=1,1200,0)+_xlfn.NORM.INV(RAND(),0,2500),-2))</f>
        <v>3300</v>
      </c>
      <c r="I978">
        <v>1</v>
      </c>
      <c r="J978">
        <f>1</f>
        <v>1</v>
      </c>
      <c r="K978">
        <f>1</f>
        <v>1</v>
      </c>
      <c r="L978">
        <v>0</v>
      </c>
      <c r="M978">
        <f t="shared" ca="1" si="31"/>
        <v>0.7276810918105483</v>
      </c>
      <c r="N978">
        <v>0</v>
      </c>
      <c r="O978">
        <v>0</v>
      </c>
      <c r="P978">
        <v>0</v>
      </c>
    </row>
    <row r="979" spans="1:16" x14ac:dyDescent="0.3">
      <c r="A979" t="s">
        <v>1091</v>
      </c>
      <c r="B979" t="s">
        <v>513</v>
      </c>
      <c r="C979">
        <f ca="1">IF(RAND()&lt;0.8,F_Baseline_data!C979,IF(RAND()&lt;0.85,F_Baseline_data!C979+1,IF(F_Baseline_data!C979&gt;3,C979-1,F_Baseline_data!C979)))</f>
        <v>8</v>
      </c>
      <c r="D979">
        <f ca="1">MAX(5000,ROUND(F_Baseline_data!D979*(1+_xlfn.NORM.INV(RAND(),0.12,0.1)),-2))</f>
        <v>52500</v>
      </c>
      <c r="E979" t="str">
        <f ca="1">IF(I979=1,IF(RAND()&lt;0.95,"Piped Water",F_Baseline_data!E979),F_Baseline_data!E979)</f>
        <v>Piped Water</v>
      </c>
      <c r="F979">
        <f t="shared" ca="1" si="30"/>
        <v>0</v>
      </c>
      <c r="G979">
        <v>6</v>
      </c>
      <c r="H979">
        <f ca="1">MAX(0,ROUND(F_Baseline_data!H979+(F_Baseline_data!C979-5)*200+(D979-30000)*0.015+(F979-50)*15-IF(I979=1,1200,0)+_xlfn.NORM.INV(RAND(),0,2500),-2))</f>
        <v>12600</v>
      </c>
      <c r="I979">
        <v>1</v>
      </c>
      <c r="J979">
        <f>1</f>
        <v>1</v>
      </c>
      <c r="K979">
        <f>1</f>
        <v>1</v>
      </c>
      <c r="L979">
        <v>0</v>
      </c>
      <c r="M979">
        <f t="shared" ca="1" si="31"/>
        <v>0.63271484733015027</v>
      </c>
      <c r="N979">
        <v>0</v>
      </c>
      <c r="O979">
        <v>0</v>
      </c>
      <c r="P979">
        <v>0</v>
      </c>
    </row>
    <row r="980" spans="1:16" x14ac:dyDescent="0.3">
      <c r="A980" t="s">
        <v>1092</v>
      </c>
      <c r="B980" t="s">
        <v>64</v>
      </c>
      <c r="C980">
        <f ca="1">IF(RAND()&lt;0.8,F_Baseline_data!C980,IF(RAND()&lt;0.85,F_Baseline_data!C980+1,IF(F_Baseline_data!C980&gt;3,C980-1,F_Baseline_data!C980)))</f>
        <v>6</v>
      </c>
      <c r="D980">
        <f ca="1">MAX(5000,ROUND(F_Baseline_data!D980*(1+_xlfn.NORM.INV(RAND(),0.12,0.1)),-2))</f>
        <v>28100</v>
      </c>
      <c r="E980" t="str">
        <f ca="1">IF(I980=1,IF(RAND()&lt;0.95,"Piped Water",F_Baseline_data!E980),F_Baseline_data!E980)</f>
        <v>Piped Water</v>
      </c>
      <c r="F980">
        <f t="shared" ca="1" si="30"/>
        <v>4</v>
      </c>
      <c r="G980">
        <v>0.9</v>
      </c>
      <c r="H980">
        <f ca="1">MAX(0,ROUND(F_Baseline_data!H980+(F_Baseline_data!C980-5)*200+(D980-30000)*0.015+(F980-50)*15-IF(I980=1,1200,0)+_xlfn.NORM.INV(RAND(),0,2500),-2))</f>
        <v>800</v>
      </c>
      <c r="I980">
        <v>1</v>
      </c>
      <c r="J980">
        <f>1</f>
        <v>1</v>
      </c>
      <c r="K980">
        <f>1</f>
        <v>1</v>
      </c>
      <c r="L980">
        <v>0</v>
      </c>
      <c r="M980">
        <f t="shared" ca="1" si="31"/>
        <v>0.37174687113008198</v>
      </c>
      <c r="N980">
        <v>0</v>
      </c>
      <c r="O980">
        <v>0</v>
      </c>
      <c r="P980">
        <v>0</v>
      </c>
    </row>
    <row r="981" spans="1:16" x14ac:dyDescent="0.3">
      <c r="A981" t="s">
        <v>1093</v>
      </c>
      <c r="B981" t="s">
        <v>65</v>
      </c>
      <c r="C981">
        <f ca="1">IF(RAND()&lt;0.8,F_Baseline_data!C981,IF(RAND()&lt;0.85,F_Baseline_data!C981+1,IF(F_Baseline_data!C981&gt;3,C981-1,F_Baseline_data!C981)))</f>
        <v>2</v>
      </c>
      <c r="D981">
        <f ca="1">MAX(5000,ROUND(F_Baseline_data!D981*(1+_xlfn.NORM.INV(RAND(),0.12,0.1)),-2))</f>
        <v>90800</v>
      </c>
      <c r="E981" t="str">
        <f ca="1">IF(I981=1,IF(RAND()&lt;0.95,"Piped Water",F_Baseline_data!E981),F_Baseline_data!E981)</f>
        <v>Piped Water</v>
      </c>
      <c r="F981">
        <f t="shared" ca="1" si="30"/>
        <v>3</v>
      </c>
      <c r="G981">
        <v>8.8000000000000007</v>
      </c>
      <c r="H981">
        <f ca="1">MAX(0,ROUND(F_Baseline_data!H981+(F_Baseline_data!C981-5)*200+(D981-30000)*0.015+(F981-50)*15-IF(I981=1,1200,0)+_xlfn.NORM.INV(RAND(),0,2500),-2))</f>
        <v>2400</v>
      </c>
      <c r="I981">
        <v>1</v>
      </c>
      <c r="J981">
        <f>1</f>
        <v>1</v>
      </c>
      <c r="K981">
        <f>1</f>
        <v>1</v>
      </c>
      <c r="L981">
        <v>0</v>
      </c>
      <c r="M981">
        <f t="shared" ca="1" si="31"/>
        <v>0.57400297640100673</v>
      </c>
      <c r="N981">
        <v>0</v>
      </c>
      <c r="O981">
        <v>0</v>
      </c>
      <c r="P981">
        <v>0</v>
      </c>
    </row>
    <row r="982" spans="1:16" x14ac:dyDescent="0.3">
      <c r="A982" t="s">
        <v>1094</v>
      </c>
      <c r="B982" t="s">
        <v>513</v>
      </c>
      <c r="C982">
        <f ca="1">IF(RAND()&lt;0.8,F_Baseline_data!C982,IF(RAND()&lt;0.85,F_Baseline_data!C982+1,IF(F_Baseline_data!C982&gt;3,C982-1,F_Baseline_data!C982)))</f>
        <v>9</v>
      </c>
      <c r="D982">
        <f ca="1">MAX(5000,ROUND(F_Baseline_data!D982*(1+_xlfn.NORM.INV(RAND(),0.12,0.1)),-2))</f>
        <v>38300</v>
      </c>
      <c r="E982" t="str">
        <f ca="1">IF(I982=1,IF(RAND()&lt;0.95,"Piped Water",F_Baseline_data!E982),F_Baseline_data!E982)</f>
        <v>Piped Water</v>
      </c>
      <c r="F982">
        <f t="shared" ca="1" si="30"/>
        <v>2</v>
      </c>
      <c r="G982">
        <v>1.7</v>
      </c>
      <c r="H982">
        <f ca="1">MAX(0,ROUND(F_Baseline_data!H982+(F_Baseline_data!C982-5)*200+(D982-30000)*0.015+(F982-50)*15-IF(I982=1,1200,0)+_xlfn.NORM.INV(RAND(),0,2500),-2))</f>
        <v>2000</v>
      </c>
      <c r="I982">
        <v>1</v>
      </c>
      <c r="J982">
        <f>1</f>
        <v>1</v>
      </c>
      <c r="K982">
        <f>1</f>
        <v>1</v>
      </c>
      <c r="L982">
        <v>0</v>
      </c>
      <c r="M982">
        <f t="shared" ca="1" si="31"/>
        <v>6.5940934843508714E-2</v>
      </c>
      <c r="N982">
        <v>0</v>
      </c>
      <c r="O982">
        <v>0</v>
      </c>
      <c r="P982">
        <v>0</v>
      </c>
    </row>
    <row r="983" spans="1:16" x14ac:dyDescent="0.3">
      <c r="A983" t="s">
        <v>1095</v>
      </c>
      <c r="B983" t="s">
        <v>64</v>
      </c>
      <c r="C983">
        <f ca="1">IF(RAND()&lt;0.8,F_Baseline_data!C983,IF(RAND()&lt;0.85,F_Baseline_data!C983+1,IF(F_Baseline_data!C983&gt;3,C983-1,F_Baseline_data!C983)))</f>
        <v>7</v>
      </c>
      <c r="D983">
        <f ca="1">MAX(5000,ROUND(F_Baseline_data!D983*(1+_xlfn.NORM.INV(RAND(),0.12,0.1)),-2))</f>
        <v>60100</v>
      </c>
      <c r="E983" t="str">
        <f ca="1">IF(I983=1,IF(RAND()&lt;0.95,"Piped Water",F_Baseline_data!E983),F_Baseline_data!E983)</f>
        <v>Piped Water</v>
      </c>
      <c r="F983">
        <f t="shared" ca="1" si="30"/>
        <v>0</v>
      </c>
      <c r="G983">
        <v>1.1000000000000001</v>
      </c>
      <c r="H983">
        <f ca="1">MAX(0,ROUND(F_Baseline_data!H983+(F_Baseline_data!C983-5)*200+(D983-30000)*0.015+(F983-50)*15-IF(I983=1,1200,0)+_xlfn.NORM.INV(RAND(),0,2500),-2))</f>
        <v>7800</v>
      </c>
      <c r="I983">
        <v>1</v>
      </c>
      <c r="J983">
        <f>1</f>
        <v>1</v>
      </c>
      <c r="K983">
        <f>1</f>
        <v>1</v>
      </c>
      <c r="L983">
        <v>0</v>
      </c>
      <c r="M983">
        <f t="shared" ca="1" si="31"/>
        <v>4.5557179913942925E-2</v>
      </c>
      <c r="N983">
        <v>0</v>
      </c>
      <c r="O983">
        <v>0</v>
      </c>
      <c r="P983">
        <v>0</v>
      </c>
    </row>
    <row r="984" spans="1:16" x14ac:dyDescent="0.3">
      <c r="A984" t="s">
        <v>1096</v>
      </c>
      <c r="B984" t="s">
        <v>513</v>
      </c>
      <c r="C984">
        <f ca="1">IF(RAND()&lt;0.8,F_Baseline_data!C984,IF(RAND()&lt;0.85,F_Baseline_data!C984+1,IF(F_Baseline_data!C984&gt;3,C984-1,F_Baseline_data!C984)))</f>
        <v>4</v>
      </c>
      <c r="D984">
        <f ca="1">MAX(5000,ROUND(F_Baseline_data!D984*(1+_xlfn.NORM.INV(RAND(),0.12,0.1)),-2))</f>
        <v>28200</v>
      </c>
      <c r="E984" t="str">
        <f ca="1">IF(I984=1,IF(RAND()&lt;0.95,"Piped Water",F_Baseline_data!E984),F_Baseline_data!E984)</f>
        <v>Piped Water</v>
      </c>
      <c r="F984">
        <f t="shared" ca="1" si="30"/>
        <v>9</v>
      </c>
      <c r="G984">
        <v>9.8000000000000007</v>
      </c>
      <c r="H984">
        <f ca="1">MAX(0,ROUND(F_Baseline_data!H984+(F_Baseline_data!C984-5)*200+(D984-30000)*0.015+(F984-50)*15-IF(I984=1,1200,0)+_xlfn.NORM.INV(RAND(),0,2500),-2))</f>
        <v>0</v>
      </c>
      <c r="I984">
        <v>1</v>
      </c>
      <c r="J984">
        <f>1</f>
        <v>1</v>
      </c>
      <c r="K984">
        <f>1</f>
        <v>1</v>
      </c>
      <c r="L984">
        <v>0</v>
      </c>
      <c r="M984">
        <f t="shared" ca="1" si="31"/>
        <v>0.43541883496327971</v>
      </c>
      <c r="N984">
        <v>0</v>
      </c>
      <c r="O984">
        <v>0</v>
      </c>
      <c r="P984">
        <v>0</v>
      </c>
    </row>
    <row r="985" spans="1:16" x14ac:dyDescent="0.3">
      <c r="A985" t="s">
        <v>1097</v>
      </c>
      <c r="B985" t="s">
        <v>64</v>
      </c>
      <c r="C985">
        <f ca="1">IF(RAND()&lt;0.8,F_Baseline_data!C985,IF(RAND()&lt;0.85,F_Baseline_data!C985+1,IF(F_Baseline_data!C985&gt;3,C985-1,F_Baseline_data!C985)))</f>
        <v>6</v>
      </c>
      <c r="D985">
        <f ca="1">MAX(5000,ROUND(F_Baseline_data!D985*(1+_xlfn.NORM.INV(RAND(),0.12,0.1)),-2))</f>
        <v>31800</v>
      </c>
      <c r="E985" t="str">
        <f ca="1">IF(I985=1,IF(RAND()&lt;0.95,"Piped Water",F_Baseline_data!E985),F_Baseline_data!E985)</f>
        <v>Piped Water</v>
      </c>
      <c r="F985">
        <f t="shared" ca="1" si="30"/>
        <v>9</v>
      </c>
      <c r="G985">
        <v>10.3</v>
      </c>
      <c r="H985">
        <f ca="1">MAX(0,ROUND(F_Baseline_data!H985+(F_Baseline_data!C985-5)*200+(D985-30000)*0.015+(F985-50)*15-IF(I985=1,1200,0)+_xlfn.NORM.INV(RAND(),0,2500),-2))</f>
        <v>14700</v>
      </c>
      <c r="I985">
        <v>1</v>
      </c>
      <c r="J985">
        <f>1</f>
        <v>1</v>
      </c>
      <c r="K985">
        <f>1</f>
        <v>1</v>
      </c>
      <c r="L985">
        <v>0</v>
      </c>
      <c r="M985">
        <f t="shared" ca="1" si="31"/>
        <v>0.98480799392980523</v>
      </c>
      <c r="N985">
        <v>0</v>
      </c>
      <c r="O985">
        <v>0</v>
      </c>
      <c r="P985">
        <v>0</v>
      </c>
    </row>
    <row r="986" spans="1:16" x14ac:dyDescent="0.3">
      <c r="A986" t="s">
        <v>1098</v>
      </c>
      <c r="B986" t="s">
        <v>513</v>
      </c>
      <c r="C986">
        <f ca="1">IF(RAND()&lt;0.8,F_Baseline_data!C986,IF(RAND()&lt;0.85,F_Baseline_data!C986+1,IF(F_Baseline_data!C986&gt;3,C986-1,F_Baseline_data!C986)))</f>
        <v>6</v>
      </c>
      <c r="D986">
        <f ca="1">MAX(5000,ROUND(F_Baseline_data!D986*(1+_xlfn.NORM.INV(RAND(),0.12,0.1)),-2))</f>
        <v>12100</v>
      </c>
      <c r="E986" t="str">
        <f ca="1">IF(I986=1,IF(RAND()&lt;0.95,"Piped Water",F_Baseline_data!E986),F_Baseline_data!E986)</f>
        <v>Piped Water</v>
      </c>
      <c r="F986">
        <f t="shared" ca="1" si="30"/>
        <v>4</v>
      </c>
      <c r="G986">
        <v>13</v>
      </c>
      <c r="H986">
        <f ca="1">MAX(0,ROUND(F_Baseline_data!H986+(F_Baseline_data!C986-5)*200+(D986-30000)*0.015+(F986-50)*15-IF(I986=1,1200,0)+_xlfn.NORM.INV(RAND(),0,2500),-2))</f>
        <v>3700</v>
      </c>
      <c r="I986">
        <v>1</v>
      </c>
      <c r="J986">
        <f>1</f>
        <v>1</v>
      </c>
      <c r="K986">
        <f>1</f>
        <v>1</v>
      </c>
      <c r="L986">
        <v>0</v>
      </c>
      <c r="M986">
        <f t="shared" ca="1" si="31"/>
        <v>0.31893668621764482</v>
      </c>
      <c r="N986">
        <v>0</v>
      </c>
      <c r="O986">
        <v>0</v>
      </c>
      <c r="P986">
        <v>0</v>
      </c>
    </row>
    <row r="987" spans="1:16" x14ac:dyDescent="0.3">
      <c r="A987" t="s">
        <v>1099</v>
      </c>
      <c r="B987" t="s">
        <v>62</v>
      </c>
      <c r="C987">
        <f ca="1">IF(RAND()&lt;0.8,F_Baseline_data!C987,IF(RAND()&lt;0.85,F_Baseline_data!C987+1,IF(F_Baseline_data!C987&gt;3,C987-1,F_Baseline_data!C987)))</f>
        <v>5</v>
      </c>
      <c r="D987">
        <f ca="1">MAX(5000,ROUND(F_Baseline_data!D987*(1+_xlfn.NORM.INV(RAND(),0.12,0.1)),-2))</f>
        <v>29600</v>
      </c>
      <c r="E987" t="str">
        <f ca="1">IF(I987=1,IF(RAND()&lt;0.95,"Piped Water",F_Baseline_data!E987),F_Baseline_data!E987)</f>
        <v>Piped Water</v>
      </c>
      <c r="F987">
        <f t="shared" ca="1" si="30"/>
        <v>10</v>
      </c>
      <c r="G987">
        <v>9.9</v>
      </c>
      <c r="H987">
        <f ca="1">MAX(0,ROUND(F_Baseline_data!H987+(F_Baseline_data!C987-5)*200+(D987-30000)*0.015+(F987-50)*15-IF(I987=1,1200,0)+_xlfn.NORM.INV(RAND(),0,2500),-2))</f>
        <v>4500</v>
      </c>
      <c r="I987">
        <v>1</v>
      </c>
      <c r="J987">
        <f>1</f>
        <v>1</v>
      </c>
      <c r="K987">
        <f>1</f>
        <v>1</v>
      </c>
      <c r="L987">
        <v>0</v>
      </c>
      <c r="M987">
        <f t="shared" ca="1" si="31"/>
        <v>0.57530548521143055</v>
      </c>
      <c r="N987">
        <v>0</v>
      </c>
      <c r="O987">
        <v>0</v>
      </c>
      <c r="P987">
        <v>0</v>
      </c>
    </row>
    <row r="988" spans="1:16" x14ac:dyDescent="0.3">
      <c r="A988" t="s">
        <v>1100</v>
      </c>
      <c r="B988" t="s">
        <v>513</v>
      </c>
      <c r="C988">
        <f ca="1">IF(RAND()&lt;0.8,F_Baseline_data!C988,IF(RAND()&lt;0.85,F_Baseline_data!C988+1,IF(F_Baseline_data!C988&gt;3,C988-1,F_Baseline_data!C988)))</f>
        <v>6</v>
      </c>
      <c r="D988">
        <f ca="1">MAX(5000,ROUND(F_Baseline_data!D988*(1+_xlfn.NORM.INV(RAND(),0.12,0.1)),-2))</f>
        <v>67800</v>
      </c>
      <c r="E988" t="str">
        <f ca="1">IF(I988=1,IF(RAND()&lt;0.95,"Piped Water",F_Baseline_data!E988),F_Baseline_data!E988)</f>
        <v>Piped Water</v>
      </c>
      <c r="F988">
        <f t="shared" ca="1" si="30"/>
        <v>7</v>
      </c>
      <c r="G988">
        <v>5.6</v>
      </c>
      <c r="H988">
        <f ca="1">MAX(0,ROUND(F_Baseline_data!H988+(F_Baseline_data!C988-5)*200+(D988-30000)*0.015+(F988-50)*15-IF(I988=1,1200,0)+_xlfn.NORM.INV(RAND(),0,2500),-2))</f>
        <v>0</v>
      </c>
      <c r="I988">
        <v>1</v>
      </c>
      <c r="J988">
        <f>1</f>
        <v>1</v>
      </c>
      <c r="K988">
        <f>1</f>
        <v>1</v>
      </c>
      <c r="L988">
        <v>0</v>
      </c>
      <c r="M988">
        <f t="shared" ca="1" si="31"/>
        <v>0.75104132473486906</v>
      </c>
      <c r="N988">
        <v>0</v>
      </c>
      <c r="O988">
        <v>0</v>
      </c>
      <c r="P988">
        <v>0</v>
      </c>
    </row>
    <row r="989" spans="1:16" x14ac:dyDescent="0.3">
      <c r="A989" t="s">
        <v>1101</v>
      </c>
      <c r="B989" t="s">
        <v>65</v>
      </c>
      <c r="C989">
        <f ca="1">IF(RAND()&lt;0.8,F_Baseline_data!C989,IF(RAND()&lt;0.85,F_Baseline_data!C989+1,IF(F_Baseline_data!C989&gt;3,C989-1,F_Baseline_data!C989)))</f>
        <v>3</v>
      </c>
      <c r="D989">
        <f ca="1">MAX(5000,ROUND(F_Baseline_data!D989*(1+_xlfn.NORM.INV(RAND(),0.12,0.1)),-2))</f>
        <v>23400</v>
      </c>
      <c r="E989" t="str">
        <f ca="1">IF(I989=1,IF(RAND()&lt;0.95,"Piped Water",F_Baseline_data!E989),F_Baseline_data!E989)</f>
        <v>Piped Water</v>
      </c>
      <c r="F989">
        <f t="shared" ca="1" si="30"/>
        <v>9</v>
      </c>
      <c r="G989">
        <v>12.8</v>
      </c>
      <c r="H989">
        <f ca="1">MAX(0,ROUND(F_Baseline_data!H989+(F_Baseline_data!C989-5)*200+(D989-30000)*0.015+(F989-50)*15-IF(I989=1,1200,0)+_xlfn.NORM.INV(RAND(),0,2500),-2))</f>
        <v>900</v>
      </c>
      <c r="I989">
        <v>1</v>
      </c>
      <c r="J989">
        <f>1</f>
        <v>1</v>
      </c>
      <c r="K989">
        <f>1</f>
        <v>1</v>
      </c>
      <c r="L989">
        <v>0</v>
      </c>
      <c r="M989">
        <f t="shared" ca="1" si="31"/>
        <v>0.40738801970287075</v>
      </c>
      <c r="N989">
        <v>0</v>
      </c>
      <c r="O989">
        <v>0</v>
      </c>
      <c r="P989">
        <v>0</v>
      </c>
    </row>
    <row r="990" spans="1:16" x14ac:dyDescent="0.3">
      <c r="A990" t="s">
        <v>1102</v>
      </c>
      <c r="B990" t="s">
        <v>513</v>
      </c>
      <c r="C990">
        <f ca="1">IF(RAND()&lt;0.8,F_Baseline_data!C990,IF(RAND()&lt;0.85,F_Baseline_data!C990+1,IF(F_Baseline_data!C990&gt;3,C990-1,F_Baseline_data!C990)))</f>
        <v>10</v>
      </c>
      <c r="D990">
        <f ca="1">MAX(5000,ROUND(F_Baseline_data!D990*(1+_xlfn.NORM.INV(RAND(),0.12,0.1)),-2))</f>
        <v>32500</v>
      </c>
      <c r="E990" t="str">
        <f ca="1">IF(I990=1,IF(RAND()&lt;0.95,"Piped Water",F_Baseline_data!E990),F_Baseline_data!E990)</f>
        <v>River</v>
      </c>
      <c r="F990">
        <f t="shared" ca="1" si="30"/>
        <v>103</v>
      </c>
      <c r="G990">
        <v>1.4</v>
      </c>
      <c r="H990">
        <f ca="1">MAX(0,ROUND(F_Baseline_data!H990+(F_Baseline_data!C990-5)*200+(D990-30000)*0.015+(F990-50)*15-IF(I990=1,1200,0)+_xlfn.NORM.INV(RAND(),0,2500),-2))</f>
        <v>6700</v>
      </c>
      <c r="I990">
        <v>1</v>
      </c>
      <c r="J990">
        <f>1</f>
        <v>1</v>
      </c>
      <c r="K990">
        <f>1</f>
        <v>1</v>
      </c>
      <c r="L990">
        <v>0</v>
      </c>
      <c r="M990">
        <f t="shared" ca="1" si="31"/>
        <v>0.7687151335144311</v>
      </c>
      <c r="N990">
        <v>0</v>
      </c>
      <c r="O990">
        <v>0</v>
      </c>
      <c r="P990">
        <v>0</v>
      </c>
    </row>
    <row r="991" spans="1:16" x14ac:dyDescent="0.3">
      <c r="A991" t="s">
        <v>1103</v>
      </c>
      <c r="B991" t="s">
        <v>513</v>
      </c>
      <c r="C991">
        <f ca="1">IF(RAND()&lt;0.8,F_Baseline_data!C991,IF(RAND()&lt;0.85,F_Baseline_data!C991+1,IF(F_Baseline_data!C991&gt;3,C991-1,F_Baseline_data!C991)))</f>
        <v>9</v>
      </c>
      <c r="D991">
        <f ca="1">MAX(5000,ROUND(F_Baseline_data!D991*(1+_xlfn.NORM.INV(RAND(),0.12,0.1)),-2))</f>
        <v>29100</v>
      </c>
      <c r="E991" t="str">
        <f ca="1">IF(I991=1,IF(RAND()&lt;0.95,"Piped Water",F_Baseline_data!E991),F_Baseline_data!E991)</f>
        <v>Piped Water</v>
      </c>
      <c r="F991">
        <f t="shared" ca="1" si="30"/>
        <v>9</v>
      </c>
      <c r="G991">
        <v>8.5</v>
      </c>
      <c r="H991">
        <f ca="1">MAX(0,ROUND(F_Baseline_data!H991+(F_Baseline_data!C991-5)*200+(D991-30000)*0.015+(F991-50)*15-IF(I991=1,1200,0)+_xlfn.NORM.INV(RAND(),0,2500),-2))</f>
        <v>4500</v>
      </c>
      <c r="I991">
        <v>1</v>
      </c>
      <c r="J991">
        <f>1</f>
        <v>1</v>
      </c>
      <c r="K991">
        <f>1</f>
        <v>1</v>
      </c>
      <c r="L991">
        <v>0</v>
      </c>
      <c r="M991">
        <f t="shared" ca="1" si="31"/>
        <v>0.8528058352779887</v>
      </c>
      <c r="N991">
        <v>0</v>
      </c>
      <c r="O991">
        <v>0</v>
      </c>
      <c r="P991">
        <v>0</v>
      </c>
    </row>
    <row r="992" spans="1:16" x14ac:dyDescent="0.3">
      <c r="A992" t="s">
        <v>1104</v>
      </c>
      <c r="B992" t="s">
        <v>65</v>
      </c>
      <c r="C992">
        <f ca="1">IF(RAND()&lt;0.8,F_Baseline_data!C992,IF(RAND()&lt;0.85,F_Baseline_data!C992+1,IF(F_Baseline_data!C992&gt;3,C992-1,F_Baseline_data!C992)))</f>
        <v>4</v>
      </c>
      <c r="D992">
        <f ca="1">MAX(5000,ROUND(F_Baseline_data!D992*(1+_xlfn.NORM.INV(RAND(),0.12,0.1)),-2))</f>
        <v>27100</v>
      </c>
      <c r="E992" t="str">
        <f ca="1">IF(I992=1,IF(RAND()&lt;0.95,"Piped Water",F_Baseline_data!E992),F_Baseline_data!E992)</f>
        <v>Piped Water</v>
      </c>
      <c r="F992">
        <f t="shared" ca="1" si="30"/>
        <v>5</v>
      </c>
      <c r="G992">
        <v>12.6</v>
      </c>
      <c r="H992">
        <f ca="1">MAX(0,ROUND(F_Baseline_data!H992+(F_Baseline_data!C992-5)*200+(D992-30000)*0.015+(F992-50)*15-IF(I992=1,1200,0)+_xlfn.NORM.INV(RAND(),0,2500),-2))</f>
        <v>3000</v>
      </c>
      <c r="I992">
        <v>1</v>
      </c>
      <c r="J992">
        <f>1</f>
        <v>1</v>
      </c>
      <c r="K992">
        <f>1</f>
        <v>1</v>
      </c>
      <c r="L992">
        <v>0</v>
      </c>
      <c r="M992">
        <f t="shared" ca="1" si="31"/>
        <v>7.7458149310667079E-2</v>
      </c>
      <c r="N992">
        <v>0</v>
      </c>
      <c r="O992">
        <v>0</v>
      </c>
      <c r="P992">
        <v>0</v>
      </c>
    </row>
    <row r="993" spans="1:16" x14ac:dyDescent="0.3">
      <c r="A993" t="s">
        <v>1105</v>
      </c>
      <c r="B993" t="s">
        <v>513</v>
      </c>
      <c r="C993">
        <f ca="1">IF(RAND()&lt;0.8,F_Baseline_data!C993,IF(RAND()&lt;0.85,F_Baseline_data!C993+1,IF(F_Baseline_data!C993&gt;3,C993-1,F_Baseline_data!C993)))</f>
        <v>6</v>
      </c>
      <c r="D993">
        <f ca="1">MAX(5000,ROUND(F_Baseline_data!D993*(1+_xlfn.NORM.INV(RAND(),0.12,0.1)),-2))</f>
        <v>25300</v>
      </c>
      <c r="E993" t="str">
        <f ca="1">IF(I993=1,IF(RAND()&lt;0.95,"Piped Water",F_Baseline_data!E993),F_Baseline_data!E993)</f>
        <v>Piped Water</v>
      </c>
      <c r="F993">
        <f t="shared" ca="1" si="30"/>
        <v>5</v>
      </c>
      <c r="G993">
        <v>14.5</v>
      </c>
      <c r="H993">
        <f ca="1">MAX(0,ROUND(F_Baseline_data!H993+(F_Baseline_data!C993-5)*200+(D993-30000)*0.015+(F993-50)*15-IF(I993=1,1200,0)+_xlfn.NORM.INV(RAND(),0,2500),-2))</f>
        <v>6500</v>
      </c>
      <c r="I993">
        <v>1</v>
      </c>
      <c r="J993">
        <f>1</f>
        <v>1</v>
      </c>
      <c r="K993">
        <f>1</f>
        <v>1</v>
      </c>
      <c r="L993">
        <v>0</v>
      </c>
      <c r="M993">
        <f t="shared" ca="1" si="31"/>
        <v>0.97427843934515579</v>
      </c>
      <c r="N993">
        <v>0</v>
      </c>
      <c r="O993">
        <v>0</v>
      </c>
      <c r="P993">
        <v>0</v>
      </c>
    </row>
    <row r="994" spans="1:16" x14ac:dyDescent="0.3">
      <c r="A994" t="s">
        <v>1106</v>
      </c>
      <c r="B994" t="s">
        <v>62</v>
      </c>
      <c r="C994">
        <f ca="1">IF(RAND()&lt;0.8,F_Baseline_data!C994,IF(RAND()&lt;0.85,F_Baseline_data!C994+1,IF(F_Baseline_data!C994&gt;3,C994-1,F_Baseline_data!C994)))</f>
        <v>5</v>
      </c>
      <c r="D994">
        <f ca="1">MAX(5000,ROUND(F_Baseline_data!D994*(1+_xlfn.NORM.INV(RAND(),0.12,0.1)),-2))</f>
        <v>38600</v>
      </c>
      <c r="E994" t="str">
        <f ca="1">IF(I994=1,IF(RAND()&lt;0.95,"Piped Water",F_Baseline_data!E994),F_Baseline_data!E994)</f>
        <v>Piped Water</v>
      </c>
      <c r="F994">
        <f t="shared" ca="1" si="30"/>
        <v>3</v>
      </c>
      <c r="G994">
        <v>8.1</v>
      </c>
      <c r="H994">
        <f ca="1">MAX(0,ROUND(F_Baseline_data!H994+(F_Baseline_data!C994-5)*200+(D994-30000)*0.015+(F994-50)*15-IF(I994=1,1200,0)+_xlfn.NORM.INV(RAND(),0,2500),-2))</f>
        <v>2000</v>
      </c>
      <c r="I994">
        <v>1</v>
      </c>
      <c r="J994">
        <f>1</f>
        <v>1</v>
      </c>
      <c r="K994">
        <f>1</f>
        <v>1</v>
      </c>
      <c r="L994">
        <v>0</v>
      </c>
      <c r="M994">
        <f t="shared" ca="1" si="31"/>
        <v>0.50858819877646577</v>
      </c>
      <c r="N994">
        <v>0</v>
      </c>
      <c r="O994">
        <v>0</v>
      </c>
      <c r="P994">
        <v>0</v>
      </c>
    </row>
    <row r="995" spans="1:16" x14ac:dyDescent="0.3">
      <c r="A995" t="s">
        <v>1107</v>
      </c>
      <c r="B995" t="s">
        <v>64</v>
      </c>
      <c r="C995">
        <f ca="1">IF(RAND()&lt;0.8,F_Baseline_data!C995,IF(RAND()&lt;0.85,F_Baseline_data!C995+1,IF(F_Baseline_data!C995&gt;3,C995-1,F_Baseline_data!C995)))</f>
        <v>5</v>
      </c>
      <c r="D995">
        <f ca="1">MAX(5000,ROUND(F_Baseline_data!D995*(1+_xlfn.NORM.INV(RAND(),0.12,0.1)),-2))</f>
        <v>35100</v>
      </c>
      <c r="E995" t="str">
        <f ca="1">IF(I995=1,IF(RAND()&lt;0.95,"Piped Water",F_Baseline_data!E995),F_Baseline_data!E995)</f>
        <v>Piped Water</v>
      </c>
      <c r="F995">
        <f t="shared" ca="1" si="30"/>
        <v>7</v>
      </c>
      <c r="G995">
        <v>2.9</v>
      </c>
      <c r="H995">
        <f ca="1">MAX(0,ROUND(F_Baseline_data!H995+(F_Baseline_data!C995-5)*200+(D995-30000)*0.015+(F995-50)*15-IF(I995=1,1200,0)+_xlfn.NORM.INV(RAND(),0,2500),-2))</f>
        <v>11800</v>
      </c>
      <c r="I995">
        <v>1</v>
      </c>
      <c r="J995">
        <f>1</f>
        <v>1</v>
      </c>
      <c r="K995">
        <f>1</f>
        <v>1</v>
      </c>
      <c r="L995">
        <v>0</v>
      </c>
      <c r="M995">
        <f t="shared" ca="1" si="31"/>
        <v>0.44610995273965481</v>
      </c>
      <c r="N995">
        <v>0</v>
      </c>
      <c r="O995">
        <v>0</v>
      </c>
      <c r="P995">
        <v>0</v>
      </c>
    </row>
    <row r="996" spans="1:16" x14ac:dyDescent="0.3">
      <c r="A996" t="s">
        <v>1108</v>
      </c>
      <c r="B996" t="s">
        <v>64</v>
      </c>
      <c r="C996">
        <f ca="1">IF(RAND()&lt;0.8,F_Baseline_data!C996,IF(RAND()&lt;0.85,F_Baseline_data!C996+1,IF(F_Baseline_data!C996&gt;3,C996-1,F_Baseline_data!C996)))</f>
        <v>7</v>
      </c>
      <c r="D996">
        <f ca="1">MAX(5000,ROUND(F_Baseline_data!D996*(1+_xlfn.NORM.INV(RAND(),0.12,0.1)),-2))</f>
        <v>27900</v>
      </c>
      <c r="E996" t="str">
        <f ca="1">IF(I996=1,IF(RAND()&lt;0.95,"Piped Water",F_Baseline_data!E996),F_Baseline_data!E996)</f>
        <v>Piped Water</v>
      </c>
      <c r="F996">
        <f t="shared" ca="1" si="30"/>
        <v>4</v>
      </c>
      <c r="G996">
        <v>8.6999999999999993</v>
      </c>
      <c r="H996">
        <f ca="1">MAX(0,ROUND(F_Baseline_data!H996+(F_Baseline_data!C996-5)*200+(D996-30000)*0.015+(F996-50)*15-IF(I996=1,1200,0)+_xlfn.NORM.INV(RAND(),0,2500),-2))</f>
        <v>7800</v>
      </c>
      <c r="I996">
        <v>1</v>
      </c>
      <c r="J996">
        <f>1</f>
        <v>1</v>
      </c>
      <c r="K996">
        <f>1</f>
        <v>1</v>
      </c>
      <c r="L996">
        <v>0</v>
      </c>
      <c r="M996">
        <f t="shared" ca="1" si="31"/>
        <v>0.76887406473285425</v>
      </c>
      <c r="N996">
        <v>0</v>
      </c>
      <c r="O996">
        <v>0</v>
      </c>
      <c r="P996">
        <v>0</v>
      </c>
    </row>
    <row r="997" spans="1:16" x14ac:dyDescent="0.3">
      <c r="A997" t="s">
        <v>1109</v>
      </c>
      <c r="B997" t="s">
        <v>513</v>
      </c>
      <c r="C997">
        <f ca="1">IF(RAND()&lt;0.8,F_Baseline_data!C997,IF(RAND()&lt;0.85,F_Baseline_data!C997+1,IF(F_Baseline_data!C997&gt;3,C997-1,F_Baseline_data!C997)))</f>
        <v>8</v>
      </c>
      <c r="D997">
        <f ca="1">MAX(5000,ROUND(F_Baseline_data!D997*(1+_xlfn.NORM.INV(RAND(),0.12,0.1)),-2))</f>
        <v>26300</v>
      </c>
      <c r="E997" t="str">
        <f ca="1">IF(I997=1,IF(RAND()&lt;0.95,"Piped Water",F_Baseline_data!E997),F_Baseline_data!E997)</f>
        <v>Piped Water</v>
      </c>
      <c r="F997">
        <f t="shared" ca="1" si="30"/>
        <v>7</v>
      </c>
      <c r="G997">
        <v>12.5</v>
      </c>
      <c r="H997">
        <f ca="1">MAX(0,ROUND(F_Baseline_data!H997+(F_Baseline_data!C997-5)*200+(D997-30000)*0.015+(F997-50)*15-IF(I997=1,1200,0)+_xlfn.NORM.INV(RAND(),0,2500),-2))</f>
        <v>9800</v>
      </c>
      <c r="I997">
        <v>1</v>
      </c>
      <c r="J997">
        <f>1</f>
        <v>1</v>
      </c>
      <c r="K997">
        <f>1</f>
        <v>1</v>
      </c>
      <c r="L997">
        <v>0</v>
      </c>
      <c r="M997">
        <f t="shared" ca="1" si="31"/>
        <v>0.42307705114044469</v>
      </c>
      <c r="N997">
        <v>0</v>
      </c>
      <c r="O997">
        <v>0</v>
      </c>
      <c r="P997">
        <v>0</v>
      </c>
    </row>
    <row r="998" spans="1:16" x14ac:dyDescent="0.3">
      <c r="A998" t="s">
        <v>1110</v>
      </c>
      <c r="B998" t="s">
        <v>62</v>
      </c>
      <c r="C998">
        <f ca="1">IF(RAND()&lt;0.8,F_Baseline_data!C998,IF(RAND()&lt;0.85,F_Baseline_data!C998+1,IF(F_Baseline_data!C998&gt;3,C998-1,F_Baseline_data!C998)))</f>
        <v>7</v>
      </c>
      <c r="D998">
        <f ca="1">MAX(5000,ROUND(F_Baseline_data!D998*(1+_xlfn.NORM.INV(RAND(),0.12,0.1)),-2))</f>
        <v>45700</v>
      </c>
      <c r="E998" t="str">
        <f ca="1">IF(I998=1,IF(RAND()&lt;0.95,"Piped Water",F_Baseline_data!E998),F_Baseline_data!E998)</f>
        <v>Piped Water</v>
      </c>
      <c r="F998">
        <f t="shared" ca="1" si="30"/>
        <v>5</v>
      </c>
      <c r="G998">
        <v>2</v>
      </c>
      <c r="H998">
        <f ca="1">MAX(0,ROUND(F_Baseline_data!H998+(F_Baseline_data!C998-5)*200+(D998-30000)*0.015+(F998-50)*15-IF(I998=1,1200,0)+_xlfn.NORM.INV(RAND(),0,2500),-2))</f>
        <v>7000</v>
      </c>
      <c r="I998">
        <v>1</v>
      </c>
      <c r="J998">
        <f>1</f>
        <v>1</v>
      </c>
      <c r="K998">
        <f>1</f>
        <v>1</v>
      </c>
      <c r="L998">
        <v>0</v>
      </c>
      <c r="M998">
        <f t="shared" ca="1" si="31"/>
        <v>0.44153326707198637</v>
      </c>
      <c r="N998">
        <v>0</v>
      </c>
      <c r="O998">
        <v>0</v>
      </c>
      <c r="P998">
        <v>0</v>
      </c>
    </row>
    <row r="999" spans="1:16" x14ac:dyDescent="0.3">
      <c r="A999" t="s">
        <v>1111</v>
      </c>
      <c r="B999" t="s">
        <v>62</v>
      </c>
      <c r="C999">
        <f ca="1">IF(RAND()&lt;0.8,F_Baseline_data!C999,IF(RAND()&lt;0.85,F_Baseline_data!C999+1,IF(F_Baseline_data!C999&gt;3,C999-1,F_Baseline_data!C999)))</f>
        <v>7</v>
      </c>
      <c r="D999">
        <f ca="1">MAX(5000,ROUND(F_Baseline_data!D999*(1+_xlfn.NORM.INV(RAND(),0.12,0.1)),-2))</f>
        <v>21500</v>
      </c>
      <c r="E999" t="str">
        <f ca="1">IF(I999=1,IF(RAND()&lt;0.95,"Piped Water",F_Baseline_data!E999),F_Baseline_data!E999)</f>
        <v>Piped Water</v>
      </c>
      <c r="F999">
        <f t="shared" ca="1" si="30"/>
        <v>3</v>
      </c>
      <c r="G999">
        <v>9.3000000000000007</v>
      </c>
      <c r="H999">
        <f ca="1">MAX(0,ROUND(F_Baseline_data!H999+(F_Baseline_data!C999-5)*200+(D999-30000)*0.015+(F999-50)*15-IF(I999=1,1200,0)+_xlfn.NORM.INV(RAND(),0,2500),-2))</f>
        <v>10400</v>
      </c>
      <c r="I999">
        <v>1</v>
      </c>
      <c r="J999">
        <f>1</f>
        <v>1</v>
      </c>
      <c r="K999">
        <f>1</f>
        <v>1</v>
      </c>
      <c r="L999">
        <v>0</v>
      </c>
      <c r="M999">
        <f t="shared" ca="1" si="31"/>
        <v>0.70429705615679172</v>
      </c>
      <c r="N999">
        <v>0</v>
      </c>
      <c r="O999">
        <v>0</v>
      </c>
      <c r="P999">
        <v>0</v>
      </c>
    </row>
    <row r="1000" spans="1:16" x14ac:dyDescent="0.3">
      <c r="A1000" t="s">
        <v>1112</v>
      </c>
      <c r="B1000" t="s">
        <v>513</v>
      </c>
      <c r="C1000">
        <f ca="1">IF(RAND()&lt;0.8,F_Baseline_data!C1000,IF(RAND()&lt;0.85,F_Baseline_data!C1000+1,IF(F_Baseline_data!C1000&gt;3,C1000-1,F_Baseline_data!C1000)))</f>
        <v>10</v>
      </c>
      <c r="D1000">
        <f ca="1">MAX(5000,ROUND(F_Baseline_data!D1000*(1+_xlfn.NORM.INV(RAND(),0.12,0.1)),-2))</f>
        <v>17800</v>
      </c>
      <c r="E1000" t="str">
        <f ca="1">IF(I1000=1,IF(RAND()&lt;0.95,"Piped Water",F_Baseline_data!E1000),F_Baseline_data!E1000)</f>
        <v>Piped Water</v>
      </c>
      <c r="F1000">
        <f t="shared" ca="1" si="30"/>
        <v>2</v>
      </c>
      <c r="G1000">
        <v>14.2</v>
      </c>
      <c r="H1000">
        <f ca="1">MAX(0,ROUND(F_Baseline_data!H1000+(F_Baseline_data!C1000-5)*200+(D1000-30000)*0.015+(F1000-50)*15-IF(I1000=1,1200,0)+_xlfn.NORM.INV(RAND(),0,2500),-2))</f>
        <v>2200</v>
      </c>
      <c r="I1000">
        <v>1</v>
      </c>
      <c r="J1000">
        <f>1</f>
        <v>1</v>
      </c>
      <c r="K1000">
        <f>1</f>
        <v>1</v>
      </c>
      <c r="L1000">
        <v>0</v>
      </c>
      <c r="M1000">
        <f t="shared" ca="1" si="31"/>
        <v>0.68054619004219341</v>
      </c>
      <c r="N1000">
        <v>0</v>
      </c>
      <c r="O1000">
        <v>0</v>
      </c>
      <c r="P1000">
        <v>0</v>
      </c>
    </row>
    <row r="1001" spans="1:16" x14ac:dyDescent="0.3">
      <c r="A1001" t="s">
        <v>1113</v>
      </c>
      <c r="B1001" t="s">
        <v>65</v>
      </c>
      <c r="C1001">
        <f ca="1">IF(RAND()&lt;0.8,F_Baseline_data!C1001,IF(RAND()&lt;0.85,F_Baseline_data!C1001+1,IF(F_Baseline_data!C1001&gt;3,C1001-1,F_Baseline_data!C1001)))</f>
        <v>6</v>
      </c>
      <c r="D1001">
        <f ca="1">MAX(5000,ROUND(F_Baseline_data!D1001*(1+_xlfn.NORM.INV(RAND(),0.12,0.1)),-2))</f>
        <v>122300</v>
      </c>
      <c r="E1001" t="str">
        <f ca="1">IF(I1001=1,IF(RAND()&lt;0.95,"Piped Water",F_Baseline_data!E1001),F_Baseline_data!E1001)</f>
        <v>Piped Water</v>
      </c>
      <c r="F1001">
        <f t="shared" ca="1" si="30"/>
        <v>9</v>
      </c>
      <c r="G1001">
        <v>8.4</v>
      </c>
      <c r="H1001">
        <f ca="1">MAX(0,ROUND(F_Baseline_data!H1001+(F_Baseline_data!C1001-5)*200+(D1001-30000)*0.015+(F1001-50)*15-IF(I1001=1,1200,0)+_xlfn.NORM.INV(RAND(),0,2500),-2))</f>
        <v>9200</v>
      </c>
      <c r="I1001">
        <v>1</v>
      </c>
      <c r="J1001">
        <f>1</f>
        <v>1</v>
      </c>
      <c r="K1001">
        <f>1</f>
        <v>1</v>
      </c>
      <c r="L1001">
        <v>0</v>
      </c>
      <c r="M1001">
        <f t="shared" ca="1" si="31"/>
        <v>0.53351822935747228</v>
      </c>
      <c r="N1001">
        <v>0</v>
      </c>
      <c r="O1001">
        <v>0</v>
      </c>
      <c r="P1001">
        <v>0</v>
      </c>
    </row>
    <row r="1002" spans="1:16" x14ac:dyDescent="0.3">
      <c r="A1002" t="s">
        <v>1114</v>
      </c>
      <c r="B1002" t="s">
        <v>64</v>
      </c>
      <c r="C1002">
        <f ca="1">IF(RAND()&lt;0.8,F_Baseline_data!C1002,IF(RAND()&lt;0.85,F_Baseline_data!C1002+1,IF(F_Baseline_data!C1002&gt;3,C1002-1,F_Baseline_data!C1002)))</f>
        <v>6</v>
      </c>
      <c r="D1002">
        <f ca="1">MAX(5000,ROUND(F_Baseline_data!D1002*(1+_xlfn.NORM.INV(RAND(),0.12,0.1)),-2))</f>
        <v>25000</v>
      </c>
      <c r="E1002" t="str">
        <f ca="1">IF(I1002=1,IF(RAND()&lt;0.95,"Piped Water",F_Baseline_data!E1002),F_Baseline_data!E1002)</f>
        <v>Piped Water</v>
      </c>
      <c r="F1002">
        <f t="shared" ca="1" si="30"/>
        <v>2</v>
      </c>
      <c r="G1002">
        <v>5.8</v>
      </c>
      <c r="H1002">
        <f ca="1">MAX(0,ROUND(F_Baseline_data!H1002+(F_Baseline_data!C1002-5)*200+(D1002-30000)*0.015+(F1002-50)*15-IF(I1002=1,1200,0)+_xlfn.NORM.INV(RAND(),0,2500),-2))</f>
        <v>4800</v>
      </c>
      <c r="I1002">
        <v>1</v>
      </c>
      <c r="J1002">
        <f>1</f>
        <v>1</v>
      </c>
      <c r="K1002">
        <f>1</f>
        <v>1</v>
      </c>
      <c r="L1002">
        <v>0</v>
      </c>
      <c r="M1002">
        <f t="shared" ca="1" si="31"/>
        <v>0.66531818882794702</v>
      </c>
      <c r="N1002">
        <v>0</v>
      </c>
      <c r="O1002">
        <v>0</v>
      </c>
      <c r="P1002">
        <v>0</v>
      </c>
    </row>
    <row r="1003" spans="1:16" x14ac:dyDescent="0.3">
      <c r="A1003" t="s">
        <v>1115</v>
      </c>
      <c r="B1003" t="s">
        <v>513</v>
      </c>
      <c r="C1003">
        <f ca="1">IF(RAND()&lt;0.8,F_Baseline_data!C1003,IF(RAND()&lt;0.85,F_Baseline_data!C1003+1,IF(F_Baseline_data!C1003&gt;3,C1003-1,F_Baseline_data!C1003)))</f>
        <v>4</v>
      </c>
      <c r="D1003">
        <f ca="1">MAX(5000,ROUND(F_Baseline_data!D1003*(1+_xlfn.NORM.INV(RAND(),0.12,0.1)),-2))</f>
        <v>38200</v>
      </c>
      <c r="E1003" t="str">
        <f ca="1">IF(I1003=1,IF(RAND()&lt;0.95,"Piped Water",F_Baseline_data!E1003),F_Baseline_data!E1003)</f>
        <v>Piped Water</v>
      </c>
      <c r="F1003">
        <f t="shared" ca="1" si="30"/>
        <v>4</v>
      </c>
      <c r="G1003">
        <v>3.3</v>
      </c>
      <c r="H1003">
        <f ca="1">MAX(0,ROUND(F_Baseline_data!H1003+(F_Baseline_data!C1003-5)*200+(D1003-30000)*0.015+(F1003-50)*15-IF(I1003=1,1200,0)+_xlfn.NORM.INV(RAND(),0,2500),-2))</f>
        <v>300</v>
      </c>
      <c r="I1003">
        <v>1</v>
      </c>
      <c r="J1003">
        <f>1</f>
        <v>1</v>
      </c>
      <c r="K1003">
        <f>1</f>
        <v>1</v>
      </c>
      <c r="L1003">
        <v>0</v>
      </c>
      <c r="M1003">
        <f t="shared" ca="1" si="31"/>
        <v>0.29131959138513841</v>
      </c>
      <c r="N1003">
        <v>0</v>
      </c>
      <c r="O1003">
        <v>0</v>
      </c>
      <c r="P1003">
        <v>0</v>
      </c>
    </row>
    <row r="1004" spans="1:16" x14ac:dyDescent="0.3">
      <c r="A1004" t="s">
        <v>1116</v>
      </c>
      <c r="B1004" t="s">
        <v>513</v>
      </c>
      <c r="C1004">
        <f ca="1">IF(RAND()&lt;0.8,F_Baseline_data!C1004,IF(RAND()&lt;0.85,F_Baseline_data!C1004+1,IF(F_Baseline_data!C1004&gt;3,C1004-1,F_Baseline_data!C1004)))</f>
        <v>9</v>
      </c>
      <c r="D1004">
        <f ca="1">MAX(5000,ROUND(F_Baseline_data!D1004*(1+_xlfn.NORM.INV(RAND(),0.12,0.1)),-2))</f>
        <v>24900</v>
      </c>
      <c r="E1004" t="str">
        <f ca="1">IF(I1004=1,IF(RAND()&lt;0.95,"Piped Water",F_Baseline_data!E1004),F_Baseline_data!E1004)</f>
        <v>Piped Water</v>
      </c>
      <c r="F1004">
        <f t="shared" ca="1" si="30"/>
        <v>4</v>
      </c>
      <c r="G1004">
        <v>11.9</v>
      </c>
      <c r="H1004">
        <f ca="1">MAX(0,ROUND(F_Baseline_data!H1004+(F_Baseline_data!C1004-5)*200+(D1004-30000)*0.015+(F1004-50)*15-IF(I1004=1,1200,0)+_xlfn.NORM.INV(RAND(),0,2500),-2))</f>
        <v>4600</v>
      </c>
      <c r="I1004">
        <v>1</v>
      </c>
      <c r="J1004">
        <f>1</f>
        <v>1</v>
      </c>
      <c r="K1004">
        <f>1</f>
        <v>1</v>
      </c>
      <c r="L1004">
        <v>0</v>
      </c>
      <c r="M1004">
        <f t="shared" ca="1" si="31"/>
        <v>0.4075547429520171</v>
      </c>
      <c r="N1004">
        <v>0</v>
      </c>
      <c r="O1004">
        <v>0</v>
      </c>
      <c r="P1004">
        <v>0</v>
      </c>
    </row>
    <row r="1005" spans="1:16" x14ac:dyDescent="0.3">
      <c r="A1005" t="s">
        <v>1117</v>
      </c>
      <c r="B1005" t="s">
        <v>64</v>
      </c>
      <c r="C1005">
        <f ca="1">IF(RAND()&lt;0.8,F_Baseline_data!C1005,IF(RAND()&lt;0.85,F_Baseline_data!C1005+1,IF(F_Baseline_data!C1005&gt;3,C1005-1,F_Baseline_data!C1005)))</f>
        <v>4</v>
      </c>
      <c r="D1005">
        <f ca="1">MAX(5000,ROUND(F_Baseline_data!D1005*(1+_xlfn.NORM.INV(RAND(),0.12,0.1)),-2))</f>
        <v>22500</v>
      </c>
      <c r="E1005" t="str">
        <f ca="1">IF(I1005=1,IF(RAND()&lt;0.95,"Piped Water",F_Baseline_data!E1005),F_Baseline_data!E1005)</f>
        <v>Piped Water</v>
      </c>
      <c r="F1005">
        <f t="shared" ca="1" si="30"/>
        <v>6</v>
      </c>
      <c r="G1005">
        <v>7.1</v>
      </c>
      <c r="H1005">
        <f ca="1">MAX(0,ROUND(F_Baseline_data!H1005+(F_Baseline_data!C1005-5)*200+(D1005-30000)*0.015+(F1005-50)*15-IF(I1005=1,1200,0)+_xlfn.NORM.INV(RAND(),0,2500),-2))</f>
        <v>6100</v>
      </c>
      <c r="I1005">
        <v>1</v>
      </c>
      <c r="J1005">
        <f>1</f>
        <v>1</v>
      </c>
      <c r="K1005">
        <f>1</f>
        <v>1</v>
      </c>
      <c r="L1005">
        <v>0</v>
      </c>
      <c r="M1005">
        <f t="shared" ca="1" si="31"/>
        <v>0.66237278933001908</v>
      </c>
      <c r="N1005">
        <v>0</v>
      </c>
      <c r="O1005">
        <v>0</v>
      </c>
      <c r="P1005">
        <v>0</v>
      </c>
    </row>
    <row r="1006" spans="1:16" x14ac:dyDescent="0.3">
      <c r="A1006" t="s">
        <v>1118</v>
      </c>
      <c r="B1006" t="s">
        <v>62</v>
      </c>
      <c r="C1006">
        <f ca="1">IF(RAND()&lt;0.8,F_Baseline_data!C1006,IF(RAND()&lt;0.85,F_Baseline_data!C1006+1,IF(F_Baseline_data!C1006&gt;3,C1006-1,F_Baseline_data!C1006)))</f>
        <v>1</v>
      </c>
      <c r="D1006">
        <f ca="1">MAX(5000,ROUND(F_Baseline_data!D1006*(1+_xlfn.NORM.INV(RAND(),0.12,0.1)),-2))</f>
        <v>55000</v>
      </c>
      <c r="E1006" t="str">
        <f ca="1">IF(I1006=1,IF(RAND()&lt;0.95,"Piped Water",F_Baseline_data!E1006),F_Baseline_data!E1006)</f>
        <v>Piped Water</v>
      </c>
      <c r="F1006">
        <f t="shared" ca="1" si="30"/>
        <v>1</v>
      </c>
      <c r="G1006">
        <v>9.1</v>
      </c>
      <c r="H1006">
        <f ca="1">MAX(0,ROUND(F_Baseline_data!H1006+(F_Baseline_data!C1006-5)*200+(D1006-30000)*0.015+(F1006-50)*15-IF(I1006=1,1200,0)+_xlfn.NORM.INV(RAND(),0,2500),-2))</f>
        <v>0</v>
      </c>
      <c r="I1006">
        <v>1</v>
      </c>
      <c r="J1006">
        <f>1</f>
        <v>1</v>
      </c>
      <c r="K1006">
        <f>1</f>
        <v>1</v>
      </c>
      <c r="L1006">
        <v>0</v>
      </c>
      <c r="M1006">
        <f t="shared" ca="1" si="31"/>
        <v>0.86725582823430791</v>
      </c>
      <c r="N1006">
        <v>0</v>
      </c>
      <c r="O1006">
        <v>0</v>
      </c>
      <c r="P1006">
        <v>0</v>
      </c>
    </row>
    <row r="1007" spans="1:16" x14ac:dyDescent="0.3">
      <c r="A1007" t="s">
        <v>1119</v>
      </c>
      <c r="B1007" t="s">
        <v>513</v>
      </c>
      <c r="C1007">
        <f ca="1">IF(RAND()&lt;0.8,F_Baseline_data!C1007,IF(RAND()&lt;0.85,F_Baseline_data!C1007+1,IF(F_Baseline_data!C1007&gt;3,C1007-1,F_Baseline_data!C1007)))</f>
        <v>4</v>
      </c>
      <c r="D1007">
        <f ca="1">MAX(5000,ROUND(F_Baseline_data!D1007*(1+_xlfn.NORM.INV(RAND(),0.12,0.1)),-2))</f>
        <v>36500</v>
      </c>
      <c r="E1007" t="str">
        <f ca="1">IF(I1007=1,IF(RAND()&lt;0.95,"Piped Water",F_Baseline_data!E1007),F_Baseline_data!E1007)</f>
        <v>Piped Water</v>
      </c>
      <c r="F1007">
        <f t="shared" ca="1" si="30"/>
        <v>1</v>
      </c>
      <c r="G1007">
        <v>6</v>
      </c>
      <c r="H1007">
        <f ca="1">MAX(0,ROUND(F_Baseline_data!H1007+(F_Baseline_data!C1007-5)*200+(D1007-30000)*0.015+(F1007-50)*15-IF(I1007=1,1200,0)+_xlfn.NORM.INV(RAND(),0,2500),-2))</f>
        <v>10000</v>
      </c>
      <c r="I1007">
        <v>1</v>
      </c>
      <c r="J1007">
        <f>1</f>
        <v>1</v>
      </c>
      <c r="K1007">
        <f>1</f>
        <v>1</v>
      </c>
      <c r="L1007">
        <v>0</v>
      </c>
      <c r="M1007">
        <f t="shared" ca="1" si="31"/>
        <v>0.46912396272063861</v>
      </c>
      <c r="N1007">
        <v>0</v>
      </c>
      <c r="O1007">
        <v>0</v>
      </c>
      <c r="P1007">
        <v>0</v>
      </c>
    </row>
    <row r="1008" spans="1:16" x14ac:dyDescent="0.3">
      <c r="A1008" t="s">
        <v>1120</v>
      </c>
      <c r="B1008" t="s">
        <v>64</v>
      </c>
      <c r="C1008">
        <f ca="1">IF(RAND()&lt;0.8,F_Baseline_data!C1008,IF(RAND()&lt;0.85,F_Baseline_data!C1008+1,IF(F_Baseline_data!C1008&gt;3,C1008-1,F_Baseline_data!C1008)))</f>
        <v>4</v>
      </c>
      <c r="D1008">
        <f ca="1">MAX(5000,ROUND(F_Baseline_data!D1008*(1+_xlfn.NORM.INV(RAND(),0.12,0.1)),-2))</f>
        <v>19100</v>
      </c>
      <c r="E1008" t="str">
        <f ca="1">IF(I1008=1,IF(RAND()&lt;0.95,"Piped Water",F_Baseline_data!E1008),F_Baseline_data!E1008)</f>
        <v>Piped Water</v>
      </c>
      <c r="F1008">
        <f t="shared" ca="1" si="30"/>
        <v>9</v>
      </c>
      <c r="G1008">
        <v>2.5</v>
      </c>
      <c r="H1008">
        <f ca="1">MAX(0,ROUND(F_Baseline_data!H1008+(F_Baseline_data!C1008-5)*200+(D1008-30000)*0.015+(F1008-50)*15-IF(I1008=1,1200,0)+_xlfn.NORM.INV(RAND(),0,2500),-2))</f>
        <v>0</v>
      </c>
      <c r="I1008">
        <v>1</v>
      </c>
      <c r="J1008">
        <f>1</f>
        <v>1</v>
      </c>
      <c r="K1008">
        <f>1</f>
        <v>1</v>
      </c>
      <c r="L1008">
        <v>0</v>
      </c>
      <c r="M1008">
        <f t="shared" ca="1" si="31"/>
        <v>0.12985663305193251</v>
      </c>
      <c r="N1008">
        <v>0</v>
      </c>
      <c r="O1008">
        <v>0</v>
      </c>
      <c r="P1008">
        <v>0</v>
      </c>
    </row>
    <row r="1009" spans="1:16" x14ac:dyDescent="0.3">
      <c r="A1009" t="s">
        <v>1121</v>
      </c>
      <c r="B1009" t="s">
        <v>64</v>
      </c>
      <c r="C1009">
        <f ca="1">IF(RAND()&lt;0.8,F_Baseline_data!C1009,IF(RAND()&lt;0.85,F_Baseline_data!C1009+1,IF(F_Baseline_data!C1009&gt;3,C1009-1,F_Baseline_data!C1009)))</f>
        <v>6</v>
      </c>
      <c r="D1009">
        <f ca="1">MAX(5000,ROUND(F_Baseline_data!D1009*(1+_xlfn.NORM.INV(RAND(),0.12,0.1)),-2))</f>
        <v>33600</v>
      </c>
      <c r="E1009" t="str">
        <f ca="1">IF(I1009=1,IF(RAND()&lt;0.95,"Piped Water",F_Baseline_data!E1009),F_Baseline_data!E1009)</f>
        <v>Piped Water</v>
      </c>
      <c r="F1009">
        <f t="shared" ca="1" si="30"/>
        <v>5</v>
      </c>
      <c r="G1009">
        <v>1.9</v>
      </c>
      <c r="H1009">
        <f ca="1">MAX(0,ROUND(F_Baseline_data!H1009+(F_Baseline_data!C1009-5)*200+(D1009-30000)*0.015+(F1009-50)*15-IF(I1009=1,1200,0)+_xlfn.NORM.INV(RAND(),0,2500),-2))</f>
        <v>2500</v>
      </c>
      <c r="I1009">
        <v>1</v>
      </c>
      <c r="J1009">
        <f>1</f>
        <v>1</v>
      </c>
      <c r="K1009">
        <f>1</f>
        <v>1</v>
      </c>
      <c r="L1009">
        <v>0</v>
      </c>
      <c r="M1009">
        <f t="shared" ca="1" si="31"/>
        <v>0.12710988079920482</v>
      </c>
      <c r="N1009">
        <v>0</v>
      </c>
      <c r="O1009">
        <v>0</v>
      </c>
      <c r="P1009">
        <v>0</v>
      </c>
    </row>
    <row r="1010" spans="1:16" x14ac:dyDescent="0.3">
      <c r="A1010" t="s">
        <v>1122</v>
      </c>
      <c r="B1010" t="s">
        <v>65</v>
      </c>
      <c r="C1010">
        <f ca="1">IF(RAND()&lt;0.8,F_Baseline_data!C1010,IF(RAND()&lt;0.85,F_Baseline_data!C1010+1,IF(F_Baseline_data!C1010&gt;3,C1010-1,F_Baseline_data!C1010)))</f>
        <v>3</v>
      </c>
      <c r="D1010">
        <f ca="1">MAX(5000,ROUND(F_Baseline_data!D1010*(1+_xlfn.NORM.INV(RAND(),0.12,0.1)),-2))</f>
        <v>57500</v>
      </c>
      <c r="E1010" t="str">
        <f ca="1">IF(I1010=1,IF(RAND()&lt;0.95,"Piped Water",F_Baseline_data!E1010),F_Baseline_data!E1010)</f>
        <v>Piped Water</v>
      </c>
      <c r="F1010">
        <f t="shared" ca="1" si="30"/>
        <v>7</v>
      </c>
      <c r="G1010">
        <v>10.8</v>
      </c>
      <c r="H1010">
        <f ca="1">MAX(0,ROUND(F_Baseline_data!H1010+(F_Baseline_data!C1010-5)*200+(D1010-30000)*0.015+(F1010-50)*15-IF(I1010=1,1200,0)+_xlfn.NORM.INV(RAND(),0,2500),-2))</f>
        <v>7200</v>
      </c>
      <c r="I1010">
        <v>1</v>
      </c>
      <c r="J1010">
        <f>1</f>
        <v>1</v>
      </c>
      <c r="K1010">
        <f>1</f>
        <v>1</v>
      </c>
      <c r="L1010">
        <v>0</v>
      </c>
      <c r="M1010">
        <f t="shared" ca="1" si="31"/>
        <v>0.3930401396518739</v>
      </c>
      <c r="N1010">
        <v>0</v>
      </c>
      <c r="O1010">
        <v>0</v>
      </c>
      <c r="P1010">
        <v>0</v>
      </c>
    </row>
    <row r="1011" spans="1:16" x14ac:dyDescent="0.3">
      <c r="A1011" t="s">
        <v>1123</v>
      </c>
      <c r="B1011" t="s">
        <v>513</v>
      </c>
      <c r="C1011">
        <f ca="1">IF(RAND()&lt;0.8,F_Baseline_data!C1011,IF(RAND()&lt;0.85,F_Baseline_data!C1011+1,IF(F_Baseline_data!C1011&gt;3,C1011-1,F_Baseline_data!C1011)))</f>
        <v>4</v>
      </c>
      <c r="D1011">
        <f ca="1">MAX(5000,ROUND(F_Baseline_data!D1011*(1+_xlfn.NORM.INV(RAND(),0.12,0.1)),-2))</f>
        <v>95300</v>
      </c>
      <c r="E1011" t="str">
        <f ca="1">IF(I1011=1,IF(RAND()&lt;0.95,"Piped Water",F_Baseline_data!E1011),F_Baseline_data!E1011)</f>
        <v>Piped Water</v>
      </c>
      <c r="F1011">
        <f t="shared" ca="1" si="30"/>
        <v>0</v>
      </c>
      <c r="G1011">
        <v>11.6</v>
      </c>
      <c r="H1011">
        <f ca="1">MAX(0,ROUND(F_Baseline_data!H1011+(F_Baseline_data!C1011-5)*200+(D1011-30000)*0.015+(F1011-50)*15-IF(I1011=1,1200,0)+_xlfn.NORM.INV(RAND(),0,2500),-2))</f>
        <v>15900</v>
      </c>
      <c r="I1011">
        <v>1</v>
      </c>
      <c r="J1011">
        <f>1</f>
        <v>1</v>
      </c>
      <c r="K1011">
        <f>1</f>
        <v>1</v>
      </c>
      <c r="L1011">
        <v>0</v>
      </c>
      <c r="M1011">
        <f t="shared" ca="1" si="31"/>
        <v>0.70089332983651376</v>
      </c>
      <c r="N1011">
        <v>0</v>
      </c>
      <c r="O1011">
        <v>0</v>
      </c>
      <c r="P1011">
        <v>0</v>
      </c>
    </row>
    <row r="1012" spans="1:16" x14ac:dyDescent="0.3">
      <c r="A1012" t="s">
        <v>1124</v>
      </c>
      <c r="B1012" t="s">
        <v>64</v>
      </c>
      <c r="C1012">
        <f ca="1">IF(RAND()&lt;0.8,F_Baseline_data!C1012,IF(RAND()&lt;0.85,F_Baseline_data!C1012+1,IF(F_Baseline_data!C1012&gt;3,C1012-1,F_Baseline_data!C1012)))</f>
        <v>7</v>
      </c>
      <c r="D1012">
        <f ca="1">MAX(5000,ROUND(F_Baseline_data!D1012*(1+_xlfn.NORM.INV(RAND(),0.12,0.1)),-2))</f>
        <v>22200</v>
      </c>
      <c r="E1012" t="str">
        <f ca="1">IF(I1012=1,IF(RAND()&lt;0.95,"Piped Water",F_Baseline_data!E1012),F_Baseline_data!E1012)</f>
        <v>Piped Water</v>
      </c>
      <c r="F1012">
        <f t="shared" ca="1" si="30"/>
        <v>6</v>
      </c>
      <c r="G1012">
        <v>1.5</v>
      </c>
      <c r="H1012">
        <f ca="1">MAX(0,ROUND(F_Baseline_data!H1012+(F_Baseline_data!C1012-5)*200+(D1012-30000)*0.015+(F1012-50)*15-IF(I1012=1,1200,0)+_xlfn.NORM.INV(RAND(),0,2500),-2))</f>
        <v>4000</v>
      </c>
      <c r="I1012">
        <v>1</v>
      </c>
      <c r="J1012">
        <f>1</f>
        <v>1</v>
      </c>
      <c r="K1012">
        <f>1</f>
        <v>1</v>
      </c>
      <c r="L1012">
        <v>0</v>
      </c>
      <c r="M1012">
        <f t="shared" ca="1" si="31"/>
        <v>0.33448901693035171</v>
      </c>
      <c r="N1012">
        <v>0</v>
      </c>
      <c r="O1012">
        <v>0</v>
      </c>
      <c r="P1012">
        <v>0</v>
      </c>
    </row>
    <row r="1013" spans="1:16" x14ac:dyDescent="0.3">
      <c r="A1013" t="s">
        <v>1125</v>
      </c>
      <c r="B1013" t="s">
        <v>513</v>
      </c>
      <c r="C1013">
        <f ca="1">IF(RAND()&lt;0.8,F_Baseline_data!C1013,IF(RAND()&lt;0.85,F_Baseline_data!C1013+1,IF(F_Baseline_data!C1013&gt;3,C1013-1,F_Baseline_data!C1013)))</f>
        <v>7</v>
      </c>
      <c r="D1013">
        <f ca="1">MAX(5000,ROUND(F_Baseline_data!D1013*(1+_xlfn.NORM.INV(RAND(),0.12,0.1)),-2))</f>
        <v>35400</v>
      </c>
      <c r="E1013" t="str">
        <f ca="1">IF(I1013=1,IF(RAND()&lt;0.95,"Piped Water",F_Baseline_data!E1013),F_Baseline_data!E1013)</f>
        <v>Piped Water</v>
      </c>
      <c r="F1013">
        <f t="shared" ca="1" si="30"/>
        <v>1</v>
      </c>
      <c r="G1013">
        <v>11.4</v>
      </c>
      <c r="H1013">
        <f ca="1">MAX(0,ROUND(F_Baseline_data!H1013+(F_Baseline_data!C1013-5)*200+(D1013-30000)*0.015+(F1013-50)*15-IF(I1013=1,1200,0)+_xlfn.NORM.INV(RAND(),0,2500),-2))</f>
        <v>0</v>
      </c>
      <c r="I1013">
        <v>1</v>
      </c>
      <c r="J1013">
        <f>1</f>
        <v>1</v>
      </c>
      <c r="K1013">
        <f>1</f>
        <v>1</v>
      </c>
      <c r="L1013">
        <v>0</v>
      </c>
      <c r="M1013">
        <f t="shared" ca="1" si="31"/>
        <v>0.5107626218553033</v>
      </c>
      <c r="N1013">
        <v>0</v>
      </c>
      <c r="O1013">
        <v>0</v>
      </c>
      <c r="P1013">
        <v>0</v>
      </c>
    </row>
    <row r="1014" spans="1:16" x14ac:dyDescent="0.3">
      <c r="A1014" t="s">
        <v>1126</v>
      </c>
      <c r="B1014" t="s">
        <v>513</v>
      </c>
      <c r="C1014">
        <f ca="1">IF(RAND()&lt;0.8,F_Baseline_data!C1014,IF(RAND()&lt;0.85,F_Baseline_data!C1014+1,IF(F_Baseline_data!C1014&gt;3,C1014-1,F_Baseline_data!C1014)))</f>
        <v>6</v>
      </c>
      <c r="D1014">
        <f ca="1">MAX(5000,ROUND(F_Baseline_data!D1014*(1+_xlfn.NORM.INV(RAND(),0.12,0.1)),-2))</f>
        <v>29700</v>
      </c>
      <c r="E1014" t="str">
        <f ca="1">IF(I1014=1,IF(RAND()&lt;0.95,"Piped Water",F_Baseline_data!E1014),F_Baseline_data!E1014)</f>
        <v>River</v>
      </c>
      <c r="F1014">
        <f t="shared" ca="1" si="30"/>
        <v>120</v>
      </c>
      <c r="G1014">
        <v>1.3</v>
      </c>
      <c r="H1014">
        <f ca="1">MAX(0,ROUND(F_Baseline_data!H1014+(F_Baseline_data!C1014-5)*200+(D1014-30000)*0.015+(F1014-50)*15-IF(I1014=1,1200,0)+_xlfn.NORM.INV(RAND(),0,2500),-2))</f>
        <v>4700</v>
      </c>
      <c r="I1014">
        <v>1</v>
      </c>
      <c r="J1014">
        <f>1</f>
        <v>1</v>
      </c>
      <c r="K1014">
        <f>1</f>
        <v>1</v>
      </c>
      <c r="L1014">
        <v>0</v>
      </c>
      <c r="M1014">
        <f t="shared" ca="1" si="31"/>
        <v>0.47029468665409269</v>
      </c>
      <c r="N1014">
        <v>0</v>
      </c>
      <c r="O1014">
        <v>0</v>
      </c>
      <c r="P1014">
        <v>0</v>
      </c>
    </row>
    <row r="1015" spans="1:16" x14ac:dyDescent="0.3">
      <c r="A1015" t="s">
        <v>1127</v>
      </c>
      <c r="B1015" t="s">
        <v>65</v>
      </c>
      <c r="C1015">
        <f ca="1">IF(RAND()&lt;0.8,F_Baseline_data!C1015,IF(RAND()&lt;0.85,F_Baseline_data!C1015+1,IF(F_Baseline_data!C1015&gt;3,C1015-1,F_Baseline_data!C1015)))</f>
        <v>5</v>
      </c>
      <c r="D1015">
        <f ca="1">MAX(5000,ROUND(F_Baseline_data!D1015*(1+_xlfn.NORM.INV(RAND(),0.12,0.1)),-2))</f>
        <v>59000</v>
      </c>
      <c r="E1015" t="str">
        <f ca="1">IF(I1015=1,IF(RAND()&lt;0.95,"Piped Water",F_Baseline_data!E1015),F_Baseline_data!E1015)</f>
        <v>Piped Water</v>
      </c>
      <c r="F1015">
        <f t="shared" ca="1" si="30"/>
        <v>9</v>
      </c>
      <c r="G1015">
        <v>3.7</v>
      </c>
      <c r="H1015">
        <f ca="1">MAX(0,ROUND(F_Baseline_data!H1015+(F_Baseline_data!C1015-5)*200+(D1015-30000)*0.015+(F1015-50)*15-IF(I1015=1,1200,0)+_xlfn.NORM.INV(RAND(),0,2500),-2))</f>
        <v>3000</v>
      </c>
      <c r="I1015">
        <v>1</v>
      </c>
      <c r="J1015">
        <f>1</f>
        <v>1</v>
      </c>
      <c r="K1015">
        <f>1</f>
        <v>1</v>
      </c>
      <c r="L1015">
        <v>0</v>
      </c>
      <c r="M1015">
        <f t="shared" ca="1" si="31"/>
        <v>6.648137811778787E-2</v>
      </c>
      <c r="N1015">
        <v>0</v>
      </c>
      <c r="O1015">
        <v>0</v>
      </c>
      <c r="P1015">
        <v>0</v>
      </c>
    </row>
    <row r="1016" spans="1:16" x14ac:dyDescent="0.3">
      <c r="A1016" t="s">
        <v>1128</v>
      </c>
      <c r="B1016" t="s">
        <v>65</v>
      </c>
      <c r="C1016">
        <f ca="1">IF(RAND()&lt;0.8,F_Baseline_data!C1016,IF(RAND()&lt;0.85,F_Baseline_data!C1016+1,IF(F_Baseline_data!C1016&gt;3,C1016-1,F_Baseline_data!C1016)))</f>
        <v>2</v>
      </c>
      <c r="D1016">
        <f ca="1">MAX(5000,ROUND(F_Baseline_data!D1016*(1+_xlfn.NORM.INV(RAND(),0.12,0.1)),-2))</f>
        <v>31800</v>
      </c>
      <c r="E1016" t="str">
        <f ca="1">IF(I1016=1,IF(RAND()&lt;0.95,"Piped Water",F_Baseline_data!E1016),F_Baseline_data!E1016)</f>
        <v>Piped Water</v>
      </c>
      <c r="F1016">
        <f t="shared" ca="1" si="30"/>
        <v>9</v>
      </c>
      <c r="G1016">
        <v>11</v>
      </c>
      <c r="H1016">
        <f ca="1">MAX(0,ROUND(F_Baseline_data!H1016+(F_Baseline_data!C1016-5)*200+(D1016-30000)*0.015+(F1016-50)*15-IF(I1016=1,1200,0)+_xlfn.NORM.INV(RAND(),0,2500),-2))</f>
        <v>0</v>
      </c>
      <c r="I1016">
        <v>1</v>
      </c>
      <c r="J1016">
        <f>1</f>
        <v>1</v>
      </c>
      <c r="K1016">
        <f>1</f>
        <v>1</v>
      </c>
      <c r="L1016">
        <v>0</v>
      </c>
      <c r="M1016">
        <f t="shared" ca="1" si="31"/>
        <v>0.88036590641369972</v>
      </c>
      <c r="N1016">
        <v>0</v>
      </c>
      <c r="O1016">
        <v>0</v>
      </c>
      <c r="P1016">
        <v>0</v>
      </c>
    </row>
    <row r="1017" spans="1:16" x14ac:dyDescent="0.3">
      <c r="A1017" t="s">
        <v>1129</v>
      </c>
      <c r="B1017" t="s">
        <v>62</v>
      </c>
      <c r="C1017">
        <f ca="1">IF(RAND()&lt;0.8,F_Baseline_data!C1017,IF(RAND()&lt;0.85,F_Baseline_data!C1017+1,IF(F_Baseline_data!C1017&gt;3,C1017-1,F_Baseline_data!C1017)))</f>
        <v>3</v>
      </c>
      <c r="D1017">
        <f ca="1">MAX(5000,ROUND(F_Baseline_data!D1017*(1+_xlfn.NORM.INV(RAND(),0.12,0.1)),-2))</f>
        <v>23300</v>
      </c>
      <c r="E1017" t="str">
        <f ca="1">IF(I1017=1,IF(RAND()&lt;0.95,"Piped Water",F_Baseline_data!E1017),F_Baseline_data!E1017)</f>
        <v>Piped Water</v>
      </c>
      <c r="F1017">
        <f t="shared" ca="1" si="30"/>
        <v>3</v>
      </c>
      <c r="G1017">
        <v>5.0999999999999996</v>
      </c>
      <c r="H1017">
        <f ca="1">MAX(0,ROUND(F_Baseline_data!H1017+(F_Baseline_data!C1017-5)*200+(D1017-30000)*0.015+(F1017-50)*15-IF(I1017=1,1200,0)+_xlfn.NORM.INV(RAND(),0,2500),-2))</f>
        <v>6400</v>
      </c>
      <c r="I1017">
        <v>1</v>
      </c>
      <c r="J1017">
        <f>1</f>
        <v>1</v>
      </c>
      <c r="K1017">
        <f>1</f>
        <v>1</v>
      </c>
      <c r="L1017">
        <v>0</v>
      </c>
      <c r="M1017">
        <f t="shared" ca="1" si="31"/>
        <v>0.64395096287915188</v>
      </c>
      <c r="N1017">
        <v>0</v>
      </c>
      <c r="O1017">
        <v>0</v>
      </c>
      <c r="P1017">
        <v>0</v>
      </c>
    </row>
    <row r="1018" spans="1:16" x14ac:dyDescent="0.3">
      <c r="A1018" t="s">
        <v>1130</v>
      </c>
      <c r="B1018" t="s">
        <v>513</v>
      </c>
      <c r="C1018">
        <f ca="1">IF(RAND()&lt;0.8,F_Baseline_data!C1018,IF(RAND()&lt;0.85,F_Baseline_data!C1018+1,IF(F_Baseline_data!C1018&gt;3,C1018-1,F_Baseline_data!C1018)))</f>
        <v>10</v>
      </c>
      <c r="D1018">
        <f ca="1">MAX(5000,ROUND(F_Baseline_data!D1018*(1+_xlfn.NORM.INV(RAND(),0.12,0.1)),-2))</f>
        <v>108800</v>
      </c>
      <c r="E1018" t="str">
        <f ca="1">IF(I1018=1,IF(RAND()&lt;0.95,"Piped Water",F_Baseline_data!E1018),F_Baseline_data!E1018)</f>
        <v>Piped Water</v>
      </c>
      <c r="F1018">
        <f t="shared" ca="1" si="30"/>
        <v>9</v>
      </c>
      <c r="G1018">
        <v>5.8</v>
      </c>
      <c r="H1018">
        <f ca="1">MAX(0,ROUND(F_Baseline_data!H1018+(F_Baseline_data!C1018-5)*200+(D1018-30000)*0.015+(F1018-50)*15-IF(I1018=1,1200,0)+_xlfn.NORM.INV(RAND(),0,2500),-2))</f>
        <v>200</v>
      </c>
      <c r="I1018">
        <v>1</v>
      </c>
      <c r="J1018">
        <f>1</f>
        <v>1</v>
      </c>
      <c r="K1018">
        <f>1</f>
        <v>1</v>
      </c>
      <c r="L1018">
        <v>0</v>
      </c>
      <c r="M1018">
        <f t="shared" ca="1" si="31"/>
        <v>0.44345588132209901</v>
      </c>
      <c r="N1018">
        <v>0</v>
      </c>
      <c r="O1018">
        <v>0</v>
      </c>
      <c r="P1018">
        <v>0</v>
      </c>
    </row>
    <row r="1019" spans="1:16" x14ac:dyDescent="0.3">
      <c r="A1019" t="s">
        <v>1131</v>
      </c>
      <c r="B1019" t="s">
        <v>65</v>
      </c>
      <c r="C1019">
        <f ca="1">IF(RAND()&lt;0.8,F_Baseline_data!C1019,IF(RAND()&lt;0.85,F_Baseline_data!C1019+1,IF(F_Baseline_data!C1019&gt;3,C1019-1,F_Baseline_data!C1019)))</f>
        <v>5</v>
      </c>
      <c r="D1019">
        <f ca="1">MAX(5000,ROUND(F_Baseline_data!D1019*(1+_xlfn.NORM.INV(RAND(),0.12,0.1)),-2))</f>
        <v>47100</v>
      </c>
      <c r="E1019" t="str">
        <f ca="1">IF(I1019=1,IF(RAND()&lt;0.95,"Piped Water",F_Baseline_data!E1019),F_Baseline_data!E1019)</f>
        <v>Piped Water</v>
      </c>
      <c r="F1019">
        <f t="shared" ca="1" si="30"/>
        <v>7</v>
      </c>
      <c r="G1019">
        <v>2.2000000000000002</v>
      </c>
      <c r="H1019">
        <f ca="1">MAX(0,ROUND(F_Baseline_data!H1019+(F_Baseline_data!C1019-5)*200+(D1019-30000)*0.015+(F1019-50)*15-IF(I1019=1,1200,0)+_xlfn.NORM.INV(RAND(),0,2500),-2))</f>
        <v>4600</v>
      </c>
      <c r="I1019">
        <v>1</v>
      </c>
      <c r="J1019">
        <f>1</f>
        <v>1</v>
      </c>
      <c r="K1019">
        <f>1</f>
        <v>1</v>
      </c>
      <c r="L1019">
        <v>0</v>
      </c>
      <c r="M1019">
        <f t="shared" ca="1" si="31"/>
        <v>0.11371986170759163</v>
      </c>
      <c r="N1019">
        <v>0</v>
      </c>
      <c r="O1019">
        <v>0</v>
      </c>
      <c r="P1019">
        <v>0</v>
      </c>
    </row>
    <row r="1020" spans="1:16" x14ac:dyDescent="0.3">
      <c r="A1020" t="s">
        <v>1132</v>
      </c>
      <c r="B1020" t="s">
        <v>65</v>
      </c>
      <c r="C1020">
        <f ca="1">IF(RAND()&lt;0.8,F_Baseline_data!C1020,IF(RAND()&lt;0.85,F_Baseline_data!C1020+1,IF(F_Baseline_data!C1020&gt;3,C1020-1,F_Baseline_data!C1020)))</f>
        <v>5</v>
      </c>
      <c r="D1020">
        <f ca="1">MAX(5000,ROUND(F_Baseline_data!D1020*(1+_xlfn.NORM.INV(RAND(),0.12,0.1)),-2))</f>
        <v>157800</v>
      </c>
      <c r="E1020" t="str">
        <f ca="1">IF(I1020=1,IF(RAND()&lt;0.95,"Piped Water",F_Baseline_data!E1020),F_Baseline_data!E1020)</f>
        <v>Piped Water</v>
      </c>
      <c r="F1020">
        <f t="shared" ca="1" si="30"/>
        <v>1</v>
      </c>
      <c r="G1020">
        <v>11.7</v>
      </c>
      <c r="H1020">
        <f ca="1">MAX(0,ROUND(F_Baseline_data!H1020+(F_Baseline_data!C1020-5)*200+(D1020-30000)*0.015+(F1020-50)*15-IF(I1020=1,1200,0)+_xlfn.NORM.INV(RAND(),0,2500),-2))</f>
        <v>11100</v>
      </c>
      <c r="I1020">
        <v>1</v>
      </c>
      <c r="J1020">
        <f>1</f>
        <v>1</v>
      </c>
      <c r="K1020">
        <f>1</f>
        <v>1</v>
      </c>
      <c r="L1020">
        <v>0</v>
      </c>
      <c r="M1020">
        <f t="shared" ca="1" si="31"/>
        <v>3.8770460983544086E-2</v>
      </c>
      <c r="N1020">
        <v>0</v>
      </c>
      <c r="O1020">
        <v>0</v>
      </c>
      <c r="P1020">
        <v>0</v>
      </c>
    </row>
    <row r="1021" spans="1:16" x14ac:dyDescent="0.3">
      <c r="A1021" t="s">
        <v>1133</v>
      </c>
      <c r="B1021" t="s">
        <v>64</v>
      </c>
      <c r="C1021">
        <f ca="1">IF(RAND()&lt;0.8,F_Baseline_data!C1021,IF(RAND()&lt;0.85,F_Baseline_data!C1021+1,IF(F_Baseline_data!C1021&gt;3,C1021-1,F_Baseline_data!C1021)))</f>
        <v>9</v>
      </c>
      <c r="D1021">
        <f ca="1">MAX(5000,ROUND(F_Baseline_data!D1021*(1+_xlfn.NORM.INV(RAND(),0.12,0.1)),-2))</f>
        <v>66300</v>
      </c>
      <c r="E1021" t="str">
        <f ca="1">IF(I1021=1,IF(RAND()&lt;0.95,"Piped Water",F_Baseline_data!E1021),F_Baseline_data!E1021)</f>
        <v>Rainwater</v>
      </c>
      <c r="F1021">
        <f t="shared" ca="1" si="30"/>
        <v>56</v>
      </c>
      <c r="G1021">
        <v>11.2</v>
      </c>
      <c r="H1021">
        <f ca="1">MAX(0,ROUND(F_Baseline_data!H1021+(F_Baseline_data!C1021-5)*200+(D1021-30000)*0.015+(F1021-50)*15-IF(I1021=1,1200,0)+_xlfn.NORM.INV(RAND(),0,2500),-2))</f>
        <v>3900</v>
      </c>
      <c r="I1021">
        <v>1</v>
      </c>
      <c r="J1021">
        <f>1</f>
        <v>1</v>
      </c>
      <c r="K1021">
        <f>1</f>
        <v>1</v>
      </c>
      <c r="L1021">
        <v>0</v>
      </c>
      <c r="M1021">
        <f t="shared" ca="1" si="31"/>
        <v>0.28691834460816457</v>
      </c>
      <c r="N1021">
        <v>0</v>
      </c>
      <c r="O1021">
        <v>0</v>
      </c>
      <c r="P1021">
        <v>0</v>
      </c>
    </row>
    <row r="1022" spans="1:16" x14ac:dyDescent="0.3">
      <c r="A1022" t="s">
        <v>1134</v>
      </c>
      <c r="B1022" t="s">
        <v>513</v>
      </c>
      <c r="C1022">
        <f ca="1">IF(RAND()&lt;0.8,F_Baseline_data!C1022,IF(RAND()&lt;0.85,F_Baseline_data!C1022+1,IF(F_Baseline_data!C1022&gt;3,C1022-1,F_Baseline_data!C1022)))</f>
        <v>2</v>
      </c>
      <c r="D1022">
        <f ca="1">MAX(5000,ROUND(F_Baseline_data!D1022*(1+_xlfn.NORM.INV(RAND(),0.12,0.1)),-2))</f>
        <v>63300</v>
      </c>
      <c r="E1022" t="str">
        <f ca="1">IF(I1022=1,IF(RAND()&lt;0.95,"Piped Water",F_Baseline_data!E1022),F_Baseline_data!E1022)</f>
        <v>Piped Water</v>
      </c>
      <c r="F1022">
        <f t="shared" ca="1" si="30"/>
        <v>0</v>
      </c>
      <c r="G1022">
        <v>14.2</v>
      </c>
      <c r="H1022">
        <f ca="1">MAX(0,ROUND(F_Baseline_data!H1022+(F_Baseline_data!C1022-5)*200+(D1022-30000)*0.015+(F1022-50)*15-IF(I1022=1,1200,0)+_xlfn.NORM.INV(RAND(),0,2500),-2))</f>
        <v>0</v>
      </c>
      <c r="I1022">
        <v>1</v>
      </c>
      <c r="J1022">
        <f>1</f>
        <v>1</v>
      </c>
      <c r="K1022">
        <f>1</f>
        <v>1</v>
      </c>
      <c r="L1022">
        <v>0</v>
      </c>
      <c r="M1022">
        <f t="shared" ca="1" si="31"/>
        <v>3.2607511336984363E-2</v>
      </c>
      <c r="N1022">
        <v>0</v>
      </c>
      <c r="O1022">
        <v>0</v>
      </c>
      <c r="P1022">
        <v>0</v>
      </c>
    </row>
    <row r="1023" spans="1:16" x14ac:dyDescent="0.3">
      <c r="A1023" t="s">
        <v>1135</v>
      </c>
      <c r="B1023" t="s">
        <v>65</v>
      </c>
      <c r="C1023">
        <f ca="1">IF(RAND()&lt;0.8,F_Baseline_data!C1023,IF(RAND()&lt;0.85,F_Baseline_data!C1023+1,IF(F_Baseline_data!C1023&gt;3,C1023-1,F_Baseline_data!C1023)))</f>
        <v>3</v>
      </c>
      <c r="D1023">
        <f ca="1">MAX(5000,ROUND(F_Baseline_data!D1023*(1+_xlfn.NORM.INV(RAND(),0.12,0.1)),-2))</f>
        <v>20500</v>
      </c>
      <c r="E1023" t="str">
        <f ca="1">IF(I1023=1,IF(RAND()&lt;0.95,"Piped Water",F_Baseline_data!E1023),F_Baseline_data!E1023)</f>
        <v>Piped Water</v>
      </c>
      <c r="F1023">
        <f t="shared" ca="1" si="30"/>
        <v>1</v>
      </c>
      <c r="G1023">
        <v>11.7</v>
      </c>
      <c r="H1023">
        <f ca="1">MAX(0,ROUND(F_Baseline_data!H1023+(F_Baseline_data!C1023-5)*200+(D1023-30000)*0.015+(F1023-50)*15-IF(I1023=1,1200,0)+_xlfn.NORM.INV(RAND(),0,2500),-2))</f>
        <v>7900</v>
      </c>
      <c r="I1023">
        <v>1</v>
      </c>
      <c r="J1023">
        <f>1</f>
        <v>1</v>
      </c>
      <c r="K1023">
        <f>1</f>
        <v>1</v>
      </c>
      <c r="L1023">
        <v>0</v>
      </c>
      <c r="M1023">
        <f t="shared" ca="1" si="31"/>
        <v>0.84879596212030639</v>
      </c>
      <c r="N1023">
        <v>0</v>
      </c>
      <c r="O1023">
        <v>0</v>
      </c>
      <c r="P1023">
        <v>0</v>
      </c>
    </row>
    <row r="1024" spans="1:16" x14ac:dyDescent="0.3">
      <c r="A1024" t="s">
        <v>1136</v>
      </c>
      <c r="B1024" t="s">
        <v>513</v>
      </c>
      <c r="C1024">
        <f ca="1">IF(RAND()&lt;0.8,F_Baseline_data!C1024,IF(RAND()&lt;0.85,F_Baseline_data!C1024+1,IF(F_Baseline_data!C1024&gt;3,C1024-1,F_Baseline_data!C1024)))</f>
        <v>6</v>
      </c>
      <c r="D1024">
        <f ca="1">MAX(5000,ROUND(F_Baseline_data!D1024*(1+_xlfn.NORM.INV(RAND(),0.12,0.1)),-2))</f>
        <v>114100</v>
      </c>
      <c r="E1024" t="str">
        <f ca="1">IF(I1024=1,IF(RAND()&lt;0.95,"Piped Water",F_Baseline_data!E1024),F_Baseline_data!E1024)</f>
        <v>Piped Water</v>
      </c>
      <c r="F1024">
        <f t="shared" ca="1" si="30"/>
        <v>2</v>
      </c>
      <c r="G1024">
        <v>6.3</v>
      </c>
      <c r="H1024">
        <f ca="1">MAX(0,ROUND(F_Baseline_data!H1024+(F_Baseline_data!C1024-5)*200+(D1024-30000)*0.015+(F1024-50)*15-IF(I1024=1,1200,0)+_xlfn.NORM.INV(RAND(),0,2500),-2))</f>
        <v>9900</v>
      </c>
      <c r="I1024">
        <v>1</v>
      </c>
      <c r="J1024">
        <f>1</f>
        <v>1</v>
      </c>
      <c r="K1024">
        <f>1</f>
        <v>1</v>
      </c>
      <c r="L1024">
        <v>0</v>
      </c>
      <c r="M1024">
        <f t="shared" ca="1" si="31"/>
        <v>0.73288257396113166</v>
      </c>
      <c r="N1024">
        <v>0</v>
      </c>
      <c r="O1024">
        <v>0</v>
      </c>
      <c r="P1024">
        <v>0</v>
      </c>
    </row>
    <row r="1025" spans="1:16" x14ac:dyDescent="0.3">
      <c r="A1025" t="s">
        <v>1137</v>
      </c>
      <c r="B1025" t="s">
        <v>513</v>
      </c>
      <c r="C1025">
        <f ca="1">IF(RAND()&lt;0.8,F_Baseline_data!C1025,IF(RAND()&lt;0.85,F_Baseline_data!C1025+1,IF(F_Baseline_data!C1025&gt;3,C1025-1,F_Baseline_data!C1025)))</f>
        <v>8</v>
      </c>
      <c r="D1025">
        <f ca="1">MAX(5000,ROUND(F_Baseline_data!D1025*(1+_xlfn.NORM.INV(RAND(),0.12,0.1)),-2))</f>
        <v>28500</v>
      </c>
      <c r="E1025" t="str">
        <f ca="1">IF(I1025=1,IF(RAND()&lt;0.95,"Piped Water",F_Baseline_data!E1025),F_Baseline_data!E1025)</f>
        <v>Piped Water</v>
      </c>
      <c r="F1025">
        <f t="shared" ca="1" si="30"/>
        <v>2</v>
      </c>
      <c r="G1025">
        <v>6.7</v>
      </c>
      <c r="H1025">
        <f ca="1">MAX(0,ROUND(F_Baseline_data!H1025+(F_Baseline_data!C1025-5)*200+(D1025-30000)*0.015+(F1025-50)*15-IF(I1025=1,1200,0)+_xlfn.NORM.INV(RAND(),0,2500),-2))</f>
        <v>6000</v>
      </c>
      <c r="I1025">
        <v>1</v>
      </c>
      <c r="J1025">
        <f>1</f>
        <v>1</v>
      </c>
      <c r="K1025">
        <f>1</f>
        <v>1</v>
      </c>
      <c r="L1025">
        <v>0</v>
      </c>
      <c r="M1025">
        <f t="shared" ca="1" si="31"/>
        <v>0.53446468378697154</v>
      </c>
      <c r="N1025">
        <v>0</v>
      </c>
      <c r="O1025">
        <v>0</v>
      </c>
      <c r="P1025">
        <v>0</v>
      </c>
    </row>
    <row r="1026" spans="1:16" x14ac:dyDescent="0.3">
      <c r="A1026" t="s">
        <v>1138</v>
      </c>
      <c r="B1026" t="s">
        <v>65</v>
      </c>
      <c r="C1026">
        <f ca="1">IF(RAND()&lt;0.8,F_Baseline_data!C1026,IF(RAND()&lt;0.85,F_Baseline_data!C1026+1,IF(F_Baseline_data!C1026&gt;3,C1026-1,F_Baseline_data!C1026)))</f>
        <v>4</v>
      </c>
      <c r="D1026">
        <f ca="1">MAX(5000,ROUND(F_Baseline_data!D1026*(1+_xlfn.NORM.INV(RAND(),0.12,0.1)),-2))</f>
        <v>76400</v>
      </c>
      <c r="E1026" t="str">
        <f ca="1">IF(I1026=1,IF(RAND()&lt;0.95,"Piped Water",F_Baseline_data!E1026),F_Baseline_data!E1026)</f>
        <v>Piped Water</v>
      </c>
      <c r="F1026">
        <f t="shared" ref="F1026:F1033" ca="1" si="32">IF(E1026="Piped Water",RANDBETWEEN(0,10),IF(E1026="River",RANDBETWEEN(45,120),IF(E1026="Rainwater",RANDBETWEEN(15,70),IF(E1026="Borehole",RANDBETWEEN(20,75),RANDBETWEEN(10,60)))))</f>
        <v>10</v>
      </c>
      <c r="G1026">
        <v>11.1</v>
      </c>
      <c r="H1026">
        <f ca="1">MAX(0,ROUND(F_Baseline_data!H1026+(F_Baseline_data!C1026-5)*200+(D1026-30000)*0.015+(F1026-50)*15-IF(I1026=1,1200,0)+_xlfn.NORM.INV(RAND(),0,2500),-2))</f>
        <v>8800</v>
      </c>
      <c r="I1026">
        <v>1</v>
      </c>
      <c r="J1026">
        <f>1</f>
        <v>1</v>
      </c>
      <c r="K1026">
        <f>1</f>
        <v>1</v>
      </c>
      <c r="L1026">
        <v>0</v>
      </c>
      <c r="M1026">
        <f t="shared" ref="M1026:M1033" ca="1" si="33">RAND()</f>
        <v>0.99996516416411196</v>
      </c>
      <c r="N1026">
        <v>0</v>
      </c>
      <c r="O1026">
        <v>0</v>
      </c>
      <c r="P1026">
        <v>0</v>
      </c>
    </row>
    <row r="1027" spans="1:16" x14ac:dyDescent="0.3">
      <c r="A1027" t="s">
        <v>1139</v>
      </c>
      <c r="B1027" t="s">
        <v>65</v>
      </c>
      <c r="C1027">
        <f ca="1">IF(RAND()&lt;0.8,F_Baseline_data!C1027,IF(RAND()&lt;0.85,F_Baseline_data!C1027+1,IF(F_Baseline_data!C1027&gt;3,C1027-1,F_Baseline_data!C1027)))</f>
        <v>6</v>
      </c>
      <c r="D1027">
        <f ca="1">MAX(5000,ROUND(F_Baseline_data!D1027*(1+_xlfn.NORM.INV(RAND(),0.12,0.1)),-2))</f>
        <v>21800</v>
      </c>
      <c r="E1027" t="str">
        <f ca="1">IF(I1027=1,IF(RAND()&lt;0.95,"Piped Water",F_Baseline_data!E1027),F_Baseline_data!E1027)</f>
        <v>Piped Water</v>
      </c>
      <c r="F1027">
        <f t="shared" ca="1" si="32"/>
        <v>4</v>
      </c>
      <c r="G1027">
        <v>12</v>
      </c>
      <c r="H1027">
        <f ca="1">MAX(0,ROUND(F_Baseline_data!H1027+(F_Baseline_data!C1027-5)*200+(D1027-30000)*0.015+(F1027-50)*15-IF(I1027=1,1200,0)+_xlfn.NORM.INV(RAND(),0,2500),-2))</f>
        <v>13200</v>
      </c>
      <c r="I1027">
        <v>1</v>
      </c>
      <c r="J1027">
        <f>1</f>
        <v>1</v>
      </c>
      <c r="K1027">
        <f>1</f>
        <v>1</v>
      </c>
      <c r="L1027">
        <v>0</v>
      </c>
      <c r="M1027">
        <f t="shared" ca="1" si="33"/>
        <v>8.2509842410595002E-2</v>
      </c>
      <c r="N1027">
        <v>0</v>
      </c>
      <c r="O1027">
        <v>0</v>
      </c>
      <c r="P1027">
        <v>0</v>
      </c>
    </row>
    <row r="1028" spans="1:16" x14ac:dyDescent="0.3">
      <c r="A1028" t="s">
        <v>1140</v>
      </c>
      <c r="B1028" t="s">
        <v>65</v>
      </c>
      <c r="C1028">
        <f ca="1">IF(RAND()&lt;0.8,F_Baseline_data!C1028,IF(RAND()&lt;0.85,F_Baseline_data!C1028+1,IF(F_Baseline_data!C1028&gt;3,C1028-1,F_Baseline_data!C1028)))</f>
        <v>1</v>
      </c>
      <c r="D1028">
        <f ca="1">MAX(5000,ROUND(F_Baseline_data!D1028*(1+_xlfn.NORM.INV(RAND(),0.12,0.1)),-2))</f>
        <v>17900</v>
      </c>
      <c r="E1028" t="str">
        <f ca="1">IF(I1028=1,IF(RAND()&lt;0.95,"Piped Water",F_Baseline_data!E1028),F_Baseline_data!E1028)</f>
        <v>Piped Water</v>
      </c>
      <c r="F1028">
        <f t="shared" ca="1" si="32"/>
        <v>1</v>
      </c>
      <c r="G1028">
        <v>12.7</v>
      </c>
      <c r="H1028">
        <f ca="1">MAX(0,ROUND(F_Baseline_data!H1028+(F_Baseline_data!C1028-5)*200+(D1028-30000)*0.015+(F1028-50)*15-IF(I1028=1,1200,0)+_xlfn.NORM.INV(RAND(),0,2500),-2))</f>
        <v>0</v>
      </c>
      <c r="I1028">
        <v>1</v>
      </c>
      <c r="J1028">
        <f>1</f>
        <v>1</v>
      </c>
      <c r="K1028">
        <f>1</f>
        <v>1</v>
      </c>
      <c r="L1028">
        <v>0</v>
      </c>
      <c r="M1028">
        <f t="shared" ca="1" si="33"/>
        <v>0.75875134556331902</v>
      </c>
      <c r="N1028">
        <v>0</v>
      </c>
      <c r="O1028">
        <v>0</v>
      </c>
      <c r="P1028">
        <v>0</v>
      </c>
    </row>
    <row r="1029" spans="1:16" x14ac:dyDescent="0.3">
      <c r="A1029" t="s">
        <v>1141</v>
      </c>
      <c r="B1029" t="s">
        <v>64</v>
      </c>
      <c r="C1029">
        <f ca="1">IF(RAND()&lt;0.8,F_Baseline_data!C1029,IF(RAND()&lt;0.85,F_Baseline_data!C1029+1,IF(F_Baseline_data!C1029&gt;3,C1029-1,F_Baseline_data!C1029)))</f>
        <v>2</v>
      </c>
      <c r="D1029">
        <f ca="1">MAX(5000,ROUND(F_Baseline_data!D1029*(1+_xlfn.NORM.INV(RAND(),0.12,0.1)),-2))</f>
        <v>16700</v>
      </c>
      <c r="E1029" t="str">
        <f ca="1">IF(I1029=1,IF(RAND()&lt;0.95,"Piped Water",F_Baseline_data!E1029),F_Baseline_data!E1029)</f>
        <v>Piped Water</v>
      </c>
      <c r="F1029">
        <f t="shared" ca="1" si="32"/>
        <v>5</v>
      </c>
      <c r="G1029">
        <v>5.4</v>
      </c>
      <c r="H1029">
        <f ca="1">MAX(0,ROUND(F_Baseline_data!H1029+(F_Baseline_data!C1029-5)*200+(D1029-30000)*0.015+(F1029-50)*15-IF(I1029=1,1200,0)+_xlfn.NORM.INV(RAND(),0,2500),-2))</f>
        <v>0</v>
      </c>
      <c r="I1029">
        <v>1</v>
      </c>
      <c r="J1029">
        <f>1</f>
        <v>1</v>
      </c>
      <c r="K1029">
        <f>1</f>
        <v>1</v>
      </c>
      <c r="L1029">
        <v>0</v>
      </c>
      <c r="M1029">
        <f t="shared" ca="1" si="33"/>
        <v>8.8771835825222967E-2</v>
      </c>
      <c r="N1029">
        <v>0</v>
      </c>
      <c r="O1029">
        <v>0</v>
      </c>
      <c r="P1029">
        <v>0</v>
      </c>
    </row>
    <row r="1030" spans="1:16" x14ac:dyDescent="0.3">
      <c r="A1030" t="s">
        <v>1142</v>
      </c>
      <c r="B1030" t="s">
        <v>65</v>
      </c>
      <c r="C1030">
        <f ca="1">IF(RAND()&lt;0.8,F_Baseline_data!C1030,IF(RAND()&lt;0.85,F_Baseline_data!C1030+1,IF(F_Baseline_data!C1030&gt;3,C1030-1,F_Baseline_data!C1030)))</f>
        <v>4</v>
      </c>
      <c r="D1030">
        <f ca="1">MAX(5000,ROUND(F_Baseline_data!D1030*(1+_xlfn.NORM.INV(RAND(),0.12,0.1)),-2))</f>
        <v>37700</v>
      </c>
      <c r="E1030" t="str">
        <f ca="1">IF(I1030=1,IF(RAND()&lt;0.95,"Piped Water",F_Baseline_data!E1030),F_Baseline_data!E1030)</f>
        <v>Piped Water</v>
      </c>
      <c r="F1030">
        <f t="shared" ca="1" si="32"/>
        <v>8</v>
      </c>
      <c r="G1030">
        <v>0.7</v>
      </c>
      <c r="H1030">
        <f ca="1">MAX(0,ROUND(F_Baseline_data!H1030+(F_Baseline_data!C1030-5)*200+(D1030-30000)*0.015+(F1030-50)*15-IF(I1030=1,1200,0)+_xlfn.NORM.INV(RAND(),0,2500),-2))</f>
        <v>3600</v>
      </c>
      <c r="I1030">
        <v>1</v>
      </c>
      <c r="J1030">
        <f>1</f>
        <v>1</v>
      </c>
      <c r="K1030">
        <f>1</f>
        <v>1</v>
      </c>
      <c r="L1030">
        <v>0</v>
      </c>
      <c r="M1030">
        <f t="shared" ca="1" si="33"/>
        <v>0.81554069399173734</v>
      </c>
      <c r="N1030">
        <v>0</v>
      </c>
      <c r="O1030">
        <v>0</v>
      </c>
      <c r="P1030">
        <v>0</v>
      </c>
    </row>
    <row r="1031" spans="1:16" x14ac:dyDescent="0.3">
      <c r="A1031" t="s">
        <v>1143</v>
      </c>
      <c r="B1031" t="s">
        <v>64</v>
      </c>
      <c r="C1031">
        <f ca="1">IF(RAND()&lt;0.8,F_Baseline_data!C1031,IF(RAND()&lt;0.85,F_Baseline_data!C1031+1,IF(F_Baseline_data!C1031&gt;3,C1031-1,F_Baseline_data!C1031)))</f>
        <v>8</v>
      </c>
      <c r="D1031">
        <f ca="1">MAX(5000,ROUND(F_Baseline_data!D1031*(1+_xlfn.NORM.INV(RAND(),0.12,0.1)),-2))</f>
        <v>45900</v>
      </c>
      <c r="E1031" t="str">
        <f ca="1">IF(I1031=1,IF(RAND()&lt;0.95,"Piped Water",F_Baseline_data!E1031),F_Baseline_data!E1031)</f>
        <v>Piped Water</v>
      </c>
      <c r="F1031">
        <f t="shared" ca="1" si="32"/>
        <v>8</v>
      </c>
      <c r="G1031">
        <v>8.4</v>
      </c>
      <c r="H1031">
        <f ca="1">MAX(0,ROUND(F_Baseline_data!H1031+(F_Baseline_data!C1031-5)*200+(D1031-30000)*0.015+(F1031-50)*15-IF(I1031=1,1200,0)+_xlfn.NORM.INV(RAND(),0,2500),-2))</f>
        <v>500</v>
      </c>
      <c r="I1031">
        <v>1</v>
      </c>
      <c r="J1031">
        <f>1</f>
        <v>1</v>
      </c>
      <c r="K1031">
        <f>1</f>
        <v>1</v>
      </c>
      <c r="L1031">
        <v>0</v>
      </c>
      <c r="M1031">
        <f t="shared" ca="1" si="33"/>
        <v>0.59903393491001145</v>
      </c>
      <c r="N1031">
        <v>0</v>
      </c>
      <c r="O1031">
        <v>0</v>
      </c>
      <c r="P1031">
        <v>0</v>
      </c>
    </row>
    <row r="1032" spans="1:16" x14ac:dyDescent="0.3">
      <c r="A1032" t="s">
        <v>1144</v>
      </c>
      <c r="B1032" t="s">
        <v>513</v>
      </c>
      <c r="C1032">
        <f ca="1">IF(RAND()&lt;0.8,F_Baseline_data!C1032,IF(RAND()&lt;0.85,F_Baseline_data!C1032+1,IF(F_Baseline_data!C1032&gt;3,C1032-1,F_Baseline_data!C1032)))</f>
        <v>3</v>
      </c>
      <c r="D1032">
        <f ca="1">MAX(5000,ROUND(F_Baseline_data!D1032*(1+_xlfn.NORM.INV(RAND(),0.12,0.1)),-2))</f>
        <v>25600</v>
      </c>
      <c r="E1032" t="str">
        <f ca="1">IF(I1032=1,IF(RAND()&lt;0.95,"Piped Water",F_Baseline_data!E1032),F_Baseline_data!E1032)</f>
        <v>Piped Water</v>
      </c>
      <c r="F1032">
        <f t="shared" ca="1" si="32"/>
        <v>8</v>
      </c>
      <c r="G1032">
        <v>9.9</v>
      </c>
      <c r="H1032">
        <f ca="1">MAX(0,ROUND(F_Baseline_data!H1032+(F_Baseline_data!C1032-5)*200+(D1032-30000)*0.015+(F1032-50)*15-IF(I1032=1,1200,0)+_xlfn.NORM.INV(RAND(),0,2500),-2))</f>
        <v>8400</v>
      </c>
      <c r="I1032">
        <v>1</v>
      </c>
      <c r="J1032">
        <f>1</f>
        <v>1</v>
      </c>
      <c r="K1032">
        <f>1</f>
        <v>1</v>
      </c>
      <c r="L1032">
        <v>0</v>
      </c>
      <c r="M1032">
        <f t="shared" ca="1" si="33"/>
        <v>0.73265448335588801</v>
      </c>
      <c r="N1032">
        <v>0</v>
      </c>
      <c r="O1032">
        <v>0</v>
      </c>
      <c r="P1032">
        <v>0</v>
      </c>
    </row>
    <row r="1033" spans="1:16" x14ac:dyDescent="0.3">
      <c r="A1033" t="s">
        <v>1145</v>
      </c>
      <c r="B1033" t="s">
        <v>513</v>
      </c>
      <c r="C1033">
        <f ca="1">IF(RAND()&lt;0.8,F_Baseline_data!C1033,IF(RAND()&lt;0.85,F_Baseline_data!C1033+1,IF(F_Baseline_data!C1033&gt;3,C1033-1,F_Baseline_data!C1033)))</f>
        <v>7</v>
      </c>
      <c r="D1033">
        <f ca="1">MAX(5000,ROUND(F_Baseline_data!D1033*(1+_xlfn.NORM.INV(RAND(),0.12,0.1)),-2))</f>
        <v>60500</v>
      </c>
      <c r="E1033" t="str">
        <f ca="1">IF(I1033=1,IF(RAND()&lt;0.95,"Piped Water",F_Baseline_data!E1033),F_Baseline_data!E1033)</f>
        <v>Piped Water</v>
      </c>
      <c r="F1033">
        <f t="shared" ca="1" si="32"/>
        <v>8</v>
      </c>
      <c r="G1033">
        <v>8.6999999999999993</v>
      </c>
      <c r="H1033">
        <f ca="1">MAX(0,ROUND(F_Baseline_data!H1033+(F_Baseline_data!C1033-5)*200+(D1033-30000)*0.015+(F1033-50)*15-IF(I1033=1,1200,0)+_xlfn.NORM.INV(RAND(),0,2500),-2))</f>
        <v>3400</v>
      </c>
      <c r="I1033">
        <v>1</v>
      </c>
      <c r="J1033">
        <f>1</f>
        <v>1</v>
      </c>
      <c r="K1033">
        <f>1</f>
        <v>1</v>
      </c>
      <c r="L1033">
        <v>0</v>
      </c>
      <c r="M1033">
        <f t="shared" ca="1" si="33"/>
        <v>0.92647365800584969</v>
      </c>
      <c r="N1033">
        <v>0</v>
      </c>
      <c r="O1033">
        <v>0</v>
      </c>
      <c r="P103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862F2-120F-482F-85BE-307FDFA9AC8B}">
  <dimension ref="A1:I1033"/>
  <sheetViews>
    <sheetView workbookViewId="0">
      <selection activeCell="E10" sqref="E10"/>
    </sheetView>
  </sheetViews>
  <sheetFormatPr defaultRowHeight="14.4" x14ac:dyDescent="0.3"/>
  <cols>
    <col min="1" max="1" width="12.21875" bestFit="1" customWidth="1"/>
    <col min="2" max="2" width="11.21875" bestFit="1" customWidth="1"/>
    <col min="3" max="3" width="14.33203125" bestFit="1" customWidth="1"/>
    <col min="4" max="4" width="26" bestFit="1" customWidth="1"/>
    <col min="5" max="5" width="19.33203125" bestFit="1" customWidth="1"/>
    <col min="6" max="6" width="30.33203125" bestFit="1" customWidth="1"/>
    <col min="7" max="7" width="27.44140625" bestFit="1" customWidth="1"/>
    <col min="8" max="8" width="25" bestFit="1" customWidth="1"/>
    <col min="9" max="9" width="9.77734375" bestFit="1" customWidth="1"/>
  </cols>
  <sheetData>
    <row r="1" spans="1:9" s="2" customFormat="1" x14ac:dyDescent="0.3">
      <c r="A1" s="2" t="s">
        <v>17</v>
      </c>
      <c r="B1" s="2" t="s">
        <v>21</v>
      </c>
      <c r="C1" s="2" t="s">
        <v>18</v>
      </c>
      <c r="D1" s="2" t="s">
        <v>22</v>
      </c>
      <c r="E1" s="2" t="s">
        <v>19</v>
      </c>
      <c r="F1" s="2" t="s">
        <v>510</v>
      </c>
      <c r="G1" s="2" t="s">
        <v>511</v>
      </c>
      <c r="H1" s="2" t="s">
        <v>512</v>
      </c>
      <c r="I1" s="2" t="s">
        <v>27</v>
      </c>
    </row>
    <row r="2" spans="1:9" x14ac:dyDescent="0.3">
      <c r="A2" t="s">
        <v>110</v>
      </c>
      <c r="B2" t="s">
        <v>62</v>
      </c>
      <c r="C2">
        <v>4</v>
      </c>
      <c r="D2">
        <v>32300</v>
      </c>
      <c r="E2" t="s">
        <v>69</v>
      </c>
      <c r="F2">
        <v>37</v>
      </c>
      <c r="G2">
        <v>3.2</v>
      </c>
      <c r="H2">
        <v>2600</v>
      </c>
      <c r="I2">
        <v>0</v>
      </c>
    </row>
    <row r="3" spans="1:9" x14ac:dyDescent="0.3">
      <c r="A3" t="s">
        <v>111</v>
      </c>
      <c r="B3" t="s">
        <v>513</v>
      </c>
      <c r="C3">
        <v>5</v>
      </c>
      <c r="D3">
        <v>14300</v>
      </c>
      <c r="E3" t="s">
        <v>69</v>
      </c>
      <c r="F3">
        <v>55</v>
      </c>
      <c r="G3">
        <v>8.4</v>
      </c>
      <c r="H3">
        <v>6800</v>
      </c>
      <c r="I3">
        <v>0</v>
      </c>
    </row>
    <row r="4" spans="1:9" x14ac:dyDescent="0.3">
      <c r="A4" t="s">
        <v>112</v>
      </c>
      <c r="B4" t="s">
        <v>65</v>
      </c>
      <c r="C4">
        <v>7</v>
      </c>
      <c r="D4">
        <v>80800</v>
      </c>
      <c r="E4" t="s">
        <v>68</v>
      </c>
      <c r="F4">
        <v>31</v>
      </c>
      <c r="G4">
        <v>10</v>
      </c>
      <c r="H4">
        <v>12100</v>
      </c>
      <c r="I4">
        <v>0</v>
      </c>
    </row>
    <row r="5" spans="1:9" x14ac:dyDescent="0.3">
      <c r="A5" t="s">
        <v>113</v>
      </c>
      <c r="B5" t="s">
        <v>65</v>
      </c>
      <c r="C5">
        <v>9</v>
      </c>
      <c r="D5">
        <v>98700</v>
      </c>
      <c r="E5" t="s">
        <v>67</v>
      </c>
      <c r="F5">
        <v>72</v>
      </c>
      <c r="G5">
        <v>3.2</v>
      </c>
      <c r="H5">
        <v>12200</v>
      </c>
      <c r="I5">
        <v>0</v>
      </c>
    </row>
    <row r="6" spans="1:9" x14ac:dyDescent="0.3">
      <c r="A6" t="s">
        <v>114</v>
      </c>
      <c r="B6" t="s">
        <v>62</v>
      </c>
      <c r="C6">
        <v>10</v>
      </c>
      <c r="D6">
        <v>20400</v>
      </c>
      <c r="E6" t="s">
        <v>66</v>
      </c>
      <c r="F6">
        <v>22</v>
      </c>
      <c r="G6">
        <v>4.0999999999999996</v>
      </c>
      <c r="H6">
        <v>15400</v>
      </c>
      <c r="I6">
        <v>0</v>
      </c>
    </row>
    <row r="7" spans="1:9" x14ac:dyDescent="0.3">
      <c r="A7" t="s">
        <v>115</v>
      </c>
      <c r="B7" t="s">
        <v>65</v>
      </c>
      <c r="C7">
        <v>8</v>
      </c>
      <c r="D7">
        <v>32200</v>
      </c>
      <c r="E7" t="s">
        <v>67</v>
      </c>
      <c r="F7">
        <v>45</v>
      </c>
      <c r="G7">
        <v>11.4</v>
      </c>
      <c r="H7">
        <v>9500</v>
      </c>
      <c r="I7">
        <v>0</v>
      </c>
    </row>
    <row r="8" spans="1:9" x14ac:dyDescent="0.3">
      <c r="A8" t="s">
        <v>116</v>
      </c>
      <c r="B8" t="s">
        <v>62</v>
      </c>
      <c r="C8">
        <v>3</v>
      </c>
      <c r="D8">
        <v>47300</v>
      </c>
      <c r="E8" t="s">
        <v>68</v>
      </c>
      <c r="F8">
        <v>70</v>
      </c>
      <c r="G8">
        <v>9.8000000000000007</v>
      </c>
      <c r="H8">
        <v>4200</v>
      </c>
      <c r="I8">
        <v>0</v>
      </c>
    </row>
    <row r="9" spans="1:9" x14ac:dyDescent="0.3">
      <c r="A9" t="s">
        <v>117</v>
      </c>
      <c r="B9" t="s">
        <v>513</v>
      </c>
      <c r="C9">
        <v>6</v>
      </c>
      <c r="D9">
        <v>24000</v>
      </c>
      <c r="E9" t="s">
        <v>66</v>
      </c>
      <c r="F9">
        <v>38</v>
      </c>
      <c r="G9">
        <v>5.2</v>
      </c>
      <c r="H9">
        <v>2400</v>
      </c>
      <c r="I9">
        <v>0</v>
      </c>
    </row>
    <row r="10" spans="1:9" x14ac:dyDescent="0.3">
      <c r="A10" t="s">
        <v>118</v>
      </c>
      <c r="B10" t="s">
        <v>65</v>
      </c>
      <c r="C10">
        <v>6</v>
      </c>
      <c r="D10">
        <v>19000</v>
      </c>
      <c r="E10" t="s">
        <v>67</v>
      </c>
      <c r="F10">
        <v>107</v>
      </c>
      <c r="G10">
        <v>8.9</v>
      </c>
      <c r="H10">
        <v>14600</v>
      </c>
      <c r="I10">
        <v>0</v>
      </c>
    </row>
    <row r="11" spans="1:9" x14ac:dyDescent="0.3">
      <c r="A11" t="s">
        <v>119</v>
      </c>
      <c r="B11" t="s">
        <v>64</v>
      </c>
      <c r="C11">
        <v>3</v>
      </c>
      <c r="D11">
        <v>28400</v>
      </c>
      <c r="E11" t="s">
        <v>66</v>
      </c>
      <c r="F11">
        <v>41</v>
      </c>
      <c r="G11">
        <v>6.4</v>
      </c>
      <c r="H11">
        <v>2100</v>
      </c>
      <c r="I11">
        <v>0</v>
      </c>
    </row>
    <row r="12" spans="1:9" x14ac:dyDescent="0.3">
      <c r="A12" t="s">
        <v>120</v>
      </c>
      <c r="B12" t="s">
        <v>513</v>
      </c>
      <c r="C12">
        <v>7</v>
      </c>
      <c r="D12">
        <v>16000</v>
      </c>
      <c r="E12" t="s">
        <v>68</v>
      </c>
      <c r="F12">
        <v>39</v>
      </c>
      <c r="G12">
        <v>1.2</v>
      </c>
      <c r="H12">
        <v>2100</v>
      </c>
      <c r="I12">
        <v>0</v>
      </c>
    </row>
    <row r="13" spans="1:9" x14ac:dyDescent="0.3">
      <c r="A13" t="s">
        <v>121</v>
      </c>
      <c r="B13" t="s">
        <v>62</v>
      </c>
      <c r="C13">
        <v>8</v>
      </c>
      <c r="D13">
        <v>44200</v>
      </c>
      <c r="E13" t="s">
        <v>66</v>
      </c>
      <c r="F13">
        <v>28</v>
      </c>
      <c r="G13">
        <v>5.3</v>
      </c>
      <c r="H13">
        <v>3600</v>
      </c>
      <c r="I13">
        <v>0</v>
      </c>
    </row>
    <row r="14" spans="1:9" x14ac:dyDescent="0.3">
      <c r="A14" t="s">
        <v>122</v>
      </c>
      <c r="B14" t="s">
        <v>65</v>
      </c>
      <c r="C14">
        <v>3</v>
      </c>
      <c r="D14">
        <v>36800</v>
      </c>
      <c r="E14" t="s">
        <v>68</v>
      </c>
      <c r="F14">
        <v>71</v>
      </c>
      <c r="G14">
        <v>10.9</v>
      </c>
      <c r="H14">
        <v>9800</v>
      </c>
      <c r="I14">
        <v>0</v>
      </c>
    </row>
    <row r="15" spans="1:9" x14ac:dyDescent="0.3">
      <c r="A15" t="s">
        <v>123</v>
      </c>
      <c r="B15" t="s">
        <v>62</v>
      </c>
      <c r="C15">
        <v>4</v>
      </c>
      <c r="D15">
        <v>27900</v>
      </c>
      <c r="E15" t="s">
        <v>67</v>
      </c>
      <c r="F15">
        <v>91</v>
      </c>
      <c r="G15">
        <v>3.7</v>
      </c>
      <c r="H15">
        <v>0</v>
      </c>
      <c r="I15">
        <v>0</v>
      </c>
    </row>
    <row r="16" spans="1:9" x14ac:dyDescent="0.3">
      <c r="A16" t="s">
        <v>124</v>
      </c>
      <c r="B16" t="s">
        <v>62</v>
      </c>
      <c r="C16">
        <v>4</v>
      </c>
      <c r="D16">
        <v>42800</v>
      </c>
      <c r="E16" t="s">
        <v>69</v>
      </c>
      <c r="F16">
        <v>29</v>
      </c>
      <c r="G16">
        <v>8.9</v>
      </c>
      <c r="H16">
        <v>4800</v>
      </c>
      <c r="I16">
        <v>0</v>
      </c>
    </row>
    <row r="17" spans="1:9" x14ac:dyDescent="0.3">
      <c r="A17" t="s">
        <v>125</v>
      </c>
      <c r="B17" t="s">
        <v>62</v>
      </c>
      <c r="C17">
        <v>4</v>
      </c>
      <c r="D17">
        <v>44200</v>
      </c>
      <c r="E17" t="s">
        <v>69</v>
      </c>
      <c r="F17">
        <v>27</v>
      </c>
      <c r="G17">
        <v>4.5</v>
      </c>
      <c r="H17">
        <v>10100</v>
      </c>
      <c r="I17">
        <v>0</v>
      </c>
    </row>
    <row r="18" spans="1:9" x14ac:dyDescent="0.3">
      <c r="A18" t="s">
        <v>126</v>
      </c>
      <c r="B18" t="s">
        <v>513</v>
      </c>
      <c r="C18">
        <v>4</v>
      </c>
      <c r="D18">
        <v>26900</v>
      </c>
      <c r="E18" t="s">
        <v>66</v>
      </c>
      <c r="F18">
        <v>31</v>
      </c>
      <c r="G18">
        <v>4.2</v>
      </c>
      <c r="H18">
        <v>0</v>
      </c>
      <c r="I18">
        <v>0</v>
      </c>
    </row>
    <row r="19" spans="1:9" x14ac:dyDescent="0.3">
      <c r="A19" t="s">
        <v>127</v>
      </c>
      <c r="B19" t="s">
        <v>65</v>
      </c>
      <c r="C19">
        <v>7</v>
      </c>
      <c r="D19">
        <v>35500</v>
      </c>
      <c r="E19" t="s">
        <v>66</v>
      </c>
      <c r="F19">
        <v>19</v>
      </c>
      <c r="G19">
        <v>2.7</v>
      </c>
      <c r="H19">
        <v>3000</v>
      </c>
      <c r="I19">
        <v>0</v>
      </c>
    </row>
    <row r="20" spans="1:9" x14ac:dyDescent="0.3">
      <c r="A20" t="s">
        <v>128</v>
      </c>
      <c r="B20" t="s">
        <v>513</v>
      </c>
      <c r="C20">
        <v>7</v>
      </c>
      <c r="D20">
        <v>52700</v>
      </c>
      <c r="E20" t="s">
        <v>66</v>
      </c>
      <c r="F20">
        <v>47</v>
      </c>
      <c r="G20">
        <v>6.6</v>
      </c>
      <c r="H20">
        <v>11600</v>
      </c>
      <c r="I20">
        <v>0</v>
      </c>
    </row>
    <row r="21" spans="1:9" x14ac:dyDescent="0.3">
      <c r="A21" t="s">
        <v>129</v>
      </c>
      <c r="B21" t="s">
        <v>62</v>
      </c>
      <c r="C21">
        <v>4</v>
      </c>
      <c r="D21">
        <v>35900</v>
      </c>
      <c r="E21" t="s">
        <v>67</v>
      </c>
      <c r="F21">
        <v>109</v>
      </c>
      <c r="G21">
        <v>1.2</v>
      </c>
      <c r="H21">
        <v>12800</v>
      </c>
      <c r="I21">
        <v>0</v>
      </c>
    </row>
    <row r="22" spans="1:9" x14ac:dyDescent="0.3">
      <c r="A22" t="s">
        <v>130</v>
      </c>
      <c r="B22" t="s">
        <v>513</v>
      </c>
      <c r="C22">
        <v>9</v>
      </c>
      <c r="D22">
        <v>48300</v>
      </c>
      <c r="E22" t="s">
        <v>66</v>
      </c>
      <c r="F22">
        <v>32</v>
      </c>
      <c r="G22">
        <v>4.8</v>
      </c>
      <c r="H22">
        <v>4800</v>
      </c>
      <c r="I22">
        <v>0</v>
      </c>
    </row>
    <row r="23" spans="1:9" x14ac:dyDescent="0.3">
      <c r="A23" t="s">
        <v>131</v>
      </c>
      <c r="B23" t="s">
        <v>62</v>
      </c>
      <c r="C23">
        <v>6</v>
      </c>
      <c r="D23">
        <v>30300</v>
      </c>
      <c r="E23" t="s">
        <v>69</v>
      </c>
      <c r="F23">
        <v>22</v>
      </c>
      <c r="G23">
        <v>6.6</v>
      </c>
      <c r="H23">
        <v>11800</v>
      </c>
      <c r="I23">
        <v>0</v>
      </c>
    </row>
    <row r="24" spans="1:9" x14ac:dyDescent="0.3">
      <c r="A24" t="s">
        <v>132</v>
      </c>
      <c r="B24" t="s">
        <v>64</v>
      </c>
      <c r="C24">
        <v>5</v>
      </c>
      <c r="D24">
        <v>56500</v>
      </c>
      <c r="E24" t="s">
        <v>66</v>
      </c>
      <c r="F24">
        <v>38</v>
      </c>
      <c r="G24">
        <v>4.5999999999999996</v>
      </c>
      <c r="H24">
        <v>2400</v>
      </c>
      <c r="I24">
        <v>0</v>
      </c>
    </row>
    <row r="25" spans="1:9" x14ac:dyDescent="0.3">
      <c r="A25" t="s">
        <v>133</v>
      </c>
      <c r="B25" t="s">
        <v>513</v>
      </c>
      <c r="C25">
        <v>5</v>
      </c>
      <c r="D25">
        <v>87900</v>
      </c>
      <c r="E25" t="s">
        <v>69</v>
      </c>
      <c r="F25">
        <v>53</v>
      </c>
      <c r="G25">
        <v>14.3</v>
      </c>
      <c r="H25">
        <v>800</v>
      </c>
      <c r="I25">
        <v>0</v>
      </c>
    </row>
    <row r="26" spans="1:9" x14ac:dyDescent="0.3">
      <c r="A26" t="s">
        <v>134</v>
      </c>
      <c r="B26" t="s">
        <v>513</v>
      </c>
      <c r="C26">
        <v>5</v>
      </c>
      <c r="D26">
        <v>77700</v>
      </c>
      <c r="E26" t="s">
        <v>68</v>
      </c>
      <c r="F26">
        <v>57</v>
      </c>
      <c r="G26">
        <v>2.1</v>
      </c>
      <c r="H26">
        <v>3000</v>
      </c>
      <c r="I26">
        <v>0</v>
      </c>
    </row>
    <row r="27" spans="1:9" x14ac:dyDescent="0.3">
      <c r="A27" t="s">
        <v>135</v>
      </c>
      <c r="B27" t="s">
        <v>513</v>
      </c>
      <c r="C27">
        <v>10</v>
      </c>
      <c r="D27">
        <v>47400</v>
      </c>
      <c r="E27" t="s">
        <v>68</v>
      </c>
      <c r="F27">
        <v>54</v>
      </c>
      <c r="G27">
        <v>9.5</v>
      </c>
      <c r="H27">
        <v>10400</v>
      </c>
      <c r="I27">
        <v>0</v>
      </c>
    </row>
    <row r="28" spans="1:9" x14ac:dyDescent="0.3">
      <c r="A28" t="s">
        <v>136</v>
      </c>
      <c r="B28" t="s">
        <v>62</v>
      </c>
      <c r="C28">
        <v>2</v>
      </c>
      <c r="D28">
        <v>15900</v>
      </c>
      <c r="E28" t="s">
        <v>66</v>
      </c>
      <c r="F28">
        <v>40</v>
      </c>
      <c r="G28">
        <v>1.3</v>
      </c>
      <c r="H28">
        <v>1600</v>
      </c>
      <c r="I28">
        <v>0</v>
      </c>
    </row>
    <row r="29" spans="1:9" x14ac:dyDescent="0.3">
      <c r="A29" t="s">
        <v>137</v>
      </c>
      <c r="B29" t="s">
        <v>62</v>
      </c>
      <c r="C29">
        <v>3</v>
      </c>
      <c r="D29">
        <v>24100</v>
      </c>
      <c r="E29" t="s">
        <v>66</v>
      </c>
      <c r="F29">
        <v>41</v>
      </c>
      <c r="G29">
        <v>3.5</v>
      </c>
      <c r="H29">
        <v>2700</v>
      </c>
      <c r="I29">
        <v>0</v>
      </c>
    </row>
    <row r="30" spans="1:9" x14ac:dyDescent="0.3">
      <c r="A30" t="s">
        <v>138</v>
      </c>
      <c r="B30" t="s">
        <v>513</v>
      </c>
      <c r="C30">
        <v>6</v>
      </c>
      <c r="D30">
        <v>47300</v>
      </c>
      <c r="E30" t="s">
        <v>66</v>
      </c>
      <c r="F30">
        <v>44</v>
      </c>
      <c r="G30">
        <v>4.8</v>
      </c>
      <c r="H30">
        <v>0</v>
      </c>
      <c r="I30">
        <v>0</v>
      </c>
    </row>
    <row r="31" spans="1:9" x14ac:dyDescent="0.3">
      <c r="A31" t="s">
        <v>139</v>
      </c>
      <c r="B31" t="s">
        <v>65</v>
      </c>
      <c r="C31">
        <v>2</v>
      </c>
      <c r="D31">
        <v>41200</v>
      </c>
      <c r="E31" t="s">
        <v>69</v>
      </c>
      <c r="F31">
        <v>59</v>
      </c>
      <c r="G31">
        <v>11.4</v>
      </c>
      <c r="H31">
        <v>2200</v>
      </c>
      <c r="I31">
        <v>0</v>
      </c>
    </row>
    <row r="32" spans="1:9" x14ac:dyDescent="0.3">
      <c r="A32" t="s">
        <v>140</v>
      </c>
      <c r="B32" t="s">
        <v>64</v>
      </c>
      <c r="C32">
        <v>3</v>
      </c>
      <c r="D32">
        <v>27300</v>
      </c>
      <c r="E32" t="s">
        <v>68</v>
      </c>
      <c r="F32">
        <v>33</v>
      </c>
      <c r="G32">
        <v>5.0999999999999996</v>
      </c>
      <c r="H32">
        <v>18700</v>
      </c>
      <c r="I32">
        <v>0</v>
      </c>
    </row>
    <row r="33" spans="1:9" x14ac:dyDescent="0.3">
      <c r="A33" t="s">
        <v>141</v>
      </c>
      <c r="B33" t="s">
        <v>65</v>
      </c>
      <c r="C33">
        <v>6</v>
      </c>
      <c r="D33">
        <v>72100</v>
      </c>
      <c r="E33" t="s">
        <v>68</v>
      </c>
      <c r="F33">
        <v>53</v>
      </c>
      <c r="G33">
        <v>11.3</v>
      </c>
      <c r="H33">
        <v>8900</v>
      </c>
      <c r="I33">
        <v>0</v>
      </c>
    </row>
    <row r="34" spans="1:9" x14ac:dyDescent="0.3">
      <c r="A34" t="s">
        <v>142</v>
      </c>
      <c r="B34" t="s">
        <v>62</v>
      </c>
      <c r="C34">
        <v>6</v>
      </c>
      <c r="D34">
        <v>72300</v>
      </c>
      <c r="E34" t="s">
        <v>69</v>
      </c>
      <c r="F34">
        <v>27</v>
      </c>
      <c r="G34">
        <v>9.8000000000000007</v>
      </c>
      <c r="H34">
        <v>2400</v>
      </c>
      <c r="I34">
        <v>0</v>
      </c>
    </row>
    <row r="35" spans="1:9" x14ac:dyDescent="0.3">
      <c r="A35" t="s">
        <v>143</v>
      </c>
      <c r="B35" t="s">
        <v>62</v>
      </c>
      <c r="C35">
        <v>5</v>
      </c>
      <c r="D35">
        <v>69600</v>
      </c>
      <c r="E35" t="s">
        <v>69</v>
      </c>
      <c r="F35">
        <v>14</v>
      </c>
      <c r="G35">
        <v>7.3</v>
      </c>
      <c r="H35">
        <v>9700</v>
      </c>
      <c r="I35">
        <v>0</v>
      </c>
    </row>
    <row r="36" spans="1:9" x14ac:dyDescent="0.3">
      <c r="A36" t="s">
        <v>144</v>
      </c>
      <c r="B36" t="s">
        <v>65</v>
      </c>
      <c r="C36">
        <v>9</v>
      </c>
      <c r="D36">
        <v>26700</v>
      </c>
      <c r="E36" t="s">
        <v>66</v>
      </c>
      <c r="F36">
        <v>67</v>
      </c>
      <c r="G36">
        <v>13.2</v>
      </c>
      <c r="H36">
        <v>11200</v>
      </c>
      <c r="I36">
        <v>0</v>
      </c>
    </row>
    <row r="37" spans="1:9" x14ac:dyDescent="0.3">
      <c r="A37" t="s">
        <v>145</v>
      </c>
      <c r="B37" t="s">
        <v>64</v>
      </c>
      <c r="C37">
        <v>6</v>
      </c>
      <c r="D37">
        <v>13100</v>
      </c>
      <c r="E37" t="s">
        <v>67</v>
      </c>
      <c r="F37">
        <v>111</v>
      </c>
      <c r="G37">
        <v>4.3</v>
      </c>
      <c r="H37">
        <v>0</v>
      </c>
      <c r="I37">
        <v>0</v>
      </c>
    </row>
    <row r="38" spans="1:9" x14ac:dyDescent="0.3">
      <c r="A38" t="s">
        <v>146</v>
      </c>
      <c r="B38" t="s">
        <v>513</v>
      </c>
      <c r="C38">
        <v>7</v>
      </c>
      <c r="D38">
        <v>43900</v>
      </c>
      <c r="E38" t="s">
        <v>68</v>
      </c>
      <c r="F38">
        <v>59</v>
      </c>
      <c r="G38">
        <v>12</v>
      </c>
      <c r="H38">
        <v>0</v>
      </c>
      <c r="I38">
        <v>0</v>
      </c>
    </row>
    <row r="39" spans="1:9" x14ac:dyDescent="0.3">
      <c r="A39" t="s">
        <v>147</v>
      </c>
      <c r="B39" t="s">
        <v>513</v>
      </c>
      <c r="C39">
        <v>3</v>
      </c>
      <c r="D39">
        <v>18200</v>
      </c>
      <c r="E39" t="s">
        <v>67</v>
      </c>
      <c r="F39">
        <v>103</v>
      </c>
      <c r="G39">
        <v>2.5</v>
      </c>
      <c r="H39">
        <v>5200</v>
      </c>
      <c r="I39">
        <v>0</v>
      </c>
    </row>
    <row r="40" spans="1:9" x14ac:dyDescent="0.3">
      <c r="A40" t="s">
        <v>148</v>
      </c>
      <c r="B40" t="s">
        <v>64</v>
      </c>
      <c r="C40">
        <v>7</v>
      </c>
      <c r="D40">
        <v>51600</v>
      </c>
      <c r="E40" t="s">
        <v>69</v>
      </c>
      <c r="F40">
        <v>51</v>
      </c>
      <c r="G40">
        <v>1.2</v>
      </c>
      <c r="H40">
        <v>9900</v>
      </c>
      <c r="I40">
        <v>0</v>
      </c>
    </row>
    <row r="41" spans="1:9" x14ac:dyDescent="0.3">
      <c r="A41" t="s">
        <v>149</v>
      </c>
      <c r="B41" t="s">
        <v>65</v>
      </c>
      <c r="C41">
        <v>8</v>
      </c>
      <c r="D41">
        <v>32300</v>
      </c>
      <c r="E41" t="s">
        <v>66</v>
      </c>
      <c r="F41">
        <v>61</v>
      </c>
      <c r="G41">
        <v>13.4</v>
      </c>
      <c r="H41">
        <v>6700</v>
      </c>
      <c r="I41">
        <v>0</v>
      </c>
    </row>
    <row r="42" spans="1:9" x14ac:dyDescent="0.3">
      <c r="A42" t="s">
        <v>150</v>
      </c>
      <c r="B42" t="s">
        <v>62</v>
      </c>
      <c r="C42">
        <v>6</v>
      </c>
      <c r="D42">
        <v>78800</v>
      </c>
      <c r="E42" t="s">
        <v>69</v>
      </c>
      <c r="F42">
        <v>20</v>
      </c>
      <c r="G42">
        <v>8.1999999999999993</v>
      </c>
      <c r="H42">
        <v>8900</v>
      </c>
      <c r="I42">
        <v>0</v>
      </c>
    </row>
    <row r="43" spans="1:9" x14ac:dyDescent="0.3">
      <c r="A43" t="s">
        <v>151</v>
      </c>
      <c r="B43" t="s">
        <v>62</v>
      </c>
      <c r="C43">
        <v>5</v>
      </c>
      <c r="D43">
        <v>100900</v>
      </c>
      <c r="E43" t="s">
        <v>68</v>
      </c>
      <c r="F43">
        <v>32</v>
      </c>
      <c r="G43">
        <v>8.1999999999999993</v>
      </c>
      <c r="H43">
        <v>9200</v>
      </c>
      <c r="I43">
        <v>0</v>
      </c>
    </row>
    <row r="44" spans="1:9" x14ac:dyDescent="0.3">
      <c r="A44" t="s">
        <v>152</v>
      </c>
      <c r="B44" t="s">
        <v>513</v>
      </c>
      <c r="C44">
        <v>6</v>
      </c>
      <c r="D44">
        <v>35800</v>
      </c>
      <c r="E44" t="s">
        <v>66</v>
      </c>
      <c r="F44">
        <v>33</v>
      </c>
      <c r="G44">
        <v>5.7</v>
      </c>
      <c r="H44">
        <v>4900</v>
      </c>
      <c r="I44">
        <v>0</v>
      </c>
    </row>
    <row r="45" spans="1:9" x14ac:dyDescent="0.3">
      <c r="A45" t="s">
        <v>153</v>
      </c>
      <c r="B45" t="s">
        <v>64</v>
      </c>
      <c r="C45">
        <v>4</v>
      </c>
      <c r="D45">
        <v>56200</v>
      </c>
      <c r="E45" t="s">
        <v>66</v>
      </c>
      <c r="F45">
        <v>61</v>
      </c>
      <c r="G45">
        <v>3.6</v>
      </c>
      <c r="H45">
        <v>6900</v>
      </c>
      <c r="I45">
        <v>0</v>
      </c>
    </row>
    <row r="46" spans="1:9" x14ac:dyDescent="0.3">
      <c r="A46" t="s">
        <v>154</v>
      </c>
      <c r="B46" t="s">
        <v>65</v>
      </c>
      <c r="C46">
        <v>3</v>
      </c>
      <c r="D46">
        <v>57200</v>
      </c>
      <c r="E46" t="s">
        <v>69</v>
      </c>
      <c r="F46">
        <v>51</v>
      </c>
      <c r="G46">
        <v>2.6</v>
      </c>
      <c r="H46">
        <v>9800</v>
      </c>
      <c r="I46">
        <v>0</v>
      </c>
    </row>
    <row r="47" spans="1:9" x14ac:dyDescent="0.3">
      <c r="A47" t="s">
        <v>155</v>
      </c>
      <c r="B47" t="s">
        <v>65</v>
      </c>
      <c r="C47">
        <v>1</v>
      </c>
      <c r="D47">
        <v>21000</v>
      </c>
      <c r="E47" t="s">
        <v>67</v>
      </c>
      <c r="F47">
        <v>58</v>
      </c>
      <c r="G47">
        <v>4.8</v>
      </c>
      <c r="H47">
        <v>0</v>
      </c>
      <c r="I47">
        <v>0</v>
      </c>
    </row>
    <row r="48" spans="1:9" x14ac:dyDescent="0.3">
      <c r="A48" t="s">
        <v>156</v>
      </c>
      <c r="B48" t="s">
        <v>62</v>
      </c>
      <c r="C48">
        <v>3</v>
      </c>
      <c r="D48">
        <v>24400</v>
      </c>
      <c r="E48" t="s">
        <v>66</v>
      </c>
      <c r="F48">
        <v>32</v>
      </c>
      <c r="G48">
        <v>8.8000000000000007</v>
      </c>
      <c r="H48">
        <v>900</v>
      </c>
      <c r="I48">
        <v>0</v>
      </c>
    </row>
    <row r="49" spans="1:9" x14ac:dyDescent="0.3">
      <c r="A49" t="s">
        <v>157</v>
      </c>
      <c r="B49" t="s">
        <v>65</v>
      </c>
      <c r="C49">
        <v>4</v>
      </c>
      <c r="D49">
        <v>28300</v>
      </c>
      <c r="E49" t="s">
        <v>66</v>
      </c>
      <c r="F49">
        <v>32</v>
      </c>
      <c r="G49">
        <v>9.8000000000000007</v>
      </c>
      <c r="H49">
        <v>14100</v>
      </c>
      <c r="I49">
        <v>0</v>
      </c>
    </row>
    <row r="50" spans="1:9" x14ac:dyDescent="0.3">
      <c r="A50" t="s">
        <v>158</v>
      </c>
      <c r="B50" t="s">
        <v>65</v>
      </c>
      <c r="C50">
        <v>6</v>
      </c>
      <c r="D50">
        <v>98800</v>
      </c>
      <c r="E50" t="s">
        <v>66</v>
      </c>
      <c r="F50">
        <v>30</v>
      </c>
      <c r="G50">
        <v>11.9</v>
      </c>
      <c r="H50">
        <v>3500</v>
      </c>
      <c r="I50">
        <v>0</v>
      </c>
    </row>
    <row r="51" spans="1:9" x14ac:dyDescent="0.3">
      <c r="A51" t="s">
        <v>159</v>
      </c>
      <c r="B51" t="s">
        <v>64</v>
      </c>
      <c r="C51">
        <v>7</v>
      </c>
      <c r="D51">
        <v>23300</v>
      </c>
      <c r="E51" t="s">
        <v>67</v>
      </c>
      <c r="F51">
        <v>112</v>
      </c>
      <c r="G51">
        <v>7.5</v>
      </c>
      <c r="H51">
        <v>14100</v>
      </c>
      <c r="I51">
        <v>0</v>
      </c>
    </row>
    <row r="52" spans="1:9" x14ac:dyDescent="0.3">
      <c r="A52" t="s">
        <v>160</v>
      </c>
      <c r="B52" t="s">
        <v>65</v>
      </c>
      <c r="C52">
        <v>4</v>
      </c>
      <c r="D52">
        <v>43200</v>
      </c>
      <c r="E52" t="s">
        <v>69</v>
      </c>
      <c r="F52">
        <v>28</v>
      </c>
      <c r="G52">
        <v>4</v>
      </c>
      <c r="H52">
        <v>0</v>
      </c>
      <c r="I52">
        <v>0</v>
      </c>
    </row>
    <row r="53" spans="1:9" x14ac:dyDescent="0.3">
      <c r="A53" t="s">
        <v>161</v>
      </c>
      <c r="B53" t="s">
        <v>513</v>
      </c>
      <c r="C53">
        <v>9</v>
      </c>
      <c r="D53">
        <v>16100</v>
      </c>
      <c r="E53" t="s">
        <v>67</v>
      </c>
      <c r="F53">
        <v>60</v>
      </c>
      <c r="G53">
        <v>12</v>
      </c>
      <c r="H53">
        <v>6400</v>
      </c>
      <c r="I53">
        <v>0</v>
      </c>
    </row>
    <row r="54" spans="1:9" x14ac:dyDescent="0.3">
      <c r="A54" t="s">
        <v>162</v>
      </c>
      <c r="B54" t="s">
        <v>513</v>
      </c>
      <c r="C54">
        <v>1</v>
      </c>
      <c r="D54">
        <v>49600</v>
      </c>
      <c r="E54" t="s">
        <v>69</v>
      </c>
      <c r="F54">
        <v>20</v>
      </c>
      <c r="G54">
        <v>2.2000000000000002</v>
      </c>
      <c r="H54">
        <v>11200</v>
      </c>
      <c r="I54">
        <v>0</v>
      </c>
    </row>
    <row r="55" spans="1:9" x14ac:dyDescent="0.3">
      <c r="A55" t="s">
        <v>163</v>
      </c>
      <c r="B55" t="s">
        <v>513</v>
      </c>
      <c r="C55">
        <v>5</v>
      </c>
      <c r="D55">
        <v>37700</v>
      </c>
      <c r="E55" t="s">
        <v>67</v>
      </c>
      <c r="F55">
        <v>76</v>
      </c>
      <c r="G55">
        <v>11.7</v>
      </c>
      <c r="H55">
        <v>6200</v>
      </c>
      <c r="I55">
        <v>0</v>
      </c>
    </row>
    <row r="56" spans="1:9" x14ac:dyDescent="0.3">
      <c r="A56" t="s">
        <v>164</v>
      </c>
      <c r="B56" t="s">
        <v>62</v>
      </c>
      <c r="C56">
        <v>4</v>
      </c>
      <c r="D56">
        <v>44200</v>
      </c>
      <c r="E56" t="s">
        <v>69</v>
      </c>
      <c r="F56">
        <v>23</v>
      </c>
      <c r="G56">
        <v>0.6</v>
      </c>
      <c r="H56">
        <v>7700</v>
      </c>
      <c r="I56">
        <v>0</v>
      </c>
    </row>
    <row r="57" spans="1:9" x14ac:dyDescent="0.3">
      <c r="A57" t="s">
        <v>165</v>
      </c>
      <c r="B57" t="s">
        <v>65</v>
      </c>
      <c r="C57">
        <v>4</v>
      </c>
      <c r="D57">
        <v>23800</v>
      </c>
      <c r="E57" t="s">
        <v>67</v>
      </c>
      <c r="F57">
        <v>69</v>
      </c>
      <c r="G57">
        <v>4.9000000000000004</v>
      </c>
      <c r="H57">
        <v>1500</v>
      </c>
      <c r="I57">
        <v>0</v>
      </c>
    </row>
    <row r="58" spans="1:9" x14ac:dyDescent="0.3">
      <c r="A58" t="s">
        <v>166</v>
      </c>
      <c r="B58" t="s">
        <v>64</v>
      </c>
      <c r="C58">
        <v>3</v>
      </c>
      <c r="D58">
        <v>36200</v>
      </c>
      <c r="E58" t="s">
        <v>67</v>
      </c>
      <c r="F58">
        <v>72</v>
      </c>
      <c r="G58">
        <v>7.5</v>
      </c>
      <c r="H58">
        <v>5100</v>
      </c>
      <c r="I58">
        <v>0</v>
      </c>
    </row>
    <row r="59" spans="1:9" x14ac:dyDescent="0.3">
      <c r="A59" t="s">
        <v>167</v>
      </c>
      <c r="B59" t="s">
        <v>62</v>
      </c>
      <c r="C59">
        <v>8</v>
      </c>
      <c r="D59">
        <v>113500</v>
      </c>
      <c r="E59" t="s">
        <v>66</v>
      </c>
      <c r="F59">
        <v>23</v>
      </c>
      <c r="G59">
        <v>8.5</v>
      </c>
      <c r="H59">
        <v>4100</v>
      </c>
      <c r="I59">
        <v>0</v>
      </c>
    </row>
    <row r="60" spans="1:9" x14ac:dyDescent="0.3">
      <c r="A60" t="s">
        <v>168</v>
      </c>
      <c r="B60" t="s">
        <v>65</v>
      </c>
      <c r="C60">
        <v>8</v>
      </c>
      <c r="D60">
        <v>54000</v>
      </c>
      <c r="E60" t="s">
        <v>69</v>
      </c>
      <c r="F60">
        <v>37</v>
      </c>
      <c r="G60">
        <v>12.3</v>
      </c>
      <c r="H60">
        <v>7500</v>
      </c>
      <c r="I60">
        <v>0</v>
      </c>
    </row>
    <row r="61" spans="1:9" x14ac:dyDescent="0.3">
      <c r="A61" t="s">
        <v>169</v>
      </c>
      <c r="B61" t="s">
        <v>513</v>
      </c>
      <c r="C61">
        <v>5</v>
      </c>
      <c r="D61">
        <v>30500</v>
      </c>
      <c r="E61" t="s">
        <v>67</v>
      </c>
      <c r="F61">
        <v>112</v>
      </c>
      <c r="G61">
        <v>11.4</v>
      </c>
      <c r="H61">
        <v>5000</v>
      </c>
      <c r="I61">
        <v>0</v>
      </c>
    </row>
    <row r="62" spans="1:9" x14ac:dyDescent="0.3">
      <c r="A62" t="s">
        <v>170</v>
      </c>
      <c r="B62" t="s">
        <v>65</v>
      </c>
      <c r="C62">
        <v>3</v>
      </c>
      <c r="D62">
        <v>31400</v>
      </c>
      <c r="E62" t="s">
        <v>67</v>
      </c>
      <c r="F62">
        <v>97</v>
      </c>
      <c r="G62">
        <v>8.1999999999999993</v>
      </c>
      <c r="H62">
        <v>0</v>
      </c>
      <c r="I62">
        <v>0</v>
      </c>
    </row>
    <row r="63" spans="1:9" x14ac:dyDescent="0.3">
      <c r="A63" t="s">
        <v>171</v>
      </c>
      <c r="B63" t="s">
        <v>513</v>
      </c>
      <c r="C63">
        <v>5</v>
      </c>
      <c r="D63">
        <v>85400</v>
      </c>
      <c r="E63" t="s">
        <v>68</v>
      </c>
      <c r="F63">
        <v>39</v>
      </c>
      <c r="G63">
        <v>6.9</v>
      </c>
      <c r="H63">
        <v>6100</v>
      </c>
      <c r="I63">
        <v>0</v>
      </c>
    </row>
    <row r="64" spans="1:9" x14ac:dyDescent="0.3">
      <c r="A64" t="s">
        <v>172</v>
      </c>
      <c r="B64" t="s">
        <v>65</v>
      </c>
      <c r="C64">
        <v>3</v>
      </c>
      <c r="D64">
        <v>21600</v>
      </c>
      <c r="E64" t="s">
        <v>67</v>
      </c>
      <c r="F64">
        <v>48</v>
      </c>
      <c r="G64">
        <v>7.6</v>
      </c>
      <c r="H64">
        <v>700</v>
      </c>
      <c r="I64">
        <v>0</v>
      </c>
    </row>
    <row r="65" spans="1:9" x14ac:dyDescent="0.3">
      <c r="A65" t="s">
        <v>173</v>
      </c>
      <c r="B65" t="s">
        <v>513</v>
      </c>
      <c r="C65">
        <v>5</v>
      </c>
      <c r="D65">
        <v>29100</v>
      </c>
      <c r="E65" t="s">
        <v>68</v>
      </c>
      <c r="F65">
        <v>38</v>
      </c>
      <c r="G65">
        <v>2.2000000000000002</v>
      </c>
      <c r="H65">
        <v>7400</v>
      </c>
      <c r="I65">
        <v>0</v>
      </c>
    </row>
    <row r="66" spans="1:9" x14ac:dyDescent="0.3">
      <c r="A66" t="s">
        <v>174</v>
      </c>
      <c r="B66" t="s">
        <v>62</v>
      </c>
      <c r="C66">
        <v>9</v>
      </c>
      <c r="D66">
        <v>52600</v>
      </c>
      <c r="E66" t="s">
        <v>69</v>
      </c>
      <c r="F66">
        <v>35</v>
      </c>
      <c r="G66">
        <v>4.5999999999999996</v>
      </c>
      <c r="H66">
        <v>12300</v>
      </c>
      <c r="I66">
        <v>0</v>
      </c>
    </row>
    <row r="67" spans="1:9" x14ac:dyDescent="0.3">
      <c r="A67" t="s">
        <v>175</v>
      </c>
      <c r="B67" t="s">
        <v>65</v>
      </c>
      <c r="C67">
        <v>6</v>
      </c>
      <c r="D67">
        <v>28300</v>
      </c>
      <c r="E67" t="s">
        <v>67</v>
      </c>
      <c r="F67">
        <v>119</v>
      </c>
      <c r="G67">
        <v>12.6</v>
      </c>
      <c r="H67">
        <v>15200</v>
      </c>
      <c r="I67">
        <v>0</v>
      </c>
    </row>
    <row r="68" spans="1:9" x14ac:dyDescent="0.3">
      <c r="A68" t="s">
        <v>176</v>
      </c>
      <c r="B68" t="s">
        <v>64</v>
      </c>
      <c r="C68">
        <v>7</v>
      </c>
      <c r="D68">
        <v>71700</v>
      </c>
      <c r="E68" t="s">
        <v>67</v>
      </c>
      <c r="F68">
        <v>117</v>
      </c>
      <c r="G68">
        <v>4</v>
      </c>
      <c r="H68">
        <v>10700</v>
      </c>
      <c r="I68">
        <v>0</v>
      </c>
    </row>
    <row r="69" spans="1:9" x14ac:dyDescent="0.3">
      <c r="A69" t="s">
        <v>177</v>
      </c>
      <c r="B69" t="s">
        <v>65</v>
      </c>
      <c r="C69">
        <v>6</v>
      </c>
      <c r="D69">
        <v>95700</v>
      </c>
      <c r="E69" t="s">
        <v>69</v>
      </c>
      <c r="F69">
        <v>28</v>
      </c>
      <c r="G69">
        <v>12.8</v>
      </c>
      <c r="H69">
        <v>6200</v>
      </c>
      <c r="I69">
        <v>0</v>
      </c>
    </row>
    <row r="70" spans="1:9" x14ac:dyDescent="0.3">
      <c r="A70" t="s">
        <v>178</v>
      </c>
      <c r="B70" t="s">
        <v>64</v>
      </c>
      <c r="C70">
        <v>6</v>
      </c>
      <c r="D70">
        <v>41700</v>
      </c>
      <c r="E70" t="s">
        <v>69</v>
      </c>
      <c r="F70">
        <v>30</v>
      </c>
      <c r="G70">
        <v>4.5999999999999996</v>
      </c>
      <c r="H70">
        <v>7500</v>
      </c>
      <c r="I70">
        <v>0</v>
      </c>
    </row>
    <row r="71" spans="1:9" x14ac:dyDescent="0.3">
      <c r="A71" t="s">
        <v>179</v>
      </c>
      <c r="B71" t="s">
        <v>64</v>
      </c>
      <c r="C71">
        <v>3</v>
      </c>
      <c r="D71">
        <v>28800</v>
      </c>
      <c r="E71" t="s">
        <v>67</v>
      </c>
      <c r="F71">
        <v>70</v>
      </c>
      <c r="G71">
        <v>3</v>
      </c>
      <c r="H71">
        <v>9700</v>
      </c>
      <c r="I71">
        <v>0</v>
      </c>
    </row>
    <row r="72" spans="1:9" x14ac:dyDescent="0.3">
      <c r="A72" t="s">
        <v>180</v>
      </c>
      <c r="B72" t="s">
        <v>513</v>
      </c>
      <c r="C72">
        <v>4</v>
      </c>
      <c r="D72">
        <v>45200</v>
      </c>
      <c r="E72" t="s">
        <v>68</v>
      </c>
      <c r="F72">
        <v>46</v>
      </c>
      <c r="G72">
        <v>11.5</v>
      </c>
      <c r="H72">
        <v>5200</v>
      </c>
      <c r="I72">
        <v>0</v>
      </c>
    </row>
    <row r="73" spans="1:9" x14ac:dyDescent="0.3">
      <c r="A73" t="s">
        <v>181</v>
      </c>
      <c r="B73" t="s">
        <v>64</v>
      </c>
      <c r="C73">
        <v>2</v>
      </c>
      <c r="D73">
        <v>39200</v>
      </c>
      <c r="E73" t="s">
        <v>66</v>
      </c>
      <c r="F73">
        <v>48</v>
      </c>
      <c r="G73">
        <v>8.8000000000000007</v>
      </c>
      <c r="H73">
        <v>0</v>
      </c>
      <c r="I73">
        <v>0</v>
      </c>
    </row>
    <row r="74" spans="1:9" x14ac:dyDescent="0.3">
      <c r="A74" t="s">
        <v>182</v>
      </c>
      <c r="B74" t="s">
        <v>65</v>
      </c>
      <c r="C74">
        <v>2</v>
      </c>
      <c r="D74">
        <v>26000</v>
      </c>
      <c r="E74" t="s">
        <v>66</v>
      </c>
      <c r="F74">
        <v>26</v>
      </c>
      <c r="G74">
        <v>4.0999999999999996</v>
      </c>
      <c r="H74">
        <v>13300</v>
      </c>
      <c r="I74">
        <v>0</v>
      </c>
    </row>
    <row r="75" spans="1:9" x14ac:dyDescent="0.3">
      <c r="A75" t="s">
        <v>183</v>
      </c>
      <c r="B75" t="s">
        <v>513</v>
      </c>
      <c r="C75">
        <v>3</v>
      </c>
      <c r="D75">
        <v>26700</v>
      </c>
      <c r="E75" t="s">
        <v>69</v>
      </c>
      <c r="F75">
        <v>27</v>
      </c>
      <c r="G75">
        <v>2.6</v>
      </c>
      <c r="H75">
        <v>5400</v>
      </c>
      <c r="I75">
        <v>0</v>
      </c>
    </row>
    <row r="76" spans="1:9" x14ac:dyDescent="0.3">
      <c r="A76" t="s">
        <v>184</v>
      </c>
      <c r="B76" t="s">
        <v>65</v>
      </c>
      <c r="C76">
        <v>4</v>
      </c>
      <c r="D76">
        <v>38600</v>
      </c>
      <c r="E76" t="s">
        <v>68</v>
      </c>
      <c r="F76">
        <v>75</v>
      </c>
      <c r="G76">
        <v>6.1</v>
      </c>
      <c r="H76">
        <v>6700</v>
      </c>
      <c r="I76">
        <v>0</v>
      </c>
    </row>
    <row r="77" spans="1:9" x14ac:dyDescent="0.3">
      <c r="A77" t="s">
        <v>185</v>
      </c>
      <c r="B77" t="s">
        <v>62</v>
      </c>
      <c r="C77">
        <v>8</v>
      </c>
      <c r="D77">
        <v>31000</v>
      </c>
      <c r="E77" t="s">
        <v>67</v>
      </c>
      <c r="F77">
        <v>72</v>
      </c>
      <c r="G77">
        <v>3.8</v>
      </c>
      <c r="H77">
        <v>7000</v>
      </c>
      <c r="I77">
        <v>0</v>
      </c>
    </row>
    <row r="78" spans="1:9" x14ac:dyDescent="0.3">
      <c r="A78" t="s">
        <v>186</v>
      </c>
      <c r="B78" t="s">
        <v>65</v>
      </c>
      <c r="C78">
        <v>8</v>
      </c>
      <c r="D78">
        <v>41700</v>
      </c>
      <c r="E78" t="s">
        <v>67</v>
      </c>
      <c r="F78">
        <v>72</v>
      </c>
      <c r="G78">
        <v>9.1</v>
      </c>
      <c r="H78">
        <v>8400</v>
      </c>
      <c r="I78">
        <v>0</v>
      </c>
    </row>
    <row r="79" spans="1:9" x14ac:dyDescent="0.3">
      <c r="A79" t="s">
        <v>187</v>
      </c>
      <c r="B79" t="s">
        <v>513</v>
      </c>
      <c r="C79">
        <v>5</v>
      </c>
      <c r="D79">
        <v>18700</v>
      </c>
      <c r="E79" t="s">
        <v>66</v>
      </c>
      <c r="F79">
        <v>48</v>
      </c>
      <c r="G79">
        <v>10.7</v>
      </c>
      <c r="H79">
        <v>4200</v>
      </c>
      <c r="I79">
        <v>0</v>
      </c>
    </row>
    <row r="80" spans="1:9" x14ac:dyDescent="0.3">
      <c r="A80" t="s">
        <v>188</v>
      </c>
      <c r="B80" t="s">
        <v>65</v>
      </c>
      <c r="C80">
        <v>5</v>
      </c>
      <c r="D80">
        <v>21500</v>
      </c>
      <c r="E80" t="s">
        <v>67</v>
      </c>
      <c r="F80">
        <v>101</v>
      </c>
      <c r="G80">
        <v>6.1</v>
      </c>
      <c r="H80">
        <v>6700</v>
      </c>
      <c r="I80">
        <v>0</v>
      </c>
    </row>
    <row r="81" spans="1:9" x14ac:dyDescent="0.3">
      <c r="A81" t="s">
        <v>189</v>
      </c>
      <c r="B81" t="s">
        <v>65</v>
      </c>
      <c r="C81">
        <v>4</v>
      </c>
      <c r="D81">
        <v>46500</v>
      </c>
      <c r="E81" t="s">
        <v>66</v>
      </c>
      <c r="F81">
        <v>56</v>
      </c>
      <c r="G81">
        <v>12.5</v>
      </c>
      <c r="H81">
        <v>0</v>
      </c>
      <c r="I81">
        <v>0</v>
      </c>
    </row>
    <row r="82" spans="1:9" x14ac:dyDescent="0.3">
      <c r="A82" t="s">
        <v>190</v>
      </c>
      <c r="B82" t="s">
        <v>513</v>
      </c>
      <c r="C82">
        <v>6</v>
      </c>
      <c r="D82">
        <v>39800</v>
      </c>
      <c r="E82" t="s">
        <v>69</v>
      </c>
      <c r="F82">
        <v>46</v>
      </c>
      <c r="G82">
        <v>9.9</v>
      </c>
      <c r="H82">
        <v>7300</v>
      </c>
      <c r="I82">
        <v>0</v>
      </c>
    </row>
    <row r="83" spans="1:9" x14ac:dyDescent="0.3">
      <c r="A83" t="s">
        <v>191</v>
      </c>
      <c r="B83" t="s">
        <v>513</v>
      </c>
      <c r="C83">
        <v>5</v>
      </c>
      <c r="D83">
        <v>49300</v>
      </c>
      <c r="E83" t="s">
        <v>69</v>
      </c>
      <c r="F83">
        <v>56</v>
      </c>
      <c r="G83">
        <v>13.9</v>
      </c>
      <c r="H83">
        <v>4300</v>
      </c>
      <c r="I83">
        <v>0</v>
      </c>
    </row>
    <row r="84" spans="1:9" x14ac:dyDescent="0.3">
      <c r="A84" t="s">
        <v>192</v>
      </c>
      <c r="B84" t="s">
        <v>62</v>
      </c>
      <c r="C84">
        <v>5</v>
      </c>
      <c r="D84">
        <v>31900</v>
      </c>
      <c r="E84" t="s">
        <v>68</v>
      </c>
      <c r="F84">
        <v>45</v>
      </c>
      <c r="G84">
        <v>6.6</v>
      </c>
      <c r="H84">
        <v>5500</v>
      </c>
      <c r="I84">
        <v>0</v>
      </c>
    </row>
    <row r="85" spans="1:9" x14ac:dyDescent="0.3">
      <c r="A85" t="s">
        <v>193</v>
      </c>
      <c r="B85" t="s">
        <v>513</v>
      </c>
      <c r="C85">
        <v>3</v>
      </c>
      <c r="D85">
        <v>95800</v>
      </c>
      <c r="E85" t="s">
        <v>66</v>
      </c>
      <c r="F85">
        <v>46</v>
      </c>
      <c r="G85">
        <v>11.7</v>
      </c>
      <c r="H85">
        <v>5500</v>
      </c>
      <c r="I85">
        <v>0</v>
      </c>
    </row>
    <row r="86" spans="1:9" x14ac:dyDescent="0.3">
      <c r="A86" t="s">
        <v>194</v>
      </c>
      <c r="B86" t="s">
        <v>513</v>
      </c>
      <c r="C86">
        <v>3</v>
      </c>
      <c r="D86">
        <v>14800</v>
      </c>
      <c r="E86" t="s">
        <v>66</v>
      </c>
      <c r="F86">
        <v>16</v>
      </c>
      <c r="G86">
        <v>2.2000000000000002</v>
      </c>
      <c r="H86">
        <v>4300</v>
      </c>
      <c r="I86">
        <v>0</v>
      </c>
    </row>
    <row r="87" spans="1:9" x14ac:dyDescent="0.3">
      <c r="A87" t="s">
        <v>195</v>
      </c>
      <c r="B87" t="s">
        <v>62</v>
      </c>
      <c r="C87">
        <v>6</v>
      </c>
      <c r="D87">
        <v>11800</v>
      </c>
      <c r="E87" t="s">
        <v>67</v>
      </c>
      <c r="F87">
        <v>89</v>
      </c>
      <c r="G87">
        <v>2</v>
      </c>
      <c r="H87">
        <v>7700</v>
      </c>
      <c r="I87">
        <v>0</v>
      </c>
    </row>
    <row r="88" spans="1:9" x14ac:dyDescent="0.3">
      <c r="A88" t="s">
        <v>196</v>
      </c>
      <c r="B88" t="s">
        <v>65</v>
      </c>
      <c r="C88">
        <v>2</v>
      </c>
      <c r="D88">
        <v>20400</v>
      </c>
      <c r="E88" t="s">
        <v>67</v>
      </c>
      <c r="F88">
        <v>91</v>
      </c>
      <c r="G88">
        <v>0.9</v>
      </c>
      <c r="H88">
        <v>3100</v>
      </c>
      <c r="I88">
        <v>0</v>
      </c>
    </row>
    <row r="89" spans="1:9" x14ac:dyDescent="0.3">
      <c r="A89" t="s">
        <v>197</v>
      </c>
      <c r="B89" t="s">
        <v>513</v>
      </c>
      <c r="C89">
        <v>8</v>
      </c>
      <c r="D89">
        <v>61600</v>
      </c>
      <c r="E89" t="s">
        <v>67</v>
      </c>
      <c r="F89">
        <v>68</v>
      </c>
      <c r="G89">
        <v>14.5</v>
      </c>
      <c r="H89">
        <v>1700</v>
      </c>
      <c r="I89">
        <v>0</v>
      </c>
    </row>
    <row r="90" spans="1:9" x14ac:dyDescent="0.3">
      <c r="A90" t="s">
        <v>198</v>
      </c>
      <c r="B90" t="s">
        <v>62</v>
      </c>
      <c r="C90">
        <v>7</v>
      </c>
      <c r="D90">
        <v>48300</v>
      </c>
      <c r="E90" t="s">
        <v>67</v>
      </c>
      <c r="F90">
        <v>100</v>
      </c>
      <c r="G90">
        <v>9.4</v>
      </c>
      <c r="H90">
        <v>7100</v>
      </c>
      <c r="I90">
        <v>0</v>
      </c>
    </row>
    <row r="91" spans="1:9" x14ac:dyDescent="0.3">
      <c r="A91" t="s">
        <v>199</v>
      </c>
      <c r="B91" t="s">
        <v>64</v>
      </c>
      <c r="C91">
        <v>3</v>
      </c>
      <c r="D91">
        <v>42400</v>
      </c>
      <c r="E91" t="s">
        <v>66</v>
      </c>
      <c r="F91">
        <v>69</v>
      </c>
      <c r="G91">
        <v>1</v>
      </c>
      <c r="H91">
        <v>4900</v>
      </c>
      <c r="I91">
        <v>0</v>
      </c>
    </row>
    <row r="92" spans="1:9" x14ac:dyDescent="0.3">
      <c r="A92" t="s">
        <v>200</v>
      </c>
      <c r="B92" t="s">
        <v>513</v>
      </c>
      <c r="C92">
        <v>3</v>
      </c>
      <c r="D92">
        <v>26000</v>
      </c>
      <c r="E92" t="s">
        <v>66</v>
      </c>
      <c r="F92">
        <v>66</v>
      </c>
      <c r="G92">
        <v>4.5</v>
      </c>
      <c r="H92">
        <v>3800</v>
      </c>
      <c r="I92">
        <v>0</v>
      </c>
    </row>
    <row r="93" spans="1:9" x14ac:dyDescent="0.3">
      <c r="A93" t="s">
        <v>201</v>
      </c>
      <c r="B93" t="s">
        <v>65</v>
      </c>
      <c r="C93">
        <v>4</v>
      </c>
      <c r="D93">
        <v>30200</v>
      </c>
      <c r="E93" t="s">
        <v>68</v>
      </c>
      <c r="F93">
        <v>72</v>
      </c>
      <c r="G93">
        <v>9.1</v>
      </c>
      <c r="H93">
        <v>4500</v>
      </c>
      <c r="I93">
        <v>0</v>
      </c>
    </row>
    <row r="94" spans="1:9" x14ac:dyDescent="0.3">
      <c r="A94" t="s">
        <v>202</v>
      </c>
      <c r="B94" t="s">
        <v>62</v>
      </c>
      <c r="C94">
        <v>2</v>
      </c>
      <c r="D94">
        <v>64200</v>
      </c>
      <c r="E94" t="s">
        <v>68</v>
      </c>
      <c r="F94">
        <v>35</v>
      </c>
      <c r="G94">
        <v>5.5</v>
      </c>
      <c r="H94">
        <v>5100</v>
      </c>
      <c r="I94">
        <v>0</v>
      </c>
    </row>
    <row r="95" spans="1:9" x14ac:dyDescent="0.3">
      <c r="A95" t="s">
        <v>203</v>
      </c>
      <c r="B95" t="s">
        <v>513</v>
      </c>
      <c r="C95">
        <v>6</v>
      </c>
      <c r="D95">
        <v>66400</v>
      </c>
      <c r="E95" t="s">
        <v>67</v>
      </c>
      <c r="F95">
        <v>109</v>
      </c>
      <c r="G95">
        <v>7.3</v>
      </c>
      <c r="H95">
        <v>13500</v>
      </c>
      <c r="I95">
        <v>0</v>
      </c>
    </row>
    <row r="96" spans="1:9" x14ac:dyDescent="0.3">
      <c r="A96" t="s">
        <v>204</v>
      </c>
      <c r="B96" t="s">
        <v>65</v>
      </c>
      <c r="C96">
        <v>3</v>
      </c>
      <c r="D96">
        <v>9100</v>
      </c>
      <c r="E96" t="s">
        <v>67</v>
      </c>
      <c r="F96">
        <v>111</v>
      </c>
      <c r="G96">
        <v>1.7</v>
      </c>
      <c r="H96">
        <v>9800</v>
      </c>
      <c r="I96">
        <v>0</v>
      </c>
    </row>
    <row r="97" spans="1:9" x14ac:dyDescent="0.3">
      <c r="A97" t="s">
        <v>205</v>
      </c>
      <c r="B97" t="s">
        <v>65</v>
      </c>
      <c r="C97">
        <v>3</v>
      </c>
      <c r="D97">
        <v>59300</v>
      </c>
      <c r="E97" t="s">
        <v>69</v>
      </c>
      <c r="F97">
        <v>50</v>
      </c>
      <c r="G97">
        <v>13.6</v>
      </c>
      <c r="H97">
        <v>10000</v>
      </c>
      <c r="I97">
        <v>0</v>
      </c>
    </row>
    <row r="98" spans="1:9" x14ac:dyDescent="0.3">
      <c r="A98" t="s">
        <v>206</v>
      </c>
      <c r="B98" t="s">
        <v>65</v>
      </c>
      <c r="C98">
        <v>6</v>
      </c>
      <c r="D98">
        <v>49000</v>
      </c>
      <c r="E98" t="s">
        <v>68</v>
      </c>
      <c r="F98">
        <v>42</v>
      </c>
      <c r="G98">
        <v>0.8</v>
      </c>
      <c r="H98">
        <v>9500</v>
      </c>
      <c r="I98">
        <v>0</v>
      </c>
    </row>
    <row r="99" spans="1:9" x14ac:dyDescent="0.3">
      <c r="A99" t="s">
        <v>207</v>
      </c>
      <c r="B99" t="s">
        <v>65</v>
      </c>
      <c r="C99">
        <v>2</v>
      </c>
      <c r="D99">
        <v>12400</v>
      </c>
      <c r="E99" t="s">
        <v>66</v>
      </c>
      <c r="F99">
        <v>32</v>
      </c>
      <c r="G99">
        <v>12.8</v>
      </c>
      <c r="H99">
        <v>2900</v>
      </c>
      <c r="I99">
        <v>0</v>
      </c>
    </row>
    <row r="100" spans="1:9" x14ac:dyDescent="0.3">
      <c r="A100" t="s">
        <v>208</v>
      </c>
      <c r="B100" t="s">
        <v>62</v>
      </c>
      <c r="C100">
        <v>5</v>
      </c>
      <c r="D100">
        <v>26500</v>
      </c>
      <c r="E100" t="s">
        <v>66</v>
      </c>
      <c r="F100">
        <v>66</v>
      </c>
      <c r="G100">
        <v>2.2000000000000002</v>
      </c>
      <c r="H100">
        <v>5500</v>
      </c>
      <c r="I100">
        <v>0</v>
      </c>
    </row>
    <row r="101" spans="1:9" x14ac:dyDescent="0.3">
      <c r="A101" t="s">
        <v>209</v>
      </c>
      <c r="B101" t="s">
        <v>64</v>
      </c>
      <c r="C101">
        <v>1</v>
      </c>
      <c r="D101">
        <v>67800</v>
      </c>
      <c r="E101" t="s">
        <v>66</v>
      </c>
      <c r="F101">
        <v>56</v>
      </c>
      <c r="G101">
        <v>11.5</v>
      </c>
      <c r="H101">
        <v>5300</v>
      </c>
      <c r="I101">
        <v>0</v>
      </c>
    </row>
    <row r="102" spans="1:9" x14ac:dyDescent="0.3">
      <c r="A102" t="s">
        <v>210</v>
      </c>
      <c r="B102" t="s">
        <v>513</v>
      </c>
      <c r="C102">
        <v>2</v>
      </c>
      <c r="D102">
        <v>35900</v>
      </c>
      <c r="E102" t="s">
        <v>66</v>
      </c>
      <c r="F102">
        <v>48</v>
      </c>
      <c r="G102">
        <v>7.9</v>
      </c>
      <c r="H102">
        <v>7200</v>
      </c>
      <c r="I102">
        <v>0</v>
      </c>
    </row>
    <row r="103" spans="1:9" x14ac:dyDescent="0.3">
      <c r="A103" t="s">
        <v>211</v>
      </c>
      <c r="B103" t="s">
        <v>64</v>
      </c>
      <c r="C103">
        <v>4</v>
      </c>
      <c r="D103">
        <v>62300</v>
      </c>
      <c r="E103" t="s">
        <v>68</v>
      </c>
      <c r="F103">
        <v>56</v>
      </c>
      <c r="G103">
        <v>11.3</v>
      </c>
      <c r="H103">
        <v>0</v>
      </c>
      <c r="I103">
        <v>0</v>
      </c>
    </row>
    <row r="104" spans="1:9" x14ac:dyDescent="0.3">
      <c r="A104" t="s">
        <v>212</v>
      </c>
      <c r="B104" t="s">
        <v>64</v>
      </c>
      <c r="C104">
        <v>4</v>
      </c>
      <c r="D104">
        <v>39800</v>
      </c>
      <c r="E104" t="s">
        <v>69</v>
      </c>
      <c r="F104">
        <v>20</v>
      </c>
      <c r="G104">
        <v>8.8000000000000007</v>
      </c>
      <c r="H104">
        <v>9400</v>
      </c>
      <c r="I104">
        <v>0</v>
      </c>
    </row>
    <row r="105" spans="1:9" x14ac:dyDescent="0.3">
      <c r="A105" t="s">
        <v>213</v>
      </c>
      <c r="B105" t="s">
        <v>64</v>
      </c>
      <c r="C105">
        <v>3</v>
      </c>
      <c r="D105">
        <v>38500</v>
      </c>
      <c r="E105" t="s">
        <v>69</v>
      </c>
      <c r="F105">
        <v>55</v>
      </c>
      <c r="G105">
        <v>11.5</v>
      </c>
      <c r="H105">
        <v>9200</v>
      </c>
      <c r="I105">
        <v>0</v>
      </c>
    </row>
    <row r="106" spans="1:9" x14ac:dyDescent="0.3">
      <c r="A106" t="s">
        <v>214</v>
      </c>
      <c r="B106" t="s">
        <v>64</v>
      </c>
      <c r="C106">
        <v>4</v>
      </c>
      <c r="D106">
        <v>27300</v>
      </c>
      <c r="E106" t="s">
        <v>69</v>
      </c>
      <c r="F106">
        <v>16</v>
      </c>
      <c r="G106">
        <v>3.2</v>
      </c>
      <c r="H106">
        <v>200</v>
      </c>
      <c r="I106">
        <v>0</v>
      </c>
    </row>
    <row r="107" spans="1:9" x14ac:dyDescent="0.3">
      <c r="A107" t="s">
        <v>215</v>
      </c>
      <c r="B107" t="s">
        <v>513</v>
      </c>
      <c r="C107">
        <v>6</v>
      </c>
      <c r="D107">
        <v>105400</v>
      </c>
      <c r="E107" t="s">
        <v>66</v>
      </c>
      <c r="F107">
        <v>46</v>
      </c>
      <c r="G107">
        <v>6.3</v>
      </c>
      <c r="H107">
        <v>11300</v>
      </c>
      <c r="I107">
        <v>0</v>
      </c>
    </row>
    <row r="108" spans="1:9" x14ac:dyDescent="0.3">
      <c r="A108" t="s">
        <v>216</v>
      </c>
      <c r="B108" t="s">
        <v>62</v>
      </c>
      <c r="C108">
        <v>3</v>
      </c>
      <c r="D108">
        <v>21800</v>
      </c>
      <c r="E108" t="s">
        <v>68</v>
      </c>
      <c r="F108">
        <v>28</v>
      </c>
      <c r="G108">
        <v>5.4</v>
      </c>
      <c r="H108">
        <v>2000</v>
      </c>
      <c r="I108">
        <v>0</v>
      </c>
    </row>
    <row r="109" spans="1:9" x14ac:dyDescent="0.3">
      <c r="A109" t="s">
        <v>217</v>
      </c>
      <c r="B109" t="s">
        <v>62</v>
      </c>
      <c r="C109">
        <v>3</v>
      </c>
      <c r="D109">
        <v>45200</v>
      </c>
      <c r="E109" t="s">
        <v>69</v>
      </c>
      <c r="F109">
        <v>27</v>
      </c>
      <c r="G109">
        <v>8.3000000000000007</v>
      </c>
      <c r="H109">
        <v>11400</v>
      </c>
      <c r="I109">
        <v>0</v>
      </c>
    </row>
    <row r="110" spans="1:9" x14ac:dyDescent="0.3">
      <c r="A110" t="s">
        <v>218</v>
      </c>
      <c r="B110" t="s">
        <v>64</v>
      </c>
      <c r="C110">
        <v>7</v>
      </c>
      <c r="D110">
        <v>42200</v>
      </c>
      <c r="E110" t="s">
        <v>66</v>
      </c>
      <c r="F110">
        <v>32</v>
      </c>
      <c r="G110">
        <v>10.1</v>
      </c>
      <c r="H110">
        <v>7000</v>
      </c>
      <c r="I110">
        <v>0</v>
      </c>
    </row>
    <row r="111" spans="1:9" x14ac:dyDescent="0.3">
      <c r="A111" t="s">
        <v>219</v>
      </c>
      <c r="B111" t="s">
        <v>65</v>
      </c>
      <c r="C111">
        <v>10</v>
      </c>
      <c r="D111">
        <v>71700</v>
      </c>
      <c r="E111" t="s">
        <v>67</v>
      </c>
      <c r="F111">
        <v>60</v>
      </c>
      <c r="G111">
        <v>8.9</v>
      </c>
      <c r="H111">
        <v>10100</v>
      </c>
      <c r="I111">
        <v>0</v>
      </c>
    </row>
    <row r="112" spans="1:9" x14ac:dyDescent="0.3">
      <c r="A112" t="s">
        <v>220</v>
      </c>
      <c r="B112" t="s">
        <v>62</v>
      </c>
      <c r="C112">
        <v>4</v>
      </c>
      <c r="D112">
        <v>16800</v>
      </c>
      <c r="E112" t="s">
        <v>67</v>
      </c>
      <c r="F112">
        <v>68</v>
      </c>
      <c r="G112">
        <v>1.7</v>
      </c>
      <c r="H112">
        <v>4200</v>
      </c>
      <c r="I112">
        <v>0</v>
      </c>
    </row>
    <row r="113" spans="1:9" x14ac:dyDescent="0.3">
      <c r="A113" t="s">
        <v>221</v>
      </c>
      <c r="B113" t="s">
        <v>64</v>
      </c>
      <c r="C113">
        <v>6</v>
      </c>
      <c r="D113">
        <v>35100</v>
      </c>
      <c r="E113" t="s">
        <v>69</v>
      </c>
      <c r="F113">
        <v>56</v>
      </c>
      <c r="G113">
        <v>0.7</v>
      </c>
      <c r="H113">
        <v>7100</v>
      </c>
      <c r="I113">
        <v>0</v>
      </c>
    </row>
    <row r="114" spans="1:9" x14ac:dyDescent="0.3">
      <c r="A114" t="s">
        <v>222</v>
      </c>
      <c r="B114" t="s">
        <v>62</v>
      </c>
      <c r="C114">
        <v>8</v>
      </c>
      <c r="D114">
        <v>58300</v>
      </c>
      <c r="E114" t="s">
        <v>68</v>
      </c>
      <c r="F114">
        <v>62</v>
      </c>
      <c r="G114">
        <v>7.7</v>
      </c>
      <c r="H114">
        <v>9300</v>
      </c>
      <c r="I114">
        <v>0</v>
      </c>
    </row>
    <row r="115" spans="1:9" x14ac:dyDescent="0.3">
      <c r="A115" t="s">
        <v>223</v>
      </c>
      <c r="B115" t="s">
        <v>64</v>
      </c>
      <c r="C115">
        <v>5</v>
      </c>
      <c r="D115">
        <v>29200</v>
      </c>
      <c r="E115" t="s">
        <v>69</v>
      </c>
      <c r="F115">
        <v>54</v>
      </c>
      <c r="G115">
        <v>1.3</v>
      </c>
      <c r="H115">
        <v>6000</v>
      </c>
      <c r="I115">
        <v>0</v>
      </c>
    </row>
    <row r="116" spans="1:9" x14ac:dyDescent="0.3">
      <c r="A116" t="s">
        <v>224</v>
      </c>
      <c r="B116" t="s">
        <v>64</v>
      </c>
      <c r="C116">
        <v>3</v>
      </c>
      <c r="D116">
        <v>37300</v>
      </c>
      <c r="E116" t="s">
        <v>68</v>
      </c>
      <c r="F116">
        <v>47</v>
      </c>
      <c r="G116">
        <v>8.6</v>
      </c>
      <c r="H116">
        <v>7200</v>
      </c>
      <c r="I116">
        <v>0</v>
      </c>
    </row>
    <row r="117" spans="1:9" x14ac:dyDescent="0.3">
      <c r="A117" t="s">
        <v>225</v>
      </c>
      <c r="B117" t="s">
        <v>65</v>
      </c>
      <c r="C117">
        <v>4</v>
      </c>
      <c r="D117">
        <v>40300</v>
      </c>
      <c r="E117" t="s">
        <v>67</v>
      </c>
      <c r="F117">
        <v>63</v>
      </c>
      <c r="G117">
        <v>8.9</v>
      </c>
      <c r="H117">
        <v>4100</v>
      </c>
      <c r="I117">
        <v>0</v>
      </c>
    </row>
    <row r="118" spans="1:9" x14ac:dyDescent="0.3">
      <c r="A118" t="s">
        <v>226</v>
      </c>
      <c r="B118" t="s">
        <v>64</v>
      </c>
      <c r="C118">
        <v>6</v>
      </c>
      <c r="D118">
        <v>71300</v>
      </c>
      <c r="E118" t="s">
        <v>68</v>
      </c>
      <c r="F118">
        <v>40</v>
      </c>
      <c r="G118">
        <v>10.8</v>
      </c>
      <c r="H118">
        <v>9700</v>
      </c>
      <c r="I118">
        <v>0</v>
      </c>
    </row>
    <row r="119" spans="1:9" x14ac:dyDescent="0.3">
      <c r="A119" t="s">
        <v>227</v>
      </c>
      <c r="B119" t="s">
        <v>62</v>
      </c>
      <c r="C119">
        <v>7</v>
      </c>
      <c r="D119">
        <v>67500</v>
      </c>
      <c r="E119" t="s">
        <v>69</v>
      </c>
      <c r="F119">
        <v>22</v>
      </c>
      <c r="G119">
        <v>9</v>
      </c>
      <c r="H119">
        <v>4300</v>
      </c>
      <c r="I119">
        <v>0</v>
      </c>
    </row>
    <row r="120" spans="1:9" x14ac:dyDescent="0.3">
      <c r="A120" t="s">
        <v>228</v>
      </c>
      <c r="B120" t="s">
        <v>65</v>
      </c>
      <c r="C120">
        <v>4</v>
      </c>
      <c r="D120">
        <v>31300</v>
      </c>
      <c r="E120" t="s">
        <v>67</v>
      </c>
      <c r="F120">
        <v>66</v>
      </c>
      <c r="G120">
        <v>2.9</v>
      </c>
      <c r="H120">
        <v>8000</v>
      </c>
      <c r="I120">
        <v>0</v>
      </c>
    </row>
    <row r="121" spans="1:9" x14ac:dyDescent="0.3">
      <c r="A121" t="s">
        <v>229</v>
      </c>
      <c r="B121" t="s">
        <v>513</v>
      </c>
      <c r="C121">
        <v>3</v>
      </c>
      <c r="D121">
        <v>53900</v>
      </c>
      <c r="E121" t="s">
        <v>69</v>
      </c>
      <c r="F121">
        <v>13</v>
      </c>
      <c r="G121">
        <v>10</v>
      </c>
      <c r="H121">
        <v>8900</v>
      </c>
      <c r="I121">
        <v>0</v>
      </c>
    </row>
    <row r="122" spans="1:9" x14ac:dyDescent="0.3">
      <c r="A122" t="s">
        <v>230</v>
      </c>
      <c r="B122" t="s">
        <v>64</v>
      </c>
      <c r="C122">
        <v>3</v>
      </c>
      <c r="D122">
        <v>37700</v>
      </c>
      <c r="E122" t="s">
        <v>66</v>
      </c>
      <c r="F122">
        <v>28</v>
      </c>
      <c r="G122">
        <v>1.7</v>
      </c>
      <c r="H122">
        <v>1200</v>
      </c>
      <c r="I122">
        <v>0</v>
      </c>
    </row>
    <row r="123" spans="1:9" x14ac:dyDescent="0.3">
      <c r="A123" t="s">
        <v>231</v>
      </c>
      <c r="B123" t="s">
        <v>513</v>
      </c>
      <c r="C123">
        <v>5</v>
      </c>
      <c r="D123">
        <v>60800</v>
      </c>
      <c r="E123" t="s">
        <v>69</v>
      </c>
      <c r="F123">
        <v>54</v>
      </c>
      <c r="G123">
        <v>5.9</v>
      </c>
      <c r="H123">
        <v>3700</v>
      </c>
      <c r="I123">
        <v>0</v>
      </c>
    </row>
    <row r="124" spans="1:9" x14ac:dyDescent="0.3">
      <c r="A124" t="s">
        <v>232</v>
      </c>
      <c r="B124" t="s">
        <v>64</v>
      </c>
      <c r="C124">
        <v>7</v>
      </c>
      <c r="D124">
        <v>27000</v>
      </c>
      <c r="E124" t="s">
        <v>67</v>
      </c>
      <c r="F124">
        <v>100</v>
      </c>
      <c r="G124">
        <v>0.3</v>
      </c>
      <c r="H124">
        <v>300</v>
      </c>
      <c r="I124">
        <v>0</v>
      </c>
    </row>
    <row r="125" spans="1:9" x14ac:dyDescent="0.3">
      <c r="A125" t="s">
        <v>233</v>
      </c>
      <c r="B125" t="s">
        <v>65</v>
      </c>
      <c r="C125">
        <v>4</v>
      </c>
      <c r="D125">
        <v>47000</v>
      </c>
      <c r="E125" t="s">
        <v>68</v>
      </c>
      <c r="F125">
        <v>62</v>
      </c>
      <c r="G125">
        <v>7.3</v>
      </c>
      <c r="H125">
        <v>2100</v>
      </c>
      <c r="I125">
        <v>0</v>
      </c>
    </row>
    <row r="126" spans="1:9" x14ac:dyDescent="0.3">
      <c r="A126" t="s">
        <v>234</v>
      </c>
      <c r="B126" t="s">
        <v>65</v>
      </c>
      <c r="C126">
        <v>9</v>
      </c>
      <c r="D126">
        <v>29600</v>
      </c>
      <c r="E126" t="s">
        <v>69</v>
      </c>
      <c r="F126">
        <v>58</v>
      </c>
      <c r="G126">
        <v>3.3</v>
      </c>
      <c r="H126">
        <v>7600</v>
      </c>
      <c r="I126">
        <v>0</v>
      </c>
    </row>
    <row r="127" spans="1:9" x14ac:dyDescent="0.3">
      <c r="A127" t="s">
        <v>235</v>
      </c>
      <c r="B127" t="s">
        <v>513</v>
      </c>
      <c r="C127">
        <v>7</v>
      </c>
      <c r="D127">
        <v>11900</v>
      </c>
      <c r="E127" t="s">
        <v>66</v>
      </c>
      <c r="F127">
        <v>28</v>
      </c>
      <c r="G127">
        <v>8.6</v>
      </c>
      <c r="H127">
        <v>9600</v>
      </c>
      <c r="I127">
        <v>0</v>
      </c>
    </row>
    <row r="128" spans="1:9" x14ac:dyDescent="0.3">
      <c r="A128" t="s">
        <v>236</v>
      </c>
      <c r="B128" t="s">
        <v>65</v>
      </c>
      <c r="C128">
        <v>6</v>
      </c>
      <c r="D128">
        <v>38700</v>
      </c>
      <c r="E128" t="s">
        <v>67</v>
      </c>
      <c r="F128">
        <v>108</v>
      </c>
      <c r="G128">
        <v>0.9</v>
      </c>
      <c r="H128">
        <v>3900</v>
      </c>
      <c r="I128">
        <v>0</v>
      </c>
    </row>
    <row r="129" spans="1:9" x14ac:dyDescent="0.3">
      <c r="A129" t="s">
        <v>237</v>
      </c>
      <c r="B129" t="s">
        <v>513</v>
      </c>
      <c r="C129">
        <v>3</v>
      </c>
      <c r="D129">
        <v>93000</v>
      </c>
      <c r="E129" t="s">
        <v>66</v>
      </c>
      <c r="F129">
        <v>57</v>
      </c>
      <c r="G129">
        <v>13.5</v>
      </c>
      <c r="H129">
        <v>13600</v>
      </c>
      <c r="I129">
        <v>0</v>
      </c>
    </row>
    <row r="130" spans="1:9" x14ac:dyDescent="0.3">
      <c r="A130" t="s">
        <v>238</v>
      </c>
      <c r="B130" t="s">
        <v>62</v>
      </c>
      <c r="C130">
        <v>7</v>
      </c>
      <c r="D130">
        <v>28500</v>
      </c>
      <c r="E130" t="s">
        <v>69</v>
      </c>
      <c r="F130">
        <v>38</v>
      </c>
      <c r="G130">
        <v>6.8</v>
      </c>
      <c r="H130">
        <v>5400</v>
      </c>
      <c r="I130">
        <v>0</v>
      </c>
    </row>
    <row r="131" spans="1:9" x14ac:dyDescent="0.3">
      <c r="A131" t="s">
        <v>239</v>
      </c>
      <c r="B131" t="s">
        <v>513</v>
      </c>
      <c r="C131">
        <v>8</v>
      </c>
      <c r="D131">
        <v>55700</v>
      </c>
      <c r="E131" t="s">
        <v>69</v>
      </c>
      <c r="F131">
        <v>24</v>
      </c>
      <c r="G131">
        <v>11.3</v>
      </c>
      <c r="H131">
        <v>300</v>
      </c>
      <c r="I131">
        <v>0</v>
      </c>
    </row>
    <row r="132" spans="1:9" x14ac:dyDescent="0.3">
      <c r="A132" t="s">
        <v>240</v>
      </c>
      <c r="B132" t="s">
        <v>513</v>
      </c>
      <c r="C132">
        <v>4</v>
      </c>
      <c r="D132">
        <v>17400</v>
      </c>
      <c r="E132" t="s">
        <v>67</v>
      </c>
      <c r="F132">
        <v>95</v>
      </c>
      <c r="G132">
        <v>4</v>
      </c>
      <c r="H132">
        <v>7900</v>
      </c>
      <c r="I132">
        <v>0</v>
      </c>
    </row>
    <row r="133" spans="1:9" x14ac:dyDescent="0.3">
      <c r="A133" t="s">
        <v>241</v>
      </c>
      <c r="B133" t="s">
        <v>513</v>
      </c>
      <c r="C133">
        <v>7</v>
      </c>
      <c r="D133">
        <v>71400</v>
      </c>
      <c r="E133" t="s">
        <v>66</v>
      </c>
      <c r="F133">
        <v>45</v>
      </c>
      <c r="G133">
        <v>1.3</v>
      </c>
      <c r="H133">
        <v>10400</v>
      </c>
      <c r="I133">
        <v>0</v>
      </c>
    </row>
    <row r="134" spans="1:9" x14ac:dyDescent="0.3">
      <c r="A134" t="s">
        <v>242</v>
      </c>
      <c r="B134" t="s">
        <v>62</v>
      </c>
      <c r="C134">
        <v>5</v>
      </c>
      <c r="D134">
        <v>49100</v>
      </c>
      <c r="E134" t="s">
        <v>69</v>
      </c>
      <c r="F134">
        <v>45</v>
      </c>
      <c r="G134">
        <v>7.9</v>
      </c>
      <c r="H134">
        <v>2900</v>
      </c>
      <c r="I134">
        <v>0</v>
      </c>
    </row>
    <row r="135" spans="1:9" x14ac:dyDescent="0.3">
      <c r="A135" t="s">
        <v>243</v>
      </c>
      <c r="B135" t="s">
        <v>513</v>
      </c>
      <c r="C135">
        <v>6</v>
      </c>
      <c r="D135">
        <v>75300</v>
      </c>
      <c r="E135" t="s">
        <v>69</v>
      </c>
      <c r="F135">
        <v>12</v>
      </c>
      <c r="G135">
        <v>9.1</v>
      </c>
      <c r="H135">
        <v>6800</v>
      </c>
      <c r="I135">
        <v>0</v>
      </c>
    </row>
    <row r="136" spans="1:9" x14ac:dyDescent="0.3">
      <c r="A136" t="s">
        <v>244</v>
      </c>
      <c r="B136" t="s">
        <v>513</v>
      </c>
      <c r="C136">
        <v>6</v>
      </c>
      <c r="D136">
        <v>71000</v>
      </c>
      <c r="E136" t="s">
        <v>69</v>
      </c>
      <c r="F136">
        <v>24</v>
      </c>
      <c r="G136">
        <v>2.6</v>
      </c>
      <c r="H136">
        <v>3000</v>
      </c>
      <c r="I136">
        <v>0</v>
      </c>
    </row>
    <row r="137" spans="1:9" x14ac:dyDescent="0.3">
      <c r="A137" t="s">
        <v>245</v>
      </c>
      <c r="B137" t="s">
        <v>62</v>
      </c>
      <c r="C137">
        <v>2</v>
      </c>
      <c r="D137">
        <v>38500</v>
      </c>
      <c r="E137" t="s">
        <v>68</v>
      </c>
      <c r="F137">
        <v>50</v>
      </c>
      <c r="G137">
        <v>8.6</v>
      </c>
      <c r="H137">
        <v>7700</v>
      </c>
      <c r="I137">
        <v>0</v>
      </c>
    </row>
    <row r="138" spans="1:9" x14ac:dyDescent="0.3">
      <c r="A138" t="s">
        <v>246</v>
      </c>
      <c r="B138" t="s">
        <v>65</v>
      </c>
      <c r="C138">
        <v>7</v>
      </c>
      <c r="D138">
        <v>47000</v>
      </c>
      <c r="E138" t="s">
        <v>67</v>
      </c>
      <c r="F138">
        <v>96</v>
      </c>
      <c r="G138">
        <v>5.8</v>
      </c>
      <c r="H138">
        <v>8000</v>
      </c>
      <c r="I138">
        <v>0</v>
      </c>
    </row>
    <row r="139" spans="1:9" x14ac:dyDescent="0.3">
      <c r="A139" t="s">
        <v>247</v>
      </c>
      <c r="B139" t="s">
        <v>62</v>
      </c>
      <c r="C139">
        <v>4</v>
      </c>
      <c r="D139">
        <v>47700</v>
      </c>
      <c r="E139" t="s">
        <v>68</v>
      </c>
      <c r="F139">
        <v>72</v>
      </c>
      <c r="G139">
        <v>2.9</v>
      </c>
      <c r="H139">
        <v>10200</v>
      </c>
      <c r="I139">
        <v>0</v>
      </c>
    </row>
    <row r="140" spans="1:9" x14ac:dyDescent="0.3">
      <c r="A140" t="s">
        <v>248</v>
      </c>
      <c r="B140" t="s">
        <v>513</v>
      </c>
      <c r="C140">
        <v>10</v>
      </c>
      <c r="D140">
        <v>69900</v>
      </c>
      <c r="E140" t="s">
        <v>67</v>
      </c>
      <c r="F140">
        <v>83</v>
      </c>
      <c r="G140">
        <v>3.6</v>
      </c>
      <c r="H140">
        <v>14300</v>
      </c>
      <c r="I140">
        <v>0</v>
      </c>
    </row>
    <row r="141" spans="1:9" x14ac:dyDescent="0.3">
      <c r="A141" t="s">
        <v>249</v>
      </c>
      <c r="B141" t="s">
        <v>513</v>
      </c>
      <c r="C141">
        <v>4</v>
      </c>
      <c r="D141">
        <v>37900</v>
      </c>
      <c r="E141" t="s">
        <v>69</v>
      </c>
      <c r="F141">
        <v>22</v>
      </c>
      <c r="G141">
        <v>5.5</v>
      </c>
      <c r="H141">
        <v>9300</v>
      </c>
      <c r="I141">
        <v>0</v>
      </c>
    </row>
    <row r="142" spans="1:9" x14ac:dyDescent="0.3">
      <c r="A142" t="s">
        <v>250</v>
      </c>
      <c r="B142" t="s">
        <v>64</v>
      </c>
      <c r="C142">
        <v>5</v>
      </c>
      <c r="D142">
        <v>114700</v>
      </c>
      <c r="E142" t="s">
        <v>68</v>
      </c>
      <c r="F142">
        <v>33</v>
      </c>
      <c r="G142">
        <v>7.1</v>
      </c>
      <c r="H142">
        <v>8600</v>
      </c>
      <c r="I142">
        <v>0</v>
      </c>
    </row>
    <row r="143" spans="1:9" x14ac:dyDescent="0.3">
      <c r="A143" t="s">
        <v>251</v>
      </c>
      <c r="B143" t="s">
        <v>62</v>
      </c>
      <c r="C143">
        <v>1</v>
      </c>
      <c r="D143">
        <v>68900</v>
      </c>
      <c r="E143" t="s">
        <v>66</v>
      </c>
      <c r="F143">
        <v>42</v>
      </c>
      <c r="G143">
        <v>1.5</v>
      </c>
      <c r="H143">
        <v>5300</v>
      </c>
      <c r="I143">
        <v>0</v>
      </c>
    </row>
    <row r="144" spans="1:9" x14ac:dyDescent="0.3">
      <c r="A144" t="s">
        <v>252</v>
      </c>
      <c r="B144" t="s">
        <v>64</v>
      </c>
      <c r="C144">
        <v>9</v>
      </c>
      <c r="D144">
        <v>61900</v>
      </c>
      <c r="E144" t="s">
        <v>66</v>
      </c>
      <c r="F144">
        <v>17</v>
      </c>
      <c r="G144">
        <v>4.0999999999999996</v>
      </c>
      <c r="H144">
        <v>0</v>
      </c>
      <c r="I144">
        <v>0</v>
      </c>
    </row>
    <row r="145" spans="1:9" x14ac:dyDescent="0.3">
      <c r="A145" t="s">
        <v>253</v>
      </c>
      <c r="B145" t="s">
        <v>64</v>
      </c>
      <c r="C145">
        <v>6</v>
      </c>
      <c r="D145">
        <v>63100</v>
      </c>
      <c r="E145" t="s">
        <v>67</v>
      </c>
      <c r="F145">
        <v>70</v>
      </c>
      <c r="G145">
        <v>7.9</v>
      </c>
      <c r="H145">
        <v>8400</v>
      </c>
      <c r="I145">
        <v>0</v>
      </c>
    </row>
    <row r="146" spans="1:9" x14ac:dyDescent="0.3">
      <c r="A146" t="s">
        <v>254</v>
      </c>
      <c r="B146" t="s">
        <v>513</v>
      </c>
      <c r="C146">
        <v>5</v>
      </c>
      <c r="D146">
        <v>23800</v>
      </c>
      <c r="E146" t="s">
        <v>68</v>
      </c>
      <c r="F146">
        <v>72</v>
      </c>
      <c r="G146">
        <v>4.0999999999999996</v>
      </c>
      <c r="H146">
        <v>1200</v>
      </c>
      <c r="I146">
        <v>0</v>
      </c>
    </row>
    <row r="147" spans="1:9" x14ac:dyDescent="0.3">
      <c r="A147" t="s">
        <v>255</v>
      </c>
      <c r="B147" t="s">
        <v>62</v>
      </c>
      <c r="C147">
        <v>2</v>
      </c>
      <c r="D147">
        <v>27600</v>
      </c>
      <c r="E147" t="s">
        <v>67</v>
      </c>
      <c r="F147">
        <v>83</v>
      </c>
      <c r="G147">
        <v>0.3</v>
      </c>
      <c r="H147">
        <v>7900</v>
      </c>
      <c r="I147">
        <v>0</v>
      </c>
    </row>
    <row r="148" spans="1:9" x14ac:dyDescent="0.3">
      <c r="A148" t="s">
        <v>256</v>
      </c>
      <c r="B148" t="s">
        <v>62</v>
      </c>
      <c r="C148">
        <v>8</v>
      </c>
      <c r="D148">
        <v>45600</v>
      </c>
      <c r="E148" t="s">
        <v>69</v>
      </c>
      <c r="F148">
        <v>20</v>
      </c>
      <c r="G148">
        <v>6</v>
      </c>
      <c r="H148">
        <v>0</v>
      </c>
      <c r="I148">
        <v>0</v>
      </c>
    </row>
    <row r="149" spans="1:9" x14ac:dyDescent="0.3">
      <c r="A149" t="s">
        <v>257</v>
      </c>
      <c r="B149" t="s">
        <v>513</v>
      </c>
      <c r="C149">
        <v>9</v>
      </c>
      <c r="D149">
        <v>52500</v>
      </c>
      <c r="E149" t="s">
        <v>67</v>
      </c>
      <c r="F149">
        <v>61</v>
      </c>
      <c r="G149">
        <v>12.9</v>
      </c>
      <c r="H149">
        <v>900</v>
      </c>
      <c r="I149">
        <v>0</v>
      </c>
    </row>
    <row r="150" spans="1:9" x14ac:dyDescent="0.3">
      <c r="A150" t="s">
        <v>258</v>
      </c>
      <c r="B150" t="s">
        <v>65</v>
      </c>
      <c r="C150">
        <v>5</v>
      </c>
      <c r="D150">
        <v>16400</v>
      </c>
      <c r="E150" t="s">
        <v>67</v>
      </c>
      <c r="F150">
        <v>100</v>
      </c>
      <c r="G150">
        <v>2.7</v>
      </c>
      <c r="H150">
        <v>11000</v>
      </c>
      <c r="I150">
        <v>0</v>
      </c>
    </row>
    <row r="151" spans="1:9" x14ac:dyDescent="0.3">
      <c r="A151" t="s">
        <v>259</v>
      </c>
      <c r="B151" t="s">
        <v>62</v>
      </c>
      <c r="C151">
        <v>6</v>
      </c>
      <c r="D151">
        <v>45200</v>
      </c>
      <c r="E151" t="s">
        <v>69</v>
      </c>
      <c r="F151">
        <v>54</v>
      </c>
      <c r="G151">
        <v>0.9</v>
      </c>
      <c r="H151">
        <v>4400</v>
      </c>
      <c r="I151">
        <v>0</v>
      </c>
    </row>
    <row r="152" spans="1:9" x14ac:dyDescent="0.3">
      <c r="A152" t="s">
        <v>260</v>
      </c>
      <c r="B152" t="s">
        <v>65</v>
      </c>
      <c r="C152">
        <v>4</v>
      </c>
      <c r="D152">
        <v>91900</v>
      </c>
      <c r="E152" t="s">
        <v>66</v>
      </c>
      <c r="F152">
        <v>24</v>
      </c>
      <c r="G152">
        <v>9.6</v>
      </c>
      <c r="H152">
        <v>12100</v>
      </c>
      <c r="I152">
        <v>0</v>
      </c>
    </row>
    <row r="153" spans="1:9" x14ac:dyDescent="0.3">
      <c r="A153" t="s">
        <v>261</v>
      </c>
      <c r="B153" t="s">
        <v>513</v>
      </c>
      <c r="C153">
        <v>10</v>
      </c>
      <c r="D153">
        <v>20200</v>
      </c>
      <c r="E153" t="s">
        <v>67</v>
      </c>
      <c r="F153">
        <v>93</v>
      </c>
      <c r="G153">
        <v>12.3</v>
      </c>
      <c r="H153">
        <v>0</v>
      </c>
      <c r="I153">
        <v>0</v>
      </c>
    </row>
    <row r="154" spans="1:9" x14ac:dyDescent="0.3">
      <c r="A154" t="s">
        <v>262</v>
      </c>
      <c r="B154" t="s">
        <v>62</v>
      </c>
      <c r="C154">
        <v>9</v>
      </c>
      <c r="D154">
        <v>83500</v>
      </c>
      <c r="E154" t="s">
        <v>67</v>
      </c>
      <c r="F154">
        <v>119</v>
      </c>
      <c r="G154">
        <v>6.8</v>
      </c>
      <c r="H154">
        <v>700</v>
      </c>
      <c r="I154">
        <v>0</v>
      </c>
    </row>
    <row r="155" spans="1:9" x14ac:dyDescent="0.3">
      <c r="A155" t="s">
        <v>263</v>
      </c>
      <c r="B155" t="s">
        <v>64</v>
      </c>
      <c r="C155">
        <v>4</v>
      </c>
      <c r="D155">
        <v>109000</v>
      </c>
      <c r="E155" t="s">
        <v>67</v>
      </c>
      <c r="F155">
        <v>100</v>
      </c>
      <c r="G155">
        <v>7.1</v>
      </c>
      <c r="H155">
        <v>8400</v>
      </c>
      <c r="I155">
        <v>0</v>
      </c>
    </row>
    <row r="156" spans="1:9" x14ac:dyDescent="0.3">
      <c r="A156" t="s">
        <v>264</v>
      </c>
      <c r="B156" t="s">
        <v>64</v>
      </c>
      <c r="C156">
        <v>2</v>
      </c>
      <c r="D156">
        <v>24200</v>
      </c>
      <c r="E156" t="s">
        <v>66</v>
      </c>
      <c r="F156">
        <v>48</v>
      </c>
      <c r="G156">
        <v>7.3</v>
      </c>
      <c r="H156">
        <v>0</v>
      </c>
      <c r="I156">
        <v>0</v>
      </c>
    </row>
    <row r="157" spans="1:9" x14ac:dyDescent="0.3">
      <c r="A157" t="s">
        <v>265</v>
      </c>
      <c r="B157" t="s">
        <v>513</v>
      </c>
      <c r="C157">
        <v>9</v>
      </c>
      <c r="D157">
        <v>104400</v>
      </c>
      <c r="E157" t="s">
        <v>67</v>
      </c>
      <c r="F157">
        <v>77</v>
      </c>
      <c r="G157">
        <v>4.9000000000000004</v>
      </c>
      <c r="H157">
        <v>13200</v>
      </c>
      <c r="I157">
        <v>0</v>
      </c>
    </row>
    <row r="158" spans="1:9" x14ac:dyDescent="0.3">
      <c r="A158" t="s">
        <v>266</v>
      </c>
      <c r="B158" t="s">
        <v>62</v>
      </c>
      <c r="C158">
        <v>5</v>
      </c>
      <c r="D158">
        <v>28200</v>
      </c>
      <c r="E158" t="s">
        <v>67</v>
      </c>
      <c r="F158">
        <v>72</v>
      </c>
      <c r="G158">
        <v>7.4</v>
      </c>
      <c r="H158">
        <v>6600</v>
      </c>
      <c r="I158">
        <v>0</v>
      </c>
    </row>
    <row r="159" spans="1:9" x14ac:dyDescent="0.3">
      <c r="A159" t="s">
        <v>267</v>
      </c>
      <c r="B159" t="s">
        <v>65</v>
      </c>
      <c r="C159">
        <v>3</v>
      </c>
      <c r="D159">
        <v>22000</v>
      </c>
      <c r="E159" t="s">
        <v>69</v>
      </c>
      <c r="F159">
        <v>39</v>
      </c>
      <c r="G159">
        <v>8.1999999999999993</v>
      </c>
      <c r="H159">
        <v>5200</v>
      </c>
      <c r="I159">
        <v>0</v>
      </c>
    </row>
    <row r="160" spans="1:9" x14ac:dyDescent="0.3">
      <c r="A160" t="s">
        <v>268</v>
      </c>
      <c r="B160" t="s">
        <v>64</v>
      </c>
      <c r="C160">
        <v>4</v>
      </c>
      <c r="D160">
        <v>17100</v>
      </c>
      <c r="E160" t="s">
        <v>68</v>
      </c>
      <c r="F160">
        <v>66</v>
      </c>
      <c r="G160">
        <v>5</v>
      </c>
      <c r="H160">
        <v>9200</v>
      </c>
      <c r="I160">
        <v>0</v>
      </c>
    </row>
    <row r="161" spans="1:9" x14ac:dyDescent="0.3">
      <c r="A161" t="s">
        <v>269</v>
      </c>
      <c r="B161" t="s">
        <v>65</v>
      </c>
      <c r="C161">
        <v>4</v>
      </c>
      <c r="D161">
        <v>66000</v>
      </c>
      <c r="E161" t="s">
        <v>67</v>
      </c>
      <c r="F161">
        <v>63</v>
      </c>
      <c r="G161">
        <v>2.1</v>
      </c>
      <c r="H161">
        <v>8600</v>
      </c>
      <c r="I161">
        <v>0</v>
      </c>
    </row>
    <row r="162" spans="1:9" x14ac:dyDescent="0.3">
      <c r="A162" t="s">
        <v>270</v>
      </c>
      <c r="B162" t="s">
        <v>513</v>
      </c>
      <c r="C162">
        <v>9</v>
      </c>
      <c r="D162">
        <v>109600</v>
      </c>
      <c r="E162" t="s">
        <v>66</v>
      </c>
      <c r="F162">
        <v>57</v>
      </c>
      <c r="G162">
        <v>11.3</v>
      </c>
      <c r="H162">
        <v>14200</v>
      </c>
      <c r="I162">
        <v>0</v>
      </c>
    </row>
    <row r="163" spans="1:9" x14ac:dyDescent="0.3">
      <c r="A163" t="s">
        <v>271</v>
      </c>
      <c r="B163" t="s">
        <v>62</v>
      </c>
      <c r="C163">
        <v>7</v>
      </c>
      <c r="D163">
        <v>72100</v>
      </c>
      <c r="E163" t="s">
        <v>69</v>
      </c>
      <c r="F163">
        <v>60</v>
      </c>
      <c r="G163">
        <v>8.8000000000000007</v>
      </c>
      <c r="H163">
        <v>6600</v>
      </c>
      <c r="I163">
        <v>0</v>
      </c>
    </row>
    <row r="164" spans="1:9" x14ac:dyDescent="0.3">
      <c r="A164" t="s">
        <v>272</v>
      </c>
      <c r="B164" t="s">
        <v>64</v>
      </c>
      <c r="C164">
        <v>5</v>
      </c>
      <c r="D164">
        <v>51500</v>
      </c>
      <c r="E164" t="s">
        <v>69</v>
      </c>
      <c r="F164">
        <v>37</v>
      </c>
      <c r="G164">
        <v>4.0999999999999996</v>
      </c>
      <c r="H164">
        <v>3700</v>
      </c>
      <c r="I164">
        <v>0</v>
      </c>
    </row>
    <row r="165" spans="1:9" x14ac:dyDescent="0.3">
      <c r="A165" t="s">
        <v>273</v>
      </c>
      <c r="B165" t="s">
        <v>65</v>
      </c>
      <c r="C165">
        <v>8</v>
      </c>
      <c r="D165">
        <v>40600</v>
      </c>
      <c r="E165" t="s">
        <v>66</v>
      </c>
      <c r="F165">
        <v>24</v>
      </c>
      <c r="G165">
        <v>9.8000000000000007</v>
      </c>
      <c r="H165">
        <v>4200</v>
      </c>
      <c r="I165">
        <v>0</v>
      </c>
    </row>
    <row r="166" spans="1:9" x14ac:dyDescent="0.3">
      <c r="A166" t="s">
        <v>274</v>
      </c>
      <c r="B166" t="s">
        <v>513</v>
      </c>
      <c r="C166">
        <v>7</v>
      </c>
      <c r="D166">
        <v>114700</v>
      </c>
      <c r="E166" t="s">
        <v>67</v>
      </c>
      <c r="F166">
        <v>88</v>
      </c>
      <c r="G166">
        <v>9.6</v>
      </c>
      <c r="H166">
        <v>13100</v>
      </c>
      <c r="I166">
        <v>0</v>
      </c>
    </row>
    <row r="167" spans="1:9" x14ac:dyDescent="0.3">
      <c r="A167" t="s">
        <v>275</v>
      </c>
      <c r="B167" t="s">
        <v>64</v>
      </c>
      <c r="C167">
        <v>5</v>
      </c>
      <c r="D167">
        <v>61500</v>
      </c>
      <c r="E167" t="s">
        <v>66</v>
      </c>
      <c r="F167">
        <v>54</v>
      </c>
      <c r="G167">
        <v>4.7</v>
      </c>
      <c r="H167">
        <v>9800</v>
      </c>
      <c r="I167">
        <v>0</v>
      </c>
    </row>
    <row r="168" spans="1:9" x14ac:dyDescent="0.3">
      <c r="A168" t="s">
        <v>276</v>
      </c>
      <c r="B168" t="s">
        <v>62</v>
      </c>
      <c r="C168">
        <v>3</v>
      </c>
      <c r="D168">
        <v>44700</v>
      </c>
      <c r="E168" t="s">
        <v>66</v>
      </c>
      <c r="F168">
        <v>32</v>
      </c>
      <c r="G168">
        <v>1.1000000000000001</v>
      </c>
      <c r="H168">
        <v>0</v>
      </c>
      <c r="I168">
        <v>0</v>
      </c>
    </row>
    <row r="169" spans="1:9" x14ac:dyDescent="0.3">
      <c r="A169" t="s">
        <v>277</v>
      </c>
      <c r="B169" t="s">
        <v>513</v>
      </c>
      <c r="C169">
        <v>9</v>
      </c>
      <c r="D169">
        <v>69300</v>
      </c>
      <c r="E169" t="s">
        <v>68</v>
      </c>
      <c r="F169">
        <v>21</v>
      </c>
      <c r="G169">
        <v>12.5</v>
      </c>
      <c r="H169">
        <v>7200</v>
      </c>
      <c r="I169">
        <v>0</v>
      </c>
    </row>
    <row r="170" spans="1:9" x14ac:dyDescent="0.3">
      <c r="A170" t="s">
        <v>278</v>
      </c>
      <c r="B170" t="s">
        <v>65</v>
      </c>
      <c r="C170">
        <v>8</v>
      </c>
      <c r="D170">
        <v>19300</v>
      </c>
      <c r="E170" t="s">
        <v>66</v>
      </c>
      <c r="F170">
        <v>70</v>
      </c>
      <c r="G170">
        <v>9.8000000000000007</v>
      </c>
      <c r="H170">
        <v>10500</v>
      </c>
      <c r="I170">
        <v>0</v>
      </c>
    </row>
    <row r="171" spans="1:9" x14ac:dyDescent="0.3">
      <c r="A171" t="s">
        <v>279</v>
      </c>
      <c r="B171" t="s">
        <v>62</v>
      </c>
      <c r="C171">
        <v>3</v>
      </c>
      <c r="D171">
        <v>39700</v>
      </c>
      <c r="E171" t="s">
        <v>69</v>
      </c>
      <c r="F171">
        <v>56</v>
      </c>
      <c r="G171">
        <v>7.4</v>
      </c>
      <c r="H171">
        <v>3500</v>
      </c>
      <c r="I171">
        <v>0</v>
      </c>
    </row>
    <row r="172" spans="1:9" x14ac:dyDescent="0.3">
      <c r="A172" t="s">
        <v>280</v>
      </c>
      <c r="B172" t="s">
        <v>62</v>
      </c>
      <c r="C172">
        <v>5</v>
      </c>
      <c r="D172">
        <v>48400</v>
      </c>
      <c r="E172" t="s">
        <v>66</v>
      </c>
      <c r="F172">
        <v>48</v>
      </c>
      <c r="G172">
        <v>3</v>
      </c>
      <c r="H172">
        <v>4300</v>
      </c>
      <c r="I172">
        <v>0</v>
      </c>
    </row>
    <row r="173" spans="1:9" x14ac:dyDescent="0.3">
      <c r="A173" t="s">
        <v>281</v>
      </c>
      <c r="B173" t="s">
        <v>513</v>
      </c>
      <c r="C173">
        <v>6</v>
      </c>
      <c r="D173">
        <v>37400</v>
      </c>
      <c r="E173" t="s">
        <v>67</v>
      </c>
      <c r="F173">
        <v>97</v>
      </c>
      <c r="G173">
        <v>14.2</v>
      </c>
      <c r="H173">
        <v>8600</v>
      </c>
      <c r="I173">
        <v>0</v>
      </c>
    </row>
    <row r="174" spans="1:9" x14ac:dyDescent="0.3">
      <c r="A174" t="s">
        <v>282</v>
      </c>
      <c r="B174" t="s">
        <v>513</v>
      </c>
      <c r="C174">
        <v>10</v>
      </c>
      <c r="D174">
        <v>104000</v>
      </c>
      <c r="E174" t="s">
        <v>69</v>
      </c>
      <c r="F174">
        <v>56</v>
      </c>
      <c r="G174">
        <v>0.5</v>
      </c>
      <c r="H174">
        <v>9500</v>
      </c>
      <c r="I174">
        <v>0</v>
      </c>
    </row>
    <row r="175" spans="1:9" x14ac:dyDescent="0.3">
      <c r="A175" t="s">
        <v>283</v>
      </c>
      <c r="B175" t="s">
        <v>62</v>
      </c>
      <c r="C175">
        <v>7</v>
      </c>
      <c r="D175">
        <v>31200</v>
      </c>
      <c r="E175" t="s">
        <v>68</v>
      </c>
      <c r="F175">
        <v>70</v>
      </c>
      <c r="G175">
        <v>2</v>
      </c>
      <c r="H175">
        <v>5900</v>
      </c>
      <c r="I175">
        <v>0</v>
      </c>
    </row>
    <row r="176" spans="1:9" x14ac:dyDescent="0.3">
      <c r="A176" t="s">
        <v>284</v>
      </c>
      <c r="B176" t="s">
        <v>62</v>
      </c>
      <c r="C176">
        <v>3</v>
      </c>
      <c r="D176">
        <v>48300</v>
      </c>
      <c r="E176" t="s">
        <v>67</v>
      </c>
      <c r="F176">
        <v>108</v>
      </c>
      <c r="G176">
        <v>4.0999999999999996</v>
      </c>
      <c r="H176">
        <v>0</v>
      </c>
      <c r="I176">
        <v>0</v>
      </c>
    </row>
    <row r="177" spans="1:9" x14ac:dyDescent="0.3">
      <c r="A177" t="s">
        <v>285</v>
      </c>
      <c r="B177" t="s">
        <v>65</v>
      </c>
      <c r="C177">
        <v>9</v>
      </c>
      <c r="D177">
        <v>98600</v>
      </c>
      <c r="E177" t="s">
        <v>67</v>
      </c>
      <c r="F177">
        <v>120</v>
      </c>
      <c r="G177">
        <v>3</v>
      </c>
      <c r="H177">
        <v>15600</v>
      </c>
      <c r="I177">
        <v>0</v>
      </c>
    </row>
    <row r="178" spans="1:9" x14ac:dyDescent="0.3">
      <c r="A178" t="s">
        <v>286</v>
      </c>
      <c r="B178" t="s">
        <v>64</v>
      </c>
      <c r="C178">
        <v>7</v>
      </c>
      <c r="D178">
        <v>23900</v>
      </c>
      <c r="E178" t="s">
        <v>69</v>
      </c>
      <c r="F178">
        <v>54</v>
      </c>
      <c r="G178">
        <v>7.1</v>
      </c>
      <c r="H178">
        <v>7500</v>
      </c>
      <c r="I178">
        <v>0</v>
      </c>
    </row>
    <row r="179" spans="1:9" x14ac:dyDescent="0.3">
      <c r="A179" t="s">
        <v>287</v>
      </c>
      <c r="B179" t="s">
        <v>65</v>
      </c>
      <c r="C179">
        <v>5</v>
      </c>
      <c r="D179">
        <v>39200</v>
      </c>
      <c r="E179" t="s">
        <v>66</v>
      </c>
      <c r="F179">
        <v>17</v>
      </c>
      <c r="G179">
        <v>12.8</v>
      </c>
      <c r="H179">
        <v>0</v>
      </c>
      <c r="I179">
        <v>0</v>
      </c>
    </row>
    <row r="180" spans="1:9" x14ac:dyDescent="0.3">
      <c r="A180" t="s">
        <v>288</v>
      </c>
      <c r="B180" t="s">
        <v>65</v>
      </c>
      <c r="C180">
        <v>5</v>
      </c>
      <c r="D180">
        <v>40400</v>
      </c>
      <c r="E180" t="s">
        <v>67</v>
      </c>
      <c r="F180">
        <v>85</v>
      </c>
      <c r="G180">
        <v>12.7</v>
      </c>
      <c r="H180">
        <v>2400</v>
      </c>
      <c r="I180">
        <v>0</v>
      </c>
    </row>
    <row r="181" spans="1:9" x14ac:dyDescent="0.3">
      <c r="A181" t="s">
        <v>289</v>
      </c>
      <c r="B181" t="s">
        <v>62</v>
      </c>
      <c r="C181">
        <v>8</v>
      </c>
      <c r="D181">
        <v>48800</v>
      </c>
      <c r="E181" t="s">
        <v>69</v>
      </c>
      <c r="F181">
        <v>24</v>
      </c>
      <c r="G181">
        <v>7.3</v>
      </c>
      <c r="H181">
        <v>3900</v>
      </c>
      <c r="I181">
        <v>0</v>
      </c>
    </row>
    <row r="182" spans="1:9" x14ac:dyDescent="0.3">
      <c r="A182" t="s">
        <v>290</v>
      </c>
      <c r="B182" t="s">
        <v>513</v>
      </c>
      <c r="C182">
        <v>6</v>
      </c>
      <c r="D182">
        <v>55700</v>
      </c>
      <c r="E182" t="s">
        <v>67</v>
      </c>
      <c r="F182">
        <v>72</v>
      </c>
      <c r="G182">
        <v>1.3</v>
      </c>
      <c r="H182">
        <v>6000</v>
      </c>
      <c r="I182">
        <v>0</v>
      </c>
    </row>
    <row r="183" spans="1:9" x14ac:dyDescent="0.3">
      <c r="A183" t="s">
        <v>291</v>
      </c>
      <c r="B183" t="s">
        <v>62</v>
      </c>
      <c r="C183">
        <v>6</v>
      </c>
      <c r="D183">
        <v>37100</v>
      </c>
      <c r="E183" t="s">
        <v>69</v>
      </c>
      <c r="F183">
        <v>35</v>
      </c>
      <c r="G183">
        <v>3.1</v>
      </c>
      <c r="H183">
        <v>3400</v>
      </c>
      <c r="I183">
        <v>0</v>
      </c>
    </row>
    <row r="184" spans="1:9" x14ac:dyDescent="0.3">
      <c r="A184" t="s">
        <v>292</v>
      </c>
      <c r="B184" t="s">
        <v>513</v>
      </c>
      <c r="C184">
        <v>1</v>
      </c>
      <c r="D184">
        <v>46200</v>
      </c>
      <c r="E184" t="s">
        <v>68</v>
      </c>
      <c r="F184">
        <v>30</v>
      </c>
      <c r="G184">
        <v>5.9</v>
      </c>
      <c r="H184">
        <v>300</v>
      </c>
      <c r="I184">
        <v>0</v>
      </c>
    </row>
    <row r="185" spans="1:9" x14ac:dyDescent="0.3">
      <c r="A185" t="s">
        <v>293</v>
      </c>
      <c r="B185" t="s">
        <v>513</v>
      </c>
      <c r="C185">
        <v>5</v>
      </c>
      <c r="D185">
        <v>66100</v>
      </c>
      <c r="E185" t="s">
        <v>68</v>
      </c>
      <c r="F185">
        <v>37</v>
      </c>
      <c r="G185">
        <v>6.2</v>
      </c>
      <c r="H185">
        <v>2900</v>
      </c>
      <c r="I185">
        <v>0</v>
      </c>
    </row>
    <row r="186" spans="1:9" x14ac:dyDescent="0.3">
      <c r="A186" t="s">
        <v>294</v>
      </c>
      <c r="B186" t="s">
        <v>62</v>
      </c>
      <c r="C186">
        <v>6</v>
      </c>
      <c r="D186">
        <v>65900</v>
      </c>
      <c r="E186" t="s">
        <v>68</v>
      </c>
      <c r="F186">
        <v>61</v>
      </c>
      <c r="G186">
        <v>9.3000000000000007</v>
      </c>
      <c r="H186">
        <v>3000</v>
      </c>
      <c r="I186">
        <v>0</v>
      </c>
    </row>
    <row r="187" spans="1:9" x14ac:dyDescent="0.3">
      <c r="A187" t="s">
        <v>295</v>
      </c>
      <c r="B187" t="s">
        <v>513</v>
      </c>
      <c r="C187">
        <v>2</v>
      </c>
      <c r="D187">
        <v>8400</v>
      </c>
      <c r="E187" t="s">
        <v>67</v>
      </c>
      <c r="F187">
        <v>105</v>
      </c>
      <c r="G187">
        <v>6.5</v>
      </c>
      <c r="H187">
        <v>13300</v>
      </c>
      <c r="I187">
        <v>0</v>
      </c>
    </row>
    <row r="188" spans="1:9" x14ac:dyDescent="0.3">
      <c r="A188" t="s">
        <v>296</v>
      </c>
      <c r="B188" t="s">
        <v>513</v>
      </c>
      <c r="C188">
        <v>9</v>
      </c>
      <c r="D188">
        <v>9400</v>
      </c>
      <c r="E188" t="s">
        <v>68</v>
      </c>
      <c r="F188">
        <v>57</v>
      </c>
      <c r="G188">
        <v>12</v>
      </c>
      <c r="H188">
        <v>3900</v>
      </c>
      <c r="I188">
        <v>0</v>
      </c>
    </row>
    <row r="189" spans="1:9" x14ac:dyDescent="0.3">
      <c r="A189" t="s">
        <v>297</v>
      </c>
      <c r="B189" t="s">
        <v>513</v>
      </c>
      <c r="C189">
        <v>9</v>
      </c>
      <c r="D189">
        <v>39800</v>
      </c>
      <c r="E189" t="s">
        <v>69</v>
      </c>
      <c r="F189">
        <v>58</v>
      </c>
      <c r="G189">
        <v>6.5</v>
      </c>
      <c r="H189">
        <v>3700</v>
      </c>
      <c r="I189">
        <v>0</v>
      </c>
    </row>
    <row r="190" spans="1:9" x14ac:dyDescent="0.3">
      <c r="A190" t="s">
        <v>298</v>
      </c>
      <c r="B190" t="s">
        <v>65</v>
      </c>
      <c r="C190">
        <v>5</v>
      </c>
      <c r="D190">
        <v>59000</v>
      </c>
      <c r="E190" t="s">
        <v>68</v>
      </c>
      <c r="F190">
        <v>65</v>
      </c>
      <c r="G190">
        <v>7</v>
      </c>
      <c r="H190">
        <v>7400</v>
      </c>
      <c r="I190">
        <v>0</v>
      </c>
    </row>
    <row r="191" spans="1:9" x14ac:dyDescent="0.3">
      <c r="A191" t="s">
        <v>299</v>
      </c>
      <c r="B191" t="s">
        <v>62</v>
      </c>
      <c r="C191">
        <v>4</v>
      </c>
      <c r="D191">
        <v>17500</v>
      </c>
      <c r="E191" t="s">
        <v>67</v>
      </c>
      <c r="F191">
        <v>59</v>
      </c>
      <c r="G191">
        <v>8.5</v>
      </c>
      <c r="H191">
        <v>500</v>
      </c>
      <c r="I191">
        <v>0</v>
      </c>
    </row>
    <row r="192" spans="1:9" x14ac:dyDescent="0.3">
      <c r="A192" t="s">
        <v>300</v>
      </c>
      <c r="B192" t="s">
        <v>64</v>
      </c>
      <c r="C192">
        <v>6</v>
      </c>
      <c r="D192">
        <v>36700</v>
      </c>
      <c r="E192" t="s">
        <v>67</v>
      </c>
      <c r="F192">
        <v>70</v>
      </c>
      <c r="G192">
        <v>7.4</v>
      </c>
      <c r="H192">
        <v>3600</v>
      </c>
      <c r="I192">
        <v>0</v>
      </c>
    </row>
    <row r="193" spans="1:9" x14ac:dyDescent="0.3">
      <c r="A193" t="s">
        <v>301</v>
      </c>
      <c r="B193" t="s">
        <v>65</v>
      </c>
      <c r="C193">
        <v>7</v>
      </c>
      <c r="D193">
        <v>52500</v>
      </c>
      <c r="E193" t="s">
        <v>67</v>
      </c>
      <c r="F193">
        <v>46</v>
      </c>
      <c r="G193">
        <v>1.5</v>
      </c>
      <c r="H193">
        <v>6700</v>
      </c>
      <c r="I193">
        <v>0</v>
      </c>
    </row>
    <row r="194" spans="1:9" x14ac:dyDescent="0.3">
      <c r="A194" t="s">
        <v>302</v>
      </c>
      <c r="B194" t="s">
        <v>62</v>
      </c>
      <c r="C194">
        <v>8</v>
      </c>
      <c r="D194">
        <v>46900</v>
      </c>
      <c r="E194" t="s">
        <v>68</v>
      </c>
      <c r="F194">
        <v>44</v>
      </c>
      <c r="G194">
        <v>6.4</v>
      </c>
      <c r="H194">
        <v>11400</v>
      </c>
      <c r="I194">
        <v>0</v>
      </c>
    </row>
    <row r="195" spans="1:9" x14ac:dyDescent="0.3">
      <c r="A195" t="s">
        <v>303</v>
      </c>
      <c r="B195" t="s">
        <v>62</v>
      </c>
      <c r="C195">
        <v>5</v>
      </c>
      <c r="D195">
        <v>25400</v>
      </c>
      <c r="E195" t="s">
        <v>67</v>
      </c>
      <c r="F195">
        <v>108</v>
      </c>
      <c r="G195">
        <v>7.7</v>
      </c>
      <c r="H195">
        <v>13500</v>
      </c>
      <c r="I195">
        <v>0</v>
      </c>
    </row>
    <row r="196" spans="1:9" x14ac:dyDescent="0.3">
      <c r="A196" t="s">
        <v>304</v>
      </c>
      <c r="B196" t="s">
        <v>62</v>
      </c>
      <c r="C196">
        <v>8</v>
      </c>
      <c r="D196">
        <v>47500</v>
      </c>
      <c r="E196" t="s">
        <v>66</v>
      </c>
      <c r="F196">
        <v>27</v>
      </c>
      <c r="G196">
        <v>3</v>
      </c>
      <c r="H196">
        <v>6800</v>
      </c>
      <c r="I196">
        <v>0</v>
      </c>
    </row>
    <row r="197" spans="1:9" x14ac:dyDescent="0.3">
      <c r="A197" t="s">
        <v>305</v>
      </c>
      <c r="B197" t="s">
        <v>513</v>
      </c>
      <c r="C197">
        <v>9</v>
      </c>
      <c r="D197">
        <v>49800</v>
      </c>
      <c r="E197" t="s">
        <v>68</v>
      </c>
      <c r="F197">
        <v>41</v>
      </c>
      <c r="G197">
        <v>14</v>
      </c>
      <c r="H197">
        <v>6400</v>
      </c>
      <c r="I197">
        <v>0</v>
      </c>
    </row>
    <row r="198" spans="1:9" x14ac:dyDescent="0.3">
      <c r="A198" t="s">
        <v>306</v>
      </c>
      <c r="B198" t="s">
        <v>62</v>
      </c>
      <c r="C198">
        <v>2</v>
      </c>
      <c r="D198">
        <v>43700</v>
      </c>
      <c r="E198" t="s">
        <v>66</v>
      </c>
      <c r="F198">
        <v>32</v>
      </c>
      <c r="G198">
        <v>2.2000000000000002</v>
      </c>
      <c r="H198">
        <v>1400</v>
      </c>
      <c r="I198">
        <v>0</v>
      </c>
    </row>
    <row r="199" spans="1:9" x14ac:dyDescent="0.3">
      <c r="A199" t="s">
        <v>307</v>
      </c>
      <c r="B199" t="s">
        <v>65</v>
      </c>
      <c r="C199">
        <v>2</v>
      </c>
      <c r="D199">
        <v>109000</v>
      </c>
      <c r="E199" t="s">
        <v>66</v>
      </c>
      <c r="F199">
        <v>53</v>
      </c>
      <c r="G199">
        <v>3.2</v>
      </c>
      <c r="H199">
        <v>1700</v>
      </c>
      <c r="I199">
        <v>0</v>
      </c>
    </row>
    <row r="200" spans="1:9" x14ac:dyDescent="0.3">
      <c r="A200" t="s">
        <v>308</v>
      </c>
      <c r="B200" t="s">
        <v>64</v>
      </c>
      <c r="C200">
        <v>8</v>
      </c>
      <c r="D200">
        <v>25300</v>
      </c>
      <c r="E200" t="s">
        <v>69</v>
      </c>
      <c r="F200">
        <v>24</v>
      </c>
      <c r="G200">
        <v>10.4</v>
      </c>
      <c r="H200">
        <v>4500</v>
      </c>
      <c r="I200">
        <v>0</v>
      </c>
    </row>
    <row r="201" spans="1:9" x14ac:dyDescent="0.3">
      <c r="A201" t="s">
        <v>309</v>
      </c>
      <c r="B201" t="s">
        <v>65</v>
      </c>
      <c r="C201">
        <v>7</v>
      </c>
      <c r="D201">
        <v>64000</v>
      </c>
      <c r="E201" t="s">
        <v>67</v>
      </c>
      <c r="F201">
        <v>95</v>
      </c>
      <c r="G201">
        <v>3.5</v>
      </c>
      <c r="H201">
        <v>9800</v>
      </c>
      <c r="I201">
        <v>0</v>
      </c>
    </row>
    <row r="202" spans="1:9" x14ac:dyDescent="0.3">
      <c r="A202" t="s">
        <v>310</v>
      </c>
      <c r="B202" t="s">
        <v>64</v>
      </c>
      <c r="C202">
        <v>2</v>
      </c>
      <c r="D202">
        <v>24800</v>
      </c>
      <c r="E202" t="s">
        <v>69</v>
      </c>
      <c r="F202">
        <v>37</v>
      </c>
      <c r="G202">
        <v>2.5</v>
      </c>
      <c r="H202">
        <v>4700</v>
      </c>
      <c r="I202">
        <v>0</v>
      </c>
    </row>
    <row r="203" spans="1:9" x14ac:dyDescent="0.3">
      <c r="A203" t="s">
        <v>311</v>
      </c>
      <c r="B203" t="s">
        <v>62</v>
      </c>
      <c r="C203">
        <v>6</v>
      </c>
      <c r="D203">
        <v>39000</v>
      </c>
      <c r="E203" t="s">
        <v>66</v>
      </c>
      <c r="F203">
        <v>21</v>
      </c>
      <c r="G203">
        <v>6.5</v>
      </c>
      <c r="H203">
        <v>1000</v>
      </c>
      <c r="I203">
        <v>0</v>
      </c>
    </row>
    <row r="204" spans="1:9" x14ac:dyDescent="0.3">
      <c r="A204" t="s">
        <v>312</v>
      </c>
      <c r="B204" t="s">
        <v>513</v>
      </c>
      <c r="C204">
        <v>6</v>
      </c>
      <c r="D204">
        <v>41500</v>
      </c>
      <c r="E204" t="s">
        <v>68</v>
      </c>
      <c r="F204">
        <v>60</v>
      </c>
      <c r="G204">
        <v>8.3000000000000007</v>
      </c>
      <c r="H204">
        <v>0</v>
      </c>
      <c r="I204">
        <v>0</v>
      </c>
    </row>
    <row r="205" spans="1:9" x14ac:dyDescent="0.3">
      <c r="A205" t="s">
        <v>313</v>
      </c>
      <c r="B205" t="s">
        <v>62</v>
      </c>
      <c r="C205">
        <v>7</v>
      </c>
      <c r="D205">
        <v>77200</v>
      </c>
      <c r="E205" t="s">
        <v>67</v>
      </c>
      <c r="F205">
        <v>47</v>
      </c>
      <c r="G205">
        <v>7.2</v>
      </c>
      <c r="H205">
        <v>9100</v>
      </c>
      <c r="I205">
        <v>0</v>
      </c>
    </row>
    <row r="206" spans="1:9" x14ac:dyDescent="0.3">
      <c r="A206" t="s">
        <v>314</v>
      </c>
      <c r="B206" t="s">
        <v>65</v>
      </c>
      <c r="C206">
        <v>4</v>
      </c>
      <c r="D206">
        <v>51700</v>
      </c>
      <c r="E206" t="s">
        <v>69</v>
      </c>
      <c r="F206">
        <v>56</v>
      </c>
      <c r="G206">
        <v>10</v>
      </c>
      <c r="H206">
        <v>8200</v>
      </c>
      <c r="I206">
        <v>0</v>
      </c>
    </row>
    <row r="207" spans="1:9" x14ac:dyDescent="0.3">
      <c r="A207" t="s">
        <v>315</v>
      </c>
      <c r="B207" t="s">
        <v>513</v>
      </c>
      <c r="C207">
        <v>3</v>
      </c>
      <c r="D207">
        <v>32000</v>
      </c>
      <c r="E207" t="s">
        <v>69</v>
      </c>
      <c r="F207">
        <v>51</v>
      </c>
      <c r="G207">
        <v>7.3</v>
      </c>
      <c r="H207">
        <v>4600</v>
      </c>
      <c r="I207">
        <v>0</v>
      </c>
    </row>
    <row r="208" spans="1:9" x14ac:dyDescent="0.3">
      <c r="A208" t="s">
        <v>316</v>
      </c>
      <c r="B208" t="s">
        <v>513</v>
      </c>
      <c r="C208">
        <v>9</v>
      </c>
      <c r="D208">
        <v>90800</v>
      </c>
      <c r="E208" t="s">
        <v>67</v>
      </c>
      <c r="F208">
        <v>110</v>
      </c>
      <c r="G208">
        <v>12.1</v>
      </c>
      <c r="H208">
        <v>8000</v>
      </c>
      <c r="I208">
        <v>0</v>
      </c>
    </row>
    <row r="209" spans="1:9" x14ac:dyDescent="0.3">
      <c r="A209" t="s">
        <v>317</v>
      </c>
      <c r="B209" t="s">
        <v>64</v>
      </c>
      <c r="C209">
        <v>7</v>
      </c>
      <c r="D209">
        <v>79000</v>
      </c>
      <c r="E209" t="s">
        <v>66</v>
      </c>
      <c r="F209">
        <v>59</v>
      </c>
      <c r="G209">
        <v>10</v>
      </c>
      <c r="H209">
        <v>5600</v>
      </c>
      <c r="I209">
        <v>0</v>
      </c>
    </row>
    <row r="210" spans="1:9" x14ac:dyDescent="0.3">
      <c r="A210" t="s">
        <v>318</v>
      </c>
      <c r="B210" t="s">
        <v>65</v>
      </c>
      <c r="C210">
        <v>10</v>
      </c>
      <c r="D210">
        <v>19300</v>
      </c>
      <c r="E210" t="s">
        <v>67</v>
      </c>
      <c r="F210">
        <v>113</v>
      </c>
      <c r="G210">
        <v>6.2</v>
      </c>
      <c r="H210">
        <v>13100</v>
      </c>
      <c r="I210">
        <v>0</v>
      </c>
    </row>
    <row r="211" spans="1:9" x14ac:dyDescent="0.3">
      <c r="A211" t="s">
        <v>319</v>
      </c>
      <c r="B211" t="s">
        <v>62</v>
      </c>
      <c r="C211">
        <v>9</v>
      </c>
      <c r="D211">
        <v>22100</v>
      </c>
      <c r="E211" t="s">
        <v>68</v>
      </c>
      <c r="F211">
        <v>22</v>
      </c>
      <c r="G211">
        <v>7.1</v>
      </c>
      <c r="H211">
        <v>8800</v>
      </c>
      <c r="I211">
        <v>0</v>
      </c>
    </row>
    <row r="212" spans="1:9" x14ac:dyDescent="0.3">
      <c r="A212" t="s">
        <v>320</v>
      </c>
      <c r="B212" t="s">
        <v>62</v>
      </c>
      <c r="C212">
        <v>5</v>
      </c>
      <c r="D212">
        <v>41400</v>
      </c>
      <c r="E212" t="s">
        <v>68</v>
      </c>
      <c r="F212">
        <v>50</v>
      </c>
      <c r="G212">
        <v>2.8</v>
      </c>
      <c r="H212">
        <v>7900</v>
      </c>
      <c r="I212">
        <v>0</v>
      </c>
    </row>
    <row r="213" spans="1:9" x14ac:dyDescent="0.3">
      <c r="A213" t="s">
        <v>321</v>
      </c>
      <c r="B213" t="s">
        <v>65</v>
      </c>
      <c r="C213">
        <v>5</v>
      </c>
      <c r="D213">
        <v>77100</v>
      </c>
      <c r="E213" t="s">
        <v>67</v>
      </c>
      <c r="F213">
        <v>56</v>
      </c>
      <c r="G213">
        <v>0.8</v>
      </c>
      <c r="H213">
        <v>11600</v>
      </c>
      <c r="I213">
        <v>0</v>
      </c>
    </row>
    <row r="214" spans="1:9" x14ac:dyDescent="0.3">
      <c r="A214" t="s">
        <v>322</v>
      </c>
      <c r="B214" t="s">
        <v>65</v>
      </c>
      <c r="C214">
        <v>3</v>
      </c>
      <c r="D214">
        <v>21700</v>
      </c>
      <c r="E214" t="s">
        <v>67</v>
      </c>
      <c r="F214">
        <v>98</v>
      </c>
      <c r="G214">
        <v>3</v>
      </c>
      <c r="H214">
        <v>7400</v>
      </c>
      <c r="I214">
        <v>0</v>
      </c>
    </row>
    <row r="215" spans="1:9" x14ac:dyDescent="0.3">
      <c r="A215" t="s">
        <v>323</v>
      </c>
      <c r="B215" t="s">
        <v>65</v>
      </c>
      <c r="C215">
        <v>10</v>
      </c>
      <c r="D215">
        <v>85700</v>
      </c>
      <c r="E215" t="s">
        <v>69</v>
      </c>
      <c r="F215">
        <v>17</v>
      </c>
      <c r="G215">
        <v>10.5</v>
      </c>
      <c r="H215">
        <v>5100</v>
      </c>
      <c r="I215">
        <v>0</v>
      </c>
    </row>
    <row r="216" spans="1:9" x14ac:dyDescent="0.3">
      <c r="A216" t="s">
        <v>324</v>
      </c>
      <c r="B216" t="s">
        <v>65</v>
      </c>
      <c r="C216">
        <v>7</v>
      </c>
      <c r="D216">
        <v>84100</v>
      </c>
      <c r="E216" t="s">
        <v>67</v>
      </c>
      <c r="F216">
        <v>118</v>
      </c>
      <c r="G216">
        <v>6.5</v>
      </c>
      <c r="H216">
        <v>15200</v>
      </c>
      <c r="I216">
        <v>0</v>
      </c>
    </row>
    <row r="217" spans="1:9" x14ac:dyDescent="0.3">
      <c r="A217" t="s">
        <v>325</v>
      </c>
      <c r="B217" t="s">
        <v>65</v>
      </c>
      <c r="C217">
        <v>4</v>
      </c>
      <c r="D217">
        <v>29900</v>
      </c>
      <c r="E217" t="s">
        <v>66</v>
      </c>
      <c r="F217">
        <v>34</v>
      </c>
      <c r="G217">
        <v>13.9</v>
      </c>
      <c r="H217">
        <v>4600</v>
      </c>
      <c r="I217">
        <v>0</v>
      </c>
    </row>
    <row r="218" spans="1:9" x14ac:dyDescent="0.3">
      <c r="A218" t="s">
        <v>326</v>
      </c>
      <c r="B218" t="s">
        <v>513</v>
      </c>
      <c r="C218">
        <v>3</v>
      </c>
      <c r="D218">
        <v>33100</v>
      </c>
      <c r="E218" t="s">
        <v>66</v>
      </c>
      <c r="F218">
        <v>65</v>
      </c>
      <c r="G218">
        <v>9.8000000000000007</v>
      </c>
      <c r="H218">
        <v>6500</v>
      </c>
      <c r="I218">
        <v>0</v>
      </c>
    </row>
    <row r="219" spans="1:9" x14ac:dyDescent="0.3">
      <c r="A219" t="s">
        <v>327</v>
      </c>
      <c r="B219" t="s">
        <v>62</v>
      </c>
      <c r="C219">
        <v>6</v>
      </c>
      <c r="D219">
        <v>30400</v>
      </c>
      <c r="E219" t="s">
        <v>69</v>
      </c>
      <c r="F219">
        <v>33</v>
      </c>
      <c r="G219">
        <v>4.3</v>
      </c>
      <c r="H219">
        <v>3000</v>
      </c>
      <c r="I219">
        <v>0</v>
      </c>
    </row>
    <row r="220" spans="1:9" x14ac:dyDescent="0.3">
      <c r="A220" t="s">
        <v>328</v>
      </c>
      <c r="B220" t="s">
        <v>64</v>
      </c>
      <c r="C220">
        <v>6</v>
      </c>
      <c r="D220">
        <v>26200</v>
      </c>
      <c r="E220" t="s">
        <v>67</v>
      </c>
      <c r="F220">
        <v>102</v>
      </c>
      <c r="G220">
        <v>0.9</v>
      </c>
      <c r="H220">
        <v>7500</v>
      </c>
      <c r="I220">
        <v>0</v>
      </c>
    </row>
    <row r="221" spans="1:9" x14ac:dyDescent="0.3">
      <c r="A221" t="s">
        <v>329</v>
      </c>
      <c r="B221" t="s">
        <v>62</v>
      </c>
      <c r="C221">
        <v>6</v>
      </c>
      <c r="D221">
        <v>128600</v>
      </c>
      <c r="E221" t="s">
        <v>68</v>
      </c>
      <c r="F221">
        <v>28</v>
      </c>
      <c r="G221">
        <v>1.6</v>
      </c>
      <c r="H221">
        <v>12800</v>
      </c>
      <c r="I221">
        <v>0</v>
      </c>
    </row>
    <row r="222" spans="1:9" x14ac:dyDescent="0.3">
      <c r="A222" t="s">
        <v>330</v>
      </c>
      <c r="B222" t="s">
        <v>65</v>
      </c>
      <c r="C222">
        <v>6</v>
      </c>
      <c r="D222">
        <v>35000</v>
      </c>
      <c r="E222" t="s">
        <v>67</v>
      </c>
      <c r="F222">
        <v>66</v>
      </c>
      <c r="G222">
        <v>1.2</v>
      </c>
      <c r="H222">
        <v>6400</v>
      </c>
      <c r="I222">
        <v>0</v>
      </c>
    </row>
    <row r="223" spans="1:9" x14ac:dyDescent="0.3">
      <c r="A223" t="s">
        <v>331</v>
      </c>
      <c r="B223" t="s">
        <v>64</v>
      </c>
      <c r="C223">
        <v>4</v>
      </c>
      <c r="D223">
        <v>24200</v>
      </c>
      <c r="E223" t="s">
        <v>67</v>
      </c>
      <c r="F223">
        <v>90</v>
      </c>
      <c r="G223">
        <v>10.1</v>
      </c>
      <c r="H223">
        <v>2900</v>
      </c>
      <c r="I223">
        <v>0</v>
      </c>
    </row>
    <row r="224" spans="1:9" x14ac:dyDescent="0.3">
      <c r="A224" t="s">
        <v>332</v>
      </c>
      <c r="B224" t="s">
        <v>513</v>
      </c>
      <c r="C224">
        <v>2</v>
      </c>
      <c r="D224">
        <v>17400</v>
      </c>
      <c r="E224" t="s">
        <v>67</v>
      </c>
      <c r="F224">
        <v>108</v>
      </c>
      <c r="G224">
        <v>2.8</v>
      </c>
      <c r="H224">
        <v>0</v>
      </c>
      <c r="I224">
        <v>0</v>
      </c>
    </row>
    <row r="225" spans="1:9" x14ac:dyDescent="0.3">
      <c r="A225" t="s">
        <v>333</v>
      </c>
      <c r="B225" t="s">
        <v>64</v>
      </c>
      <c r="C225">
        <v>5</v>
      </c>
      <c r="D225">
        <v>25300</v>
      </c>
      <c r="E225" t="s">
        <v>67</v>
      </c>
      <c r="F225">
        <v>96</v>
      </c>
      <c r="G225">
        <v>2.4</v>
      </c>
      <c r="H225">
        <v>10300</v>
      </c>
      <c r="I225">
        <v>0</v>
      </c>
    </row>
    <row r="226" spans="1:9" x14ac:dyDescent="0.3">
      <c r="A226" t="s">
        <v>334</v>
      </c>
      <c r="B226" t="s">
        <v>64</v>
      </c>
      <c r="C226">
        <v>6</v>
      </c>
      <c r="D226">
        <v>57500</v>
      </c>
      <c r="E226" t="s">
        <v>68</v>
      </c>
      <c r="F226">
        <v>58</v>
      </c>
      <c r="G226">
        <v>10.7</v>
      </c>
      <c r="H226">
        <v>6100</v>
      </c>
      <c r="I226">
        <v>0</v>
      </c>
    </row>
    <row r="227" spans="1:9" x14ac:dyDescent="0.3">
      <c r="A227" t="s">
        <v>335</v>
      </c>
      <c r="B227" t="s">
        <v>65</v>
      </c>
      <c r="C227">
        <v>4</v>
      </c>
      <c r="D227">
        <v>24400</v>
      </c>
      <c r="E227" t="s">
        <v>69</v>
      </c>
      <c r="F227">
        <v>14</v>
      </c>
      <c r="G227">
        <v>12.2</v>
      </c>
      <c r="H227">
        <v>6700</v>
      </c>
      <c r="I227">
        <v>0</v>
      </c>
    </row>
    <row r="228" spans="1:9" x14ac:dyDescent="0.3">
      <c r="A228" t="s">
        <v>336</v>
      </c>
      <c r="B228" t="s">
        <v>64</v>
      </c>
      <c r="C228">
        <v>4</v>
      </c>
      <c r="D228">
        <v>66700</v>
      </c>
      <c r="E228" t="s">
        <v>69</v>
      </c>
      <c r="F228">
        <v>15</v>
      </c>
      <c r="G228">
        <v>5.6</v>
      </c>
      <c r="H228">
        <v>5100</v>
      </c>
      <c r="I228">
        <v>0</v>
      </c>
    </row>
    <row r="229" spans="1:9" x14ac:dyDescent="0.3">
      <c r="A229" t="s">
        <v>337</v>
      </c>
      <c r="B229" t="s">
        <v>62</v>
      </c>
      <c r="C229">
        <v>7</v>
      </c>
      <c r="D229">
        <v>51200</v>
      </c>
      <c r="E229" t="s">
        <v>66</v>
      </c>
      <c r="F229">
        <v>38</v>
      </c>
      <c r="G229">
        <v>4.9000000000000004</v>
      </c>
      <c r="H229">
        <v>1000</v>
      </c>
      <c r="I229">
        <v>0</v>
      </c>
    </row>
    <row r="230" spans="1:9" x14ac:dyDescent="0.3">
      <c r="A230" t="s">
        <v>338</v>
      </c>
      <c r="B230" t="s">
        <v>64</v>
      </c>
      <c r="C230">
        <v>8</v>
      </c>
      <c r="D230">
        <v>44900</v>
      </c>
      <c r="E230" t="s">
        <v>68</v>
      </c>
      <c r="F230">
        <v>63</v>
      </c>
      <c r="G230">
        <v>2.9</v>
      </c>
      <c r="H230">
        <v>2600</v>
      </c>
      <c r="I230">
        <v>0</v>
      </c>
    </row>
    <row r="231" spans="1:9" x14ac:dyDescent="0.3">
      <c r="A231" t="s">
        <v>339</v>
      </c>
      <c r="B231" t="s">
        <v>64</v>
      </c>
      <c r="C231">
        <v>7</v>
      </c>
      <c r="D231">
        <v>39700</v>
      </c>
      <c r="E231" t="s">
        <v>66</v>
      </c>
      <c r="F231">
        <v>18</v>
      </c>
      <c r="G231">
        <v>4.8</v>
      </c>
      <c r="H231">
        <v>5800</v>
      </c>
      <c r="I231">
        <v>0</v>
      </c>
    </row>
    <row r="232" spans="1:9" x14ac:dyDescent="0.3">
      <c r="A232" t="s">
        <v>340</v>
      </c>
      <c r="B232" t="s">
        <v>65</v>
      </c>
      <c r="C232">
        <v>2</v>
      </c>
      <c r="D232">
        <v>29400</v>
      </c>
      <c r="E232" t="s">
        <v>68</v>
      </c>
      <c r="F232">
        <v>40</v>
      </c>
      <c r="G232">
        <v>5.4</v>
      </c>
      <c r="H232">
        <v>3000</v>
      </c>
      <c r="I232">
        <v>0</v>
      </c>
    </row>
    <row r="233" spans="1:9" x14ac:dyDescent="0.3">
      <c r="A233" t="s">
        <v>341</v>
      </c>
      <c r="B233" t="s">
        <v>513</v>
      </c>
      <c r="C233">
        <v>7</v>
      </c>
      <c r="D233">
        <v>44600</v>
      </c>
      <c r="E233" t="s">
        <v>67</v>
      </c>
      <c r="F233">
        <v>68</v>
      </c>
      <c r="G233">
        <v>13.2</v>
      </c>
      <c r="H233">
        <v>10900</v>
      </c>
      <c r="I233">
        <v>0</v>
      </c>
    </row>
    <row r="234" spans="1:9" x14ac:dyDescent="0.3">
      <c r="A234" t="s">
        <v>342</v>
      </c>
      <c r="B234" t="s">
        <v>62</v>
      </c>
      <c r="C234">
        <v>4</v>
      </c>
      <c r="D234">
        <v>22600</v>
      </c>
      <c r="E234" t="s">
        <v>66</v>
      </c>
      <c r="F234">
        <v>53</v>
      </c>
      <c r="G234">
        <v>0.4</v>
      </c>
      <c r="H234">
        <v>4300</v>
      </c>
      <c r="I234">
        <v>0</v>
      </c>
    </row>
    <row r="235" spans="1:9" x14ac:dyDescent="0.3">
      <c r="A235" t="s">
        <v>343</v>
      </c>
      <c r="B235" t="s">
        <v>62</v>
      </c>
      <c r="C235">
        <v>9</v>
      </c>
      <c r="D235">
        <v>35800</v>
      </c>
      <c r="E235" t="s">
        <v>68</v>
      </c>
      <c r="F235">
        <v>46</v>
      </c>
      <c r="G235">
        <v>0.2</v>
      </c>
      <c r="H235">
        <v>6900</v>
      </c>
      <c r="I235">
        <v>0</v>
      </c>
    </row>
    <row r="236" spans="1:9" x14ac:dyDescent="0.3">
      <c r="A236" t="s">
        <v>344</v>
      </c>
      <c r="B236" t="s">
        <v>513</v>
      </c>
      <c r="C236">
        <v>9</v>
      </c>
      <c r="D236">
        <v>62100</v>
      </c>
      <c r="E236" t="s">
        <v>69</v>
      </c>
      <c r="F236">
        <v>37</v>
      </c>
      <c r="G236">
        <v>6.3</v>
      </c>
      <c r="H236">
        <v>12600</v>
      </c>
      <c r="I236">
        <v>0</v>
      </c>
    </row>
    <row r="237" spans="1:9" x14ac:dyDescent="0.3">
      <c r="A237" t="s">
        <v>345</v>
      </c>
      <c r="B237" t="s">
        <v>513</v>
      </c>
      <c r="C237">
        <v>1</v>
      </c>
      <c r="D237">
        <v>28200</v>
      </c>
      <c r="E237" t="s">
        <v>66</v>
      </c>
      <c r="F237">
        <v>22</v>
      </c>
      <c r="G237">
        <v>4.4000000000000004</v>
      </c>
      <c r="H237">
        <v>7100</v>
      </c>
      <c r="I237">
        <v>0</v>
      </c>
    </row>
    <row r="238" spans="1:9" x14ac:dyDescent="0.3">
      <c r="A238" t="s">
        <v>346</v>
      </c>
      <c r="B238" t="s">
        <v>513</v>
      </c>
      <c r="C238">
        <v>4</v>
      </c>
      <c r="D238">
        <v>59000</v>
      </c>
      <c r="E238" t="s">
        <v>66</v>
      </c>
      <c r="F238">
        <v>61</v>
      </c>
      <c r="G238">
        <v>7.8</v>
      </c>
      <c r="H238">
        <v>11200</v>
      </c>
      <c r="I238">
        <v>0</v>
      </c>
    </row>
    <row r="239" spans="1:9" x14ac:dyDescent="0.3">
      <c r="A239" t="s">
        <v>347</v>
      </c>
      <c r="B239" t="s">
        <v>513</v>
      </c>
      <c r="C239">
        <v>5</v>
      </c>
      <c r="D239">
        <v>86100</v>
      </c>
      <c r="E239" t="s">
        <v>66</v>
      </c>
      <c r="F239">
        <v>34</v>
      </c>
      <c r="G239">
        <v>1.9</v>
      </c>
      <c r="H239">
        <v>1600</v>
      </c>
      <c r="I239">
        <v>0</v>
      </c>
    </row>
    <row r="240" spans="1:9" x14ac:dyDescent="0.3">
      <c r="A240" t="s">
        <v>348</v>
      </c>
      <c r="B240" t="s">
        <v>62</v>
      </c>
      <c r="C240">
        <v>6</v>
      </c>
      <c r="D240">
        <v>43700</v>
      </c>
      <c r="E240" t="s">
        <v>69</v>
      </c>
      <c r="F240">
        <v>27</v>
      </c>
      <c r="G240">
        <v>2.5</v>
      </c>
      <c r="H240">
        <v>1700</v>
      </c>
      <c r="I240">
        <v>0</v>
      </c>
    </row>
    <row r="241" spans="1:9" x14ac:dyDescent="0.3">
      <c r="A241" t="s">
        <v>349</v>
      </c>
      <c r="B241" t="s">
        <v>513</v>
      </c>
      <c r="C241">
        <v>3</v>
      </c>
      <c r="D241">
        <v>20800</v>
      </c>
      <c r="E241" t="s">
        <v>69</v>
      </c>
      <c r="F241">
        <v>34</v>
      </c>
      <c r="G241">
        <v>3.3</v>
      </c>
      <c r="H241">
        <v>5600</v>
      </c>
      <c r="I241">
        <v>0</v>
      </c>
    </row>
    <row r="242" spans="1:9" x14ac:dyDescent="0.3">
      <c r="A242" t="s">
        <v>350</v>
      </c>
      <c r="B242" t="s">
        <v>65</v>
      </c>
      <c r="C242">
        <v>9</v>
      </c>
      <c r="D242">
        <v>28300</v>
      </c>
      <c r="E242" t="s">
        <v>67</v>
      </c>
      <c r="F242">
        <v>113</v>
      </c>
      <c r="G242">
        <v>4.4000000000000004</v>
      </c>
      <c r="H242">
        <v>3600</v>
      </c>
      <c r="I242">
        <v>0</v>
      </c>
    </row>
    <row r="243" spans="1:9" x14ac:dyDescent="0.3">
      <c r="A243" t="s">
        <v>351</v>
      </c>
      <c r="B243" t="s">
        <v>65</v>
      </c>
      <c r="C243">
        <v>5</v>
      </c>
      <c r="D243">
        <v>29900</v>
      </c>
      <c r="E243" t="s">
        <v>67</v>
      </c>
      <c r="F243">
        <v>60</v>
      </c>
      <c r="G243">
        <v>10.3</v>
      </c>
      <c r="H243">
        <v>3700</v>
      </c>
      <c r="I243">
        <v>0</v>
      </c>
    </row>
    <row r="244" spans="1:9" x14ac:dyDescent="0.3">
      <c r="A244" t="s">
        <v>352</v>
      </c>
      <c r="B244" t="s">
        <v>62</v>
      </c>
      <c r="C244">
        <v>4</v>
      </c>
      <c r="D244">
        <v>25400</v>
      </c>
      <c r="E244" t="s">
        <v>68</v>
      </c>
      <c r="F244">
        <v>29</v>
      </c>
      <c r="G244">
        <v>6</v>
      </c>
      <c r="H244">
        <v>0</v>
      </c>
      <c r="I244">
        <v>0</v>
      </c>
    </row>
    <row r="245" spans="1:9" x14ac:dyDescent="0.3">
      <c r="A245" t="s">
        <v>353</v>
      </c>
      <c r="B245" t="s">
        <v>65</v>
      </c>
      <c r="C245">
        <v>5</v>
      </c>
      <c r="D245">
        <v>49500</v>
      </c>
      <c r="E245" t="s">
        <v>69</v>
      </c>
      <c r="F245">
        <v>49</v>
      </c>
      <c r="G245">
        <v>9.1</v>
      </c>
      <c r="H245">
        <v>7800</v>
      </c>
      <c r="I245">
        <v>0</v>
      </c>
    </row>
    <row r="246" spans="1:9" x14ac:dyDescent="0.3">
      <c r="A246" t="s">
        <v>354</v>
      </c>
      <c r="B246" t="s">
        <v>513</v>
      </c>
      <c r="C246">
        <v>7</v>
      </c>
      <c r="D246">
        <v>47700</v>
      </c>
      <c r="E246" t="s">
        <v>68</v>
      </c>
      <c r="F246">
        <v>65</v>
      </c>
      <c r="G246">
        <v>4</v>
      </c>
      <c r="H246">
        <v>7700</v>
      </c>
      <c r="I246">
        <v>0</v>
      </c>
    </row>
    <row r="247" spans="1:9" x14ac:dyDescent="0.3">
      <c r="A247" t="s">
        <v>355</v>
      </c>
      <c r="B247" t="s">
        <v>65</v>
      </c>
      <c r="C247">
        <v>4</v>
      </c>
      <c r="D247">
        <v>83000</v>
      </c>
      <c r="E247" t="s">
        <v>69</v>
      </c>
      <c r="F247">
        <v>17</v>
      </c>
      <c r="G247">
        <v>9.3000000000000007</v>
      </c>
      <c r="H247">
        <v>8700</v>
      </c>
      <c r="I247">
        <v>0</v>
      </c>
    </row>
    <row r="248" spans="1:9" x14ac:dyDescent="0.3">
      <c r="A248" t="s">
        <v>356</v>
      </c>
      <c r="B248" t="s">
        <v>513</v>
      </c>
      <c r="C248">
        <v>2</v>
      </c>
      <c r="D248">
        <v>18100</v>
      </c>
      <c r="E248" t="s">
        <v>67</v>
      </c>
      <c r="F248">
        <v>95</v>
      </c>
      <c r="G248">
        <v>6.8</v>
      </c>
      <c r="H248">
        <v>11500</v>
      </c>
      <c r="I248">
        <v>0</v>
      </c>
    </row>
    <row r="249" spans="1:9" x14ac:dyDescent="0.3">
      <c r="A249" t="s">
        <v>357</v>
      </c>
      <c r="B249" t="s">
        <v>64</v>
      </c>
      <c r="C249">
        <v>3</v>
      </c>
      <c r="D249">
        <v>57500</v>
      </c>
      <c r="E249" t="s">
        <v>69</v>
      </c>
      <c r="F249">
        <v>58</v>
      </c>
      <c r="G249">
        <v>10.7</v>
      </c>
      <c r="H249">
        <v>0</v>
      </c>
      <c r="I249">
        <v>0</v>
      </c>
    </row>
    <row r="250" spans="1:9" x14ac:dyDescent="0.3">
      <c r="A250" t="s">
        <v>358</v>
      </c>
      <c r="B250" t="s">
        <v>64</v>
      </c>
      <c r="C250">
        <v>6</v>
      </c>
      <c r="D250">
        <v>145500</v>
      </c>
      <c r="E250" t="s">
        <v>66</v>
      </c>
      <c r="F250">
        <v>65</v>
      </c>
      <c r="G250">
        <v>11.3</v>
      </c>
      <c r="H250">
        <v>9200</v>
      </c>
      <c r="I250">
        <v>0</v>
      </c>
    </row>
    <row r="251" spans="1:9" x14ac:dyDescent="0.3">
      <c r="A251" t="s">
        <v>359</v>
      </c>
      <c r="B251" t="s">
        <v>64</v>
      </c>
      <c r="C251">
        <v>7</v>
      </c>
      <c r="D251">
        <v>31400</v>
      </c>
      <c r="E251" t="s">
        <v>66</v>
      </c>
      <c r="F251">
        <v>59</v>
      </c>
      <c r="G251">
        <v>11.1</v>
      </c>
      <c r="H251">
        <v>4200</v>
      </c>
      <c r="I251">
        <v>0</v>
      </c>
    </row>
    <row r="252" spans="1:9" x14ac:dyDescent="0.3">
      <c r="A252" t="s">
        <v>360</v>
      </c>
      <c r="B252" t="s">
        <v>513</v>
      </c>
      <c r="C252">
        <v>7</v>
      </c>
      <c r="D252">
        <v>46600</v>
      </c>
      <c r="E252" t="s">
        <v>68</v>
      </c>
      <c r="F252">
        <v>72</v>
      </c>
      <c r="G252">
        <v>4</v>
      </c>
      <c r="H252">
        <v>4600</v>
      </c>
      <c r="I252">
        <v>0</v>
      </c>
    </row>
    <row r="253" spans="1:9" x14ac:dyDescent="0.3">
      <c r="A253" t="s">
        <v>361</v>
      </c>
      <c r="B253" t="s">
        <v>64</v>
      </c>
      <c r="C253">
        <v>9</v>
      </c>
      <c r="D253">
        <v>28400</v>
      </c>
      <c r="E253" t="s">
        <v>68</v>
      </c>
      <c r="F253">
        <v>74</v>
      </c>
      <c r="G253">
        <v>8.4</v>
      </c>
      <c r="H253">
        <v>0</v>
      </c>
      <c r="I253">
        <v>0</v>
      </c>
    </row>
    <row r="254" spans="1:9" x14ac:dyDescent="0.3">
      <c r="A254" t="s">
        <v>362</v>
      </c>
      <c r="B254" t="s">
        <v>513</v>
      </c>
      <c r="C254">
        <v>7</v>
      </c>
      <c r="D254">
        <v>34900</v>
      </c>
      <c r="E254" t="s">
        <v>67</v>
      </c>
      <c r="F254">
        <v>45</v>
      </c>
      <c r="G254">
        <v>2.5</v>
      </c>
      <c r="H254">
        <v>10500</v>
      </c>
      <c r="I254">
        <v>0</v>
      </c>
    </row>
    <row r="255" spans="1:9" x14ac:dyDescent="0.3">
      <c r="A255" t="s">
        <v>363</v>
      </c>
      <c r="B255" t="s">
        <v>62</v>
      </c>
      <c r="C255">
        <v>4</v>
      </c>
      <c r="D255">
        <v>30200</v>
      </c>
      <c r="E255" t="s">
        <v>68</v>
      </c>
      <c r="F255">
        <v>30</v>
      </c>
      <c r="G255">
        <v>3</v>
      </c>
      <c r="H255">
        <v>5400</v>
      </c>
      <c r="I255">
        <v>0</v>
      </c>
    </row>
    <row r="256" spans="1:9" x14ac:dyDescent="0.3">
      <c r="A256" t="s">
        <v>364</v>
      </c>
      <c r="B256" t="s">
        <v>65</v>
      </c>
      <c r="C256">
        <v>10</v>
      </c>
      <c r="D256">
        <v>40500</v>
      </c>
      <c r="E256" t="s">
        <v>67</v>
      </c>
      <c r="F256">
        <v>66</v>
      </c>
      <c r="G256">
        <v>4.7</v>
      </c>
      <c r="H256">
        <v>9500</v>
      </c>
      <c r="I256">
        <v>0</v>
      </c>
    </row>
    <row r="257" spans="1:9" x14ac:dyDescent="0.3">
      <c r="A257" t="s">
        <v>365</v>
      </c>
      <c r="B257" t="s">
        <v>65</v>
      </c>
      <c r="C257">
        <v>4</v>
      </c>
      <c r="D257">
        <v>36400</v>
      </c>
      <c r="E257" t="s">
        <v>67</v>
      </c>
      <c r="F257">
        <v>115</v>
      </c>
      <c r="G257">
        <v>3.5</v>
      </c>
      <c r="H257">
        <v>2300</v>
      </c>
      <c r="I257">
        <v>0</v>
      </c>
    </row>
    <row r="258" spans="1:9" x14ac:dyDescent="0.3">
      <c r="A258" t="s">
        <v>366</v>
      </c>
      <c r="B258" t="s">
        <v>62</v>
      </c>
      <c r="C258">
        <v>3</v>
      </c>
      <c r="D258">
        <v>52400</v>
      </c>
      <c r="E258" t="s">
        <v>68</v>
      </c>
      <c r="F258">
        <v>48</v>
      </c>
      <c r="G258">
        <v>9.5</v>
      </c>
      <c r="H258">
        <v>3500</v>
      </c>
      <c r="I258">
        <v>0</v>
      </c>
    </row>
    <row r="259" spans="1:9" x14ac:dyDescent="0.3">
      <c r="A259" t="s">
        <v>367</v>
      </c>
      <c r="B259" t="s">
        <v>513</v>
      </c>
      <c r="C259">
        <v>7</v>
      </c>
      <c r="D259">
        <v>43900</v>
      </c>
      <c r="E259" t="s">
        <v>66</v>
      </c>
      <c r="F259">
        <v>25</v>
      </c>
      <c r="G259">
        <v>12.6</v>
      </c>
      <c r="H259">
        <v>4200</v>
      </c>
      <c r="I259">
        <v>0</v>
      </c>
    </row>
    <row r="260" spans="1:9" x14ac:dyDescent="0.3">
      <c r="A260" t="s">
        <v>368</v>
      </c>
      <c r="B260" t="s">
        <v>62</v>
      </c>
      <c r="C260">
        <v>6</v>
      </c>
      <c r="D260">
        <v>51900</v>
      </c>
      <c r="E260" t="s">
        <v>69</v>
      </c>
      <c r="F260">
        <v>32</v>
      </c>
      <c r="G260">
        <v>3.8</v>
      </c>
      <c r="H260">
        <v>2600</v>
      </c>
      <c r="I260">
        <v>0</v>
      </c>
    </row>
    <row r="261" spans="1:9" x14ac:dyDescent="0.3">
      <c r="A261" t="s">
        <v>369</v>
      </c>
      <c r="B261" t="s">
        <v>62</v>
      </c>
      <c r="C261">
        <v>6</v>
      </c>
      <c r="D261">
        <v>60200</v>
      </c>
      <c r="E261" t="s">
        <v>67</v>
      </c>
      <c r="F261">
        <v>95</v>
      </c>
      <c r="G261">
        <v>2.9</v>
      </c>
      <c r="H261">
        <v>7900</v>
      </c>
      <c r="I261">
        <v>0</v>
      </c>
    </row>
    <row r="262" spans="1:9" x14ac:dyDescent="0.3">
      <c r="A262" t="s">
        <v>370</v>
      </c>
      <c r="B262" t="s">
        <v>513</v>
      </c>
      <c r="C262">
        <v>9</v>
      </c>
      <c r="D262">
        <v>22500</v>
      </c>
      <c r="E262" t="s">
        <v>66</v>
      </c>
      <c r="F262">
        <v>52</v>
      </c>
      <c r="G262">
        <v>7.6</v>
      </c>
      <c r="H262">
        <v>16000</v>
      </c>
      <c r="I262">
        <v>0</v>
      </c>
    </row>
    <row r="263" spans="1:9" x14ac:dyDescent="0.3">
      <c r="A263" t="s">
        <v>371</v>
      </c>
      <c r="B263" t="s">
        <v>65</v>
      </c>
      <c r="C263">
        <v>7</v>
      </c>
      <c r="D263">
        <v>39900</v>
      </c>
      <c r="E263" t="s">
        <v>67</v>
      </c>
      <c r="F263">
        <v>59</v>
      </c>
      <c r="G263">
        <v>5.9</v>
      </c>
      <c r="H263">
        <v>5100</v>
      </c>
      <c r="I263">
        <v>0</v>
      </c>
    </row>
    <row r="264" spans="1:9" x14ac:dyDescent="0.3">
      <c r="A264" t="s">
        <v>372</v>
      </c>
      <c r="B264" t="s">
        <v>513</v>
      </c>
      <c r="C264">
        <v>8</v>
      </c>
      <c r="D264">
        <v>36800</v>
      </c>
      <c r="E264" t="s">
        <v>69</v>
      </c>
      <c r="F264">
        <v>46</v>
      </c>
      <c r="G264">
        <v>5.9</v>
      </c>
      <c r="H264">
        <v>6900</v>
      </c>
      <c r="I264">
        <v>0</v>
      </c>
    </row>
    <row r="265" spans="1:9" x14ac:dyDescent="0.3">
      <c r="A265" t="s">
        <v>373</v>
      </c>
      <c r="B265" t="s">
        <v>62</v>
      </c>
      <c r="C265">
        <v>3</v>
      </c>
      <c r="D265">
        <v>45500</v>
      </c>
      <c r="E265" t="s">
        <v>68</v>
      </c>
      <c r="F265">
        <v>54</v>
      </c>
      <c r="G265">
        <v>7.5</v>
      </c>
      <c r="H265">
        <v>4800</v>
      </c>
      <c r="I265">
        <v>0</v>
      </c>
    </row>
    <row r="266" spans="1:9" x14ac:dyDescent="0.3">
      <c r="A266" t="s">
        <v>374</v>
      </c>
      <c r="B266" t="s">
        <v>62</v>
      </c>
      <c r="C266">
        <v>6</v>
      </c>
      <c r="D266">
        <v>31600</v>
      </c>
      <c r="E266" t="s">
        <v>66</v>
      </c>
      <c r="F266">
        <v>60</v>
      </c>
      <c r="G266">
        <v>3.9</v>
      </c>
      <c r="H266">
        <v>9400</v>
      </c>
      <c r="I266">
        <v>0</v>
      </c>
    </row>
    <row r="267" spans="1:9" x14ac:dyDescent="0.3">
      <c r="A267" t="s">
        <v>375</v>
      </c>
      <c r="B267" t="s">
        <v>64</v>
      </c>
      <c r="C267">
        <v>2</v>
      </c>
      <c r="D267">
        <v>12500</v>
      </c>
      <c r="E267" t="s">
        <v>67</v>
      </c>
      <c r="F267">
        <v>120</v>
      </c>
      <c r="G267">
        <v>8</v>
      </c>
      <c r="H267">
        <v>4800</v>
      </c>
      <c r="I267">
        <v>0</v>
      </c>
    </row>
    <row r="268" spans="1:9" x14ac:dyDescent="0.3">
      <c r="A268" t="s">
        <v>376</v>
      </c>
      <c r="B268" t="s">
        <v>65</v>
      </c>
      <c r="C268">
        <v>8</v>
      </c>
      <c r="D268">
        <v>50600</v>
      </c>
      <c r="E268" t="s">
        <v>66</v>
      </c>
      <c r="F268">
        <v>34</v>
      </c>
      <c r="G268">
        <v>5.3</v>
      </c>
      <c r="H268">
        <v>5900</v>
      </c>
      <c r="I268">
        <v>0</v>
      </c>
    </row>
    <row r="269" spans="1:9" x14ac:dyDescent="0.3">
      <c r="A269" t="s">
        <v>377</v>
      </c>
      <c r="B269" t="s">
        <v>513</v>
      </c>
      <c r="C269">
        <v>7</v>
      </c>
      <c r="D269">
        <v>54600</v>
      </c>
      <c r="E269" t="s">
        <v>69</v>
      </c>
      <c r="F269">
        <v>53</v>
      </c>
      <c r="G269">
        <v>6.9</v>
      </c>
      <c r="H269">
        <v>5700</v>
      </c>
      <c r="I269">
        <v>0</v>
      </c>
    </row>
    <row r="270" spans="1:9" x14ac:dyDescent="0.3">
      <c r="A270" t="s">
        <v>378</v>
      </c>
      <c r="B270" t="s">
        <v>65</v>
      </c>
      <c r="C270">
        <v>7</v>
      </c>
      <c r="D270">
        <v>77500</v>
      </c>
      <c r="E270" t="s">
        <v>69</v>
      </c>
      <c r="F270">
        <v>48</v>
      </c>
      <c r="G270">
        <v>3.4</v>
      </c>
      <c r="H270">
        <v>8500</v>
      </c>
      <c r="I270">
        <v>0</v>
      </c>
    </row>
    <row r="271" spans="1:9" x14ac:dyDescent="0.3">
      <c r="A271" t="s">
        <v>379</v>
      </c>
      <c r="B271" t="s">
        <v>64</v>
      </c>
      <c r="C271">
        <v>4</v>
      </c>
      <c r="D271">
        <v>61100</v>
      </c>
      <c r="E271" t="s">
        <v>66</v>
      </c>
      <c r="F271">
        <v>34</v>
      </c>
      <c r="G271">
        <v>0.8</v>
      </c>
      <c r="H271">
        <v>4100</v>
      </c>
      <c r="I271">
        <v>0</v>
      </c>
    </row>
    <row r="272" spans="1:9" x14ac:dyDescent="0.3">
      <c r="A272" t="s">
        <v>380</v>
      </c>
      <c r="B272" t="s">
        <v>65</v>
      </c>
      <c r="C272">
        <v>6</v>
      </c>
      <c r="D272">
        <v>73200</v>
      </c>
      <c r="E272" t="s">
        <v>68</v>
      </c>
      <c r="F272">
        <v>65</v>
      </c>
      <c r="G272">
        <v>12.3</v>
      </c>
      <c r="H272">
        <v>3500</v>
      </c>
      <c r="I272">
        <v>0</v>
      </c>
    </row>
    <row r="273" spans="1:9" x14ac:dyDescent="0.3">
      <c r="A273" t="s">
        <v>381</v>
      </c>
      <c r="B273" t="s">
        <v>62</v>
      </c>
      <c r="C273">
        <v>10</v>
      </c>
      <c r="D273">
        <v>26600</v>
      </c>
      <c r="E273" t="s">
        <v>68</v>
      </c>
      <c r="F273">
        <v>48</v>
      </c>
      <c r="G273">
        <v>6.9</v>
      </c>
      <c r="H273">
        <v>6100</v>
      </c>
      <c r="I273">
        <v>0</v>
      </c>
    </row>
    <row r="274" spans="1:9" x14ac:dyDescent="0.3">
      <c r="A274" t="s">
        <v>382</v>
      </c>
      <c r="B274" t="s">
        <v>513</v>
      </c>
      <c r="C274">
        <v>7</v>
      </c>
      <c r="D274">
        <v>48300</v>
      </c>
      <c r="E274" t="s">
        <v>67</v>
      </c>
      <c r="F274">
        <v>87</v>
      </c>
      <c r="G274">
        <v>12.9</v>
      </c>
      <c r="H274">
        <v>3800</v>
      </c>
      <c r="I274">
        <v>0</v>
      </c>
    </row>
    <row r="275" spans="1:9" x14ac:dyDescent="0.3">
      <c r="A275" t="s">
        <v>383</v>
      </c>
      <c r="B275" t="s">
        <v>65</v>
      </c>
      <c r="C275">
        <v>3</v>
      </c>
      <c r="D275">
        <v>85700</v>
      </c>
      <c r="E275" t="s">
        <v>69</v>
      </c>
      <c r="F275">
        <v>32</v>
      </c>
      <c r="G275">
        <v>5.5</v>
      </c>
      <c r="H275">
        <v>4600</v>
      </c>
      <c r="I275">
        <v>0</v>
      </c>
    </row>
    <row r="276" spans="1:9" x14ac:dyDescent="0.3">
      <c r="A276" t="s">
        <v>384</v>
      </c>
      <c r="B276" t="s">
        <v>64</v>
      </c>
      <c r="C276">
        <v>10</v>
      </c>
      <c r="D276">
        <v>38000</v>
      </c>
      <c r="E276" t="s">
        <v>69</v>
      </c>
      <c r="F276">
        <v>59</v>
      </c>
      <c r="G276">
        <v>11</v>
      </c>
      <c r="H276">
        <v>9100</v>
      </c>
      <c r="I276">
        <v>0</v>
      </c>
    </row>
    <row r="277" spans="1:9" x14ac:dyDescent="0.3">
      <c r="A277" t="s">
        <v>385</v>
      </c>
      <c r="B277" t="s">
        <v>65</v>
      </c>
      <c r="C277">
        <v>8</v>
      </c>
      <c r="D277">
        <v>32100</v>
      </c>
      <c r="E277" t="s">
        <v>67</v>
      </c>
      <c r="F277">
        <v>60</v>
      </c>
      <c r="G277">
        <v>7.4</v>
      </c>
      <c r="H277">
        <v>9300</v>
      </c>
      <c r="I277">
        <v>0</v>
      </c>
    </row>
    <row r="278" spans="1:9" x14ac:dyDescent="0.3">
      <c r="A278" t="s">
        <v>386</v>
      </c>
      <c r="B278" t="s">
        <v>65</v>
      </c>
      <c r="C278">
        <v>7</v>
      </c>
      <c r="D278">
        <v>19500</v>
      </c>
      <c r="E278" t="s">
        <v>69</v>
      </c>
      <c r="F278">
        <v>57</v>
      </c>
      <c r="G278">
        <v>9.1</v>
      </c>
      <c r="H278">
        <v>3800</v>
      </c>
      <c r="I278">
        <v>0</v>
      </c>
    </row>
    <row r="279" spans="1:9" x14ac:dyDescent="0.3">
      <c r="A279" t="s">
        <v>387</v>
      </c>
      <c r="B279" t="s">
        <v>62</v>
      </c>
      <c r="C279">
        <v>4</v>
      </c>
      <c r="D279">
        <v>49900</v>
      </c>
      <c r="E279" t="s">
        <v>66</v>
      </c>
      <c r="F279">
        <v>52</v>
      </c>
      <c r="G279">
        <v>8.6</v>
      </c>
      <c r="H279">
        <v>11400</v>
      </c>
      <c r="I279">
        <v>0</v>
      </c>
    </row>
    <row r="280" spans="1:9" x14ac:dyDescent="0.3">
      <c r="A280" t="s">
        <v>388</v>
      </c>
      <c r="B280" t="s">
        <v>513</v>
      </c>
      <c r="C280">
        <v>3</v>
      </c>
      <c r="D280">
        <v>31600</v>
      </c>
      <c r="E280" t="s">
        <v>67</v>
      </c>
      <c r="F280">
        <v>62</v>
      </c>
      <c r="G280">
        <v>15</v>
      </c>
      <c r="H280">
        <v>8700</v>
      </c>
      <c r="I280">
        <v>0</v>
      </c>
    </row>
    <row r="281" spans="1:9" x14ac:dyDescent="0.3">
      <c r="A281" t="s">
        <v>389</v>
      </c>
      <c r="B281" t="s">
        <v>64</v>
      </c>
      <c r="C281">
        <v>5</v>
      </c>
      <c r="D281">
        <v>25900</v>
      </c>
      <c r="E281" t="s">
        <v>68</v>
      </c>
      <c r="F281">
        <v>34</v>
      </c>
      <c r="G281">
        <v>7.4</v>
      </c>
      <c r="H281">
        <v>3400</v>
      </c>
      <c r="I281">
        <v>0</v>
      </c>
    </row>
    <row r="282" spans="1:9" x14ac:dyDescent="0.3">
      <c r="A282" t="s">
        <v>390</v>
      </c>
      <c r="B282" t="s">
        <v>62</v>
      </c>
      <c r="C282">
        <v>3</v>
      </c>
      <c r="D282">
        <v>93100</v>
      </c>
      <c r="E282" t="s">
        <v>66</v>
      </c>
      <c r="F282">
        <v>59</v>
      </c>
      <c r="G282">
        <v>0.3</v>
      </c>
      <c r="H282">
        <v>13100</v>
      </c>
      <c r="I282">
        <v>0</v>
      </c>
    </row>
    <row r="283" spans="1:9" x14ac:dyDescent="0.3">
      <c r="A283" t="s">
        <v>391</v>
      </c>
      <c r="B283" t="s">
        <v>64</v>
      </c>
      <c r="C283">
        <v>10</v>
      </c>
      <c r="D283">
        <v>26500</v>
      </c>
      <c r="E283" t="s">
        <v>67</v>
      </c>
      <c r="F283">
        <v>108</v>
      </c>
      <c r="G283">
        <v>4.7</v>
      </c>
      <c r="H283">
        <v>4900</v>
      </c>
      <c r="I283">
        <v>0</v>
      </c>
    </row>
    <row r="284" spans="1:9" x14ac:dyDescent="0.3">
      <c r="A284" t="s">
        <v>392</v>
      </c>
      <c r="B284" t="s">
        <v>65</v>
      </c>
      <c r="C284">
        <v>5</v>
      </c>
      <c r="D284">
        <v>14900</v>
      </c>
      <c r="E284" t="s">
        <v>66</v>
      </c>
      <c r="F284">
        <v>52</v>
      </c>
      <c r="G284">
        <v>10</v>
      </c>
      <c r="H284">
        <v>9800</v>
      </c>
      <c r="I284">
        <v>0</v>
      </c>
    </row>
    <row r="285" spans="1:9" x14ac:dyDescent="0.3">
      <c r="A285" t="s">
        <v>393</v>
      </c>
      <c r="B285" t="s">
        <v>65</v>
      </c>
      <c r="C285">
        <v>3</v>
      </c>
      <c r="D285">
        <v>32900</v>
      </c>
      <c r="E285" t="s">
        <v>67</v>
      </c>
      <c r="F285">
        <v>111</v>
      </c>
      <c r="G285">
        <v>4</v>
      </c>
      <c r="H285">
        <v>6700</v>
      </c>
      <c r="I285">
        <v>0</v>
      </c>
    </row>
    <row r="286" spans="1:9" x14ac:dyDescent="0.3">
      <c r="A286" t="s">
        <v>394</v>
      </c>
      <c r="B286" t="s">
        <v>62</v>
      </c>
      <c r="C286">
        <v>5</v>
      </c>
      <c r="D286">
        <v>14500</v>
      </c>
      <c r="E286" t="s">
        <v>68</v>
      </c>
      <c r="F286">
        <v>49</v>
      </c>
      <c r="G286">
        <v>0.5</v>
      </c>
      <c r="H286">
        <v>3300</v>
      </c>
      <c r="I286">
        <v>0</v>
      </c>
    </row>
    <row r="287" spans="1:9" x14ac:dyDescent="0.3">
      <c r="A287" t="s">
        <v>395</v>
      </c>
      <c r="B287" t="s">
        <v>65</v>
      </c>
      <c r="C287">
        <v>5</v>
      </c>
      <c r="D287">
        <v>59200</v>
      </c>
      <c r="E287" t="s">
        <v>69</v>
      </c>
      <c r="F287">
        <v>15</v>
      </c>
      <c r="G287">
        <v>11.4</v>
      </c>
      <c r="H287">
        <v>14500</v>
      </c>
      <c r="I287">
        <v>0</v>
      </c>
    </row>
    <row r="288" spans="1:9" x14ac:dyDescent="0.3">
      <c r="A288" t="s">
        <v>396</v>
      </c>
      <c r="B288" t="s">
        <v>513</v>
      </c>
      <c r="C288">
        <v>9</v>
      </c>
      <c r="D288">
        <v>162400</v>
      </c>
      <c r="E288" t="s">
        <v>67</v>
      </c>
      <c r="F288">
        <v>106</v>
      </c>
      <c r="G288">
        <v>6.5</v>
      </c>
      <c r="H288">
        <v>8700</v>
      </c>
      <c r="I288">
        <v>0</v>
      </c>
    </row>
    <row r="289" spans="1:9" x14ac:dyDescent="0.3">
      <c r="A289" t="s">
        <v>397</v>
      </c>
      <c r="B289" t="s">
        <v>513</v>
      </c>
      <c r="C289">
        <v>6</v>
      </c>
      <c r="D289">
        <v>42500</v>
      </c>
      <c r="E289" t="s">
        <v>69</v>
      </c>
      <c r="F289">
        <v>47</v>
      </c>
      <c r="G289">
        <v>6.6</v>
      </c>
      <c r="H289">
        <v>5200</v>
      </c>
      <c r="I289">
        <v>0</v>
      </c>
    </row>
    <row r="290" spans="1:9" x14ac:dyDescent="0.3">
      <c r="A290" t="s">
        <v>398</v>
      </c>
      <c r="B290" t="s">
        <v>513</v>
      </c>
      <c r="C290">
        <v>3</v>
      </c>
      <c r="D290">
        <v>41900</v>
      </c>
      <c r="E290" t="s">
        <v>67</v>
      </c>
      <c r="F290">
        <v>63</v>
      </c>
      <c r="G290">
        <v>12.7</v>
      </c>
      <c r="H290">
        <v>3400</v>
      </c>
      <c r="I290">
        <v>0</v>
      </c>
    </row>
    <row r="291" spans="1:9" x14ac:dyDescent="0.3">
      <c r="A291" t="s">
        <v>399</v>
      </c>
      <c r="B291" t="s">
        <v>64</v>
      </c>
      <c r="C291">
        <v>6</v>
      </c>
      <c r="D291">
        <v>26400</v>
      </c>
      <c r="E291" t="s">
        <v>68</v>
      </c>
      <c r="F291">
        <v>41</v>
      </c>
      <c r="G291">
        <v>7.2</v>
      </c>
      <c r="H291">
        <v>4100</v>
      </c>
      <c r="I291">
        <v>0</v>
      </c>
    </row>
    <row r="292" spans="1:9" x14ac:dyDescent="0.3">
      <c r="A292" t="s">
        <v>400</v>
      </c>
      <c r="B292" t="s">
        <v>64</v>
      </c>
      <c r="C292">
        <v>6</v>
      </c>
      <c r="D292">
        <v>39800</v>
      </c>
      <c r="E292" t="s">
        <v>69</v>
      </c>
      <c r="F292">
        <v>23</v>
      </c>
      <c r="G292">
        <v>2</v>
      </c>
      <c r="H292">
        <v>10000</v>
      </c>
      <c r="I292">
        <v>0</v>
      </c>
    </row>
    <row r="293" spans="1:9" x14ac:dyDescent="0.3">
      <c r="A293" t="s">
        <v>401</v>
      </c>
      <c r="B293" t="s">
        <v>513</v>
      </c>
      <c r="C293">
        <v>2</v>
      </c>
      <c r="D293">
        <v>40500</v>
      </c>
      <c r="E293" t="s">
        <v>67</v>
      </c>
      <c r="F293">
        <v>93</v>
      </c>
      <c r="G293">
        <v>11.6</v>
      </c>
      <c r="H293">
        <v>4300</v>
      </c>
      <c r="I293">
        <v>0</v>
      </c>
    </row>
    <row r="294" spans="1:9" x14ac:dyDescent="0.3">
      <c r="A294" t="s">
        <v>402</v>
      </c>
      <c r="B294" t="s">
        <v>513</v>
      </c>
      <c r="C294">
        <v>8</v>
      </c>
      <c r="D294">
        <v>85000</v>
      </c>
      <c r="E294" t="s">
        <v>66</v>
      </c>
      <c r="F294">
        <v>48</v>
      </c>
      <c r="G294">
        <v>3.2</v>
      </c>
      <c r="H294">
        <v>200</v>
      </c>
      <c r="I294">
        <v>0</v>
      </c>
    </row>
    <row r="295" spans="1:9" x14ac:dyDescent="0.3">
      <c r="A295" t="s">
        <v>403</v>
      </c>
      <c r="B295" t="s">
        <v>64</v>
      </c>
      <c r="C295">
        <v>3</v>
      </c>
      <c r="D295">
        <v>14800</v>
      </c>
      <c r="E295" t="s">
        <v>66</v>
      </c>
      <c r="F295">
        <v>48</v>
      </c>
      <c r="G295">
        <v>1</v>
      </c>
      <c r="H295">
        <v>2300</v>
      </c>
      <c r="I295">
        <v>0</v>
      </c>
    </row>
    <row r="296" spans="1:9" x14ac:dyDescent="0.3">
      <c r="A296" t="s">
        <v>404</v>
      </c>
      <c r="B296" t="s">
        <v>64</v>
      </c>
      <c r="C296">
        <v>4</v>
      </c>
      <c r="D296">
        <v>72900</v>
      </c>
      <c r="E296" t="s">
        <v>66</v>
      </c>
      <c r="F296">
        <v>30</v>
      </c>
      <c r="G296">
        <v>2.4</v>
      </c>
      <c r="H296">
        <v>6200</v>
      </c>
      <c r="I296">
        <v>0</v>
      </c>
    </row>
    <row r="297" spans="1:9" x14ac:dyDescent="0.3">
      <c r="A297" t="s">
        <v>405</v>
      </c>
      <c r="B297" t="s">
        <v>64</v>
      </c>
      <c r="C297">
        <v>5</v>
      </c>
      <c r="D297">
        <v>30500</v>
      </c>
      <c r="E297" t="s">
        <v>67</v>
      </c>
      <c r="F297">
        <v>100</v>
      </c>
      <c r="G297">
        <v>11.8</v>
      </c>
      <c r="H297">
        <v>6100</v>
      </c>
      <c r="I297">
        <v>0</v>
      </c>
    </row>
    <row r="298" spans="1:9" x14ac:dyDescent="0.3">
      <c r="A298" t="s">
        <v>406</v>
      </c>
      <c r="B298" t="s">
        <v>62</v>
      </c>
      <c r="C298">
        <v>7</v>
      </c>
      <c r="D298">
        <v>22700</v>
      </c>
      <c r="E298" t="s">
        <v>66</v>
      </c>
      <c r="F298">
        <v>34</v>
      </c>
      <c r="G298">
        <v>0.2</v>
      </c>
      <c r="H298">
        <v>3500</v>
      </c>
      <c r="I298">
        <v>0</v>
      </c>
    </row>
    <row r="299" spans="1:9" x14ac:dyDescent="0.3">
      <c r="A299" t="s">
        <v>407</v>
      </c>
      <c r="B299" t="s">
        <v>513</v>
      </c>
      <c r="C299">
        <v>4</v>
      </c>
      <c r="D299">
        <v>44800</v>
      </c>
      <c r="E299" t="s">
        <v>66</v>
      </c>
      <c r="F299">
        <v>44</v>
      </c>
      <c r="G299">
        <v>0.8</v>
      </c>
      <c r="H299">
        <v>0</v>
      </c>
      <c r="I299">
        <v>0</v>
      </c>
    </row>
    <row r="300" spans="1:9" x14ac:dyDescent="0.3">
      <c r="A300" t="s">
        <v>408</v>
      </c>
      <c r="B300" t="s">
        <v>62</v>
      </c>
      <c r="C300">
        <v>7</v>
      </c>
      <c r="D300">
        <v>50800</v>
      </c>
      <c r="E300" t="s">
        <v>69</v>
      </c>
      <c r="F300">
        <v>32</v>
      </c>
      <c r="G300">
        <v>5.7</v>
      </c>
      <c r="H300">
        <v>6500</v>
      </c>
      <c r="I300">
        <v>0</v>
      </c>
    </row>
    <row r="301" spans="1:9" x14ac:dyDescent="0.3">
      <c r="A301" t="s">
        <v>409</v>
      </c>
      <c r="B301" t="s">
        <v>64</v>
      </c>
      <c r="C301">
        <v>1</v>
      </c>
      <c r="D301">
        <v>25900</v>
      </c>
      <c r="E301" t="s">
        <v>67</v>
      </c>
      <c r="F301">
        <v>65</v>
      </c>
      <c r="G301">
        <v>5.9</v>
      </c>
      <c r="H301">
        <v>0</v>
      </c>
      <c r="I301">
        <v>0</v>
      </c>
    </row>
    <row r="302" spans="1:9" x14ac:dyDescent="0.3">
      <c r="A302" t="s">
        <v>410</v>
      </c>
      <c r="B302" t="s">
        <v>65</v>
      </c>
      <c r="C302">
        <v>9</v>
      </c>
      <c r="D302">
        <v>25300</v>
      </c>
      <c r="E302" t="s">
        <v>66</v>
      </c>
      <c r="F302">
        <v>67</v>
      </c>
      <c r="G302">
        <v>11.7</v>
      </c>
      <c r="H302">
        <v>11400</v>
      </c>
      <c r="I302">
        <v>0</v>
      </c>
    </row>
    <row r="303" spans="1:9" x14ac:dyDescent="0.3">
      <c r="A303" t="s">
        <v>411</v>
      </c>
      <c r="B303" t="s">
        <v>64</v>
      </c>
      <c r="C303">
        <v>6</v>
      </c>
      <c r="D303">
        <v>65000</v>
      </c>
      <c r="E303" t="s">
        <v>66</v>
      </c>
      <c r="F303">
        <v>58</v>
      </c>
      <c r="G303">
        <v>8</v>
      </c>
      <c r="H303">
        <v>0</v>
      </c>
      <c r="I303">
        <v>0</v>
      </c>
    </row>
    <row r="304" spans="1:9" x14ac:dyDescent="0.3">
      <c r="A304" t="s">
        <v>412</v>
      </c>
      <c r="B304" t="s">
        <v>513</v>
      </c>
      <c r="C304">
        <v>4</v>
      </c>
      <c r="D304">
        <v>77900</v>
      </c>
      <c r="E304" t="s">
        <v>66</v>
      </c>
      <c r="F304">
        <v>45</v>
      </c>
      <c r="G304">
        <v>5.6</v>
      </c>
      <c r="H304">
        <v>8300</v>
      </c>
      <c r="I304">
        <v>0</v>
      </c>
    </row>
    <row r="305" spans="1:9" x14ac:dyDescent="0.3">
      <c r="A305" t="s">
        <v>413</v>
      </c>
      <c r="B305" t="s">
        <v>513</v>
      </c>
      <c r="C305">
        <v>6</v>
      </c>
      <c r="D305">
        <v>29000</v>
      </c>
      <c r="E305" t="s">
        <v>68</v>
      </c>
      <c r="F305">
        <v>31</v>
      </c>
      <c r="G305">
        <v>8</v>
      </c>
      <c r="H305">
        <v>400</v>
      </c>
      <c r="I305">
        <v>0</v>
      </c>
    </row>
    <row r="306" spans="1:9" x14ac:dyDescent="0.3">
      <c r="A306" t="s">
        <v>414</v>
      </c>
      <c r="B306" t="s">
        <v>65</v>
      </c>
      <c r="C306">
        <v>4</v>
      </c>
      <c r="D306">
        <v>11900</v>
      </c>
      <c r="E306" t="s">
        <v>66</v>
      </c>
      <c r="F306">
        <v>55</v>
      </c>
      <c r="G306">
        <v>5.9</v>
      </c>
      <c r="H306">
        <v>9600</v>
      </c>
      <c r="I306">
        <v>0</v>
      </c>
    </row>
    <row r="307" spans="1:9" x14ac:dyDescent="0.3">
      <c r="A307" t="s">
        <v>415</v>
      </c>
      <c r="B307" t="s">
        <v>513</v>
      </c>
      <c r="C307">
        <v>3</v>
      </c>
      <c r="D307">
        <v>117600</v>
      </c>
      <c r="E307" t="s">
        <v>66</v>
      </c>
      <c r="F307">
        <v>40</v>
      </c>
      <c r="G307">
        <v>9.5</v>
      </c>
      <c r="H307">
        <v>400</v>
      </c>
      <c r="I307">
        <v>0</v>
      </c>
    </row>
    <row r="308" spans="1:9" x14ac:dyDescent="0.3">
      <c r="A308" t="s">
        <v>416</v>
      </c>
      <c r="B308" t="s">
        <v>513</v>
      </c>
      <c r="C308">
        <v>3</v>
      </c>
      <c r="D308">
        <v>25400</v>
      </c>
      <c r="E308" t="s">
        <v>66</v>
      </c>
      <c r="F308">
        <v>36</v>
      </c>
      <c r="G308">
        <v>4.9000000000000004</v>
      </c>
      <c r="H308">
        <v>2600</v>
      </c>
      <c r="I308">
        <v>0</v>
      </c>
    </row>
    <row r="309" spans="1:9" x14ac:dyDescent="0.3">
      <c r="A309" t="s">
        <v>417</v>
      </c>
      <c r="B309" t="s">
        <v>513</v>
      </c>
      <c r="C309">
        <v>6</v>
      </c>
      <c r="D309">
        <v>37900</v>
      </c>
      <c r="E309" t="s">
        <v>67</v>
      </c>
      <c r="F309">
        <v>92</v>
      </c>
      <c r="G309">
        <v>12.2</v>
      </c>
      <c r="H309">
        <v>7700</v>
      </c>
      <c r="I309">
        <v>0</v>
      </c>
    </row>
    <row r="310" spans="1:9" x14ac:dyDescent="0.3">
      <c r="A310" t="s">
        <v>418</v>
      </c>
      <c r="B310" t="s">
        <v>513</v>
      </c>
      <c r="C310">
        <v>3</v>
      </c>
      <c r="D310">
        <v>38600</v>
      </c>
      <c r="E310" t="s">
        <v>67</v>
      </c>
      <c r="F310">
        <v>91</v>
      </c>
      <c r="G310">
        <v>2.8</v>
      </c>
      <c r="H310">
        <v>3500</v>
      </c>
      <c r="I310">
        <v>0</v>
      </c>
    </row>
    <row r="311" spans="1:9" x14ac:dyDescent="0.3">
      <c r="A311" t="s">
        <v>419</v>
      </c>
      <c r="B311" t="s">
        <v>513</v>
      </c>
      <c r="C311">
        <v>3</v>
      </c>
      <c r="D311">
        <v>49100</v>
      </c>
      <c r="E311" t="s">
        <v>67</v>
      </c>
      <c r="F311">
        <v>110</v>
      </c>
      <c r="G311">
        <v>3.7</v>
      </c>
      <c r="H311">
        <v>11500</v>
      </c>
      <c r="I311">
        <v>0</v>
      </c>
    </row>
    <row r="312" spans="1:9" x14ac:dyDescent="0.3">
      <c r="A312" t="s">
        <v>420</v>
      </c>
      <c r="B312" t="s">
        <v>64</v>
      </c>
      <c r="C312">
        <v>3</v>
      </c>
      <c r="D312">
        <v>41800</v>
      </c>
      <c r="E312" t="s">
        <v>67</v>
      </c>
      <c r="F312">
        <v>87</v>
      </c>
      <c r="G312">
        <v>8.3000000000000007</v>
      </c>
      <c r="H312">
        <v>0</v>
      </c>
      <c r="I312">
        <v>0</v>
      </c>
    </row>
    <row r="313" spans="1:9" x14ac:dyDescent="0.3">
      <c r="A313" t="s">
        <v>421</v>
      </c>
      <c r="B313" t="s">
        <v>513</v>
      </c>
      <c r="C313">
        <v>3</v>
      </c>
      <c r="D313">
        <v>64300</v>
      </c>
      <c r="E313" t="s">
        <v>67</v>
      </c>
      <c r="F313">
        <v>51</v>
      </c>
      <c r="G313">
        <v>4.8</v>
      </c>
      <c r="H313">
        <v>4200</v>
      </c>
      <c r="I313">
        <v>0</v>
      </c>
    </row>
    <row r="314" spans="1:9" x14ac:dyDescent="0.3">
      <c r="A314" t="s">
        <v>422</v>
      </c>
      <c r="B314" t="s">
        <v>513</v>
      </c>
      <c r="C314">
        <v>10</v>
      </c>
      <c r="D314">
        <v>63200</v>
      </c>
      <c r="E314" t="s">
        <v>67</v>
      </c>
      <c r="F314">
        <v>62</v>
      </c>
      <c r="G314">
        <v>14.5</v>
      </c>
      <c r="H314">
        <v>11700</v>
      </c>
      <c r="I314">
        <v>0</v>
      </c>
    </row>
    <row r="315" spans="1:9" x14ac:dyDescent="0.3">
      <c r="A315" t="s">
        <v>423</v>
      </c>
      <c r="B315" t="s">
        <v>513</v>
      </c>
      <c r="C315">
        <v>5</v>
      </c>
      <c r="D315">
        <v>32600</v>
      </c>
      <c r="E315" t="s">
        <v>66</v>
      </c>
      <c r="F315">
        <v>51</v>
      </c>
      <c r="G315">
        <v>13</v>
      </c>
      <c r="H315">
        <v>13900</v>
      </c>
      <c r="I315">
        <v>0</v>
      </c>
    </row>
    <row r="316" spans="1:9" x14ac:dyDescent="0.3">
      <c r="A316" t="s">
        <v>424</v>
      </c>
      <c r="B316" t="s">
        <v>65</v>
      </c>
      <c r="C316">
        <v>6</v>
      </c>
      <c r="D316">
        <v>54500</v>
      </c>
      <c r="E316" t="s">
        <v>68</v>
      </c>
      <c r="F316">
        <v>63</v>
      </c>
      <c r="G316">
        <v>0.9</v>
      </c>
      <c r="H316">
        <v>5600</v>
      </c>
      <c r="I316">
        <v>0</v>
      </c>
    </row>
    <row r="317" spans="1:9" x14ac:dyDescent="0.3">
      <c r="A317" t="s">
        <v>425</v>
      </c>
      <c r="B317" t="s">
        <v>513</v>
      </c>
      <c r="C317">
        <v>4</v>
      </c>
      <c r="D317">
        <v>45800</v>
      </c>
      <c r="E317" t="s">
        <v>69</v>
      </c>
      <c r="F317">
        <v>54</v>
      </c>
      <c r="G317">
        <v>5.0999999999999996</v>
      </c>
      <c r="H317">
        <v>3700</v>
      </c>
      <c r="I317">
        <v>0</v>
      </c>
    </row>
    <row r="318" spans="1:9" x14ac:dyDescent="0.3">
      <c r="A318" t="s">
        <v>426</v>
      </c>
      <c r="B318" t="s">
        <v>64</v>
      </c>
      <c r="C318">
        <v>4</v>
      </c>
      <c r="D318">
        <v>15100</v>
      </c>
      <c r="E318" t="s">
        <v>68</v>
      </c>
      <c r="F318">
        <v>22</v>
      </c>
      <c r="G318">
        <v>6.8</v>
      </c>
      <c r="H318">
        <v>6600</v>
      </c>
      <c r="I318">
        <v>0</v>
      </c>
    </row>
    <row r="319" spans="1:9" x14ac:dyDescent="0.3">
      <c r="A319" t="s">
        <v>427</v>
      </c>
      <c r="B319" t="s">
        <v>513</v>
      </c>
      <c r="C319">
        <v>4</v>
      </c>
      <c r="D319">
        <v>39700</v>
      </c>
      <c r="E319" t="s">
        <v>69</v>
      </c>
      <c r="F319">
        <v>50</v>
      </c>
      <c r="G319">
        <v>13.8</v>
      </c>
      <c r="H319">
        <v>4700</v>
      </c>
      <c r="I319">
        <v>0</v>
      </c>
    </row>
    <row r="320" spans="1:9" x14ac:dyDescent="0.3">
      <c r="A320" t="s">
        <v>428</v>
      </c>
      <c r="B320" t="s">
        <v>62</v>
      </c>
      <c r="C320">
        <v>7</v>
      </c>
      <c r="D320">
        <v>42700</v>
      </c>
      <c r="E320" t="s">
        <v>66</v>
      </c>
      <c r="F320">
        <v>47</v>
      </c>
      <c r="G320">
        <v>6.2</v>
      </c>
      <c r="H320">
        <v>0</v>
      </c>
      <c r="I320">
        <v>0</v>
      </c>
    </row>
    <row r="321" spans="1:9" x14ac:dyDescent="0.3">
      <c r="A321" t="s">
        <v>429</v>
      </c>
      <c r="B321" t="s">
        <v>64</v>
      </c>
      <c r="C321">
        <v>6</v>
      </c>
      <c r="D321">
        <v>19700</v>
      </c>
      <c r="E321" t="s">
        <v>69</v>
      </c>
      <c r="F321">
        <v>27</v>
      </c>
      <c r="G321">
        <v>6.5</v>
      </c>
      <c r="H321">
        <v>6000</v>
      </c>
      <c r="I321">
        <v>0</v>
      </c>
    </row>
    <row r="322" spans="1:9" x14ac:dyDescent="0.3">
      <c r="A322" t="s">
        <v>430</v>
      </c>
      <c r="B322" t="s">
        <v>64</v>
      </c>
      <c r="C322">
        <v>1</v>
      </c>
      <c r="D322">
        <v>12600</v>
      </c>
      <c r="E322" t="s">
        <v>66</v>
      </c>
      <c r="F322">
        <v>68</v>
      </c>
      <c r="G322">
        <v>1.9</v>
      </c>
      <c r="H322">
        <v>1400</v>
      </c>
      <c r="I322">
        <v>0</v>
      </c>
    </row>
    <row r="323" spans="1:9" x14ac:dyDescent="0.3">
      <c r="A323" t="s">
        <v>431</v>
      </c>
      <c r="B323" t="s">
        <v>513</v>
      </c>
      <c r="C323">
        <v>9</v>
      </c>
      <c r="D323">
        <v>40200</v>
      </c>
      <c r="E323" t="s">
        <v>66</v>
      </c>
      <c r="F323">
        <v>47</v>
      </c>
      <c r="G323">
        <v>7.9</v>
      </c>
      <c r="H323">
        <v>3600</v>
      </c>
      <c r="I323">
        <v>0</v>
      </c>
    </row>
    <row r="324" spans="1:9" x14ac:dyDescent="0.3">
      <c r="A324" t="s">
        <v>432</v>
      </c>
      <c r="B324" t="s">
        <v>513</v>
      </c>
      <c r="C324">
        <v>6</v>
      </c>
      <c r="D324">
        <v>112500</v>
      </c>
      <c r="E324" t="s">
        <v>68</v>
      </c>
      <c r="F324">
        <v>73</v>
      </c>
      <c r="G324">
        <v>13</v>
      </c>
      <c r="H324">
        <v>8400</v>
      </c>
      <c r="I324">
        <v>0</v>
      </c>
    </row>
    <row r="325" spans="1:9" x14ac:dyDescent="0.3">
      <c r="A325" t="s">
        <v>433</v>
      </c>
      <c r="B325" t="s">
        <v>62</v>
      </c>
      <c r="C325">
        <v>9</v>
      </c>
      <c r="D325">
        <v>27800</v>
      </c>
      <c r="E325" t="s">
        <v>66</v>
      </c>
      <c r="F325">
        <v>28</v>
      </c>
      <c r="G325">
        <v>4.3</v>
      </c>
      <c r="H325">
        <v>6800</v>
      </c>
      <c r="I325">
        <v>0</v>
      </c>
    </row>
    <row r="326" spans="1:9" x14ac:dyDescent="0.3">
      <c r="A326" t="s">
        <v>434</v>
      </c>
      <c r="B326" t="s">
        <v>65</v>
      </c>
      <c r="C326">
        <v>4</v>
      </c>
      <c r="D326">
        <v>56900</v>
      </c>
      <c r="E326" t="s">
        <v>67</v>
      </c>
      <c r="F326">
        <v>120</v>
      </c>
      <c r="G326">
        <v>8.5</v>
      </c>
      <c r="H326">
        <v>8200</v>
      </c>
      <c r="I326">
        <v>0</v>
      </c>
    </row>
    <row r="327" spans="1:9" x14ac:dyDescent="0.3">
      <c r="A327" t="s">
        <v>435</v>
      </c>
      <c r="B327" t="s">
        <v>64</v>
      </c>
      <c r="C327">
        <v>5</v>
      </c>
      <c r="D327">
        <v>24300</v>
      </c>
      <c r="E327" t="s">
        <v>67</v>
      </c>
      <c r="F327">
        <v>66</v>
      </c>
      <c r="G327">
        <v>2.2000000000000002</v>
      </c>
      <c r="H327">
        <v>6300</v>
      </c>
      <c r="I327">
        <v>0</v>
      </c>
    </row>
    <row r="328" spans="1:9" x14ac:dyDescent="0.3">
      <c r="A328" t="s">
        <v>436</v>
      </c>
      <c r="B328" t="s">
        <v>65</v>
      </c>
      <c r="C328">
        <v>6</v>
      </c>
      <c r="D328">
        <v>32700</v>
      </c>
      <c r="E328" t="s">
        <v>66</v>
      </c>
      <c r="F328">
        <v>63</v>
      </c>
      <c r="G328">
        <v>10.1</v>
      </c>
      <c r="H328">
        <v>3600</v>
      </c>
      <c r="I328">
        <v>0</v>
      </c>
    </row>
    <row r="329" spans="1:9" x14ac:dyDescent="0.3">
      <c r="A329" t="s">
        <v>437</v>
      </c>
      <c r="B329" t="s">
        <v>513</v>
      </c>
      <c r="C329">
        <v>8</v>
      </c>
      <c r="D329">
        <v>49400</v>
      </c>
      <c r="E329" t="s">
        <v>66</v>
      </c>
      <c r="F329">
        <v>53</v>
      </c>
      <c r="G329">
        <v>11.7</v>
      </c>
      <c r="H329">
        <v>6100</v>
      </c>
      <c r="I329">
        <v>0</v>
      </c>
    </row>
    <row r="330" spans="1:9" x14ac:dyDescent="0.3">
      <c r="A330" t="s">
        <v>438</v>
      </c>
      <c r="B330" t="s">
        <v>64</v>
      </c>
      <c r="C330">
        <v>4</v>
      </c>
      <c r="D330">
        <v>53800</v>
      </c>
      <c r="E330" t="s">
        <v>66</v>
      </c>
      <c r="F330">
        <v>33</v>
      </c>
      <c r="G330">
        <v>2.9</v>
      </c>
      <c r="H330">
        <v>500</v>
      </c>
      <c r="I330">
        <v>0</v>
      </c>
    </row>
    <row r="331" spans="1:9" x14ac:dyDescent="0.3">
      <c r="A331" t="s">
        <v>439</v>
      </c>
      <c r="B331" t="s">
        <v>62</v>
      </c>
      <c r="C331">
        <v>4</v>
      </c>
      <c r="D331">
        <v>47400</v>
      </c>
      <c r="E331" t="s">
        <v>66</v>
      </c>
      <c r="F331">
        <v>45</v>
      </c>
      <c r="G331">
        <v>6.4</v>
      </c>
      <c r="H331">
        <v>3500</v>
      </c>
      <c r="I331">
        <v>0</v>
      </c>
    </row>
    <row r="332" spans="1:9" x14ac:dyDescent="0.3">
      <c r="A332" t="s">
        <v>440</v>
      </c>
      <c r="B332" t="s">
        <v>64</v>
      </c>
      <c r="C332">
        <v>4</v>
      </c>
      <c r="D332">
        <v>27000</v>
      </c>
      <c r="E332" t="s">
        <v>69</v>
      </c>
      <c r="F332">
        <v>60</v>
      </c>
      <c r="G332">
        <v>4.3</v>
      </c>
      <c r="H332">
        <v>3200</v>
      </c>
      <c r="I332">
        <v>0</v>
      </c>
    </row>
    <row r="333" spans="1:9" x14ac:dyDescent="0.3">
      <c r="A333" t="s">
        <v>441</v>
      </c>
      <c r="B333" t="s">
        <v>513</v>
      </c>
      <c r="C333">
        <v>3</v>
      </c>
      <c r="D333">
        <v>38900</v>
      </c>
      <c r="E333" t="s">
        <v>67</v>
      </c>
      <c r="F333">
        <v>112</v>
      </c>
      <c r="G333">
        <v>1.6</v>
      </c>
      <c r="H333">
        <v>19100</v>
      </c>
      <c r="I333">
        <v>0</v>
      </c>
    </row>
    <row r="334" spans="1:9" x14ac:dyDescent="0.3">
      <c r="A334" t="s">
        <v>442</v>
      </c>
      <c r="B334" t="s">
        <v>513</v>
      </c>
      <c r="C334">
        <v>4</v>
      </c>
      <c r="D334">
        <v>24400</v>
      </c>
      <c r="E334" t="s">
        <v>66</v>
      </c>
      <c r="F334">
        <v>28</v>
      </c>
      <c r="G334">
        <v>14.8</v>
      </c>
      <c r="H334">
        <v>1000</v>
      </c>
      <c r="I334">
        <v>0</v>
      </c>
    </row>
    <row r="335" spans="1:9" x14ac:dyDescent="0.3">
      <c r="A335" t="s">
        <v>443</v>
      </c>
      <c r="B335" t="s">
        <v>65</v>
      </c>
      <c r="C335">
        <v>6</v>
      </c>
      <c r="D335">
        <v>52300</v>
      </c>
      <c r="E335" t="s">
        <v>67</v>
      </c>
      <c r="F335">
        <v>101</v>
      </c>
      <c r="G335">
        <v>3.8</v>
      </c>
      <c r="H335">
        <v>5300</v>
      </c>
      <c r="I335">
        <v>0</v>
      </c>
    </row>
    <row r="336" spans="1:9" x14ac:dyDescent="0.3">
      <c r="A336" t="s">
        <v>444</v>
      </c>
      <c r="B336" t="s">
        <v>64</v>
      </c>
      <c r="C336">
        <v>4</v>
      </c>
      <c r="D336">
        <v>25300</v>
      </c>
      <c r="E336" t="s">
        <v>66</v>
      </c>
      <c r="F336">
        <v>23</v>
      </c>
      <c r="G336">
        <v>11</v>
      </c>
      <c r="H336">
        <v>6800</v>
      </c>
      <c r="I336">
        <v>0</v>
      </c>
    </row>
    <row r="337" spans="1:9" x14ac:dyDescent="0.3">
      <c r="A337" t="s">
        <v>445</v>
      </c>
      <c r="B337" t="s">
        <v>65</v>
      </c>
      <c r="C337">
        <v>4</v>
      </c>
      <c r="D337">
        <v>55700</v>
      </c>
      <c r="E337" t="s">
        <v>68</v>
      </c>
      <c r="F337">
        <v>27</v>
      </c>
      <c r="G337">
        <v>13.4</v>
      </c>
      <c r="H337">
        <v>3700</v>
      </c>
      <c r="I337">
        <v>0</v>
      </c>
    </row>
    <row r="338" spans="1:9" x14ac:dyDescent="0.3">
      <c r="A338" t="s">
        <v>446</v>
      </c>
      <c r="B338" t="s">
        <v>64</v>
      </c>
      <c r="C338">
        <v>7</v>
      </c>
      <c r="D338">
        <v>46300</v>
      </c>
      <c r="E338" t="s">
        <v>66</v>
      </c>
      <c r="F338">
        <v>31</v>
      </c>
      <c r="G338">
        <v>5.9</v>
      </c>
      <c r="H338">
        <v>6400</v>
      </c>
      <c r="I338">
        <v>0</v>
      </c>
    </row>
    <row r="339" spans="1:9" x14ac:dyDescent="0.3">
      <c r="A339" t="s">
        <v>447</v>
      </c>
      <c r="B339" t="s">
        <v>65</v>
      </c>
      <c r="C339">
        <v>4</v>
      </c>
      <c r="D339">
        <v>46300</v>
      </c>
      <c r="E339" t="s">
        <v>67</v>
      </c>
      <c r="F339">
        <v>92</v>
      </c>
      <c r="G339">
        <v>1.8</v>
      </c>
      <c r="H339">
        <v>5600</v>
      </c>
      <c r="I339">
        <v>0</v>
      </c>
    </row>
    <row r="340" spans="1:9" x14ac:dyDescent="0.3">
      <c r="A340" t="s">
        <v>448</v>
      </c>
      <c r="B340" t="s">
        <v>62</v>
      </c>
      <c r="C340">
        <v>10</v>
      </c>
      <c r="D340">
        <v>45100</v>
      </c>
      <c r="E340" t="s">
        <v>66</v>
      </c>
      <c r="F340">
        <v>57</v>
      </c>
      <c r="G340">
        <v>7</v>
      </c>
      <c r="H340">
        <v>6000</v>
      </c>
      <c r="I340">
        <v>0</v>
      </c>
    </row>
    <row r="341" spans="1:9" x14ac:dyDescent="0.3">
      <c r="A341" t="s">
        <v>449</v>
      </c>
      <c r="B341" t="s">
        <v>513</v>
      </c>
      <c r="C341">
        <v>3</v>
      </c>
      <c r="D341">
        <v>54300</v>
      </c>
      <c r="E341" t="s">
        <v>66</v>
      </c>
      <c r="F341">
        <v>50</v>
      </c>
      <c r="G341">
        <v>1.7</v>
      </c>
      <c r="H341">
        <v>3900</v>
      </c>
      <c r="I341">
        <v>0</v>
      </c>
    </row>
    <row r="342" spans="1:9" x14ac:dyDescent="0.3">
      <c r="A342" t="s">
        <v>450</v>
      </c>
      <c r="B342" t="s">
        <v>65</v>
      </c>
      <c r="C342">
        <v>5</v>
      </c>
      <c r="D342">
        <v>32300</v>
      </c>
      <c r="E342" t="s">
        <v>68</v>
      </c>
      <c r="F342">
        <v>64</v>
      </c>
      <c r="G342">
        <v>7.1</v>
      </c>
      <c r="H342">
        <v>4800</v>
      </c>
      <c r="I342">
        <v>0</v>
      </c>
    </row>
    <row r="343" spans="1:9" x14ac:dyDescent="0.3">
      <c r="A343" t="s">
        <v>451</v>
      </c>
      <c r="B343" t="s">
        <v>513</v>
      </c>
      <c r="C343">
        <v>5</v>
      </c>
      <c r="D343">
        <v>43100</v>
      </c>
      <c r="E343" t="s">
        <v>67</v>
      </c>
      <c r="F343">
        <v>90</v>
      </c>
      <c r="G343">
        <v>12.8</v>
      </c>
      <c r="H343">
        <v>12900</v>
      </c>
      <c r="I343">
        <v>0</v>
      </c>
    </row>
    <row r="344" spans="1:9" x14ac:dyDescent="0.3">
      <c r="A344" t="s">
        <v>452</v>
      </c>
      <c r="B344" t="s">
        <v>65</v>
      </c>
      <c r="C344">
        <v>8</v>
      </c>
      <c r="D344">
        <v>37000</v>
      </c>
      <c r="E344" t="s">
        <v>67</v>
      </c>
      <c r="F344">
        <v>71</v>
      </c>
      <c r="G344">
        <v>10</v>
      </c>
      <c r="H344">
        <v>3700</v>
      </c>
      <c r="I344">
        <v>0</v>
      </c>
    </row>
    <row r="345" spans="1:9" x14ac:dyDescent="0.3">
      <c r="A345" t="s">
        <v>453</v>
      </c>
      <c r="B345" t="s">
        <v>513</v>
      </c>
      <c r="C345">
        <v>9</v>
      </c>
      <c r="D345">
        <v>60200</v>
      </c>
      <c r="E345" t="s">
        <v>66</v>
      </c>
      <c r="F345">
        <v>31</v>
      </c>
      <c r="G345">
        <v>6.2</v>
      </c>
      <c r="H345">
        <v>6400</v>
      </c>
      <c r="I345">
        <v>0</v>
      </c>
    </row>
    <row r="346" spans="1:9" x14ac:dyDescent="0.3">
      <c r="A346" t="s">
        <v>454</v>
      </c>
      <c r="B346" t="s">
        <v>62</v>
      </c>
      <c r="C346">
        <v>8</v>
      </c>
      <c r="D346">
        <v>71400</v>
      </c>
      <c r="E346" t="s">
        <v>66</v>
      </c>
      <c r="F346">
        <v>55</v>
      </c>
      <c r="G346">
        <v>4.8</v>
      </c>
      <c r="H346">
        <v>4300</v>
      </c>
      <c r="I346">
        <v>0</v>
      </c>
    </row>
    <row r="347" spans="1:9" x14ac:dyDescent="0.3">
      <c r="A347" t="s">
        <v>455</v>
      </c>
      <c r="B347" t="s">
        <v>65</v>
      </c>
      <c r="C347">
        <v>4</v>
      </c>
      <c r="D347">
        <v>30700</v>
      </c>
      <c r="E347" t="s">
        <v>66</v>
      </c>
      <c r="F347">
        <v>69</v>
      </c>
      <c r="G347">
        <v>13.9</v>
      </c>
      <c r="H347">
        <v>3900</v>
      </c>
      <c r="I347">
        <v>0</v>
      </c>
    </row>
    <row r="348" spans="1:9" x14ac:dyDescent="0.3">
      <c r="A348" t="s">
        <v>456</v>
      </c>
      <c r="B348" t="s">
        <v>513</v>
      </c>
      <c r="C348">
        <v>5</v>
      </c>
      <c r="D348">
        <v>45000</v>
      </c>
      <c r="E348" t="s">
        <v>67</v>
      </c>
      <c r="F348">
        <v>111</v>
      </c>
      <c r="G348">
        <v>8.6</v>
      </c>
      <c r="H348">
        <v>10700</v>
      </c>
      <c r="I348">
        <v>0</v>
      </c>
    </row>
    <row r="349" spans="1:9" x14ac:dyDescent="0.3">
      <c r="A349" t="s">
        <v>457</v>
      </c>
      <c r="B349" t="s">
        <v>62</v>
      </c>
      <c r="C349">
        <v>3</v>
      </c>
      <c r="D349">
        <v>29800</v>
      </c>
      <c r="E349" t="s">
        <v>67</v>
      </c>
      <c r="F349">
        <v>56</v>
      </c>
      <c r="G349">
        <v>9.4</v>
      </c>
      <c r="H349">
        <v>5300</v>
      </c>
      <c r="I349">
        <v>0</v>
      </c>
    </row>
    <row r="350" spans="1:9" x14ac:dyDescent="0.3">
      <c r="A350" t="s">
        <v>458</v>
      </c>
      <c r="B350" t="s">
        <v>65</v>
      </c>
      <c r="C350">
        <v>7</v>
      </c>
      <c r="D350">
        <v>30000</v>
      </c>
      <c r="E350" t="s">
        <v>69</v>
      </c>
      <c r="F350">
        <v>49</v>
      </c>
      <c r="G350">
        <v>10.9</v>
      </c>
      <c r="H350">
        <v>6300</v>
      </c>
      <c r="I350">
        <v>0</v>
      </c>
    </row>
    <row r="351" spans="1:9" x14ac:dyDescent="0.3">
      <c r="A351" t="s">
        <v>459</v>
      </c>
      <c r="B351" t="s">
        <v>65</v>
      </c>
      <c r="C351">
        <v>7</v>
      </c>
      <c r="D351">
        <v>42800</v>
      </c>
      <c r="E351" t="s">
        <v>66</v>
      </c>
      <c r="F351">
        <v>39</v>
      </c>
      <c r="G351">
        <v>12.2</v>
      </c>
      <c r="H351">
        <v>2000</v>
      </c>
      <c r="I351">
        <v>0</v>
      </c>
    </row>
    <row r="352" spans="1:9" x14ac:dyDescent="0.3">
      <c r="A352" t="s">
        <v>460</v>
      </c>
      <c r="B352" t="s">
        <v>65</v>
      </c>
      <c r="C352">
        <v>7</v>
      </c>
      <c r="D352">
        <v>48200</v>
      </c>
      <c r="E352" t="s">
        <v>67</v>
      </c>
      <c r="F352">
        <v>51</v>
      </c>
      <c r="G352">
        <v>11.2</v>
      </c>
      <c r="H352">
        <v>9100</v>
      </c>
      <c r="I352">
        <v>0</v>
      </c>
    </row>
    <row r="353" spans="1:9" x14ac:dyDescent="0.3">
      <c r="A353" t="s">
        <v>461</v>
      </c>
      <c r="B353" t="s">
        <v>65</v>
      </c>
      <c r="C353">
        <v>7</v>
      </c>
      <c r="D353">
        <v>41600</v>
      </c>
      <c r="E353" t="s">
        <v>69</v>
      </c>
      <c r="F353">
        <v>27</v>
      </c>
      <c r="G353">
        <v>8.9</v>
      </c>
      <c r="H353">
        <v>4000</v>
      </c>
      <c r="I353">
        <v>0</v>
      </c>
    </row>
    <row r="354" spans="1:9" x14ac:dyDescent="0.3">
      <c r="A354" t="s">
        <v>462</v>
      </c>
      <c r="B354" t="s">
        <v>64</v>
      </c>
      <c r="C354">
        <v>10</v>
      </c>
      <c r="D354">
        <v>69400</v>
      </c>
      <c r="E354" t="s">
        <v>66</v>
      </c>
      <c r="F354">
        <v>63</v>
      </c>
      <c r="G354">
        <v>5.8</v>
      </c>
      <c r="H354">
        <v>8700</v>
      </c>
      <c r="I354">
        <v>0</v>
      </c>
    </row>
    <row r="355" spans="1:9" x14ac:dyDescent="0.3">
      <c r="A355" t="s">
        <v>463</v>
      </c>
      <c r="B355" t="s">
        <v>62</v>
      </c>
      <c r="C355">
        <v>4</v>
      </c>
      <c r="D355">
        <v>16600</v>
      </c>
      <c r="E355" t="s">
        <v>66</v>
      </c>
      <c r="F355">
        <v>58</v>
      </c>
      <c r="G355">
        <v>5</v>
      </c>
      <c r="H355">
        <v>3300</v>
      </c>
      <c r="I355">
        <v>0</v>
      </c>
    </row>
    <row r="356" spans="1:9" x14ac:dyDescent="0.3">
      <c r="A356" t="s">
        <v>464</v>
      </c>
      <c r="B356" t="s">
        <v>513</v>
      </c>
      <c r="C356">
        <v>9</v>
      </c>
      <c r="D356">
        <v>49400</v>
      </c>
      <c r="E356" t="s">
        <v>67</v>
      </c>
      <c r="F356">
        <v>96</v>
      </c>
      <c r="G356">
        <v>11</v>
      </c>
      <c r="H356">
        <v>9400</v>
      </c>
      <c r="I356">
        <v>0</v>
      </c>
    </row>
    <row r="357" spans="1:9" x14ac:dyDescent="0.3">
      <c r="A357" t="s">
        <v>465</v>
      </c>
      <c r="B357" t="s">
        <v>65</v>
      </c>
      <c r="C357">
        <v>7</v>
      </c>
      <c r="D357">
        <v>35200</v>
      </c>
      <c r="E357" t="s">
        <v>69</v>
      </c>
      <c r="F357">
        <v>50</v>
      </c>
      <c r="G357">
        <v>9.9</v>
      </c>
      <c r="H357">
        <v>0</v>
      </c>
      <c r="I357">
        <v>0</v>
      </c>
    </row>
    <row r="358" spans="1:9" x14ac:dyDescent="0.3">
      <c r="A358" t="s">
        <v>466</v>
      </c>
      <c r="B358" t="s">
        <v>64</v>
      </c>
      <c r="C358">
        <v>9</v>
      </c>
      <c r="D358">
        <v>33100</v>
      </c>
      <c r="E358" t="s">
        <v>69</v>
      </c>
      <c r="F358">
        <v>57</v>
      </c>
      <c r="G358">
        <v>5.5</v>
      </c>
      <c r="H358">
        <v>8400</v>
      </c>
      <c r="I358">
        <v>0</v>
      </c>
    </row>
    <row r="359" spans="1:9" x14ac:dyDescent="0.3">
      <c r="A359" t="s">
        <v>467</v>
      </c>
      <c r="B359" t="s">
        <v>64</v>
      </c>
      <c r="C359">
        <v>5</v>
      </c>
      <c r="D359">
        <v>55400</v>
      </c>
      <c r="E359" t="s">
        <v>68</v>
      </c>
      <c r="F359">
        <v>50</v>
      </c>
      <c r="G359">
        <v>3.4</v>
      </c>
      <c r="H359">
        <v>0</v>
      </c>
      <c r="I359">
        <v>0</v>
      </c>
    </row>
    <row r="360" spans="1:9" x14ac:dyDescent="0.3">
      <c r="A360" t="s">
        <v>468</v>
      </c>
      <c r="B360" t="s">
        <v>62</v>
      </c>
      <c r="C360">
        <v>8</v>
      </c>
      <c r="D360">
        <v>110700</v>
      </c>
      <c r="E360" t="s">
        <v>68</v>
      </c>
      <c r="F360">
        <v>36</v>
      </c>
      <c r="G360">
        <v>5.4</v>
      </c>
      <c r="H360">
        <v>9200</v>
      </c>
      <c r="I360">
        <v>0</v>
      </c>
    </row>
    <row r="361" spans="1:9" x14ac:dyDescent="0.3">
      <c r="A361" t="s">
        <v>469</v>
      </c>
      <c r="B361" t="s">
        <v>62</v>
      </c>
      <c r="C361">
        <v>1</v>
      </c>
      <c r="D361">
        <v>28000</v>
      </c>
      <c r="E361" t="s">
        <v>66</v>
      </c>
      <c r="F361">
        <v>21</v>
      </c>
      <c r="G361">
        <v>5.4</v>
      </c>
      <c r="H361">
        <v>5100</v>
      </c>
      <c r="I361">
        <v>0</v>
      </c>
    </row>
    <row r="362" spans="1:9" x14ac:dyDescent="0.3">
      <c r="A362" t="s">
        <v>470</v>
      </c>
      <c r="B362" t="s">
        <v>64</v>
      </c>
      <c r="C362">
        <v>5</v>
      </c>
      <c r="D362">
        <v>54600</v>
      </c>
      <c r="E362" t="s">
        <v>68</v>
      </c>
      <c r="F362">
        <v>63</v>
      </c>
      <c r="G362">
        <v>8</v>
      </c>
      <c r="H362">
        <v>4900</v>
      </c>
      <c r="I362">
        <v>0</v>
      </c>
    </row>
    <row r="363" spans="1:9" x14ac:dyDescent="0.3">
      <c r="A363" t="s">
        <v>471</v>
      </c>
      <c r="B363" t="s">
        <v>62</v>
      </c>
      <c r="C363">
        <v>7</v>
      </c>
      <c r="D363">
        <v>48500</v>
      </c>
      <c r="E363" t="s">
        <v>68</v>
      </c>
      <c r="F363">
        <v>56</v>
      </c>
      <c r="G363">
        <v>7.4</v>
      </c>
      <c r="H363">
        <v>6700</v>
      </c>
      <c r="I363">
        <v>0</v>
      </c>
    </row>
    <row r="364" spans="1:9" x14ac:dyDescent="0.3">
      <c r="A364" t="s">
        <v>472</v>
      </c>
      <c r="B364" t="s">
        <v>513</v>
      </c>
      <c r="C364">
        <v>5</v>
      </c>
      <c r="D364">
        <v>21700</v>
      </c>
      <c r="E364" t="s">
        <v>67</v>
      </c>
      <c r="F364">
        <v>46</v>
      </c>
      <c r="G364">
        <v>11.9</v>
      </c>
      <c r="H364">
        <v>6600</v>
      </c>
      <c r="I364">
        <v>0</v>
      </c>
    </row>
    <row r="365" spans="1:9" x14ac:dyDescent="0.3">
      <c r="A365" t="s">
        <v>473</v>
      </c>
      <c r="B365" t="s">
        <v>65</v>
      </c>
      <c r="C365">
        <v>10</v>
      </c>
      <c r="D365">
        <v>27700</v>
      </c>
      <c r="E365" t="s">
        <v>66</v>
      </c>
      <c r="F365">
        <v>68</v>
      </c>
      <c r="G365">
        <v>1.3</v>
      </c>
      <c r="H365">
        <v>12000</v>
      </c>
      <c r="I365">
        <v>0</v>
      </c>
    </row>
    <row r="366" spans="1:9" x14ac:dyDescent="0.3">
      <c r="A366" t="s">
        <v>474</v>
      </c>
      <c r="B366" t="s">
        <v>62</v>
      </c>
      <c r="C366">
        <v>8</v>
      </c>
      <c r="D366">
        <v>76600</v>
      </c>
      <c r="E366" t="s">
        <v>67</v>
      </c>
      <c r="F366">
        <v>120</v>
      </c>
      <c r="G366">
        <v>1</v>
      </c>
      <c r="H366">
        <v>6400</v>
      </c>
      <c r="I366">
        <v>0</v>
      </c>
    </row>
    <row r="367" spans="1:9" x14ac:dyDescent="0.3">
      <c r="A367" t="s">
        <v>475</v>
      </c>
      <c r="B367" t="s">
        <v>64</v>
      </c>
      <c r="C367">
        <v>1</v>
      </c>
      <c r="D367">
        <v>41800</v>
      </c>
      <c r="E367" t="s">
        <v>69</v>
      </c>
      <c r="F367">
        <v>56</v>
      </c>
      <c r="G367">
        <v>11.3</v>
      </c>
      <c r="H367">
        <v>4200</v>
      </c>
      <c r="I367">
        <v>0</v>
      </c>
    </row>
    <row r="368" spans="1:9" x14ac:dyDescent="0.3">
      <c r="A368" t="s">
        <v>476</v>
      </c>
      <c r="B368" t="s">
        <v>64</v>
      </c>
      <c r="C368">
        <v>1</v>
      </c>
      <c r="D368">
        <v>18100</v>
      </c>
      <c r="E368" t="s">
        <v>67</v>
      </c>
      <c r="F368">
        <v>94</v>
      </c>
      <c r="G368">
        <v>7.7</v>
      </c>
      <c r="H368">
        <v>3300</v>
      </c>
      <c r="I368">
        <v>0</v>
      </c>
    </row>
    <row r="369" spans="1:9" x14ac:dyDescent="0.3">
      <c r="A369" t="s">
        <v>477</v>
      </c>
      <c r="B369" t="s">
        <v>65</v>
      </c>
      <c r="C369">
        <v>3</v>
      </c>
      <c r="D369">
        <v>46900</v>
      </c>
      <c r="E369" t="s">
        <v>66</v>
      </c>
      <c r="F369">
        <v>55</v>
      </c>
      <c r="G369">
        <v>6.5</v>
      </c>
      <c r="H369">
        <v>0</v>
      </c>
      <c r="I369">
        <v>0</v>
      </c>
    </row>
    <row r="370" spans="1:9" x14ac:dyDescent="0.3">
      <c r="A370" t="s">
        <v>478</v>
      </c>
      <c r="B370" t="s">
        <v>65</v>
      </c>
      <c r="C370">
        <v>9</v>
      </c>
      <c r="D370">
        <v>28500</v>
      </c>
      <c r="E370" t="s">
        <v>66</v>
      </c>
      <c r="F370">
        <v>31</v>
      </c>
      <c r="G370">
        <v>2.5</v>
      </c>
      <c r="H370">
        <v>7400</v>
      </c>
      <c r="I370">
        <v>0</v>
      </c>
    </row>
    <row r="371" spans="1:9" x14ac:dyDescent="0.3">
      <c r="A371" t="s">
        <v>479</v>
      </c>
      <c r="B371" t="s">
        <v>513</v>
      </c>
      <c r="C371">
        <v>4</v>
      </c>
      <c r="D371">
        <v>100600</v>
      </c>
      <c r="E371" t="s">
        <v>68</v>
      </c>
      <c r="F371">
        <v>58</v>
      </c>
      <c r="G371">
        <v>7.2</v>
      </c>
      <c r="H371">
        <v>8000</v>
      </c>
      <c r="I371">
        <v>0</v>
      </c>
    </row>
    <row r="372" spans="1:9" x14ac:dyDescent="0.3">
      <c r="A372" t="s">
        <v>480</v>
      </c>
      <c r="B372" t="s">
        <v>65</v>
      </c>
      <c r="C372">
        <v>8</v>
      </c>
      <c r="D372">
        <v>52900</v>
      </c>
      <c r="E372" t="s">
        <v>66</v>
      </c>
      <c r="F372">
        <v>55</v>
      </c>
      <c r="G372">
        <v>4.8</v>
      </c>
      <c r="H372">
        <v>7600</v>
      </c>
      <c r="I372">
        <v>0</v>
      </c>
    </row>
    <row r="373" spans="1:9" x14ac:dyDescent="0.3">
      <c r="A373" t="s">
        <v>481</v>
      </c>
      <c r="B373" t="s">
        <v>513</v>
      </c>
      <c r="C373">
        <v>5</v>
      </c>
      <c r="D373">
        <v>65200</v>
      </c>
      <c r="E373" t="s">
        <v>69</v>
      </c>
      <c r="F373">
        <v>20</v>
      </c>
      <c r="G373">
        <v>5</v>
      </c>
      <c r="H373">
        <v>4200</v>
      </c>
      <c r="I373">
        <v>0</v>
      </c>
    </row>
    <row r="374" spans="1:9" x14ac:dyDescent="0.3">
      <c r="A374" t="s">
        <v>482</v>
      </c>
      <c r="B374" t="s">
        <v>64</v>
      </c>
      <c r="C374">
        <v>10</v>
      </c>
      <c r="D374">
        <v>50300</v>
      </c>
      <c r="E374" t="s">
        <v>68</v>
      </c>
      <c r="F374">
        <v>61</v>
      </c>
      <c r="G374">
        <v>4.0999999999999996</v>
      </c>
      <c r="H374">
        <v>8200</v>
      </c>
      <c r="I374">
        <v>0</v>
      </c>
    </row>
    <row r="375" spans="1:9" x14ac:dyDescent="0.3">
      <c r="A375" t="s">
        <v>483</v>
      </c>
      <c r="B375" t="s">
        <v>62</v>
      </c>
      <c r="C375">
        <v>8</v>
      </c>
      <c r="D375">
        <v>44200</v>
      </c>
      <c r="E375" t="s">
        <v>66</v>
      </c>
      <c r="F375">
        <v>22</v>
      </c>
      <c r="G375">
        <v>5.8</v>
      </c>
      <c r="H375">
        <v>8300</v>
      </c>
      <c r="I375">
        <v>0</v>
      </c>
    </row>
    <row r="376" spans="1:9" x14ac:dyDescent="0.3">
      <c r="A376" t="s">
        <v>484</v>
      </c>
      <c r="B376" t="s">
        <v>65</v>
      </c>
      <c r="C376">
        <v>3</v>
      </c>
      <c r="D376">
        <v>51400</v>
      </c>
      <c r="E376" t="s">
        <v>68</v>
      </c>
      <c r="F376">
        <v>74</v>
      </c>
      <c r="G376">
        <v>2</v>
      </c>
      <c r="H376">
        <v>5900</v>
      </c>
      <c r="I376">
        <v>0</v>
      </c>
    </row>
    <row r="377" spans="1:9" x14ac:dyDescent="0.3">
      <c r="A377" t="s">
        <v>485</v>
      </c>
      <c r="B377" t="s">
        <v>62</v>
      </c>
      <c r="C377">
        <v>9</v>
      </c>
      <c r="D377">
        <v>33300</v>
      </c>
      <c r="E377" t="s">
        <v>68</v>
      </c>
      <c r="F377">
        <v>42</v>
      </c>
      <c r="G377">
        <v>8.6</v>
      </c>
      <c r="H377">
        <v>8900</v>
      </c>
      <c r="I377">
        <v>0</v>
      </c>
    </row>
    <row r="378" spans="1:9" x14ac:dyDescent="0.3">
      <c r="A378" t="s">
        <v>486</v>
      </c>
      <c r="B378" t="s">
        <v>513</v>
      </c>
      <c r="C378">
        <v>1</v>
      </c>
      <c r="D378">
        <v>50600</v>
      </c>
      <c r="E378" t="s">
        <v>66</v>
      </c>
      <c r="F378">
        <v>36</v>
      </c>
      <c r="G378">
        <v>2.6</v>
      </c>
      <c r="H378">
        <v>0</v>
      </c>
      <c r="I378">
        <v>0</v>
      </c>
    </row>
    <row r="379" spans="1:9" x14ac:dyDescent="0.3">
      <c r="A379" t="s">
        <v>487</v>
      </c>
      <c r="B379" t="s">
        <v>513</v>
      </c>
      <c r="C379">
        <v>3</v>
      </c>
      <c r="D379">
        <v>16200</v>
      </c>
      <c r="E379" t="s">
        <v>69</v>
      </c>
      <c r="F379">
        <v>42</v>
      </c>
      <c r="G379">
        <v>14.9</v>
      </c>
      <c r="H379">
        <v>0</v>
      </c>
      <c r="I379">
        <v>0</v>
      </c>
    </row>
    <row r="380" spans="1:9" x14ac:dyDescent="0.3">
      <c r="A380" t="s">
        <v>488</v>
      </c>
      <c r="B380" t="s">
        <v>62</v>
      </c>
      <c r="C380">
        <v>5</v>
      </c>
      <c r="D380">
        <v>60200</v>
      </c>
      <c r="E380" t="s">
        <v>66</v>
      </c>
      <c r="F380">
        <v>34</v>
      </c>
      <c r="G380">
        <v>2.7</v>
      </c>
      <c r="H380">
        <v>300</v>
      </c>
      <c r="I380">
        <v>0</v>
      </c>
    </row>
    <row r="381" spans="1:9" x14ac:dyDescent="0.3">
      <c r="A381" t="s">
        <v>489</v>
      </c>
      <c r="B381" t="s">
        <v>65</v>
      </c>
      <c r="C381">
        <v>8</v>
      </c>
      <c r="D381">
        <v>33500</v>
      </c>
      <c r="E381" t="s">
        <v>67</v>
      </c>
      <c r="F381">
        <v>105</v>
      </c>
      <c r="G381">
        <v>1.9</v>
      </c>
      <c r="H381">
        <v>13400</v>
      </c>
      <c r="I381">
        <v>0</v>
      </c>
    </row>
    <row r="382" spans="1:9" x14ac:dyDescent="0.3">
      <c r="A382" t="s">
        <v>490</v>
      </c>
      <c r="B382" t="s">
        <v>513</v>
      </c>
      <c r="C382">
        <v>5</v>
      </c>
      <c r="D382">
        <v>38800</v>
      </c>
      <c r="E382" t="s">
        <v>69</v>
      </c>
      <c r="F382">
        <v>47</v>
      </c>
      <c r="G382">
        <v>3.6</v>
      </c>
      <c r="H382">
        <v>8700</v>
      </c>
      <c r="I382">
        <v>0</v>
      </c>
    </row>
    <row r="383" spans="1:9" x14ac:dyDescent="0.3">
      <c r="A383" t="s">
        <v>491</v>
      </c>
      <c r="B383" t="s">
        <v>62</v>
      </c>
      <c r="C383">
        <v>2</v>
      </c>
      <c r="D383">
        <v>20200</v>
      </c>
      <c r="E383" t="s">
        <v>68</v>
      </c>
      <c r="F383">
        <v>45</v>
      </c>
      <c r="G383">
        <v>2.2000000000000002</v>
      </c>
      <c r="H383">
        <v>10400</v>
      </c>
      <c r="I383">
        <v>0</v>
      </c>
    </row>
    <row r="384" spans="1:9" x14ac:dyDescent="0.3">
      <c r="A384" t="s">
        <v>492</v>
      </c>
      <c r="B384" t="s">
        <v>513</v>
      </c>
      <c r="C384">
        <v>6</v>
      </c>
      <c r="D384">
        <v>30100</v>
      </c>
      <c r="E384" t="s">
        <v>69</v>
      </c>
      <c r="F384">
        <v>42</v>
      </c>
      <c r="G384">
        <v>13.9</v>
      </c>
      <c r="H384">
        <v>11300</v>
      </c>
      <c r="I384">
        <v>0</v>
      </c>
    </row>
    <row r="385" spans="1:9" x14ac:dyDescent="0.3">
      <c r="A385" t="s">
        <v>493</v>
      </c>
      <c r="B385" t="s">
        <v>513</v>
      </c>
      <c r="C385">
        <v>4</v>
      </c>
      <c r="D385">
        <v>37200</v>
      </c>
      <c r="E385" t="s">
        <v>66</v>
      </c>
      <c r="F385">
        <v>50</v>
      </c>
      <c r="G385">
        <v>7</v>
      </c>
      <c r="H385">
        <v>5900</v>
      </c>
      <c r="I385">
        <v>0</v>
      </c>
    </row>
    <row r="386" spans="1:9" x14ac:dyDescent="0.3">
      <c r="A386" t="s">
        <v>494</v>
      </c>
      <c r="B386" t="s">
        <v>64</v>
      </c>
      <c r="C386">
        <v>8</v>
      </c>
      <c r="D386">
        <v>74300</v>
      </c>
      <c r="E386" t="s">
        <v>68</v>
      </c>
      <c r="F386">
        <v>67</v>
      </c>
      <c r="G386">
        <v>0.4</v>
      </c>
      <c r="H386">
        <v>7400</v>
      </c>
      <c r="I386">
        <v>0</v>
      </c>
    </row>
    <row r="387" spans="1:9" x14ac:dyDescent="0.3">
      <c r="A387" t="s">
        <v>495</v>
      </c>
      <c r="B387" t="s">
        <v>64</v>
      </c>
      <c r="C387">
        <v>7</v>
      </c>
      <c r="D387">
        <v>38200</v>
      </c>
      <c r="E387" t="s">
        <v>69</v>
      </c>
      <c r="F387">
        <v>55</v>
      </c>
      <c r="G387">
        <v>11.7</v>
      </c>
      <c r="H387">
        <v>7000</v>
      </c>
      <c r="I387">
        <v>0</v>
      </c>
    </row>
    <row r="388" spans="1:9" x14ac:dyDescent="0.3">
      <c r="A388" t="s">
        <v>496</v>
      </c>
      <c r="B388" t="s">
        <v>65</v>
      </c>
      <c r="C388">
        <v>10</v>
      </c>
      <c r="D388">
        <v>26100</v>
      </c>
      <c r="E388" t="s">
        <v>69</v>
      </c>
      <c r="F388">
        <v>44</v>
      </c>
      <c r="G388">
        <v>3.2</v>
      </c>
      <c r="H388">
        <v>13100</v>
      </c>
      <c r="I388">
        <v>0</v>
      </c>
    </row>
    <row r="389" spans="1:9" x14ac:dyDescent="0.3">
      <c r="A389" t="s">
        <v>497</v>
      </c>
      <c r="B389" t="s">
        <v>513</v>
      </c>
      <c r="C389">
        <v>5</v>
      </c>
      <c r="D389">
        <v>14300</v>
      </c>
      <c r="E389" t="s">
        <v>68</v>
      </c>
      <c r="F389">
        <v>53</v>
      </c>
      <c r="G389">
        <v>14.5</v>
      </c>
      <c r="H389">
        <v>8600</v>
      </c>
      <c r="I389">
        <v>0</v>
      </c>
    </row>
    <row r="390" spans="1:9" x14ac:dyDescent="0.3">
      <c r="A390" t="s">
        <v>498</v>
      </c>
      <c r="B390" t="s">
        <v>513</v>
      </c>
      <c r="C390">
        <v>10</v>
      </c>
      <c r="D390">
        <v>55400</v>
      </c>
      <c r="E390" t="s">
        <v>68</v>
      </c>
      <c r="F390">
        <v>38</v>
      </c>
      <c r="G390">
        <v>11</v>
      </c>
      <c r="H390">
        <v>10800</v>
      </c>
      <c r="I390">
        <v>0</v>
      </c>
    </row>
    <row r="391" spans="1:9" x14ac:dyDescent="0.3">
      <c r="A391" t="s">
        <v>499</v>
      </c>
      <c r="B391" t="s">
        <v>513</v>
      </c>
      <c r="C391">
        <v>7</v>
      </c>
      <c r="D391">
        <v>73900</v>
      </c>
      <c r="E391" t="s">
        <v>69</v>
      </c>
      <c r="F391">
        <v>60</v>
      </c>
      <c r="G391">
        <v>4.0999999999999996</v>
      </c>
      <c r="H391">
        <v>7400</v>
      </c>
      <c r="I391">
        <v>0</v>
      </c>
    </row>
    <row r="392" spans="1:9" x14ac:dyDescent="0.3">
      <c r="A392" t="s">
        <v>500</v>
      </c>
      <c r="B392" t="s">
        <v>64</v>
      </c>
      <c r="C392">
        <v>6</v>
      </c>
      <c r="D392">
        <v>75000</v>
      </c>
      <c r="E392" t="s">
        <v>69</v>
      </c>
      <c r="F392">
        <v>11</v>
      </c>
      <c r="G392">
        <v>4.3</v>
      </c>
      <c r="H392">
        <v>0</v>
      </c>
      <c r="I392">
        <v>0</v>
      </c>
    </row>
    <row r="393" spans="1:9" x14ac:dyDescent="0.3">
      <c r="A393" t="s">
        <v>501</v>
      </c>
      <c r="B393" t="s">
        <v>513</v>
      </c>
      <c r="C393">
        <v>5</v>
      </c>
      <c r="D393">
        <v>41500</v>
      </c>
      <c r="E393" t="s">
        <v>69</v>
      </c>
      <c r="F393">
        <v>57</v>
      </c>
      <c r="G393">
        <v>13.3</v>
      </c>
      <c r="H393">
        <v>5300</v>
      </c>
      <c r="I393">
        <v>0</v>
      </c>
    </row>
    <row r="394" spans="1:9" x14ac:dyDescent="0.3">
      <c r="A394" t="s">
        <v>502</v>
      </c>
      <c r="B394" t="s">
        <v>513</v>
      </c>
      <c r="C394">
        <v>5</v>
      </c>
      <c r="D394">
        <v>49900</v>
      </c>
      <c r="E394" t="s">
        <v>68</v>
      </c>
      <c r="F394">
        <v>49</v>
      </c>
      <c r="G394">
        <v>0.5</v>
      </c>
      <c r="H394">
        <v>6400</v>
      </c>
      <c r="I394">
        <v>0</v>
      </c>
    </row>
    <row r="395" spans="1:9" x14ac:dyDescent="0.3">
      <c r="A395" t="s">
        <v>503</v>
      </c>
      <c r="B395" t="s">
        <v>65</v>
      </c>
      <c r="C395">
        <v>6</v>
      </c>
      <c r="D395">
        <v>62200</v>
      </c>
      <c r="E395" t="s">
        <v>69</v>
      </c>
      <c r="F395">
        <v>60</v>
      </c>
      <c r="G395">
        <v>3.7</v>
      </c>
      <c r="H395">
        <v>11800</v>
      </c>
      <c r="I395">
        <v>0</v>
      </c>
    </row>
    <row r="396" spans="1:9" x14ac:dyDescent="0.3">
      <c r="A396" t="s">
        <v>504</v>
      </c>
      <c r="B396" t="s">
        <v>62</v>
      </c>
      <c r="C396">
        <v>3</v>
      </c>
      <c r="D396">
        <v>50300</v>
      </c>
      <c r="E396" t="s">
        <v>67</v>
      </c>
      <c r="F396">
        <v>70</v>
      </c>
      <c r="G396">
        <v>4.0999999999999996</v>
      </c>
      <c r="H396">
        <v>6900</v>
      </c>
      <c r="I396">
        <v>0</v>
      </c>
    </row>
    <row r="397" spans="1:9" x14ac:dyDescent="0.3">
      <c r="A397" t="s">
        <v>505</v>
      </c>
      <c r="B397" t="s">
        <v>65</v>
      </c>
      <c r="C397">
        <v>2</v>
      </c>
      <c r="D397">
        <v>37200</v>
      </c>
      <c r="E397" t="s">
        <v>67</v>
      </c>
      <c r="F397">
        <v>80</v>
      </c>
      <c r="G397">
        <v>4.5999999999999996</v>
      </c>
      <c r="H397">
        <v>100</v>
      </c>
      <c r="I397">
        <v>0</v>
      </c>
    </row>
    <row r="398" spans="1:9" x14ac:dyDescent="0.3">
      <c r="A398" t="s">
        <v>506</v>
      </c>
      <c r="B398" t="s">
        <v>62</v>
      </c>
      <c r="C398">
        <v>4</v>
      </c>
      <c r="D398">
        <v>43500</v>
      </c>
      <c r="E398" t="s">
        <v>69</v>
      </c>
      <c r="F398">
        <v>51</v>
      </c>
      <c r="G398">
        <v>7.7</v>
      </c>
      <c r="H398">
        <v>900</v>
      </c>
      <c r="I398">
        <v>0</v>
      </c>
    </row>
    <row r="399" spans="1:9" x14ac:dyDescent="0.3">
      <c r="A399" t="s">
        <v>507</v>
      </c>
      <c r="B399" t="s">
        <v>513</v>
      </c>
      <c r="C399">
        <v>7</v>
      </c>
      <c r="D399">
        <v>36600</v>
      </c>
      <c r="E399" t="s">
        <v>68</v>
      </c>
      <c r="F399">
        <v>74</v>
      </c>
      <c r="G399">
        <v>12.8</v>
      </c>
      <c r="H399">
        <v>2700</v>
      </c>
      <c r="I399">
        <v>0</v>
      </c>
    </row>
    <row r="400" spans="1:9" x14ac:dyDescent="0.3">
      <c r="A400" t="s">
        <v>508</v>
      </c>
      <c r="B400" t="s">
        <v>64</v>
      </c>
      <c r="C400">
        <v>9</v>
      </c>
      <c r="D400">
        <v>101900</v>
      </c>
      <c r="E400" t="s">
        <v>66</v>
      </c>
      <c r="F400">
        <v>52</v>
      </c>
      <c r="G400">
        <v>10.3</v>
      </c>
      <c r="H400">
        <v>9700</v>
      </c>
      <c r="I400">
        <v>0</v>
      </c>
    </row>
    <row r="401" spans="1:9" x14ac:dyDescent="0.3">
      <c r="A401" t="s">
        <v>509</v>
      </c>
      <c r="B401" t="s">
        <v>513</v>
      </c>
      <c r="C401">
        <v>10</v>
      </c>
      <c r="D401">
        <v>93100</v>
      </c>
      <c r="E401" t="s">
        <v>69</v>
      </c>
      <c r="F401">
        <v>52</v>
      </c>
      <c r="G401">
        <v>10.4</v>
      </c>
      <c r="H401">
        <v>8400</v>
      </c>
      <c r="I401">
        <v>0</v>
      </c>
    </row>
    <row r="402" spans="1:9" x14ac:dyDescent="0.3">
      <c r="A402" t="s">
        <v>514</v>
      </c>
      <c r="B402" t="s">
        <v>65</v>
      </c>
      <c r="C402">
        <v>5</v>
      </c>
      <c r="D402">
        <v>31900</v>
      </c>
      <c r="E402" t="s">
        <v>67</v>
      </c>
      <c r="F402">
        <v>56</v>
      </c>
      <c r="G402">
        <v>13.9</v>
      </c>
      <c r="H402">
        <v>2700</v>
      </c>
      <c r="I402">
        <v>0</v>
      </c>
    </row>
    <row r="403" spans="1:9" x14ac:dyDescent="0.3">
      <c r="A403" t="s">
        <v>515</v>
      </c>
      <c r="B403" t="s">
        <v>62</v>
      </c>
      <c r="C403">
        <v>3</v>
      </c>
      <c r="D403">
        <v>60000</v>
      </c>
      <c r="E403" t="s">
        <v>67</v>
      </c>
      <c r="F403">
        <v>96</v>
      </c>
      <c r="G403">
        <v>5.7</v>
      </c>
      <c r="H403">
        <v>5800</v>
      </c>
      <c r="I403">
        <v>0</v>
      </c>
    </row>
    <row r="404" spans="1:9" x14ac:dyDescent="0.3">
      <c r="A404" t="s">
        <v>516</v>
      </c>
      <c r="B404" t="s">
        <v>64</v>
      </c>
      <c r="C404">
        <v>7</v>
      </c>
      <c r="D404">
        <v>42600</v>
      </c>
      <c r="E404" t="s">
        <v>66</v>
      </c>
      <c r="F404">
        <v>62</v>
      </c>
      <c r="G404">
        <v>8.6</v>
      </c>
      <c r="H404">
        <v>2400</v>
      </c>
      <c r="I404">
        <v>0</v>
      </c>
    </row>
    <row r="405" spans="1:9" x14ac:dyDescent="0.3">
      <c r="A405" t="s">
        <v>517</v>
      </c>
      <c r="B405" t="s">
        <v>513</v>
      </c>
      <c r="C405">
        <v>7</v>
      </c>
      <c r="D405">
        <v>20400</v>
      </c>
      <c r="E405" t="s">
        <v>66</v>
      </c>
      <c r="F405">
        <v>16</v>
      </c>
      <c r="G405">
        <v>14</v>
      </c>
      <c r="H405">
        <v>3900</v>
      </c>
      <c r="I405">
        <v>0</v>
      </c>
    </row>
    <row r="406" spans="1:9" x14ac:dyDescent="0.3">
      <c r="A406" t="s">
        <v>518</v>
      </c>
      <c r="B406" t="s">
        <v>64</v>
      </c>
      <c r="C406">
        <v>7</v>
      </c>
      <c r="D406">
        <v>29700</v>
      </c>
      <c r="E406" t="s">
        <v>67</v>
      </c>
      <c r="F406">
        <v>55</v>
      </c>
      <c r="G406">
        <v>5.9</v>
      </c>
      <c r="H406">
        <v>4600</v>
      </c>
      <c r="I406">
        <v>0</v>
      </c>
    </row>
    <row r="407" spans="1:9" x14ac:dyDescent="0.3">
      <c r="A407" t="s">
        <v>519</v>
      </c>
      <c r="B407" t="s">
        <v>513</v>
      </c>
      <c r="C407">
        <v>6</v>
      </c>
      <c r="D407">
        <v>44600</v>
      </c>
      <c r="E407" t="s">
        <v>68</v>
      </c>
      <c r="F407">
        <v>68</v>
      </c>
      <c r="G407">
        <v>13.7</v>
      </c>
      <c r="H407">
        <v>5800</v>
      </c>
      <c r="I407">
        <v>0</v>
      </c>
    </row>
    <row r="408" spans="1:9" x14ac:dyDescent="0.3">
      <c r="A408" t="s">
        <v>520</v>
      </c>
      <c r="B408" t="s">
        <v>64</v>
      </c>
      <c r="C408">
        <v>4</v>
      </c>
      <c r="D408">
        <v>51700</v>
      </c>
      <c r="E408" t="s">
        <v>67</v>
      </c>
      <c r="F408">
        <v>72</v>
      </c>
      <c r="G408">
        <v>0.9</v>
      </c>
      <c r="H408">
        <v>0</v>
      </c>
      <c r="I408">
        <v>0</v>
      </c>
    </row>
    <row r="409" spans="1:9" x14ac:dyDescent="0.3">
      <c r="A409" t="s">
        <v>521</v>
      </c>
      <c r="B409" t="s">
        <v>64</v>
      </c>
      <c r="C409">
        <v>7</v>
      </c>
      <c r="D409">
        <v>23000</v>
      </c>
      <c r="E409" t="s">
        <v>68</v>
      </c>
      <c r="F409">
        <v>20</v>
      </c>
      <c r="G409">
        <v>7.2</v>
      </c>
      <c r="H409">
        <v>6000</v>
      </c>
      <c r="I409">
        <v>0</v>
      </c>
    </row>
    <row r="410" spans="1:9" x14ac:dyDescent="0.3">
      <c r="A410" t="s">
        <v>522</v>
      </c>
      <c r="B410" t="s">
        <v>65</v>
      </c>
      <c r="C410">
        <v>11</v>
      </c>
      <c r="D410">
        <v>27900</v>
      </c>
      <c r="E410" t="s">
        <v>69</v>
      </c>
      <c r="F410">
        <v>57</v>
      </c>
      <c r="G410">
        <v>13.6</v>
      </c>
      <c r="H410">
        <v>8700</v>
      </c>
      <c r="I410">
        <v>0</v>
      </c>
    </row>
    <row r="411" spans="1:9" x14ac:dyDescent="0.3">
      <c r="A411" t="s">
        <v>523</v>
      </c>
      <c r="B411" t="s">
        <v>62</v>
      </c>
      <c r="C411">
        <v>5</v>
      </c>
      <c r="D411">
        <v>80600</v>
      </c>
      <c r="E411" t="s">
        <v>69</v>
      </c>
      <c r="F411">
        <v>50</v>
      </c>
      <c r="G411">
        <v>9.1999999999999993</v>
      </c>
      <c r="H411">
        <v>7600</v>
      </c>
      <c r="I411">
        <v>0</v>
      </c>
    </row>
    <row r="412" spans="1:9" x14ac:dyDescent="0.3">
      <c r="A412" t="s">
        <v>524</v>
      </c>
      <c r="B412" t="s">
        <v>513</v>
      </c>
      <c r="C412">
        <v>5</v>
      </c>
      <c r="D412">
        <v>29200</v>
      </c>
      <c r="E412" t="s">
        <v>68</v>
      </c>
      <c r="F412">
        <v>25</v>
      </c>
      <c r="G412">
        <v>11.5</v>
      </c>
      <c r="H412">
        <v>2900</v>
      </c>
      <c r="I412">
        <v>0</v>
      </c>
    </row>
    <row r="413" spans="1:9" x14ac:dyDescent="0.3">
      <c r="A413" t="s">
        <v>525</v>
      </c>
      <c r="B413" t="s">
        <v>513</v>
      </c>
      <c r="C413">
        <v>4</v>
      </c>
      <c r="D413">
        <v>17800</v>
      </c>
      <c r="E413" t="s">
        <v>68</v>
      </c>
      <c r="F413">
        <v>47</v>
      </c>
      <c r="G413">
        <v>5.0999999999999996</v>
      </c>
      <c r="H413">
        <v>5000</v>
      </c>
      <c r="I413">
        <v>0</v>
      </c>
    </row>
    <row r="414" spans="1:9" x14ac:dyDescent="0.3">
      <c r="A414" t="s">
        <v>526</v>
      </c>
      <c r="B414" t="s">
        <v>513</v>
      </c>
      <c r="C414">
        <v>6</v>
      </c>
      <c r="D414">
        <v>70200</v>
      </c>
      <c r="E414" t="s">
        <v>69</v>
      </c>
      <c r="F414">
        <v>50</v>
      </c>
      <c r="G414">
        <v>3.2</v>
      </c>
      <c r="H414">
        <v>13400</v>
      </c>
      <c r="I414">
        <v>0</v>
      </c>
    </row>
    <row r="415" spans="1:9" x14ac:dyDescent="0.3">
      <c r="A415" t="s">
        <v>527</v>
      </c>
      <c r="B415" t="s">
        <v>513</v>
      </c>
      <c r="C415">
        <v>4</v>
      </c>
      <c r="D415">
        <v>26900</v>
      </c>
      <c r="E415" t="s">
        <v>66</v>
      </c>
      <c r="F415">
        <v>31</v>
      </c>
      <c r="G415">
        <v>4.3</v>
      </c>
      <c r="H415">
        <v>8000</v>
      </c>
      <c r="I415">
        <v>0</v>
      </c>
    </row>
    <row r="416" spans="1:9" x14ac:dyDescent="0.3">
      <c r="A416" t="s">
        <v>528</v>
      </c>
      <c r="B416" t="s">
        <v>62</v>
      </c>
      <c r="C416">
        <v>4</v>
      </c>
      <c r="D416">
        <v>31200</v>
      </c>
      <c r="E416" t="s">
        <v>69</v>
      </c>
      <c r="F416">
        <v>10</v>
      </c>
      <c r="G416">
        <v>2.2999999999999998</v>
      </c>
      <c r="H416">
        <v>10500</v>
      </c>
      <c r="I416">
        <v>0</v>
      </c>
    </row>
    <row r="417" spans="1:9" x14ac:dyDescent="0.3">
      <c r="A417" t="s">
        <v>529</v>
      </c>
      <c r="B417" t="s">
        <v>65</v>
      </c>
      <c r="C417">
        <v>8</v>
      </c>
      <c r="D417">
        <v>60100</v>
      </c>
      <c r="E417" t="s">
        <v>66</v>
      </c>
      <c r="F417">
        <v>22</v>
      </c>
      <c r="G417">
        <v>8.6999999999999993</v>
      </c>
      <c r="H417">
        <v>1800</v>
      </c>
      <c r="I417">
        <v>0</v>
      </c>
    </row>
    <row r="418" spans="1:9" x14ac:dyDescent="0.3">
      <c r="A418" t="s">
        <v>530</v>
      </c>
      <c r="B418" t="s">
        <v>62</v>
      </c>
      <c r="C418">
        <v>7</v>
      </c>
      <c r="D418">
        <v>17000</v>
      </c>
      <c r="E418" t="s">
        <v>66</v>
      </c>
      <c r="F418">
        <v>31</v>
      </c>
      <c r="G418">
        <v>4</v>
      </c>
      <c r="H418">
        <v>10000</v>
      </c>
      <c r="I418">
        <v>0</v>
      </c>
    </row>
    <row r="419" spans="1:9" x14ac:dyDescent="0.3">
      <c r="A419" t="s">
        <v>531</v>
      </c>
      <c r="B419" t="s">
        <v>64</v>
      </c>
      <c r="C419">
        <v>6</v>
      </c>
      <c r="D419">
        <v>60400</v>
      </c>
      <c r="E419" t="s">
        <v>66</v>
      </c>
      <c r="F419">
        <v>68</v>
      </c>
      <c r="G419">
        <v>6.5</v>
      </c>
      <c r="H419">
        <v>1800</v>
      </c>
      <c r="I419">
        <v>0</v>
      </c>
    </row>
    <row r="420" spans="1:9" x14ac:dyDescent="0.3">
      <c r="A420" t="s">
        <v>532</v>
      </c>
      <c r="B420" t="s">
        <v>65</v>
      </c>
      <c r="C420">
        <v>6</v>
      </c>
      <c r="D420">
        <v>81500</v>
      </c>
      <c r="E420" t="s">
        <v>67</v>
      </c>
      <c r="F420">
        <v>68</v>
      </c>
      <c r="G420">
        <v>6.3</v>
      </c>
      <c r="H420">
        <v>3000</v>
      </c>
      <c r="I420">
        <v>0</v>
      </c>
    </row>
    <row r="421" spans="1:9" x14ac:dyDescent="0.3">
      <c r="A421" t="s">
        <v>533</v>
      </c>
      <c r="B421" t="s">
        <v>513</v>
      </c>
      <c r="C421">
        <v>5</v>
      </c>
      <c r="D421">
        <v>67400</v>
      </c>
      <c r="E421" t="s">
        <v>68</v>
      </c>
      <c r="F421">
        <v>34</v>
      </c>
      <c r="G421">
        <v>1.9</v>
      </c>
      <c r="H421">
        <v>400</v>
      </c>
      <c r="I421">
        <v>0</v>
      </c>
    </row>
    <row r="422" spans="1:9" x14ac:dyDescent="0.3">
      <c r="A422" t="s">
        <v>534</v>
      </c>
      <c r="B422" t="s">
        <v>513</v>
      </c>
      <c r="C422">
        <v>5</v>
      </c>
      <c r="D422">
        <v>35800</v>
      </c>
      <c r="E422" t="s">
        <v>69</v>
      </c>
      <c r="F422">
        <v>56</v>
      </c>
      <c r="G422">
        <v>5.9</v>
      </c>
      <c r="H422">
        <v>10100</v>
      </c>
      <c r="I422">
        <v>0</v>
      </c>
    </row>
    <row r="423" spans="1:9" x14ac:dyDescent="0.3">
      <c r="A423" t="s">
        <v>535</v>
      </c>
      <c r="B423" t="s">
        <v>62</v>
      </c>
      <c r="C423">
        <v>7</v>
      </c>
      <c r="D423">
        <v>118500</v>
      </c>
      <c r="E423" t="s">
        <v>69</v>
      </c>
      <c r="F423">
        <v>46</v>
      </c>
      <c r="G423">
        <v>3.5</v>
      </c>
      <c r="H423">
        <v>6500</v>
      </c>
      <c r="I423">
        <v>0</v>
      </c>
    </row>
    <row r="424" spans="1:9" x14ac:dyDescent="0.3">
      <c r="A424" t="s">
        <v>536</v>
      </c>
      <c r="B424" t="s">
        <v>65</v>
      </c>
      <c r="C424">
        <v>7</v>
      </c>
      <c r="D424">
        <v>78300</v>
      </c>
      <c r="E424" t="s">
        <v>69</v>
      </c>
      <c r="F424">
        <v>59</v>
      </c>
      <c r="G424">
        <v>1.5</v>
      </c>
      <c r="H424">
        <v>400</v>
      </c>
      <c r="I424">
        <v>0</v>
      </c>
    </row>
    <row r="425" spans="1:9" x14ac:dyDescent="0.3">
      <c r="A425" t="s">
        <v>537</v>
      </c>
      <c r="B425" t="s">
        <v>62</v>
      </c>
      <c r="C425">
        <v>4</v>
      </c>
      <c r="D425">
        <v>42300</v>
      </c>
      <c r="E425" t="s">
        <v>68</v>
      </c>
      <c r="F425">
        <v>40</v>
      </c>
      <c r="G425">
        <v>3.5</v>
      </c>
      <c r="H425">
        <v>8900</v>
      </c>
      <c r="I425">
        <v>0</v>
      </c>
    </row>
    <row r="426" spans="1:9" x14ac:dyDescent="0.3">
      <c r="A426" t="s">
        <v>538</v>
      </c>
      <c r="B426" t="s">
        <v>65</v>
      </c>
      <c r="C426">
        <v>6</v>
      </c>
      <c r="D426">
        <v>14800</v>
      </c>
      <c r="E426" t="s">
        <v>68</v>
      </c>
      <c r="F426">
        <v>61</v>
      </c>
      <c r="G426">
        <v>5.8</v>
      </c>
      <c r="H426">
        <v>3400</v>
      </c>
      <c r="I426">
        <v>0</v>
      </c>
    </row>
    <row r="427" spans="1:9" x14ac:dyDescent="0.3">
      <c r="A427" t="s">
        <v>539</v>
      </c>
      <c r="B427" t="s">
        <v>64</v>
      </c>
      <c r="C427">
        <v>3</v>
      </c>
      <c r="D427">
        <v>54700</v>
      </c>
      <c r="E427" t="s">
        <v>69</v>
      </c>
      <c r="F427">
        <v>11</v>
      </c>
      <c r="G427">
        <v>3.2</v>
      </c>
      <c r="H427">
        <v>2100</v>
      </c>
      <c r="I427">
        <v>0</v>
      </c>
    </row>
    <row r="428" spans="1:9" x14ac:dyDescent="0.3">
      <c r="A428" t="s">
        <v>540</v>
      </c>
      <c r="B428" t="s">
        <v>65</v>
      </c>
      <c r="C428">
        <v>7</v>
      </c>
      <c r="D428">
        <v>32500</v>
      </c>
      <c r="E428" t="s">
        <v>67</v>
      </c>
      <c r="F428">
        <v>64</v>
      </c>
      <c r="G428">
        <v>4.3</v>
      </c>
      <c r="H428">
        <v>9000</v>
      </c>
      <c r="I428">
        <v>0</v>
      </c>
    </row>
    <row r="429" spans="1:9" x14ac:dyDescent="0.3">
      <c r="A429" t="s">
        <v>541</v>
      </c>
      <c r="B429" t="s">
        <v>513</v>
      </c>
      <c r="C429">
        <v>9</v>
      </c>
      <c r="D429">
        <v>113200</v>
      </c>
      <c r="E429" t="s">
        <v>67</v>
      </c>
      <c r="F429">
        <v>117</v>
      </c>
      <c r="G429">
        <v>14</v>
      </c>
      <c r="H429">
        <v>13900</v>
      </c>
      <c r="I429">
        <v>0</v>
      </c>
    </row>
    <row r="430" spans="1:9" x14ac:dyDescent="0.3">
      <c r="A430" t="s">
        <v>542</v>
      </c>
      <c r="B430" t="s">
        <v>65</v>
      </c>
      <c r="C430">
        <v>4</v>
      </c>
      <c r="D430">
        <v>61500</v>
      </c>
      <c r="E430" t="s">
        <v>66</v>
      </c>
      <c r="F430">
        <v>56</v>
      </c>
      <c r="G430">
        <v>6.7</v>
      </c>
      <c r="H430">
        <v>9300</v>
      </c>
      <c r="I430">
        <v>0</v>
      </c>
    </row>
    <row r="431" spans="1:9" x14ac:dyDescent="0.3">
      <c r="A431" t="s">
        <v>543</v>
      </c>
      <c r="B431" t="s">
        <v>65</v>
      </c>
      <c r="C431">
        <v>2</v>
      </c>
      <c r="D431">
        <v>12300</v>
      </c>
      <c r="E431" t="s">
        <v>67</v>
      </c>
      <c r="F431">
        <v>56</v>
      </c>
      <c r="G431">
        <v>11.3</v>
      </c>
      <c r="H431">
        <v>6100</v>
      </c>
      <c r="I431">
        <v>0</v>
      </c>
    </row>
    <row r="432" spans="1:9" x14ac:dyDescent="0.3">
      <c r="A432" t="s">
        <v>544</v>
      </c>
      <c r="B432" t="s">
        <v>65</v>
      </c>
      <c r="C432">
        <v>7</v>
      </c>
      <c r="D432">
        <v>62300</v>
      </c>
      <c r="E432" t="s">
        <v>67</v>
      </c>
      <c r="F432">
        <v>78</v>
      </c>
      <c r="G432">
        <v>5.3</v>
      </c>
      <c r="H432">
        <v>8900</v>
      </c>
      <c r="I432">
        <v>0</v>
      </c>
    </row>
    <row r="433" spans="1:9" x14ac:dyDescent="0.3">
      <c r="A433" t="s">
        <v>545</v>
      </c>
      <c r="B433" t="s">
        <v>64</v>
      </c>
      <c r="C433">
        <v>5</v>
      </c>
      <c r="D433">
        <v>21500</v>
      </c>
      <c r="E433" t="s">
        <v>67</v>
      </c>
      <c r="F433">
        <v>62</v>
      </c>
      <c r="G433">
        <v>9.3000000000000007</v>
      </c>
      <c r="H433">
        <v>6800</v>
      </c>
      <c r="I433">
        <v>0</v>
      </c>
    </row>
    <row r="434" spans="1:9" x14ac:dyDescent="0.3">
      <c r="A434" t="s">
        <v>546</v>
      </c>
      <c r="B434" t="s">
        <v>64</v>
      </c>
      <c r="C434">
        <v>4</v>
      </c>
      <c r="D434">
        <v>32000</v>
      </c>
      <c r="E434" t="s">
        <v>69</v>
      </c>
      <c r="F434">
        <v>25</v>
      </c>
      <c r="G434">
        <v>11.5</v>
      </c>
      <c r="H434">
        <v>3600</v>
      </c>
      <c r="I434">
        <v>0</v>
      </c>
    </row>
    <row r="435" spans="1:9" x14ac:dyDescent="0.3">
      <c r="A435" t="s">
        <v>547</v>
      </c>
      <c r="B435" t="s">
        <v>65</v>
      </c>
      <c r="C435">
        <v>3</v>
      </c>
      <c r="D435">
        <v>29200</v>
      </c>
      <c r="E435" t="s">
        <v>69</v>
      </c>
      <c r="F435">
        <v>45</v>
      </c>
      <c r="G435">
        <v>9.6999999999999993</v>
      </c>
      <c r="H435">
        <v>6800</v>
      </c>
      <c r="I435">
        <v>0</v>
      </c>
    </row>
    <row r="436" spans="1:9" x14ac:dyDescent="0.3">
      <c r="A436" t="s">
        <v>548</v>
      </c>
      <c r="B436" t="s">
        <v>62</v>
      </c>
      <c r="C436">
        <v>2</v>
      </c>
      <c r="D436">
        <v>73500</v>
      </c>
      <c r="E436" t="s">
        <v>66</v>
      </c>
      <c r="F436">
        <v>20</v>
      </c>
      <c r="G436">
        <v>7.3</v>
      </c>
      <c r="H436">
        <v>9100</v>
      </c>
      <c r="I436">
        <v>0</v>
      </c>
    </row>
    <row r="437" spans="1:9" x14ac:dyDescent="0.3">
      <c r="A437" t="s">
        <v>549</v>
      </c>
      <c r="B437" t="s">
        <v>65</v>
      </c>
      <c r="C437">
        <v>7</v>
      </c>
      <c r="D437">
        <v>71500</v>
      </c>
      <c r="E437" t="s">
        <v>67</v>
      </c>
      <c r="F437">
        <v>59</v>
      </c>
      <c r="G437">
        <v>11.6</v>
      </c>
      <c r="H437">
        <v>13100</v>
      </c>
      <c r="I437">
        <v>0</v>
      </c>
    </row>
    <row r="438" spans="1:9" x14ac:dyDescent="0.3">
      <c r="A438" t="s">
        <v>550</v>
      </c>
      <c r="B438" t="s">
        <v>64</v>
      </c>
      <c r="C438">
        <v>8</v>
      </c>
      <c r="D438">
        <v>55900</v>
      </c>
      <c r="E438" t="s">
        <v>66</v>
      </c>
      <c r="F438">
        <v>58</v>
      </c>
      <c r="G438">
        <v>8.1</v>
      </c>
      <c r="H438">
        <v>11200</v>
      </c>
      <c r="I438">
        <v>0</v>
      </c>
    </row>
    <row r="439" spans="1:9" x14ac:dyDescent="0.3">
      <c r="A439" t="s">
        <v>551</v>
      </c>
      <c r="B439" t="s">
        <v>62</v>
      </c>
      <c r="C439">
        <v>6</v>
      </c>
      <c r="D439">
        <v>34300</v>
      </c>
      <c r="E439" t="s">
        <v>66</v>
      </c>
      <c r="F439">
        <v>24</v>
      </c>
      <c r="G439">
        <v>3</v>
      </c>
      <c r="H439">
        <v>1300</v>
      </c>
      <c r="I439">
        <v>0</v>
      </c>
    </row>
    <row r="440" spans="1:9" x14ac:dyDescent="0.3">
      <c r="A440" t="s">
        <v>552</v>
      </c>
      <c r="B440" t="s">
        <v>513</v>
      </c>
      <c r="C440">
        <v>5</v>
      </c>
      <c r="D440">
        <v>45500</v>
      </c>
      <c r="E440" t="s">
        <v>66</v>
      </c>
      <c r="F440">
        <v>17</v>
      </c>
      <c r="G440">
        <v>13.4</v>
      </c>
      <c r="H440">
        <v>0</v>
      </c>
      <c r="I440">
        <v>0</v>
      </c>
    </row>
    <row r="441" spans="1:9" x14ac:dyDescent="0.3">
      <c r="A441" t="s">
        <v>553</v>
      </c>
      <c r="B441" t="s">
        <v>62</v>
      </c>
      <c r="C441">
        <v>8</v>
      </c>
      <c r="D441">
        <v>61900</v>
      </c>
      <c r="E441" t="s">
        <v>66</v>
      </c>
      <c r="F441">
        <v>46</v>
      </c>
      <c r="G441">
        <v>9.8000000000000007</v>
      </c>
      <c r="H441">
        <v>8400</v>
      </c>
      <c r="I441">
        <v>0</v>
      </c>
    </row>
    <row r="442" spans="1:9" x14ac:dyDescent="0.3">
      <c r="A442" t="s">
        <v>554</v>
      </c>
      <c r="B442" t="s">
        <v>62</v>
      </c>
      <c r="C442">
        <v>5</v>
      </c>
      <c r="D442">
        <v>35000</v>
      </c>
      <c r="E442" t="s">
        <v>69</v>
      </c>
      <c r="F442">
        <v>48</v>
      </c>
      <c r="G442">
        <v>3.8</v>
      </c>
      <c r="H442">
        <v>1400</v>
      </c>
      <c r="I442">
        <v>0</v>
      </c>
    </row>
    <row r="443" spans="1:9" x14ac:dyDescent="0.3">
      <c r="A443" t="s">
        <v>555</v>
      </c>
      <c r="B443" t="s">
        <v>65</v>
      </c>
      <c r="C443">
        <v>7</v>
      </c>
      <c r="D443">
        <v>105500</v>
      </c>
      <c r="E443" t="s">
        <v>68</v>
      </c>
      <c r="F443">
        <v>53</v>
      </c>
      <c r="G443">
        <v>10.5</v>
      </c>
      <c r="H443">
        <v>5000</v>
      </c>
      <c r="I443">
        <v>0</v>
      </c>
    </row>
    <row r="444" spans="1:9" x14ac:dyDescent="0.3">
      <c r="A444" t="s">
        <v>556</v>
      </c>
      <c r="B444" t="s">
        <v>62</v>
      </c>
      <c r="C444">
        <v>3</v>
      </c>
      <c r="D444">
        <v>22900</v>
      </c>
      <c r="E444" t="s">
        <v>66</v>
      </c>
      <c r="F444">
        <v>69</v>
      </c>
      <c r="G444">
        <v>8</v>
      </c>
      <c r="H444">
        <v>3200</v>
      </c>
      <c r="I444">
        <v>0</v>
      </c>
    </row>
    <row r="445" spans="1:9" x14ac:dyDescent="0.3">
      <c r="A445" t="s">
        <v>557</v>
      </c>
      <c r="B445" t="s">
        <v>65</v>
      </c>
      <c r="C445">
        <v>5</v>
      </c>
      <c r="D445">
        <v>19300</v>
      </c>
      <c r="E445" t="s">
        <v>67</v>
      </c>
      <c r="F445">
        <v>103</v>
      </c>
      <c r="G445">
        <v>5.3</v>
      </c>
      <c r="H445">
        <v>11600</v>
      </c>
      <c r="I445">
        <v>0</v>
      </c>
    </row>
    <row r="446" spans="1:9" x14ac:dyDescent="0.3">
      <c r="A446" t="s">
        <v>558</v>
      </c>
      <c r="B446" t="s">
        <v>65</v>
      </c>
      <c r="C446">
        <v>4</v>
      </c>
      <c r="D446">
        <v>23900</v>
      </c>
      <c r="E446" t="s">
        <v>67</v>
      </c>
      <c r="F446">
        <v>93</v>
      </c>
      <c r="G446">
        <v>13.5</v>
      </c>
      <c r="H446">
        <v>6200</v>
      </c>
      <c r="I446">
        <v>0</v>
      </c>
    </row>
    <row r="447" spans="1:9" x14ac:dyDescent="0.3">
      <c r="A447" t="s">
        <v>559</v>
      </c>
      <c r="B447" t="s">
        <v>65</v>
      </c>
      <c r="C447">
        <v>3</v>
      </c>
      <c r="D447">
        <v>39700</v>
      </c>
      <c r="E447" t="s">
        <v>67</v>
      </c>
      <c r="F447">
        <v>81</v>
      </c>
      <c r="G447">
        <v>2.5</v>
      </c>
      <c r="H447">
        <v>0</v>
      </c>
      <c r="I447">
        <v>0</v>
      </c>
    </row>
    <row r="448" spans="1:9" x14ac:dyDescent="0.3">
      <c r="A448" t="s">
        <v>560</v>
      </c>
      <c r="B448" t="s">
        <v>513</v>
      </c>
      <c r="C448">
        <v>2</v>
      </c>
      <c r="D448">
        <v>35400</v>
      </c>
      <c r="E448" t="s">
        <v>68</v>
      </c>
      <c r="F448">
        <v>59</v>
      </c>
      <c r="G448">
        <v>12.4</v>
      </c>
      <c r="H448">
        <v>9500</v>
      </c>
      <c r="I448">
        <v>0</v>
      </c>
    </row>
    <row r="449" spans="1:9" x14ac:dyDescent="0.3">
      <c r="A449" t="s">
        <v>561</v>
      </c>
      <c r="B449" t="s">
        <v>513</v>
      </c>
      <c r="C449">
        <v>4</v>
      </c>
      <c r="D449">
        <v>24900</v>
      </c>
      <c r="E449" t="s">
        <v>67</v>
      </c>
      <c r="F449">
        <v>111</v>
      </c>
      <c r="G449">
        <v>7.5</v>
      </c>
      <c r="H449">
        <v>3300</v>
      </c>
      <c r="I449">
        <v>0</v>
      </c>
    </row>
    <row r="450" spans="1:9" x14ac:dyDescent="0.3">
      <c r="A450" t="s">
        <v>562</v>
      </c>
      <c r="B450" t="s">
        <v>64</v>
      </c>
      <c r="C450">
        <v>5</v>
      </c>
      <c r="D450">
        <v>25400</v>
      </c>
      <c r="E450" t="s">
        <v>67</v>
      </c>
      <c r="F450">
        <v>116</v>
      </c>
      <c r="G450">
        <v>6.4</v>
      </c>
      <c r="H450">
        <v>3800</v>
      </c>
      <c r="I450">
        <v>0</v>
      </c>
    </row>
    <row r="451" spans="1:9" x14ac:dyDescent="0.3">
      <c r="A451" t="s">
        <v>563</v>
      </c>
      <c r="B451" t="s">
        <v>513</v>
      </c>
      <c r="C451">
        <v>4</v>
      </c>
      <c r="D451">
        <v>31700</v>
      </c>
      <c r="E451" t="s">
        <v>69</v>
      </c>
      <c r="F451">
        <v>37</v>
      </c>
      <c r="G451">
        <v>11.6</v>
      </c>
      <c r="H451">
        <v>1100</v>
      </c>
      <c r="I451">
        <v>0</v>
      </c>
    </row>
    <row r="452" spans="1:9" x14ac:dyDescent="0.3">
      <c r="A452" t="s">
        <v>564</v>
      </c>
      <c r="B452" t="s">
        <v>64</v>
      </c>
      <c r="C452">
        <v>10</v>
      </c>
      <c r="D452">
        <v>39800</v>
      </c>
      <c r="E452" t="s">
        <v>68</v>
      </c>
      <c r="F452">
        <v>50</v>
      </c>
      <c r="G452">
        <v>5.7</v>
      </c>
      <c r="H452">
        <v>6300</v>
      </c>
      <c r="I452">
        <v>0</v>
      </c>
    </row>
    <row r="453" spans="1:9" x14ac:dyDescent="0.3">
      <c r="A453" t="s">
        <v>565</v>
      </c>
      <c r="B453" t="s">
        <v>513</v>
      </c>
      <c r="C453">
        <v>5</v>
      </c>
      <c r="D453">
        <v>16700</v>
      </c>
      <c r="E453" t="s">
        <v>68</v>
      </c>
      <c r="F453">
        <v>50</v>
      </c>
      <c r="G453">
        <v>1</v>
      </c>
      <c r="H453">
        <v>5100</v>
      </c>
      <c r="I453">
        <v>0</v>
      </c>
    </row>
    <row r="454" spans="1:9" x14ac:dyDescent="0.3">
      <c r="A454" t="s">
        <v>566</v>
      </c>
      <c r="B454" t="s">
        <v>62</v>
      </c>
      <c r="C454">
        <v>5</v>
      </c>
      <c r="D454">
        <v>33800</v>
      </c>
      <c r="E454" t="s">
        <v>69</v>
      </c>
      <c r="F454">
        <v>34</v>
      </c>
      <c r="G454">
        <v>0.4</v>
      </c>
      <c r="H454">
        <v>5300</v>
      </c>
      <c r="I454">
        <v>0</v>
      </c>
    </row>
    <row r="455" spans="1:9" x14ac:dyDescent="0.3">
      <c r="A455" t="s">
        <v>567</v>
      </c>
      <c r="B455" t="s">
        <v>513</v>
      </c>
      <c r="C455">
        <v>9</v>
      </c>
      <c r="D455">
        <v>21500</v>
      </c>
      <c r="E455" t="s">
        <v>67</v>
      </c>
      <c r="F455">
        <v>79</v>
      </c>
      <c r="G455">
        <v>3</v>
      </c>
      <c r="H455">
        <v>13900</v>
      </c>
      <c r="I455">
        <v>0</v>
      </c>
    </row>
    <row r="456" spans="1:9" x14ac:dyDescent="0.3">
      <c r="A456" t="s">
        <v>568</v>
      </c>
      <c r="B456" t="s">
        <v>62</v>
      </c>
      <c r="C456">
        <v>4</v>
      </c>
      <c r="D456">
        <v>36500</v>
      </c>
      <c r="E456" t="s">
        <v>68</v>
      </c>
      <c r="F456">
        <v>61</v>
      </c>
      <c r="G456">
        <v>4.0999999999999996</v>
      </c>
      <c r="H456">
        <v>4200</v>
      </c>
      <c r="I456">
        <v>0</v>
      </c>
    </row>
    <row r="457" spans="1:9" x14ac:dyDescent="0.3">
      <c r="A457" t="s">
        <v>569</v>
      </c>
      <c r="B457" t="s">
        <v>513</v>
      </c>
      <c r="C457">
        <v>2</v>
      </c>
      <c r="D457">
        <v>66400</v>
      </c>
      <c r="E457" t="s">
        <v>66</v>
      </c>
      <c r="F457">
        <v>62</v>
      </c>
      <c r="G457">
        <v>11.7</v>
      </c>
      <c r="H457">
        <v>12200</v>
      </c>
      <c r="I457">
        <v>0</v>
      </c>
    </row>
    <row r="458" spans="1:9" x14ac:dyDescent="0.3">
      <c r="A458" t="s">
        <v>570</v>
      </c>
      <c r="B458" t="s">
        <v>64</v>
      </c>
      <c r="C458">
        <v>7</v>
      </c>
      <c r="D458">
        <v>27000</v>
      </c>
      <c r="E458" t="s">
        <v>66</v>
      </c>
      <c r="F458">
        <v>16</v>
      </c>
      <c r="G458">
        <v>1</v>
      </c>
      <c r="H458">
        <v>0</v>
      </c>
      <c r="I458">
        <v>0</v>
      </c>
    </row>
    <row r="459" spans="1:9" x14ac:dyDescent="0.3">
      <c r="A459" t="s">
        <v>571</v>
      </c>
      <c r="B459" t="s">
        <v>65</v>
      </c>
      <c r="C459">
        <v>5</v>
      </c>
      <c r="D459">
        <v>41800</v>
      </c>
      <c r="E459" t="s">
        <v>69</v>
      </c>
      <c r="F459">
        <v>57</v>
      </c>
      <c r="G459">
        <v>1.2</v>
      </c>
      <c r="H459">
        <v>9400</v>
      </c>
      <c r="I459">
        <v>0</v>
      </c>
    </row>
    <row r="460" spans="1:9" x14ac:dyDescent="0.3">
      <c r="A460" t="s">
        <v>572</v>
      </c>
      <c r="B460" t="s">
        <v>65</v>
      </c>
      <c r="C460">
        <v>5</v>
      </c>
      <c r="D460">
        <v>23700</v>
      </c>
      <c r="E460" t="s">
        <v>69</v>
      </c>
      <c r="F460">
        <v>31</v>
      </c>
      <c r="G460">
        <v>4.3</v>
      </c>
      <c r="H460">
        <v>4100</v>
      </c>
      <c r="I460">
        <v>0</v>
      </c>
    </row>
    <row r="461" spans="1:9" x14ac:dyDescent="0.3">
      <c r="A461" t="s">
        <v>573</v>
      </c>
      <c r="B461" t="s">
        <v>65</v>
      </c>
      <c r="C461">
        <v>6</v>
      </c>
      <c r="D461">
        <v>63600</v>
      </c>
      <c r="E461" t="s">
        <v>66</v>
      </c>
      <c r="F461">
        <v>30</v>
      </c>
      <c r="G461">
        <v>0.4</v>
      </c>
      <c r="H461">
        <v>11000</v>
      </c>
      <c r="I461">
        <v>0</v>
      </c>
    </row>
    <row r="462" spans="1:9" x14ac:dyDescent="0.3">
      <c r="A462" t="s">
        <v>574</v>
      </c>
      <c r="B462" t="s">
        <v>62</v>
      </c>
      <c r="C462">
        <v>5</v>
      </c>
      <c r="D462">
        <v>48200</v>
      </c>
      <c r="E462" t="s">
        <v>69</v>
      </c>
      <c r="F462">
        <v>18</v>
      </c>
      <c r="G462">
        <v>9.1</v>
      </c>
      <c r="H462">
        <v>0</v>
      </c>
      <c r="I462">
        <v>0</v>
      </c>
    </row>
    <row r="463" spans="1:9" x14ac:dyDescent="0.3">
      <c r="A463" t="s">
        <v>575</v>
      </c>
      <c r="B463" t="s">
        <v>62</v>
      </c>
      <c r="C463">
        <v>5</v>
      </c>
      <c r="D463">
        <v>35600</v>
      </c>
      <c r="E463" t="s">
        <v>67</v>
      </c>
      <c r="F463">
        <v>75</v>
      </c>
      <c r="G463">
        <v>1</v>
      </c>
      <c r="H463">
        <v>2100</v>
      </c>
      <c r="I463">
        <v>0</v>
      </c>
    </row>
    <row r="464" spans="1:9" x14ac:dyDescent="0.3">
      <c r="A464" t="s">
        <v>576</v>
      </c>
      <c r="B464" t="s">
        <v>513</v>
      </c>
      <c r="C464">
        <v>8</v>
      </c>
      <c r="D464">
        <v>57800</v>
      </c>
      <c r="E464" t="s">
        <v>68</v>
      </c>
      <c r="F464">
        <v>22</v>
      </c>
      <c r="G464">
        <v>9.9</v>
      </c>
      <c r="H464">
        <v>8600</v>
      </c>
      <c r="I464">
        <v>0</v>
      </c>
    </row>
    <row r="465" spans="1:9" x14ac:dyDescent="0.3">
      <c r="A465" t="s">
        <v>577</v>
      </c>
      <c r="B465" t="s">
        <v>64</v>
      </c>
      <c r="C465">
        <v>5</v>
      </c>
      <c r="D465">
        <v>55900</v>
      </c>
      <c r="E465" t="s">
        <v>66</v>
      </c>
      <c r="F465">
        <v>68</v>
      </c>
      <c r="G465">
        <v>12</v>
      </c>
      <c r="H465">
        <v>9000</v>
      </c>
      <c r="I465">
        <v>0</v>
      </c>
    </row>
    <row r="466" spans="1:9" x14ac:dyDescent="0.3">
      <c r="A466" t="s">
        <v>578</v>
      </c>
      <c r="B466" t="s">
        <v>64</v>
      </c>
      <c r="C466">
        <v>7</v>
      </c>
      <c r="D466">
        <v>26700</v>
      </c>
      <c r="E466" t="s">
        <v>68</v>
      </c>
      <c r="F466">
        <v>46</v>
      </c>
      <c r="G466">
        <v>0.4</v>
      </c>
      <c r="H466">
        <v>5900</v>
      </c>
      <c r="I466">
        <v>0</v>
      </c>
    </row>
    <row r="467" spans="1:9" x14ac:dyDescent="0.3">
      <c r="A467" t="s">
        <v>579</v>
      </c>
      <c r="B467" t="s">
        <v>65</v>
      </c>
      <c r="C467">
        <v>9</v>
      </c>
      <c r="D467">
        <v>68100</v>
      </c>
      <c r="E467" t="s">
        <v>67</v>
      </c>
      <c r="F467">
        <v>50</v>
      </c>
      <c r="G467">
        <v>13.7</v>
      </c>
      <c r="H467">
        <v>13600</v>
      </c>
      <c r="I467">
        <v>0</v>
      </c>
    </row>
    <row r="468" spans="1:9" x14ac:dyDescent="0.3">
      <c r="A468" t="s">
        <v>580</v>
      </c>
      <c r="B468" t="s">
        <v>65</v>
      </c>
      <c r="C468">
        <v>2</v>
      </c>
      <c r="D468">
        <v>107700</v>
      </c>
      <c r="E468" t="s">
        <v>68</v>
      </c>
      <c r="F468">
        <v>71</v>
      </c>
      <c r="G468">
        <v>6.4</v>
      </c>
      <c r="H468">
        <v>8400</v>
      </c>
      <c r="I468">
        <v>0</v>
      </c>
    </row>
    <row r="469" spans="1:9" x14ac:dyDescent="0.3">
      <c r="A469" t="s">
        <v>581</v>
      </c>
      <c r="B469" t="s">
        <v>64</v>
      </c>
      <c r="C469">
        <v>3</v>
      </c>
      <c r="D469">
        <v>61400</v>
      </c>
      <c r="E469" t="s">
        <v>69</v>
      </c>
      <c r="F469">
        <v>13</v>
      </c>
      <c r="G469">
        <v>2.2999999999999998</v>
      </c>
      <c r="H469">
        <v>0</v>
      </c>
      <c r="I469">
        <v>0</v>
      </c>
    </row>
    <row r="470" spans="1:9" x14ac:dyDescent="0.3">
      <c r="A470" t="s">
        <v>582</v>
      </c>
      <c r="B470" t="s">
        <v>65</v>
      </c>
      <c r="C470">
        <v>7</v>
      </c>
      <c r="D470">
        <v>33700</v>
      </c>
      <c r="E470" t="s">
        <v>68</v>
      </c>
      <c r="F470">
        <v>48</v>
      </c>
      <c r="G470">
        <v>13.2</v>
      </c>
      <c r="H470">
        <v>4500</v>
      </c>
      <c r="I470">
        <v>0</v>
      </c>
    </row>
    <row r="471" spans="1:9" x14ac:dyDescent="0.3">
      <c r="A471" t="s">
        <v>583</v>
      </c>
      <c r="B471" t="s">
        <v>62</v>
      </c>
      <c r="C471">
        <v>4</v>
      </c>
      <c r="D471">
        <v>89000</v>
      </c>
      <c r="E471" t="s">
        <v>67</v>
      </c>
      <c r="F471">
        <v>55</v>
      </c>
      <c r="G471">
        <v>8.3000000000000007</v>
      </c>
      <c r="H471">
        <v>8500</v>
      </c>
      <c r="I471">
        <v>0</v>
      </c>
    </row>
    <row r="472" spans="1:9" x14ac:dyDescent="0.3">
      <c r="A472" t="s">
        <v>584</v>
      </c>
      <c r="B472" t="s">
        <v>513</v>
      </c>
      <c r="C472">
        <v>3</v>
      </c>
      <c r="D472">
        <v>21600</v>
      </c>
      <c r="E472" t="s">
        <v>69</v>
      </c>
      <c r="F472">
        <v>31</v>
      </c>
      <c r="G472">
        <v>14.6</v>
      </c>
      <c r="H472">
        <v>0</v>
      </c>
      <c r="I472">
        <v>0</v>
      </c>
    </row>
    <row r="473" spans="1:9" x14ac:dyDescent="0.3">
      <c r="A473" t="s">
        <v>585</v>
      </c>
      <c r="B473" t="s">
        <v>65</v>
      </c>
      <c r="C473">
        <v>1</v>
      </c>
      <c r="D473">
        <v>25100</v>
      </c>
      <c r="E473" t="s">
        <v>67</v>
      </c>
      <c r="F473">
        <v>53</v>
      </c>
      <c r="G473">
        <v>7.2</v>
      </c>
      <c r="H473">
        <v>2600</v>
      </c>
      <c r="I473">
        <v>0</v>
      </c>
    </row>
    <row r="474" spans="1:9" x14ac:dyDescent="0.3">
      <c r="A474" t="s">
        <v>586</v>
      </c>
      <c r="B474" t="s">
        <v>513</v>
      </c>
      <c r="C474">
        <v>1</v>
      </c>
      <c r="D474">
        <v>41200</v>
      </c>
      <c r="E474" t="s">
        <v>66</v>
      </c>
      <c r="F474">
        <v>16</v>
      </c>
      <c r="G474">
        <v>4.8</v>
      </c>
      <c r="H474">
        <v>2100</v>
      </c>
      <c r="I474">
        <v>0</v>
      </c>
    </row>
    <row r="475" spans="1:9" x14ac:dyDescent="0.3">
      <c r="A475" t="s">
        <v>587</v>
      </c>
      <c r="B475" t="s">
        <v>513</v>
      </c>
      <c r="C475">
        <v>3</v>
      </c>
      <c r="D475">
        <v>38500</v>
      </c>
      <c r="E475" t="s">
        <v>68</v>
      </c>
      <c r="F475">
        <v>58</v>
      </c>
      <c r="G475">
        <v>9</v>
      </c>
      <c r="H475">
        <v>5500</v>
      </c>
      <c r="I475">
        <v>0</v>
      </c>
    </row>
    <row r="476" spans="1:9" x14ac:dyDescent="0.3">
      <c r="A476" t="s">
        <v>588</v>
      </c>
      <c r="B476" t="s">
        <v>62</v>
      </c>
      <c r="C476">
        <v>4</v>
      </c>
      <c r="D476">
        <v>20400</v>
      </c>
      <c r="E476" t="s">
        <v>66</v>
      </c>
      <c r="F476">
        <v>26</v>
      </c>
      <c r="G476">
        <v>6.8</v>
      </c>
      <c r="H476">
        <v>1800</v>
      </c>
      <c r="I476">
        <v>0</v>
      </c>
    </row>
    <row r="477" spans="1:9" x14ac:dyDescent="0.3">
      <c r="A477" t="s">
        <v>589</v>
      </c>
      <c r="B477" t="s">
        <v>62</v>
      </c>
      <c r="C477">
        <v>8</v>
      </c>
      <c r="D477">
        <v>31900</v>
      </c>
      <c r="E477" t="s">
        <v>67</v>
      </c>
      <c r="F477">
        <v>109</v>
      </c>
      <c r="G477">
        <v>9.1999999999999993</v>
      </c>
      <c r="H477">
        <v>1100</v>
      </c>
      <c r="I477">
        <v>0</v>
      </c>
    </row>
    <row r="478" spans="1:9" x14ac:dyDescent="0.3">
      <c r="A478" t="s">
        <v>590</v>
      </c>
      <c r="B478" t="s">
        <v>513</v>
      </c>
      <c r="C478">
        <v>5</v>
      </c>
      <c r="D478">
        <v>49700</v>
      </c>
      <c r="E478" t="s">
        <v>66</v>
      </c>
      <c r="F478">
        <v>35</v>
      </c>
      <c r="G478">
        <v>6.3</v>
      </c>
      <c r="H478">
        <v>11900</v>
      </c>
      <c r="I478">
        <v>0</v>
      </c>
    </row>
    <row r="479" spans="1:9" x14ac:dyDescent="0.3">
      <c r="A479" t="s">
        <v>591</v>
      </c>
      <c r="B479" t="s">
        <v>513</v>
      </c>
      <c r="C479">
        <v>5</v>
      </c>
      <c r="D479">
        <v>18800</v>
      </c>
      <c r="E479" t="s">
        <v>66</v>
      </c>
      <c r="F479">
        <v>57</v>
      </c>
      <c r="G479">
        <v>8.6999999999999993</v>
      </c>
      <c r="H479">
        <v>2700</v>
      </c>
      <c r="I479">
        <v>0</v>
      </c>
    </row>
    <row r="480" spans="1:9" x14ac:dyDescent="0.3">
      <c r="A480" t="s">
        <v>592</v>
      </c>
      <c r="B480" t="s">
        <v>513</v>
      </c>
      <c r="C480">
        <v>8</v>
      </c>
      <c r="D480">
        <v>34900</v>
      </c>
      <c r="E480" t="s">
        <v>67</v>
      </c>
      <c r="F480">
        <v>81</v>
      </c>
      <c r="G480">
        <v>11.5</v>
      </c>
      <c r="H480">
        <v>9700</v>
      </c>
      <c r="I480">
        <v>0</v>
      </c>
    </row>
    <row r="481" spans="1:9" x14ac:dyDescent="0.3">
      <c r="A481" t="s">
        <v>593</v>
      </c>
      <c r="B481" t="s">
        <v>65</v>
      </c>
      <c r="C481">
        <v>3</v>
      </c>
      <c r="D481">
        <v>34600</v>
      </c>
      <c r="E481" t="s">
        <v>66</v>
      </c>
      <c r="F481">
        <v>34</v>
      </c>
      <c r="G481">
        <v>6.8</v>
      </c>
      <c r="H481">
        <v>3300</v>
      </c>
      <c r="I481">
        <v>0</v>
      </c>
    </row>
    <row r="482" spans="1:9" x14ac:dyDescent="0.3">
      <c r="A482" t="s">
        <v>594</v>
      </c>
      <c r="B482" t="s">
        <v>65</v>
      </c>
      <c r="C482">
        <v>7</v>
      </c>
      <c r="D482">
        <v>29200</v>
      </c>
      <c r="E482" t="s">
        <v>67</v>
      </c>
      <c r="F482">
        <v>85</v>
      </c>
      <c r="G482">
        <v>7.5</v>
      </c>
      <c r="H482">
        <v>7200</v>
      </c>
      <c r="I482">
        <v>0</v>
      </c>
    </row>
    <row r="483" spans="1:9" x14ac:dyDescent="0.3">
      <c r="A483" t="s">
        <v>595</v>
      </c>
      <c r="B483" t="s">
        <v>513</v>
      </c>
      <c r="C483">
        <v>3</v>
      </c>
      <c r="D483">
        <v>24000</v>
      </c>
      <c r="E483" t="s">
        <v>69</v>
      </c>
      <c r="F483">
        <v>27</v>
      </c>
      <c r="G483">
        <v>11.4</v>
      </c>
      <c r="H483">
        <v>0</v>
      </c>
      <c r="I483">
        <v>0</v>
      </c>
    </row>
    <row r="484" spans="1:9" x14ac:dyDescent="0.3">
      <c r="A484" t="s">
        <v>596</v>
      </c>
      <c r="B484" t="s">
        <v>65</v>
      </c>
      <c r="C484">
        <v>3</v>
      </c>
      <c r="D484">
        <v>34700</v>
      </c>
      <c r="E484" t="s">
        <v>68</v>
      </c>
      <c r="F484">
        <v>62</v>
      </c>
      <c r="G484">
        <v>12.4</v>
      </c>
      <c r="H484">
        <v>10000</v>
      </c>
      <c r="I484">
        <v>0</v>
      </c>
    </row>
    <row r="485" spans="1:9" x14ac:dyDescent="0.3">
      <c r="A485" t="s">
        <v>597</v>
      </c>
      <c r="B485" t="s">
        <v>64</v>
      </c>
      <c r="C485">
        <v>9</v>
      </c>
      <c r="D485">
        <v>28800</v>
      </c>
      <c r="E485" t="s">
        <v>69</v>
      </c>
      <c r="F485">
        <v>17</v>
      </c>
      <c r="G485">
        <v>8.1999999999999993</v>
      </c>
      <c r="H485">
        <v>4600</v>
      </c>
      <c r="I485">
        <v>0</v>
      </c>
    </row>
    <row r="486" spans="1:9" x14ac:dyDescent="0.3">
      <c r="A486" t="s">
        <v>598</v>
      </c>
      <c r="B486" t="s">
        <v>65</v>
      </c>
      <c r="C486">
        <v>5</v>
      </c>
      <c r="D486">
        <v>39600</v>
      </c>
      <c r="E486" t="s">
        <v>68</v>
      </c>
      <c r="F486">
        <v>30</v>
      </c>
      <c r="G486">
        <v>9</v>
      </c>
      <c r="H486">
        <v>3400</v>
      </c>
      <c r="I486">
        <v>0</v>
      </c>
    </row>
    <row r="487" spans="1:9" x14ac:dyDescent="0.3">
      <c r="A487" t="s">
        <v>599</v>
      </c>
      <c r="B487" t="s">
        <v>65</v>
      </c>
      <c r="C487">
        <v>3</v>
      </c>
      <c r="D487">
        <v>35600</v>
      </c>
      <c r="E487" t="s">
        <v>68</v>
      </c>
      <c r="F487">
        <v>23</v>
      </c>
      <c r="G487">
        <v>4.5</v>
      </c>
      <c r="H487">
        <v>7400</v>
      </c>
      <c r="I487">
        <v>0</v>
      </c>
    </row>
    <row r="488" spans="1:9" x14ac:dyDescent="0.3">
      <c r="A488" t="s">
        <v>600</v>
      </c>
      <c r="B488" t="s">
        <v>513</v>
      </c>
      <c r="C488">
        <v>6</v>
      </c>
      <c r="D488">
        <v>39500</v>
      </c>
      <c r="E488" t="s">
        <v>68</v>
      </c>
      <c r="F488">
        <v>35</v>
      </c>
      <c r="G488">
        <v>2.9</v>
      </c>
      <c r="H488">
        <v>9900</v>
      </c>
      <c r="I488">
        <v>0</v>
      </c>
    </row>
    <row r="489" spans="1:9" x14ac:dyDescent="0.3">
      <c r="A489" t="s">
        <v>601</v>
      </c>
      <c r="B489" t="s">
        <v>62</v>
      </c>
      <c r="C489">
        <v>9</v>
      </c>
      <c r="D489">
        <v>73900</v>
      </c>
      <c r="E489" t="s">
        <v>69</v>
      </c>
      <c r="F489">
        <v>33</v>
      </c>
      <c r="G489">
        <v>4.5</v>
      </c>
      <c r="H489">
        <v>2600</v>
      </c>
      <c r="I489">
        <v>0</v>
      </c>
    </row>
    <row r="490" spans="1:9" x14ac:dyDescent="0.3">
      <c r="A490" t="s">
        <v>602</v>
      </c>
      <c r="B490" t="s">
        <v>62</v>
      </c>
      <c r="C490">
        <v>3</v>
      </c>
      <c r="D490">
        <v>89600</v>
      </c>
      <c r="E490" t="s">
        <v>69</v>
      </c>
      <c r="F490">
        <v>37</v>
      </c>
      <c r="G490">
        <v>4.5</v>
      </c>
      <c r="H490">
        <v>600</v>
      </c>
      <c r="I490">
        <v>0</v>
      </c>
    </row>
    <row r="491" spans="1:9" x14ac:dyDescent="0.3">
      <c r="A491" t="s">
        <v>603</v>
      </c>
      <c r="B491" t="s">
        <v>64</v>
      </c>
      <c r="C491">
        <v>7</v>
      </c>
      <c r="D491">
        <v>63300</v>
      </c>
      <c r="E491" t="s">
        <v>66</v>
      </c>
      <c r="F491">
        <v>26</v>
      </c>
      <c r="G491">
        <v>0.6</v>
      </c>
      <c r="H491">
        <v>3400</v>
      </c>
      <c r="I491">
        <v>0</v>
      </c>
    </row>
    <row r="492" spans="1:9" x14ac:dyDescent="0.3">
      <c r="A492" t="s">
        <v>604</v>
      </c>
      <c r="B492" t="s">
        <v>62</v>
      </c>
      <c r="C492">
        <v>4</v>
      </c>
      <c r="D492">
        <v>41000</v>
      </c>
      <c r="E492" t="s">
        <v>67</v>
      </c>
      <c r="F492">
        <v>47</v>
      </c>
      <c r="G492">
        <v>6.7</v>
      </c>
      <c r="H492">
        <v>6900</v>
      </c>
      <c r="I492">
        <v>0</v>
      </c>
    </row>
    <row r="493" spans="1:9" x14ac:dyDescent="0.3">
      <c r="A493" t="s">
        <v>605</v>
      </c>
      <c r="B493" t="s">
        <v>62</v>
      </c>
      <c r="C493">
        <v>5</v>
      </c>
      <c r="D493">
        <v>66300</v>
      </c>
      <c r="E493" t="s">
        <v>68</v>
      </c>
      <c r="F493">
        <v>51</v>
      </c>
      <c r="G493">
        <v>4.2</v>
      </c>
      <c r="H493">
        <v>3000</v>
      </c>
      <c r="I493">
        <v>0</v>
      </c>
    </row>
    <row r="494" spans="1:9" x14ac:dyDescent="0.3">
      <c r="A494" t="s">
        <v>606</v>
      </c>
      <c r="B494" t="s">
        <v>65</v>
      </c>
      <c r="C494">
        <v>7</v>
      </c>
      <c r="D494">
        <v>43100</v>
      </c>
      <c r="E494" t="s">
        <v>69</v>
      </c>
      <c r="F494">
        <v>25</v>
      </c>
      <c r="G494">
        <v>4.5999999999999996</v>
      </c>
      <c r="H494">
        <v>12500</v>
      </c>
      <c r="I494">
        <v>0</v>
      </c>
    </row>
    <row r="495" spans="1:9" x14ac:dyDescent="0.3">
      <c r="A495" t="s">
        <v>607</v>
      </c>
      <c r="B495" t="s">
        <v>64</v>
      </c>
      <c r="C495">
        <v>9</v>
      </c>
      <c r="D495">
        <v>81000</v>
      </c>
      <c r="E495" t="s">
        <v>66</v>
      </c>
      <c r="F495">
        <v>21</v>
      </c>
      <c r="G495">
        <v>1</v>
      </c>
      <c r="H495">
        <v>3400</v>
      </c>
      <c r="I495">
        <v>0</v>
      </c>
    </row>
    <row r="496" spans="1:9" x14ac:dyDescent="0.3">
      <c r="A496" t="s">
        <v>608</v>
      </c>
      <c r="B496" t="s">
        <v>65</v>
      </c>
      <c r="C496">
        <v>7</v>
      </c>
      <c r="D496">
        <v>24900</v>
      </c>
      <c r="E496" t="s">
        <v>68</v>
      </c>
      <c r="F496">
        <v>32</v>
      </c>
      <c r="G496">
        <v>6.4</v>
      </c>
      <c r="H496">
        <v>3700</v>
      </c>
      <c r="I496">
        <v>0</v>
      </c>
    </row>
    <row r="497" spans="1:9" x14ac:dyDescent="0.3">
      <c r="A497" t="s">
        <v>609</v>
      </c>
      <c r="B497" t="s">
        <v>65</v>
      </c>
      <c r="C497">
        <v>6</v>
      </c>
      <c r="D497">
        <v>52700</v>
      </c>
      <c r="E497" t="s">
        <v>68</v>
      </c>
      <c r="F497">
        <v>71</v>
      </c>
      <c r="G497">
        <v>1.9</v>
      </c>
      <c r="H497">
        <v>5200</v>
      </c>
      <c r="I497">
        <v>0</v>
      </c>
    </row>
    <row r="498" spans="1:9" x14ac:dyDescent="0.3">
      <c r="A498" t="s">
        <v>610</v>
      </c>
      <c r="B498" t="s">
        <v>64</v>
      </c>
      <c r="C498">
        <v>4</v>
      </c>
      <c r="D498">
        <v>60100</v>
      </c>
      <c r="E498" t="s">
        <v>67</v>
      </c>
      <c r="F498">
        <v>65</v>
      </c>
      <c r="G498">
        <v>8.1</v>
      </c>
      <c r="H498">
        <v>7800</v>
      </c>
      <c r="I498">
        <v>0</v>
      </c>
    </row>
    <row r="499" spans="1:9" x14ac:dyDescent="0.3">
      <c r="A499" t="s">
        <v>611</v>
      </c>
      <c r="B499" t="s">
        <v>64</v>
      </c>
      <c r="C499">
        <v>6</v>
      </c>
      <c r="D499">
        <v>18400</v>
      </c>
      <c r="E499" t="s">
        <v>66</v>
      </c>
      <c r="F499">
        <v>20</v>
      </c>
      <c r="G499">
        <v>2.6</v>
      </c>
      <c r="H499">
        <v>9400</v>
      </c>
      <c r="I499">
        <v>0</v>
      </c>
    </row>
    <row r="500" spans="1:9" x14ac:dyDescent="0.3">
      <c r="A500" t="s">
        <v>612</v>
      </c>
      <c r="B500" t="s">
        <v>65</v>
      </c>
      <c r="C500">
        <v>6</v>
      </c>
      <c r="D500">
        <v>43400</v>
      </c>
      <c r="E500" t="s">
        <v>68</v>
      </c>
      <c r="F500">
        <v>55</v>
      </c>
      <c r="G500">
        <v>11.7</v>
      </c>
      <c r="H500">
        <v>4100</v>
      </c>
      <c r="I500">
        <v>0</v>
      </c>
    </row>
    <row r="501" spans="1:9" x14ac:dyDescent="0.3">
      <c r="A501" t="s">
        <v>613</v>
      </c>
      <c r="B501" t="s">
        <v>64</v>
      </c>
      <c r="C501">
        <v>5</v>
      </c>
      <c r="D501">
        <v>42700</v>
      </c>
      <c r="E501" t="s">
        <v>68</v>
      </c>
      <c r="F501">
        <v>25</v>
      </c>
      <c r="G501">
        <v>0.4</v>
      </c>
      <c r="H501">
        <v>3800</v>
      </c>
      <c r="I501">
        <v>0</v>
      </c>
    </row>
    <row r="502" spans="1:9" x14ac:dyDescent="0.3">
      <c r="A502" t="s">
        <v>614</v>
      </c>
      <c r="B502" t="s">
        <v>65</v>
      </c>
      <c r="C502">
        <v>4</v>
      </c>
      <c r="D502">
        <v>90900</v>
      </c>
      <c r="E502" t="s">
        <v>67</v>
      </c>
      <c r="F502">
        <v>105</v>
      </c>
      <c r="G502">
        <v>5.0999999999999996</v>
      </c>
      <c r="H502">
        <v>3300</v>
      </c>
      <c r="I502">
        <v>0</v>
      </c>
    </row>
    <row r="503" spans="1:9" x14ac:dyDescent="0.3">
      <c r="A503" t="s">
        <v>615</v>
      </c>
      <c r="B503" t="s">
        <v>62</v>
      </c>
      <c r="C503">
        <v>3</v>
      </c>
      <c r="D503">
        <v>18400</v>
      </c>
      <c r="E503" t="s">
        <v>69</v>
      </c>
      <c r="F503">
        <v>29</v>
      </c>
      <c r="G503">
        <v>1.1000000000000001</v>
      </c>
      <c r="H503">
        <v>800</v>
      </c>
      <c r="I503">
        <v>0</v>
      </c>
    </row>
    <row r="504" spans="1:9" x14ac:dyDescent="0.3">
      <c r="A504" t="s">
        <v>616</v>
      </c>
      <c r="B504" t="s">
        <v>64</v>
      </c>
      <c r="C504">
        <v>6</v>
      </c>
      <c r="D504">
        <v>21900</v>
      </c>
      <c r="E504" t="s">
        <v>66</v>
      </c>
      <c r="F504">
        <v>15</v>
      </c>
      <c r="G504">
        <v>7.2</v>
      </c>
      <c r="H504">
        <v>5400</v>
      </c>
      <c r="I504">
        <v>0</v>
      </c>
    </row>
    <row r="505" spans="1:9" x14ac:dyDescent="0.3">
      <c r="A505" t="s">
        <v>617</v>
      </c>
      <c r="B505" t="s">
        <v>513</v>
      </c>
      <c r="C505">
        <v>1</v>
      </c>
      <c r="D505">
        <v>57900</v>
      </c>
      <c r="E505" t="s">
        <v>66</v>
      </c>
      <c r="F505">
        <v>44</v>
      </c>
      <c r="G505">
        <v>7</v>
      </c>
      <c r="H505">
        <v>900</v>
      </c>
      <c r="I505">
        <v>0</v>
      </c>
    </row>
    <row r="506" spans="1:9" x14ac:dyDescent="0.3">
      <c r="A506" t="s">
        <v>618</v>
      </c>
      <c r="B506" t="s">
        <v>513</v>
      </c>
      <c r="C506">
        <v>3</v>
      </c>
      <c r="D506">
        <v>51000</v>
      </c>
      <c r="E506" t="s">
        <v>69</v>
      </c>
      <c r="F506">
        <v>60</v>
      </c>
      <c r="G506">
        <v>6.6</v>
      </c>
      <c r="H506">
        <v>1800</v>
      </c>
      <c r="I506">
        <v>0</v>
      </c>
    </row>
    <row r="507" spans="1:9" x14ac:dyDescent="0.3">
      <c r="A507" t="s">
        <v>619</v>
      </c>
      <c r="B507" t="s">
        <v>65</v>
      </c>
      <c r="C507">
        <v>9</v>
      </c>
      <c r="D507">
        <v>69400</v>
      </c>
      <c r="E507" t="s">
        <v>68</v>
      </c>
      <c r="F507">
        <v>27</v>
      </c>
      <c r="G507">
        <v>5.2</v>
      </c>
      <c r="H507">
        <v>10200</v>
      </c>
      <c r="I507">
        <v>0</v>
      </c>
    </row>
    <row r="508" spans="1:9" x14ac:dyDescent="0.3">
      <c r="A508" t="s">
        <v>620</v>
      </c>
      <c r="B508" t="s">
        <v>62</v>
      </c>
      <c r="C508">
        <v>8</v>
      </c>
      <c r="D508">
        <v>32600</v>
      </c>
      <c r="E508" t="s">
        <v>68</v>
      </c>
      <c r="F508">
        <v>32</v>
      </c>
      <c r="G508">
        <v>0.7</v>
      </c>
      <c r="H508">
        <v>9700</v>
      </c>
      <c r="I508">
        <v>0</v>
      </c>
    </row>
    <row r="509" spans="1:9" x14ac:dyDescent="0.3">
      <c r="A509" t="s">
        <v>621</v>
      </c>
      <c r="B509" t="s">
        <v>65</v>
      </c>
      <c r="C509">
        <v>5</v>
      </c>
      <c r="D509">
        <v>34300</v>
      </c>
      <c r="E509" t="s">
        <v>66</v>
      </c>
      <c r="F509">
        <v>59</v>
      </c>
      <c r="G509">
        <v>5.2</v>
      </c>
      <c r="H509">
        <v>11400</v>
      </c>
      <c r="I509">
        <v>0</v>
      </c>
    </row>
    <row r="510" spans="1:9" x14ac:dyDescent="0.3">
      <c r="A510" t="s">
        <v>622</v>
      </c>
      <c r="B510" t="s">
        <v>513</v>
      </c>
      <c r="C510">
        <v>5</v>
      </c>
      <c r="D510">
        <v>56300</v>
      </c>
      <c r="E510" t="s">
        <v>66</v>
      </c>
      <c r="F510">
        <v>65</v>
      </c>
      <c r="G510">
        <v>14.4</v>
      </c>
      <c r="H510">
        <v>13000</v>
      </c>
      <c r="I510">
        <v>0</v>
      </c>
    </row>
    <row r="511" spans="1:9" x14ac:dyDescent="0.3">
      <c r="A511" t="s">
        <v>623</v>
      </c>
      <c r="B511" t="s">
        <v>513</v>
      </c>
      <c r="C511">
        <v>7</v>
      </c>
      <c r="D511">
        <v>68700</v>
      </c>
      <c r="E511" t="s">
        <v>68</v>
      </c>
      <c r="F511">
        <v>74</v>
      </c>
      <c r="G511">
        <v>7.6</v>
      </c>
      <c r="H511">
        <v>4500</v>
      </c>
      <c r="I511">
        <v>0</v>
      </c>
    </row>
    <row r="512" spans="1:9" x14ac:dyDescent="0.3">
      <c r="A512" t="s">
        <v>624</v>
      </c>
      <c r="B512" t="s">
        <v>64</v>
      </c>
      <c r="C512">
        <v>3</v>
      </c>
      <c r="D512">
        <v>16200</v>
      </c>
      <c r="E512" t="s">
        <v>66</v>
      </c>
      <c r="F512">
        <v>22</v>
      </c>
      <c r="G512">
        <v>9</v>
      </c>
      <c r="H512">
        <v>7700</v>
      </c>
      <c r="I512">
        <v>0</v>
      </c>
    </row>
    <row r="513" spans="1:9" x14ac:dyDescent="0.3">
      <c r="A513" t="s">
        <v>625</v>
      </c>
      <c r="B513" t="s">
        <v>513</v>
      </c>
      <c r="C513">
        <v>8</v>
      </c>
      <c r="D513">
        <v>86500</v>
      </c>
      <c r="E513" t="s">
        <v>67</v>
      </c>
      <c r="F513">
        <v>71</v>
      </c>
      <c r="G513">
        <v>12.5</v>
      </c>
      <c r="H513">
        <v>5700</v>
      </c>
      <c r="I513">
        <v>0</v>
      </c>
    </row>
    <row r="514" spans="1:9" x14ac:dyDescent="0.3">
      <c r="A514" t="s">
        <v>626</v>
      </c>
      <c r="B514" t="s">
        <v>64</v>
      </c>
      <c r="C514">
        <v>10</v>
      </c>
      <c r="D514">
        <v>35100</v>
      </c>
      <c r="E514" t="s">
        <v>66</v>
      </c>
      <c r="F514">
        <v>51</v>
      </c>
      <c r="G514">
        <v>11.7</v>
      </c>
      <c r="H514">
        <v>4900</v>
      </c>
      <c r="I514">
        <v>0</v>
      </c>
    </row>
    <row r="515" spans="1:9" x14ac:dyDescent="0.3">
      <c r="A515" t="s">
        <v>627</v>
      </c>
      <c r="B515" t="s">
        <v>62</v>
      </c>
      <c r="C515">
        <v>2</v>
      </c>
      <c r="D515">
        <v>33200</v>
      </c>
      <c r="E515" t="s">
        <v>67</v>
      </c>
      <c r="F515">
        <v>120</v>
      </c>
      <c r="G515">
        <v>8.6</v>
      </c>
      <c r="H515">
        <v>1400</v>
      </c>
      <c r="I515">
        <v>0</v>
      </c>
    </row>
    <row r="516" spans="1:9" x14ac:dyDescent="0.3">
      <c r="A516" t="s">
        <v>628</v>
      </c>
      <c r="B516" t="s">
        <v>65</v>
      </c>
      <c r="C516">
        <v>4</v>
      </c>
      <c r="D516">
        <v>66400</v>
      </c>
      <c r="E516" t="s">
        <v>67</v>
      </c>
      <c r="F516">
        <v>64</v>
      </c>
      <c r="G516">
        <v>12.1</v>
      </c>
      <c r="H516">
        <v>4500</v>
      </c>
      <c r="I516">
        <v>0</v>
      </c>
    </row>
    <row r="517" spans="1:9" x14ac:dyDescent="0.3">
      <c r="A517" t="s">
        <v>629</v>
      </c>
      <c r="B517" t="s">
        <v>65</v>
      </c>
      <c r="C517">
        <v>7</v>
      </c>
      <c r="D517">
        <v>39900</v>
      </c>
      <c r="E517" t="s">
        <v>68</v>
      </c>
      <c r="F517">
        <v>36</v>
      </c>
      <c r="G517">
        <v>12.3</v>
      </c>
      <c r="H517">
        <v>300</v>
      </c>
      <c r="I517">
        <v>0</v>
      </c>
    </row>
    <row r="518" spans="1:9" x14ac:dyDescent="0.3">
      <c r="A518" t="s">
        <v>630</v>
      </c>
      <c r="B518" t="s">
        <v>64</v>
      </c>
      <c r="C518">
        <v>6</v>
      </c>
      <c r="D518">
        <v>41200</v>
      </c>
      <c r="E518" t="s">
        <v>1146</v>
      </c>
      <c r="F518">
        <v>3</v>
      </c>
      <c r="G518">
        <v>4.5999999999999996</v>
      </c>
      <c r="H518">
        <v>2700</v>
      </c>
      <c r="I518">
        <v>1</v>
      </c>
    </row>
    <row r="519" spans="1:9" x14ac:dyDescent="0.3">
      <c r="A519" t="s">
        <v>631</v>
      </c>
      <c r="B519" t="s">
        <v>65</v>
      </c>
      <c r="C519">
        <v>4</v>
      </c>
      <c r="D519">
        <v>28400</v>
      </c>
      <c r="E519" t="s">
        <v>1146</v>
      </c>
      <c r="F519">
        <v>9</v>
      </c>
      <c r="G519">
        <v>11.2</v>
      </c>
      <c r="H519">
        <v>4000</v>
      </c>
      <c r="I519">
        <v>1</v>
      </c>
    </row>
    <row r="520" spans="1:9" x14ac:dyDescent="0.3">
      <c r="A520" t="s">
        <v>632</v>
      </c>
      <c r="B520" t="s">
        <v>65</v>
      </c>
      <c r="C520">
        <v>8</v>
      </c>
      <c r="D520">
        <v>76000</v>
      </c>
      <c r="E520" t="s">
        <v>1146</v>
      </c>
      <c r="F520">
        <v>6</v>
      </c>
      <c r="G520">
        <v>9.3000000000000007</v>
      </c>
      <c r="H520">
        <v>11800</v>
      </c>
      <c r="I520">
        <v>1</v>
      </c>
    </row>
    <row r="521" spans="1:9" x14ac:dyDescent="0.3">
      <c r="A521" t="s">
        <v>633</v>
      </c>
      <c r="B521" t="s">
        <v>65</v>
      </c>
      <c r="C521">
        <v>4</v>
      </c>
      <c r="D521">
        <v>32800</v>
      </c>
      <c r="E521" t="s">
        <v>1146</v>
      </c>
      <c r="F521">
        <v>7</v>
      </c>
      <c r="G521">
        <v>0.9</v>
      </c>
      <c r="H521">
        <v>4300</v>
      </c>
      <c r="I521">
        <v>1</v>
      </c>
    </row>
    <row r="522" spans="1:9" x14ac:dyDescent="0.3">
      <c r="A522" t="s">
        <v>634</v>
      </c>
      <c r="B522" t="s">
        <v>65</v>
      </c>
      <c r="C522">
        <v>7</v>
      </c>
      <c r="D522">
        <v>32800</v>
      </c>
      <c r="E522" t="s">
        <v>1146</v>
      </c>
      <c r="F522">
        <v>0</v>
      </c>
      <c r="G522">
        <v>9.1999999999999993</v>
      </c>
      <c r="H522">
        <v>7100</v>
      </c>
      <c r="I522">
        <v>1</v>
      </c>
    </row>
    <row r="523" spans="1:9" x14ac:dyDescent="0.3">
      <c r="A523" t="s">
        <v>635</v>
      </c>
      <c r="B523" t="s">
        <v>65</v>
      </c>
      <c r="C523">
        <v>7</v>
      </c>
      <c r="D523">
        <v>37000</v>
      </c>
      <c r="E523" t="s">
        <v>1146</v>
      </c>
      <c r="F523">
        <v>4</v>
      </c>
      <c r="G523">
        <v>4.9000000000000004</v>
      </c>
      <c r="H523">
        <v>2200</v>
      </c>
      <c r="I523">
        <v>1</v>
      </c>
    </row>
    <row r="524" spans="1:9" x14ac:dyDescent="0.3">
      <c r="A524" t="s">
        <v>636</v>
      </c>
      <c r="B524" t="s">
        <v>64</v>
      </c>
      <c r="C524">
        <v>4</v>
      </c>
      <c r="D524">
        <v>57600</v>
      </c>
      <c r="E524" t="s">
        <v>1146</v>
      </c>
      <c r="F524">
        <v>7</v>
      </c>
      <c r="G524">
        <v>11.9</v>
      </c>
      <c r="H524">
        <v>11600</v>
      </c>
      <c r="I524">
        <v>1</v>
      </c>
    </row>
    <row r="525" spans="1:9" x14ac:dyDescent="0.3">
      <c r="A525" t="s">
        <v>637</v>
      </c>
      <c r="B525" t="s">
        <v>513</v>
      </c>
      <c r="C525">
        <v>7</v>
      </c>
      <c r="D525">
        <v>29000</v>
      </c>
      <c r="E525" t="s">
        <v>1146</v>
      </c>
      <c r="F525">
        <v>9</v>
      </c>
      <c r="G525">
        <v>0.7</v>
      </c>
      <c r="H525">
        <v>8400</v>
      </c>
      <c r="I525">
        <v>1</v>
      </c>
    </row>
    <row r="526" spans="1:9" x14ac:dyDescent="0.3">
      <c r="A526" t="s">
        <v>638</v>
      </c>
      <c r="B526" t="s">
        <v>64</v>
      </c>
      <c r="C526">
        <v>2</v>
      </c>
      <c r="D526">
        <v>30700</v>
      </c>
      <c r="E526" t="s">
        <v>1146</v>
      </c>
      <c r="F526">
        <v>10</v>
      </c>
      <c r="G526">
        <v>6.5</v>
      </c>
      <c r="H526">
        <v>10500</v>
      </c>
      <c r="I526">
        <v>1</v>
      </c>
    </row>
    <row r="527" spans="1:9" x14ac:dyDescent="0.3">
      <c r="A527" t="s">
        <v>639</v>
      </c>
      <c r="B527" t="s">
        <v>65</v>
      </c>
      <c r="C527">
        <v>4</v>
      </c>
      <c r="D527">
        <v>33300</v>
      </c>
      <c r="E527" t="s">
        <v>1146</v>
      </c>
      <c r="F527">
        <v>10</v>
      </c>
      <c r="G527">
        <v>5.8</v>
      </c>
      <c r="H527">
        <v>0</v>
      </c>
      <c r="I527">
        <v>1</v>
      </c>
    </row>
    <row r="528" spans="1:9" x14ac:dyDescent="0.3">
      <c r="A528" t="s">
        <v>640</v>
      </c>
      <c r="B528" t="s">
        <v>62</v>
      </c>
      <c r="C528">
        <v>2</v>
      </c>
      <c r="D528">
        <v>50200</v>
      </c>
      <c r="E528" t="s">
        <v>1146</v>
      </c>
      <c r="F528">
        <v>0</v>
      </c>
      <c r="G528">
        <v>7.7</v>
      </c>
      <c r="H528">
        <v>700</v>
      </c>
      <c r="I528">
        <v>1</v>
      </c>
    </row>
    <row r="529" spans="1:9" x14ac:dyDescent="0.3">
      <c r="A529" t="s">
        <v>641</v>
      </c>
      <c r="B529" t="s">
        <v>65</v>
      </c>
      <c r="C529">
        <v>5</v>
      </c>
      <c r="D529">
        <v>20000</v>
      </c>
      <c r="E529" t="s">
        <v>1146</v>
      </c>
      <c r="F529">
        <v>10</v>
      </c>
      <c r="G529">
        <v>11.2</v>
      </c>
      <c r="H529">
        <v>1900</v>
      </c>
      <c r="I529">
        <v>1</v>
      </c>
    </row>
    <row r="530" spans="1:9" x14ac:dyDescent="0.3">
      <c r="A530" t="s">
        <v>642</v>
      </c>
      <c r="B530" t="s">
        <v>513</v>
      </c>
      <c r="C530">
        <v>10</v>
      </c>
      <c r="D530">
        <v>12400</v>
      </c>
      <c r="E530" t="s">
        <v>1146</v>
      </c>
      <c r="F530">
        <v>9</v>
      </c>
      <c r="G530">
        <v>4.9000000000000004</v>
      </c>
      <c r="H530">
        <v>6500</v>
      </c>
      <c r="I530">
        <v>1</v>
      </c>
    </row>
    <row r="531" spans="1:9" x14ac:dyDescent="0.3">
      <c r="A531" t="s">
        <v>643</v>
      </c>
      <c r="B531" t="s">
        <v>513</v>
      </c>
      <c r="C531">
        <v>5</v>
      </c>
      <c r="D531">
        <v>48900</v>
      </c>
      <c r="E531" t="s">
        <v>1146</v>
      </c>
      <c r="F531">
        <v>5</v>
      </c>
      <c r="G531">
        <v>1.8</v>
      </c>
      <c r="H531">
        <v>0</v>
      </c>
      <c r="I531">
        <v>1</v>
      </c>
    </row>
    <row r="532" spans="1:9" x14ac:dyDescent="0.3">
      <c r="A532" t="s">
        <v>644</v>
      </c>
      <c r="B532" t="s">
        <v>65</v>
      </c>
      <c r="C532">
        <v>4</v>
      </c>
      <c r="D532">
        <v>41300</v>
      </c>
      <c r="E532" t="s">
        <v>1146</v>
      </c>
      <c r="F532">
        <v>1</v>
      </c>
      <c r="G532">
        <v>7.5</v>
      </c>
      <c r="H532">
        <v>8600</v>
      </c>
      <c r="I532">
        <v>1</v>
      </c>
    </row>
    <row r="533" spans="1:9" x14ac:dyDescent="0.3">
      <c r="A533" t="s">
        <v>645</v>
      </c>
      <c r="B533" t="s">
        <v>65</v>
      </c>
      <c r="C533">
        <v>8</v>
      </c>
      <c r="D533">
        <v>49700</v>
      </c>
      <c r="E533" t="s">
        <v>1146</v>
      </c>
      <c r="F533">
        <v>3</v>
      </c>
      <c r="G533">
        <v>6.5</v>
      </c>
      <c r="H533">
        <v>11000</v>
      </c>
      <c r="I533">
        <v>1</v>
      </c>
    </row>
    <row r="534" spans="1:9" x14ac:dyDescent="0.3">
      <c r="A534" t="s">
        <v>646</v>
      </c>
      <c r="B534" t="s">
        <v>65</v>
      </c>
      <c r="C534">
        <v>6</v>
      </c>
      <c r="D534">
        <v>44900</v>
      </c>
      <c r="E534" t="s">
        <v>1146</v>
      </c>
      <c r="F534">
        <v>4</v>
      </c>
      <c r="G534">
        <v>12.4</v>
      </c>
      <c r="H534">
        <v>1800</v>
      </c>
      <c r="I534">
        <v>1</v>
      </c>
    </row>
    <row r="535" spans="1:9" x14ac:dyDescent="0.3">
      <c r="A535" t="s">
        <v>647</v>
      </c>
      <c r="B535" t="s">
        <v>513</v>
      </c>
      <c r="C535">
        <v>6</v>
      </c>
      <c r="D535">
        <v>62000</v>
      </c>
      <c r="E535" t="s">
        <v>1146</v>
      </c>
      <c r="F535">
        <v>0</v>
      </c>
      <c r="G535">
        <v>6.3</v>
      </c>
      <c r="H535">
        <v>0</v>
      </c>
      <c r="I535">
        <v>1</v>
      </c>
    </row>
    <row r="536" spans="1:9" x14ac:dyDescent="0.3">
      <c r="A536" t="s">
        <v>648</v>
      </c>
      <c r="B536" t="s">
        <v>513</v>
      </c>
      <c r="C536">
        <v>4</v>
      </c>
      <c r="D536">
        <v>46600</v>
      </c>
      <c r="E536" t="s">
        <v>1146</v>
      </c>
      <c r="F536">
        <v>9</v>
      </c>
      <c r="G536">
        <v>9.9</v>
      </c>
      <c r="H536">
        <v>5400</v>
      </c>
      <c r="I536">
        <v>1</v>
      </c>
    </row>
    <row r="537" spans="1:9" x14ac:dyDescent="0.3">
      <c r="A537" t="s">
        <v>649</v>
      </c>
      <c r="B537" t="s">
        <v>62</v>
      </c>
      <c r="C537">
        <v>7</v>
      </c>
      <c r="D537">
        <v>144600</v>
      </c>
      <c r="E537" t="s">
        <v>1146</v>
      </c>
      <c r="F537">
        <v>6</v>
      </c>
      <c r="G537">
        <v>6.3</v>
      </c>
      <c r="H537">
        <v>13700</v>
      </c>
      <c r="I537">
        <v>1</v>
      </c>
    </row>
    <row r="538" spans="1:9" x14ac:dyDescent="0.3">
      <c r="A538" t="s">
        <v>650</v>
      </c>
      <c r="B538" t="s">
        <v>65</v>
      </c>
      <c r="C538">
        <v>6</v>
      </c>
      <c r="D538">
        <v>64900</v>
      </c>
      <c r="E538" t="s">
        <v>1146</v>
      </c>
      <c r="F538">
        <v>10</v>
      </c>
      <c r="G538">
        <v>1.5</v>
      </c>
      <c r="H538">
        <v>0</v>
      </c>
      <c r="I538">
        <v>1</v>
      </c>
    </row>
    <row r="539" spans="1:9" x14ac:dyDescent="0.3">
      <c r="A539" t="s">
        <v>651</v>
      </c>
      <c r="B539" t="s">
        <v>513</v>
      </c>
      <c r="C539">
        <v>5</v>
      </c>
      <c r="D539">
        <v>25100</v>
      </c>
      <c r="E539" t="s">
        <v>1146</v>
      </c>
      <c r="F539">
        <v>7</v>
      </c>
      <c r="G539">
        <v>3.3</v>
      </c>
      <c r="H539">
        <v>4400</v>
      </c>
      <c r="I539">
        <v>1</v>
      </c>
    </row>
    <row r="540" spans="1:9" x14ac:dyDescent="0.3">
      <c r="A540" t="s">
        <v>652</v>
      </c>
      <c r="B540" t="s">
        <v>64</v>
      </c>
      <c r="C540">
        <v>3</v>
      </c>
      <c r="D540">
        <v>36600</v>
      </c>
      <c r="E540" t="s">
        <v>1146</v>
      </c>
      <c r="F540">
        <v>7</v>
      </c>
      <c r="G540">
        <v>6.9</v>
      </c>
      <c r="H540">
        <v>0</v>
      </c>
      <c r="I540">
        <v>1</v>
      </c>
    </row>
    <row r="541" spans="1:9" x14ac:dyDescent="0.3">
      <c r="A541" t="s">
        <v>653</v>
      </c>
      <c r="B541" t="s">
        <v>513</v>
      </c>
      <c r="C541">
        <v>11</v>
      </c>
      <c r="D541">
        <v>19400</v>
      </c>
      <c r="E541" t="s">
        <v>1146</v>
      </c>
      <c r="F541">
        <v>2</v>
      </c>
      <c r="G541">
        <v>10.1</v>
      </c>
      <c r="H541">
        <v>1200</v>
      </c>
      <c r="I541">
        <v>1</v>
      </c>
    </row>
    <row r="542" spans="1:9" x14ac:dyDescent="0.3">
      <c r="A542" t="s">
        <v>654</v>
      </c>
      <c r="B542" t="s">
        <v>513</v>
      </c>
      <c r="C542">
        <v>5</v>
      </c>
      <c r="D542">
        <v>24500</v>
      </c>
      <c r="E542" t="s">
        <v>1146</v>
      </c>
      <c r="F542">
        <v>5</v>
      </c>
      <c r="G542">
        <v>14.6</v>
      </c>
      <c r="H542">
        <v>0</v>
      </c>
      <c r="I542">
        <v>1</v>
      </c>
    </row>
    <row r="543" spans="1:9" x14ac:dyDescent="0.3">
      <c r="A543" t="s">
        <v>655</v>
      </c>
      <c r="B543" t="s">
        <v>62</v>
      </c>
      <c r="C543">
        <v>4</v>
      </c>
      <c r="D543">
        <v>63500</v>
      </c>
      <c r="E543" t="s">
        <v>1146</v>
      </c>
      <c r="F543">
        <v>3</v>
      </c>
      <c r="G543">
        <v>7.1</v>
      </c>
      <c r="H543">
        <v>7700</v>
      </c>
      <c r="I543">
        <v>1</v>
      </c>
    </row>
    <row r="544" spans="1:9" x14ac:dyDescent="0.3">
      <c r="A544" t="s">
        <v>656</v>
      </c>
      <c r="B544" t="s">
        <v>513</v>
      </c>
      <c r="C544">
        <v>9</v>
      </c>
      <c r="D544">
        <v>30900</v>
      </c>
      <c r="E544" t="s">
        <v>1146</v>
      </c>
      <c r="F544">
        <v>3</v>
      </c>
      <c r="G544">
        <v>0.9</v>
      </c>
      <c r="H544">
        <v>7300</v>
      </c>
      <c r="I544">
        <v>1</v>
      </c>
    </row>
    <row r="545" spans="1:9" x14ac:dyDescent="0.3">
      <c r="A545" t="s">
        <v>657</v>
      </c>
      <c r="B545" t="s">
        <v>62</v>
      </c>
      <c r="C545">
        <v>5</v>
      </c>
      <c r="D545">
        <v>48200</v>
      </c>
      <c r="E545" t="s">
        <v>1146</v>
      </c>
      <c r="F545">
        <v>5</v>
      </c>
      <c r="G545">
        <v>1.4</v>
      </c>
      <c r="H545">
        <v>6000</v>
      </c>
      <c r="I545">
        <v>1</v>
      </c>
    </row>
    <row r="546" spans="1:9" x14ac:dyDescent="0.3">
      <c r="A546" t="s">
        <v>658</v>
      </c>
      <c r="B546" t="s">
        <v>513</v>
      </c>
      <c r="C546">
        <v>2</v>
      </c>
      <c r="D546">
        <v>32400</v>
      </c>
      <c r="E546" t="s">
        <v>1146</v>
      </c>
      <c r="F546">
        <v>9</v>
      </c>
      <c r="G546">
        <v>7.5</v>
      </c>
      <c r="H546">
        <v>2500</v>
      </c>
      <c r="I546">
        <v>1</v>
      </c>
    </row>
    <row r="547" spans="1:9" x14ac:dyDescent="0.3">
      <c r="A547" t="s">
        <v>659</v>
      </c>
      <c r="B547" t="s">
        <v>64</v>
      </c>
      <c r="C547">
        <v>8</v>
      </c>
      <c r="D547">
        <v>159600</v>
      </c>
      <c r="E547" t="s">
        <v>1146</v>
      </c>
      <c r="F547">
        <v>8</v>
      </c>
      <c r="G547">
        <v>10.5</v>
      </c>
      <c r="H547">
        <v>9300</v>
      </c>
      <c r="I547">
        <v>1</v>
      </c>
    </row>
    <row r="548" spans="1:9" x14ac:dyDescent="0.3">
      <c r="A548" t="s">
        <v>660</v>
      </c>
      <c r="B548" t="s">
        <v>513</v>
      </c>
      <c r="C548">
        <v>8</v>
      </c>
      <c r="D548">
        <v>167100</v>
      </c>
      <c r="E548" t="s">
        <v>1146</v>
      </c>
      <c r="F548">
        <v>5</v>
      </c>
      <c r="G548">
        <v>12.9</v>
      </c>
      <c r="H548">
        <v>5400</v>
      </c>
      <c r="I548">
        <v>1</v>
      </c>
    </row>
    <row r="549" spans="1:9" x14ac:dyDescent="0.3">
      <c r="A549" t="s">
        <v>661</v>
      </c>
      <c r="B549" t="s">
        <v>65</v>
      </c>
      <c r="C549">
        <v>2</v>
      </c>
      <c r="D549">
        <v>22600</v>
      </c>
      <c r="E549" t="s">
        <v>1146</v>
      </c>
      <c r="F549">
        <v>5</v>
      </c>
      <c r="G549">
        <v>2.7</v>
      </c>
      <c r="H549">
        <v>0</v>
      </c>
      <c r="I549">
        <v>1</v>
      </c>
    </row>
    <row r="550" spans="1:9" x14ac:dyDescent="0.3">
      <c r="A550" t="s">
        <v>662</v>
      </c>
      <c r="B550" t="s">
        <v>64</v>
      </c>
      <c r="C550">
        <v>3</v>
      </c>
      <c r="D550">
        <v>36700</v>
      </c>
      <c r="E550" t="s">
        <v>1146</v>
      </c>
      <c r="F550">
        <v>2</v>
      </c>
      <c r="G550">
        <v>11.9</v>
      </c>
      <c r="H550">
        <v>0</v>
      </c>
      <c r="I550">
        <v>1</v>
      </c>
    </row>
    <row r="551" spans="1:9" x14ac:dyDescent="0.3">
      <c r="A551" t="s">
        <v>663</v>
      </c>
      <c r="B551" t="s">
        <v>65</v>
      </c>
      <c r="C551">
        <v>9</v>
      </c>
      <c r="D551">
        <v>67900</v>
      </c>
      <c r="E551" t="s">
        <v>1146</v>
      </c>
      <c r="F551">
        <v>3</v>
      </c>
      <c r="G551">
        <v>9.1999999999999993</v>
      </c>
      <c r="H551">
        <v>6100</v>
      </c>
      <c r="I551">
        <v>1</v>
      </c>
    </row>
    <row r="552" spans="1:9" x14ac:dyDescent="0.3">
      <c r="A552" t="s">
        <v>664</v>
      </c>
      <c r="B552" t="s">
        <v>513</v>
      </c>
      <c r="C552">
        <v>5</v>
      </c>
      <c r="D552">
        <v>63300</v>
      </c>
      <c r="E552" t="s">
        <v>1146</v>
      </c>
      <c r="F552">
        <v>2</v>
      </c>
      <c r="G552">
        <v>1.9</v>
      </c>
      <c r="H552">
        <v>5800</v>
      </c>
      <c r="I552">
        <v>1</v>
      </c>
    </row>
    <row r="553" spans="1:9" x14ac:dyDescent="0.3">
      <c r="A553" t="s">
        <v>665</v>
      </c>
      <c r="B553" t="s">
        <v>62</v>
      </c>
      <c r="C553">
        <v>7</v>
      </c>
      <c r="D553">
        <v>20700</v>
      </c>
      <c r="E553" t="s">
        <v>1146</v>
      </c>
      <c r="F553">
        <v>10</v>
      </c>
      <c r="G553">
        <v>1.1000000000000001</v>
      </c>
      <c r="H553">
        <v>600</v>
      </c>
      <c r="I553">
        <v>1</v>
      </c>
    </row>
    <row r="554" spans="1:9" x14ac:dyDescent="0.3">
      <c r="A554" t="s">
        <v>666</v>
      </c>
      <c r="B554" t="s">
        <v>64</v>
      </c>
      <c r="C554">
        <v>7</v>
      </c>
      <c r="D554">
        <v>34100</v>
      </c>
      <c r="E554" t="s">
        <v>1146</v>
      </c>
      <c r="F554">
        <v>9</v>
      </c>
      <c r="G554">
        <v>2.8</v>
      </c>
      <c r="H554">
        <v>0</v>
      </c>
      <c r="I554">
        <v>1</v>
      </c>
    </row>
    <row r="555" spans="1:9" x14ac:dyDescent="0.3">
      <c r="A555" t="s">
        <v>667</v>
      </c>
      <c r="B555" t="s">
        <v>62</v>
      </c>
      <c r="C555">
        <v>5</v>
      </c>
      <c r="D555">
        <v>86900</v>
      </c>
      <c r="E555" t="s">
        <v>1146</v>
      </c>
      <c r="F555">
        <v>8</v>
      </c>
      <c r="G555">
        <v>6.9</v>
      </c>
      <c r="H555">
        <v>900</v>
      </c>
      <c r="I555">
        <v>1</v>
      </c>
    </row>
    <row r="556" spans="1:9" x14ac:dyDescent="0.3">
      <c r="A556" t="s">
        <v>668</v>
      </c>
      <c r="B556" t="s">
        <v>65</v>
      </c>
      <c r="C556">
        <v>9</v>
      </c>
      <c r="D556">
        <v>76800</v>
      </c>
      <c r="E556" t="s">
        <v>1146</v>
      </c>
      <c r="F556">
        <v>4</v>
      </c>
      <c r="G556">
        <v>13.9</v>
      </c>
      <c r="H556">
        <v>9500</v>
      </c>
      <c r="I556">
        <v>1</v>
      </c>
    </row>
    <row r="557" spans="1:9" x14ac:dyDescent="0.3">
      <c r="A557" t="s">
        <v>669</v>
      </c>
      <c r="B557" t="s">
        <v>62</v>
      </c>
      <c r="C557">
        <v>10</v>
      </c>
      <c r="D557">
        <v>65300</v>
      </c>
      <c r="E557" t="s">
        <v>1146</v>
      </c>
      <c r="F557">
        <v>4</v>
      </c>
      <c r="G557">
        <v>2.7</v>
      </c>
      <c r="H557">
        <v>4400</v>
      </c>
      <c r="I557">
        <v>1</v>
      </c>
    </row>
    <row r="558" spans="1:9" x14ac:dyDescent="0.3">
      <c r="A558" t="s">
        <v>670</v>
      </c>
      <c r="B558" t="s">
        <v>64</v>
      </c>
      <c r="C558">
        <v>10</v>
      </c>
      <c r="D558">
        <v>53600</v>
      </c>
      <c r="E558" t="s">
        <v>68</v>
      </c>
      <c r="F558">
        <v>57</v>
      </c>
      <c r="G558">
        <v>8.6</v>
      </c>
      <c r="H558">
        <v>1800</v>
      </c>
      <c r="I558">
        <v>1</v>
      </c>
    </row>
    <row r="559" spans="1:9" x14ac:dyDescent="0.3">
      <c r="A559" t="s">
        <v>671</v>
      </c>
      <c r="B559" t="s">
        <v>513</v>
      </c>
      <c r="C559">
        <v>9</v>
      </c>
      <c r="D559">
        <v>51400</v>
      </c>
      <c r="E559" t="s">
        <v>1146</v>
      </c>
      <c r="F559">
        <v>10</v>
      </c>
      <c r="G559">
        <v>2.2000000000000002</v>
      </c>
      <c r="H559">
        <v>9000</v>
      </c>
      <c r="I559">
        <v>1</v>
      </c>
    </row>
    <row r="560" spans="1:9" x14ac:dyDescent="0.3">
      <c r="A560" t="s">
        <v>672</v>
      </c>
      <c r="B560" t="s">
        <v>65</v>
      </c>
      <c r="C560">
        <v>7</v>
      </c>
      <c r="D560">
        <v>146700</v>
      </c>
      <c r="E560" t="s">
        <v>1146</v>
      </c>
      <c r="F560">
        <v>2</v>
      </c>
      <c r="G560">
        <v>4.7</v>
      </c>
      <c r="H560">
        <v>5200</v>
      </c>
      <c r="I560">
        <v>1</v>
      </c>
    </row>
    <row r="561" spans="1:9" x14ac:dyDescent="0.3">
      <c r="A561" t="s">
        <v>673</v>
      </c>
      <c r="B561" t="s">
        <v>513</v>
      </c>
      <c r="C561">
        <v>7</v>
      </c>
      <c r="D561">
        <v>36400</v>
      </c>
      <c r="E561" t="s">
        <v>1146</v>
      </c>
      <c r="F561">
        <v>10</v>
      </c>
      <c r="G561">
        <v>1.7</v>
      </c>
      <c r="H561">
        <v>8000</v>
      </c>
      <c r="I561">
        <v>1</v>
      </c>
    </row>
    <row r="562" spans="1:9" x14ac:dyDescent="0.3">
      <c r="A562" t="s">
        <v>674</v>
      </c>
      <c r="B562" t="s">
        <v>513</v>
      </c>
      <c r="C562">
        <v>4</v>
      </c>
      <c r="D562">
        <v>67400</v>
      </c>
      <c r="E562" t="s">
        <v>1146</v>
      </c>
      <c r="F562">
        <v>7</v>
      </c>
      <c r="G562">
        <v>2.1</v>
      </c>
      <c r="H562">
        <v>6600</v>
      </c>
      <c r="I562">
        <v>1</v>
      </c>
    </row>
    <row r="563" spans="1:9" x14ac:dyDescent="0.3">
      <c r="A563" t="s">
        <v>675</v>
      </c>
      <c r="B563" t="s">
        <v>64</v>
      </c>
      <c r="C563">
        <v>8</v>
      </c>
      <c r="D563">
        <v>64400</v>
      </c>
      <c r="E563" t="s">
        <v>1146</v>
      </c>
      <c r="F563">
        <v>7</v>
      </c>
      <c r="G563">
        <v>10</v>
      </c>
      <c r="H563">
        <v>4200</v>
      </c>
      <c r="I563">
        <v>1</v>
      </c>
    </row>
    <row r="564" spans="1:9" x14ac:dyDescent="0.3">
      <c r="A564" t="s">
        <v>676</v>
      </c>
      <c r="B564" t="s">
        <v>513</v>
      </c>
      <c r="C564">
        <v>5</v>
      </c>
      <c r="D564">
        <v>29400</v>
      </c>
      <c r="E564" t="s">
        <v>1146</v>
      </c>
      <c r="F564">
        <v>2</v>
      </c>
      <c r="G564">
        <v>0.6</v>
      </c>
      <c r="H564">
        <v>13800</v>
      </c>
      <c r="I564">
        <v>1</v>
      </c>
    </row>
    <row r="565" spans="1:9" x14ac:dyDescent="0.3">
      <c r="A565" t="s">
        <v>677</v>
      </c>
      <c r="B565" t="s">
        <v>62</v>
      </c>
      <c r="C565">
        <v>4</v>
      </c>
      <c r="D565">
        <v>49500</v>
      </c>
      <c r="E565" t="s">
        <v>1146</v>
      </c>
      <c r="F565">
        <v>1</v>
      </c>
      <c r="G565">
        <v>5.6</v>
      </c>
      <c r="H565">
        <v>5900</v>
      </c>
      <c r="I565">
        <v>1</v>
      </c>
    </row>
    <row r="566" spans="1:9" x14ac:dyDescent="0.3">
      <c r="A566" t="s">
        <v>678</v>
      </c>
      <c r="B566" t="s">
        <v>513</v>
      </c>
      <c r="C566">
        <v>7</v>
      </c>
      <c r="D566">
        <v>50900</v>
      </c>
      <c r="E566" t="s">
        <v>1146</v>
      </c>
      <c r="F566">
        <v>8</v>
      </c>
      <c r="G566">
        <v>3.8</v>
      </c>
      <c r="H566">
        <v>3700</v>
      </c>
      <c r="I566">
        <v>1</v>
      </c>
    </row>
    <row r="567" spans="1:9" x14ac:dyDescent="0.3">
      <c r="A567" t="s">
        <v>679</v>
      </c>
      <c r="B567" t="s">
        <v>64</v>
      </c>
      <c r="C567">
        <v>5</v>
      </c>
      <c r="D567">
        <v>43600</v>
      </c>
      <c r="E567" t="s">
        <v>1146</v>
      </c>
      <c r="F567">
        <v>9</v>
      </c>
      <c r="G567">
        <v>2.8</v>
      </c>
      <c r="H567">
        <v>10100</v>
      </c>
      <c r="I567">
        <v>1</v>
      </c>
    </row>
    <row r="568" spans="1:9" x14ac:dyDescent="0.3">
      <c r="A568" t="s">
        <v>680</v>
      </c>
      <c r="B568" t="s">
        <v>64</v>
      </c>
      <c r="C568">
        <v>4</v>
      </c>
      <c r="D568">
        <v>45400</v>
      </c>
      <c r="E568" t="s">
        <v>1146</v>
      </c>
      <c r="F568">
        <v>9</v>
      </c>
      <c r="G568">
        <v>9.6</v>
      </c>
      <c r="H568">
        <v>6600</v>
      </c>
      <c r="I568">
        <v>1</v>
      </c>
    </row>
    <row r="569" spans="1:9" x14ac:dyDescent="0.3">
      <c r="A569" t="s">
        <v>681</v>
      </c>
      <c r="B569" t="s">
        <v>62</v>
      </c>
      <c r="C569">
        <v>7</v>
      </c>
      <c r="D569">
        <v>55100</v>
      </c>
      <c r="E569" t="s">
        <v>1146</v>
      </c>
      <c r="F569">
        <v>4</v>
      </c>
      <c r="G569">
        <v>9.1</v>
      </c>
      <c r="H569">
        <v>3100</v>
      </c>
      <c r="I569">
        <v>1</v>
      </c>
    </row>
    <row r="570" spans="1:9" x14ac:dyDescent="0.3">
      <c r="A570" t="s">
        <v>682</v>
      </c>
      <c r="B570" t="s">
        <v>65</v>
      </c>
      <c r="C570">
        <v>3</v>
      </c>
      <c r="D570">
        <v>54400</v>
      </c>
      <c r="E570" t="s">
        <v>1146</v>
      </c>
      <c r="F570">
        <v>10</v>
      </c>
      <c r="G570">
        <v>2.2999999999999998</v>
      </c>
      <c r="H570">
        <v>11900</v>
      </c>
      <c r="I570">
        <v>1</v>
      </c>
    </row>
    <row r="571" spans="1:9" x14ac:dyDescent="0.3">
      <c r="A571" t="s">
        <v>683</v>
      </c>
      <c r="B571" t="s">
        <v>65</v>
      </c>
      <c r="C571">
        <v>7</v>
      </c>
      <c r="D571">
        <v>47300</v>
      </c>
      <c r="E571" t="s">
        <v>1146</v>
      </c>
      <c r="F571">
        <v>3</v>
      </c>
      <c r="G571">
        <v>4.5</v>
      </c>
      <c r="H571">
        <v>6500</v>
      </c>
      <c r="I571">
        <v>1</v>
      </c>
    </row>
    <row r="572" spans="1:9" x14ac:dyDescent="0.3">
      <c r="A572" t="s">
        <v>684</v>
      </c>
      <c r="B572" t="s">
        <v>62</v>
      </c>
      <c r="C572">
        <v>7</v>
      </c>
      <c r="D572">
        <v>10900</v>
      </c>
      <c r="E572" t="s">
        <v>1146</v>
      </c>
      <c r="F572">
        <v>10</v>
      </c>
      <c r="G572">
        <v>2.9</v>
      </c>
      <c r="H572">
        <v>0</v>
      </c>
      <c r="I572">
        <v>1</v>
      </c>
    </row>
    <row r="573" spans="1:9" x14ac:dyDescent="0.3">
      <c r="A573" t="s">
        <v>685</v>
      </c>
      <c r="B573" t="s">
        <v>65</v>
      </c>
      <c r="C573">
        <v>7</v>
      </c>
      <c r="D573">
        <v>111300</v>
      </c>
      <c r="E573" t="s">
        <v>1146</v>
      </c>
      <c r="F573">
        <v>10</v>
      </c>
      <c r="G573">
        <v>3.4</v>
      </c>
      <c r="H573">
        <v>9600</v>
      </c>
      <c r="I573">
        <v>1</v>
      </c>
    </row>
    <row r="574" spans="1:9" x14ac:dyDescent="0.3">
      <c r="A574" t="s">
        <v>686</v>
      </c>
      <c r="B574" t="s">
        <v>513</v>
      </c>
      <c r="C574">
        <v>8</v>
      </c>
      <c r="D574">
        <v>62300</v>
      </c>
      <c r="E574" t="s">
        <v>66</v>
      </c>
      <c r="F574">
        <v>34</v>
      </c>
      <c r="G574">
        <v>15</v>
      </c>
      <c r="H574">
        <v>8700</v>
      </c>
      <c r="I574">
        <v>1</v>
      </c>
    </row>
    <row r="575" spans="1:9" x14ac:dyDescent="0.3">
      <c r="A575" t="s">
        <v>687</v>
      </c>
      <c r="B575" t="s">
        <v>513</v>
      </c>
      <c r="C575">
        <v>7</v>
      </c>
      <c r="D575">
        <v>74900</v>
      </c>
      <c r="E575" t="s">
        <v>1146</v>
      </c>
      <c r="F575">
        <v>5</v>
      </c>
      <c r="G575">
        <v>14.7</v>
      </c>
      <c r="H575">
        <v>3600</v>
      </c>
      <c r="I575">
        <v>1</v>
      </c>
    </row>
    <row r="576" spans="1:9" x14ac:dyDescent="0.3">
      <c r="A576" t="s">
        <v>688</v>
      </c>
      <c r="B576" t="s">
        <v>64</v>
      </c>
      <c r="C576">
        <v>3</v>
      </c>
      <c r="D576">
        <v>68900</v>
      </c>
      <c r="E576" t="s">
        <v>1146</v>
      </c>
      <c r="F576">
        <v>0</v>
      </c>
      <c r="G576">
        <v>2.8</v>
      </c>
      <c r="H576">
        <v>7200</v>
      </c>
      <c r="I576">
        <v>1</v>
      </c>
    </row>
    <row r="577" spans="1:9" x14ac:dyDescent="0.3">
      <c r="A577" t="s">
        <v>689</v>
      </c>
      <c r="B577" t="s">
        <v>513</v>
      </c>
      <c r="C577">
        <v>5</v>
      </c>
      <c r="D577">
        <v>27600</v>
      </c>
      <c r="E577" t="s">
        <v>1146</v>
      </c>
      <c r="F577">
        <v>3</v>
      </c>
      <c r="G577">
        <v>3.9</v>
      </c>
      <c r="H577">
        <v>0</v>
      </c>
      <c r="I577">
        <v>1</v>
      </c>
    </row>
    <row r="578" spans="1:9" x14ac:dyDescent="0.3">
      <c r="A578" t="s">
        <v>690</v>
      </c>
      <c r="B578" t="s">
        <v>513</v>
      </c>
      <c r="C578">
        <v>5</v>
      </c>
      <c r="D578">
        <v>34200</v>
      </c>
      <c r="E578" t="s">
        <v>1146</v>
      </c>
      <c r="F578">
        <v>2</v>
      </c>
      <c r="G578">
        <v>5.7</v>
      </c>
      <c r="H578">
        <v>2200</v>
      </c>
      <c r="I578">
        <v>1</v>
      </c>
    </row>
    <row r="579" spans="1:9" x14ac:dyDescent="0.3">
      <c r="A579" t="s">
        <v>691</v>
      </c>
      <c r="B579" t="s">
        <v>64</v>
      </c>
      <c r="C579">
        <v>8</v>
      </c>
      <c r="D579">
        <v>19400</v>
      </c>
      <c r="E579" t="s">
        <v>1146</v>
      </c>
      <c r="F579">
        <v>4</v>
      </c>
      <c r="G579">
        <v>7.2</v>
      </c>
      <c r="H579">
        <v>800</v>
      </c>
      <c r="I579">
        <v>1</v>
      </c>
    </row>
    <row r="580" spans="1:9" x14ac:dyDescent="0.3">
      <c r="A580" t="s">
        <v>692</v>
      </c>
      <c r="B580" t="s">
        <v>64</v>
      </c>
      <c r="C580">
        <v>5</v>
      </c>
      <c r="D580">
        <v>20500</v>
      </c>
      <c r="E580" t="s">
        <v>1146</v>
      </c>
      <c r="F580">
        <v>1</v>
      </c>
      <c r="G580">
        <v>3.3</v>
      </c>
      <c r="H580">
        <v>4000</v>
      </c>
      <c r="I580">
        <v>1</v>
      </c>
    </row>
    <row r="581" spans="1:9" x14ac:dyDescent="0.3">
      <c r="A581" t="s">
        <v>693</v>
      </c>
      <c r="B581" t="s">
        <v>62</v>
      </c>
      <c r="C581">
        <v>8</v>
      </c>
      <c r="D581">
        <v>22000</v>
      </c>
      <c r="E581" t="s">
        <v>1146</v>
      </c>
      <c r="F581">
        <v>7</v>
      </c>
      <c r="G581">
        <v>2.7</v>
      </c>
      <c r="H581">
        <v>600</v>
      </c>
      <c r="I581">
        <v>1</v>
      </c>
    </row>
    <row r="582" spans="1:9" x14ac:dyDescent="0.3">
      <c r="A582" t="s">
        <v>694</v>
      </c>
      <c r="B582" t="s">
        <v>64</v>
      </c>
      <c r="C582">
        <v>5</v>
      </c>
      <c r="D582">
        <v>41600</v>
      </c>
      <c r="E582" t="s">
        <v>1146</v>
      </c>
      <c r="F582">
        <v>6</v>
      </c>
      <c r="G582">
        <v>2.4</v>
      </c>
      <c r="H582">
        <v>3200</v>
      </c>
      <c r="I582">
        <v>1</v>
      </c>
    </row>
    <row r="583" spans="1:9" x14ac:dyDescent="0.3">
      <c r="A583" t="s">
        <v>695</v>
      </c>
      <c r="B583" t="s">
        <v>513</v>
      </c>
      <c r="C583">
        <v>7</v>
      </c>
      <c r="D583">
        <v>47300</v>
      </c>
      <c r="E583" t="s">
        <v>1146</v>
      </c>
      <c r="F583">
        <v>4</v>
      </c>
      <c r="G583">
        <v>8.8000000000000007</v>
      </c>
      <c r="H583">
        <v>2700</v>
      </c>
      <c r="I583">
        <v>1</v>
      </c>
    </row>
    <row r="584" spans="1:9" x14ac:dyDescent="0.3">
      <c r="A584" t="s">
        <v>696</v>
      </c>
      <c r="B584" t="s">
        <v>65</v>
      </c>
      <c r="C584">
        <v>6</v>
      </c>
      <c r="D584">
        <v>44400</v>
      </c>
      <c r="E584" t="s">
        <v>1146</v>
      </c>
      <c r="F584">
        <v>0</v>
      </c>
      <c r="G584">
        <v>5.8</v>
      </c>
      <c r="H584">
        <v>7100</v>
      </c>
      <c r="I584">
        <v>1</v>
      </c>
    </row>
    <row r="585" spans="1:9" x14ac:dyDescent="0.3">
      <c r="A585" t="s">
        <v>697</v>
      </c>
      <c r="B585" t="s">
        <v>62</v>
      </c>
      <c r="C585">
        <v>2</v>
      </c>
      <c r="D585">
        <v>21700</v>
      </c>
      <c r="E585" t="s">
        <v>1146</v>
      </c>
      <c r="F585">
        <v>4</v>
      </c>
      <c r="G585">
        <v>8.9</v>
      </c>
      <c r="H585">
        <v>7500</v>
      </c>
      <c r="I585">
        <v>1</v>
      </c>
    </row>
    <row r="586" spans="1:9" x14ac:dyDescent="0.3">
      <c r="A586" t="s">
        <v>698</v>
      </c>
      <c r="B586" t="s">
        <v>513</v>
      </c>
      <c r="C586">
        <v>1</v>
      </c>
      <c r="D586">
        <v>64100</v>
      </c>
      <c r="E586" t="s">
        <v>1146</v>
      </c>
      <c r="F586">
        <v>5</v>
      </c>
      <c r="G586">
        <v>5.9</v>
      </c>
      <c r="H586">
        <v>0</v>
      </c>
      <c r="I586">
        <v>1</v>
      </c>
    </row>
    <row r="587" spans="1:9" x14ac:dyDescent="0.3">
      <c r="A587" t="s">
        <v>699</v>
      </c>
      <c r="B587" t="s">
        <v>65</v>
      </c>
      <c r="C587">
        <v>4</v>
      </c>
      <c r="D587">
        <v>65700</v>
      </c>
      <c r="E587" t="s">
        <v>1146</v>
      </c>
      <c r="F587">
        <v>5</v>
      </c>
      <c r="G587">
        <v>10</v>
      </c>
      <c r="H587">
        <v>4500</v>
      </c>
      <c r="I587">
        <v>1</v>
      </c>
    </row>
    <row r="588" spans="1:9" x14ac:dyDescent="0.3">
      <c r="A588" t="s">
        <v>700</v>
      </c>
      <c r="B588" t="s">
        <v>65</v>
      </c>
      <c r="C588">
        <v>2</v>
      </c>
      <c r="D588">
        <v>56500</v>
      </c>
      <c r="E588" t="s">
        <v>1146</v>
      </c>
      <c r="F588">
        <v>0</v>
      </c>
      <c r="G588">
        <v>0.8</v>
      </c>
      <c r="H588">
        <v>0</v>
      </c>
      <c r="I588">
        <v>1</v>
      </c>
    </row>
    <row r="589" spans="1:9" x14ac:dyDescent="0.3">
      <c r="A589" t="s">
        <v>701</v>
      </c>
      <c r="B589" t="s">
        <v>65</v>
      </c>
      <c r="C589">
        <v>10</v>
      </c>
      <c r="D589">
        <v>20700</v>
      </c>
      <c r="E589" t="s">
        <v>1146</v>
      </c>
      <c r="F589">
        <v>8</v>
      </c>
      <c r="G589">
        <v>11.5</v>
      </c>
      <c r="H589">
        <v>10200</v>
      </c>
      <c r="I589">
        <v>1</v>
      </c>
    </row>
    <row r="590" spans="1:9" x14ac:dyDescent="0.3">
      <c r="A590" t="s">
        <v>702</v>
      </c>
      <c r="B590" t="s">
        <v>64</v>
      </c>
      <c r="C590">
        <v>5</v>
      </c>
      <c r="D590">
        <v>48400</v>
      </c>
      <c r="E590" t="s">
        <v>1146</v>
      </c>
      <c r="F590">
        <v>3</v>
      </c>
      <c r="G590">
        <v>3.4</v>
      </c>
      <c r="H590">
        <v>0</v>
      </c>
      <c r="I590">
        <v>1</v>
      </c>
    </row>
    <row r="591" spans="1:9" x14ac:dyDescent="0.3">
      <c r="A591" t="s">
        <v>703</v>
      </c>
      <c r="B591" t="s">
        <v>62</v>
      </c>
      <c r="C591">
        <v>1</v>
      </c>
      <c r="D591">
        <v>29200</v>
      </c>
      <c r="E591" t="s">
        <v>1146</v>
      </c>
      <c r="F591">
        <v>0</v>
      </c>
      <c r="G591">
        <v>1.9</v>
      </c>
      <c r="H591">
        <v>9300</v>
      </c>
      <c r="I591">
        <v>1</v>
      </c>
    </row>
    <row r="592" spans="1:9" x14ac:dyDescent="0.3">
      <c r="A592" t="s">
        <v>704</v>
      </c>
      <c r="B592" t="s">
        <v>62</v>
      </c>
      <c r="C592">
        <v>4</v>
      </c>
      <c r="D592">
        <v>33300</v>
      </c>
      <c r="E592" t="s">
        <v>1146</v>
      </c>
      <c r="F592">
        <v>3</v>
      </c>
      <c r="G592">
        <v>8.3000000000000007</v>
      </c>
      <c r="H592">
        <v>300</v>
      </c>
      <c r="I592">
        <v>1</v>
      </c>
    </row>
    <row r="593" spans="1:9" x14ac:dyDescent="0.3">
      <c r="A593" t="s">
        <v>705</v>
      </c>
      <c r="B593" t="s">
        <v>64</v>
      </c>
      <c r="C593">
        <v>1</v>
      </c>
      <c r="D593">
        <v>22700</v>
      </c>
      <c r="E593" t="s">
        <v>1146</v>
      </c>
      <c r="F593">
        <v>1</v>
      </c>
      <c r="G593">
        <v>7.3</v>
      </c>
      <c r="H593">
        <v>5400</v>
      </c>
      <c r="I593">
        <v>1</v>
      </c>
    </row>
    <row r="594" spans="1:9" x14ac:dyDescent="0.3">
      <c r="A594" t="s">
        <v>706</v>
      </c>
      <c r="B594" t="s">
        <v>62</v>
      </c>
      <c r="C594">
        <v>6</v>
      </c>
      <c r="D594">
        <v>25200</v>
      </c>
      <c r="E594" t="s">
        <v>1146</v>
      </c>
      <c r="F594">
        <v>7</v>
      </c>
      <c r="G594">
        <v>5.9</v>
      </c>
      <c r="H594">
        <v>8500</v>
      </c>
      <c r="I594">
        <v>1</v>
      </c>
    </row>
    <row r="595" spans="1:9" x14ac:dyDescent="0.3">
      <c r="A595" t="s">
        <v>707</v>
      </c>
      <c r="B595" t="s">
        <v>65</v>
      </c>
      <c r="C595">
        <v>1</v>
      </c>
      <c r="D595">
        <v>51400</v>
      </c>
      <c r="E595" t="s">
        <v>1146</v>
      </c>
      <c r="F595">
        <v>8</v>
      </c>
      <c r="G595">
        <v>10.7</v>
      </c>
      <c r="H595">
        <v>7300</v>
      </c>
      <c r="I595">
        <v>1</v>
      </c>
    </row>
    <row r="596" spans="1:9" x14ac:dyDescent="0.3">
      <c r="A596" t="s">
        <v>708</v>
      </c>
      <c r="B596" t="s">
        <v>62</v>
      </c>
      <c r="C596">
        <v>6</v>
      </c>
      <c r="D596">
        <v>22200</v>
      </c>
      <c r="E596" t="s">
        <v>66</v>
      </c>
      <c r="F596">
        <v>44</v>
      </c>
      <c r="G596">
        <v>1.1000000000000001</v>
      </c>
      <c r="H596">
        <v>3500</v>
      </c>
      <c r="I596">
        <v>1</v>
      </c>
    </row>
    <row r="597" spans="1:9" x14ac:dyDescent="0.3">
      <c r="A597" t="s">
        <v>709</v>
      </c>
      <c r="B597" t="s">
        <v>62</v>
      </c>
      <c r="C597">
        <v>9</v>
      </c>
      <c r="D597">
        <v>61000</v>
      </c>
      <c r="E597" t="s">
        <v>1146</v>
      </c>
      <c r="F597">
        <v>2</v>
      </c>
      <c r="G597">
        <v>6.4</v>
      </c>
      <c r="H597">
        <v>9900</v>
      </c>
      <c r="I597">
        <v>1</v>
      </c>
    </row>
    <row r="598" spans="1:9" x14ac:dyDescent="0.3">
      <c r="A598" t="s">
        <v>710</v>
      </c>
      <c r="B598" t="s">
        <v>64</v>
      </c>
      <c r="C598">
        <v>4</v>
      </c>
      <c r="D598">
        <v>34500</v>
      </c>
      <c r="E598" t="s">
        <v>1146</v>
      </c>
      <c r="F598">
        <v>7</v>
      </c>
      <c r="G598">
        <v>8.4</v>
      </c>
      <c r="H598">
        <v>5400</v>
      </c>
      <c r="I598">
        <v>1</v>
      </c>
    </row>
    <row r="599" spans="1:9" x14ac:dyDescent="0.3">
      <c r="A599" t="s">
        <v>711</v>
      </c>
      <c r="B599" t="s">
        <v>62</v>
      </c>
      <c r="C599">
        <v>3</v>
      </c>
      <c r="D599">
        <v>16600</v>
      </c>
      <c r="E599" t="s">
        <v>1146</v>
      </c>
      <c r="F599">
        <v>10</v>
      </c>
      <c r="G599">
        <v>2.9</v>
      </c>
      <c r="H599">
        <v>1900</v>
      </c>
      <c r="I599">
        <v>1</v>
      </c>
    </row>
    <row r="600" spans="1:9" x14ac:dyDescent="0.3">
      <c r="A600" t="s">
        <v>712</v>
      </c>
      <c r="B600" t="s">
        <v>64</v>
      </c>
      <c r="C600">
        <v>4</v>
      </c>
      <c r="D600">
        <v>46700</v>
      </c>
      <c r="E600" t="s">
        <v>1146</v>
      </c>
      <c r="F600">
        <v>10</v>
      </c>
      <c r="G600">
        <v>5.5</v>
      </c>
      <c r="H600">
        <v>1300</v>
      </c>
      <c r="I600">
        <v>1</v>
      </c>
    </row>
    <row r="601" spans="1:9" x14ac:dyDescent="0.3">
      <c r="A601" t="s">
        <v>713</v>
      </c>
      <c r="B601" t="s">
        <v>62</v>
      </c>
      <c r="C601">
        <v>1</v>
      </c>
      <c r="D601">
        <v>15900</v>
      </c>
      <c r="E601" t="s">
        <v>1146</v>
      </c>
      <c r="F601">
        <v>6</v>
      </c>
      <c r="G601">
        <v>2.1</v>
      </c>
      <c r="H601">
        <v>5300</v>
      </c>
      <c r="I601">
        <v>1</v>
      </c>
    </row>
    <row r="602" spans="1:9" x14ac:dyDescent="0.3">
      <c r="A602" t="s">
        <v>714</v>
      </c>
      <c r="B602" t="s">
        <v>513</v>
      </c>
      <c r="C602">
        <v>6</v>
      </c>
      <c r="D602">
        <v>89700</v>
      </c>
      <c r="E602" t="s">
        <v>1146</v>
      </c>
      <c r="F602">
        <v>5</v>
      </c>
      <c r="G602">
        <v>4.8</v>
      </c>
      <c r="H602">
        <v>4100</v>
      </c>
      <c r="I602">
        <v>1</v>
      </c>
    </row>
    <row r="603" spans="1:9" x14ac:dyDescent="0.3">
      <c r="A603" t="s">
        <v>715</v>
      </c>
      <c r="B603" t="s">
        <v>513</v>
      </c>
      <c r="C603">
        <v>2</v>
      </c>
      <c r="D603">
        <v>46500</v>
      </c>
      <c r="E603" t="s">
        <v>1146</v>
      </c>
      <c r="F603">
        <v>2</v>
      </c>
      <c r="G603">
        <v>14</v>
      </c>
      <c r="H603">
        <v>10400</v>
      </c>
      <c r="I603">
        <v>1</v>
      </c>
    </row>
    <row r="604" spans="1:9" x14ac:dyDescent="0.3">
      <c r="A604" t="s">
        <v>716</v>
      </c>
      <c r="B604" t="s">
        <v>65</v>
      </c>
      <c r="C604">
        <v>8</v>
      </c>
      <c r="D604">
        <v>55400</v>
      </c>
      <c r="E604" t="s">
        <v>1146</v>
      </c>
      <c r="F604">
        <v>2</v>
      </c>
      <c r="G604">
        <v>3.4</v>
      </c>
      <c r="H604">
        <v>1100</v>
      </c>
      <c r="I604">
        <v>1</v>
      </c>
    </row>
    <row r="605" spans="1:9" x14ac:dyDescent="0.3">
      <c r="A605" t="s">
        <v>717</v>
      </c>
      <c r="B605" t="s">
        <v>65</v>
      </c>
      <c r="C605">
        <v>4</v>
      </c>
      <c r="D605">
        <v>40600</v>
      </c>
      <c r="E605" t="s">
        <v>1146</v>
      </c>
      <c r="F605">
        <v>8</v>
      </c>
      <c r="G605">
        <v>10.9</v>
      </c>
      <c r="H605">
        <v>0</v>
      </c>
      <c r="I605">
        <v>1</v>
      </c>
    </row>
    <row r="606" spans="1:9" x14ac:dyDescent="0.3">
      <c r="A606" t="s">
        <v>718</v>
      </c>
      <c r="B606" t="s">
        <v>513</v>
      </c>
      <c r="C606">
        <v>10</v>
      </c>
      <c r="D606">
        <v>43500</v>
      </c>
      <c r="E606" t="s">
        <v>1146</v>
      </c>
      <c r="F606">
        <v>4</v>
      </c>
      <c r="G606">
        <v>7.9</v>
      </c>
      <c r="H606">
        <v>3500</v>
      </c>
      <c r="I606">
        <v>1</v>
      </c>
    </row>
    <row r="607" spans="1:9" x14ac:dyDescent="0.3">
      <c r="A607" t="s">
        <v>719</v>
      </c>
      <c r="B607" t="s">
        <v>65</v>
      </c>
      <c r="C607">
        <v>6</v>
      </c>
      <c r="D607">
        <v>27900</v>
      </c>
      <c r="E607" t="s">
        <v>1146</v>
      </c>
      <c r="F607">
        <v>7</v>
      </c>
      <c r="G607">
        <v>7.4</v>
      </c>
      <c r="H607">
        <v>5200</v>
      </c>
      <c r="I607">
        <v>1</v>
      </c>
    </row>
    <row r="608" spans="1:9" x14ac:dyDescent="0.3">
      <c r="A608" t="s">
        <v>720</v>
      </c>
      <c r="B608" t="s">
        <v>65</v>
      </c>
      <c r="C608">
        <v>10</v>
      </c>
      <c r="D608">
        <v>47700</v>
      </c>
      <c r="E608" t="s">
        <v>1146</v>
      </c>
      <c r="F608">
        <v>7</v>
      </c>
      <c r="G608">
        <v>0.5</v>
      </c>
      <c r="H608">
        <v>2400</v>
      </c>
      <c r="I608">
        <v>1</v>
      </c>
    </row>
    <row r="609" spans="1:9" x14ac:dyDescent="0.3">
      <c r="A609" t="s">
        <v>721</v>
      </c>
      <c r="B609" t="s">
        <v>62</v>
      </c>
      <c r="C609">
        <v>4</v>
      </c>
      <c r="D609">
        <v>25400</v>
      </c>
      <c r="E609" t="s">
        <v>1146</v>
      </c>
      <c r="F609">
        <v>10</v>
      </c>
      <c r="G609">
        <v>5.8</v>
      </c>
      <c r="H609">
        <v>7500</v>
      </c>
      <c r="I609">
        <v>1</v>
      </c>
    </row>
    <row r="610" spans="1:9" x14ac:dyDescent="0.3">
      <c r="A610" t="s">
        <v>722</v>
      </c>
      <c r="B610" t="s">
        <v>64</v>
      </c>
      <c r="C610">
        <v>9</v>
      </c>
      <c r="D610">
        <v>22200</v>
      </c>
      <c r="E610" t="s">
        <v>1146</v>
      </c>
      <c r="F610">
        <v>4</v>
      </c>
      <c r="G610">
        <v>7.9</v>
      </c>
      <c r="H610">
        <v>8600</v>
      </c>
      <c r="I610">
        <v>1</v>
      </c>
    </row>
    <row r="611" spans="1:9" x14ac:dyDescent="0.3">
      <c r="A611" t="s">
        <v>723</v>
      </c>
      <c r="B611" t="s">
        <v>513</v>
      </c>
      <c r="C611">
        <v>4</v>
      </c>
      <c r="D611">
        <v>72600</v>
      </c>
      <c r="E611" t="s">
        <v>1146</v>
      </c>
      <c r="F611">
        <v>0</v>
      </c>
      <c r="G611">
        <v>11.9</v>
      </c>
      <c r="H611">
        <v>2300</v>
      </c>
      <c r="I611">
        <v>1</v>
      </c>
    </row>
    <row r="612" spans="1:9" x14ac:dyDescent="0.3">
      <c r="A612" t="s">
        <v>724</v>
      </c>
      <c r="B612" t="s">
        <v>62</v>
      </c>
      <c r="C612">
        <v>3</v>
      </c>
      <c r="D612">
        <v>29600</v>
      </c>
      <c r="E612" t="s">
        <v>1146</v>
      </c>
      <c r="F612">
        <v>6</v>
      </c>
      <c r="G612">
        <v>0.6</v>
      </c>
      <c r="H612">
        <v>3600</v>
      </c>
      <c r="I612">
        <v>1</v>
      </c>
    </row>
    <row r="613" spans="1:9" x14ac:dyDescent="0.3">
      <c r="A613" t="s">
        <v>725</v>
      </c>
      <c r="B613" t="s">
        <v>513</v>
      </c>
      <c r="C613">
        <v>5</v>
      </c>
      <c r="D613">
        <v>34700</v>
      </c>
      <c r="E613" t="s">
        <v>1146</v>
      </c>
      <c r="F613">
        <v>1</v>
      </c>
      <c r="G613">
        <v>7.6</v>
      </c>
      <c r="H613">
        <v>0</v>
      </c>
      <c r="I613">
        <v>1</v>
      </c>
    </row>
    <row r="614" spans="1:9" x14ac:dyDescent="0.3">
      <c r="A614" t="s">
        <v>726</v>
      </c>
      <c r="B614" t="s">
        <v>65</v>
      </c>
      <c r="C614">
        <v>7</v>
      </c>
      <c r="D614">
        <v>46500</v>
      </c>
      <c r="E614" t="s">
        <v>1146</v>
      </c>
      <c r="F614">
        <v>6</v>
      </c>
      <c r="G614">
        <v>4.5</v>
      </c>
      <c r="H614">
        <v>7700</v>
      </c>
      <c r="I614">
        <v>1</v>
      </c>
    </row>
    <row r="615" spans="1:9" x14ac:dyDescent="0.3">
      <c r="A615" t="s">
        <v>727</v>
      </c>
      <c r="B615" t="s">
        <v>513</v>
      </c>
      <c r="C615">
        <v>5</v>
      </c>
      <c r="D615">
        <v>22600</v>
      </c>
      <c r="E615" t="s">
        <v>1146</v>
      </c>
      <c r="F615">
        <v>5</v>
      </c>
      <c r="G615">
        <v>1.4</v>
      </c>
      <c r="H615">
        <v>6100</v>
      </c>
      <c r="I615">
        <v>1</v>
      </c>
    </row>
    <row r="616" spans="1:9" x14ac:dyDescent="0.3">
      <c r="A616" t="s">
        <v>728</v>
      </c>
      <c r="B616" t="s">
        <v>513</v>
      </c>
      <c r="C616">
        <v>7</v>
      </c>
      <c r="D616">
        <v>44000</v>
      </c>
      <c r="E616" t="s">
        <v>1146</v>
      </c>
      <c r="F616">
        <v>9</v>
      </c>
      <c r="G616">
        <v>6.7</v>
      </c>
      <c r="H616">
        <v>1500</v>
      </c>
      <c r="I616">
        <v>1</v>
      </c>
    </row>
    <row r="617" spans="1:9" x14ac:dyDescent="0.3">
      <c r="A617" t="s">
        <v>729</v>
      </c>
      <c r="B617" t="s">
        <v>62</v>
      </c>
      <c r="C617">
        <v>8</v>
      </c>
      <c r="D617">
        <v>42200</v>
      </c>
      <c r="E617" t="s">
        <v>1146</v>
      </c>
      <c r="F617">
        <v>10</v>
      </c>
      <c r="G617">
        <v>6.7</v>
      </c>
      <c r="H617">
        <v>8800</v>
      </c>
      <c r="I617">
        <v>1</v>
      </c>
    </row>
    <row r="618" spans="1:9" x14ac:dyDescent="0.3">
      <c r="A618" t="s">
        <v>730</v>
      </c>
      <c r="B618" t="s">
        <v>65</v>
      </c>
      <c r="C618">
        <v>5</v>
      </c>
      <c r="D618">
        <v>24800</v>
      </c>
      <c r="E618" t="s">
        <v>1146</v>
      </c>
      <c r="F618">
        <v>0</v>
      </c>
      <c r="G618">
        <v>5.4</v>
      </c>
      <c r="H618">
        <v>4500</v>
      </c>
      <c r="I618">
        <v>1</v>
      </c>
    </row>
    <row r="619" spans="1:9" x14ac:dyDescent="0.3">
      <c r="A619" t="s">
        <v>731</v>
      </c>
      <c r="B619" t="s">
        <v>513</v>
      </c>
      <c r="C619">
        <v>6</v>
      </c>
      <c r="D619">
        <v>56500</v>
      </c>
      <c r="E619" t="s">
        <v>1146</v>
      </c>
      <c r="F619">
        <v>5</v>
      </c>
      <c r="G619">
        <v>0.5</v>
      </c>
      <c r="H619">
        <v>13100</v>
      </c>
      <c r="I619">
        <v>1</v>
      </c>
    </row>
    <row r="620" spans="1:9" x14ac:dyDescent="0.3">
      <c r="A620" t="s">
        <v>732</v>
      </c>
      <c r="B620" t="s">
        <v>513</v>
      </c>
      <c r="C620">
        <v>5</v>
      </c>
      <c r="D620">
        <v>33100</v>
      </c>
      <c r="E620" t="s">
        <v>1146</v>
      </c>
      <c r="F620">
        <v>10</v>
      </c>
      <c r="G620">
        <v>15</v>
      </c>
      <c r="H620">
        <v>7400</v>
      </c>
      <c r="I620">
        <v>1</v>
      </c>
    </row>
    <row r="621" spans="1:9" x14ac:dyDescent="0.3">
      <c r="A621" t="s">
        <v>733</v>
      </c>
      <c r="B621" t="s">
        <v>513</v>
      </c>
      <c r="C621">
        <v>9</v>
      </c>
      <c r="D621">
        <v>36800</v>
      </c>
      <c r="E621" t="s">
        <v>1146</v>
      </c>
      <c r="F621">
        <v>4</v>
      </c>
      <c r="G621">
        <v>8.3000000000000007</v>
      </c>
      <c r="H621">
        <v>3800</v>
      </c>
      <c r="I621">
        <v>1</v>
      </c>
    </row>
    <row r="622" spans="1:9" x14ac:dyDescent="0.3">
      <c r="A622" t="s">
        <v>734</v>
      </c>
      <c r="B622" t="s">
        <v>513</v>
      </c>
      <c r="C622">
        <v>5</v>
      </c>
      <c r="D622">
        <v>24700</v>
      </c>
      <c r="E622" t="s">
        <v>1146</v>
      </c>
      <c r="F622">
        <v>3</v>
      </c>
      <c r="G622">
        <v>4.5</v>
      </c>
      <c r="H622">
        <v>16300</v>
      </c>
      <c r="I622">
        <v>1</v>
      </c>
    </row>
    <row r="623" spans="1:9" x14ac:dyDescent="0.3">
      <c r="A623" t="s">
        <v>735</v>
      </c>
      <c r="B623" t="s">
        <v>64</v>
      </c>
      <c r="C623">
        <v>3</v>
      </c>
      <c r="D623">
        <v>35800</v>
      </c>
      <c r="E623" t="s">
        <v>1146</v>
      </c>
      <c r="F623">
        <v>2</v>
      </c>
      <c r="G623">
        <v>11.5</v>
      </c>
      <c r="H623">
        <v>0</v>
      </c>
      <c r="I623">
        <v>1</v>
      </c>
    </row>
    <row r="624" spans="1:9" x14ac:dyDescent="0.3">
      <c r="A624" t="s">
        <v>736</v>
      </c>
      <c r="B624" t="s">
        <v>62</v>
      </c>
      <c r="C624">
        <v>4</v>
      </c>
      <c r="D624">
        <v>15900</v>
      </c>
      <c r="E624" t="s">
        <v>1146</v>
      </c>
      <c r="F624">
        <v>10</v>
      </c>
      <c r="G624">
        <v>8</v>
      </c>
      <c r="H624">
        <v>300</v>
      </c>
      <c r="I624">
        <v>1</v>
      </c>
    </row>
    <row r="625" spans="1:9" x14ac:dyDescent="0.3">
      <c r="A625" t="s">
        <v>737</v>
      </c>
      <c r="B625" t="s">
        <v>62</v>
      </c>
      <c r="C625">
        <v>3</v>
      </c>
      <c r="D625">
        <v>27200</v>
      </c>
      <c r="E625" t="s">
        <v>1146</v>
      </c>
      <c r="F625">
        <v>9</v>
      </c>
      <c r="G625">
        <v>9.1</v>
      </c>
      <c r="H625">
        <v>1400</v>
      </c>
      <c r="I625">
        <v>1</v>
      </c>
    </row>
    <row r="626" spans="1:9" x14ac:dyDescent="0.3">
      <c r="A626" t="s">
        <v>738</v>
      </c>
      <c r="B626" t="s">
        <v>62</v>
      </c>
      <c r="C626">
        <v>9</v>
      </c>
      <c r="D626">
        <v>21700</v>
      </c>
      <c r="E626" t="s">
        <v>1146</v>
      </c>
      <c r="F626">
        <v>3</v>
      </c>
      <c r="G626">
        <v>8.3000000000000007</v>
      </c>
      <c r="H626">
        <v>9800</v>
      </c>
      <c r="I626">
        <v>1</v>
      </c>
    </row>
    <row r="627" spans="1:9" x14ac:dyDescent="0.3">
      <c r="A627" t="s">
        <v>739</v>
      </c>
      <c r="B627" t="s">
        <v>513</v>
      </c>
      <c r="C627">
        <v>5</v>
      </c>
      <c r="D627">
        <v>38200</v>
      </c>
      <c r="E627" t="s">
        <v>69</v>
      </c>
      <c r="F627">
        <v>47</v>
      </c>
      <c r="G627">
        <v>8.1999999999999993</v>
      </c>
      <c r="H627">
        <v>2800</v>
      </c>
      <c r="I627">
        <v>1</v>
      </c>
    </row>
    <row r="628" spans="1:9" x14ac:dyDescent="0.3">
      <c r="A628" t="s">
        <v>740</v>
      </c>
      <c r="B628" t="s">
        <v>64</v>
      </c>
      <c r="C628">
        <v>11</v>
      </c>
      <c r="D628">
        <v>29600</v>
      </c>
      <c r="E628" t="s">
        <v>1146</v>
      </c>
      <c r="F628">
        <v>1</v>
      </c>
      <c r="G628">
        <v>8.5</v>
      </c>
      <c r="H628">
        <v>7400</v>
      </c>
      <c r="I628">
        <v>1</v>
      </c>
    </row>
    <row r="629" spans="1:9" x14ac:dyDescent="0.3">
      <c r="A629" t="s">
        <v>741</v>
      </c>
      <c r="B629" t="s">
        <v>65</v>
      </c>
      <c r="C629">
        <v>8</v>
      </c>
      <c r="D629">
        <v>54400</v>
      </c>
      <c r="E629" t="s">
        <v>1146</v>
      </c>
      <c r="F629">
        <v>2</v>
      </c>
      <c r="G629">
        <v>8.5</v>
      </c>
      <c r="H629">
        <v>2600</v>
      </c>
      <c r="I629">
        <v>1</v>
      </c>
    </row>
    <row r="630" spans="1:9" x14ac:dyDescent="0.3">
      <c r="A630" t="s">
        <v>742</v>
      </c>
      <c r="B630" t="s">
        <v>62</v>
      </c>
      <c r="C630">
        <v>8</v>
      </c>
      <c r="D630">
        <v>78900</v>
      </c>
      <c r="E630" t="s">
        <v>1146</v>
      </c>
      <c r="F630">
        <v>8</v>
      </c>
      <c r="G630">
        <v>3</v>
      </c>
      <c r="H630">
        <v>2500</v>
      </c>
      <c r="I630">
        <v>1</v>
      </c>
    </row>
    <row r="631" spans="1:9" x14ac:dyDescent="0.3">
      <c r="A631" t="s">
        <v>743</v>
      </c>
      <c r="B631" t="s">
        <v>65</v>
      </c>
      <c r="C631">
        <v>8</v>
      </c>
      <c r="D631">
        <v>34000</v>
      </c>
      <c r="E631" t="s">
        <v>1146</v>
      </c>
      <c r="F631">
        <v>7</v>
      </c>
      <c r="G631">
        <v>5.9</v>
      </c>
      <c r="H631">
        <v>9000</v>
      </c>
      <c r="I631">
        <v>1</v>
      </c>
    </row>
    <row r="632" spans="1:9" x14ac:dyDescent="0.3">
      <c r="A632" t="s">
        <v>744</v>
      </c>
      <c r="B632" t="s">
        <v>62</v>
      </c>
      <c r="C632">
        <v>6</v>
      </c>
      <c r="D632">
        <v>48800</v>
      </c>
      <c r="E632" t="s">
        <v>1146</v>
      </c>
      <c r="F632">
        <v>8</v>
      </c>
      <c r="G632">
        <v>9.1</v>
      </c>
      <c r="H632">
        <v>100</v>
      </c>
      <c r="I632">
        <v>1</v>
      </c>
    </row>
    <row r="633" spans="1:9" x14ac:dyDescent="0.3">
      <c r="A633" t="s">
        <v>745</v>
      </c>
      <c r="B633" t="s">
        <v>64</v>
      </c>
      <c r="C633">
        <v>3</v>
      </c>
      <c r="D633">
        <v>28200</v>
      </c>
      <c r="E633" t="s">
        <v>1146</v>
      </c>
      <c r="F633">
        <v>3</v>
      </c>
      <c r="G633">
        <v>3.1</v>
      </c>
      <c r="H633">
        <v>2800</v>
      </c>
      <c r="I633">
        <v>1</v>
      </c>
    </row>
    <row r="634" spans="1:9" x14ac:dyDescent="0.3">
      <c r="A634" t="s">
        <v>746</v>
      </c>
      <c r="B634" t="s">
        <v>64</v>
      </c>
      <c r="C634">
        <v>5</v>
      </c>
      <c r="D634">
        <v>17600</v>
      </c>
      <c r="E634" t="s">
        <v>1146</v>
      </c>
      <c r="F634">
        <v>0</v>
      </c>
      <c r="G634">
        <v>2.2000000000000002</v>
      </c>
      <c r="H634">
        <v>1200</v>
      </c>
      <c r="I634">
        <v>1</v>
      </c>
    </row>
    <row r="635" spans="1:9" x14ac:dyDescent="0.3">
      <c r="A635" t="s">
        <v>747</v>
      </c>
      <c r="B635" t="s">
        <v>513</v>
      </c>
      <c r="C635">
        <v>2</v>
      </c>
      <c r="D635">
        <v>27800</v>
      </c>
      <c r="E635" t="s">
        <v>1146</v>
      </c>
      <c r="F635">
        <v>2</v>
      </c>
      <c r="G635">
        <v>8</v>
      </c>
      <c r="H635">
        <v>4800</v>
      </c>
      <c r="I635">
        <v>1</v>
      </c>
    </row>
    <row r="636" spans="1:9" x14ac:dyDescent="0.3">
      <c r="A636" t="s">
        <v>748</v>
      </c>
      <c r="B636" t="s">
        <v>64</v>
      </c>
      <c r="C636">
        <v>7</v>
      </c>
      <c r="D636">
        <v>163100</v>
      </c>
      <c r="E636" t="s">
        <v>1146</v>
      </c>
      <c r="F636">
        <v>9</v>
      </c>
      <c r="G636">
        <v>4.5999999999999996</v>
      </c>
      <c r="H636">
        <v>3000</v>
      </c>
      <c r="I636">
        <v>1</v>
      </c>
    </row>
    <row r="637" spans="1:9" x14ac:dyDescent="0.3">
      <c r="A637" t="s">
        <v>749</v>
      </c>
      <c r="B637" t="s">
        <v>64</v>
      </c>
      <c r="C637">
        <v>5</v>
      </c>
      <c r="D637">
        <v>63900</v>
      </c>
      <c r="E637" t="s">
        <v>1146</v>
      </c>
      <c r="F637">
        <v>8</v>
      </c>
      <c r="G637">
        <v>0.3</v>
      </c>
      <c r="H637">
        <v>0</v>
      </c>
      <c r="I637">
        <v>1</v>
      </c>
    </row>
    <row r="638" spans="1:9" x14ac:dyDescent="0.3">
      <c r="A638" t="s">
        <v>750</v>
      </c>
      <c r="B638" t="s">
        <v>65</v>
      </c>
      <c r="C638">
        <v>6</v>
      </c>
      <c r="D638">
        <v>42900</v>
      </c>
      <c r="E638" t="s">
        <v>1146</v>
      </c>
      <c r="F638">
        <v>0</v>
      </c>
      <c r="G638">
        <v>8</v>
      </c>
      <c r="H638">
        <v>1500</v>
      </c>
      <c r="I638">
        <v>1</v>
      </c>
    </row>
    <row r="639" spans="1:9" x14ac:dyDescent="0.3">
      <c r="A639" t="s">
        <v>751</v>
      </c>
      <c r="B639" t="s">
        <v>64</v>
      </c>
      <c r="C639">
        <v>8</v>
      </c>
      <c r="D639">
        <v>38800</v>
      </c>
      <c r="E639" t="s">
        <v>1146</v>
      </c>
      <c r="F639">
        <v>7</v>
      </c>
      <c r="G639">
        <v>5</v>
      </c>
      <c r="H639">
        <v>5800</v>
      </c>
      <c r="I639">
        <v>1</v>
      </c>
    </row>
    <row r="640" spans="1:9" x14ac:dyDescent="0.3">
      <c r="A640" t="s">
        <v>752</v>
      </c>
      <c r="B640" t="s">
        <v>62</v>
      </c>
      <c r="C640">
        <v>6</v>
      </c>
      <c r="D640">
        <v>39100</v>
      </c>
      <c r="E640" t="s">
        <v>1146</v>
      </c>
      <c r="F640">
        <v>9</v>
      </c>
      <c r="G640">
        <v>3.1</v>
      </c>
      <c r="H640">
        <v>7300</v>
      </c>
      <c r="I640">
        <v>1</v>
      </c>
    </row>
    <row r="641" spans="1:9" x14ac:dyDescent="0.3">
      <c r="A641" t="s">
        <v>753</v>
      </c>
      <c r="B641" t="s">
        <v>513</v>
      </c>
      <c r="C641">
        <v>4</v>
      </c>
      <c r="D641">
        <v>26300</v>
      </c>
      <c r="E641" t="s">
        <v>1146</v>
      </c>
      <c r="F641">
        <v>5</v>
      </c>
      <c r="G641">
        <v>5.2</v>
      </c>
      <c r="H641">
        <v>9300</v>
      </c>
      <c r="I641">
        <v>1</v>
      </c>
    </row>
    <row r="642" spans="1:9" x14ac:dyDescent="0.3">
      <c r="A642" t="s">
        <v>754</v>
      </c>
      <c r="B642" t="s">
        <v>62</v>
      </c>
      <c r="C642">
        <v>6</v>
      </c>
      <c r="D642">
        <v>34900</v>
      </c>
      <c r="E642" t="s">
        <v>1146</v>
      </c>
      <c r="F642">
        <v>2</v>
      </c>
      <c r="G642">
        <v>4.5999999999999996</v>
      </c>
      <c r="H642">
        <v>6300</v>
      </c>
      <c r="I642">
        <v>1</v>
      </c>
    </row>
    <row r="643" spans="1:9" x14ac:dyDescent="0.3">
      <c r="A643" t="s">
        <v>755</v>
      </c>
      <c r="B643" t="s">
        <v>62</v>
      </c>
      <c r="C643">
        <v>5</v>
      </c>
      <c r="D643">
        <v>81100</v>
      </c>
      <c r="E643" t="s">
        <v>1146</v>
      </c>
      <c r="F643">
        <v>4</v>
      </c>
      <c r="G643">
        <v>10</v>
      </c>
      <c r="H643">
        <v>7100</v>
      </c>
      <c r="I643">
        <v>1</v>
      </c>
    </row>
    <row r="644" spans="1:9" x14ac:dyDescent="0.3">
      <c r="A644" t="s">
        <v>756</v>
      </c>
      <c r="B644" t="s">
        <v>64</v>
      </c>
      <c r="C644">
        <v>7</v>
      </c>
      <c r="D644">
        <v>50300</v>
      </c>
      <c r="E644" t="s">
        <v>1146</v>
      </c>
      <c r="F644">
        <v>5</v>
      </c>
      <c r="G644">
        <v>4.5</v>
      </c>
      <c r="H644">
        <v>11200</v>
      </c>
      <c r="I644">
        <v>1</v>
      </c>
    </row>
    <row r="645" spans="1:9" x14ac:dyDescent="0.3">
      <c r="A645" t="s">
        <v>757</v>
      </c>
      <c r="B645" t="s">
        <v>62</v>
      </c>
      <c r="C645">
        <v>10</v>
      </c>
      <c r="D645">
        <v>78100</v>
      </c>
      <c r="E645" t="s">
        <v>1146</v>
      </c>
      <c r="F645">
        <v>3</v>
      </c>
      <c r="G645">
        <v>7.7</v>
      </c>
      <c r="H645">
        <v>3400</v>
      </c>
      <c r="I645">
        <v>1</v>
      </c>
    </row>
    <row r="646" spans="1:9" x14ac:dyDescent="0.3">
      <c r="A646" t="s">
        <v>758</v>
      </c>
      <c r="B646" t="s">
        <v>513</v>
      </c>
      <c r="C646">
        <v>6</v>
      </c>
      <c r="D646">
        <v>174600</v>
      </c>
      <c r="E646" t="s">
        <v>1146</v>
      </c>
      <c r="F646">
        <v>10</v>
      </c>
      <c r="G646">
        <v>2.2000000000000002</v>
      </c>
      <c r="H646">
        <v>5300</v>
      </c>
      <c r="I646">
        <v>1</v>
      </c>
    </row>
    <row r="647" spans="1:9" x14ac:dyDescent="0.3">
      <c r="A647" t="s">
        <v>759</v>
      </c>
      <c r="B647" t="s">
        <v>64</v>
      </c>
      <c r="C647">
        <v>7</v>
      </c>
      <c r="D647">
        <v>22700</v>
      </c>
      <c r="E647" t="s">
        <v>1146</v>
      </c>
      <c r="F647">
        <v>8</v>
      </c>
      <c r="G647">
        <v>3.6</v>
      </c>
      <c r="H647">
        <v>5500</v>
      </c>
      <c r="I647">
        <v>1</v>
      </c>
    </row>
    <row r="648" spans="1:9" x14ac:dyDescent="0.3">
      <c r="A648" t="s">
        <v>760</v>
      </c>
      <c r="B648" t="s">
        <v>65</v>
      </c>
      <c r="C648">
        <v>10</v>
      </c>
      <c r="D648">
        <v>49300</v>
      </c>
      <c r="E648" t="s">
        <v>1146</v>
      </c>
      <c r="F648">
        <v>7</v>
      </c>
      <c r="G648">
        <v>4.0999999999999996</v>
      </c>
      <c r="H648">
        <v>2200</v>
      </c>
      <c r="I648">
        <v>1</v>
      </c>
    </row>
    <row r="649" spans="1:9" x14ac:dyDescent="0.3">
      <c r="A649" t="s">
        <v>761</v>
      </c>
      <c r="B649" t="s">
        <v>64</v>
      </c>
      <c r="C649">
        <v>10</v>
      </c>
      <c r="D649">
        <v>66300</v>
      </c>
      <c r="E649" t="s">
        <v>1146</v>
      </c>
      <c r="F649">
        <v>10</v>
      </c>
      <c r="G649">
        <v>6.2</v>
      </c>
      <c r="H649">
        <v>8900</v>
      </c>
      <c r="I649">
        <v>1</v>
      </c>
    </row>
    <row r="650" spans="1:9" x14ac:dyDescent="0.3">
      <c r="A650" t="s">
        <v>762</v>
      </c>
      <c r="B650" t="s">
        <v>64</v>
      </c>
      <c r="C650">
        <v>9</v>
      </c>
      <c r="D650">
        <v>30700</v>
      </c>
      <c r="E650" t="s">
        <v>1146</v>
      </c>
      <c r="F650">
        <v>5</v>
      </c>
      <c r="G650">
        <v>10.6</v>
      </c>
      <c r="H650">
        <v>0</v>
      </c>
      <c r="I650">
        <v>1</v>
      </c>
    </row>
    <row r="651" spans="1:9" x14ac:dyDescent="0.3">
      <c r="A651" t="s">
        <v>763</v>
      </c>
      <c r="B651" t="s">
        <v>65</v>
      </c>
      <c r="C651">
        <v>7</v>
      </c>
      <c r="D651">
        <v>75900</v>
      </c>
      <c r="E651" t="s">
        <v>1146</v>
      </c>
      <c r="F651">
        <v>1</v>
      </c>
      <c r="G651">
        <v>0.7</v>
      </c>
      <c r="H651">
        <v>0</v>
      </c>
      <c r="I651">
        <v>1</v>
      </c>
    </row>
    <row r="652" spans="1:9" x14ac:dyDescent="0.3">
      <c r="A652" t="s">
        <v>764</v>
      </c>
      <c r="B652" t="s">
        <v>62</v>
      </c>
      <c r="C652">
        <v>9</v>
      </c>
      <c r="D652">
        <v>36500</v>
      </c>
      <c r="E652" t="s">
        <v>1146</v>
      </c>
      <c r="F652">
        <v>0</v>
      </c>
      <c r="G652">
        <v>9.1999999999999993</v>
      </c>
      <c r="H652">
        <v>3400</v>
      </c>
      <c r="I652">
        <v>1</v>
      </c>
    </row>
    <row r="653" spans="1:9" x14ac:dyDescent="0.3">
      <c r="A653" t="s">
        <v>765</v>
      </c>
      <c r="B653" t="s">
        <v>64</v>
      </c>
      <c r="C653">
        <v>8</v>
      </c>
      <c r="D653">
        <v>45700</v>
      </c>
      <c r="E653" t="s">
        <v>1146</v>
      </c>
      <c r="F653">
        <v>10</v>
      </c>
      <c r="G653">
        <v>8.6999999999999993</v>
      </c>
      <c r="H653">
        <v>9700</v>
      </c>
      <c r="I653">
        <v>1</v>
      </c>
    </row>
    <row r="654" spans="1:9" x14ac:dyDescent="0.3">
      <c r="A654" t="s">
        <v>766</v>
      </c>
      <c r="B654" t="s">
        <v>65</v>
      </c>
      <c r="C654">
        <v>4</v>
      </c>
      <c r="D654">
        <v>30900</v>
      </c>
      <c r="E654" t="s">
        <v>1146</v>
      </c>
      <c r="F654">
        <v>1</v>
      </c>
      <c r="G654">
        <v>12.7</v>
      </c>
      <c r="H654">
        <v>3400</v>
      </c>
      <c r="I654">
        <v>1</v>
      </c>
    </row>
    <row r="655" spans="1:9" x14ac:dyDescent="0.3">
      <c r="A655" t="s">
        <v>767</v>
      </c>
      <c r="B655" t="s">
        <v>513</v>
      </c>
      <c r="C655">
        <v>4</v>
      </c>
      <c r="D655">
        <v>27500</v>
      </c>
      <c r="E655" t="s">
        <v>1146</v>
      </c>
      <c r="F655">
        <v>2</v>
      </c>
      <c r="G655">
        <v>5</v>
      </c>
      <c r="H655">
        <v>7400</v>
      </c>
      <c r="I655">
        <v>1</v>
      </c>
    </row>
    <row r="656" spans="1:9" x14ac:dyDescent="0.3">
      <c r="A656" t="s">
        <v>768</v>
      </c>
      <c r="B656" t="s">
        <v>64</v>
      </c>
      <c r="C656">
        <v>5</v>
      </c>
      <c r="D656">
        <v>58100</v>
      </c>
      <c r="E656" t="s">
        <v>1146</v>
      </c>
      <c r="F656">
        <v>1</v>
      </c>
      <c r="G656">
        <v>7.2</v>
      </c>
      <c r="H656">
        <v>0</v>
      </c>
      <c r="I656">
        <v>1</v>
      </c>
    </row>
    <row r="657" spans="1:9" x14ac:dyDescent="0.3">
      <c r="A657" t="s">
        <v>769</v>
      </c>
      <c r="B657" t="s">
        <v>64</v>
      </c>
      <c r="C657">
        <v>6</v>
      </c>
      <c r="D657">
        <v>27600</v>
      </c>
      <c r="E657" t="s">
        <v>1146</v>
      </c>
      <c r="F657">
        <v>0</v>
      </c>
      <c r="G657">
        <v>1</v>
      </c>
      <c r="H657">
        <v>600</v>
      </c>
      <c r="I657">
        <v>1</v>
      </c>
    </row>
    <row r="658" spans="1:9" x14ac:dyDescent="0.3">
      <c r="A658" t="s">
        <v>770</v>
      </c>
      <c r="B658" t="s">
        <v>65</v>
      </c>
      <c r="C658">
        <v>5</v>
      </c>
      <c r="D658">
        <v>25700</v>
      </c>
      <c r="E658" t="s">
        <v>1146</v>
      </c>
      <c r="F658">
        <v>7</v>
      </c>
      <c r="G658">
        <v>11.9</v>
      </c>
      <c r="H658">
        <v>5800</v>
      </c>
      <c r="I658">
        <v>1</v>
      </c>
    </row>
    <row r="659" spans="1:9" x14ac:dyDescent="0.3">
      <c r="A659" t="s">
        <v>771</v>
      </c>
      <c r="B659" t="s">
        <v>64</v>
      </c>
      <c r="C659">
        <v>1</v>
      </c>
      <c r="D659">
        <v>54100</v>
      </c>
      <c r="E659" t="s">
        <v>1146</v>
      </c>
      <c r="F659">
        <v>1</v>
      </c>
      <c r="G659">
        <v>8.6999999999999993</v>
      </c>
      <c r="H659">
        <v>1000</v>
      </c>
      <c r="I659">
        <v>1</v>
      </c>
    </row>
    <row r="660" spans="1:9" x14ac:dyDescent="0.3">
      <c r="A660" t="s">
        <v>772</v>
      </c>
      <c r="B660" t="s">
        <v>62</v>
      </c>
      <c r="C660">
        <v>9</v>
      </c>
      <c r="D660">
        <v>78500</v>
      </c>
      <c r="E660" t="s">
        <v>1146</v>
      </c>
      <c r="F660">
        <v>3</v>
      </c>
      <c r="G660">
        <v>9.8000000000000007</v>
      </c>
      <c r="H660">
        <v>7400</v>
      </c>
      <c r="I660">
        <v>1</v>
      </c>
    </row>
    <row r="661" spans="1:9" x14ac:dyDescent="0.3">
      <c r="A661" t="s">
        <v>773</v>
      </c>
      <c r="B661" t="s">
        <v>64</v>
      </c>
      <c r="C661">
        <v>4</v>
      </c>
      <c r="D661">
        <v>63700</v>
      </c>
      <c r="E661" t="s">
        <v>1146</v>
      </c>
      <c r="F661">
        <v>7</v>
      </c>
      <c r="G661">
        <v>9.6</v>
      </c>
      <c r="H661">
        <v>12200</v>
      </c>
      <c r="I661">
        <v>1</v>
      </c>
    </row>
    <row r="662" spans="1:9" x14ac:dyDescent="0.3">
      <c r="A662" t="s">
        <v>774</v>
      </c>
      <c r="B662" t="s">
        <v>513</v>
      </c>
      <c r="C662">
        <v>6</v>
      </c>
      <c r="D662">
        <v>24100</v>
      </c>
      <c r="E662" t="s">
        <v>1146</v>
      </c>
      <c r="F662">
        <v>1</v>
      </c>
      <c r="G662">
        <v>4.9000000000000004</v>
      </c>
      <c r="H662">
        <v>5600</v>
      </c>
      <c r="I662">
        <v>1</v>
      </c>
    </row>
    <row r="663" spans="1:9" x14ac:dyDescent="0.3">
      <c r="A663" t="s">
        <v>775</v>
      </c>
      <c r="B663" t="s">
        <v>62</v>
      </c>
      <c r="C663">
        <v>6</v>
      </c>
      <c r="D663">
        <v>39500</v>
      </c>
      <c r="E663" t="s">
        <v>1146</v>
      </c>
      <c r="F663">
        <v>4</v>
      </c>
      <c r="G663">
        <v>9.5</v>
      </c>
      <c r="H663">
        <v>6600</v>
      </c>
      <c r="I663">
        <v>1</v>
      </c>
    </row>
    <row r="664" spans="1:9" x14ac:dyDescent="0.3">
      <c r="A664" t="s">
        <v>776</v>
      </c>
      <c r="B664" t="s">
        <v>64</v>
      </c>
      <c r="C664">
        <v>6</v>
      </c>
      <c r="D664">
        <v>51400</v>
      </c>
      <c r="E664" t="s">
        <v>1146</v>
      </c>
      <c r="F664">
        <v>9</v>
      </c>
      <c r="G664">
        <v>2.5</v>
      </c>
      <c r="H664">
        <v>6700</v>
      </c>
      <c r="I664">
        <v>1</v>
      </c>
    </row>
    <row r="665" spans="1:9" x14ac:dyDescent="0.3">
      <c r="A665" t="s">
        <v>777</v>
      </c>
      <c r="B665" t="s">
        <v>62</v>
      </c>
      <c r="C665">
        <v>8</v>
      </c>
      <c r="D665">
        <v>67300</v>
      </c>
      <c r="E665" t="s">
        <v>1146</v>
      </c>
      <c r="F665">
        <v>7</v>
      </c>
      <c r="G665">
        <v>9.6999999999999993</v>
      </c>
      <c r="H665">
        <v>7300</v>
      </c>
      <c r="I665">
        <v>1</v>
      </c>
    </row>
    <row r="666" spans="1:9" x14ac:dyDescent="0.3">
      <c r="A666" t="s">
        <v>778</v>
      </c>
      <c r="B666" t="s">
        <v>62</v>
      </c>
      <c r="C666">
        <v>6</v>
      </c>
      <c r="D666">
        <v>57100</v>
      </c>
      <c r="E666" t="s">
        <v>1146</v>
      </c>
      <c r="F666">
        <v>5</v>
      </c>
      <c r="G666">
        <v>5.2</v>
      </c>
      <c r="H666">
        <v>1900</v>
      </c>
      <c r="I666">
        <v>1</v>
      </c>
    </row>
    <row r="667" spans="1:9" x14ac:dyDescent="0.3">
      <c r="A667" t="s">
        <v>779</v>
      </c>
      <c r="B667" t="s">
        <v>513</v>
      </c>
      <c r="C667">
        <v>5</v>
      </c>
      <c r="D667">
        <v>35500</v>
      </c>
      <c r="E667" t="s">
        <v>1146</v>
      </c>
      <c r="F667">
        <v>9</v>
      </c>
      <c r="G667">
        <v>10.7</v>
      </c>
      <c r="H667">
        <v>11300</v>
      </c>
      <c r="I667">
        <v>1</v>
      </c>
    </row>
    <row r="668" spans="1:9" x14ac:dyDescent="0.3">
      <c r="A668" t="s">
        <v>780</v>
      </c>
      <c r="B668" t="s">
        <v>64</v>
      </c>
      <c r="C668">
        <v>4</v>
      </c>
      <c r="D668">
        <v>45700</v>
      </c>
      <c r="E668" t="s">
        <v>1146</v>
      </c>
      <c r="F668">
        <v>7</v>
      </c>
      <c r="G668">
        <v>9.1</v>
      </c>
      <c r="H668">
        <v>2500</v>
      </c>
      <c r="I668">
        <v>1</v>
      </c>
    </row>
    <row r="669" spans="1:9" x14ac:dyDescent="0.3">
      <c r="A669" t="s">
        <v>781</v>
      </c>
      <c r="B669" t="s">
        <v>62</v>
      </c>
      <c r="C669">
        <v>7</v>
      </c>
      <c r="D669">
        <v>31000</v>
      </c>
      <c r="E669" t="s">
        <v>1146</v>
      </c>
      <c r="F669">
        <v>3</v>
      </c>
      <c r="G669">
        <v>8.1999999999999993</v>
      </c>
      <c r="H669">
        <v>7600</v>
      </c>
      <c r="I669">
        <v>1</v>
      </c>
    </row>
    <row r="670" spans="1:9" x14ac:dyDescent="0.3">
      <c r="A670" t="s">
        <v>782</v>
      </c>
      <c r="B670" t="s">
        <v>513</v>
      </c>
      <c r="C670">
        <v>4</v>
      </c>
      <c r="D670">
        <v>114700</v>
      </c>
      <c r="E670" t="s">
        <v>1146</v>
      </c>
      <c r="F670">
        <v>6</v>
      </c>
      <c r="G670">
        <v>14.2</v>
      </c>
      <c r="H670">
        <v>7200</v>
      </c>
      <c r="I670">
        <v>1</v>
      </c>
    </row>
    <row r="671" spans="1:9" x14ac:dyDescent="0.3">
      <c r="A671" t="s">
        <v>783</v>
      </c>
      <c r="B671" t="s">
        <v>62</v>
      </c>
      <c r="C671">
        <v>7</v>
      </c>
      <c r="D671">
        <v>48300</v>
      </c>
      <c r="E671" t="s">
        <v>1146</v>
      </c>
      <c r="F671">
        <v>4</v>
      </c>
      <c r="G671">
        <v>5.9</v>
      </c>
      <c r="H671">
        <v>5900</v>
      </c>
      <c r="I671">
        <v>1</v>
      </c>
    </row>
    <row r="672" spans="1:9" x14ac:dyDescent="0.3">
      <c r="A672" t="s">
        <v>784</v>
      </c>
      <c r="B672" t="s">
        <v>62</v>
      </c>
      <c r="C672">
        <v>4</v>
      </c>
      <c r="D672">
        <v>42200</v>
      </c>
      <c r="E672" t="s">
        <v>1146</v>
      </c>
      <c r="F672">
        <v>4</v>
      </c>
      <c r="G672">
        <v>6.1</v>
      </c>
      <c r="H672">
        <v>5500</v>
      </c>
      <c r="I672">
        <v>1</v>
      </c>
    </row>
    <row r="673" spans="1:9" x14ac:dyDescent="0.3">
      <c r="A673" t="s">
        <v>785</v>
      </c>
      <c r="B673" t="s">
        <v>65</v>
      </c>
      <c r="C673">
        <v>9</v>
      </c>
      <c r="D673">
        <v>35300</v>
      </c>
      <c r="E673" t="s">
        <v>1146</v>
      </c>
      <c r="F673">
        <v>4</v>
      </c>
      <c r="G673">
        <v>10.4</v>
      </c>
      <c r="H673">
        <v>10300</v>
      </c>
      <c r="I673">
        <v>1</v>
      </c>
    </row>
    <row r="674" spans="1:9" x14ac:dyDescent="0.3">
      <c r="A674" t="s">
        <v>786</v>
      </c>
      <c r="B674" t="s">
        <v>64</v>
      </c>
      <c r="C674">
        <v>5</v>
      </c>
      <c r="D674">
        <v>27600</v>
      </c>
      <c r="E674" t="s">
        <v>1146</v>
      </c>
      <c r="F674">
        <v>2</v>
      </c>
      <c r="G674">
        <v>9</v>
      </c>
      <c r="H674">
        <v>1300</v>
      </c>
      <c r="I674">
        <v>1</v>
      </c>
    </row>
    <row r="675" spans="1:9" x14ac:dyDescent="0.3">
      <c r="A675" t="s">
        <v>787</v>
      </c>
      <c r="B675" t="s">
        <v>64</v>
      </c>
      <c r="C675">
        <v>6</v>
      </c>
      <c r="D675">
        <v>68700</v>
      </c>
      <c r="E675" t="s">
        <v>1146</v>
      </c>
      <c r="F675">
        <v>10</v>
      </c>
      <c r="G675">
        <v>2.5</v>
      </c>
      <c r="H675">
        <v>14400</v>
      </c>
      <c r="I675">
        <v>1</v>
      </c>
    </row>
    <row r="676" spans="1:9" x14ac:dyDescent="0.3">
      <c r="A676" t="s">
        <v>788</v>
      </c>
      <c r="B676" t="s">
        <v>62</v>
      </c>
      <c r="C676">
        <v>7</v>
      </c>
      <c r="D676">
        <v>59900</v>
      </c>
      <c r="E676" t="s">
        <v>1146</v>
      </c>
      <c r="F676">
        <v>1</v>
      </c>
      <c r="G676">
        <v>7.4</v>
      </c>
      <c r="H676">
        <v>4700</v>
      </c>
      <c r="I676">
        <v>1</v>
      </c>
    </row>
    <row r="677" spans="1:9" x14ac:dyDescent="0.3">
      <c r="A677" t="s">
        <v>789</v>
      </c>
      <c r="B677" t="s">
        <v>513</v>
      </c>
      <c r="C677">
        <v>7</v>
      </c>
      <c r="D677">
        <v>54500</v>
      </c>
      <c r="E677" t="s">
        <v>1146</v>
      </c>
      <c r="F677">
        <v>8</v>
      </c>
      <c r="G677">
        <v>1.8</v>
      </c>
      <c r="H677">
        <v>6800</v>
      </c>
      <c r="I677">
        <v>1</v>
      </c>
    </row>
    <row r="678" spans="1:9" x14ac:dyDescent="0.3">
      <c r="A678" t="s">
        <v>790</v>
      </c>
      <c r="B678" t="s">
        <v>62</v>
      </c>
      <c r="C678">
        <v>7</v>
      </c>
      <c r="D678">
        <v>61200</v>
      </c>
      <c r="E678" t="s">
        <v>1146</v>
      </c>
      <c r="F678">
        <v>4</v>
      </c>
      <c r="G678">
        <v>8.5</v>
      </c>
      <c r="H678">
        <v>1900</v>
      </c>
      <c r="I678">
        <v>1</v>
      </c>
    </row>
    <row r="679" spans="1:9" x14ac:dyDescent="0.3">
      <c r="A679" t="s">
        <v>791</v>
      </c>
      <c r="B679" t="s">
        <v>64</v>
      </c>
      <c r="C679">
        <v>6</v>
      </c>
      <c r="D679">
        <v>76300</v>
      </c>
      <c r="E679" t="s">
        <v>1146</v>
      </c>
      <c r="F679">
        <v>10</v>
      </c>
      <c r="G679">
        <v>2.2000000000000002</v>
      </c>
      <c r="H679">
        <v>0</v>
      </c>
      <c r="I679">
        <v>1</v>
      </c>
    </row>
    <row r="680" spans="1:9" x14ac:dyDescent="0.3">
      <c r="A680" t="s">
        <v>792</v>
      </c>
      <c r="B680" t="s">
        <v>62</v>
      </c>
      <c r="C680">
        <v>4</v>
      </c>
      <c r="D680">
        <v>13200</v>
      </c>
      <c r="E680" t="s">
        <v>1146</v>
      </c>
      <c r="F680">
        <v>8</v>
      </c>
      <c r="G680">
        <v>7</v>
      </c>
      <c r="H680">
        <v>6500</v>
      </c>
      <c r="I680">
        <v>1</v>
      </c>
    </row>
    <row r="681" spans="1:9" x14ac:dyDescent="0.3">
      <c r="A681" t="s">
        <v>793</v>
      </c>
      <c r="B681" t="s">
        <v>62</v>
      </c>
      <c r="C681">
        <v>8</v>
      </c>
      <c r="D681">
        <v>15700</v>
      </c>
      <c r="E681" t="s">
        <v>1146</v>
      </c>
      <c r="F681">
        <v>1</v>
      </c>
      <c r="G681">
        <v>10</v>
      </c>
      <c r="H681">
        <v>7300</v>
      </c>
      <c r="I681">
        <v>1</v>
      </c>
    </row>
    <row r="682" spans="1:9" x14ac:dyDescent="0.3">
      <c r="A682" t="s">
        <v>794</v>
      </c>
      <c r="B682" t="s">
        <v>65</v>
      </c>
      <c r="C682">
        <v>7</v>
      </c>
      <c r="D682">
        <v>17400</v>
      </c>
      <c r="E682" t="s">
        <v>1146</v>
      </c>
      <c r="F682">
        <v>9</v>
      </c>
      <c r="G682">
        <v>4.3</v>
      </c>
      <c r="H682">
        <v>0</v>
      </c>
      <c r="I682">
        <v>1</v>
      </c>
    </row>
    <row r="683" spans="1:9" x14ac:dyDescent="0.3">
      <c r="A683" t="s">
        <v>795</v>
      </c>
      <c r="B683" t="s">
        <v>513</v>
      </c>
      <c r="C683">
        <v>11</v>
      </c>
      <c r="D683">
        <v>132300</v>
      </c>
      <c r="E683" t="s">
        <v>1146</v>
      </c>
      <c r="F683">
        <v>2</v>
      </c>
      <c r="G683">
        <v>10.199999999999999</v>
      </c>
      <c r="H683">
        <v>13000</v>
      </c>
      <c r="I683">
        <v>1</v>
      </c>
    </row>
    <row r="684" spans="1:9" x14ac:dyDescent="0.3">
      <c r="A684" t="s">
        <v>796</v>
      </c>
      <c r="B684" t="s">
        <v>62</v>
      </c>
      <c r="C684">
        <v>2</v>
      </c>
      <c r="D684">
        <v>30900</v>
      </c>
      <c r="E684" t="s">
        <v>1146</v>
      </c>
      <c r="F684">
        <v>0</v>
      </c>
      <c r="G684">
        <v>2.5</v>
      </c>
      <c r="H684">
        <v>1200</v>
      </c>
      <c r="I684">
        <v>1</v>
      </c>
    </row>
    <row r="685" spans="1:9" x14ac:dyDescent="0.3">
      <c r="A685" t="s">
        <v>797</v>
      </c>
      <c r="B685" t="s">
        <v>65</v>
      </c>
      <c r="C685">
        <v>7</v>
      </c>
      <c r="D685">
        <v>66900</v>
      </c>
      <c r="E685" t="s">
        <v>1146</v>
      </c>
      <c r="F685">
        <v>0</v>
      </c>
      <c r="G685">
        <v>5.0999999999999996</v>
      </c>
      <c r="H685">
        <v>3000</v>
      </c>
      <c r="I685">
        <v>1</v>
      </c>
    </row>
    <row r="686" spans="1:9" x14ac:dyDescent="0.3">
      <c r="A686" t="s">
        <v>798</v>
      </c>
      <c r="B686" t="s">
        <v>65</v>
      </c>
      <c r="C686">
        <v>4</v>
      </c>
      <c r="D686">
        <v>40100</v>
      </c>
      <c r="E686" t="s">
        <v>1146</v>
      </c>
      <c r="F686">
        <v>3</v>
      </c>
      <c r="G686">
        <v>2.4</v>
      </c>
      <c r="H686">
        <v>500</v>
      </c>
      <c r="I686">
        <v>1</v>
      </c>
    </row>
    <row r="687" spans="1:9" x14ac:dyDescent="0.3">
      <c r="A687" t="s">
        <v>799</v>
      </c>
      <c r="B687" t="s">
        <v>65</v>
      </c>
      <c r="C687">
        <v>5</v>
      </c>
      <c r="D687">
        <v>44000</v>
      </c>
      <c r="E687" t="s">
        <v>1146</v>
      </c>
      <c r="F687">
        <v>1</v>
      </c>
      <c r="G687">
        <v>10.5</v>
      </c>
      <c r="H687">
        <v>11400</v>
      </c>
      <c r="I687">
        <v>1</v>
      </c>
    </row>
    <row r="688" spans="1:9" x14ac:dyDescent="0.3">
      <c r="A688" t="s">
        <v>800</v>
      </c>
      <c r="B688" t="s">
        <v>64</v>
      </c>
      <c r="C688">
        <v>7</v>
      </c>
      <c r="D688">
        <v>108000</v>
      </c>
      <c r="E688" t="s">
        <v>67</v>
      </c>
      <c r="F688">
        <v>85</v>
      </c>
      <c r="G688">
        <v>7.3</v>
      </c>
      <c r="H688">
        <v>1100</v>
      </c>
      <c r="I688">
        <v>1</v>
      </c>
    </row>
    <row r="689" spans="1:9" x14ac:dyDescent="0.3">
      <c r="A689" t="s">
        <v>801</v>
      </c>
      <c r="B689" t="s">
        <v>62</v>
      </c>
      <c r="C689">
        <v>8</v>
      </c>
      <c r="D689">
        <v>60900</v>
      </c>
      <c r="E689" t="s">
        <v>1146</v>
      </c>
      <c r="F689">
        <v>0</v>
      </c>
      <c r="G689">
        <v>4.8</v>
      </c>
      <c r="H689">
        <v>10200</v>
      </c>
      <c r="I689">
        <v>1</v>
      </c>
    </row>
    <row r="690" spans="1:9" x14ac:dyDescent="0.3">
      <c r="A690" t="s">
        <v>802</v>
      </c>
      <c r="B690" t="s">
        <v>64</v>
      </c>
      <c r="C690">
        <v>7</v>
      </c>
      <c r="D690">
        <v>72000</v>
      </c>
      <c r="E690" t="s">
        <v>68</v>
      </c>
      <c r="F690">
        <v>56</v>
      </c>
      <c r="G690">
        <v>10.199999999999999</v>
      </c>
      <c r="H690">
        <v>11700</v>
      </c>
      <c r="I690">
        <v>1</v>
      </c>
    </row>
    <row r="691" spans="1:9" x14ac:dyDescent="0.3">
      <c r="A691" t="s">
        <v>803</v>
      </c>
      <c r="B691" t="s">
        <v>62</v>
      </c>
      <c r="C691">
        <v>5</v>
      </c>
      <c r="D691">
        <v>17200</v>
      </c>
      <c r="E691" t="s">
        <v>1146</v>
      </c>
      <c r="F691">
        <v>10</v>
      </c>
      <c r="G691">
        <v>1.1000000000000001</v>
      </c>
      <c r="H691">
        <v>0</v>
      </c>
      <c r="I691">
        <v>1</v>
      </c>
    </row>
    <row r="692" spans="1:9" x14ac:dyDescent="0.3">
      <c r="A692" t="s">
        <v>804</v>
      </c>
      <c r="B692" t="s">
        <v>65</v>
      </c>
      <c r="C692">
        <v>6</v>
      </c>
      <c r="D692">
        <v>12900</v>
      </c>
      <c r="E692" t="s">
        <v>1146</v>
      </c>
      <c r="F692">
        <v>6</v>
      </c>
      <c r="G692">
        <v>1</v>
      </c>
      <c r="H692">
        <v>6100</v>
      </c>
      <c r="I692">
        <v>1</v>
      </c>
    </row>
    <row r="693" spans="1:9" x14ac:dyDescent="0.3">
      <c r="A693" t="s">
        <v>805</v>
      </c>
      <c r="B693" t="s">
        <v>64</v>
      </c>
      <c r="C693">
        <v>6</v>
      </c>
      <c r="D693">
        <v>20400</v>
      </c>
      <c r="E693" t="s">
        <v>1146</v>
      </c>
      <c r="F693">
        <v>2</v>
      </c>
      <c r="G693">
        <v>5.5</v>
      </c>
      <c r="H693">
        <v>0</v>
      </c>
      <c r="I693">
        <v>1</v>
      </c>
    </row>
    <row r="694" spans="1:9" x14ac:dyDescent="0.3">
      <c r="A694" t="s">
        <v>806</v>
      </c>
      <c r="B694" t="s">
        <v>64</v>
      </c>
      <c r="C694">
        <v>2</v>
      </c>
      <c r="D694">
        <v>18400</v>
      </c>
      <c r="E694" t="s">
        <v>1146</v>
      </c>
      <c r="F694">
        <v>4</v>
      </c>
      <c r="G694">
        <v>5</v>
      </c>
      <c r="H694">
        <v>0</v>
      </c>
      <c r="I694">
        <v>1</v>
      </c>
    </row>
    <row r="695" spans="1:9" x14ac:dyDescent="0.3">
      <c r="A695" t="s">
        <v>807</v>
      </c>
      <c r="B695" t="s">
        <v>62</v>
      </c>
      <c r="C695">
        <v>6</v>
      </c>
      <c r="D695">
        <v>149400</v>
      </c>
      <c r="E695" t="s">
        <v>1146</v>
      </c>
      <c r="F695">
        <v>4</v>
      </c>
      <c r="G695">
        <v>9.1</v>
      </c>
      <c r="H695">
        <v>8300</v>
      </c>
      <c r="I695">
        <v>1</v>
      </c>
    </row>
    <row r="696" spans="1:9" x14ac:dyDescent="0.3">
      <c r="A696" t="s">
        <v>808</v>
      </c>
      <c r="B696" t="s">
        <v>513</v>
      </c>
      <c r="C696">
        <v>6</v>
      </c>
      <c r="D696">
        <v>55700</v>
      </c>
      <c r="E696" t="s">
        <v>1146</v>
      </c>
      <c r="F696">
        <v>0</v>
      </c>
      <c r="G696">
        <v>5</v>
      </c>
      <c r="H696">
        <v>3900</v>
      </c>
      <c r="I696">
        <v>1</v>
      </c>
    </row>
    <row r="697" spans="1:9" x14ac:dyDescent="0.3">
      <c r="A697" t="s">
        <v>809</v>
      </c>
      <c r="B697" t="s">
        <v>62</v>
      </c>
      <c r="C697">
        <v>5</v>
      </c>
      <c r="D697">
        <v>23300</v>
      </c>
      <c r="E697" t="s">
        <v>1146</v>
      </c>
      <c r="F697">
        <v>2</v>
      </c>
      <c r="G697">
        <v>9.5</v>
      </c>
      <c r="H697">
        <v>7000</v>
      </c>
      <c r="I697">
        <v>1</v>
      </c>
    </row>
    <row r="698" spans="1:9" x14ac:dyDescent="0.3">
      <c r="A698" t="s">
        <v>810</v>
      </c>
      <c r="B698" t="s">
        <v>513</v>
      </c>
      <c r="C698">
        <v>2</v>
      </c>
      <c r="D698">
        <v>75200</v>
      </c>
      <c r="E698" t="s">
        <v>1146</v>
      </c>
      <c r="F698">
        <v>6</v>
      </c>
      <c r="G698">
        <v>6.3</v>
      </c>
      <c r="H698">
        <v>6100</v>
      </c>
      <c r="I698">
        <v>1</v>
      </c>
    </row>
    <row r="699" spans="1:9" x14ac:dyDescent="0.3">
      <c r="A699" t="s">
        <v>811</v>
      </c>
      <c r="B699" t="s">
        <v>64</v>
      </c>
      <c r="C699">
        <v>5</v>
      </c>
      <c r="D699">
        <v>42100</v>
      </c>
      <c r="E699" t="s">
        <v>1146</v>
      </c>
      <c r="F699">
        <v>0</v>
      </c>
      <c r="G699">
        <v>7</v>
      </c>
      <c r="H699">
        <v>0</v>
      </c>
      <c r="I699">
        <v>1</v>
      </c>
    </row>
    <row r="700" spans="1:9" x14ac:dyDescent="0.3">
      <c r="A700" t="s">
        <v>812</v>
      </c>
      <c r="B700" t="s">
        <v>62</v>
      </c>
      <c r="C700">
        <v>6</v>
      </c>
      <c r="D700">
        <v>23200</v>
      </c>
      <c r="E700" t="s">
        <v>1146</v>
      </c>
      <c r="F700">
        <v>8</v>
      </c>
      <c r="G700">
        <v>2.8</v>
      </c>
      <c r="H700">
        <v>0</v>
      </c>
      <c r="I700">
        <v>1</v>
      </c>
    </row>
    <row r="701" spans="1:9" x14ac:dyDescent="0.3">
      <c r="A701" t="s">
        <v>813</v>
      </c>
      <c r="B701" t="s">
        <v>64</v>
      </c>
      <c r="C701">
        <v>3</v>
      </c>
      <c r="D701">
        <v>46800</v>
      </c>
      <c r="E701" t="s">
        <v>1146</v>
      </c>
      <c r="F701">
        <v>4</v>
      </c>
      <c r="G701">
        <v>2</v>
      </c>
      <c r="H701">
        <v>1300</v>
      </c>
      <c r="I701">
        <v>1</v>
      </c>
    </row>
    <row r="702" spans="1:9" x14ac:dyDescent="0.3">
      <c r="A702" t="s">
        <v>814</v>
      </c>
      <c r="B702" t="s">
        <v>513</v>
      </c>
      <c r="C702">
        <v>6</v>
      </c>
      <c r="D702">
        <v>26600</v>
      </c>
      <c r="E702" t="s">
        <v>1146</v>
      </c>
      <c r="F702">
        <v>0</v>
      </c>
      <c r="G702">
        <v>8.6</v>
      </c>
      <c r="H702">
        <v>0</v>
      </c>
      <c r="I702">
        <v>1</v>
      </c>
    </row>
    <row r="703" spans="1:9" x14ac:dyDescent="0.3">
      <c r="A703" t="s">
        <v>815</v>
      </c>
      <c r="B703" t="s">
        <v>64</v>
      </c>
      <c r="C703">
        <v>5</v>
      </c>
      <c r="D703">
        <v>47800</v>
      </c>
      <c r="E703" t="s">
        <v>1146</v>
      </c>
      <c r="F703">
        <v>9</v>
      </c>
      <c r="G703">
        <v>2.2999999999999998</v>
      </c>
      <c r="H703">
        <v>3700</v>
      </c>
      <c r="I703">
        <v>1</v>
      </c>
    </row>
    <row r="704" spans="1:9" x14ac:dyDescent="0.3">
      <c r="A704" t="s">
        <v>816</v>
      </c>
      <c r="B704" t="s">
        <v>513</v>
      </c>
      <c r="C704">
        <v>7</v>
      </c>
      <c r="D704">
        <v>54600</v>
      </c>
      <c r="E704" t="s">
        <v>1146</v>
      </c>
      <c r="F704">
        <v>10</v>
      </c>
      <c r="G704">
        <v>5.6</v>
      </c>
      <c r="H704">
        <v>0</v>
      </c>
      <c r="I704">
        <v>1</v>
      </c>
    </row>
    <row r="705" spans="1:9" x14ac:dyDescent="0.3">
      <c r="A705" t="s">
        <v>817</v>
      </c>
      <c r="B705" t="s">
        <v>64</v>
      </c>
      <c r="C705">
        <v>1</v>
      </c>
      <c r="D705">
        <v>33500</v>
      </c>
      <c r="E705" t="s">
        <v>1146</v>
      </c>
      <c r="F705">
        <v>5</v>
      </c>
      <c r="G705">
        <v>2.4</v>
      </c>
      <c r="H705">
        <v>0</v>
      </c>
      <c r="I705">
        <v>1</v>
      </c>
    </row>
    <row r="706" spans="1:9" x14ac:dyDescent="0.3">
      <c r="A706" t="s">
        <v>818</v>
      </c>
      <c r="B706" t="s">
        <v>65</v>
      </c>
      <c r="C706">
        <v>2</v>
      </c>
      <c r="D706">
        <v>29800</v>
      </c>
      <c r="E706" t="s">
        <v>1146</v>
      </c>
      <c r="F706">
        <v>0</v>
      </c>
      <c r="G706">
        <v>10.199999999999999</v>
      </c>
      <c r="H706">
        <v>800</v>
      </c>
      <c r="I706">
        <v>1</v>
      </c>
    </row>
    <row r="707" spans="1:9" x14ac:dyDescent="0.3">
      <c r="A707" t="s">
        <v>819</v>
      </c>
      <c r="B707" t="s">
        <v>64</v>
      </c>
      <c r="C707">
        <v>3</v>
      </c>
      <c r="D707">
        <v>66000</v>
      </c>
      <c r="E707" t="s">
        <v>1146</v>
      </c>
      <c r="F707">
        <v>4</v>
      </c>
      <c r="G707">
        <v>6.2</v>
      </c>
      <c r="H707">
        <v>9200</v>
      </c>
      <c r="I707">
        <v>1</v>
      </c>
    </row>
    <row r="708" spans="1:9" x14ac:dyDescent="0.3">
      <c r="A708" t="s">
        <v>820</v>
      </c>
      <c r="B708" t="s">
        <v>62</v>
      </c>
      <c r="C708">
        <v>7</v>
      </c>
      <c r="D708">
        <v>46500</v>
      </c>
      <c r="E708" t="s">
        <v>1146</v>
      </c>
      <c r="F708">
        <v>8</v>
      </c>
      <c r="G708">
        <v>8.3000000000000007</v>
      </c>
      <c r="H708">
        <v>800</v>
      </c>
      <c r="I708">
        <v>1</v>
      </c>
    </row>
    <row r="709" spans="1:9" x14ac:dyDescent="0.3">
      <c r="A709" t="s">
        <v>821</v>
      </c>
      <c r="B709" t="s">
        <v>513</v>
      </c>
      <c r="C709">
        <v>7</v>
      </c>
      <c r="D709">
        <v>14300</v>
      </c>
      <c r="E709" t="s">
        <v>1146</v>
      </c>
      <c r="F709">
        <v>6</v>
      </c>
      <c r="G709">
        <v>7.5</v>
      </c>
      <c r="H709">
        <v>3200</v>
      </c>
      <c r="I709">
        <v>1</v>
      </c>
    </row>
    <row r="710" spans="1:9" x14ac:dyDescent="0.3">
      <c r="A710" t="s">
        <v>822</v>
      </c>
      <c r="B710" t="s">
        <v>513</v>
      </c>
      <c r="C710">
        <v>5</v>
      </c>
      <c r="D710">
        <v>101700</v>
      </c>
      <c r="E710" t="s">
        <v>1146</v>
      </c>
      <c r="F710">
        <v>1</v>
      </c>
      <c r="G710">
        <v>8.9</v>
      </c>
      <c r="H710">
        <v>4000</v>
      </c>
      <c r="I710">
        <v>1</v>
      </c>
    </row>
    <row r="711" spans="1:9" x14ac:dyDescent="0.3">
      <c r="A711" t="s">
        <v>823</v>
      </c>
      <c r="B711" t="s">
        <v>65</v>
      </c>
      <c r="C711">
        <v>6</v>
      </c>
      <c r="D711">
        <v>21400</v>
      </c>
      <c r="E711" t="s">
        <v>1146</v>
      </c>
      <c r="F711">
        <v>10</v>
      </c>
      <c r="G711">
        <v>1.8</v>
      </c>
      <c r="H711">
        <v>1700</v>
      </c>
      <c r="I711">
        <v>1</v>
      </c>
    </row>
    <row r="712" spans="1:9" x14ac:dyDescent="0.3">
      <c r="A712" t="s">
        <v>824</v>
      </c>
      <c r="B712" t="s">
        <v>65</v>
      </c>
      <c r="C712">
        <v>4</v>
      </c>
      <c r="D712">
        <v>30000</v>
      </c>
      <c r="E712" t="s">
        <v>1146</v>
      </c>
      <c r="F712">
        <v>5</v>
      </c>
      <c r="G712">
        <v>12.3</v>
      </c>
      <c r="H712">
        <v>4800</v>
      </c>
      <c r="I712">
        <v>1</v>
      </c>
    </row>
    <row r="713" spans="1:9" x14ac:dyDescent="0.3">
      <c r="A713" t="s">
        <v>825</v>
      </c>
      <c r="B713" t="s">
        <v>64</v>
      </c>
      <c r="C713">
        <v>3</v>
      </c>
      <c r="D713">
        <v>82900</v>
      </c>
      <c r="E713" t="s">
        <v>1146</v>
      </c>
      <c r="F713">
        <v>2</v>
      </c>
      <c r="G713">
        <v>4.4000000000000004</v>
      </c>
      <c r="H713">
        <v>800</v>
      </c>
      <c r="I713">
        <v>1</v>
      </c>
    </row>
    <row r="714" spans="1:9" x14ac:dyDescent="0.3">
      <c r="A714" t="s">
        <v>826</v>
      </c>
      <c r="B714" t="s">
        <v>62</v>
      </c>
      <c r="C714">
        <v>8</v>
      </c>
      <c r="D714">
        <v>66600</v>
      </c>
      <c r="E714" t="s">
        <v>1146</v>
      </c>
      <c r="F714">
        <v>0</v>
      </c>
      <c r="G714">
        <v>3.2</v>
      </c>
      <c r="H714">
        <v>1300</v>
      </c>
      <c r="I714">
        <v>1</v>
      </c>
    </row>
    <row r="715" spans="1:9" x14ac:dyDescent="0.3">
      <c r="A715" t="s">
        <v>827</v>
      </c>
      <c r="B715" t="s">
        <v>513</v>
      </c>
      <c r="C715">
        <v>9</v>
      </c>
      <c r="D715">
        <v>103000</v>
      </c>
      <c r="E715" t="s">
        <v>1146</v>
      </c>
      <c r="F715">
        <v>9</v>
      </c>
      <c r="G715">
        <v>4.3</v>
      </c>
      <c r="H715">
        <v>0</v>
      </c>
      <c r="I715">
        <v>1</v>
      </c>
    </row>
    <row r="716" spans="1:9" x14ac:dyDescent="0.3">
      <c r="A716" t="s">
        <v>828</v>
      </c>
      <c r="B716" t="s">
        <v>64</v>
      </c>
      <c r="C716">
        <v>3</v>
      </c>
      <c r="D716">
        <v>23500</v>
      </c>
      <c r="E716" t="s">
        <v>1146</v>
      </c>
      <c r="F716">
        <v>2</v>
      </c>
      <c r="G716">
        <v>6</v>
      </c>
      <c r="H716">
        <v>8900</v>
      </c>
      <c r="I716">
        <v>1</v>
      </c>
    </row>
    <row r="717" spans="1:9" x14ac:dyDescent="0.3">
      <c r="A717" t="s">
        <v>829</v>
      </c>
      <c r="B717" t="s">
        <v>65</v>
      </c>
      <c r="C717">
        <v>5</v>
      </c>
      <c r="D717">
        <v>36200</v>
      </c>
      <c r="E717" t="s">
        <v>1146</v>
      </c>
      <c r="F717">
        <v>10</v>
      </c>
      <c r="G717">
        <v>10.1</v>
      </c>
      <c r="H717">
        <v>14400</v>
      </c>
      <c r="I717">
        <v>1</v>
      </c>
    </row>
    <row r="718" spans="1:9" x14ac:dyDescent="0.3">
      <c r="A718" t="s">
        <v>830</v>
      </c>
      <c r="B718" t="s">
        <v>65</v>
      </c>
      <c r="C718">
        <v>4</v>
      </c>
      <c r="D718">
        <v>19100</v>
      </c>
      <c r="E718" t="s">
        <v>1146</v>
      </c>
      <c r="F718">
        <v>5</v>
      </c>
      <c r="G718">
        <v>12.2</v>
      </c>
      <c r="H718">
        <v>0</v>
      </c>
      <c r="I718">
        <v>1</v>
      </c>
    </row>
    <row r="719" spans="1:9" x14ac:dyDescent="0.3">
      <c r="A719" t="s">
        <v>831</v>
      </c>
      <c r="B719" t="s">
        <v>65</v>
      </c>
      <c r="C719">
        <v>7</v>
      </c>
      <c r="D719">
        <v>28000</v>
      </c>
      <c r="E719" t="s">
        <v>1146</v>
      </c>
      <c r="F719">
        <v>8</v>
      </c>
      <c r="G719">
        <v>5.9</v>
      </c>
      <c r="H719">
        <v>9300</v>
      </c>
      <c r="I719">
        <v>1</v>
      </c>
    </row>
    <row r="720" spans="1:9" x14ac:dyDescent="0.3">
      <c r="A720" t="s">
        <v>832</v>
      </c>
      <c r="B720" t="s">
        <v>64</v>
      </c>
      <c r="C720">
        <v>2</v>
      </c>
      <c r="D720">
        <v>21000</v>
      </c>
      <c r="E720" t="s">
        <v>1146</v>
      </c>
      <c r="F720">
        <v>3</v>
      </c>
      <c r="G720">
        <v>2</v>
      </c>
      <c r="H720">
        <v>0</v>
      </c>
      <c r="I720">
        <v>1</v>
      </c>
    </row>
    <row r="721" spans="1:9" x14ac:dyDescent="0.3">
      <c r="A721" t="s">
        <v>833</v>
      </c>
      <c r="B721" t="s">
        <v>62</v>
      </c>
      <c r="C721">
        <v>7</v>
      </c>
      <c r="D721">
        <v>44600</v>
      </c>
      <c r="E721" t="s">
        <v>1146</v>
      </c>
      <c r="F721">
        <v>6</v>
      </c>
      <c r="G721">
        <v>8.5</v>
      </c>
      <c r="H721">
        <v>6700</v>
      </c>
      <c r="I721">
        <v>1</v>
      </c>
    </row>
    <row r="722" spans="1:9" x14ac:dyDescent="0.3">
      <c r="A722" t="s">
        <v>834</v>
      </c>
      <c r="B722" t="s">
        <v>64</v>
      </c>
      <c r="C722">
        <v>3</v>
      </c>
      <c r="D722">
        <v>21400</v>
      </c>
      <c r="E722" t="s">
        <v>1146</v>
      </c>
      <c r="F722">
        <v>4</v>
      </c>
      <c r="G722">
        <v>7.7</v>
      </c>
      <c r="H722">
        <v>0</v>
      </c>
      <c r="I722">
        <v>1</v>
      </c>
    </row>
    <row r="723" spans="1:9" x14ac:dyDescent="0.3">
      <c r="A723" t="s">
        <v>835</v>
      </c>
      <c r="B723" t="s">
        <v>62</v>
      </c>
      <c r="C723">
        <v>4</v>
      </c>
      <c r="D723">
        <v>35600</v>
      </c>
      <c r="E723" t="s">
        <v>1146</v>
      </c>
      <c r="F723">
        <v>0</v>
      </c>
      <c r="G723">
        <v>2.2999999999999998</v>
      </c>
      <c r="H723">
        <v>700</v>
      </c>
      <c r="I723">
        <v>1</v>
      </c>
    </row>
    <row r="724" spans="1:9" x14ac:dyDescent="0.3">
      <c r="A724" t="s">
        <v>836</v>
      </c>
      <c r="B724" t="s">
        <v>62</v>
      </c>
      <c r="C724">
        <v>2</v>
      </c>
      <c r="D724">
        <v>16700</v>
      </c>
      <c r="E724" t="s">
        <v>1146</v>
      </c>
      <c r="F724">
        <v>0</v>
      </c>
      <c r="G724">
        <v>9.6999999999999993</v>
      </c>
      <c r="H724">
        <v>5000</v>
      </c>
      <c r="I724">
        <v>1</v>
      </c>
    </row>
    <row r="725" spans="1:9" x14ac:dyDescent="0.3">
      <c r="A725" t="s">
        <v>837</v>
      </c>
      <c r="B725" t="s">
        <v>513</v>
      </c>
      <c r="C725">
        <v>8</v>
      </c>
      <c r="D725">
        <v>89600</v>
      </c>
      <c r="E725" t="s">
        <v>1146</v>
      </c>
      <c r="F725">
        <v>6</v>
      </c>
      <c r="G725">
        <v>4.2</v>
      </c>
      <c r="H725">
        <v>8100</v>
      </c>
      <c r="I725">
        <v>1</v>
      </c>
    </row>
    <row r="726" spans="1:9" x14ac:dyDescent="0.3">
      <c r="A726" t="s">
        <v>838</v>
      </c>
      <c r="B726" t="s">
        <v>65</v>
      </c>
      <c r="C726">
        <v>6</v>
      </c>
      <c r="D726">
        <v>15600</v>
      </c>
      <c r="E726" t="s">
        <v>1146</v>
      </c>
      <c r="F726">
        <v>6</v>
      </c>
      <c r="G726">
        <v>12.3</v>
      </c>
      <c r="H726">
        <v>5900</v>
      </c>
      <c r="I726">
        <v>1</v>
      </c>
    </row>
    <row r="727" spans="1:9" x14ac:dyDescent="0.3">
      <c r="A727" t="s">
        <v>839</v>
      </c>
      <c r="B727" t="s">
        <v>64</v>
      </c>
      <c r="C727">
        <v>4</v>
      </c>
      <c r="D727">
        <v>18700</v>
      </c>
      <c r="E727" t="s">
        <v>1146</v>
      </c>
      <c r="F727">
        <v>7</v>
      </c>
      <c r="G727">
        <v>2.4</v>
      </c>
      <c r="H727">
        <v>8600</v>
      </c>
      <c r="I727">
        <v>1</v>
      </c>
    </row>
    <row r="728" spans="1:9" x14ac:dyDescent="0.3">
      <c r="A728" t="s">
        <v>840</v>
      </c>
      <c r="B728" t="s">
        <v>65</v>
      </c>
      <c r="C728">
        <v>9</v>
      </c>
      <c r="D728">
        <v>15500</v>
      </c>
      <c r="E728" t="s">
        <v>1146</v>
      </c>
      <c r="F728">
        <v>7</v>
      </c>
      <c r="G728">
        <v>8.4</v>
      </c>
      <c r="H728">
        <v>9400</v>
      </c>
      <c r="I728">
        <v>1</v>
      </c>
    </row>
    <row r="729" spans="1:9" x14ac:dyDescent="0.3">
      <c r="A729" t="s">
        <v>841</v>
      </c>
      <c r="B729" t="s">
        <v>64</v>
      </c>
      <c r="C729">
        <v>7</v>
      </c>
      <c r="D729">
        <v>28800</v>
      </c>
      <c r="E729" t="s">
        <v>1146</v>
      </c>
      <c r="F729">
        <v>6</v>
      </c>
      <c r="G729">
        <v>11.8</v>
      </c>
      <c r="H729">
        <v>2500</v>
      </c>
      <c r="I729">
        <v>1</v>
      </c>
    </row>
    <row r="730" spans="1:9" x14ac:dyDescent="0.3">
      <c r="A730" t="s">
        <v>842</v>
      </c>
      <c r="B730" t="s">
        <v>64</v>
      </c>
      <c r="C730">
        <v>4</v>
      </c>
      <c r="D730">
        <v>8800</v>
      </c>
      <c r="E730" t="s">
        <v>1146</v>
      </c>
      <c r="F730">
        <v>5</v>
      </c>
      <c r="G730">
        <v>8.6</v>
      </c>
      <c r="H730">
        <v>3200</v>
      </c>
      <c r="I730">
        <v>1</v>
      </c>
    </row>
    <row r="731" spans="1:9" x14ac:dyDescent="0.3">
      <c r="A731" t="s">
        <v>843</v>
      </c>
      <c r="B731" t="s">
        <v>62</v>
      </c>
      <c r="C731">
        <v>7</v>
      </c>
      <c r="D731">
        <v>23100</v>
      </c>
      <c r="E731" t="s">
        <v>1146</v>
      </c>
      <c r="F731">
        <v>2</v>
      </c>
      <c r="G731">
        <v>1.8</v>
      </c>
      <c r="H731">
        <v>1500</v>
      </c>
      <c r="I731">
        <v>1</v>
      </c>
    </row>
    <row r="732" spans="1:9" x14ac:dyDescent="0.3">
      <c r="A732" t="s">
        <v>844</v>
      </c>
      <c r="B732" t="s">
        <v>64</v>
      </c>
      <c r="C732">
        <v>2</v>
      </c>
      <c r="D732">
        <v>20700</v>
      </c>
      <c r="E732" t="s">
        <v>66</v>
      </c>
      <c r="F732">
        <v>43</v>
      </c>
      <c r="G732">
        <v>10.9</v>
      </c>
      <c r="H732">
        <v>2700</v>
      </c>
      <c r="I732">
        <v>1</v>
      </c>
    </row>
    <row r="733" spans="1:9" x14ac:dyDescent="0.3">
      <c r="A733" t="s">
        <v>845</v>
      </c>
      <c r="B733" t="s">
        <v>64</v>
      </c>
      <c r="C733">
        <v>4</v>
      </c>
      <c r="D733">
        <v>37300</v>
      </c>
      <c r="E733" t="s">
        <v>1146</v>
      </c>
      <c r="F733">
        <v>10</v>
      </c>
      <c r="G733">
        <v>4.8</v>
      </c>
      <c r="H733">
        <v>4100</v>
      </c>
      <c r="I733">
        <v>1</v>
      </c>
    </row>
    <row r="734" spans="1:9" x14ac:dyDescent="0.3">
      <c r="A734" t="s">
        <v>846</v>
      </c>
      <c r="B734" t="s">
        <v>65</v>
      </c>
      <c r="C734">
        <v>3</v>
      </c>
      <c r="D734">
        <v>39600</v>
      </c>
      <c r="E734" t="s">
        <v>1146</v>
      </c>
      <c r="F734">
        <v>1</v>
      </c>
      <c r="G734">
        <v>3.8</v>
      </c>
      <c r="H734">
        <v>200</v>
      </c>
      <c r="I734">
        <v>1</v>
      </c>
    </row>
    <row r="735" spans="1:9" x14ac:dyDescent="0.3">
      <c r="A735" t="s">
        <v>847</v>
      </c>
      <c r="B735" t="s">
        <v>513</v>
      </c>
      <c r="C735">
        <v>4</v>
      </c>
      <c r="D735">
        <v>28800</v>
      </c>
      <c r="E735" t="s">
        <v>1146</v>
      </c>
      <c r="F735">
        <v>7</v>
      </c>
      <c r="G735">
        <v>10.6</v>
      </c>
      <c r="H735">
        <v>0</v>
      </c>
      <c r="I735">
        <v>1</v>
      </c>
    </row>
    <row r="736" spans="1:9" x14ac:dyDescent="0.3">
      <c r="A736" t="s">
        <v>848</v>
      </c>
      <c r="B736" t="s">
        <v>513</v>
      </c>
      <c r="C736">
        <v>6</v>
      </c>
      <c r="D736">
        <v>25100</v>
      </c>
      <c r="E736" t="s">
        <v>1146</v>
      </c>
      <c r="F736">
        <v>2</v>
      </c>
      <c r="G736">
        <v>13.4</v>
      </c>
      <c r="H736">
        <v>0</v>
      </c>
      <c r="I736">
        <v>1</v>
      </c>
    </row>
    <row r="737" spans="1:9" x14ac:dyDescent="0.3">
      <c r="A737" t="s">
        <v>849</v>
      </c>
      <c r="B737" t="s">
        <v>64</v>
      </c>
      <c r="C737">
        <v>5</v>
      </c>
      <c r="D737">
        <v>20400</v>
      </c>
      <c r="E737" t="s">
        <v>1146</v>
      </c>
      <c r="F737">
        <v>0</v>
      </c>
      <c r="G737">
        <v>9.8000000000000007</v>
      </c>
      <c r="H737">
        <v>400</v>
      </c>
      <c r="I737">
        <v>1</v>
      </c>
    </row>
    <row r="738" spans="1:9" x14ac:dyDescent="0.3">
      <c r="A738" t="s">
        <v>850</v>
      </c>
      <c r="B738" t="s">
        <v>65</v>
      </c>
      <c r="C738">
        <v>2</v>
      </c>
      <c r="D738">
        <v>32900</v>
      </c>
      <c r="E738" t="s">
        <v>1146</v>
      </c>
      <c r="F738">
        <v>10</v>
      </c>
      <c r="G738">
        <v>9</v>
      </c>
      <c r="H738">
        <v>1900</v>
      </c>
      <c r="I738">
        <v>1</v>
      </c>
    </row>
    <row r="739" spans="1:9" x14ac:dyDescent="0.3">
      <c r="A739" t="s">
        <v>851</v>
      </c>
      <c r="B739" t="s">
        <v>64</v>
      </c>
      <c r="C739">
        <v>5</v>
      </c>
      <c r="D739">
        <v>27300</v>
      </c>
      <c r="E739" t="s">
        <v>1146</v>
      </c>
      <c r="F739">
        <v>5</v>
      </c>
      <c r="G739">
        <v>8.1999999999999993</v>
      </c>
      <c r="H739">
        <v>0</v>
      </c>
      <c r="I739">
        <v>1</v>
      </c>
    </row>
    <row r="740" spans="1:9" x14ac:dyDescent="0.3">
      <c r="A740" t="s">
        <v>852</v>
      </c>
      <c r="B740" t="s">
        <v>62</v>
      </c>
      <c r="C740">
        <v>7</v>
      </c>
      <c r="D740">
        <v>49600</v>
      </c>
      <c r="E740" t="s">
        <v>1146</v>
      </c>
      <c r="F740">
        <v>5</v>
      </c>
      <c r="G740">
        <v>4.3</v>
      </c>
      <c r="H740">
        <v>3800</v>
      </c>
      <c r="I740">
        <v>1</v>
      </c>
    </row>
    <row r="741" spans="1:9" x14ac:dyDescent="0.3">
      <c r="A741" t="s">
        <v>853</v>
      </c>
      <c r="B741" t="s">
        <v>65</v>
      </c>
      <c r="C741">
        <v>7</v>
      </c>
      <c r="D741">
        <v>83200</v>
      </c>
      <c r="E741" t="s">
        <v>1146</v>
      </c>
      <c r="F741">
        <v>0</v>
      </c>
      <c r="G741">
        <v>11.6</v>
      </c>
      <c r="H741">
        <v>6800</v>
      </c>
      <c r="I741">
        <v>1</v>
      </c>
    </row>
    <row r="742" spans="1:9" x14ac:dyDescent="0.3">
      <c r="A742" t="s">
        <v>854</v>
      </c>
      <c r="B742" t="s">
        <v>62</v>
      </c>
      <c r="C742">
        <v>9</v>
      </c>
      <c r="D742">
        <v>79400</v>
      </c>
      <c r="E742" t="s">
        <v>1146</v>
      </c>
      <c r="F742">
        <v>8</v>
      </c>
      <c r="G742">
        <v>5.9</v>
      </c>
      <c r="H742">
        <v>0</v>
      </c>
      <c r="I742">
        <v>1</v>
      </c>
    </row>
    <row r="743" spans="1:9" x14ac:dyDescent="0.3">
      <c r="A743" t="s">
        <v>855</v>
      </c>
      <c r="B743" t="s">
        <v>64</v>
      </c>
      <c r="C743">
        <v>2</v>
      </c>
      <c r="D743">
        <v>24600</v>
      </c>
      <c r="E743" t="s">
        <v>1146</v>
      </c>
      <c r="F743">
        <v>10</v>
      </c>
      <c r="G743">
        <v>8.3000000000000007</v>
      </c>
      <c r="H743">
        <v>0</v>
      </c>
      <c r="I743">
        <v>1</v>
      </c>
    </row>
    <row r="744" spans="1:9" x14ac:dyDescent="0.3">
      <c r="A744" t="s">
        <v>856</v>
      </c>
      <c r="B744" t="s">
        <v>513</v>
      </c>
      <c r="C744">
        <v>2</v>
      </c>
      <c r="D744">
        <v>60400</v>
      </c>
      <c r="E744" t="s">
        <v>1146</v>
      </c>
      <c r="F744">
        <v>7</v>
      </c>
      <c r="G744">
        <v>4.5</v>
      </c>
      <c r="H744">
        <v>10600</v>
      </c>
      <c r="I744">
        <v>1</v>
      </c>
    </row>
    <row r="745" spans="1:9" x14ac:dyDescent="0.3">
      <c r="A745" t="s">
        <v>857</v>
      </c>
      <c r="B745" t="s">
        <v>64</v>
      </c>
      <c r="C745">
        <v>4</v>
      </c>
      <c r="D745">
        <v>41400</v>
      </c>
      <c r="E745" t="s">
        <v>1146</v>
      </c>
      <c r="F745">
        <v>8</v>
      </c>
      <c r="G745">
        <v>5</v>
      </c>
      <c r="H745">
        <v>1000</v>
      </c>
      <c r="I745">
        <v>1</v>
      </c>
    </row>
    <row r="746" spans="1:9" x14ac:dyDescent="0.3">
      <c r="A746" t="s">
        <v>858</v>
      </c>
      <c r="B746" t="s">
        <v>65</v>
      </c>
      <c r="C746">
        <v>4</v>
      </c>
      <c r="D746">
        <v>28200</v>
      </c>
      <c r="E746" t="s">
        <v>1146</v>
      </c>
      <c r="F746">
        <v>7</v>
      </c>
      <c r="G746">
        <v>9.5</v>
      </c>
      <c r="H746">
        <v>6700</v>
      </c>
      <c r="I746">
        <v>1</v>
      </c>
    </row>
    <row r="747" spans="1:9" x14ac:dyDescent="0.3">
      <c r="A747" t="s">
        <v>859</v>
      </c>
      <c r="B747" t="s">
        <v>62</v>
      </c>
      <c r="C747">
        <v>7</v>
      </c>
      <c r="D747">
        <v>37500</v>
      </c>
      <c r="E747" t="s">
        <v>1146</v>
      </c>
      <c r="F747">
        <v>3</v>
      </c>
      <c r="G747">
        <v>2.1</v>
      </c>
      <c r="H747">
        <v>4900</v>
      </c>
      <c r="I747">
        <v>1</v>
      </c>
    </row>
    <row r="748" spans="1:9" x14ac:dyDescent="0.3">
      <c r="A748" t="s">
        <v>860</v>
      </c>
      <c r="B748" t="s">
        <v>64</v>
      </c>
      <c r="C748">
        <v>8</v>
      </c>
      <c r="D748">
        <v>63900</v>
      </c>
      <c r="E748" t="s">
        <v>1146</v>
      </c>
      <c r="F748">
        <v>8</v>
      </c>
      <c r="G748">
        <v>6.3</v>
      </c>
      <c r="H748">
        <v>5800</v>
      </c>
      <c r="I748">
        <v>1</v>
      </c>
    </row>
    <row r="749" spans="1:9" x14ac:dyDescent="0.3">
      <c r="A749" t="s">
        <v>861</v>
      </c>
      <c r="B749" t="s">
        <v>513</v>
      </c>
      <c r="C749">
        <v>8</v>
      </c>
      <c r="D749">
        <v>16400</v>
      </c>
      <c r="E749" t="s">
        <v>1146</v>
      </c>
      <c r="F749">
        <v>8</v>
      </c>
      <c r="G749">
        <v>1.8</v>
      </c>
      <c r="H749">
        <v>5400</v>
      </c>
      <c r="I749">
        <v>1</v>
      </c>
    </row>
    <row r="750" spans="1:9" x14ac:dyDescent="0.3">
      <c r="A750" t="s">
        <v>862</v>
      </c>
      <c r="B750" t="s">
        <v>64</v>
      </c>
      <c r="C750">
        <v>5</v>
      </c>
      <c r="D750">
        <v>30800</v>
      </c>
      <c r="E750" t="s">
        <v>1146</v>
      </c>
      <c r="F750">
        <v>10</v>
      </c>
      <c r="G750">
        <v>9.6999999999999993</v>
      </c>
      <c r="H750">
        <v>5300</v>
      </c>
      <c r="I750">
        <v>1</v>
      </c>
    </row>
    <row r="751" spans="1:9" x14ac:dyDescent="0.3">
      <c r="A751" t="s">
        <v>863</v>
      </c>
      <c r="B751" t="s">
        <v>62</v>
      </c>
      <c r="C751">
        <v>8</v>
      </c>
      <c r="D751">
        <v>33600</v>
      </c>
      <c r="E751" t="s">
        <v>1146</v>
      </c>
      <c r="F751">
        <v>1</v>
      </c>
      <c r="G751">
        <v>0.2</v>
      </c>
      <c r="H751">
        <v>2500</v>
      </c>
      <c r="I751">
        <v>1</v>
      </c>
    </row>
    <row r="752" spans="1:9" x14ac:dyDescent="0.3">
      <c r="A752" t="s">
        <v>864</v>
      </c>
      <c r="B752" t="s">
        <v>64</v>
      </c>
      <c r="C752">
        <v>7</v>
      </c>
      <c r="D752">
        <v>23100</v>
      </c>
      <c r="E752" t="s">
        <v>1146</v>
      </c>
      <c r="F752">
        <v>8</v>
      </c>
      <c r="G752">
        <v>10.5</v>
      </c>
      <c r="H752">
        <v>0</v>
      </c>
      <c r="I752">
        <v>1</v>
      </c>
    </row>
    <row r="753" spans="1:9" x14ac:dyDescent="0.3">
      <c r="A753" t="s">
        <v>865</v>
      </c>
      <c r="B753" t="s">
        <v>64</v>
      </c>
      <c r="C753">
        <v>6</v>
      </c>
      <c r="D753">
        <v>51800</v>
      </c>
      <c r="E753" t="s">
        <v>1146</v>
      </c>
      <c r="F753">
        <v>3</v>
      </c>
      <c r="G753">
        <v>3.4</v>
      </c>
      <c r="H753">
        <v>1200</v>
      </c>
      <c r="I753">
        <v>1</v>
      </c>
    </row>
    <row r="754" spans="1:9" x14ac:dyDescent="0.3">
      <c r="A754" t="s">
        <v>866</v>
      </c>
      <c r="B754" t="s">
        <v>65</v>
      </c>
      <c r="C754">
        <v>8</v>
      </c>
      <c r="D754">
        <v>8800</v>
      </c>
      <c r="E754" t="s">
        <v>1146</v>
      </c>
      <c r="F754">
        <v>5</v>
      </c>
      <c r="G754">
        <v>0.8</v>
      </c>
      <c r="H754">
        <v>7300</v>
      </c>
      <c r="I754">
        <v>1</v>
      </c>
    </row>
    <row r="755" spans="1:9" x14ac:dyDescent="0.3">
      <c r="A755" t="s">
        <v>867</v>
      </c>
      <c r="B755" t="s">
        <v>62</v>
      </c>
      <c r="C755">
        <v>4</v>
      </c>
      <c r="D755">
        <v>49800</v>
      </c>
      <c r="E755" t="s">
        <v>1146</v>
      </c>
      <c r="F755">
        <v>6</v>
      </c>
      <c r="G755">
        <v>6.5</v>
      </c>
      <c r="H755">
        <v>10000</v>
      </c>
      <c r="I755">
        <v>1</v>
      </c>
    </row>
    <row r="756" spans="1:9" x14ac:dyDescent="0.3">
      <c r="A756" t="s">
        <v>868</v>
      </c>
      <c r="B756" t="s">
        <v>65</v>
      </c>
      <c r="C756">
        <v>5</v>
      </c>
      <c r="D756">
        <v>64400</v>
      </c>
      <c r="E756" t="s">
        <v>1146</v>
      </c>
      <c r="F756">
        <v>4</v>
      </c>
      <c r="G756">
        <v>13.1</v>
      </c>
      <c r="H756">
        <v>7300</v>
      </c>
      <c r="I756">
        <v>1</v>
      </c>
    </row>
    <row r="757" spans="1:9" x14ac:dyDescent="0.3">
      <c r="A757" t="s">
        <v>869</v>
      </c>
      <c r="B757" t="s">
        <v>62</v>
      </c>
      <c r="C757">
        <v>4</v>
      </c>
      <c r="D757">
        <v>23300</v>
      </c>
      <c r="E757" t="s">
        <v>1146</v>
      </c>
      <c r="F757">
        <v>10</v>
      </c>
      <c r="G757">
        <v>6.7</v>
      </c>
      <c r="H757">
        <v>700</v>
      </c>
      <c r="I757">
        <v>1</v>
      </c>
    </row>
    <row r="758" spans="1:9" x14ac:dyDescent="0.3">
      <c r="A758" t="s">
        <v>870</v>
      </c>
      <c r="B758" t="s">
        <v>62</v>
      </c>
      <c r="C758">
        <v>2</v>
      </c>
      <c r="D758">
        <v>19800</v>
      </c>
      <c r="E758" t="s">
        <v>1146</v>
      </c>
      <c r="F758">
        <v>2</v>
      </c>
      <c r="G758">
        <v>4.7</v>
      </c>
      <c r="H758">
        <v>6900</v>
      </c>
      <c r="I758">
        <v>1</v>
      </c>
    </row>
    <row r="759" spans="1:9" x14ac:dyDescent="0.3">
      <c r="A759" t="s">
        <v>871</v>
      </c>
      <c r="B759" t="s">
        <v>62</v>
      </c>
      <c r="C759">
        <v>3</v>
      </c>
      <c r="D759">
        <v>53700</v>
      </c>
      <c r="E759" t="s">
        <v>1146</v>
      </c>
      <c r="F759">
        <v>1</v>
      </c>
      <c r="G759">
        <v>8.1999999999999993</v>
      </c>
      <c r="H759">
        <v>0</v>
      </c>
      <c r="I759">
        <v>1</v>
      </c>
    </row>
    <row r="760" spans="1:9" x14ac:dyDescent="0.3">
      <c r="A760" t="s">
        <v>872</v>
      </c>
      <c r="B760" t="s">
        <v>64</v>
      </c>
      <c r="C760">
        <v>4</v>
      </c>
      <c r="D760">
        <v>52100</v>
      </c>
      <c r="E760" t="s">
        <v>1146</v>
      </c>
      <c r="F760">
        <v>7</v>
      </c>
      <c r="G760">
        <v>1.4</v>
      </c>
      <c r="H760">
        <v>2000</v>
      </c>
      <c r="I760">
        <v>1</v>
      </c>
    </row>
    <row r="761" spans="1:9" x14ac:dyDescent="0.3">
      <c r="A761" t="s">
        <v>873</v>
      </c>
      <c r="B761" t="s">
        <v>65</v>
      </c>
      <c r="C761">
        <v>7</v>
      </c>
      <c r="D761">
        <v>64100</v>
      </c>
      <c r="E761" t="s">
        <v>1146</v>
      </c>
      <c r="F761">
        <v>9</v>
      </c>
      <c r="G761">
        <v>8.8000000000000007</v>
      </c>
      <c r="H761">
        <v>4200</v>
      </c>
      <c r="I761">
        <v>1</v>
      </c>
    </row>
    <row r="762" spans="1:9" x14ac:dyDescent="0.3">
      <c r="A762" t="s">
        <v>874</v>
      </c>
      <c r="B762" t="s">
        <v>62</v>
      </c>
      <c r="C762">
        <v>7</v>
      </c>
      <c r="D762">
        <v>79000</v>
      </c>
      <c r="E762" t="s">
        <v>1146</v>
      </c>
      <c r="F762">
        <v>2</v>
      </c>
      <c r="G762">
        <v>4</v>
      </c>
      <c r="H762">
        <v>10800</v>
      </c>
      <c r="I762">
        <v>1</v>
      </c>
    </row>
    <row r="763" spans="1:9" x14ac:dyDescent="0.3">
      <c r="A763" t="s">
        <v>875</v>
      </c>
      <c r="B763" t="s">
        <v>513</v>
      </c>
      <c r="C763">
        <v>4</v>
      </c>
      <c r="D763">
        <v>30500</v>
      </c>
      <c r="E763" t="s">
        <v>67</v>
      </c>
      <c r="F763">
        <v>48</v>
      </c>
      <c r="G763">
        <v>8.8000000000000007</v>
      </c>
      <c r="H763">
        <v>11300</v>
      </c>
      <c r="I763">
        <v>1</v>
      </c>
    </row>
    <row r="764" spans="1:9" x14ac:dyDescent="0.3">
      <c r="A764" t="s">
        <v>876</v>
      </c>
      <c r="B764" t="s">
        <v>65</v>
      </c>
      <c r="C764">
        <v>5</v>
      </c>
      <c r="D764">
        <v>26700</v>
      </c>
      <c r="E764" t="s">
        <v>66</v>
      </c>
      <c r="F764">
        <v>16</v>
      </c>
      <c r="G764">
        <v>7.7</v>
      </c>
      <c r="H764">
        <v>4200</v>
      </c>
      <c r="I764">
        <v>1</v>
      </c>
    </row>
    <row r="765" spans="1:9" x14ac:dyDescent="0.3">
      <c r="A765" t="s">
        <v>877</v>
      </c>
      <c r="B765" t="s">
        <v>64</v>
      </c>
      <c r="C765">
        <v>7</v>
      </c>
      <c r="D765">
        <v>130200</v>
      </c>
      <c r="E765" t="s">
        <v>1146</v>
      </c>
      <c r="F765">
        <v>8</v>
      </c>
      <c r="G765">
        <v>2.2000000000000002</v>
      </c>
      <c r="H765">
        <v>8900</v>
      </c>
      <c r="I765">
        <v>1</v>
      </c>
    </row>
    <row r="766" spans="1:9" x14ac:dyDescent="0.3">
      <c r="A766" t="s">
        <v>878</v>
      </c>
      <c r="B766" t="s">
        <v>513</v>
      </c>
      <c r="C766">
        <v>6</v>
      </c>
      <c r="D766">
        <v>52300</v>
      </c>
      <c r="E766" t="s">
        <v>1146</v>
      </c>
      <c r="F766">
        <v>3</v>
      </c>
      <c r="G766">
        <v>10.199999999999999</v>
      </c>
      <c r="H766">
        <v>10800</v>
      </c>
      <c r="I766">
        <v>1</v>
      </c>
    </row>
    <row r="767" spans="1:9" x14ac:dyDescent="0.3">
      <c r="A767" t="s">
        <v>879</v>
      </c>
      <c r="B767" t="s">
        <v>65</v>
      </c>
      <c r="C767">
        <v>4</v>
      </c>
      <c r="D767">
        <v>54000</v>
      </c>
      <c r="E767" t="s">
        <v>1146</v>
      </c>
      <c r="F767">
        <v>3</v>
      </c>
      <c r="G767">
        <v>7</v>
      </c>
      <c r="H767">
        <v>4600</v>
      </c>
      <c r="I767">
        <v>1</v>
      </c>
    </row>
    <row r="768" spans="1:9" x14ac:dyDescent="0.3">
      <c r="A768" t="s">
        <v>880</v>
      </c>
      <c r="B768" t="s">
        <v>513</v>
      </c>
      <c r="C768">
        <v>6</v>
      </c>
      <c r="D768">
        <v>44000</v>
      </c>
      <c r="E768" t="s">
        <v>1146</v>
      </c>
      <c r="F768">
        <v>10</v>
      </c>
      <c r="G768">
        <v>5</v>
      </c>
      <c r="H768">
        <v>4000</v>
      </c>
      <c r="I768">
        <v>1</v>
      </c>
    </row>
    <row r="769" spans="1:9" x14ac:dyDescent="0.3">
      <c r="A769" t="s">
        <v>881</v>
      </c>
      <c r="B769" t="s">
        <v>62</v>
      </c>
      <c r="C769">
        <v>9</v>
      </c>
      <c r="D769">
        <v>53700</v>
      </c>
      <c r="E769" t="s">
        <v>1146</v>
      </c>
      <c r="F769">
        <v>2</v>
      </c>
      <c r="G769">
        <v>2.1</v>
      </c>
      <c r="H769">
        <v>200</v>
      </c>
      <c r="I769">
        <v>1</v>
      </c>
    </row>
    <row r="770" spans="1:9" x14ac:dyDescent="0.3">
      <c r="A770" t="s">
        <v>882</v>
      </c>
      <c r="B770" t="s">
        <v>64</v>
      </c>
      <c r="C770">
        <v>5</v>
      </c>
      <c r="D770">
        <v>66100</v>
      </c>
      <c r="E770" t="s">
        <v>1146</v>
      </c>
      <c r="F770">
        <v>7</v>
      </c>
      <c r="G770">
        <v>9.1</v>
      </c>
      <c r="H770">
        <v>6300</v>
      </c>
      <c r="I770">
        <v>1</v>
      </c>
    </row>
    <row r="771" spans="1:9" x14ac:dyDescent="0.3">
      <c r="A771" t="s">
        <v>883</v>
      </c>
      <c r="B771" t="s">
        <v>62</v>
      </c>
      <c r="C771">
        <v>5</v>
      </c>
      <c r="D771">
        <v>42400</v>
      </c>
      <c r="E771" t="s">
        <v>1146</v>
      </c>
      <c r="F771">
        <v>9</v>
      </c>
      <c r="G771">
        <v>3.9</v>
      </c>
      <c r="H771">
        <v>10700</v>
      </c>
      <c r="I771">
        <v>1</v>
      </c>
    </row>
    <row r="772" spans="1:9" x14ac:dyDescent="0.3">
      <c r="A772" t="s">
        <v>884</v>
      </c>
      <c r="B772" t="s">
        <v>65</v>
      </c>
      <c r="C772">
        <v>8</v>
      </c>
      <c r="D772">
        <v>42800</v>
      </c>
      <c r="E772" t="s">
        <v>1146</v>
      </c>
      <c r="F772">
        <v>0</v>
      </c>
      <c r="G772">
        <v>2.8</v>
      </c>
      <c r="H772">
        <v>5600</v>
      </c>
      <c r="I772">
        <v>1</v>
      </c>
    </row>
    <row r="773" spans="1:9" x14ac:dyDescent="0.3">
      <c r="A773" t="s">
        <v>885</v>
      </c>
      <c r="B773" t="s">
        <v>513</v>
      </c>
      <c r="C773">
        <v>4</v>
      </c>
      <c r="D773">
        <v>17800</v>
      </c>
      <c r="E773" t="s">
        <v>1146</v>
      </c>
      <c r="F773">
        <v>3</v>
      </c>
      <c r="G773">
        <v>11</v>
      </c>
      <c r="H773">
        <v>0</v>
      </c>
      <c r="I773">
        <v>1</v>
      </c>
    </row>
    <row r="774" spans="1:9" x14ac:dyDescent="0.3">
      <c r="A774" t="s">
        <v>886</v>
      </c>
      <c r="B774" t="s">
        <v>513</v>
      </c>
      <c r="C774">
        <v>8</v>
      </c>
      <c r="D774">
        <v>42100</v>
      </c>
      <c r="E774" t="s">
        <v>1146</v>
      </c>
      <c r="F774">
        <v>6</v>
      </c>
      <c r="G774">
        <v>3.4</v>
      </c>
      <c r="H774">
        <v>0</v>
      </c>
      <c r="I774">
        <v>1</v>
      </c>
    </row>
    <row r="775" spans="1:9" x14ac:dyDescent="0.3">
      <c r="A775" t="s">
        <v>887</v>
      </c>
      <c r="B775" t="s">
        <v>513</v>
      </c>
      <c r="C775">
        <v>5</v>
      </c>
      <c r="D775">
        <v>15000</v>
      </c>
      <c r="E775" t="s">
        <v>66</v>
      </c>
      <c r="F775">
        <v>18</v>
      </c>
      <c r="G775">
        <v>9.6</v>
      </c>
      <c r="H775">
        <v>4800</v>
      </c>
      <c r="I775">
        <v>1</v>
      </c>
    </row>
    <row r="776" spans="1:9" x14ac:dyDescent="0.3">
      <c r="A776" t="s">
        <v>888</v>
      </c>
      <c r="B776" t="s">
        <v>65</v>
      </c>
      <c r="C776">
        <v>3</v>
      </c>
      <c r="D776">
        <v>10300</v>
      </c>
      <c r="E776" t="s">
        <v>1146</v>
      </c>
      <c r="F776">
        <v>6</v>
      </c>
      <c r="G776">
        <v>10.9</v>
      </c>
      <c r="H776">
        <v>2200</v>
      </c>
      <c r="I776">
        <v>1</v>
      </c>
    </row>
    <row r="777" spans="1:9" x14ac:dyDescent="0.3">
      <c r="A777" t="s">
        <v>889</v>
      </c>
      <c r="B777" t="s">
        <v>513</v>
      </c>
      <c r="C777">
        <v>5</v>
      </c>
      <c r="D777">
        <v>10100</v>
      </c>
      <c r="E777" t="s">
        <v>1146</v>
      </c>
      <c r="F777">
        <v>1</v>
      </c>
      <c r="G777">
        <v>9.6999999999999993</v>
      </c>
      <c r="H777">
        <v>9500</v>
      </c>
      <c r="I777">
        <v>1</v>
      </c>
    </row>
    <row r="778" spans="1:9" x14ac:dyDescent="0.3">
      <c r="A778" t="s">
        <v>890</v>
      </c>
      <c r="B778" t="s">
        <v>64</v>
      </c>
      <c r="C778">
        <v>5</v>
      </c>
      <c r="D778">
        <v>154400</v>
      </c>
      <c r="E778" t="s">
        <v>1146</v>
      </c>
      <c r="F778">
        <v>3</v>
      </c>
      <c r="G778">
        <v>5.3</v>
      </c>
      <c r="H778">
        <v>6000</v>
      </c>
      <c r="I778">
        <v>1</v>
      </c>
    </row>
    <row r="779" spans="1:9" x14ac:dyDescent="0.3">
      <c r="A779" t="s">
        <v>891</v>
      </c>
      <c r="B779" t="s">
        <v>65</v>
      </c>
      <c r="C779">
        <v>6</v>
      </c>
      <c r="D779">
        <v>12200</v>
      </c>
      <c r="E779" t="s">
        <v>1146</v>
      </c>
      <c r="F779">
        <v>2</v>
      </c>
      <c r="G779">
        <v>9.1</v>
      </c>
      <c r="H779">
        <v>8300</v>
      </c>
      <c r="I779">
        <v>1</v>
      </c>
    </row>
    <row r="780" spans="1:9" x14ac:dyDescent="0.3">
      <c r="A780" t="s">
        <v>892</v>
      </c>
      <c r="B780" t="s">
        <v>62</v>
      </c>
      <c r="C780">
        <v>4</v>
      </c>
      <c r="D780">
        <v>31800</v>
      </c>
      <c r="E780" t="s">
        <v>1146</v>
      </c>
      <c r="F780">
        <v>4</v>
      </c>
      <c r="G780">
        <v>1</v>
      </c>
      <c r="H780">
        <v>4100</v>
      </c>
      <c r="I780">
        <v>1</v>
      </c>
    </row>
    <row r="781" spans="1:9" x14ac:dyDescent="0.3">
      <c r="A781" t="s">
        <v>893</v>
      </c>
      <c r="B781" t="s">
        <v>65</v>
      </c>
      <c r="C781">
        <v>5</v>
      </c>
      <c r="D781">
        <v>35600</v>
      </c>
      <c r="E781" t="s">
        <v>66</v>
      </c>
      <c r="F781">
        <v>32</v>
      </c>
      <c r="G781">
        <v>3.1</v>
      </c>
      <c r="H781">
        <v>3600</v>
      </c>
      <c r="I781">
        <v>1</v>
      </c>
    </row>
    <row r="782" spans="1:9" x14ac:dyDescent="0.3">
      <c r="A782" t="s">
        <v>894</v>
      </c>
      <c r="B782" t="s">
        <v>64</v>
      </c>
      <c r="C782">
        <v>4</v>
      </c>
      <c r="D782">
        <v>46300</v>
      </c>
      <c r="E782" t="s">
        <v>1146</v>
      </c>
      <c r="F782">
        <v>4</v>
      </c>
      <c r="G782">
        <v>5.8</v>
      </c>
      <c r="H782">
        <v>4300</v>
      </c>
      <c r="I782">
        <v>1</v>
      </c>
    </row>
    <row r="783" spans="1:9" x14ac:dyDescent="0.3">
      <c r="A783" t="s">
        <v>895</v>
      </c>
      <c r="B783" t="s">
        <v>65</v>
      </c>
      <c r="C783">
        <v>10</v>
      </c>
      <c r="D783">
        <v>35500</v>
      </c>
      <c r="E783" t="s">
        <v>1146</v>
      </c>
      <c r="F783">
        <v>8</v>
      </c>
      <c r="G783">
        <v>7.4</v>
      </c>
      <c r="H783">
        <v>0</v>
      </c>
      <c r="I783">
        <v>1</v>
      </c>
    </row>
    <row r="784" spans="1:9" x14ac:dyDescent="0.3">
      <c r="A784" t="s">
        <v>896</v>
      </c>
      <c r="B784" t="s">
        <v>62</v>
      </c>
      <c r="C784">
        <v>6</v>
      </c>
      <c r="D784">
        <v>29300</v>
      </c>
      <c r="E784" t="s">
        <v>1146</v>
      </c>
      <c r="F784">
        <v>4</v>
      </c>
      <c r="G784">
        <v>3.5</v>
      </c>
      <c r="H784">
        <v>0</v>
      </c>
      <c r="I784">
        <v>1</v>
      </c>
    </row>
    <row r="785" spans="1:9" x14ac:dyDescent="0.3">
      <c r="A785" t="s">
        <v>897</v>
      </c>
      <c r="B785" t="s">
        <v>62</v>
      </c>
      <c r="C785">
        <v>8</v>
      </c>
      <c r="D785">
        <v>69200</v>
      </c>
      <c r="E785" t="s">
        <v>1146</v>
      </c>
      <c r="F785">
        <v>3</v>
      </c>
      <c r="G785">
        <v>4.3</v>
      </c>
      <c r="H785">
        <v>1500</v>
      </c>
      <c r="I785">
        <v>1</v>
      </c>
    </row>
    <row r="786" spans="1:9" x14ac:dyDescent="0.3">
      <c r="A786" t="s">
        <v>898</v>
      </c>
      <c r="B786" t="s">
        <v>62</v>
      </c>
      <c r="C786">
        <v>4</v>
      </c>
      <c r="D786">
        <v>28700</v>
      </c>
      <c r="E786" t="s">
        <v>1146</v>
      </c>
      <c r="F786">
        <v>9</v>
      </c>
      <c r="G786">
        <v>8.8000000000000007</v>
      </c>
      <c r="H786">
        <v>0</v>
      </c>
      <c r="I786">
        <v>1</v>
      </c>
    </row>
    <row r="787" spans="1:9" x14ac:dyDescent="0.3">
      <c r="A787" t="s">
        <v>899</v>
      </c>
      <c r="B787" t="s">
        <v>62</v>
      </c>
      <c r="C787">
        <v>5</v>
      </c>
      <c r="D787">
        <v>117000</v>
      </c>
      <c r="E787" t="s">
        <v>1146</v>
      </c>
      <c r="F787">
        <v>9</v>
      </c>
      <c r="G787">
        <v>7.3</v>
      </c>
      <c r="H787">
        <v>3700</v>
      </c>
      <c r="I787">
        <v>1</v>
      </c>
    </row>
    <row r="788" spans="1:9" x14ac:dyDescent="0.3">
      <c r="A788" t="s">
        <v>900</v>
      </c>
      <c r="B788" t="s">
        <v>65</v>
      </c>
      <c r="C788">
        <v>8</v>
      </c>
      <c r="D788">
        <v>37600</v>
      </c>
      <c r="E788" t="s">
        <v>1146</v>
      </c>
      <c r="F788">
        <v>4</v>
      </c>
      <c r="G788">
        <v>9.9</v>
      </c>
      <c r="H788">
        <v>7700</v>
      </c>
      <c r="I788">
        <v>1</v>
      </c>
    </row>
    <row r="789" spans="1:9" x14ac:dyDescent="0.3">
      <c r="A789" t="s">
        <v>901</v>
      </c>
      <c r="B789" t="s">
        <v>65</v>
      </c>
      <c r="C789">
        <v>5</v>
      </c>
      <c r="D789">
        <v>84300</v>
      </c>
      <c r="E789" t="s">
        <v>1146</v>
      </c>
      <c r="F789">
        <v>9</v>
      </c>
      <c r="G789">
        <v>8.6999999999999993</v>
      </c>
      <c r="H789">
        <v>2500</v>
      </c>
      <c r="I789">
        <v>1</v>
      </c>
    </row>
    <row r="790" spans="1:9" x14ac:dyDescent="0.3">
      <c r="A790" t="s">
        <v>902</v>
      </c>
      <c r="B790" t="s">
        <v>62</v>
      </c>
      <c r="C790">
        <v>7</v>
      </c>
      <c r="D790">
        <v>142800</v>
      </c>
      <c r="E790" t="s">
        <v>1146</v>
      </c>
      <c r="F790">
        <v>0</v>
      </c>
      <c r="G790">
        <v>2.2000000000000002</v>
      </c>
      <c r="H790">
        <v>0</v>
      </c>
      <c r="I790">
        <v>1</v>
      </c>
    </row>
    <row r="791" spans="1:9" x14ac:dyDescent="0.3">
      <c r="A791" t="s">
        <v>903</v>
      </c>
      <c r="B791" t="s">
        <v>65</v>
      </c>
      <c r="C791">
        <v>6</v>
      </c>
      <c r="D791">
        <v>45800</v>
      </c>
      <c r="E791" t="s">
        <v>1146</v>
      </c>
      <c r="F791">
        <v>0</v>
      </c>
      <c r="G791">
        <v>8.6</v>
      </c>
      <c r="H791">
        <v>4400</v>
      </c>
      <c r="I791">
        <v>1</v>
      </c>
    </row>
    <row r="792" spans="1:9" x14ac:dyDescent="0.3">
      <c r="A792" t="s">
        <v>904</v>
      </c>
      <c r="B792" t="s">
        <v>64</v>
      </c>
      <c r="C792">
        <v>7</v>
      </c>
      <c r="D792">
        <v>62800</v>
      </c>
      <c r="E792" t="s">
        <v>1146</v>
      </c>
      <c r="F792">
        <v>8</v>
      </c>
      <c r="G792">
        <v>0.8</v>
      </c>
      <c r="H792">
        <v>6600</v>
      </c>
      <c r="I792">
        <v>1</v>
      </c>
    </row>
    <row r="793" spans="1:9" x14ac:dyDescent="0.3">
      <c r="A793" t="s">
        <v>905</v>
      </c>
      <c r="B793" t="s">
        <v>65</v>
      </c>
      <c r="C793">
        <v>8</v>
      </c>
      <c r="D793">
        <v>54700</v>
      </c>
      <c r="E793" t="s">
        <v>1146</v>
      </c>
      <c r="F793">
        <v>10</v>
      </c>
      <c r="G793">
        <v>6.2</v>
      </c>
      <c r="H793">
        <v>0</v>
      </c>
      <c r="I793">
        <v>1</v>
      </c>
    </row>
    <row r="794" spans="1:9" x14ac:dyDescent="0.3">
      <c r="A794" t="s">
        <v>906</v>
      </c>
      <c r="B794" t="s">
        <v>64</v>
      </c>
      <c r="C794">
        <v>6</v>
      </c>
      <c r="D794">
        <v>50400</v>
      </c>
      <c r="E794" t="s">
        <v>1146</v>
      </c>
      <c r="F794">
        <v>3</v>
      </c>
      <c r="G794">
        <v>8.4</v>
      </c>
      <c r="H794">
        <v>6100</v>
      </c>
      <c r="I794">
        <v>1</v>
      </c>
    </row>
    <row r="795" spans="1:9" x14ac:dyDescent="0.3">
      <c r="A795" t="s">
        <v>907</v>
      </c>
      <c r="B795" t="s">
        <v>513</v>
      </c>
      <c r="C795">
        <v>5</v>
      </c>
      <c r="D795">
        <v>30300</v>
      </c>
      <c r="E795" t="s">
        <v>1146</v>
      </c>
      <c r="F795">
        <v>5</v>
      </c>
      <c r="G795">
        <v>3.8</v>
      </c>
      <c r="H795">
        <v>100</v>
      </c>
      <c r="I795">
        <v>1</v>
      </c>
    </row>
    <row r="796" spans="1:9" x14ac:dyDescent="0.3">
      <c r="A796" t="s">
        <v>908</v>
      </c>
      <c r="B796" t="s">
        <v>64</v>
      </c>
      <c r="C796">
        <v>4</v>
      </c>
      <c r="D796">
        <v>52500</v>
      </c>
      <c r="E796" t="s">
        <v>1146</v>
      </c>
      <c r="F796">
        <v>5</v>
      </c>
      <c r="G796">
        <v>9.3000000000000007</v>
      </c>
      <c r="H796">
        <v>9700</v>
      </c>
      <c r="I796">
        <v>1</v>
      </c>
    </row>
    <row r="797" spans="1:9" x14ac:dyDescent="0.3">
      <c r="A797" t="s">
        <v>909</v>
      </c>
      <c r="B797" t="s">
        <v>513</v>
      </c>
      <c r="C797">
        <v>3</v>
      </c>
      <c r="D797">
        <v>74000</v>
      </c>
      <c r="E797" t="s">
        <v>1146</v>
      </c>
      <c r="F797">
        <v>4</v>
      </c>
      <c r="G797">
        <v>7.8</v>
      </c>
      <c r="H797">
        <v>500</v>
      </c>
      <c r="I797">
        <v>1</v>
      </c>
    </row>
    <row r="798" spans="1:9" x14ac:dyDescent="0.3">
      <c r="A798" t="s">
        <v>910</v>
      </c>
      <c r="B798" t="s">
        <v>62</v>
      </c>
      <c r="C798">
        <v>2</v>
      </c>
      <c r="D798">
        <v>62600</v>
      </c>
      <c r="E798" t="s">
        <v>1146</v>
      </c>
      <c r="F798">
        <v>4</v>
      </c>
      <c r="G798">
        <v>5.0999999999999996</v>
      </c>
      <c r="H798">
        <v>7000</v>
      </c>
      <c r="I798">
        <v>1</v>
      </c>
    </row>
    <row r="799" spans="1:9" x14ac:dyDescent="0.3">
      <c r="A799" t="s">
        <v>911</v>
      </c>
      <c r="B799" t="s">
        <v>64</v>
      </c>
      <c r="C799">
        <v>7</v>
      </c>
      <c r="D799">
        <v>74100</v>
      </c>
      <c r="E799" t="s">
        <v>1146</v>
      </c>
      <c r="F799">
        <v>1</v>
      </c>
      <c r="G799">
        <v>2.9</v>
      </c>
      <c r="H799">
        <v>10900</v>
      </c>
      <c r="I799">
        <v>1</v>
      </c>
    </row>
    <row r="800" spans="1:9" x14ac:dyDescent="0.3">
      <c r="A800" t="s">
        <v>912</v>
      </c>
      <c r="B800" t="s">
        <v>513</v>
      </c>
      <c r="C800">
        <v>6</v>
      </c>
      <c r="D800">
        <v>75400</v>
      </c>
      <c r="E800" t="s">
        <v>1146</v>
      </c>
      <c r="F800">
        <v>9</v>
      </c>
      <c r="G800">
        <v>9.1999999999999993</v>
      </c>
      <c r="H800">
        <v>3700</v>
      </c>
      <c r="I800">
        <v>1</v>
      </c>
    </row>
    <row r="801" spans="1:9" x14ac:dyDescent="0.3">
      <c r="A801" t="s">
        <v>913</v>
      </c>
      <c r="B801" t="s">
        <v>64</v>
      </c>
      <c r="C801">
        <v>6</v>
      </c>
      <c r="D801">
        <v>47700</v>
      </c>
      <c r="E801" t="s">
        <v>1146</v>
      </c>
      <c r="F801">
        <v>6</v>
      </c>
      <c r="G801">
        <v>6</v>
      </c>
      <c r="H801">
        <v>10900</v>
      </c>
      <c r="I801">
        <v>1</v>
      </c>
    </row>
    <row r="802" spans="1:9" x14ac:dyDescent="0.3">
      <c r="A802" t="s">
        <v>914</v>
      </c>
      <c r="B802" t="s">
        <v>62</v>
      </c>
      <c r="C802">
        <v>6</v>
      </c>
      <c r="D802">
        <v>59900</v>
      </c>
      <c r="E802" t="s">
        <v>1146</v>
      </c>
      <c r="F802">
        <v>0</v>
      </c>
      <c r="G802">
        <v>7.3</v>
      </c>
      <c r="H802">
        <v>11100</v>
      </c>
      <c r="I802">
        <v>1</v>
      </c>
    </row>
    <row r="803" spans="1:9" x14ac:dyDescent="0.3">
      <c r="A803" t="s">
        <v>915</v>
      </c>
      <c r="B803" t="s">
        <v>513</v>
      </c>
      <c r="C803">
        <v>4</v>
      </c>
      <c r="D803">
        <v>35400</v>
      </c>
      <c r="E803" t="s">
        <v>68</v>
      </c>
      <c r="F803">
        <v>32</v>
      </c>
      <c r="G803">
        <v>4</v>
      </c>
      <c r="H803">
        <v>7900</v>
      </c>
      <c r="I803">
        <v>1</v>
      </c>
    </row>
    <row r="804" spans="1:9" x14ac:dyDescent="0.3">
      <c r="A804" t="s">
        <v>916</v>
      </c>
      <c r="B804" t="s">
        <v>64</v>
      </c>
      <c r="C804">
        <v>7</v>
      </c>
      <c r="D804">
        <v>59800</v>
      </c>
      <c r="E804" t="s">
        <v>68</v>
      </c>
      <c r="F804">
        <v>48</v>
      </c>
      <c r="G804">
        <v>7</v>
      </c>
      <c r="H804">
        <v>6600</v>
      </c>
      <c r="I804">
        <v>1</v>
      </c>
    </row>
    <row r="805" spans="1:9" x14ac:dyDescent="0.3">
      <c r="A805" t="s">
        <v>917</v>
      </c>
      <c r="B805" t="s">
        <v>65</v>
      </c>
      <c r="C805">
        <v>9</v>
      </c>
      <c r="D805">
        <v>26900</v>
      </c>
      <c r="E805" t="s">
        <v>1146</v>
      </c>
      <c r="F805">
        <v>4</v>
      </c>
      <c r="G805">
        <v>10.8</v>
      </c>
      <c r="H805">
        <v>4700</v>
      </c>
      <c r="I805">
        <v>1</v>
      </c>
    </row>
    <row r="806" spans="1:9" x14ac:dyDescent="0.3">
      <c r="A806" t="s">
        <v>918</v>
      </c>
      <c r="B806" t="s">
        <v>513</v>
      </c>
      <c r="C806">
        <v>5</v>
      </c>
      <c r="D806">
        <v>21800</v>
      </c>
      <c r="E806" t="s">
        <v>1146</v>
      </c>
      <c r="F806">
        <v>5</v>
      </c>
      <c r="G806">
        <v>2.8</v>
      </c>
      <c r="H806">
        <v>0</v>
      </c>
      <c r="I806">
        <v>1</v>
      </c>
    </row>
    <row r="807" spans="1:9" x14ac:dyDescent="0.3">
      <c r="A807" t="s">
        <v>919</v>
      </c>
      <c r="B807" t="s">
        <v>513</v>
      </c>
      <c r="C807">
        <v>4</v>
      </c>
      <c r="D807">
        <v>25200</v>
      </c>
      <c r="E807" t="s">
        <v>1146</v>
      </c>
      <c r="F807">
        <v>0</v>
      </c>
      <c r="G807">
        <v>1.8</v>
      </c>
      <c r="H807">
        <v>0</v>
      </c>
      <c r="I807">
        <v>1</v>
      </c>
    </row>
    <row r="808" spans="1:9" x14ac:dyDescent="0.3">
      <c r="A808" t="s">
        <v>920</v>
      </c>
      <c r="B808" t="s">
        <v>65</v>
      </c>
      <c r="C808">
        <v>5</v>
      </c>
      <c r="D808">
        <v>53400</v>
      </c>
      <c r="E808" t="s">
        <v>1146</v>
      </c>
      <c r="F808">
        <v>6</v>
      </c>
      <c r="G808">
        <v>9.6999999999999993</v>
      </c>
      <c r="H808">
        <v>2900</v>
      </c>
      <c r="I808">
        <v>1</v>
      </c>
    </row>
    <row r="809" spans="1:9" x14ac:dyDescent="0.3">
      <c r="A809" t="s">
        <v>921</v>
      </c>
      <c r="B809" t="s">
        <v>62</v>
      </c>
      <c r="C809">
        <v>8</v>
      </c>
      <c r="D809">
        <v>104400</v>
      </c>
      <c r="E809" t="s">
        <v>1146</v>
      </c>
      <c r="F809">
        <v>0</v>
      </c>
      <c r="G809">
        <v>0.8</v>
      </c>
      <c r="H809">
        <v>5200</v>
      </c>
      <c r="I809">
        <v>1</v>
      </c>
    </row>
    <row r="810" spans="1:9" x14ac:dyDescent="0.3">
      <c r="A810" t="s">
        <v>922</v>
      </c>
      <c r="B810" t="s">
        <v>513</v>
      </c>
      <c r="C810">
        <v>5</v>
      </c>
      <c r="D810">
        <v>36000</v>
      </c>
      <c r="E810" t="s">
        <v>1146</v>
      </c>
      <c r="F810">
        <v>6</v>
      </c>
      <c r="G810">
        <v>8</v>
      </c>
      <c r="H810">
        <v>7200</v>
      </c>
      <c r="I810">
        <v>1</v>
      </c>
    </row>
    <row r="811" spans="1:9" x14ac:dyDescent="0.3">
      <c r="A811" t="s">
        <v>923</v>
      </c>
      <c r="B811" t="s">
        <v>65</v>
      </c>
      <c r="C811">
        <v>2</v>
      </c>
      <c r="D811">
        <v>40800</v>
      </c>
      <c r="E811" t="s">
        <v>1146</v>
      </c>
      <c r="F811">
        <v>0</v>
      </c>
      <c r="G811">
        <v>3</v>
      </c>
      <c r="H811">
        <v>3300</v>
      </c>
      <c r="I811">
        <v>1</v>
      </c>
    </row>
    <row r="812" spans="1:9" x14ac:dyDescent="0.3">
      <c r="A812" t="s">
        <v>924</v>
      </c>
      <c r="B812" t="s">
        <v>64</v>
      </c>
      <c r="C812">
        <v>9</v>
      </c>
      <c r="D812">
        <v>24600</v>
      </c>
      <c r="E812" t="s">
        <v>1146</v>
      </c>
      <c r="F812">
        <v>2</v>
      </c>
      <c r="G812">
        <v>3.6</v>
      </c>
      <c r="H812">
        <v>9100</v>
      </c>
      <c r="I812">
        <v>1</v>
      </c>
    </row>
    <row r="813" spans="1:9" x14ac:dyDescent="0.3">
      <c r="A813" t="s">
        <v>925</v>
      </c>
      <c r="B813" t="s">
        <v>65</v>
      </c>
      <c r="C813">
        <v>8</v>
      </c>
      <c r="D813">
        <v>76000</v>
      </c>
      <c r="E813" t="s">
        <v>1146</v>
      </c>
      <c r="F813">
        <v>3</v>
      </c>
      <c r="G813">
        <v>6.6</v>
      </c>
      <c r="H813">
        <v>12400</v>
      </c>
      <c r="I813">
        <v>1</v>
      </c>
    </row>
    <row r="814" spans="1:9" x14ac:dyDescent="0.3">
      <c r="A814" t="s">
        <v>926</v>
      </c>
      <c r="B814" t="s">
        <v>513</v>
      </c>
      <c r="C814">
        <v>3</v>
      </c>
      <c r="D814">
        <v>25000</v>
      </c>
      <c r="E814" t="s">
        <v>1146</v>
      </c>
      <c r="F814">
        <v>10</v>
      </c>
      <c r="G814">
        <v>10.6</v>
      </c>
      <c r="H814">
        <v>7000</v>
      </c>
      <c r="I814">
        <v>1</v>
      </c>
    </row>
    <row r="815" spans="1:9" x14ac:dyDescent="0.3">
      <c r="A815" t="s">
        <v>927</v>
      </c>
      <c r="B815" t="s">
        <v>513</v>
      </c>
      <c r="C815">
        <v>10</v>
      </c>
      <c r="D815">
        <v>31100</v>
      </c>
      <c r="E815" t="s">
        <v>1146</v>
      </c>
      <c r="F815">
        <v>6</v>
      </c>
      <c r="G815">
        <v>7.9</v>
      </c>
      <c r="H815">
        <v>1400</v>
      </c>
      <c r="I815">
        <v>1</v>
      </c>
    </row>
    <row r="816" spans="1:9" x14ac:dyDescent="0.3">
      <c r="A816" t="s">
        <v>928</v>
      </c>
      <c r="B816" t="s">
        <v>65</v>
      </c>
      <c r="C816">
        <v>6</v>
      </c>
      <c r="D816">
        <v>86300</v>
      </c>
      <c r="E816" t="s">
        <v>1146</v>
      </c>
      <c r="F816">
        <v>8</v>
      </c>
      <c r="G816">
        <v>5.5</v>
      </c>
      <c r="H816">
        <v>7400</v>
      </c>
      <c r="I816">
        <v>1</v>
      </c>
    </row>
    <row r="817" spans="1:9" x14ac:dyDescent="0.3">
      <c r="A817" t="s">
        <v>929</v>
      </c>
      <c r="B817" t="s">
        <v>62</v>
      </c>
      <c r="C817">
        <v>5</v>
      </c>
      <c r="D817">
        <v>167700</v>
      </c>
      <c r="E817" t="s">
        <v>1146</v>
      </c>
      <c r="F817">
        <v>5</v>
      </c>
      <c r="G817">
        <v>6.8</v>
      </c>
      <c r="H817">
        <v>9100</v>
      </c>
      <c r="I817">
        <v>1</v>
      </c>
    </row>
    <row r="818" spans="1:9" x14ac:dyDescent="0.3">
      <c r="A818" t="s">
        <v>930</v>
      </c>
      <c r="B818" t="s">
        <v>62</v>
      </c>
      <c r="C818">
        <v>7</v>
      </c>
      <c r="D818">
        <v>121800</v>
      </c>
      <c r="E818" t="s">
        <v>1146</v>
      </c>
      <c r="F818">
        <v>2</v>
      </c>
      <c r="G818">
        <v>7.4</v>
      </c>
      <c r="H818">
        <v>2800</v>
      </c>
      <c r="I818">
        <v>1</v>
      </c>
    </row>
    <row r="819" spans="1:9" x14ac:dyDescent="0.3">
      <c r="A819" t="s">
        <v>931</v>
      </c>
      <c r="B819" t="s">
        <v>513</v>
      </c>
      <c r="C819">
        <v>3</v>
      </c>
      <c r="D819">
        <v>8800</v>
      </c>
      <c r="E819" t="s">
        <v>1146</v>
      </c>
      <c r="F819">
        <v>8</v>
      </c>
      <c r="G819">
        <v>7.8</v>
      </c>
      <c r="H819">
        <v>4100</v>
      </c>
      <c r="I819">
        <v>1</v>
      </c>
    </row>
    <row r="820" spans="1:9" x14ac:dyDescent="0.3">
      <c r="A820" t="s">
        <v>932</v>
      </c>
      <c r="B820" t="s">
        <v>62</v>
      </c>
      <c r="C820">
        <v>5</v>
      </c>
      <c r="D820">
        <v>18400</v>
      </c>
      <c r="E820" t="s">
        <v>1146</v>
      </c>
      <c r="F820">
        <v>7</v>
      </c>
      <c r="G820">
        <v>10</v>
      </c>
      <c r="H820">
        <v>3700</v>
      </c>
      <c r="I820">
        <v>1</v>
      </c>
    </row>
    <row r="821" spans="1:9" x14ac:dyDescent="0.3">
      <c r="A821" t="s">
        <v>933</v>
      </c>
      <c r="B821" t="s">
        <v>62</v>
      </c>
      <c r="C821">
        <v>8</v>
      </c>
      <c r="D821">
        <v>74100</v>
      </c>
      <c r="E821" t="s">
        <v>1146</v>
      </c>
      <c r="F821">
        <v>4</v>
      </c>
      <c r="G821">
        <v>9</v>
      </c>
      <c r="H821">
        <v>9200</v>
      </c>
      <c r="I821">
        <v>1</v>
      </c>
    </row>
    <row r="822" spans="1:9" x14ac:dyDescent="0.3">
      <c r="A822" t="s">
        <v>934</v>
      </c>
      <c r="B822" t="s">
        <v>64</v>
      </c>
      <c r="C822">
        <v>8</v>
      </c>
      <c r="D822">
        <v>45400</v>
      </c>
      <c r="E822" t="s">
        <v>67</v>
      </c>
      <c r="F822">
        <v>108</v>
      </c>
      <c r="G822">
        <v>7.2</v>
      </c>
      <c r="H822">
        <v>9500</v>
      </c>
      <c r="I822">
        <v>1</v>
      </c>
    </row>
    <row r="823" spans="1:9" x14ac:dyDescent="0.3">
      <c r="A823" t="s">
        <v>935</v>
      </c>
      <c r="B823" t="s">
        <v>513</v>
      </c>
      <c r="C823">
        <v>5</v>
      </c>
      <c r="D823">
        <v>26600</v>
      </c>
      <c r="E823" t="s">
        <v>1146</v>
      </c>
      <c r="F823">
        <v>6</v>
      </c>
      <c r="G823">
        <v>14.1</v>
      </c>
      <c r="H823">
        <v>700</v>
      </c>
      <c r="I823">
        <v>1</v>
      </c>
    </row>
    <row r="824" spans="1:9" x14ac:dyDescent="0.3">
      <c r="A824" t="s">
        <v>936</v>
      </c>
      <c r="B824" t="s">
        <v>62</v>
      </c>
      <c r="C824">
        <v>8</v>
      </c>
      <c r="D824">
        <v>118500</v>
      </c>
      <c r="E824" t="s">
        <v>1146</v>
      </c>
      <c r="F824">
        <v>1</v>
      </c>
      <c r="G824">
        <v>8.4</v>
      </c>
      <c r="H824">
        <v>11400</v>
      </c>
      <c r="I824">
        <v>1</v>
      </c>
    </row>
    <row r="825" spans="1:9" x14ac:dyDescent="0.3">
      <c r="A825" t="s">
        <v>937</v>
      </c>
      <c r="B825" t="s">
        <v>64</v>
      </c>
      <c r="C825">
        <v>3</v>
      </c>
      <c r="D825">
        <v>57600</v>
      </c>
      <c r="E825" t="s">
        <v>66</v>
      </c>
      <c r="F825">
        <v>65</v>
      </c>
      <c r="G825">
        <v>10</v>
      </c>
      <c r="H825">
        <v>0</v>
      </c>
      <c r="I825">
        <v>1</v>
      </c>
    </row>
    <row r="826" spans="1:9" x14ac:dyDescent="0.3">
      <c r="A826" t="s">
        <v>938</v>
      </c>
      <c r="B826" t="s">
        <v>513</v>
      </c>
      <c r="C826">
        <v>5</v>
      </c>
      <c r="D826">
        <v>51900</v>
      </c>
      <c r="E826" t="s">
        <v>1146</v>
      </c>
      <c r="F826">
        <v>9</v>
      </c>
      <c r="G826">
        <v>10.8</v>
      </c>
      <c r="H826">
        <v>3400</v>
      </c>
      <c r="I826">
        <v>1</v>
      </c>
    </row>
    <row r="827" spans="1:9" x14ac:dyDescent="0.3">
      <c r="A827" t="s">
        <v>939</v>
      </c>
      <c r="B827" t="s">
        <v>64</v>
      </c>
      <c r="C827">
        <v>4</v>
      </c>
      <c r="D827">
        <v>32700</v>
      </c>
      <c r="E827" t="s">
        <v>1146</v>
      </c>
      <c r="F827">
        <v>4</v>
      </c>
      <c r="G827">
        <v>10.199999999999999</v>
      </c>
      <c r="H827">
        <v>2400</v>
      </c>
      <c r="I827">
        <v>1</v>
      </c>
    </row>
    <row r="828" spans="1:9" x14ac:dyDescent="0.3">
      <c r="A828" t="s">
        <v>940</v>
      </c>
      <c r="B828" t="s">
        <v>64</v>
      </c>
      <c r="C828">
        <v>3</v>
      </c>
      <c r="D828">
        <v>29800</v>
      </c>
      <c r="E828" t="s">
        <v>1146</v>
      </c>
      <c r="F828">
        <v>4</v>
      </c>
      <c r="G828">
        <v>6.1</v>
      </c>
      <c r="H828">
        <v>0</v>
      </c>
      <c r="I828">
        <v>1</v>
      </c>
    </row>
    <row r="829" spans="1:9" x14ac:dyDescent="0.3">
      <c r="A829" t="s">
        <v>941</v>
      </c>
      <c r="B829" t="s">
        <v>64</v>
      </c>
      <c r="C829">
        <v>6</v>
      </c>
      <c r="D829">
        <v>67600</v>
      </c>
      <c r="E829" t="s">
        <v>1146</v>
      </c>
      <c r="F829">
        <v>10</v>
      </c>
      <c r="G829">
        <v>9.6</v>
      </c>
      <c r="H829">
        <v>5300</v>
      </c>
      <c r="I829">
        <v>1</v>
      </c>
    </row>
    <row r="830" spans="1:9" x14ac:dyDescent="0.3">
      <c r="A830" t="s">
        <v>942</v>
      </c>
      <c r="B830" t="s">
        <v>65</v>
      </c>
      <c r="C830">
        <v>5</v>
      </c>
      <c r="D830">
        <v>37100</v>
      </c>
      <c r="E830" t="s">
        <v>1146</v>
      </c>
      <c r="F830">
        <v>4</v>
      </c>
      <c r="G830">
        <v>11.2</v>
      </c>
      <c r="H830">
        <v>9600</v>
      </c>
      <c r="I830">
        <v>1</v>
      </c>
    </row>
    <row r="831" spans="1:9" x14ac:dyDescent="0.3">
      <c r="A831" t="s">
        <v>943</v>
      </c>
      <c r="B831" t="s">
        <v>513</v>
      </c>
      <c r="C831">
        <v>5</v>
      </c>
      <c r="D831">
        <v>50000</v>
      </c>
      <c r="E831" t="s">
        <v>1146</v>
      </c>
      <c r="F831">
        <v>6</v>
      </c>
      <c r="G831">
        <v>4.0999999999999996</v>
      </c>
      <c r="H831">
        <v>3300</v>
      </c>
      <c r="I831">
        <v>1</v>
      </c>
    </row>
    <row r="832" spans="1:9" x14ac:dyDescent="0.3">
      <c r="A832" t="s">
        <v>944</v>
      </c>
      <c r="B832" t="s">
        <v>64</v>
      </c>
      <c r="C832">
        <v>6</v>
      </c>
      <c r="D832">
        <v>20800</v>
      </c>
      <c r="E832" t="s">
        <v>1146</v>
      </c>
      <c r="F832">
        <v>4</v>
      </c>
      <c r="G832">
        <v>10.8</v>
      </c>
      <c r="H832">
        <v>1300</v>
      </c>
      <c r="I832">
        <v>1</v>
      </c>
    </row>
    <row r="833" spans="1:9" x14ac:dyDescent="0.3">
      <c r="A833" t="s">
        <v>945</v>
      </c>
      <c r="B833" t="s">
        <v>513</v>
      </c>
      <c r="C833">
        <v>6</v>
      </c>
      <c r="D833">
        <v>31700</v>
      </c>
      <c r="E833" t="s">
        <v>1146</v>
      </c>
      <c r="F833">
        <v>0</v>
      </c>
      <c r="G833">
        <v>4.3</v>
      </c>
      <c r="H833">
        <v>9800</v>
      </c>
      <c r="I833">
        <v>1</v>
      </c>
    </row>
    <row r="834" spans="1:9" x14ac:dyDescent="0.3">
      <c r="A834" t="s">
        <v>946</v>
      </c>
      <c r="B834" t="s">
        <v>65</v>
      </c>
      <c r="C834">
        <v>6</v>
      </c>
      <c r="D834">
        <v>11700</v>
      </c>
      <c r="E834" t="s">
        <v>1146</v>
      </c>
      <c r="F834">
        <v>6</v>
      </c>
      <c r="G834">
        <v>7.5</v>
      </c>
      <c r="H834">
        <v>1500</v>
      </c>
      <c r="I834">
        <v>1</v>
      </c>
    </row>
    <row r="835" spans="1:9" x14ac:dyDescent="0.3">
      <c r="A835" t="s">
        <v>947</v>
      </c>
      <c r="B835" t="s">
        <v>65</v>
      </c>
      <c r="C835">
        <v>8</v>
      </c>
      <c r="D835">
        <v>7600</v>
      </c>
      <c r="E835" t="s">
        <v>1146</v>
      </c>
      <c r="F835">
        <v>1</v>
      </c>
      <c r="G835">
        <v>10.6</v>
      </c>
      <c r="H835">
        <v>2300</v>
      </c>
      <c r="I835">
        <v>1</v>
      </c>
    </row>
    <row r="836" spans="1:9" x14ac:dyDescent="0.3">
      <c r="A836" t="s">
        <v>948</v>
      </c>
      <c r="B836" t="s">
        <v>62</v>
      </c>
      <c r="C836">
        <v>5</v>
      </c>
      <c r="D836">
        <v>44500</v>
      </c>
      <c r="E836" t="s">
        <v>1146</v>
      </c>
      <c r="F836">
        <v>10</v>
      </c>
      <c r="G836">
        <v>2.2999999999999998</v>
      </c>
      <c r="H836">
        <v>11200</v>
      </c>
      <c r="I836">
        <v>1</v>
      </c>
    </row>
    <row r="837" spans="1:9" x14ac:dyDescent="0.3">
      <c r="A837" t="s">
        <v>949</v>
      </c>
      <c r="B837" t="s">
        <v>64</v>
      </c>
      <c r="C837">
        <v>8</v>
      </c>
      <c r="D837">
        <v>42400</v>
      </c>
      <c r="E837" t="s">
        <v>68</v>
      </c>
      <c r="F837">
        <v>54</v>
      </c>
      <c r="G837">
        <v>11.6</v>
      </c>
      <c r="H837">
        <v>6300</v>
      </c>
      <c r="I837">
        <v>1</v>
      </c>
    </row>
    <row r="838" spans="1:9" x14ac:dyDescent="0.3">
      <c r="A838" t="s">
        <v>950</v>
      </c>
      <c r="B838" t="s">
        <v>513</v>
      </c>
      <c r="C838">
        <v>5</v>
      </c>
      <c r="D838">
        <v>42100</v>
      </c>
      <c r="E838" t="s">
        <v>1146</v>
      </c>
      <c r="F838">
        <v>5</v>
      </c>
      <c r="G838">
        <v>10</v>
      </c>
      <c r="H838">
        <v>8900</v>
      </c>
      <c r="I838">
        <v>1</v>
      </c>
    </row>
    <row r="839" spans="1:9" x14ac:dyDescent="0.3">
      <c r="A839" t="s">
        <v>951</v>
      </c>
      <c r="B839" t="s">
        <v>64</v>
      </c>
      <c r="C839">
        <v>5</v>
      </c>
      <c r="D839">
        <v>63700</v>
      </c>
      <c r="E839" t="s">
        <v>1146</v>
      </c>
      <c r="F839">
        <v>3</v>
      </c>
      <c r="G839">
        <v>5</v>
      </c>
      <c r="H839">
        <v>5100</v>
      </c>
      <c r="I839">
        <v>1</v>
      </c>
    </row>
    <row r="840" spans="1:9" x14ac:dyDescent="0.3">
      <c r="A840" t="s">
        <v>952</v>
      </c>
      <c r="B840" t="s">
        <v>65</v>
      </c>
      <c r="C840">
        <v>4</v>
      </c>
      <c r="D840">
        <v>29800</v>
      </c>
      <c r="E840" t="s">
        <v>1146</v>
      </c>
      <c r="F840">
        <v>0</v>
      </c>
      <c r="G840">
        <v>13.3</v>
      </c>
      <c r="H840">
        <v>0</v>
      </c>
      <c r="I840">
        <v>1</v>
      </c>
    </row>
    <row r="841" spans="1:9" x14ac:dyDescent="0.3">
      <c r="A841" t="s">
        <v>953</v>
      </c>
      <c r="B841" t="s">
        <v>65</v>
      </c>
      <c r="C841">
        <v>5</v>
      </c>
      <c r="D841">
        <v>25500</v>
      </c>
      <c r="E841" t="s">
        <v>1146</v>
      </c>
      <c r="F841">
        <v>0</v>
      </c>
      <c r="G841">
        <v>1.6</v>
      </c>
      <c r="H841">
        <v>100</v>
      </c>
      <c r="I841">
        <v>1</v>
      </c>
    </row>
    <row r="842" spans="1:9" x14ac:dyDescent="0.3">
      <c r="A842" t="s">
        <v>954</v>
      </c>
      <c r="B842" t="s">
        <v>513</v>
      </c>
      <c r="C842">
        <v>4</v>
      </c>
      <c r="D842">
        <v>22500</v>
      </c>
      <c r="E842" t="s">
        <v>1146</v>
      </c>
      <c r="F842">
        <v>4</v>
      </c>
      <c r="G842">
        <v>10.9</v>
      </c>
      <c r="H842">
        <v>2400</v>
      </c>
      <c r="I842">
        <v>1</v>
      </c>
    </row>
    <row r="843" spans="1:9" x14ac:dyDescent="0.3">
      <c r="A843" t="s">
        <v>955</v>
      </c>
      <c r="B843" t="s">
        <v>513</v>
      </c>
      <c r="C843">
        <v>6</v>
      </c>
      <c r="D843">
        <v>20400</v>
      </c>
      <c r="E843" t="s">
        <v>1146</v>
      </c>
      <c r="F843">
        <v>7</v>
      </c>
      <c r="G843">
        <v>14.9</v>
      </c>
      <c r="H843">
        <v>1400</v>
      </c>
      <c r="I843">
        <v>1</v>
      </c>
    </row>
    <row r="844" spans="1:9" x14ac:dyDescent="0.3">
      <c r="A844" t="s">
        <v>956</v>
      </c>
      <c r="B844" t="s">
        <v>64</v>
      </c>
      <c r="C844">
        <v>4</v>
      </c>
      <c r="D844">
        <v>57300</v>
      </c>
      <c r="E844" t="s">
        <v>1146</v>
      </c>
      <c r="F844">
        <v>6</v>
      </c>
      <c r="G844">
        <v>11.1</v>
      </c>
      <c r="H844">
        <v>1300</v>
      </c>
      <c r="I844">
        <v>1</v>
      </c>
    </row>
    <row r="845" spans="1:9" x14ac:dyDescent="0.3">
      <c r="A845" t="s">
        <v>957</v>
      </c>
      <c r="B845" t="s">
        <v>513</v>
      </c>
      <c r="C845">
        <v>9</v>
      </c>
      <c r="D845">
        <v>31500</v>
      </c>
      <c r="E845" t="s">
        <v>1146</v>
      </c>
      <c r="F845">
        <v>8</v>
      </c>
      <c r="G845">
        <v>1.8</v>
      </c>
      <c r="H845">
        <v>6700</v>
      </c>
      <c r="I845">
        <v>1</v>
      </c>
    </row>
    <row r="846" spans="1:9" x14ac:dyDescent="0.3">
      <c r="A846" t="s">
        <v>958</v>
      </c>
      <c r="B846" t="s">
        <v>65</v>
      </c>
      <c r="C846">
        <v>6</v>
      </c>
      <c r="D846">
        <v>76500</v>
      </c>
      <c r="E846" t="s">
        <v>1146</v>
      </c>
      <c r="F846">
        <v>10</v>
      </c>
      <c r="G846">
        <v>3.7</v>
      </c>
      <c r="H846">
        <v>11400</v>
      </c>
      <c r="I846">
        <v>1</v>
      </c>
    </row>
    <row r="847" spans="1:9" x14ac:dyDescent="0.3">
      <c r="A847" t="s">
        <v>959</v>
      </c>
      <c r="B847" t="s">
        <v>513</v>
      </c>
      <c r="C847">
        <v>4</v>
      </c>
      <c r="D847">
        <v>35000</v>
      </c>
      <c r="E847" t="s">
        <v>1146</v>
      </c>
      <c r="F847">
        <v>5</v>
      </c>
      <c r="G847">
        <v>7.3</v>
      </c>
      <c r="H847">
        <v>15500</v>
      </c>
      <c r="I847">
        <v>1</v>
      </c>
    </row>
    <row r="848" spans="1:9" x14ac:dyDescent="0.3">
      <c r="A848" t="s">
        <v>960</v>
      </c>
      <c r="B848" t="s">
        <v>513</v>
      </c>
      <c r="C848">
        <v>2</v>
      </c>
      <c r="D848">
        <v>134600</v>
      </c>
      <c r="E848" t="s">
        <v>1146</v>
      </c>
      <c r="F848">
        <v>2</v>
      </c>
      <c r="G848">
        <v>11.2</v>
      </c>
      <c r="H848">
        <v>12100</v>
      </c>
      <c r="I848">
        <v>1</v>
      </c>
    </row>
    <row r="849" spans="1:9" x14ac:dyDescent="0.3">
      <c r="A849" t="s">
        <v>961</v>
      </c>
      <c r="B849" t="s">
        <v>62</v>
      </c>
      <c r="C849">
        <v>9</v>
      </c>
      <c r="D849">
        <v>17900</v>
      </c>
      <c r="E849" t="s">
        <v>1146</v>
      </c>
      <c r="F849">
        <v>6</v>
      </c>
      <c r="G849">
        <v>0.9</v>
      </c>
      <c r="H849">
        <v>0</v>
      </c>
      <c r="I849">
        <v>1</v>
      </c>
    </row>
    <row r="850" spans="1:9" x14ac:dyDescent="0.3">
      <c r="A850" t="s">
        <v>962</v>
      </c>
      <c r="B850" t="s">
        <v>64</v>
      </c>
      <c r="C850">
        <v>4</v>
      </c>
      <c r="D850">
        <v>44600</v>
      </c>
      <c r="E850" t="s">
        <v>1146</v>
      </c>
      <c r="F850">
        <v>6</v>
      </c>
      <c r="G850">
        <v>0.5</v>
      </c>
      <c r="H850">
        <v>8700</v>
      </c>
      <c r="I850">
        <v>1</v>
      </c>
    </row>
    <row r="851" spans="1:9" x14ac:dyDescent="0.3">
      <c r="A851" t="s">
        <v>963</v>
      </c>
      <c r="B851" t="s">
        <v>62</v>
      </c>
      <c r="C851">
        <v>10</v>
      </c>
      <c r="D851">
        <v>83200</v>
      </c>
      <c r="E851" t="s">
        <v>1146</v>
      </c>
      <c r="F851">
        <v>5</v>
      </c>
      <c r="G851">
        <v>9.6</v>
      </c>
      <c r="H851">
        <v>9500</v>
      </c>
      <c r="I851">
        <v>1</v>
      </c>
    </row>
    <row r="852" spans="1:9" x14ac:dyDescent="0.3">
      <c r="A852" t="s">
        <v>964</v>
      </c>
      <c r="B852" t="s">
        <v>64</v>
      </c>
      <c r="C852">
        <v>6</v>
      </c>
      <c r="D852">
        <v>26200</v>
      </c>
      <c r="E852" t="s">
        <v>1146</v>
      </c>
      <c r="F852">
        <v>8</v>
      </c>
      <c r="G852">
        <v>8.8000000000000007</v>
      </c>
      <c r="H852">
        <v>6600</v>
      </c>
      <c r="I852">
        <v>1</v>
      </c>
    </row>
    <row r="853" spans="1:9" x14ac:dyDescent="0.3">
      <c r="A853" t="s">
        <v>965</v>
      </c>
      <c r="B853" t="s">
        <v>513</v>
      </c>
      <c r="C853">
        <v>7</v>
      </c>
      <c r="D853">
        <v>24500</v>
      </c>
      <c r="E853" t="s">
        <v>1146</v>
      </c>
      <c r="F853">
        <v>3</v>
      </c>
      <c r="G853">
        <v>13.3</v>
      </c>
      <c r="H853">
        <v>0</v>
      </c>
      <c r="I853">
        <v>1</v>
      </c>
    </row>
    <row r="854" spans="1:9" x14ac:dyDescent="0.3">
      <c r="A854" t="s">
        <v>966</v>
      </c>
      <c r="B854" t="s">
        <v>62</v>
      </c>
      <c r="C854">
        <v>4</v>
      </c>
      <c r="D854">
        <v>30900</v>
      </c>
      <c r="E854" t="s">
        <v>1146</v>
      </c>
      <c r="F854">
        <v>4</v>
      </c>
      <c r="G854">
        <v>0.5</v>
      </c>
      <c r="H854">
        <v>4200</v>
      </c>
      <c r="I854">
        <v>1</v>
      </c>
    </row>
    <row r="855" spans="1:9" x14ac:dyDescent="0.3">
      <c r="A855" t="s">
        <v>967</v>
      </c>
      <c r="B855" t="s">
        <v>62</v>
      </c>
      <c r="C855">
        <v>4</v>
      </c>
      <c r="D855">
        <v>49100</v>
      </c>
      <c r="E855" t="s">
        <v>1146</v>
      </c>
      <c r="F855">
        <v>4</v>
      </c>
      <c r="G855">
        <v>3.5</v>
      </c>
      <c r="H855">
        <v>4200</v>
      </c>
      <c r="I855">
        <v>1</v>
      </c>
    </row>
    <row r="856" spans="1:9" x14ac:dyDescent="0.3">
      <c r="A856" t="s">
        <v>968</v>
      </c>
      <c r="B856" t="s">
        <v>65</v>
      </c>
      <c r="C856">
        <v>4</v>
      </c>
      <c r="D856">
        <v>55800</v>
      </c>
      <c r="E856" t="s">
        <v>1146</v>
      </c>
      <c r="F856">
        <v>10</v>
      </c>
      <c r="G856">
        <v>4.4000000000000004</v>
      </c>
      <c r="H856">
        <v>4600</v>
      </c>
      <c r="I856">
        <v>1</v>
      </c>
    </row>
    <row r="857" spans="1:9" x14ac:dyDescent="0.3">
      <c r="A857" t="s">
        <v>969</v>
      </c>
      <c r="B857" t="s">
        <v>64</v>
      </c>
      <c r="C857">
        <v>2</v>
      </c>
      <c r="D857">
        <v>32300</v>
      </c>
      <c r="E857" t="s">
        <v>1146</v>
      </c>
      <c r="F857">
        <v>8</v>
      </c>
      <c r="G857">
        <v>8.1999999999999993</v>
      </c>
      <c r="H857">
        <v>3900</v>
      </c>
      <c r="I857">
        <v>1</v>
      </c>
    </row>
    <row r="858" spans="1:9" x14ac:dyDescent="0.3">
      <c r="A858" t="s">
        <v>970</v>
      </c>
      <c r="B858" t="s">
        <v>513</v>
      </c>
      <c r="C858">
        <v>6</v>
      </c>
      <c r="D858">
        <v>57200</v>
      </c>
      <c r="E858" t="s">
        <v>1146</v>
      </c>
      <c r="F858">
        <v>7</v>
      </c>
      <c r="G858">
        <v>12</v>
      </c>
      <c r="H858">
        <v>3500</v>
      </c>
      <c r="I858">
        <v>1</v>
      </c>
    </row>
    <row r="859" spans="1:9" x14ac:dyDescent="0.3">
      <c r="A859" t="s">
        <v>971</v>
      </c>
      <c r="B859" t="s">
        <v>62</v>
      </c>
      <c r="C859">
        <v>7</v>
      </c>
      <c r="D859">
        <v>15500</v>
      </c>
      <c r="E859" t="s">
        <v>1146</v>
      </c>
      <c r="F859">
        <v>10</v>
      </c>
      <c r="G859">
        <v>5.2</v>
      </c>
      <c r="H859">
        <v>5200</v>
      </c>
      <c r="I859">
        <v>1</v>
      </c>
    </row>
    <row r="860" spans="1:9" x14ac:dyDescent="0.3">
      <c r="A860" t="s">
        <v>972</v>
      </c>
      <c r="B860" t="s">
        <v>64</v>
      </c>
      <c r="C860">
        <v>7</v>
      </c>
      <c r="D860">
        <v>50300</v>
      </c>
      <c r="E860" t="s">
        <v>1146</v>
      </c>
      <c r="F860">
        <v>10</v>
      </c>
      <c r="G860">
        <v>9.9</v>
      </c>
      <c r="H860">
        <v>1700</v>
      </c>
      <c r="I860">
        <v>1</v>
      </c>
    </row>
    <row r="861" spans="1:9" x14ac:dyDescent="0.3">
      <c r="A861" t="s">
        <v>973</v>
      </c>
      <c r="B861" t="s">
        <v>65</v>
      </c>
      <c r="C861">
        <v>10</v>
      </c>
      <c r="D861">
        <v>33500</v>
      </c>
      <c r="E861" t="s">
        <v>1146</v>
      </c>
      <c r="F861">
        <v>2</v>
      </c>
      <c r="G861">
        <v>13.9</v>
      </c>
      <c r="H861">
        <v>5100</v>
      </c>
      <c r="I861">
        <v>1</v>
      </c>
    </row>
    <row r="862" spans="1:9" x14ac:dyDescent="0.3">
      <c r="A862" t="s">
        <v>974</v>
      </c>
      <c r="B862" t="s">
        <v>65</v>
      </c>
      <c r="C862">
        <v>5</v>
      </c>
      <c r="D862">
        <v>82500</v>
      </c>
      <c r="E862" t="s">
        <v>1146</v>
      </c>
      <c r="F862">
        <v>7</v>
      </c>
      <c r="G862">
        <v>1.9</v>
      </c>
      <c r="H862">
        <v>10600</v>
      </c>
      <c r="I862">
        <v>1</v>
      </c>
    </row>
    <row r="863" spans="1:9" x14ac:dyDescent="0.3">
      <c r="A863" t="s">
        <v>975</v>
      </c>
      <c r="B863" t="s">
        <v>65</v>
      </c>
      <c r="C863">
        <v>8</v>
      </c>
      <c r="D863">
        <v>28100</v>
      </c>
      <c r="E863" t="s">
        <v>1146</v>
      </c>
      <c r="F863">
        <v>7</v>
      </c>
      <c r="G863">
        <v>10.3</v>
      </c>
      <c r="H863">
        <v>17300</v>
      </c>
      <c r="I863">
        <v>1</v>
      </c>
    </row>
    <row r="864" spans="1:9" x14ac:dyDescent="0.3">
      <c r="A864" t="s">
        <v>976</v>
      </c>
      <c r="B864" t="s">
        <v>62</v>
      </c>
      <c r="C864">
        <v>9</v>
      </c>
      <c r="D864">
        <v>26300</v>
      </c>
      <c r="E864" t="s">
        <v>1146</v>
      </c>
      <c r="F864">
        <v>2</v>
      </c>
      <c r="G864">
        <v>4.2</v>
      </c>
      <c r="H864">
        <v>7000</v>
      </c>
      <c r="I864">
        <v>1</v>
      </c>
    </row>
    <row r="865" spans="1:9" x14ac:dyDescent="0.3">
      <c r="A865" t="s">
        <v>977</v>
      </c>
      <c r="B865" t="s">
        <v>64</v>
      </c>
      <c r="C865">
        <v>7</v>
      </c>
      <c r="D865">
        <v>94200</v>
      </c>
      <c r="E865" t="s">
        <v>1146</v>
      </c>
      <c r="F865">
        <v>8</v>
      </c>
      <c r="G865">
        <v>5.8</v>
      </c>
      <c r="H865">
        <v>9800</v>
      </c>
      <c r="I865">
        <v>1</v>
      </c>
    </row>
    <row r="866" spans="1:9" x14ac:dyDescent="0.3">
      <c r="A866" t="s">
        <v>978</v>
      </c>
      <c r="B866" t="s">
        <v>65</v>
      </c>
      <c r="C866">
        <v>6</v>
      </c>
      <c r="D866">
        <v>25300</v>
      </c>
      <c r="E866" t="s">
        <v>1146</v>
      </c>
      <c r="F866">
        <v>1</v>
      </c>
      <c r="G866">
        <v>6.5</v>
      </c>
      <c r="H866">
        <v>0</v>
      </c>
      <c r="I866">
        <v>1</v>
      </c>
    </row>
    <row r="867" spans="1:9" x14ac:dyDescent="0.3">
      <c r="A867" t="s">
        <v>979</v>
      </c>
      <c r="B867" t="s">
        <v>65</v>
      </c>
      <c r="C867">
        <v>2</v>
      </c>
      <c r="D867">
        <v>22900</v>
      </c>
      <c r="E867" t="s">
        <v>1146</v>
      </c>
      <c r="F867">
        <v>10</v>
      </c>
      <c r="G867">
        <v>10.6</v>
      </c>
      <c r="H867">
        <v>2200</v>
      </c>
      <c r="I867">
        <v>1</v>
      </c>
    </row>
    <row r="868" spans="1:9" x14ac:dyDescent="0.3">
      <c r="A868" t="s">
        <v>980</v>
      </c>
      <c r="B868" t="s">
        <v>65</v>
      </c>
      <c r="C868">
        <v>8</v>
      </c>
      <c r="D868">
        <v>44600</v>
      </c>
      <c r="E868" t="s">
        <v>1146</v>
      </c>
      <c r="F868">
        <v>0</v>
      </c>
      <c r="G868">
        <v>13.3</v>
      </c>
      <c r="H868">
        <v>10600</v>
      </c>
      <c r="I868">
        <v>1</v>
      </c>
    </row>
    <row r="869" spans="1:9" x14ac:dyDescent="0.3">
      <c r="A869" t="s">
        <v>981</v>
      </c>
      <c r="B869" t="s">
        <v>513</v>
      </c>
      <c r="C869">
        <v>3</v>
      </c>
      <c r="D869">
        <v>42200</v>
      </c>
      <c r="E869" t="s">
        <v>1146</v>
      </c>
      <c r="F869">
        <v>1</v>
      </c>
      <c r="G869">
        <v>9.3000000000000007</v>
      </c>
      <c r="H869">
        <v>3100</v>
      </c>
      <c r="I869">
        <v>1</v>
      </c>
    </row>
    <row r="870" spans="1:9" x14ac:dyDescent="0.3">
      <c r="A870" t="s">
        <v>982</v>
      </c>
      <c r="B870" t="s">
        <v>513</v>
      </c>
      <c r="C870">
        <v>3</v>
      </c>
      <c r="D870">
        <v>15700</v>
      </c>
      <c r="E870" t="s">
        <v>1146</v>
      </c>
      <c r="F870">
        <v>10</v>
      </c>
      <c r="G870">
        <v>11.8</v>
      </c>
      <c r="H870">
        <v>800</v>
      </c>
      <c r="I870">
        <v>1</v>
      </c>
    </row>
    <row r="871" spans="1:9" x14ac:dyDescent="0.3">
      <c r="A871" t="s">
        <v>983</v>
      </c>
      <c r="B871" t="s">
        <v>62</v>
      </c>
      <c r="C871">
        <v>7</v>
      </c>
      <c r="D871">
        <v>42700</v>
      </c>
      <c r="E871" t="s">
        <v>1146</v>
      </c>
      <c r="F871">
        <v>1</v>
      </c>
      <c r="G871">
        <v>3.9</v>
      </c>
      <c r="H871">
        <v>2000</v>
      </c>
      <c r="I871">
        <v>1</v>
      </c>
    </row>
    <row r="872" spans="1:9" x14ac:dyDescent="0.3">
      <c r="A872" t="s">
        <v>984</v>
      </c>
      <c r="B872" t="s">
        <v>65</v>
      </c>
      <c r="C872">
        <v>4</v>
      </c>
      <c r="D872">
        <v>18100</v>
      </c>
      <c r="E872" t="s">
        <v>1146</v>
      </c>
      <c r="F872">
        <v>9</v>
      </c>
      <c r="G872">
        <v>6.3</v>
      </c>
      <c r="H872">
        <v>6400</v>
      </c>
      <c r="I872">
        <v>1</v>
      </c>
    </row>
    <row r="873" spans="1:9" x14ac:dyDescent="0.3">
      <c r="A873" t="s">
        <v>985</v>
      </c>
      <c r="B873" t="s">
        <v>513</v>
      </c>
      <c r="C873">
        <v>7</v>
      </c>
      <c r="D873">
        <v>37100</v>
      </c>
      <c r="E873" t="s">
        <v>1146</v>
      </c>
      <c r="F873">
        <v>4</v>
      </c>
      <c r="G873">
        <v>8.6999999999999993</v>
      </c>
      <c r="H873">
        <v>1700</v>
      </c>
      <c r="I873">
        <v>1</v>
      </c>
    </row>
    <row r="874" spans="1:9" x14ac:dyDescent="0.3">
      <c r="A874" t="s">
        <v>986</v>
      </c>
      <c r="B874" t="s">
        <v>513</v>
      </c>
      <c r="C874">
        <v>6</v>
      </c>
      <c r="D874">
        <v>24700</v>
      </c>
      <c r="E874" t="s">
        <v>67</v>
      </c>
      <c r="F874">
        <v>46</v>
      </c>
      <c r="G874">
        <v>6.8</v>
      </c>
      <c r="H874">
        <v>100</v>
      </c>
      <c r="I874">
        <v>1</v>
      </c>
    </row>
    <row r="875" spans="1:9" x14ac:dyDescent="0.3">
      <c r="A875" t="s">
        <v>987</v>
      </c>
      <c r="B875" t="s">
        <v>62</v>
      </c>
      <c r="C875">
        <v>3</v>
      </c>
      <c r="D875">
        <v>37800</v>
      </c>
      <c r="E875" t="s">
        <v>1146</v>
      </c>
      <c r="F875">
        <v>3</v>
      </c>
      <c r="G875">
        <v>0.3</v>
      </c>
      <c r="H875">
        <v>0</v>
      </c>
      <c r="I875">
        <v>1</v>
      </c>
    </row>
    <row r="876" spans="1:9" x14ac:dyDescent="0.3">
      <c r="A876" t="s">
        <v>988</v>
      </c>
      <c r="B876" t="s">
        <v>62</v>
      </c>
      <c r="C876">
        <v>10</v>
      </c>
      <c r="D876">
        <v>82100</v>
      </c>
      <c r="E876" t="s">
        <v>1146</v>
      </c>
      <c r="F876">
        <v>4</v>
      </c>
      <c r="G876">
        <v>2.8</v>
      </c>
      <c r="H876">
        <v>4200</v>
      </c>
      <c r="I876">
        <v>1</v>
      </c>
    </row>
    <row r="877" spans="1:9" x14ac:dyDescent="0.3">
      <c r="A877" t="s">
        <v>989</v>
      </c>
      <c r="B877" t="s">
        <v>65</v>
      </c>
      <c r="C877">
        <v>5</v>
      </c>
      <c r="D877">
        <v>27200</v>
      </c>
      <c r="E877" t="s">
        <v>1146</v>
      </c>
      <c r="F877">
        <v>9</v>
      </c>
      <c r="G877">
        <v>9.8000000000000007</v>
      </c>
      <c r="H877">
        <v>0</v>
      </c>
      <c r="I877">
        <v>1</v>
      </c>
    </row>
    <row r="878" spans="1:9" x14ac:dyDescent="0.3">
      <c r="A878" t="s">
        <v>990</v>
      </c>
      <c r="B878" t="s">
        <v>65</v>
      </c>
      <c r="C878">
        <v>9</v>
      </c>
      <c r="D878">
        <v>49500</v>
      </c>
      <c r="E878" t="s">
        <v>1146</v>
      </c>
      <c r="F878">
        <v>8</v>
      </c>
      <c r="G878">
        <v>10.7</v>
      </c>
      <c r="H878">
        <v>6400</v>
      </c>
      <c r="I878">
        <v>1</v>
      </c>
    </row>
    <row r="879" spans="1:9" x14ac:dyDescent="0.3">
      <c r="A879" t="s">
        <v>991</v>
      </c>
      <c r="B879" t="s">
        <v>513</v>
      </c>
      <c r="C879">
        <v>2</v>
      </c>
      <c r="D879">
        <v>80200</v>
      </c>
      <c r="E879" t="s">
        <v>66</v>
      </c>
      <c r="F879">
        <v>32</v>
      </c>
      <c r="G879">
        <v>3.8</v>
      </c>
      <c r="H879">
        <v>14800</v>
      </c>
      <c r="I879">
        <v>1</v>
      </c>
    </row>
    <row r="880" spans="1:9" x14ac:dyDescent="0.3">
      <c r="A880" t="s">
        <v>992</v>
      </c>
      <c r="B880" t="s">
        <v>65</v>
      </c>
      <c r="C880">
        <v>9</v>
      </c>
      <c r="D880">
        <v>64500</v>
      </c>
      <c r="E880" t="s">
        <v>1146</v>
      </c>
      <c r="F880">
        <v>0</v>
      </c>
      <c r="G880">
        <v>10.6</v>
      </c>
      <c r="H880">
        <v>4900</v>
      </c>
      <c r="I880">
        <v>1</v>
      </c>
    </row>
    <row r="881" spans="1:9" x14ac:dyDescent="0.3">
      <c r="A881" t="s">
        <v>993</v>
      </c>
      <c r="B881" t="s">
        <v>513</v>
      </c>
      <c r="C881">
        <v>6</v>
      </c>
      <c r="D881">
        <v>119900</v>
      </c>
      <c r="E881" t="s">
        <v>1146</v>
      </c>
      <c r="F881">
        <v>2</v>
      </c>
      <c r="G881">
        <v>13.5</v>
      </c>
      <c r="H881">
        <v>4500</v>
      </c>
      <c r="I881">
        <v>1</v>
      </c>
    </row>
    <row r="882" spans="1:9" x14ac:dyDescent="0.3">
      <c r="A882" t="s">
        <v>994</v>
      </c>
      <c r="B882" t="s">
        <v>513</v>
      </c>
      <c r="C882">
        <v>6</v>
      </c>
      <c r="D882">
        <v>34700</v>
      </c>
      <c r="E882" t="s">
        <v>1146</v>
      </c>
      <c r="F882">
        <v>7</v>
      </c>
      <c r="G882">
        <v>6.1</v>
      </c>
      <c r="H882">
        <v>4200</v>
      </c>
      <c r="I882">
        <v>1</v>
      </c>
    </row>
    <row r="883" spans="1:9" x14ac:dyDescent="0.3">
      <c r="A883" t="s">
        <v>995</v>
      </c>
      <c r="B883" t="s">
        <v>64</v>
      </c>
      <c r="C883">
        <v>4</v>
      </c>
      <c r="D883">
        <v>47000</v>
      </c>
      <c r="E883" t="s">
        <v>1146</v>
      </c>
      <c r="F883">
        <v>10</v>
      </c>
      <c r="G883">
        <v>12</v>
      </c>
      <c r="H883">
        <v>1900</v>
      </c>
      <c r="I883">
        <v>1</v>
      </c>
    </row>
    <row r="884" spans="1:9" x14ac:dyDescent="0.3">
      <c r="A884" t="s">
        <v>996</v>
      </c>
      <c r="B884" t="s">
        <v>64</v>
      </c>
      <c r="C884">
        <v>5</v>
      </c>
      <c r="D884">
        <v>19600</v>
      </c>
      <c r="E884" t="s">
        <v>1146</v>
      </c>
      <c r="F884">
        <v>1</v>
      </c>
      <c r="G884">
        <v>1.3</v>
      </c>
      <c r="H884">
        <v>6300</v>
      </c>
      <c r="I884">
        <v>1</v>
      </c>
    </row>
    <row r="885" spans="1:9" x14ac:dyDescent="0.3">
      <c r="A885" t="s">
        <v>997</v>
      </c>
      <c r="B885" t="s">
        <v>513</v>
      </c>
      <c r="C885">
        <v>7</v>
      </c>
      <c r="D885">
        <v>32500</v>
      </c>
      <c r="E885" t="s">
        <v>1146</v>
      </c>
      <c r="F885">
        <v>2</v>
      </c>
      <c r="G885">
        <v>2.7</v>
      </c>
      <c r="H885">
        <v>4800</v>
      </c>
      <c r="I885">
        <v>1</v>
      </c>
    </row>
    <row r="886" spans="1:9" x14ac:dyDescent="0.3">
      <c r="A886" t="s">
        <v>998</v>
      </c>
      <c r="B886" t="s">
        <v>62</v>
      </c>
      <c r="C886">
        <v>4</v>
      </c>
      <c r="D886">
        <v>30900</v>
      </c>
      <c r="E886" t="s">
        <v>1146</v>
      </c>
      <c r="F886">
        <v>1</v>
      </c>
      <c r="G886">
        <v>1.4</v>
      </c>
      <c r="H886">
        <v>0</v>
      </c>
      <c r="I886">
        <v>1</v>
      </c>
    </row>
    <row r="887" spans="1:9" x14ac:dyDescent="0.3">
      <c r="A887" t="s">
        <v>999</v>
      </c>
      <c r="B887" t="s">
        <v>513</v>
      </c>
      <c r="C887">
        <v>7</v>
      </c>
      <c r="D887">
        <v>41700</v>
      </c>
      <c r="E887" t="s">
        <v>1146</v>
      </c>
      <c r="F887">
        <v>6</v>
      </c>
      <c r="G887">
        <v>10.199999999999999</v>
      </c>
      <c r="H887">
        <v>4000</v>
      </c>
      <c r="I887">
        <v>1</v>
      </c>
    </row>
    <row r="888" spans="1:9" x14ac:dyDescent="0.3">
      <c r="A888" t="s">
        <v>1000</v>
      </c>
      <c r="B888" t="s">
        <v>513</v>
      </c>
      <c r="C888">
        <v>7</v>
      </c>
      <c r="D888">
        <v>19400</v>
      </c>
      <c r="E888" t="s">
        <v>1146</v>
      </c>
      <c r="F888">
        <v>1</v>
      </c>
      <c r="G888">
        <v>11.5</v>
      </c>
      <c r="H888">
        <v>8000</v>
      </c>
      <c r="I888">
        <v>1</v>
      </c>
    </row>
    <row r="889" spans="1:9" x14ac:dyDescent="0.3">
      <c r="A889" t="s">
        <v>1001</v>
      </c>
      <c r="B889" t="s">
        <v>62</v>
      </c>
      <c r="C889">
        <v>5</v>
      </c>
      <c r="D889">
        <v>20700</v>
      </c>
      <c r="E889" t="s">
        <v>1146</v>
      </c>
      <c r="F889">
        <v>10</v>
      </c>
      <c r="G889">
        <v>8.5</v>
      </c>
      <c r="H889">
        <v>2500</v>
      </c>
      <c r="I889">
        <v>1</v>
      </c>
    </row>
    <row r="890" spans="1:9" x14ac:dyDescent="0.3">
      <c r="A890" t="s">
        <v>1002</v>
      </c>
      <c r="B890" t="s">
        <v>513</v>
      </c>
      <c r="C890">
        <v>9</v>
      </c>
      <c r="D890">
        <v>18100</v>
      </c>
      <c r="E890" t="s">
        <v>1146</v>
      </c>
      <c r="F890">
        <v>3</v>
      </c>
      <c r="G890">
        <v>7.7</v>
      </c>
      <c r="H890">
        <v>9200</v>
      </c>
      <c r="I890">
        <v>1</v>
      </c>
    </row>
    <row r="891" spans="1:9" x14ac:dyDescent="0.3">
      <c r="A891" t="s">
        <v>1003</v>
      </c>
      <c r="B891" t="s">
        <v>65</v>
      </c>
      <c r="C891">
        <v>8</v>
      </c>
      <c r="D891">
        <v>31500</v>
      </c>
      <c r="E891" t="s">
        <v>1146</v>
      </c>
      <c r="F891">
        <v>2</v>
      </c>
      <c r="G891">
        <v>10.199999999999999</v>
      </c>
      <c r="H891">
        <v>4200</v>
      </c>
      <c r="I891">
        <v>1</v>
      </c>
    </row>
    <row r="892" spans="1:9" x14ac:dyDescent="0.3">
      <c r="A892" t="s">
        <v>1004</v>
      </c>
      <c r="B892" t="s">
        <v>65</v>
      </c>
      <c r="C892">
        <v>7</v>
      </c>
      <c r="D892">
        <v>32800</v>
      </c>
      <c r="E892" t="s">
        <v>1146</v>
      </c>
      <c r="F892">
        <v>1</v>
      </c>
      <c r="G892">
        <v>13.9</v>
      </c>
      <c r="H892">
        <v>2200</v>
      </c>
      <c r="I892">
        <v>1</v>
      </c>
    </row>
    <row r="893" spans="1:9" x14ac:dyDescent="0.3">
      <c r="A893" t="s">
        <v>1005</v>
      </c>
      <c r="B893" t="s">
        <v>62</v>
      </c>
      <c r="C893">
        <v>7</v>
      </c>
      <c r="D893">
        <v>71700</v>
      </c>
      <c r="E893" t="s">
        <v>1146</v>
      </c>
      <c r="F893">
        <v>10</v>
      </c>
      <c r="G893">
        <v>8</v>
      </c>
      <c r="H893">
        <v>10800</v>
      </c>
      <c r="I893">
        <v>1</v>
      </c>
    </row>
    <row r="894" spans="1:9" x14ac:dyDescent="0.3">
      <c r="A894" t="s">
        <v>1006</v>
      </c>
      <c r="B894" t="s">
        <v>64</v>
      </c>
      <c r="C894">
        <v>8</v>
      </c>
      <c r="D894">
        <v>39900</v>
      </c>
      <c r="E894" t="s">
        <v>1146</v>
      </c>
      <c r="F894">
        <v>8</v>
      </c>
      <c r="G894">
        <v>8.1</v>
      </c>
      <c r="H894">
        <v>7800</v>
      </c>
      <c r="I894">
        <v>1</v>
      </c>
    </row>
    <row r="895" spans="1:9" x14ac:dyDescent="0.3">
      <c r="A895" t="s">
        <v>1007</v>
      </c>
      <c r="B895" t="s">
        <v>513</v>
      </c>
      <c r="C895">
        <v>7</v>
      </c>
      <c r="D895">
        <v>32400</v>
      </c>
      <c r="E895" t="s">
        <v>1146</v>
      </c>
      <c r="F895">
        <v>6</v>
      </c>
      <c r="G895">
        <v>7.8</v>
      </c>
      <c r="H895">
        <v>4200</v>
      </c>
      <c r="I895">
        <v>1</v>
      </c>
    </row>
    <row r="896" spans="1:9" x14ac:dyDescent="0.3">
      <c r="A896" t="s">
        <v>1008</v>
      </c>
      <c r="B896" t="s">
        <v>65</v>
      </c>
      <c r="C896">
        <v>4</v>
      </c>
      <c r="D896">
        <v>32800</v>
      </c>
      <c r="E896" t="s">
        <v>1146</v>
      </c>
      <c r="F896">
        <v>0</v>
      </c>
      <c r="G896">
        <v>11.2</v>
      </c>
      <c r="H896">
        <v>2600</v>
      </c>
      <c r="I896">
        <v>1</v>
      </c>
    </row>
    <row r="897" spans="1:9" x14ac:dyDescent="0.3">
      <c r="A897" t="s">
        <v>1009</v>
      </c>
      <c r="B897" t="s">
        <v>64</v>
      </c>
      <c r="C897">
        <v>8</v>
      </c>
      <c r="D897">
        <v>105100</v>
      </c>
      <c r="E897" t="s">
        <v>69</v>
      </c>
      <c r="F897">
        <v>31</v>
      </c>
      <c r="G897">
        <v>9.4</v>
      </c>
      <c r="H897">
        <v>5600</v>
      </c>
      <c r="I897">
        <v>1</v>
      </c>
    </row>
    <row r="898" spans="1:9" x14ac:dyDescent="0.3">
      <c r="A898" t="s">
        <v>1010</v>
      </c>
      <c r="B898" t="s">
        <v>64</v>
      </c>
      <c r="C898">
        <v>7</v>
      </c>
      <c r="D898">
        <v>72200</v>
      </c>
      <c r="E898" t="s">
        <v>1146</v>
      </c>
      <c r="F898">
        <v>1</v>
      </c>
      <c r="G898">
        <v>8.5</v>
      </c>
      <c r="H898">
        <v>10900</v>
      </c>
      <c r="I898">
        <v>1</v>
      </c>
    </row>
    <row r="899" spans="1:9" x14ac:dyDescent="0.3">
      <c r="A899" t="s">
        <v>1011</v>
      </c>
      <c r="B899" t="s">
        <v>513</v>
      </c>
      <c r="C899">
        <v>3</v>
      </c>
      <c r="D899">
        <v>54300</v>
      </c>
      <c r="E899" t="s">
        <v>1146</v>
      </c>
      <c r="F899">
        <v>7</v>
      </c>
      <c r="G899">
        <v>2.6</v>
      </c>
      <c r="H899">
        <v>6700</v>
      </c>
      <c r="I899">
        <v>1</v>
      </c>
    </row>
    <row r="900" spans="1:9" x14ac:dyDescent="0.3">
      <c r="A900" t="s">
        <v>1012</v>
      </c>
      <c r="B900" t="s">
        <v>64</v>
      </c>
      <c r="C900">
        <v>7</v>
      </c>
      <c r="D900">
        <v>25900</v>
      </c>
      <c r="E900" t="s">
        <v>1146</v>
      </c>
      <c r="F900">
        <v>1</v>
      </c>
      <c r="G900">
        <v>2</v>
      </c>
      <c r="H900">
        <v>0</v>
      </c>
      <c r="I900">
        <v>1</v>
      </c>
    </row>
    <row r="901" spans="1:9" x14ac:dyDescent="0.3">
      <c r="A901" t="s">
        <v>1013</v>
      </c>
      <c r="B901" t="s">
        <v>62</v>
      </c>
      <c r="C901">
        <v>8</v>
      </c>
      <c r="D901">
        <v>25500</v>
      </c>
      <c r="E901" t="s">
        <v>1146</v>
      </c>
      <c r="F901">
        <v>2</v>
      </c>
      <c r="G901">
        <v>5.5</v>
      </c>
      <c r="H901">
        <v>2000</v>
      </c>
      <c r="I901">
        <v>1</v>
      </c>
    </row>
    <row r="902" spans="1:9" x14ac:dyDescent="0.3">
      <c r="A902" t="s">
        <v>1014</v>
      </c>
      <c r="B902" t="s">
        <v>65</v>
      </c>
      <c r="C902">
        <v>6</v>
      </c>
      <c r="D902">
        <v>22700</v>
      </c>
      <c r="E902" t="s">
        <v>1146</v>
      </c>
      <c r="F902">
        <v>8</v>
      </c>
      <c r="G902">
        <v>6.9</v>
      </c>
      <c r="H902">
        <v>8500</v>
      </c>
      <c r="I902">
        <v>1</v>
      </c>
    </row>
    <row r="903" spans="1:9" x14ac:dyDescent="0.3">
      <c r="A903" t="s">
        <v>1015</v>
      </c>
      <c r="B903" t="s">
        <v>64</v>
      </c>
      <c r="C903">
        <v>3</v>
      </c>
      <c r="D903">
        <v>13800</v>
      </c>
      <c r="E903" t="s">
        <v>1146</v>
      </c>
      <c r="F903">
        <v>3</v>
      </c>
      <c r="G903">
        <v>11</v>
      </c>
      <c r="H903">
        <v>0</v>
      </c>
      <c r="I903">
        <v>1</v>
      </c>
    </row>
    <row r="904" spans="1:9" x14ac:dyDescent="0.3">
      <c r="A904" t="s">
        <v>1016</v>
      </c>
      <c r="B904" t="s">
        <v>64</v>
      </c>
      <c r="C904">
        <v>6</v>
      </c>
      <c r="D904">
        <v>19500</v>
      </c>
      <c r="E904" t="s">
        <v>1146</v>
      </c>
      <c r="F904">
        <v>3</v>
      </c>
      <c r="G904">
        <v>0.6</v>
      </c>
      <c r="H904">
        <v>800</v>
      </c>
      <c r="I904">
        <v>1</v>
      </c>
    </row>
    <row r="905" spans="1:9" x14ac:dyDescent="0.3">
      <c r="A905" t="s">
        <v>1017</v>
      </c>
      <c r="B905" t="s">
        <v>65</v>
      </c>
      <c r="C905">
        <v>3</v>
      </c>
      <c r="D905">
        <v>84200</v>
      </c>
      <c r="E905" t="s">
        <v>1146</v>
      </c>
      <c r="F905">
        <v>5</v>
      </c>
      <c r="G905">
        <v>8.1</v>
      </c>
      <c r="H905">
        <v>2100</v>
      </c>
      <c r="I905">
        <v>1</v>
      </c>
    </row>
    <row r="906" spans="1:9" x14ac:dyDescent="0.3">
      <c r="A906" t="s">
        <v>1018</v>
      </c>
      <c r="B906" t="s">
        <v>513</v>
      </c>
      <c r="C906">
        <v>7</v>
      </c>
      <c r="D906">
        <v>55200</v>
      </c>
      <c r="E906" t="s">
        <v>1146</v>
      </c>
      <c r="F906">
        <v>7</v>
      </c>
      <c r="G906">
        <v>13.1</v>
      </c>
      <c r="H906">
        <v>11800</v>
      </c>
      <c r="I906">
        <v>1</v>
      </c>
    </row>
    <row r="907" spans="1:9" x14ac:dyDescent="0.3">
      <c r="A907" t="s">
        <v>1019</v>
      </c>
      <c r="B907" t="s">
        <v>513</v>
      </c>
      <c r="C907">
        <v>10</v>
      </c>
      <c r="D907">
        <v>34500</v>
      </c>
      <c r="E907" t="s">
        <v>1146</v>
      </c>
      <c r="F907">
        <v>7</v>
      </c>
      <c r="G907">
        <v>3.4</v>
      </c>
      <c r="H907">
        <v>900</v>
      </c>
      <c r="I907">
        <v>1</v>
      </c>
    </row>
    <row r="908" spans="1:9" x14ac:dyDescent="0.3">
      <c r="A908" t="s">
        <v>1020</v>
      </c>
      <c r="B908" t="s">
        <v>62</v>
      </c>
      <c r="C908">
        <v>6</v>
      </c>
      <c r="D908">
        <v>17500</v>
      </c>
      <c r="E908" t="s">
        <v>1146</v>
      </c>
      <c r="F908">
        <v>5</v>
      </c>
      <c r="G908">
        <v>7.8</v>
      </c>
      <c r="H908">
        <v>2300</v>
      </c>
      <c r="I908">
        <v>1</v>
      </c>
    </row>
    <row r="909" spans="1:9" x14ac:dyDescent="0.3">
      <c r="A909" t="s">
        <v>1021</v>
      </c>
      <c r="B909" t="s">
        <v>62</v>
      </c>
      <c r="C909">
        <v>4</v>
      </c>
      <c r="D909">
        <v>37500</v>
      </c>
      <c r="E909" t="s">
        <v>1146</v>
      </c>
      <c r="F909">
        <v>4</v>
      </c>
      <c r="G909">
        <v>7.1</v>
      </c>
      <c r="H909">
        <v>10600</v>
      </c>
      <c r="I909">
        <v>1</v>
      </c>
    </row>
    <row r="910" spans="1:9" x14ac:dyDescent="0.3">
      <c r="A910" t="s">
        <v>1022</v>
      </c>
      <c r="B910" t="s">
        <v>62</v>
      </c>
      <c r="C910">
        <v>5</v>
      </c>
      <c r="D910">
        <v>39900</v>
      </c>
      <c r="E910" t="s">
        <v>1146</v>
      </c>
      <c r="F910">
        <v>5</v>
      </c>
      <c r="G910">
        <v>5.7</v>
      </c>
      <c r="H910">
        <v>200</v>
      </c>
      <c r="I910">
        <v>1</v>
      </c>
    </row>
    <row r="911" spans="1:9" x14ac:dyDescent="0.3">
      <c r="A911" t="s">
        <v>1023</v>
      </c>
      <c r="B911" t="s">
        <v>62</v>
      </c>
      <c r="C911">
        <v>2</v>
      </c>
      <c r="D911">
        <v>28100</v>
      </c>
      <c r="E911" t="s">
        <v>1146</v>
      </c>
      <c r="F911">
        <v>3</v>
      </c>
      <c r="G911">
        <v>3.6</v>
      </c>
      <c r="H911">
        <v>3200</v>
      </c>
      <c r="I911">
        <v>1</v>
      </c>
    </row>
    <row r="912" spans="1:9" x14ac:dyDescent="0.3">
      <c r="A912" t="s">
        <v>1024</v>
      </c>
      <c r="B912" t="s">
        <v>513</v>
      </c>
      <c r="C912">
        <v>2</v>
      </c>
      <c r="D912">
        <v>30000</v>
      </c>
      <c r="E912" t="s">
        <v>1146</v>
      </c>
      <c r="F912">
        <v>2</v>
      </c>
      <c r="G912">
        <v>11.7</v>
      </c>
      <c r="H912">
        <v>6900</v>
      </c>
      <c r="I912">
        <v>1</v>
      </c>
    </row>
    <row r="913" spans="1:9" x14ac:dyDescent="0.3">
      <c r="A913" t="s">
        <v>1025</v>
      </c>
      <c r="B913" t="s">
        <v>65</v>
      </c>
      <c r="C913">
        <v>5</v>
      </c>
      <c r="D913">
        <v>29500</v>
      </c>
      <c r="E913" t="s">
        <v>1146</v>
      </c>
      <c r="F913">
        <v>9</v>
      </c>
      <c r="G913">
        <v>2.2999999999999998</v>
      </c>
      <c r="H913">
        <v>0</v>
      </c>
      <c r="I913">
        <v>1</v>
      </c>
    </row>
    <row r="914" spans="1:9" x14ac:dyDescent="0.3">
      <c r="A914" t="s">
        <v>1026</v>
      </c>
      <c r="B914" t="s">
        <v>65</v>
      </c>
      <c r="C914">
        <v>5</v>
      </c>
      <c r="D914">
        <v>11200</v>
      </c>
      <c r="E914" t="s">
        <v>1146</v>
      </c>
      <c r="F914">
        <v>10</v>
      </c>
      <c r="G914">
        <v>2.6</v>
      </c>
      <c r="H914">
        <v>0</v>
      </c>
      <c r="I914">
        <v>1</v>
      </c>
    </row>
    <row r="915" spans="1:9" x14ac:dyDescent="0.3">
      <c r="A915" t="s">
        <v>1027</v>
      </c>
      <c r="B915" t="s">
        <v>65</v>
      </c>
      <c r="C915">
        <v>3</v>
      </c>
      <c r="D915">
        <v>20200</v>
      </c>
      <c r="E915" t="s">
        <v>1146</v>
      </c>
      <c r="F915">
        <v>10</v>
      </c>
      <c r="G915">
        <v>7.3</v>
      </c>
      <c r="H915">
        <v>1700</v>
      </c>
      <c r="I915">
        <v>1</v>
      </c>
    </row>
    <row r="916" spans="1:9" x14ac:dyDescent="0.3">
      <c r="A916" t="s">
        <v>1028</v>
      </c>
      <c r="B916" t="s">
        <v>513</v>
      </c>
      <c r="C916">
        <v>6</v>
      </c>
      <c r="D916">
        <v>68500</v>
      </c>
      <c r="E916" t="s">
        <v>1146</v>
      </c>
      <c r="F916">
        <v>0</v>
      </c>
      <c r="G916">
        <v>9.1</v>
      </c>
      <c r="H916">
        <v>3600</v>
      </c>
      <c r="I916">
        <v>1</v>
      </c>
    </row>
    <row r="917" spans="1:9" x14ac:dyDescent="0.3">
      <c r="A917" t="s">
        <v>1029</v>
      </c>
      <c r="B917" t="s">
        <v>513</v>
      </c>
      <c r="C917">
        <v>4</v>
      </c>
      <c r="D917">
        <v>92300</v>
      </c>
      <c r="E917" t="s">
        <v>1146</v>
      </c>
      <c r="F917">
        <v>7</v>
      </c>
      <c r="G917">
        <v>3.1</v>
      </c>
      <c r="H917">
        <v>0</v>
      </c>
      <c r="I917">
        <v>1</v>
      </c>
    </row>
    <row r="918" spans="1:9" x14ac:dyDescent="0.3">
      <c r="A918" t="s">
        <v>1030</v>
      </c>
      <c r="B918" t="s">
        <v>64</v>
      </c>
      <c r="C918">
        <v>9</v>
      </c>
      <c r="D918">
        <v>62100</v>
      </c>
      <c r="E918" t="s">
        <v>1146</v>
      </c>
      <c r="F918">
        <v>9</v>
      </c>
      <c r="G918">
        <v>2.5</v>
      </c>
      <c r="H918">
        <v>400</v>
      </c>
      <c r="I918">
        <v>1</v>
      </c>
    </row>
    <row r="919" spans="1:9" x14ac:dyDescent="0.3">
      <c r="A919" t="s">
        <v>1031</v>
      </c>
      <c r="B919" t="s">
        <v>513</v>
      </c>
      <c r="C919">
        <v>6</v>
      </c>
      <c r="D919">
        <v>63000</v>
      </c>
      <c r="E919" t="s">
        <v>1146</v>
      </c>
      <c r="F919">
        <v>10</v>
      </c>
      <c r="G919">
        <v>11</v>
      </c>
      <c r="H919">
        <v>5000</v>
      </c>
      <c r="I919">
        <v>1</v>
      </c>
    </row>
    <row r="920" spans="1:9" x14ac:dyDescent="0.3">
      <c r="A920" t="s">
        <v>1032</v>
      </c>
      <c r="B920" t="s">
        <v>65</v>
      </c>
      <c r="C920">
        <v>8</v>
      </c>
      <c r="D920">
        <v>16700</v>
      </c>
      <c r="E920" t="s">
        <v>1146</v>
      </c>
      <c r="F920">
        <v>1</v>
      </c>
      <c r="G920">
        <v>6.5</v>
      </c>
      <c r="H920">
        <v>3700</v>
      </c>
      <c r="I920">
        <v>1</v>
      </c>
    </row>
    <row r="921" spans="1:9" x14ac:dyDescent="0.3">
      <c r="A921" t="s">
        <v>1033</v>
      </c>
      <c r="B921" t="s">
        <v>65</v>
      </c>
      <c r="C921">
        <v>4</v>
      </c>
      <c r="D921">
        <v>31900</v>
      </c>
      <c r="E921" t="s">
        <v>1146</v>
      </c>
      <c r="F921">
        <v>7</v>
      </c>
      <c r="G921">
        <v>12.7</v>
      </c>
      <c r="H921">
        <v>300</v>
      </c>
      <c r="I921">
        <v>1</v>
      </c>
    </row>
    <row r="922" spans="1:9" x14ac:dyDescent="0.3">
      <c r="A922" t="s">
        <v>1034</v>
      </c>
      <c r="B922" t="s">
        <v>513</v>
      </c>
      <c r="C922">
        <v>6</v>
      </c>
      <c r="D922">
        <v>25800</v>
      </c>
      <c r="E922" t="s">
        <v>1146</v>
      </c>
      <c r="F922">
        <v>7</v>
      </c>
      <c r="G922">
        <v>3</v>
      </c>
      <c r="H922">
        <v>4700</v>
      </c>
      <c r="I922">
        <v>1</v>
      </c>
    </row>
    <row r="923" spans="1:9" x14ac:dyDescent="0.3">
      <c r="A923" t="s">
        <v>1035</v>
      </c>
      <c r="B923" t="s">
        <v>62</v>
      </c>
      <c r="C923">
        <v>3</v>
      </c>
      <c r="D923">
        <v>19300</v>
      </c>
      <c r="E923" t="s">
        <v>1146</v>
      </c>
      <c r="F923">
        <v>5</v>
      </c>
      <c r="G923">
        <v>8.6999999999999993</v>
      </c>
      <c r="H923">
        <v>7200</v>
      </c>
      <c r="I923">
        <v>1</v>
      </c>
    </row>
    <row r="924" spans="1:9" x14ac:dyDescent="0.3">
      <c r="A924" t="s">
        <v>1036</v>
      </c>
      <c r="B924" t="s">
        <v>62</v>
      </c>
      <c r="C924">
        <v>5</v>
      </c>
      <c r="D924">
        <v>16400</v>
      </c>
      <c r="E924" t="s">
        <v>1146</v>
      </c>
      <c r="F924">
        <v>7</v>
      </c>
      <c r="G924">
        <v>4.5</v>
      </c>
      <c r="H924">
        <v>2800</v>
      </c>
      <c r="I924">
        <v>1</v>
      </c>
    </row>
    <row r="925" spans="1:9" x14ac:dyDescent="0.3">
      <c r="A925" t="s">
        <v>1037</v>
      </c>
      <c r="B925" t="s">
        <v>65</v>
      </c>
      <c r="C925">
        <v>6</v>
      </c>
      <c r="D925">
        <v>25500</v>
      </c>
      <c r="E925" t="s">
        <v>1146</v>
      </c>
      <c r="F925">
        <v>4</v>
      </c>
      <c r="G925">
        <v>12.8</v>
      </c>
      <c r="H925">
        <v>7700</v>
      </c>
      <c r="I925">
        <v>1</v>
      </c>
    </row>
    <row r="926" spans="1:9" x14ac:dyDescent="0.3">
      <c r="A926" t="s">
        <v>1038</v>
      </c>
      <c r="B926" t="s">
        <v>64</v>
      </c>
      <c r="C926">
        <v>3</v>
      </c>
      <c r="D926">
        <v>29900</v>
      </c>
      <c r="E926" t="s">
        <v>1146</v>
      </c>
      <c r="F926">
        <v>4</v>
      </c>
      <c r="G926">
        <v>10</v>
      </c>
      <c r="H926">
        <v>8000</v>
      </c>
      <c r="I926">
        <v>1</v>
      </c>
    </row>
    <row r="927" spans="1:9" x14ac:dyDescent="0.3">
      <c r="A927" t="s">
        <v>1039</v>
      </c>
      <c r="B927" t="s">
        <v>513</v>
      </c>
      <c r="C927">
        <v>6</v>
      </c>
      <c r="D927">
        <v>28100</v>
      </c>
      <c r="E927" t="s">
        <v>1146</v>
      </c>
      <c r="F927">
        <v>0</v>
      </c>
      <c r="G927">
        <v>2.5</v>
      </c>
      <c r="H927">
        <v>4700</v>
      </c>
      <c r="I927">
        <v>1</v>
      </c>
    </row>
    <row r="928" spans="1:9" x14ac:dyDescent="0.3">
      <c r="A928" t="s">
        <v>1040</v>
      </c>
      <c r="B928" t="s">
        <v>513</v>
      </c>
      <c r="C928">
        <v>4</v>
      </c>
      <c r="D928">
        <v>40300</v>
      </c>
      <c r="E928" t="s">
        <v>1146</v>
      </c>
      <c r="F928">
        <v>2</v>
      </c>
      <c r="G928">
        <v>4.7</v>
      </c>
      <c r="H928">
        <v>900</v>
      </c>
      <c r="I928">
        <v>1</v>
      </c>
    </row>
    <row r="929" spans="1:9" x14ac:dyDescent="0.3">
      <c r="A929" t="s">
        <v>1041</v>
      </c>
      <c r="B929" t="s">
        <v>65</v>
      </c>
      <c r="C929">
        <v>6</v>
      </c>
      <c r="D929">
        <v>29000</v>
      </c>
      <c r="E929" t="s">
        <v>1146</v>
      </c>
      <c r="F929">
        <v>4</v>
      </c>
      <c r="G929">
        <v>5</v>
      </c>
      <c r="H929">
        <v>9000</v>
      </c>
      <c r="I929">
        <v>1</v>
      </c>
    </row>
    <row r="930" spans="1:9" x14ac:dyDescent="0.3">
      <c r="A930" t="s">
        <v>1042</v>
      </c>
      <c r="B930" t="s">
        <v>65</v>
      </c>
      <c r="C930">
        <v>3</v>
      </c>
      <c r="D930">
        <v>36600</v>
      </c>
      <c r="E930" t="s">
        <v>1146</v>
      </c>
      <c r="F930">
        <v>8</v>
      </c>
      <c r="G930">
        <v>12.8</v>
      </c>
      <c r="H930">
        <v>9900</v>
      </c>
      <c r="I930">
        <v>1</v>
      </c>
    </row>
    <row r="931" spans="1:9" x14ac:dyDescent="0.3">
      <c r="A931" t="s">
        <v>1043</v>
      </c>
      <c r="B931" t="s">
        <v>513</v>
      </c>
      <c r="C931">
        <v>6</v>
      </c>
      <c r="D931">
        <v>76000</v>
      </c>
      <c r="E931" t="s">
        <v>1146</v>
      </c>
      <c r="F931">
        <v>1</v>
      </c>
      <c r="G931">
        <v>7.1</v>
      </c>
      <c r="H931">
        <v>8500</v>
      </c>
      <c r="I931">
        <v>1</v>
      </c>
    </row>
    <row r="932" spans="1:9" x14ac:dyDescent="0.3">
      <c r="A932" t="s">
        <v>1044</v>
      </c>
      <c r="B932" t="s">
        <v>65</v>
      </c>
      <c r="C932">
        <v>2</v>
      </c>
      <c r="D932">
        <v>41000</v>
      </c>
      <c r="E932" t="s">
        <v>1146</v>
      </c>
      <c r="F932">
        <v>0</v>
      </c>
      <c r="G932">
        <v>4.5999999999999996</v>
      </c>
      <c r="H932">
        <v>2200</v>
      </c>
      <c r="I932">
        <v>1</v>
      </c>
    </row>
    <row r="933" spans="1:9" x14ac:dyDescent="0.3">
      <c r="A933" t="s">
        <v>1045</v>
      </c>
      <c r="B933" t="s">
        <v>513</v>
      </c>
      <c r="C933">
        <v>9</v>
      </c>
      <c r="D933">
        <v>82400</v>
      </c>
      <c r="E933" t="s">
        <v>1146</v>
      </c>
      <c r="F933">
        <v>8</v>
      </c>
      <c r="G933">
        <v>9.6</v>
      </c>
      <c r="H933">
        <v>9800</v>
      </c>
      <c r="I933">
        <v>1</v>
      </c>
    </row>
    <row r="934" spans="1:9" x14ac:dyDescent="0.3">
      <c r="A934" t="s">
        <v>1046</v>
      </c>
      <c r="B934" t="s">
        <v>62</v>
      </c>
      <c r="C934">
        <v>5</v>
      </c>
      <c r="D934">
        <v>27100</v>
      </c>
      <c r="E934" t="s">
        <v>1146</v>
      </c>
      <c r="F934">
        <v>9</v>
      </c>
      <c r="G934">
        <v>1.2</v>
      </c>
      <c r="H934">
        <v>13500</v>
      </c>
      <c r="I934">
        <v>1</v>
      </c>
    </row>
    <row r="935" spans="1:9" x14ac:dyDescent="0.3">
      <c r="A935" t="s">
        <v>1047</v>
      </c>
      <c r="B935" t="s">
        <v>64</v>
      </c>
      <c r="C935">
        <v>8</v>
      </c>
      <c r="D935">
        <v>47900</v>
      </c>
      <c r="E935" t="s">
        <v>1146</v>
      </c>
      <c r="F935">
        <v>5</v>
      </c>
      <c r="G935">
        <v>2.7</v>
      </c>
      <c r="H935">
        <v>8800</v>
      </c>
      <c r="I935">
        <v>1</v>
      </c>
    </row>
    <row r="936" spans="1:9" x14ac:dyDescent="0.3">
      <c r="A936" t="s">
        <v>1048</v>
      </c>
      <c r="B936" t="s">
        <v>62</v>
      </c>
      <c r="C936">
        <v>5</v>
      </c>
      <c r="D936">
        <v>111300</v>
      </c>
      <c r="E936" t="s">
        <v>1146</v>
      </c>
      <c r="F936">
        <v>8</v>
      </c>
      <c r="G936">
        <v>4.3</v>
      </c>
      <c r="H936">
        <v>1300</v>
      </c>
      <c r="I936">
        <v>1</v>
      </c>
    </row>
    <row r="937" spans="1:9" x14ac:dyDescent="0.3">
      <c r="A937" t="s">
        <v>1049</v>
      </c>
      <c r="B937" t="s">
        <v>62</v>
      </c>
      <c r="C937">
        <v>9</v>
      </c>
      <c r="D937">
        <v>34300</v>
      </c>
      <c r="E937" t="s">
        <v>1146</v>
      </c>
      <c r="F937">
        <v>6</v>
      </c>
      <c r="G937">
        <v>4.7</v>
      </c>
      <c r="H937">
        <v>5700</v>
      </c>
      <c r="I937">
        <v>1</v>
      </c>
    </row>
    <row r="938" spans="1:9" x14ac:dyDescent="0.3">
      <c r="A938" t="s">
        <v>1050</v>
      </c>
      <c r="B938" t="s">
        <v>62</v>
      </c>
      <c r="C938">
        <v>6</v>
      </c>
      <c r="D938">
        <v>33400</v>
      </c>
      <c r="E938" t="s">
        <v>1146</v>
      </c>
      <c r="F938">
        <v>10</v>
      </c>
      <c r="G938">
        <v>8</v>
      </c>
      <c r="H938">
        <v>13000</v>
      </c>
      <c r="I938">
        <v>1</v>
      </c>
    </row>
    <row r="939" spans="1:9" x14ac:dyDescent="0.3">
      <c r="A939" t="s">
        <v>1051</v>
      </c>
      <c r="B939" t="s">
        <v>513</v>
      </c>
      <c r="C939">
        <v>1</v>
      </c>
      <c r="D939">
        <v>26100</v>
      </c>
      <c r="E939" t="s">
        <v>1146</v>
      </c>
      <c r="F939">
        <v>4</v>
      </c>
      <c r="G939">
        <v>5.9</v>
      </c>
      <c r="H939">
        <v>8200</v>
      </c>
      <c r="I939">
        <v>1</v>
      </c>
    </row>
    <row r="940" spans="1:9" x14ac:dyDescent="0.3">
      <c r="A940" t="s">
        <v>1052</v>
      </c>
      <c r="B940" t="s">
        <v>513</v>
      </c>
      <c r="C940">
        <v>3</v>
      </c>
      <c r="D940">
        <v>47200</v>
      </c>
      <c r="E940" t="s">
        <v>1146</v>
      </c>
      <c r="F940">
        <v>5</v>
      </c>
      <c r="G940">
        <v>8.9</v>
      </c>
      <c r="H940">
        <v>1800</v>
      </c>
      <c r="I940">
        <v>1</v>
      </c>
    </row>
    <row r="941" spans="1:9" x14ac:dyDescent="0.3">
      <c r="A941" t="s">
        <v>1053</v>
      </c>
      <c r="B941" t="s">
        <v>62</v>
      </c>
      <c r="C941">
        <v>9</v>
      </c>
      <c r="D941">
        <v>52600</v>
      </c>
      <c r="E941" t="s">
        <v>1146</v>
      </c>
      <c r="F941">
        <v>8</v>
      </c>
      <c r="G941">
        <v>2.9</v>
      </c>
      <c r="H941">
        <v>4200</v>
      </c>
      <c r="I941">
        <v>1</v>
      </c>
    </row>
    <row r="942" spans="1:9" x14ac:dyDescent="0.3">
      <c r="A942" t="s">
        <v>1054</v>
      </c>
      <c r="B942" t="s">
        <v>62</v>
      </c>
      <c r="C942">
        <v>7</v>
      </c>
      <c r="D942">
        <v>20100</v>
      </c>
      <c r="E942" t="s">
        <v>1146</v>
      </c>
      <c r="F942">
        <v>5</v>
      </c>
      <c r="G942">
        <v>6</v>
      </c>
      <c r="H942">
        <v>4700</v>
      </c>
      <c r="I942">
        <v>1</v>
      </c>
    </row>
    <row r="943" spans="1:9" x14ac:dyDescent="0.3">
      <c r="A943" t="s">
        <v>1055</v>
      </c>
      <c r="B943" t="s">
        <v>62</v>
      </c>
      <c r="C943">
        <v>10</v>
      </c>
      <c r="D943">
        <v>35600</v>
      </c>
      <c r="E943" t="s">
        <v>1146</v>
      </c>
      <c r="F943">
        <v>6</v>
      </c>
      <c r="G943">
        <v>6.9</v>
      </c>
      <c r="H943">
        <v>0</v>
      </c>
      <c r="I943">
        <v>1</v>
      </c>
    </row>
    <row r="944" spans="1:9" x14ac:dyDescent="0.3">
      <c r="A944" t="s">
        <v>1056</v>
      </c>
      <c r="B944" t="s">
        <v>65</v>
      </c>
      <c r="C944">
        <v>4</v>
      </c>
      <c r="D944">
        <v>26500</v>
      </c>
      <c r="E944" t="s">
        <v>1146</v>
      </c>
      <c r="F944">
        <v>3</v>
      </c>
      <c r="G944">
        <v>13.6</v>
      </c>
      <c r="H944">
        <v>6500</v>
      </c>
      <c r="I944">
        <v>1</v>
      </c>
    </row>
    <row r="945" spans="1:9" x14ac:dyDescent="0.3">
      <c r="A945" t="s">
        <v>1057</v>
      </c>
      <c r="B945" t="s">
        <v>62</v>
      </c>
      <c r="C945">
        <v>6</v>
      </c>
      <c r="D945">
        <v>40500</v>
      </c>
      <c r="E945" t="s">
        <v>1146</v>
      </c>
      <c r="F945">
        <v>0</v>
      </c>
      <c r="G945">
        <v>4.5</v>
      </c>
      <c r="H945">
        <v>5400</v>
      </c>
      <c r="I945">
        <v>1</v>
      </c>
    </row>
    <row r="946" spans="1:9" x14ac:dyDescent="0.3">
      <c r="A946" t="s">
        <v>1058</v>
      </c>
      <c r="B946" t="s">
        <v>64</v>
      </c>
      <c r="C946">
        <v>5</v>
      </c>
      <c r="D946">
        <v>31500</v>
      </c>
      <c r="E946" t="s">
        <v>1146</v>
      </c>
      <c r="F946">
        <v>1</v>
      </c>
      <c r="G946">
        <v>1.1000000000000001</v>
      </c>
      <c r="H946">
        <v>0</v>
      </c>
      <c r="I946">
        <v>1</v>
      </c>
    </row>
    <row r="947" spans="1:9" x14ac:dyDescent="0.3">
      <c r="A947" t="s">
        <v>1059</v>
      </c>
      <c r="B947" t="s">
        <v>65</v>
      </c>
      <c r="C947">
        <v>5</v>
      </c>
      <c r="D947">
        <v>106600</v>
      </c>
      <c r="E947" t="s">
        <v>1146</v>
      </c>
      <c r="F947">
        <v>7</v>
      </c>
      <c r="G947">
        <v>5.2</v>
      </c>
      <c r="H947">
        <v>1500</v>
      </c>
      <c r="I947">
        <v>1</v>
      </c>
    </row>
    <row r="948" spans="1:9" x14ac:dyDescent="0.3">
      <c r="A948" t="s">
        <v>1060</v>
      </c>
      <c r="B948" t="s">
        <v>62</v>
      </c>
      <c r="C948">
        <v>6</v>
      </c>
      <c r="D948">
        <v>43200</v>
      </c>
      <c r="E948" t="s">
        <v>1146</v>
      </c>
      <c r="F948">
        <v>4</v>
      </c>
      <c r="G948">
        <v>0.8</v>
      </c>
      <c r="H948">
        <v>0</v>
      </c>
      <c r="I948">
        <v>1</v>
      </c>
    </row>
    <row r="949" spans="1:9" x14ac:dyDescent="0.3">
      <c r="A949" t="s">
        <v>1061</v>
      </c>
      <c r="B949" t="s">
        <v>65</v>
      </c>
      <c r="C949">
        <v>10</v>
      </c>
      <c r="D949">
        <v>61100</v>
      </c>
      <c r="E949" t="s">
        <v>1146</v>
      </c>
      <c r="F949">
        <v>8</v>
      </c>
      <c r="G949">
        <v>5.7</v>
      </c>
      <c r="H949">
        <v>8200</v>
      </c>
      <c r="I949">
        <v>1</v>
      </c>
    </row>
    <row r="950" spans="1:9" x14ac:dyDescent="0.3">
      <c r="A950" t="s">
        <v>1062</v>
      </c>
      <c r="B950" t="s">
        <v>62</v>
      </c>
      <c r="C950">
        <v>5</v>
      </c>
      <c r="D950">
        <v>44200</v>
      </c>
      <c r="E950" t="s">
        <v>1146</v>
      </c>
      <c r="F950">
        <v>3</v>
      </c>
      <c r="G950">
        <v>3.6</v>
      </c>
      <c r="H950">
        <v>4100</v>
      </c>
      <c r="I950">
        <v>1</v>
      </c>
    </row>
    <row r="951" spans="1:9" x14ac:dyDescent="0.3">
      <c r="A951" t="s">
        <v>1063</v>
      </c>
      <c r="B951" t="s">
        <v>62</v>
      </c>
      <c r="C951">
        <v>7</v>
      </c>
      <c r="D951">
        <v>107300</v>
      </c>
      <c r="E951" t="s">
        <v>1146</v>
      </c>
      <c r="F951">
        <v>8</v>
      </c>
      <c r="G951">
        <v>7.8</v>
      </c>
      <c r="H951">
        <v>6800</v>
      </c>
      <c r="I951">
        <v>1</v>
      </c>
    </row>
    <row r="952" spans="1:9" x14ac:dyDescent="0.3">
      <c r="A952" t="s">
        <v>1064</v>
      </c>
      <c r="B952" t="s">
        <v>65</v>
      </c>
      <c r="C952">
        <v>9</v>
      </c>
      <c r="D952">
        <v>28500</v>
      </c>
      <c r="E952" t="s">
        <v>1146</v>
      </c>
      <c r="F952">
        <v>5</v>
      </c>
      <c r="G952">
        <v>6.3</v>
      </c>
      <c r="H952">
        <v>3700</v>
      </c>
      <c r="I952">
        <v>1</v>
      </c>
    </row>
    <row r="953" spans="1:9" x14ac:dyDescent="0.3">
      <c r="A953" t="s">
        <v>1065</v>
      </c>
      <c r="B953" t="s">
        <v>65</v>
      </c>
      <c r="C953">
        <v>6</v>
      </c>
      <c r="D953">
        <v>45500</v>
      </c>
      <c r="E953" t="s">
        <v>1146</v>
      </c>
      <c r="F953">
        <v>9</v>
      </c>
      <c r="G953">
        <v>2.7</v>
      </c>
      <c r="H953">
        <v>3500</v>
      </c>
      <c r="I953">
        <v>1</v>
      </c>
    </row>
    <row r="954" spans="1:9" x14ac:dyDescent="0.3">
      <c r="A954" t="s">
        <v>1066</v>
      </c>
      <c r="B954" t="s">
        <v>65</v>
      </c>
      <c r="C954">
        <v>6</v>
      </c>
      <c r="D954">
        <v>86200</v>
      </c>
      <c r="E954" t="s">
        <v>1146</v>
      </c>
      <c r="F954">
        <v>6</v>
      </c>
      <c r="G954">
        <v>8.9</v>
      </c>
      <c r="H954">
        <v>8800</v>
      </c>
      <c r="I954">
        <v>1</v>
      </c>
    </row>
    <row r="955" spans="1:9" x14ac:dyDescent="0.3">
      <c r="A955" t="s">
        <v>1067</v>
      </c>
      <c r="B955" t="s">
        <v>64</v>
      </c>
      <c r="C955">
        <v>4</v>
      </c>
      <c r="D955">
        <v>10000</v>
      </c>
      <c r="E955" t="s">
        <v>1146</v>
      </c>
      <c r="F955">
        <v>1</v>
      </c>
      <c r="G955">
        <v>5.7</v>
      </c>
      <c r="H955">
        <v>0</v>
      </c>
      <c r="I955">
        <v>1</v>
      </c>
    </row>
    <row r="956" spans="1:9" x14ac:dyDescent="0.3">
      <c r="A956" t="s">
        <v>1068</v>
      </c>
      <c r="B956" t="s">
        <v>64</v>
      </c>
      <c r="C956">
        <v>7</v>
      </c>
      <c r="D956">
        <v>40500</v>
      </c>
      <c r="E956" t="s">
        <v>1146</v>
      </c>
      <c r="F956">
        <v>4</v>
      </c>
      <c r="G956">
        <v>10.8</v>
      </c>
      <c r="H956">
        <v>0</v>
      </c>
      <c r="I956">
        <v>1</v>
      </c>
    </row>
    <row r="957" spans="1:9" x14ac:dyDescent="0.3">
      <c r="A957" t="s">
        <v>1069</v>
      </c>
      <c r="B957" t="s">
        <v>62</v>
      </c>
      <c r="C957">
        <v>8</v>
      </c>
      <c r="D957">
        <v>56400</v>
      </c>
      <c r="E957" t="s">
        <v>1146</v>
      </c>
      <c r="F957">
        <v>6</v>
      </c>
      <c r="G957">
        <v>1.1000000000000001</v>
      </c>
      <c r="H957">
        <v>7000</v>
      </c>
      <c r="I957">
        <v>1</v>
      </c>
    </row>
    <row r="958" spans="1:9" x14ac:dyDescent="0.3">
      <c r="A958" t="s">
        <v>1070</v>
      </c>
      <c r="B958" t="s">
        <v>513</v>
      </c>
      <c r="C958">
        <v>7</v>
      </c>
      <c r="D958">
        <v>34600</v>
      </c>
      <c r="E958" t="s">
        <v>1146</v>
      </c>
      <c r="F958">
        <v>6</v>
      </c>
      <c r="G958">
        <v>10.7</v>
      </c>
      <c r="H958">
        <v>9200</v>
      </c>
      <c r="I958">
        <v>1</v>
      </c>
    </row>
    <row r="959" spans="1:9" x14ac:dyDescent="0.3">
      <c r="A959" t="s">
        <v>1071</v>
      </c>
      <c r="B959" t="s">
        <v>65</v>
      </c>
      <c r="C959">
        <v>7</v>
      </c>
      <c r="D959">
        <v>66200</v>
      </c>
      <c r="E959" t="s">
        <v>1146</v>
      </c>
      <c r="F959">
        <v>9</v>
      </c>
      <c r="G959">
        <v>3.3</v>
      </c>
      <c r="H959">
        <v>5400</v>
      </c>
      <c r="I959">
        <v>1</v>
      </c>
    </row>
    <row r="960" spans="1:9" x14ac:dyDescent="0.3">
      <c r="A960" t="s">
        <v>1072</v>
      </c>
      <c r="B960" t="s">
        <v>513</v>
      </c>
      <c r="C960">
        <v>1</v>
      </c>
      <c r="D960">
        <v>42300</v>
      </c>
      <c r="E960" t="s">
        <v>1146</v>
      </c>
      <c r="F960">
        <v>1</v>
      </c>
      <c r="G960">
        <v>14</v>
      </c>
      <c r="H960">
        <v>12900</v>
      </c>
      <c r="I960">
        <v>1</v>
      </c>
    </row>
    <row r="961" spans="1:9" x14ac:dyDescent="0.3">
      <c r="A961" t="s">
        <v>1073</v>
      </c>
      <c r="B961" t="s">
        <v>513</v>
      </c>
      <c r="C961">
        <v>6</v>
      </c>
      <c r="D961">
        <v>87200</v>
      </c>
      <c r="E961" t="s">
        <v>1146</v>
      </c>
      <c r="F961">
        <v>10</v>
      </c>
      <c r="G961">
        <v>10.8</v>
      </c>
      <c r="H961">
        <v>10300</v>
      </c>
      <c r="I961">
        <v>1</v>
      </c>
    </row>
    <row r="962" spans="1:9" x14ac:dyDescent="0.3">
      <c r="A962" t="s">
        <v>1074</v>
      </c>
      <c r="B962" t="s">
        <v>65</v>
      </c>
      <c r="C962">
        <v>11</v>
      </c>
      <c r="D962">
        <v>54500</v>
      </c>
      <c r="E962" t="s">
        <v>1146</v>
      </c>
      <c r="F962">
        <v>7</v>
      </c>
      <c r="G962">
        <v>3.4</v>
      </c>
      <c r="H962">
        <v>15100</v>
      </c>
      <c r="I962">
        <v>1</v>
      </c>
    </row>
    <row r="963" spans="1:9" x14ac:dyDescent="0.3">
      <c r="A963" t="s">
        <v>1075</v>
      </c>
      <c r="B963" t="s">
        <v>513</v>
      </c>
      <c r="C963">
        <v>8</v>
      </c>
      <c r="D963">
        <v>22000</v>
      </c>
      <c r="E963" t="s">
        <v>1146</v>
      </c>
      <c r="F963">
        <v>6</v>
      </c>
      <c r="G963">
        <v>14</v>
      </c>
      <c r="H963">
        <v>3000</v>
      </c>
      <c r="I963">
        <v>1</v>
      </c>
    </row>
    <row r="964" spans="1:9" x14ac:dyDescent="0.3">
      <c r="A964" t="s">
        <v>1076</v>
      </c>
      <c r="B964" t="s">
        <v>64</v>
      </c>
      <c r="C964">
        <v>2</v>
      </c>
      <c r="D964">
        <v>43200</v>
      </c>
      <c r="E964" t="s">
        <v>1146</v>
      </c>
      <c r="F964">
        <v>10</v>
      </c>
      <c r="G964">
        <v>3.1</v>
      </c>
      <c r="H964">
        <v>0</v>
      </c>
      <c r="I964">
        <v>1</v>
      </c>
    </row>
    <row r="965" spans="1:9" x14ac:dyDescent="0.3">
      <c r="A965" t="s">
        <v>1077</v>
      </c>
      <c r="B965" t="s">
        <v>62</v>
      </c>
      <c r="C965">
        <v>10</v>
      </c>
      <c r="D965">
        <v>29300</v>
      </c>
      <c r="E965" t="s">
        <v>1146</v>
      </c>
      <c r="F965">
        <v>2</v>
      </c>
      <c r="G965">
        <v>1.1000000000000001</v>
      </c>
      <c r="H965">
        <v>4800</v>
      </c>
      <c r="I965">
        <v>1</v>
      </c>
    </row>
    <row r="966" spans="1:9" x14ac:dyDescent="0.3">
      <c r="A966" t="s">
        <v>1078</v>
      </c>
      <c r="B966" t="s">
        <v>513</v>
      </c>
      <c r="C966">
        <v>9</v>
      </c>
      <c r="D966">
        <v>110300</v>
      </c>
      <c r="E966" t="s">
        <v>1146</v>
      </c>
      <c r="F966">
        <v>8</v>
      </c>
      <c r="G966">
        <v>7.9</v>
      </c>
      <c r="H966">
        <v>8100</v>
      </c>
      <c r="I966">
        <v>1</v>
      </c>
    </row>
    <row r="967" spans="1:9" x14ac:dyDescent="0.3">
      <c r="A967" t="s">
        <v>1079</v>
      </c>
      <c r="B967" t="s">
        <v>62</v>
      </c>
      <c r="C967">
        <v>9</v>
      </c>
      <c r="D967">
        <v>63600</v>
      </c>
      <c r="E967" t="s">
        <v>1146</v>
      </c>
      <c r="F967">
        <v>8</v>
      </c>
      <c r="G967">
        <v>8.4</v>
      </c>
      <c r="H967">
        <v>9200</v>
      </c>
      <c r="I967">
        <v>1</v>
      </c>
    </row>
    <row r="968" spans="1:9" x14ac:dyDescent="0.3">
      <c r="A968" t="s">
        <v>1080</v>
      </c>
      <c r="B968" t="s">
        <v>65</v>
      </c>
      <c r="C968">
        <v>6</v>
      </c>
      <c r="D968">
        <v>71200</v>
      </c>
      <c r="E968" t="s">
        <v>1146</v>
      </c>
      <c r="F968">
        <v>5</v>
      </c>
      <c r="G968">
        <v>8.6999999999999993</v>
      </c>
      <c r="H968">
        <v>3100</v>
      </c>
      <c r="I968">
        <v>1</v>
      </c>
    </row>
    <row r="969" spans="1:9" x14ac:dyDescent="0.3">
      <c r="A969" t="s">
        <v>1081</v>
      </c>
      <c r="B969" t="s">
        <v>62</v>
      </c>
      <c r="C969">
        <v>4</v>
      </c>
      <c r="D969">
        <v>17100</v>
      </c>
      <c r="E969" t="s">
        <v>1146</v>
      </c>
      <c r="F969">
        <v>2</v>
      </c>
      <c r="G969">
        <v>3.7</v>
      </c>
      <c r="H969">
        <v>0</v>
      </c>
      <c r="I969">
        <v>1</v>
      </c>
    </row>
    <row r="970" spans="1:9" x14ac:dyDescent="0.3">
      <c r="A970" t="s">
        <v>1082</v>
      </c>
      <c r="B970" t="s">
        <v>64</v>
      </c>
      <c r="C970">
        <v>3</v>
      </c>
      <c r="D970">
        <v>47000</v>
      </c>
      <c r="E970" t="s">
        <v>1146</v>
      </c>
      <c r="F970">
        <v>7</v>
      </c>
      <c r="G970">
        <v>2.8</v>
      </c>
      <c r="H970">
        <v>0</v>
      </c>
      <c r="I970">
        <v>1</v>
      </c>
    </row>
    <row r="971" spans="1:9" x14ac:dyDescent="0.3">
      <c r="A971" t="s">
        <v>1083</v>
      </c>
      <c r="B971" t="s">
        <v>62</v>
      </c>
      <c r="C971">
        <v>6</v>
      </c>
      <c r="D971">
        <v>96700</v>
      </c>
      <c r="E971" t="s">
        <v>1146</v>
      </c>
      <c r="F971">
        <v>5</v>
      </c>
      <c r="G971">
        <v>5.8</v>
      </c>
      <c r="H971">
        <v>5300</v>
      </c>
      <c r="I971">
        <v>1</v>
      </c>
    </row>
    <row r="972" spans="1:9" x14ac:dyDescent="0.3">
      <c r="A972" t="s">
        <v>1084</v>
      </c>
      <c r="B972" t="s">
        <v>513</v>
      </c>
      <c r="C972">
        <v>5</v>
      </c>
      <c r="D972">
        <v>92900</v>
      </c>
      <c r="E972" t="s">
        <v>1146</v>
      </c>
      <c r="F972">
        <v>2</v>
      </c>
      <c r="G972">
        <v>13.7</v>
      </c>
      <c r="H972">
        <v>0</v>
      </c>
      <c r="I972">
        <v>1</v>
      </c>
    </row>
    <row r="973" spans="1:9" x14ac:dyDescent="0.3">
      <c r="A973" t="s">
        <v>1085</v>
      </c>
      <c r="B973" t="s">
        <v>62</v>
      </c>
      <c r="C973">
        <v>7</v>
      </c>
      <c r="D973">
        <v>26000</v>
      </c>
      <c r="E973" t="s">
        <v>1146</v>
      </c>
      <c r="F973">
        <v>4</v>
      </c>
      <c r="G973">
        <v>1.2</v>
      </c>
      <c r="H973">
        <v>5700</v>
      </c>
      <c r="I973">
        <v>1</v>
      </c>
    </row>
    <row r="974" spans="1:9" x14ac:dyDescent="0.3">
      <c r="A974" t="s">
        <v>1086</v>
      </c>
      <c r="B974" t="s">
        <v>65</v>
      </c>
      <c r="C974">
        <v>4</v>
      </c>
      <c r="D974">
        <v>33400</v>
      </c>
      <c r="E974" t="s">
        <v>1146</v>
      </c>
      <c r="F974">
        <v>4</v>
      </c>
      <c r="G974">
        <v>0.5</v>
      </c>
      <c r="H974">
        <v>5900</v>
      </c>
      <c r="I974">
        <v>1</v>
      </c>
    </row>
    <row r="975" spans="1:9" x14ac:dyDescent="0.3">
      <c r="A975" t="s">
        <v>1087</v>
      </c>
      <c r="B975" t="s">
        <v>513</v>
      </c>
      <c r="C975">
        <v>5</v>
      </c>
      <c r="D975">
        <v>37000</v>
      </c>
      <c r="E975" t="s">
        <v>1146</v>
      </c>
      <c r="F975">
        <v>6</v>
      </c>
      <c r="G975">
        <v>5.9</v>
      </c>
      <c r="H975">
        <v>7000</v>
      </c>
      <c r="I975">
        <v>1</v>
      </c>
    </row>
    <row r="976" spans="1:9" x14ac:dyDescent="0.3">
      <c r="A976" t="s">
        <v>1088</v>
      </c>
      <c r="B976" t="s">
        <v>65</v>
      </c>
      <c r="C976">
        <v>8</v>
      </c>
      <c r="D976">
        <v>42100</v>
      </c>
      <c r="E976" t="s">
        <v>1146</v>
      </c>
      <c r="F976">
        <v>6</v>
      </c>
      <c r="G976">
        <v>11.6</v>
      </c>
      <c r="H976">
        <v>3500</v>
      </c>
      <c r="I976">
        <v>1</v>
      </c>
    </row>
    <row r="977" spans="1:9" x14ac:dyDescent="0.3">
      <c r="A977" t="s">
        <v>1089</v>
      </c>
      <c r="B977" t="s">
        <v>65</v>
      </c>
      <c r="C977">
        <v>3</v>
      </c>
      <c r="D977">
        <v>48600</v>
      </c>
      <c r="E977" t="s">
        <v>1146</v>
      </c>
      <c r="F977">
        <v>7</v>
      </c>
      <c r="G977">
        <v>3.5</v>
      </c>
      <c r="H977">
        <v>8400</v>
      </c>
      <c r="I977">
        <v>1</v>
      </c>
    </row>
    <row r="978" spans="1:9" x14ac:dyDescent="0.3">
      <c r="A978" t="s">
        <v>1090</v>
      </c>
      <c r="B978" t="s">
        <v>62</v>
      </c>
      <c r="C978">
        <v>4</v>
      </c>
      <c r="D978">
        <v>31500</v>
      </c>
      <c r="E978" t="s">
        <v>1146</v>
      </c>
      <c r="F978">
        <v>3</v>
      </c>
      <c r="G978">
        <v>0.8</v>
      </c>
      <c r="H978">
        <v>4700</v>
      </c>
      <c r="I978">
        <v>1</v>
      </c>
    </row>
    <row r="979" spans="1:9" x14ac:dyDescent="0.3">
      <c r="A979" t="s">
        <v>1091</v>
      </c>
      <c r="B979" t="s">
        <v>513</v>
      </c>
      <c r="C979">
        <v>8</v>
      </c>
      <c r="D979">
        <v>54400</v>
      </c>
      <c r="E979" t="s">
        <v>1146</v>
      </c>
      <c r="F979">
        <v>1</v>
      </c>
      <c r="G979">
        <v>6</v>
      </c>
      <c r="H979">
        <v>9200</v>
      </c>
      <c r="I979">
        <v>1</v>
      </c>
    </row>
    <row r="980" spans="1:9" x14ac:dyDescent="0.3">
      <c r="A980" t="s">
        <v>1092</v>
      </c>
      <c r="B980" t="s">
        <v>64</v>
      </c>
      <c r="C980">
        <v>6</v>
      </c>
      <c r="D980">
        <v>24600</v>
      </c>
      <c r="E980" t="s">
        <v>1146</v>
      </c>
      <c r="F980">
        <v>3</v>
      </c>
      <c r="G980">
        <v>0.9</v>
      </c>
      <c r="H980">
        <v>0</v>
      </c>
      <c r="I980">
        <v>1</v>
      </c>
    </row>
    <row r="981" spans="1:9" x14ac:dyDescent="0.3">
      <c r="A981" t="s">
        <v>1093</v>
      </c>
      <c r="B981" t="s">
        <v>65</v>
      </c>
      <c r="C981">
        <v>2</v>
      </c>
      <c r="D981">
        <v>96500</v>
      </c>
      <c r="E981" t="s">
        <v>1146</v>
      </c>
      <c r="F981">
        <v>3</v>
      </c>
      <c r="G981">
        <v>8.8000000000000007</v>
      </c>
      <c r="H981">
        <v>1800</v>
      </c>
      <c r="I981">
        <v>1</v>
      </c>
    </row>
    <row r="982" spans="1:9" x14ac:dyDescent="0.3">
      <c r="A982" t="s">
        <v>1094</v>
      </c>
      <c r="B982" t="s">
        <v>513</v>
      </c>
      <c r="C982">
        <v>8</v>
      </c>
      <c r="D982">
        <v>42300</v>
      </c>
      <c r="E982" t="s">
        <v>1146</v>
      </c>
      <c r="F982">
        <v>6</v>
      </c>
      <c r="G982">
        <v>1.7</v>
      </c>
      <c r="H982">
        <v>6200</v>
      </c>
      <c r="I982">
        <v>1</v>
      </c>
    </row>
    <row r="983" spans="1:9" x14ac:dyDescent="0.3">
      <c r="A983" t="s">
        <v>1095</v>
      </c>
      <c r="B983" t="s">
        <v>64</v>
      </c>
      <c r="C983">
        <v>6</v>
      </c>
      <c r="D983">
        <v>72600</v>
      </c>
      <c r="E983" t="s">
        <v>1146</v>
      </c>
      <c r="F983">
        <v>4</v>
      </c>
      <c r="G983">
        <v>1.1000000000000001</v>
      </c>
      <c r="H983">
        <v>9200</v>
      </c>
      <c r="I983">
        <v>1</v>
      </c>
    </row>
    <row r="984" spans="1:9" x14ac:dyDescent="0.3">
      <c r="A984" t="s">
        <v>1096</v>
      </c>
      <c r="B984" t="s">
        <v>513</v>
      </c>
      <c r="C984">
        <v>4</v>
      </c>
      <c r="D984">
        <v>29400</v>
      </c>
      <c r="E984" t="s">
        <v>1146</v>
      </c>
      <c r="F984">
        <v>0</v>
      </c>
      <c r="G984">
        <v>9.8000000000000007</v>
      </c>
      <c r="H984">
        <v>0</v>
      </c>
      <c r="I984">
        <v>1</v>
      </c>
    </row>
    <row r="985" spans="1:9" x14ac:dyDescent="0.3">
      <c r="A985" t="s">
        <v>1097</v>
      </c>
      <c r="B985" t="s">
        <v>64</v>
      </c>
      <c r="C985">
        <v>6</v>
      </c>
      <c r="D985">
        <v>31100</v>
      </c>
      <c r="E985" t="s">
        <v>1146</v>
      </c>
      <c r="F985">
        <v>4</v>
      </c>
      <c r="G985">
        <v>10.3</v>
      </c>
      <c r="H985">
        <v>12200</v>
      </c>
      <c r="I985">
        <v>1</v>
      </c>
    </row>
    <row r="986" spans="1:9" x14ac:dyDescent="0.3">
      <c r="A986" t="s">
        <v>1098</v>
      </c>
      <c r="B986" t="s">
        <v>513</v>
      </c>
      <c r="C986">
        <v>7</v>
      </c>
      <c r="D986">
        <v>11700</v>
      </c>
      <c r="E986" t="s">
        <v>1146</v>
      </c>
      <c r="F986">
        <v>0</v>
      </c>
      <c r="G986">
        <v>13</v>
      </c>
      <c r="H986">
        <v>6600</v>
      </c>
      <c r="I986">
        <v>1</v>
      </c>
    </row>
    <row r="987" spans="1:9" x14ac:dyDescent="0.3">
      <c r="A987" t="s">
        <v>1099</v>
      </c>
      <c r="B987" t="s">
        <v>62</v>
      </c>
      <c r="C987">
        <v>5</v>
      </c>
      <c r="D987">
        <v>23300</v>
      </c>
      <c r="E987" t="s">
        <v>1146</v>
      </c>
      <c r="F987">
        <v>1</v>
      </c>
      <c r="G987">
        <v>9.9</v>
      </c>
      <c r="H987">
        <v>7500</v>
      </c>
      <c r="I987">
        <v>1</v>
      </c>
    </row>
    <row r="988" spans="1:9" x14ac:dyDescent="0.3">
      <c r="A988" t="s">
        <v>1100</v>
      </c>
      <c r="B988" t="s">
        <v>513</v>
      </c>
      <c r="C988">
        <v>6</v>
      </c>
      <c r="D988">
        <v>78400</v>
      </c>
      <c r="E988" t="s">
        <v>1146</v>
      </c>
      <c r="F988">
        <v>5</v>
      </c>
      <c r="G988">
        <v>5.6</v>
      </c>
      <c r="H988">
        <v>3400</v>
      </c>
      <c r="I988">
        <v>1</v>
      </c>
    </row>
    <row r="989" spans="1:9" x14ac:dyDescent="0.3">
      <c r="A989" t="s">
        <v>1101</v>
      </c>
      <c r="B989" t="s">
        <v>65</v>
      </c>
      <c r="C989">
        <v>3</v>
      </c>
      <c r="D989">
        <v>27300</v>
      </c>
      <c r="E989" t="s">
        <v>1146</v>
      </c>
      <c r="F989">
        <v>8</v>
      </c>
      <c r="G989">
        <v>12.8</v>
      </c>
      <c r="H989">
        <v>0</v>
      </c>
      <c r="I989">
        <v>1</v>
      </c>
    </row>
    <row r="990" spans="1:9" x14ac:dyDescent="0.3">
      <c r="A990" t="s">
        <v>1102</v>
      </c>
      <c r="B990" t="s">
        <v>513</v>
      </c>
      <c r="C990">
        <v>10</v>
      </c>
      <c r="D990">
        <v>24800</v>
      </c>
      <c r="E990" t="s">
        <v>1146</v>
      </c>
      <c r="F990">
        <v>3</v>
      </c>
      <c r="G990">
        <v>1.4</v>
      </c>
      <c r="H990">
        <v>5500</v>
      </c>
      <c r="I990">
        <v>1</v>
      </c>
    </row>
    <row r="991" spans="1:9" x14ac:dyDescent="0.3">
      <c r="A991" t="s">
        <v>1103</v>
      </c>
      <c r="B991" t="s">
        <v>513</v>
      </c>
      <c r="C991">
        <v>9</v>
      </c>
      <c r="D991">
        <v>28200</v>
      </c>
      <c r="E991" t="s">
        <v>1146</v>
      </c>
      <c r="F991">
        <v>0</v>
      </c>
      <c r="G991">
        <v>8.5</v>
      </c>
      <c r="H991">
        <v>6500</v>
      </c>
      <c r="I991">
        <v>1</v>
      </c>
    </row>
    <row r="992" spans="1:9" x14ac:dyDescent="0.3">
      <c r="A992" t="s">
        <v>1104</v>
      </c>
      <c r="B992" t="s">
        <v>65</v>
      </c>
      <c r="C992">
        <v>3</v>
      </c>
      <c r="D992">
        <v>30000</v>
      </c>
      <c r="E992" t="s">
        <v>1146</v>
      </c>
      <c r="F992">
        <v>8</v>
      </c>
      <c r="G992">
        <v>12.6</v>
      </c>
      <c r="H992">
        <v>9500</v>
      </c>
      <c r="I992">
        <v>1</v>
      </c>
    </row>
    <row r="993" spans="1:9" x14ac:dyDescent="0.3">
      <c r="A993" t="s">
        <v>1105</v>
      </c>
      <c r="B993" t="s">
        <v>513</v>
      </c>
      <c r="C993">
        <v>6</v>
      </c>
      <c r="D993">
        <v>25400</v>
      </c>
      <c r="E993" t="s">
        <v>1146</v>
      </c>
      <c r="F993">
        <v>8</v>
      </c>
      <c r="G993">
        <v>14.5</v>
      </c>
      <c r="H993">
        <v>0</v>
      </c>
      <c r="I993">
        <v>1</v>
      </c>
    </row>
    <row r="994" spans="1:9" x14ac:dyDescent="0.3">
      <c r="A994" t="s">
        <v>1106</v>
      </c>
      <c r="B994" t="s">
        <v>62</v>
      </c>
      <c r="C994">
        <v>5</v>
      </c>
      <c r="D994">
        <v>39700</v>
      </c>
      <c r="E994" t="s">
        <v>1146</v>
      </c>
      <c r="F994">
        <v>9</v>
      </c>
      <c r="G994">
        <v>8.1</v>
      </c>
      <c r="H994">
        <v>5000</v>
      </c>
      <c r="I994">
        <v>1</v>
      </c>
    </row>
    <row r="995" spans="1:9" x14ac:dyDescent="0.3">
      <c r="A995" t="s">
        <v>1107</v>
      </c>
      <c r="B995" t="s">
        <v>64</v>
      </c>
      <c r="C995">
        <v>6</v>
      </c>
      <c r="D995">
        <v>37100</v>
      </c>
      <c r="E995" t="s">
        <v>1146</v>
      </c>
      <c r="F995">
        <v>5</v>
      </c>
      <c r="G995">
        <v>2.9</v>
      </c>
      <c r="H995">
        <v>7700</v>
      </c>
      <c r="I995">
        <v>1</v>
      </c>
    </row>
    <row r="996" spans="1:9" x14ac:dyDescent="0.3">
      <c r="A996" t="s">
        <v>1108</v>
      </c>
      <c r="B996" t="s">
        <v>64</v>
      </c>
      <c r="C996">
        <v>7</v>
      </c>
      <c r="D996">
        <v>35400</v>
      </c>
      <c r="E996" t="s">
        <v>1146</v>
      </c>
      <c r="F996">
        <v>2</v>
      </c>
      <c r="G996">
        <v>8.6999999999999993</v>
      </c>
      <c r="H996">
        <v>6700</v>
      </c>
      <c r="I996">
        <v>1</v>
      </c>
    </row>
    <row r="997" spans="1:9" x14ac:dyDescent="0.3">
      <c r="A997" t="s">
        <v>1109</v>
      </c>
      <c r="B997" t="s">
        <v>513</v>
      </c>
      <c r="C997">
        <v>8</v>
      </c>
      <c r="D997">
        <v>28100</v>
      </c>
      <c r="E997" t="s">
        <v>1146</v>
      </c>
      <c r="F997">
        <v>10</v>
      </c>
      <c r="G997">
        <v>12.5</v>
      </c>
      <c r="H997">
        <v>6500</v>
      </c>
      <c r="I997">
        <v>1</v>
      </c>
    </row>
    <row r="998" spans="1:9" x14ac:dyDescent="0.3">
      <c r="A998" t="s">
        <v>1110</v>
      </c>
      <c r="B998" t="s">
        <v>62</v>
      </c>
      <c r="C998">
        <v>7</v>
      </c>
      <c r="D998">
        <v>53900</v>
      </c>
      <c r="E998" t="s">
        <v>1146</v>
      </c>
      <c r="F998">
        <v>9</v>
      </c>
      <c r="G998">
        <v>2</v>
      </c>
      <c r="H998">
        <v>300</v>
      </c>
      <c r="I998">
        <v>1</v>
      </c>
    </row>
    <row r="999" spans="1:9" x14ac:dyDescent="0.3">
      <c r="A999" t="s">
        <v>1111</v>
      </c>
      <c r="B999" t="s">
        <v>62</v>
      </c>
      <c r="C999">
        <v>7</v>
      </c>
      <c r="D999">
        <v>20700</v>
      </c>
      <c r="E999" t="s">
        <v>1146</v>
      </c>
      <c r="F999">
        <v>1</v>
      </c>
      <c r="G999">
        <v>9.3000000000000007</v>
      </c>
      <c r="H999">
        <v>12800</v>
      </c>
      <c r="I999">
        <v>1</v>
      </c>
    </row>
    <row r="1000" spans="1:9" x14ac:dyDescent="0.3">
      <c r="A1000" t="s">
        <v>1112</v>
      </c>
      <c r="B1000" t="s">
        <v>513</v>
      </c>
      <c r="C1000">
        <v>10</v>
      </c>
      <c r="D1000">
        <v>13900</v>
      </c>
      <c r="E1000" t="s">
        <v>1146</v>
      </c>
      <c r="F1000">
        <v>2</v>
      </c>
      <c r="G1000">
        <v>14.2</v>
      </c>
      <c r="H1000">
        <v>2900</v>
      </c>
      <c r="I1000">
        <v>1</v>
      </c>
    </row>
    <row r="1001" spans="1:9" x14ac:dyDescent="0.3">
      <c r="A1001" t="s">
        <v>1113</v>
      </c>
      <c r="B1001" t="s">
        <v>65</v>
      </c>
      <c r="C1001">
        <v>6</v>
      </c>
      <c r="D1001">
        <v>125900</v>
      </c>
      <c r="E1001" t="s">
        <v>1146</v>
      </c>
      <c r="F1001">
        <v>8</v>
      </c>
      <c r="G1001">
        <v>8.4</v>
      </c>
      <c r="H1001">
        <v>9500</v>
      </c>
      <c r="I1001">
        <v>1</v>
      </c>
    </row>
    <row r="1002" spans="1:9" x14ac:dyDescent="0.3">
      <c r="A1002" t="s">
        <v>1114</v>
      </c>
      <c r="B1002" t="s">
        <v>64</v>
      </c>
      <c r="C1002">
        <v>7</v>
      </c>
      <c r="D1002">
        <v>32600</v>
      </c>
      <c r="E1002" t="s">
        <v>1146</v>
      </c>
      <c r="F1002">
        <v>4</v>
      </c>
      <c r="G1002">
        <v>5.8</v>
      </c>
      <c r="H1002">
        <v>6500</v>
      </c>
      <c r="I1002">
        <v>1</v>
      </c>
    </row>
    <row r="1003" spans="1:9" x14ac:dyDescent="0.3">
      <c r="A1003" t="s">
        <v>1115</v>
      </c>
      <c r="B1003" t="s">
        <v>513</v>
      </c>
      <c r="C1003">
        <v>4</v>
      </c>
      <c r="D1003">
        <v>35200</v>
      </c>
      <c r="E1003" t="s">
        <v>1146</v>
      </c>
      <c r="F1003">
        <v>7</v>
      </c>
      <c r="G1003">
        <v>3.3</v>
      </c>
      <c r="H1003">
        <v>5700</v>
      </c>
      <c r="I1003">
        <v>1</v>
      </c>
    </row>
    <row r="1004" spans="1:9" x14ac:dyDescent="0.3">
      <c r="A1004" t="s">
        <v>1116</v>
      </c>
      <c r="B1004" t="s">
        <v>513</v>
      </c>
      <c r="C1004">
        <v>9</v>
      </c>
      <c r="D1004">
        <v>27200</v>
      </c>
      <c r="E1004" t="s">
        <v>1146</v>
      </c>
      <c r="F1004">
        <v>5</v>
      </c>
      <c r="G1004">
        <v>11.9</v>
      </c>
      <c r="H1004">
        <v>9500</v>
      </c>
      <c r="I1004">
        <v>1</v>
      </c>
    </row>
    <row r="1005" spans="1:9" x14ac:dyDescent="0.3">
      <c r="A1005" t="s">
        <v>1117</v>
      </c>
      <c r="B1005" t="s">
        <v>64</v>
      </c>
      <c r="C1005">
        <v>4</v>
      </c>
      <c r="D1005">
        <v>20500</v>
      </c>
      <c r="E1005" t="s">
        <v>1146</v>
      </c>
      <c r="F1005">
        <v>0</v>
      </c>
      <c r="G1005">
        <v>7.1</v>
      </c>
      <c r="H1005">
        <v>2900</v>
      </c>
      <c r="I1005">
        <v>1</v>
      </c>
    </row>
    <row r="1006" spans="1:9" x14ac:dyDescent="0.3">
      <c r="A1006" t="s">
        <v>1118</v>
      </c>
      <c r="B1006" t="s">
        <v>62</v>
      </c>
      <c r="C1006">
        <v>1</v>
      </c>
      <c r="D1006">
        <v>49900</v>
      </c>
      <c r="E1006" t="s">
        <v>69</v>
      </c>
      <c r="F1006">
        <v>21</v>
      </c>
      <c r="G1006">
        <v>9.1</v>
      </c>
      <c r="H1006">
        <v>2700</v>
      </c>
      <c r="I1006">
        <v>1</v>
      </c>
    </row>
    <row r="1007" spans="1:9" x14ac:dyDescent="0.3">
      <c r="A1007" t="s">
        <v>1119</v>
      </c>
      <c r="B1007" t="s">
        <v>513</v>
      </c>
      <c r="C1007">
        <v>4</v>
      </c>
      <c r="D1007">
        <v>35100</v>
      </c>
      <c r="E1007" t="s">
        <v>1146</v>
      </c>
      <c r="F1007">
        <v>6</v>
      </c>
      <c r="G1007">
        <v>6</v>
      </c>
      <c r="H1007">
        <v>9000</v>
      </c>
      <c r="I1007">
        <v>1</v>
      </c>
    </row>
    <row r="1008" spans="1:9" x14ac:dyDescent="0.3">
      <c r="A1008" t="s">
        <v>1120</v>
      </c>
      <c r="B1008" t="s">
        <v>64</v>
      </c>
      <c r="C1008">
        <v>5</v>
      </c>
      <c r="D1008">
        <v>17500</v>
      </c>
      <c r="E1008" t="s">
        <v>1146</v>
      </c>
      <c r="F1008">
        <v>0</v>
      </c>
      <c r="G1008">
        <v>2.5</v>
      </c>
      <c r="H1008">
        <v>0</v>
      </c>
      <c r="I1008">
        <v>1</v>
      </c>
    </row>
    <row r="1009" spans="1:9" x14ac:dyDescent="0.3">
      <c r="A1009" t="s">
        <v>1121</v>
      </c>
      <c r="B1009" t="s">
        <v>64</v>
      </c>
      <c r="C1009">
        <v>6</v>
      </c>
      <c r="D1009">
        <v>29100</v>
      </c>
      <c r="E1009" t="s">
        <v>1146</v>
      </c>
      <c r="F1009">
        <v>8</v>
      </c>
      <c r="G1009">
        <v>1.9</v>
      </c>
      <c r="H1009">
        <v>300</v>
      </c>
      <c r="I1009">
        <v>1</v>
      </c>
    </row>
    <row r="1010" spans="1:9" x14ac:dyDescent="0.3">
      <c r="A1010" t="s">
        <v>1122</v>
      </c>
      <c r="B1010" t="s">
        <v>65</v>
      </c>
      <c r="C1010">
        <v>3</v>
      </c>
      <c r="D1010">
        <v>55800</v>
      </c>
      <c r="E1010" t="s">
        <v>1146</v>
      </c>
      <c r="F1010">
        <v>7</v>
      </c>
      <c r="G1010">
        <v>10.8</v>
      </c>
      <c r="H1010">
        <v>1000</v>
      </c>
      <c r="I1010">
        <v>1</v>
      </c>
    </row>
    <row r="1011" spans="1:9" x14ac:dyDescent="0.3">
      <c r="A1011" t="s">
        <v>1123</v>
      </c>
      <c r="B1011" t="s">
        <v>513</v>
      </c>
      <c r="C1011">
        <v>5</v>
      </c>
      <c r="D1011">
        <v>89700</v>
      </c>
      <c r="E1011" t="s">
        <v>1146</v>
      </c>
      <c r="F1011">
        <v>5</v>
      </c>
      <c r="G1011">
        <v>11.6</v>
      </c>
      <c r="H1011">
        <v>12900</v>
      </c>
      <c r="I1011">
        <v>1</v>
      </c>
    </row>
    <row r="1012" spans="1:9" x14ac:dyDescent="0.3">
      <c r="A1012" t="s">
        <v>1124</v>
      </c>
      <c r="B1012" t="s">
        <v>64</v>
      </c>
      <c r="C1012">
        <v>7</v>
      </c>
      <c r="D1012">
        <v>24600</v>
      </c>
      <c r="E1012" t="s">
        <v>1146</v>
      </c>
      <c r="F1012">
        <v>2</v>
      </c>
      <c r="G1012">
        <v>1.5</v>
      </c>
      <c r="H1012">
        <v>5200</v>
      </c>
      <c r="I1012">
        <v>1</v>
      </c>
    </row>
    <row r="1013" spans="1:9" x14ac:dyDescent="0.3">
      <c r="A1013" t="s">
        <v>1125</v>
      </c>
      <c r="B1013" t="s">
        <v>513</v>
      </c>
      <c r="C1013">
        <v>7</v>
      </c>
      <c r="D1013">
        <v>41300</v>
      </c>
      <c r="E1013" t="s">
        <v>1146</v>
      </c>
      <c r="F1013">
        <v>10</v>
      </c>
      <c r="G1013">
        <v>11.4</v>
      </c>
      <c r="H1013">
        <v>5100</v>
      </c>
      <c r="I1013">
        <v>1</v>
      </c>
    </row>
    <row r="1014" spans="1:9" x14ac:dyDescent="0.3">
      <c r="A1014" t="s">
        <v>1126</v>
      </c>
      <c r="B1014" t="s">
        <v>513</v>
      </c>
      <c r="C1014">
        <v>6</v>
      </c>
      <c r="D1014">
        <v>26800</v>
      </c>
      <c r="E1014" t="s">
        <v>1146</v>
      </c>
      <c r="F1014">
        <v>9</v>
      </c>
      <c r="G1014">
        <v>1.3</v>
      </c>
      <c r="H1014">
        <v>7600</v>
      </c>
      <c r="I1014">
        <v>1</v>
      </c>
    </row>
    <row r="1015" spans="1:9" x14ac:dyDescent="0.3">
      <c r="A1015" t="s">
        <v>1127</v>
      </c>
      <c r="B1015" t="s">
        <v>65</v>
      </c>
      <c r="C1015">
        <v>5</v>
      </c>
      <c r="D1015">
        <v>59100</v>
      </c>
      <c r="E1015" t="s">
        <v>1146</v>
      </c>
      <c r="F1015">
        <v>1</v>
      </c>
      <c r="G1015">
        <v>3.7</v>
      </c>
      <c r="H1015">
        <v>1200</v>
      </c>
      <c r="I1015">
        <v>1</v>
      </c>
    </row>
    <row r="1016" spans="1:9" x14ac:dyDescent="0.3">
      <c r="A1016" t="s">
        <v>1128</v>
      </c>
      <c r="B1016" t="s">
        <v>65</v>
      </c>
      <c r="C1016">
        <v>2</v>
      </c>
      <c r="D1016">
        <v>33700</v>
      </c>
      <c r="E1016" t="s">
        <v>1146</v>
      </c>
      <c r="F1016">
        <v>2</v>
      </c>
      <c r="G1016">
        <v>11</v>
      </c>
      <c r="H1016">
        <v>0</v>
      </c>
      <c r="I1016">
        <v>1</v>
      </c>
    </row>
    <row r="1017" spans="1:9" x14ac:dyDescent="0.3">
      <c r="A1017" t="s">
        <v>1129</v>
      </c>
      <c r="B1017" t="s">
        <v>62</v>
      </c>
      <c r="C1017">
        <v>3</v>
      </c>
      <c r="D1017">
        <v>25800</v>
      </c>
      <c r="E1017" t="s">
        <v>1146</v>
      </c>
      <c r="F1017">
        <v>6</v>
      </c>
      <c r="G1017">
        <v>5.0999999999999996</v>
      </c>
      <c r="H1017">
        <v>2300</v>
      </c>
      <c r="I1017">
        <v>1</v>
      </c>
    </row>
    <row r="1018" spans="1:9" x14ac:dyDescent="0.3">
      <c r="A1018" t="s">
        <v>1130</v>
      </c>
      <c r="B1018" t="s">
        <v>513</v>
      </c>
      <c r="C1018">
        <v>9</v>
      </c>
      <c r="D1018">
        <v>129400</v>
      </c>
      <c r="E1018" t="s">
        <v>1146</v>
      </c>
      <c r="F1018">
        <v>5</v>
      </c>
      <c r="G1018">
        <v>5.8</v>
      </c>
      <c r="H1018">
        <v>4800</v>
      </c>
      <c r="I1018">
        <v>1</v>
      </c>
    </row>
    <row r="1019" spans="1:9" x14ac:dyDescent="0.3">
      <c r="A1019" t="s">
        <v>1131</v>
      </c>
      <c r="B1019" t="s">
        <v>65</v>
      </c>
      <c r="C1019">
        <v>5</v>
      </c>
      <c r="D1019">
        <v>41700</v>
      </c>
      <c r="E1019" t="s">
        <v>1146</v>
      </c>
      <c r="F1019">
        <v>8</v>
      </c>
      <c r="G1019">
        <v>2.2000000000000002</v>
      </c>
      <c r="H1019">
        <v>2400</v>
      </c>
      <c r="I1019">
        <v>1</v>
      </c>
    </row>
    <row r="1020" spans="1:9" x14ac:dyDescent="0.3">
      <c r="A1020" t="s">
        <v>1132</v>
      </c>
      <c r="B1020" t="s">
        <v>65</v>
      </c>
      <c r="C1020">
        <v>5</v>
      </c>
      <c r="D1020">
        <v>166100</v>
      </c>
      <c r="E1020" t="s">
        <v>1146</v>
      </c>
      <c r="F1020">
        <v>9</v>
      </c>
      <c r="G1020">
        <v>11.7</v>
      </c>
      <c r="H1020">
        <v>12200</v>
      </c>
      <c r="I1020">
        <v>1</v>
      </c>
    </row>
    <row r="1021" spans="1:9" x14ac:dyDescent="0.3">
      <c r="A1021" t="s">
        <v>1133</v>
      </c>
      <c r="B1021" t="s">
        <v>64</v>
      </c>
      <c r="C1021">
        <v>9</v>
      </c>
      <c r="D1021">
        <v>44700</v>
      </c>
      <c r="E1021" t="s">
        <v>1146</v>
      </c>
      <c r="F1021">
        <v>0</v>
      </c>
      <c r="G1021">
        <v>11.2</v>
      </c>
      <c r="H1021">
        <v>9500</v>
      </c>
      <c r="I1021">
        <v>1</v>
      </c>
    </row>
    <row r="1022" spans="1:9" x14ac:dyDescent="0.3">
      <c r="A1022" t="s">
        <v>1134</v>
      </c>
      <c r="B1022" t="s">
        <v>513</v>
      </c>
      <c r="C1022">
        <v>2</v>
      </c>
      <c r="D1022">
        <v>52100</v>
      </c>
      <c r="E1022" t="s">
        <v>1146</v>
      </c>
      <c r="F1022">
        <v>4</v>
      </c>
      <c r="G1022">
        <v>14.2</v>
      </c>
      <c r="H1022">
        <v>1000</v>
      </c>
      <c r="I1022">
        <v>1</v>
      </c>
    </row>
    <row r="1023" spans="1:9" x14ac:dyDescent="0.3">
      <c r="A1023" t="s">
        <v>1135</v>
      </c>
      <c r="B1023" t="s">
        <v>65</v>
      </c>
      <c r="C1023">
        <v>2</v>
      </c>
      <c r="D1023">
        <v>16000</v>
      </c>
      <c r="E1023" t="s">
        <v>1146</v>
      </c>
      <c r="F1023">
        <v>1</v>
      </c>
      <c r="G1023">
        <v>11.7</v>
      </c>
      <c r="H1023">
        <v>9800</v>
      </c>
      <c r="I1023">
        <v>1</v>
      </c>
    </row>
    <row r="1024" spans="1:9" x14ac:dyDescent="0.3">
      <c r="A1024" t="s">
        <v>1136</v>
      </c>
      <c r="B1024" t="s">
        <v>513</v>
      </c>
      <c r="C1024">
        <v>6</v>
      </c>
      <c r="D1024">
        <v>107300</v>
      </c>
      <c r="E1024" t="s">
        <v>1146</v>
      </c>
      <c r="F1024">
        <v>8</v>
      </c>
      <c r="G1024">
        <v>6.3</v>
      </c>
      <c r="H1024">
        <v>2700</v>
      </c>
      <c r="I1024">
        <v>1</v>
      </c>
    </row>
    <row r="1025" spans="1:9" x14ac:dyDescent="0.3">
      <c r="A1025" t="s">
        <v>1137</v>
      </c>
      <c r="B1025" t="s">
        <v>513</v>
      </c>
      <c r="C1025">
        <v>7</v>
      </c>
      <c r="D1025">
        <v>30800</v>
      </c>
      <c r="E1025" t="s">
        <v>67</v>
      </c>
      <c r="F1025">
        <v>105</v>
      </c>
      <c r="G1025">
        <v>6.7</v>
      </c>
      <c r="H1025">
        <v>7700</v>
      </c>
      <c r="I1025">
        <v>1</v>
      </c>
    </row>
    <row r="1026" spans="1:9" x14ac:dyDescent="0.3">
      <c r="A1026" t="s">
        <v>1138</v>
      </c>
      <c r="B1026" t="s">
        <v>65</v>
      </c>
      <c r="C1026">
        <v>4</v>
      </c>
      <c r="D1026">
        <v>56100</v>
      </c>
      <c r="E1026" t="s">
        <v>1146</v>
      </c>
      <c r="F1026">
        <v>1</v>
      </c>
      <c r="G1026">
        <v>11.1</v>
      </c>
      <c r="H1026">
        <v>7700</v>
      </c>
      <c r="I1026">
        <v>1</v>
      </c>
    </row>
    <row r="1027" spans="1:9" x14ac:dyDescent="0.3">
      <c r="A1027" t="s">
        <v>1139</v>
      </c>
      <c r="B1027" t="s">
        <v>65</v>
      </c>
      <c r="C1027">
        <v>6</v>
      </c>
      <c r="D1027">
        <v>15300</v>
      </c>
      <c r="E1027" t="s">
        <v>1146</v>
      </c>
      <c r="F1027">
        <v>2</v>
      </c>
      <c r="G1027">
        <v>12</v>
      </c>
      <c r="H1027">
        <v>9000</v>
      </c>
      <c r="I1027">
        <v>1</v>
      </c>
    </row>
    <row r="1028" spans="1:9" x14ac:dyDescent="0.3">
      <c r="A1028" t="s">
        <v>1140</v>
      </c>
      <c r="B1028" t="s">
        <v>65</v>
      </c>
      <c r="C1028">
        <v>1</v>
      </c>
      <c r="D1028">
        <v>16400</v>
      </c>
      <c r="E1028" t="s">
        <v>1146</v>
      </c>
      <c r="F1028">
        <v>4</v>
      </c>
      <c r="G1028">
        <v>12.7</v>
      </c>
      <c r="H1028">
        <v>0</v>
      </c>
      <c r="I1028">
        <v>1</v>
      </c>
    </row>
    <row r="1029" spans="1:9" x14ac:dyDescent="0.3">
      <c r="A1029" t="s">
        <v>1141</v>
      </c>
      <c r="B1029" t="s">
        <v>64</v>
      </c>
      <c r="C1029">
        <v>2</v>
      </c>
      <c r="D1029">
        <v>15900</v>
      </c>
      <c r="E1029" t="s">
        <v>1146</v>
      </c>
      <c r="F1029">
        <v>5</v>
      </c>
      <c r="G1029">
        <v>5.4</v>
      </c>
      <c r="H1029">
        <v>5100</v>
      </c>
      <c r="I1029">
        <v>1</v>
      </c>
    </row>
    <row r="1030" spans="1:9" x14ac:dyDescent="0.3">
      <c r="A1030" t="s">
        <v>1142</v>
      </c>
      <c r="B1030" t="s">
        <v>65</v>
      </c>
      <c r="C1030">
        <v>4</v>
      </c>
      <c r="D1030">
        <v>41300</v>
      </c>
      <c r="E1030" t="s">
        <v>1146</v>
      </c>
      <c r="F1030">
        <v>3</v>
      </c>
      <c r="G1030">
        <v>0.7</v>
      </c>
      <c r="H1030">
        <v>1300</v>
      </c>
      <c r="I1030">
        <v>1</v>
      </c>
    </row>
    <row r="1031" spans="1:9" x14ac:dyDescent="0.3">
      <c r="A1031" t="s">
        <v>1143</v>
      </c>
      <c r="B1031" t="s">
        <v>64</v>
      </c>
      <c r="C1031">
        <v>9</v>
      </c>
      <c r="D1031">
        <v>42500</v>
      </c>
      <c r="E1031" t="s">
        <v>1146</v>
      </c>
      <c r="F1031">
        <v>5</v>
      </c>
      <c r="G1031">
        <v>8.4</v>
      </c>
      <c r="H1031">
        <v>6000</v>
      </c>
      <c r="I1031">
        <v>1</v>
      </c>
    </row>
    <row r="1032" spans="1:9" x14ac:dyDescent="0.3">
      <c r="A1032" t="s">
        <v>1144</v>
      </c>
      <c r="B1032" t="s">
        <v>513</v>
      </c>
      <c r="C1032">
        <v>3</v>
      </c>
      <c r="D1032">
        <v>27300</v>
      </c>
      <c r="E1032" t="s">
        <v>1146</v>
      </c>
      <c r="F1032">
        <v>7</v>
      </c>
      <c r="G1032">
        <v>9.9</v>
      </c>
      <c r="H1032">
        <v>11200</v>
      </c>
      <c r="I1032">
        <v>1</v>
      </c>
    </row>
    <row r="1033" spans="1:9" x14ac:dyDescent="0.3">
      <c r="A1033" t="s">
        <v>1145</v>
      </c>
      <c r="B1033" t="s">
        <v>513</v>
      </c>
      <c r="C1033">
        <v>7</v>
      </c>
      <c r="D1033">
        <v>62300</v>
      </c>
      <c r="E1033" t="s">
        <v>1146</v>
      </c>
      <c r="F1033">
        <v>8</v>
      </c>
      <c r="G1033">
        <v>8.6999999999999993</v>
      </c>
      <c r="H1033">
        <v>0</v>
      </c>
      <c r="I1033">
        <v>1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2A5B4-5F11-4E1F-BD67-5904D9D06DED}">
  <dimension ref="A1:Q1033"/>
  <sheetViews>
    <sheetView tabSelected="1" workbookViewId="0">
      <selection activeCell="D6" sqref="D6"/>
    </sheetView>
  </sheetViews>
  <sheetFormatPr defaultRowHeight="14.4" x14ac:dyDescent="0.3"/>
  <cols>
    <col min="1" max="1" width="12.21875" bestFit="1" customWidth="1"/>
    <col min="2" max="2" width="11.21875" bestFit="1" customWidth="1"/>
    <col min="3" max="3" width="14.33203125" bestFit="1" customWidth="1"/>
    <col min="4" max="4" width="26" bestFit="1" customWidth="1"/>
    <col min="5" max="5" width="19.33203125" bestFit="1" customWidth="1"/>
    <col min="6" max="6" width="30.33203125" bestFit="1" customWidth="1"/>
    <col min="7" max="7" width="27.44140625" bestFit="1" customWidth="1"/>
    <col min="8" max="8" width="25" bestFit="1" customWidth="1"/>
    <col min="9" max="9" width="9.77734375" bestFit="1" customWidth="1"/>
    <col min="10" max="10" width="14.21875" bestFit="1" customWidth="1"/>
    <col min="11" max="11" width="16.6640625" bestFit="1" customWidth="1"/>
    <col min="12" max="12" width="8" bestFit="1" customWidth="1"/>
    <col min="13" max="13" width="5.33203125" bestFit="1" customWidth="1"/>
    <col min="14" max="14" width="9.6640625" bestFit="1" customWidth="1"/>
    <col min="15" max="15" width="13.21875" bestFit="1" customWidth="1"/>
    <col min="16" max="16" width="13.21875" customWidth="1"/>
    <col min="17" max="17" width="16.21875" bestFit="1" customWidth="1"/>
  </cols>
  <sheetData>
    <row r="1" spans="1:17" s="2" customFormat="1" x14ac:dyDescent="0.3">
      <c r="A1" s="2" t="s">
        <v>1161</v>
      </c>
      <c r="B1" s="2" t="s">
        <v>21</v>
      </c>
      <c r="C1" s="2" t="s">
        <v>18</v>
      </c>
      <c r="D1" s="2" t="s">
        <v>22</v>
      </c>
      <c r="E1" s="2" t="s">
        <v>1147</v>
      </c>
      <c r="F1" s="2" t="s">
        <v>1160</v>
      </c>
      <c r="G1" s="2" t="s">
        <v>1149</v>
      </c>
      <c r="H1" s="2" t="s">
        <v>1150</v>
      </c>
      <c r="I1" s="2" t="s">
        <v>27</v>
      </c>
      <c r="J1" s="2" t="s">
        <v>1152</v>
      </c>
      <c r="K1" s="2" t="s">
        <v>1153</v>
      </c>
      <c r="L1" s="2" t="s">
        <v>1154</v>
      </c>
      <c r="M1" s="2" t="s">
        <v>1159</v>
      </c>
      <c r="N1" s="2" t="s">
        <v>1155</v>
      </c>
      <c r="O1" s="2" t="s">
        <v>1156</v>
      </c>
      <c r="P1" s="2" t="s">
        <v>1158</v>
      </c>
      <c r="Q1" s="2" t="s">
        <v>1157</v>
      </c>
    </row>
    <row r="2" spans="1:17" x14ac:dyDescent="0.3">
      <c r="A2" t="s">
        <v>567</v>
      </c>
      <c r="B2" t="s">
        <v>513</v>
      </c>
      <c r="C2">
        <v>9</v>
      </c>
      <c r="D2">
        <v>21500</v>
      </c>
      <c r="E2" t="s">
        <v>67</v>
      </c>
      <c r="F2">
        <v>79</v>
      </c>
      <c r="G2">
        <v>3</v>
      </c>
      <c r="H2">
        <v>13900</v>
      </c>
      <c r="I2">
        <v>0</v>
      </c>
      <c r="J2">
        <f>1</f>
        <v>1</v>
      </c>
      <c r="K2">
        <v>1</v>
      </c>
      <c r="L2">
        <v>0</v>
      </c>
      <c r="M2">
        <f t="shared" ref="M2:M65" ca="1" si="0">RAND()</f>
        <v>1.3867460784269592E-2</v>
      </c>
      <c r="N2">
        <v>0</v>
      </c>
      <c r="O2">
        <f>1</f>
        <v>1</v>
      </c>
      <c r="P2">
        <f t="shared" ref="P2:P65" ca="1" si="1">IF(L2=0,RAND(),"")</f>
        <v>0.8952753943691919</v>
      </c>
      <c r="Q2">
        <f>IF(OR(L2=1,O2=1), 0,1)</f>
        <v>0</v>
      </c>
    </row>
    <row r="3" spans="1:17" x14ac:dyDescent="0.3">
      <c r="A3" t="s">
        <v>988</v>
      </c>
      <c r="B3" t="s">
        <v>62</v>
      </c>
      <c r="C3">
        <v>10</v>
      </c>
      <c r="D3">
        <v>82100</v>
      </c>
      <c r="E3" t="s">
        <v>1146</v>
      </c>
      <c r="F3">
        <v>4</v>
      </c>
      <c r="G3">
        <v>2.8</v>
      </c>
      <c r="H3">
        <v>4200</v>
      </c>
      <c r="I3">
        <v>1</v>
      </c>
      <c r="J3">
        <f>1</f>
        <v>1</v>
      </c>
      <c r="K3">
        <v>1</v>
      </c>
      <c r="L3">
        <v>0</v>
      </c>
      <c r="M3">
        <f t="shared" ca="1" si="0"/>
        <v>0.79722330416558473</v>
      </c>
      <c r="N3">
        <v>0</v>
      </c>
      <c r="O3">
        <f>1</f>
        <v>1</v>
      </c>
      <c r="P3">
        <f t="shared" ca="1" si="1"/>
        <v>0.87414786919204435</v>
      </c>
      <c r="Q3">
        <f t="shared" ref="Q3:Q66" si="2">IF(OR(L3=1,O3=1), 0,1)</f>
        <v>0</v>
      </c>
    </row>
    <row r="4" spans="1:17" x14ac:dyDescent="0.3">
      <c r="A4" t="s">
        <v>1068</v>
      </c>
      <c r="B4" t="s">
        <v>64</v>
      </c>
      <c r="C4">
        <v>7</v>
      </c>
      <c r="D4">
        <v>40500</v>
      </c>
      <c r="E4" t="s">
        <v>1146</v>
      </c>
      <c r="F4">
        <v>4</v>
      </c>
      <c r="G4">
        <v>10.8</v>
      </c>
      <c r="H4">
        <v>0</v>
      </c>
      <c r="I4">
        <v>1</v>
      </c>
      <c r="J4">
        <f>1</f>
        <v>1</v>
      </c>
      <c r="K4">
        <v>1</v>
      </c>
      <c r="L4">
        <v>0</v>
      </c>
      <c r="M4">
        <f t="shared" ca="1" si="0"/>
        <v>0.61137205720341259</v>
      </c>
      <c r="N4">
        <v>0</v>
      </c>
      <c r="O4">
        <f>1</f>
        <v>1</v>
      </c>
      <c r="P4">
        <f t="shared" ca="1" si="1"/>
        <v>0.71500652080206129</v>
      </c>
      <c r="Q4">
        <f t="shared" si="2"/>
        <v>0</v>
      </c>
    </row>
    <row r="5" spans="1:17" x14ac:dyDescent="0.3">
      <c r="A5" t="s">
        <v>351</v>
      </c>
      <c r="B5" t="s">
        <v>65</v>
      </c>
      <c r="C5">
        <v>5</v>
      </c>
      <c r="D5">
        <v>29900</v>
      </c>
      <c r="E5" t="s">
        <v>67</v>
      </c>
      <c r="F5">
        <v>60</v>
      </c>
      <c r="G5">
        <v>10.3</v>
      </c>
      <c r="H5">
        <v>3700</v>
      </c>
      <c r="I5">
        <v>0</v>
      </c>
      <c r="J5">
        <f>1</f>
        <v>1</v>
      </c>
      <c r="K5">
        <v>1</v>
      </c>
      <c r="L5">
        <v>0</v>
      </c>
      <c r="M5">
        <f t="shared" ca="1" si="0"/>
        <v>0.76985277293572552</v>
      </c>
      <c r="N5">
        <v>0</v>
      </c>
      <c r="O5">
        <f>1</f>
        <v>1</v>
      </c>
      <c r="P5">
        <f t="shared" ca="1" si="1"/>
        <v>0.44384432968662968</v>
      </c>
      <c r="Q5">
        <f t="shared" si="2"/>
        <v>0</v>
      </c>
    </row>
    <row r="6" spans="1:17" x14ac:dyDescent="0.3">
      <c r="A6" t="s">
        <v>420</v>
      </c>
      <c r="B6" t="s">
        <v>64</v>
      </c>
      <c r="C6">
        <v>3</v>
      </c>
      <c r="D6">
        <v>41800</v>
      </c>
      <c r="E6" t="s">
        <v>67</v>
      </c>
      <c r="F6">
        <v>87</v>
      </c>
      <c r="G6">
        <v>8.3000000000000007</v>
      </c>
      <c r="H6">
        <v>0</v>
      </c>
      <c r="I6">
        <v>0</v>
      </c>
      <c r="J6">
        <f>1</f>
        <v>1</v>
      </c>
      <c r="K6">
        <v>1</v>
      </c>
      <c r="L6">
        <v>0</v>
      </c>
      <c r="M6">
        <f t="shared" ca="1" si="0"/>
        <v>0.61813712225002471</v>
      </c>
      <c r="N6">
        <v>0</v>
      </c>
      <c r="O6">
        <f>1</f>
        <v>1</v>
      </c>
      <c r="P6">
        <f t="shared" ca="1" si="1"/>
        <v>7.5247861235357427E-2</v>
      </c>
      <c r="Q6">
        <f t="shared" si="2"/>
        <v>0</v>
      </c>
    </row>
    <row r="7" spans="1:17" x14ac:dyDescent="0.3">
      <c r="A7" t="s">
        <v>1064</v>
      </c>
      <c r="B7" t="s">
        <v>65</v>
      </c>
      <c r="C7">
        <v>9</v>
      </c>
      <c r="D7">
        <v>28500</v>
      </c>
      <c r="E7" t="s">
        <v>1146</v>
      </c>
      <c r="F7">
        <v>5</v>
      </c>
      <c r="G7">
        <v>6.3</v>
      </c>
      <c r="H7">
        <v>3700</v>
      </c>
      <c r="I7">
        <v>1</v>
      </c>
      <c r="J7">
        <f>1</f>
        <v>1</v>
      </c>
      <c r="K7">
        <v>1</v>
      </c>
      <c r="L7">
        <v>0</v>
      </c>
      <c r="M7">
        <f t="shared" ca="1" si="0"/>
        <v>0.17932885949951483</v>
      </c>
      <c r="N7">
        <v>0</v>
      </c>
      <c r="O7">
        <f>1</f>
        <v>1</v>
      </c>
      <c r="P7">
        <f t="shared" ca="1" si="1"/>
        <v>0.45813994106344302</v>
      </c>
      <c r="Q7">
        <f t="shared" si="2"/>
        <v>0</v>
      </c>
    </row>
    <row r="8" spans="1:17" x14ac:dyDescent="0.3">
      <c r="A8" t="s">
        <v>121</v>
      </c>
      <c r="B8" t="s">
        <v>62</v>
      </c>
      <c r="C8">
        <v>8</v>
      </c>
      <c r="D8">
        <v>44200</v>
      </c>
      <c r="E8" t="s">
        <v>66</v>
      </c>
      <c r="F8">
        <v>28</v>
      </c>
      <c r="G8">
        <v>5.3</v>
      </c>
      <c r="H8">
        <v>3600</v>
      </c>
      <c r="I8">
        <v>0</v>
      </c>
      <c r="J8">
        <f>1</f>
        <v>1</v>
      </c>
      <c r="K8">
        <v>1</v>
      </c>
      <c r="L8">
        <v>0</v>
      </c>
      <c r="M8">
        <f t="shared" ca="1" si="0"/>
        <v>0.14411199125727925</v>
      </c>
      <c r="N8">
        <v>0</v>
      </c>
      <c r="O8">
        <f>1</f>
        <v>1</v>
      </c>
      <c r="P8">
        <f t="shared" ca="1" si="1"/>
        <v>0.74507573627829948</v>
      </c>
      <c r="Q8">
        <f t="shared" si="2"/>
        <v>0</v>
      </c>
    </row>
    <row r="9" spans="1:17" x14ac:dyDescent="0.3">
      <c r="A9" t="s">
        <v>516</v>
      </c>
      <c r="B9" t="s">
        <v>64</v>
      </c>
      <c r="C9">
        <v>7</v>
      </c>
      <c r="D9">
        <v>42600</v>
      </c>
      <c r="E9" t="s">
        <v>66</v>
      </c>
      <c r="F9">
        <v>62</v>
      </c>
      <c r="G9">
        <v>8.6</v>
      </c>
      <c r="H9">
        <v>2400</v>
      </c>
      <c r="I9">
        <v>0</v>
      </c>
      <c r="J9">
        <f>1</f>
        <v>1</v>
      </c>
      <c r="K9">
        <v>1</v>
      </c>
      <c r="L9">
        <v>0</v>
      </c>
      <c r="M9">
        <f t="shared" ca="1" si="0"/>
        <v>0.17753832203999664</v>
      </c>
      <c r="N9">
        <v>0</v>
      </c>
      <c r="O9">
        <f>1</f>
        <v>1</v>
      </c>
      <c r="P9">
        <f t="shared" ca="1" si="1"/>
        <v>0.92610146769479962</v>
      </c>
      <c r="Q9">
        <f t="shared" si="2"/>
        <v>0</v>
      </c>
    </row>
    <row r="10" spans="1:17" x14ac:dyDescent="0.3">
      <c r="A10" t="s">
        <v>613</v>
      </c>
      <c r="B10" t="s">
        <v>64</v>
      </c>
      <c r="C10">
        <v>5</v>
      </c>
      <c r="D10">
        <v>42700</v>
      </c>
      <c r="E10" t="s">
        <v>68</v>
      </c>
      <c r="F10">
        <v>25</v>
      </c>
      <c r="G10">
        <v>0.4</v>
      </c>
      <c r="H10">
        <v>3800</v>
      </c>
      <c r="I10">
        <v>0</v>
      </c>
      <c r="J10">
        <f>1</f>
        <v>1</v>
      </c>
      <c r="K10">
        <v>1</v>
      </c>
      <c r="L10">
        <v>0</v>
      </c>
      <c r="M10">
        <f t="shared" ca="1" si="0"/>
        <v>0.51915832706478116</v>
      </c>
      <c r="N10">
        <v>0</v>
      </c>
      <c r="O10">
        <f>1</f>
        <v>1</v>
      </c>
      <c r="P10">
        <f t="shared" ca="1" si="1"/>
        <v>0.2164436967137936</v>
      </c>
      <c r="Q10">
        <f t="shared" si="2"/>
        <v>0</v>
      </c>
    </row>
    <row r="11" spans="1:17" x14ac:dyDescent="0.3">
      <c r="A11" t="s">
        <v>531</v>
      </c>
      <c r="B11" t="s">
        <v>64</v>
      </c>
      <c r="C11">
        <v>6</v>
      </c>
      <c r="D11">
        <v>60400</v>
      </c>
      <c r="E11" t="s">
        <v>66</v>
      </c>
      <c r="F11">
        <v>68</v>
      </c>
      <c r="G11">
        <v>6.5</v>
      </c>
      <c r="H11">
        <v>1800</v>
      </c>
      <c r="I11">
        <v>0</v>
      </c>
      <c r="J11">
        <f>1</f>
        <v>1</v>
      </c>
      <c r="K11">
        <v>1</v>
      </c>
      <c r="L11">
        <v>0</v>
      </c>
      <c r="M11">
        <f t="shared" ca="1" si="0"/>
        <v>0.6634169648309346</v>
      </c>
      <c r="N11">
        <v>0</v>
      </c>
      <c r="O11">
        <f>1</f>
        <v>1</v>
      </c>
      <c r="P11">
        <f t="shared" ca="1" si="1"/>
        <v>0.61186436831855717</v>
      </c>
      <c r="Q11">
        <f t="shared" si="2"/>
        <v>0</v>
      </c>
    </row>
    <row r="12" spans="1:17" x14ac:dyDescent="0.3">
      <c r="A12" t="s">
        <v>636</v>
      </c>
      <c r="B12" t="s">
        <v>64</v>
      </c>
      <c r="C12">
        <v>4</v>
      </c>
      <c r="D12">
        <v>57600</v>
      </c>
      <c r="E12" t="s">
        <v>1146</v>
      </c>
      <c r="F12">
        <v>7</v>
      </c>
      <c r="G12">
        <v>11.9</v>
      </c>
      <c r="H12">
        <v>11600</v>
      </c>
      <c r="I12">
        <v>1</v>
      </c>
      <c r="J12">
        <f>1</f>
        <v>1</v>
      </c>
      <c r="K12">
        <v>1</v>
      </c>
      <c r="L12">
        <v>0</v>
      </c>
      <c r="M12">
        <f t="shared" ca="1" si="0"/>
        <v>0.43781843289435129</v>
      </c>
      <c r="N12">
        <v>0</v>
      </c>
      <c r="O12">
        <f>1</f>
        <v>1</v>
      </c>
      <c r="P12">
        <f t="shared" ca="1" si="1"/>
        <v>0.24748410411858834</v>
      </c>
      <c r="Q12">
        <f t="shared" si="2"/>
        <v>0</v>
      </c>
    </row>
    <row r="13" spans="1:17" x14ac:dyDescent="0.3">
      <c r="A13" t="s">
        <v>931</v>
      </c>
      <c r="B13" t="s">
        <v>513</v>
      </c>
      <c r="C13">
        <v>3</v>
      </c>
      <c r="D13">
        <v>8800</v>
      </c>
      <c r="E13" t="s">
        <v>1146</v>
      </c>
      <c r="F13">
        <v>8</v>
      </c>
      <c r="G13">
        <v>7.8</v>
      </c>
      <c r="H13">
        <v>4100</v>
      </c>
      <c r="I13">
        <v>1</v>
      </c>
      <c r="J13">
        <f>1</f>
        <v>1</v>
      </c>
      <c r="K13">
        <v>1</v>
      </c>
      <c r="L13">
        <v>0</v>
      </c>
      <c r="M13">
        <f t="shared" ca="1" si="0"/>
        <v>0.17688945515633958</v>
      </c>
      <c r="N13">
        <v>0</v>
      </c>
      <c r="O13">
        <f>1</f>
        <v>1</v>
      </c>
      <c r="P13">
        <f t="shared" ca="1" si="1"/>
        <v>0.99225741576257531</v>
      </c>
      <c r="Q13">
        <f t="shared" si="2"/>
        <v>0</v>
      </c>
    </row>
    <row r="14" spans="1:17" x14ac:dyDescent="0.3">
      <c r="A14" t="s">
        <v>699</v>
      </c>
      <c r="B14" t="s">
        <v>65</v>
      </c>
      <c r="C14">
        <v>4</v>
      </c>
      <c r="D14">
        <v>65700</v>
      </c>
      <c r="E14" t="s">
        <v>1146</v>
      </c>
      <c r="F14">
        <v>5</v>
      </c>
      <c r="G14">
        <v>10</v>
      </c>
      <c r="H14">
        <v>4500</v>
      </c>
      <c r="I14">
        <v>1</v>
      </c>
      <c r="J14">
        <f>1</f>
        <v>1</v>
      </c>
      <c r="K14">
        <v>1</v>
      </c>
      <c r="L14">
        <v>0</v>
      </c>
      <c r="M14">
        <f t="shared" ca="1" si="0"/>
        <v>0.9077260302183312</v>
      </c>
      <c r="N14">
        <v>0</v>
      </c>
      <c r="O14">
        <f>1</f>
        <v>1</v>
      </c>
      <c r="P14">
        <f t="shared" ca="1" si="1"/>
        <v>0.38111397854604934</v>
      </c>
      <c r="Q14">
        <f t="shared" si="2"/>
        <v>0</v>
      </c>
    </row>
    <row r="15" spans="1:17" x14ac:dyDescent="0.3">
      <c r="A15" t="s">
        <v>983</v>
      </c>
      <c r="B15" t="s">
        <v>62</v>
      </c>
      <c r="C15">
        <v>7</v>
      </c>
      <c r="D15">
        <v>42700</v>
      </c>
      <c r="E15" t="s">
        <v>1146</v>
      </c>
      <c r="F15">
        <v>1</v>
      </c>
      <c r="G15">
        <v>3.9</v>
      </c>
      <c r="H15">
        <v>2000</v>
      </c>
      <c r="I15">
        <v>1</v>
      </c>
      <c r="J15">
        <f>1</f>
        <v>1</v>
      </c>
      <c r="K15">
        <v>1</v>
      </c>
      <c r="L15">
        <v>0</v>
      </c>
      <c r="M15">
        <f t="shared" ca="1" si="0"/>
        <v>0.49018300389062697</v>
      </c>
      <c r="N15">
        <v>0</v>
      </c>
      <c r="O15">
        <f>1</f>
        <v>1</v>
      </c>
      <c r="P15">
        <f t="shared" ca="1" si="1"/>
        <v>0.1325438566930256</v>
      </c>
      <c r="Q15">
        <f t="shared" si="2"/>
        <v>0</v>
      </c>
    </row>
    <row r="16" spans="1:17" x14ac:dyDescent="0.3">
      <c r="A16" t="s">
        <v>1128</v>
      </c>
      <c r="B16" t="s">
        <v>65</v>
      </c>
      <c r="C16">
        <v>2</v>
      </c>
      <c r="D16">
        <v>33700</v>
      </c>
      <c r="E16" t="s">
        <v>1146</v>
      </c>
      <c r="F16">
        <v>2</v>
      </c>
      <c r="G16">
        <v>11</v>
      </c>
      <c r="H16">
        <v>0</v>
      </c>
      <c r="I16">
        <v>1</v>
      </c>
      <c r="J16">
        <f>1</f>
        <v>1</v>
      </c>
      <c r="K16">
        <v>1</v>
      </c>
      <c r="L16">
        <v>0</v>
      </c>
      <c r="M16">
        <f t="shared" ca="1" si="0"/>
        <v>0.45481934903433707</v>
      </c>
      <c r="N16">
        <v>0</v>
      </c>
      <c r="O16">
        <f>1</f>
        <v>1</v>
      </c>
      <c r="P16">
        <f t="shared" ca="1" si="1"/>
        <v>0.76590586696613694</v>
      </c>
      <c r="Q16">
        <f t="shared" si="2"/>
        <v>0</v>
      </c>
    </row>
    <row r="17" spans="1:17" x14ac:dyDescent="0.3">
      <c r="A17" t="s">
        <v>639</v>
      </c>
      <c r="B17" t="s">
        <v>65</v>
      </c>
      <c r="C17">
        <v>4</v>
      </c>
      <c r="D17">
        <v>33300</v>
      </c>
      <c r="E17" t="s">
        <v>1146</v>
      </c>
      <c r="F17">
        <v>10</v>
      </c>
      <c r="G17">
        <v>5.8</v>
      </c>
      <c r="H17">
        <v>0</v>
      </c>
      <c r="I17">
        <v>1</v>
      </c>
      <c r="J17">
        <f>1</f>
        <v>1</v>
      </c>
      <c r="K17">
        <v>1</v>
      </c>
      <c r="L17">
        <v>0</v>
      </c>
      <c r="M17">
        <f t="shared" ca="1" si="0"/>
        <v>0.45805521107205038</v>
      </c>
      <c r="N17">
        <v>0</v>
      </c>
      <c r="O17">
        <f>1</f>
        <v>1</v>
      </c>
      <c r="P17">
        <f t="shared" ca="1" si="1"/>
        <v>5.1151096230895532E-2</v>
      </c>
      <c r="Q17">
        <f t="shared" si="2"/>
        <v>0</v>
      </c>
    </row>
    <row r="18" spans="1:17" x14ac:dyDescent="0.3">
      <c r="A18" t="s">
        <v>410</v>
      </c>
      <c r="B18" t="s">
        <v>65</v>
      </c>
      <c r="C18">
        <v>9</v>
      </c>
      <c r="D18">
        <v>25300</v>
      </c>
      <c r="E18" t="s">
        <v>66</v>
      </c>
      <c r="F18">
        <v>67</v>
      </c>
      <c r="G18">
        <v>11.7</v>
      </c>
      <c r="H18">
        <v>11400</v>
      </c>
      <c r="I18">
        <v>0</v>
      </c>
      <c r="J18">
        <f>1</f>
        <v>1</v>
      </c>
      <c r="K18">
        <v>1</v>
      </c>
      <c r="L18">
        <v>0</v>
      </c>
      <c r="M18">
        <f t="shared" ca="1" si="0"/>
        <v>0.19424944833849345</v>
      </c>
      <c r="N18">
        <v>0</v>
      </c>
      <c r="O18">
        <f>1</f>
        <v>1</v>
      </c>
      <c r="P18">
        <f t="shared" ca="1" si="1"/>
        <v>0.88598884483169016</v>
      </c>
      <c r="Q18">
        <f t="shared" si="2"/>
        <v>0</v>
      </c>
    </row>
    <row r="19" spans="1:17" x14ac:dyDescent="0.3">
      <c r="A19" t="s">
        <v>378</v>
      </c>
      <c r="B19" t="s">
        <v>65</v>
      </c>
      <c r="C19">
        <v>7</v>
      </c>
      <c r="D19">
        <v>77500</v>
      </c>
      <c r="E19" t="s">
        <v>69</v>
      </c>
      <c r="F19">
        <v>48</v>
      </c>
      <c r="G19">
        <v>3.4</v>
      </c>
      <c r="H19">
        <v>8500</v>
      </c>
      <c r="I19">
        <v>0</v>
      </c>
      <c r="J19">
        <f>1</f>
        <v>1</v>
      </c>
      <c r="K19">
        <v>1</v>
      </c>
      <c r="L19">
        <v>0</v>
      </c>
      <c r="M19">
        <f t="shared" ca="1" si="0"/>
        <v>0.334281257557411</v>
      </c>
      <c r="N19">
        <v>0</v>
      </c>
      <c r="O19">
        <f>1</f>
        <v>1</v>
      </c>
      <c r="P19">
        <f t="shared" ca="1" si="1"/>
        <v>3.8729157718799145E-2</v>
      </c>
      <c r="Q19">
        <f t="shared" si="2"/>
        <v>0</v>
      </c>
    </row>
    <row r="20" spans="1:17" x14ac:dyDescent="0.3">
      <c r="A20" t="s">
        <v>1134</v>
      </c>
      <c r="B20" t="s">
        <v>513</v>
      </c>
      <c r="C20">
        <v>2</v>
      </c>
      <c r="D20">
        <v>52100</v>
      </c>
      <c r="E20" t="s">
        <v>1146</v>
      </c>
      <c r="F20">
        <v>4</v>
      </c>
      <c r="G20">
        <v>14.2</v>
      </c>
      <c r="H20">
        <v>1000</v>
      </c>
      <c r="I20">
        <v>1</v>
      </c>
      <c r="J20">
        <f>1</f>
        <v>1</v>
      </c>
      <c r="K20">
        <v>1</v>
      </c>
      <c r="L20">
        <v>0</v>
      </c>
      <c r="M20">
        <f t="shared" ca="1" si="0"/>
        <v>0.36714685204463549</v>
      </c>
      <c r="N20">
        <v>0</v>
      </c>
      <c r="O20">
        <f>1</f>
        <v>1</v>
      </c>
      <c r="P20">
        <f t="shared" ca="1" si="1"/>
        <v>8.2178463655465661E-2</v>
      </c>
      <c r="Q20">
        <f t="shared" si="2"/>
        <v>0</v>
      </c>
    </row>
    <row r="21" spans="1:17" x14ac:dyDescent="0.3">
      <c r="A21" t="s">
        <v>946</v>
      </c>
      <c r="B21" t="s">
        <v>65</v>
      </c>
      <c r="C21">
        <v>6</v>
      </c>
      <c r="D21">
        <v>11700</v>
      </c>
      <c r="E21" t="s">
        <v>1146</v>
      </c>
      <c r="F21">
        <v>6</v>
      </c>
      <c r="G21">
        <v>7.5</v>
      </c>
      <c r="H21">
        <v>1500</v>
      </c>
      <c r="I21">
        <v>1</v>
      </c>
      <c r="J21">
        <f>1</f>
        <v>1</v>
      </c>
      <c r="K21">
        <v>1</v>
      </c>
      <c r="L21">
        <v>0</v>
      </c>
      <c r="M21">
        <f t="shared" ca="1" si="0"/>
        <v>0.32547776657832761</v>
      </c>
      <c r="N21">
        <v>0</v>
      </c>
      <c r="O21">
        <f>1</f>
        <v>1</v>
      </c>
      <c r="P21">
        <f t="shared" ca="1" si="1"/>
        <v>0.66357408377413007</v>
      </c>
      <c r="Q21">
        <f t="shared" si="2"/>
        <v>0</v>
      </c>
    </row>
    <row r="22" spans="1:17" x14ac:dyDescent="0.3">
      <c r="A22" t="s">
        <v>753</v>
      </c>
      <c r="B22" t="s">
        <v>513</v>
      </c>
      <c r="C22">
        <v>4</v>
      </c>
      <c r="D22">
        <v>26300</v>
      </c>
      <c r="E22" t="s">
        <v>1146</v>
      </c>
      <c r="F22">
        <v>5</v>
      </c>
      <c r="G22">
        <v>5.2</v>
      </c>
      <c r="H22">
        <v>9300</v>
      </c>
      <c r="I22">
        <v>1</v>
      </c>
      <c r="J22">
        <f>1</f>
        <v>1</v>
      </c>
      <c r="K22">
        <v>1</v>
      </c>
      <c r="L22">
        <v>0</v>
      </c>
      <c r="M22">
        <f t="shared" ca="1" si="0"/>
        <v>0.9849069784524076</v>
      </c>
      <c r="N22">
        <v>0</v>
      </c>
      <c r="O22">
        <f>1</f>
        <v>1</v>
      </c>
      <c r="P22">
        <f t="shared" ca="1" si="1"/>
        <v>0.93695935162878663</v>
      </c>
      <c r="Q22">
        <f t="shared" si="2"/>
        <v>0</v>
      </c>
    </row>
    <row r="23" spans="1:17" x14ac:dyDescent="0.3">
      <c r="A23" t="s">
        <v>686</v>
      </c>
      <c r="B23" t="s">
        <v>513</v>
      </c>
      <c r="C23">
        <v>8</v>
      </c>
      <c r="D23">
        <v>62300</v>
      </c>
      <c r="E23" t="s">
        <v>66</v>
      </c>
      <c r="F23">
        <v>34</v>
      </c>
      <c r="G23">
        <v>15</v>
      </c>
      <c r="H23">
        <v>8700</v>
      </c>
      <c r="I23">
        <v>1</v>
      </c>
      <c r="J23">
        <f>1</f>
        <v>1</v>
      </c>
      <c r="K23">
        <v>1</v>
      </c>
      <c r="L23">
        <v>0</v>
      </c>
      <c r="M23">
        <f t="shared" ca="1" si="0"/>
        <v>0.20927440763261373</v>
      </c>
      <c r="N23">
        <v>0</v>
      </c>
      <c r="O23">
        <f>1</f>
        <v>1</v>
      </c>
      <c r="P23">
        <f t="shared" ca="1" si="1"/>
        <v>0.20466978761657051</v>
      </c>
      <c r="Q23">
        <f t="shared" si="2"/>
        <v>0</v>
      </c>
    </row>
    <row r="24" spans="1:17" x14ac:dyDescent="0.3">
      <c r="A24" t="s">
        <v>655</v>
      </c>
      <c r="B24" t="s">
        <v>62</v>
      </c>
      <c r="C24">
        <v>4</v>
      </c>
      <c r="D24">
        <v>63500</v>
      </c>
      <c r="E24" t="s">
        <v>1146</v>
      </c>
      <c r="F24">
        <v>3</v>
      </c>
      <c r="G24">
        <v>7.1</v>
      </c>
      <c r="H24">
        <v>7700</v>
      </c>
      <c r="I24">
        <v>1</v>
      </c>
      <c r="J24">
        <f>1</f>
        <v>1</v>
      </c>
      <c r="K24">
        <v>1</v>
      </c>
      <c r="L24">
        <v>0</v>
      </c>
      <c r="M24">
        <f t="shared" ca="1" si="0"/>
        <v>0.66488327202265973</v>
      </c>
      <c r="N24">
        <v>0</v>
      </c>
      <c r="O24">
        <f>1</f>
        <v>1</v>
      </c>
      <c r="P24">
        <f t="shared" ca="1" si="1"/>
        <v>0.41864332219838718</v>
      </c>
      <c r="Q24">
        <f t="shared" si="2"/>
        <v>0</v>
      </c>
    </row>
    <row r="25" spans="1:17" x14ac:dyDescent="0.3">
      <c r="A25" t="s">
        <v>1066</v>
      </c>
      <c r="B25" t="s">
        <v>65</v>
      </c>
      <c r="C25">
        <v>6</v>
      </c>
      <c r="D25">
        <v>86200</v>
      </c>
      <c r="E25" t="s">
        <v>1146</v>
      </c>
      <c r="F25">
        <v>6</v>
      </c>
      <c r="G25">
        <v>8.9</v>
      </c>
      <c r="H25">
        <v>8800</v>
      </c>
      <c r="I25">
        <v>1</v>
      </c>
      <c r="J25">
        <f>1</f>
        <v>1</v>
      </c>
      <c r="K25">
        <v>1</v>
      </c>
      <c r="L25">
        <v>0</v>
      </c>
      <c r="M25">
        <f t="shared" ca="1" si="0"/>
        <v>0.77400862276243831</v>
      </c>
      <c r="N25">
        <v>0</v>
      </c>
      <c r="O25">
        <f>1</f>
        <v>1</v>
      </c>
      <c r="P25">
        <f t="shared" ca="1" si="1"/>
        <v>0.16183722515293608</v>
      </c>
      <c r="Q25">
        <f t="shared" si="2"/>
        <v>0</v>
      </c>
    </row>
    <row r="26" spans="1:17" x14ac:dyDescent="0.3">
      <c r="A26" t="s">
        <v>846</v>
      </c>
      <c r="B26" t="s">
        <v>65</v>
      </c>
      <c r="C26">
        <v>3</v>
      </c>
      <c r="D26">
        <v>39600</v>
      </c>
      <c r="E26" t="s">
        <v>1146</v>
      </c>
      <c r="F26">
        <v>1</v>
      </c>
      <c r="G26">
        <v>3.8</v>
      </c>
      <c r="H26">
        <v>200</v>
      </c>
      <c r="I26">
        <v>1</v>
      </c>
      <c r="J26">
        <f>1</f>
        <v>1</v>
      </c>
      <c r="K26">
        <v>1</v>
      </c>
      <c r="L26">
        <v>0</v>
      </c>
      <c r="M26">
        <f t="shared" ca="1" si="0"/>
        <v>0.58899561328918559</v>
      </c>
      <c r="N26">
        <v>0</v>
      </c>
      <c r="O26">
        <f>1</f>
        <v>1</v>
      </c>
      <c r="P26">
        <f t="shared" ca="1" si="1"/>
        <v>0.27896063330518828</v>
      </c>
      <c r="Q26">
        <f t="shared" si="2"/>
        <v>0</v>
      </c>
    </row>
    <row r="27" spans="1:17" x14ac:dyDescent="0.3">
      <c r="A27" t="s">
        <v>450</v>
      </c>
      <c r="B27" t="s">
        <v>65</v>
      </c>
      <c r="C27">
        <v>5</v>
      </c>
      <c r="D27">
        <v>32300</v>
      </c>
      <c r="E27" t="s">
        <v>68</v>
      </c>
      <c r="F27">
        <v>64</v>
      </c>
      <c r="G27">
        <v>7.1</v>
      </c>
      <c r="H27">
        <v>4800</v>
      </c>
      <c r="I27">
        <v>0</v>
      </c>
      <c r="J27">
        <f>1</f>
        <v>1</v>
      </c>
      <c r="K27">
        <v>1</v>
      </c>
      <c r="L27">
        <v>0</v>
      </c>
      <c r="M27">
        <f t="shared" ca="1" si="0"/>
        <v>0.41664904752894905</v>
      </c>
      <c r="N27">
        <v>0</v>
      </c>
      <c r="O27">
        <f>1</f>
        <v>1</v>
      </c>
      <c r="P27">
        <f t="shared" ca="1" si="1"/>
        <v>0.24901378345445924</v>
      </c>
      <c r="Q27">
        <f t="shared" si="2"/>
        <v>0</v>
      </c>
    </row>
    <row r="28" spans="1:17" x14ac:dyDescent="0.3">
      <c r="A28" t="s">
        <v>682</v>
      </c>
      <c r="B28" t="s">
        <v>65</v>
      </c>
      <c r="C28">
        <v>3</v>
      </c>
      <c r="D28">
        <v>54400</v>
      </c>
      <c r="E28" t="s">
        <v>1146</v>
      </c>
      <c r="F28">
        <v>10</v>
      </c>
      <c r="G28">
        <v>2.2999999999999998</v>
      </c>
      <c r="H28">
        <v>11900</v>
      </c>
      <c r="I28">
        <v>1</v>
      </c>
      <c r="J28">
        <f>1</f>
        <v>1</v>
      </c>
      <c r="K28">
        <v>1</v>
      </c>
      <c r="L28">
        <v>0</v>
      </c>
      <c r="M28">
        <f t="shared" ca="1" si="0"/>
        <v>0.33640207029058644</v>
      </c>
      <c r="N28">
        <v>0</v>
      </c>
      <c r="O28">
        <f>1</f>
        <v>1</v>
      </c>
      <c r="P28">
        <f t="shared" ca="1" si="1"/>
        <v>0.15316821884724341</v>
      </c>
      <c r="Q28">
        <f t="shared" si="2"/>
        <v>0</v>
      </c>
    </row>
    <row r="29" spans="1:17" x14ac:dyDescent="0.3">
      <c r="A29" t="s">
        <v>601</v>
      </c>
      <c r="B29" t="s">
        <v>62</v>
      </c>
      <c r="C29">
        <v>9</v>
      </c>
      <c r="D29">
        <v>73900</v>
      </c>
      <c r="E29" t="s">
        <v>69</v>
      </c>
      <c r="F29">
        <v>33</v>
      </c>
      <c r="G29">
        <v>4.5</v>
      </c>
      <c r="H29">
        <v>2600</v>
      </c>
      <c r="I29">
        <v>0</v>
      </c>
      <c r="J29">
        <f>1</f>
        <v>1</v>
      </c>
      <c r="K29">
        <v>1</v>
      </c>
      <c r="L29">
        <v>0</v>
      </c>
      <c r="M29">
        <f t="shared" ca="1" si="0"/>
        <v>0.90825839564387167</v>
      </c>
      <c r="N29">
        <v>0</v>
      </c>
      <c r="O29">
        <f>1</f>
        <v>1</v>
      </c>
      <c r="P29">
        <f t="shared" ca="1" si="1"/>
        <v>0.26938888566937125</v>
      </c>
      <c r="Q29">
        <f t="shared" si="2"/>
        <v>0</v>
      </c>
    </row>
    <row r="30" spans="1:17" x14ac:dyDescent="0.3">
      <c r="A30" t="s">
        <v>607</v>
      </c>
      <c r="B30" t="s">
        <v>64</v>
      </c>
      <c r="C30">
        <v>9</v>
      </c>
      <c r="D30">
        <v>81000</v>
      </c>
      <c r="E30" t="s">
        <v>66</v>
      </c>
      <c r="F30">
        <v>21</v>
      </c>
      <c r="G30">
        <v>1</v>
      </c>
      <c r="H30">
        <v>3400</v>
      </c>
      <c r="I30">
        <v>0</v>
      </c>
      <c r="J30">
        <f>1</f>
        <v>1</v>
      </c>
      <c r="K30">
        <v>1</v>
      </c>
      <c r="L30">
        <v>0</v>
      </c>
      <c r="M30">
        <f t="shared" ca="1" si="0"/>
        <v>0.53451421151112122</v>
      </c>
      <c r="N30">
        <v>0</v>
      </c>
      <c r="O30">
        <f>1</f>
        <v>1</v>
      </c>
      <c r="P30">
        <f t="shared" ca="1" si="1"/>
        <v>0.3386782313916944</v>
      </c>
      <c r="Q30">
        <f t="shared" si="2"/>
        <v>0</v>
      </c>
    </row>
    <row r="31" spans="1:17" x14ac:dyDescent="0.3">
      <c r="A31" t="s">
        <v>421</v>
      </c>
      <c r="B31" t="s">
        <v>513</v>
      </c>
      <c r="C31">
        <v>3</v>
      </c>
      <c r="D31">
        <v>64300</v>
      </c>
      <c r="E31" t="s">
        <v>67</v>
      </c>
      <c r="F31">
        <v>51</v>
      </c>
      <c r="G31">
        <v>4.8</v>
      </c>
      <c r="H31">
        <v>4200</v>
      </c>
      <c r="I31">
        <v>0</v>
      </c>
      <c r="J31">
        <f>1</f>
        <v>1</v>
      </c>
      <c r="K31">
        <v>1</v>
      </c>
      <c r="L31">
        <v>0</v>
      </c>
      <c r="M31">
        <f t="shared" ca="1" si="0"/>
        <v>0.19748177802083111</v>
      </c>
      <c r="N31">
        <v>0</v>
      </c>
      <c r="O31">
        <f>1</f>
        <v>1</v>
      </c>
      <c r="P31">
        <f t="shared" ca="1" si="1"/>
        <v>9.3252061375881379E-3</v>
      </c>
      <c r="Q31">
        <f t="shared" si="2"/>
        <v>0</v>
      </c>
    </row>
    <row r="32" spans="1:17" x14ac:dyDescent="0.3">
      <c r="A32" t="s">
        <v>886</v>
      </c>
      <c r="B32" t="s">
        <v>513</v>
      </c>
      <c r="C32">
        <v>8</v>
      </c>
      <c r="D32">
        <v>42100</v>
      </c>
      <c r="E32" t="s">
        <v>1146</v>
      </c>
      <c r="F32">
        <v>6</v>
      </c>
      <c r="G32">
        <v>3.4</v>
      </c>
      <c r="H32">
        <v>0</v>
      </c>
      <c r="I32">
        <v>1</v>
      </c>
      <c r="J32">
        <f>1</f>
        <v>1</v>
      </c>
      <c r="K32">
        <v>1</v>
      </c>
      <c r="L32">
        <v>0</v>
      </c>
      <c r="M32">
        <f t="shared" ca="1" si="0"/>
        <v>0.89726101028795069</v>
      </c>
      <c r="N32">
        <v>0</v>
      </c>
      <c r="O32">
        <f>1</f>
        <v>1</v>
      </c>
      <c r="P32">
        <f t="shared" ca="1" si="1"/>
        <v>0.79508338590805905</v>
      </c>
      <c r="Q32">
        <f t="shared" si="2"/>
        <v>0</v>
      </c>
    </row>
    <row r="33" spans="1:17" x14ac:dyDescent="0.3">
      <c r="A33" t="s">
        <v>381</v>
      </c>
      <c r="B33" t="s">
        <v>62</v>
      </c>
      <c r="C33">
        <v>10</v>
      </c>
      <c r="D33">
        <v>26600</v>
      </c>
      <c r="E33" t="s">
        <v>68</v>
      </c>
      <c r="F33">
        <v>48</v>
      </c>
      <c r="G33">
        <v>6.9</v>
      </c>
      <c r="H33">
        <v>6100</v>
      </c>
      <c r="I33">
        <v>0</v>
      </c>
      <c r="J33">
        <f>1</f>
        <v>1</v>
      </c>
      <c r="K33">
        <v>1</v>
      </c>
      <c r="L33">
        <v>0</v>
      </c>
      <c r="M33">
        <f t="shared" ca="1" si="0"/>
        <v>0.7349090969726394</v>
      </c>
      <c r="N33">
        <v>0</v>
      </c>
      <c r="O33">
        <f>1</f>
        <v>1</v>
      </c>
      <c r="P33">
        <f t="shared" ca="1" si="1"/>
        <v>0.96337414391708232</v>
      </c>
      <c r="Q33">
        <f t="shared" si="2"/>
        <v>0</v>
      </c>
    </row>
    <row r="34" spans="1:17" x14ac:dyDescent="0.3">
      <c r="A34" t="s">
        <v>153</v>
      </c>
      <c r="B34" t="s">
        <v>64</v>
      </c>
      <c r="C34">
        <v>4</v>
      </c>
      <c r="D34">
        <v>56200</v>
      </c>
      <c r="E34" t="s">
        <v>66</v>
      </c>
      <c r="F34">
        <v>61</v>
      </c>
      <c r="G34">
        <v>3.6</v>
      </c>
      <c r="H34">
        <v>6900</v>
      </c>
      <c r="I34">
        <v>0</v>
      </c>
      <c r="J34">
        <f>1</f>
        <v>1</v>
      </c>
      <c r="K34">
        <v>1</v>
      </c>
      <c r="L34">
        <v>0</v>
      </c>
      <c r="M34">
        <f t="shared" ca="1" si="0"/>
        <v>0.55608758303416295</v>
      </c>
      <c r="N34">
        <v>0</v>
      </c>
      <c r="O34">
        <f>1</f>
        <v>1</v>
      </c>
      <c r="P34">
        <f t="shared" ca="1" si="1"/>
        <v>9.1730901769211615E-2</v>
      </c>
      <c r="Q34">
        <f t="shared" si="2"/>
        <v>0</v>
      </c>
    </row>
    <row r="35" spans="1:17" x14ac:dyDescent="0.3">
      <c r="A35" t="s">
        <v>624</v>
      </c>
      <c r="B35" t="s">
        <v>64</v>
      </c>
      <c r="C35">
        <v>3</v>
      </c>
      <c r="D35">
        <v>16200</v>
      </c>
      <c r="E35" t="s">
        <v>66</v>
      </c>
      <c r="F35">
        <v>22</v>
      </c>
      <c r="G35">
        <v>9</v>
      </c>
      <c r="H35">
        <v>7700</v>
      </c>
      <c r="I35">
        <v>0</v>
      </c>
      <c r="J35">
        <f>1</f>
        <v>1</v>
      </c>
      <c r="K35">
        <v>1</v>
      </c>
      <c r="L35">
        <v>0</v>
      </c>
      <c r="M35">
        <f t="shared" ca="1" si="0"/>
        <v>0.43383822252515081</v>
      </c>
      <c r="N35">
        <v>0</v>
      </c>
      <c r="O35">
        <f>1</f>
        <v>1</v>
      </c>
      <c r="P35">
        <f t="shared" ca="1" si="1"/>
        <v>0.15086183937345277</v>
      </c>
      <c r="Q35">
        <f t="shared" si="2"/>
        <v>0</v>
      </c>
    </row>
    <row r="36" spans="1:17" x14ac:dyDescent="0.3">
      <c r="A36" t="s">
        <v>562</v>
      </c>
      <c r="B36" t="s">
        <v>64</v>
      </c>
      <c r="C36">
        <v>5</v>
      </c>
      <c r="D36">
        <v>25400</v>
      </c>
      <c r="E36" t="s">
        <v>67</v>
      </c>
      <c r="F36">
        <v>116</v>
      </c>
      <c r="G36">
        <v>6.4</v>
      </c>
      <c r="H36">
        <v>3800</v>
      </c>
      <c r="I36">
        <v>0</v>
      </c>
      <c r="J36">
        <f>1</f>
        <v>1</v>
      </c>
      <c r="K36">
        <v>1</v>
      </c>
      <c r="L36">
        <v>0</v>
      </c>
      <c r="M36">
        <f t="shared" ca="1" si="0"/>
        <v>0.40652721589233376</v>
      </c>
      <c r="N36">
        <v>0</v>
      </c>
      <c r="O36">
        <f>1</f>
        <v>1</v>
      </c>
      <c r="P36">
        <f t="shared" ca="1" si="1"/>
        <v>0.66210713351323458</v>
      </c>
      <c r="Q36">
        <f t="shared" si="2"/>
        <v>0</v>
      </c>
    </row>
    <row r="37" spans="1:17" x14ac:dyDescent="0.3">
      <c r="A37" t="s">
        <v>1011</v>
      </c>
      <c r="B37" t="s">
        <v>513</v>
      </c>
      <c r="C37">
        <v>3</v>
      </c>
      <c r="D37">
        <v>54300</v>
      </c>
      <c r="E37" t="s">
        <v>1146</v>
      </c>
      <c r="F37">
        <v>7</v>
      </c>
      <c r="G37">
        <v>2.6</v>
      </c>
      <c r="H37">
        <v>6700</v>
      </c>
      <c r="I37">
        <v>1</v>
      </c>
      <c r="J37">
        <f>1</f>
        <v>1</v>
      </c>
      <c r="K37">
        <v>1</v>
      </c>
      <c r="L37">
        <v>0</v>
      </c>
      <c r="M37">
        <f t="shared" ca="1" si="0"/>
        <v>0.35599351823660397</v>
      </c>
      <c r="N37">
        <v>0</v>
      </c>
      <c r="O37">
        <f>1</f>
        <v>1</v>
      </c>
      <c r="P37">
        <f t="shared" ca="1" si="1"/>
        <v>0.59117129607416752</v>
      </c>
      <c r="Q37">
        <f t="shared" si="2"/>
        <v>0</v>
      </c>
    </row>
    <row r="38" spans="1:17" x14ac:dyDescent="0.3">
      <c r="A38" t="s">
        <v>850</v>
      </c>
      <c r="B38" t="s">
        <v>65</v>
      </c>
      <c r="C38">
        <v>2</v>
      </c>
      <c r="D38">
        <v>32900</v>
      </c>
      <c r="E38" t="s">
        <v>1146</v>
      </c>
      <c r="F38">
        <v>10</v>
      </c>
      <c r="G38">
        <v>9</v>
      </c>
      <c r="H38">
        <v>1900</v>
      </c>
      <c r="I38">
        <v>1</v>
      </c>
      <c r="J38">
        <f>1</f>
        <v>1</v>
      </c>
      <c r="K38">
        <v>1</v>
      </c>
      <c r="L38">
        <v>0</v>
      </c>
      <c r="M38">
        <f t="shared" ca="1" si="0"/>
        <v>0.35020273098285815</v>
      </c>
      <c r="N38">
        <v>0</v>
      </c>
      <c r="O38">
        <f>1</f>
        <v>1</v>
      </c>
      <c r="P38">
        <f t="shared" ca="1" si="1"/>
        <v>0.36010501557995045</v>
      </c>
      <c r="Q38">
        <f t="shared" si="2"/>
        <v>0</v>
      </c>
    </row>
    <row r="39" spans="1:17" x14ac:dyDescent="0.3">
      <c r="A39" t="s">
        <v>589</v>
      </c>
      <c r="B39" t="s">
        <v>62</v>
      </c>
      <c r="C39">
        <v>8</v>
      </c>
      <c r="D39">
        <v>31900</v>
      </c>
      <c r="E39" t="s">
        <v>67</v>
      </c>
      <c r="F39">
        <v>109</v>
      </c>
      <c r="G39">
        <v>9.1999999999999993</v>
      </c>
      <c r="H39">
        <v>1100</v>
      </c>
      <c r="I39">
        <v>0</v>
      </c>
      <c r="J39">
        <f>1</f>
        <v>1</v>
      </c>
      <c r="K39">
        <v>1</v>
      </c>
      <c r="L39">
        <v>0</v>
      </c>
      <c r="M39">
        <f t="shared" ca="1" si="0"/>
        <v>0.64666121578438851</v>
      </c>
      <c r="N39">
        <v>0</v>
      </c>
      <c r="O39">
        <f>1</f>
        <v>1</v>
      </c>
      <c r="P39">
        <f t="shared" ca="1" si="1"/>
        <v>0.48823059952601966</v>
      </c>
      <c r="Q39">
        <f t="shared" si="2"/>
        <v>0</v>
      </c>
    </row>
    <row r="40" spans="1:17" x14ac:dyDescent="0.3">
      <c r="A40" t="s">
        <v>321</v>
      </c>
      <c r="B40" t="s">
        <v>65</v>
      </c>
      <c r="C40">
        <v>5</v>
      </c>
      <c r="D40">
        <v>77100</v>
      </c>
      <c r="E40" t="s">
        <v>67</v>
      </c>
      <c r="F40">
        <v>56</v>
      </c>
      <c r="G40">
        <v>0.8</v>
      </c>
      <c r="H40">
        <v>11600</v>
      </c>
      <c r="I40">
        <v>0</v>
      </c>
      <c r="J40">
        <f>1</f>
        <v>1</v>
      </c>
      <c r="K40">
        <v>1</v>
      </c>
      <c r="L40">
        <v>0</v>
      </c>
      <c r="M40">
        <f t="shared" ca="1" si="0"/>
        <v>0.77183212066316809</v>
      </c>
      <c r="N40">
        <v>0</v>
      </c>
      <c r="O40">
        <f>1</f>
        <v>1</v>
      </c>
      <c r="P40">
        <f t="shared" ca="1" si="1"/>
        <v>5.0350615355755357E-2</v>
      </c>
      <c r="Q40">
        <f t="shared" si="2"/>
        <v>0</v>
      </c>
    </row>
    <row r="41" spans="1:17" x14ac:dyDescent="0.3">
      <c r="A41" t="s">
        <v>823</v>
      </c>
      <c r="B41" t="s">
        <v>65</v>
      </c>
      <c r="C41">
        <v>6</v>
      </c>
      <c r="D41">
        <v>21400</v>
      </c>
      <c r="E41" t="s">
        <v>1146</v>
      </c>
      <c r="F41">
        <v>10</v>
      </c>
      <c r="G41">
        <v>1.8</v>
      </c>
      <c r="H41">
        <v>1700</v>
      </c>
      <c r="I41">
        <v>1</v>
      </c>
      <c r="J41">
        <f>1</f>
        <v>1</v>
      </c>
      <c r="K41">
        <v>1</v>
      </c>
      <c r="L41">
        <v>0</v>
      </c>
      <c r="M41">
        <f t="shared" ca="1" si="0"/>
        <v>0.51947063447419817</v>
      </c>
      <c r="N41">
        <v>0</v>
      </c>
      <c r="O41">
        <f>1</f>
        <v>1</v>
      </c>
      <c r="P41">
        <f t="shared" ca="1" si="1"/>
        <v>0.72120826052900322</v>
      </c>
      <c r="Q41">
        <f t="shared" si="2"/>
        <v>0</v>
      </c>
    </row>
    <row r="42" spans="1:17" x14ac:dyDescent="0.3">
      <c r="A42" t="s">
        <v>193</v>
      </c>
      <c r="B42" t="s">
        <v>513</v>
      </c>
      <c r="C42">
        <v>3</v>
      </c>
      <c r="D42">
        <v>95800</v>
      </c>
      <c r="E42" t="s">
        <v>66</v>
      </c>
      <c r="F42">
        <v>46</v>
      </c>
      <c r="G42">
        <v>11.7</v>
      </c>
      <c r="H42">
        <v>5500</v>
      </c>
      <c r="I42">
        <v>0</v>
      </c>
      <c r="J42">
        <f>1</f>
        <v>1</v>
      </c>
      <c r="K42">
        <v>1</v>
      </c>
      <c r="L42">
        <v>0</v>
      </c>
      <c r="M42">
        <f t="shared" ca="1" si="0"/>
        <v>0.64365965513111267</v>
      </c>
      <c r="N42">
        <v>0</v>
      </c>
      <c r="O42">
        <f>1</f>
        <v>1</v>
      </c>
      <c r="P42">
        <f t="shared" ca="1" si="1"/>
        <v>0.8172202383889936</v>
      </c>
      <c r="Q42">
        <f t="shared" si="2"/>
        <v>0</v>
      </c>
    </row>
    <row r="43" spans="1:17" x14ac:dyDescent="0.3">
      <c r="A43" t="s">
        <v>817</v>
      </c>
      <c r="B43" t="s">
        <v>64</v>
      </c>
      <c r="C43">
        <v>1</v>
      </c>
      <c r="D43">
        <v>33500</v>
      </c>
      <c r="E43" t="s">
        <v>1146</v>
      </c>
      <c r="F43">
        <v>5</v>
      </c>
      <c r="G43">
        <v>2.4</v>
      </c>
      <c r="H43">
        <v>0</v>
      </c>
      <c r="I43">
        <v>1</v>
      </c>
      <c r="J43">
        <f>1</f>
        <v>1</v>
      </c>
      <c r="K43">
        <v>1</v>
      </c>
      <c r="L43">
        <v>0</v>
      </c>
      <c r="M43">
        <f t="shared" ca="1" si="0"/>
        <v>0.63759743814674386</v>
      </c>
      <c r="N43">
        <v>0</v>
      </c>
      <c r="O43">
        <f>1</f>
        <v>1</v>
      </c>
      <c r="P43">
        <f t="shared" ca="1" si="1"/>
        <v>0.77220001916473713</v>
      </c>
      <c r="Q43">
        <f t="shared" si="2"/>
        <v>0</v>
      </c>
    </row>
    <row r="44" spans="1:17" x14ac:dyDescent="0.3">
      <c r="A44" t="s">
        <v>787</v>
      </c>
      <c r="B44" t="s">
        <v>64</v>
      </c>
      <c r="C44">
        <v>6</v>
      </c>
      <c r="D44">
        <v>68700</v>
      </c>
      <c r="E44" t="s">
        <v>1146</v>
      </c>
      <c r="F44">
        <v>10</v>
      </c>
      <c r="G44">
        <v>2.5</v>
      </c>
      <c r="H44">
        <v>14400</v>
      </c>
      <c r="I44">
        <v>1</v>
      </c>
      <c r="J44">
        <f>1</f>
        <v>1</v>
      </c>
      <c r="K44">
        <v>1</v>
      </c>
      <c r="L44">
        <v>0</v>
      </c>
      <c r="M44">
        <f t="shared" ca="1" si="0"/>
        <v>0.53709219841760691</v>
      </c>
      <c r="N44">
        <v>0</v>
      </c>
      <c r="O44">
        <f>1</f>
        <v>1</v>
      </c>
      <c r="P44">
        <f t="shared" ca="1" si="1"/>
        <v>0.60772864274211291</v>
      </c>
      <c r="Q44">
        <f t="shared" si="2"/>
        <v>0</v>
      </c>
    </row>
    <row r="45" spans="1:17" x14ac:dyDescent="0.3">
      <c r="A45" t="s">
        <v>551</v>
      </c>
      <c r="B45" t="s">
        <v>62</v>
      </c>
      <c r="C45">
        <v>6</v>
      </c>
      <c r="D45">
        <v>34300</v>
      </c>
      <c r="E45" t="s">
        <v>66</v>
      </c>
      <c r="F45">
        <v>24</v>
      </c>
      <c r="G45">
        <v>3</v>
      </c>
      <c r="H45">
        <v>1300</v>
      </c>
      <c r="I45">
        <v>0</v>
      </c>
      <c r="J45">
        <f>1</f>
        <v>1</v>
      </c>
      <c r="K45">
        <v>1</v>
      </c>
      <c r="L45">
        <v>0</v>
      </c>
      <c r="M45">
        <f t="shared" ca="1" si="0"/>
        <v>0.2747993749295643</v>
      </c>
      <c r="N45">
        <v>0</v>
      </c>
      <c r="O45">
        <f>1</f>
        <v>1</v>
      </c>
      <c r="P45">
        <f t="shared" ca="1" si="1"/>
        <v>0.30091307333319905</v>
      </c>
      <c r="Q45">
        <f t="shared" si="2"/>
        <v>0</v>
      </c>
    </row>
    <row r="46" spans="1:17" x14ac:dyDescent="0.3">
      <c r="A46" t="s">
        <v>1137</v>
      </c>
      <c r="B46" t="s">
        <v>513</v>
      </c>
      <c r="C46">
        <v>7</v>
      </c>
      <c r="D46">
        <v>30800</v>
      </c>
      <c r="E46" t="s">
        <v>67</v>
      </c>
      <c r="F46">
        <v>105</v>
      </c>
      <c r="G46">
        <v>6.7</v>
      </c>
      <c r="H46">
        <v>7700</v>
      </c>
      <c r="I46">
        <v>1</v>
      </c>
      <c r="J46">
        <f>1</f>
        <v>1</v>
      </c>
      <c r="K46">
        <v>1</v>
      </c>
      <c r="L46">
        <v>0</v>
      </c>
      <c r="M46">
        <f t="shared" ca="1" si="0"/>
        <v>0.96365125240011074</v>
      </c>
      <c r="N46">
        <v>0</v>
      </c>
      <c r="O46">
        <f>1</f>
        <v>1</v>
      </c>
      <c r="P46">
        <f t="shared" ca="1" si="1"/>
        <v>0.34056232074339576</v>
      </c>
      <c r="Q46">
        <f t="shared" si="2"/>
        <v>0</v>
      </c>
    </row>
    <row r="47" spans="1:17" x14ac:dyDescent="0.3">
      <c r="A47" t="s">
        <v>173</v>
      </c>
      <c r="B47" t="s">
        <v>513</v>
      </c>
      <c r="C47">
        <v>5</v>
      </c>
      <c r="D47">
        <v>29100</v>
      </c>
      <c r="E47" t="s">
        <v>68</v>
      </c>
      <c r="F47">
        <v>38</v>
      </c>
      <c r="G47">
        <v>2.2000000000000002</v>
      </c>
      <c r="H47">
        <v>7400</v>
      </c>
      <c r="I47">
        <v>0</v>
      </c>
      <c r="J47">
        <f>1</f>
        <v>1</v>
      </c>
      <c r="K47">
        <v>1</v>
      </c>
      <c r="L47">
        <v>0</v>
      </c>
      <c r="M47">
        <f t="shared" ca="1" si="0"/>
        <v>0.79579661928591761</v>
      </c>
      <c r="N47">
        <v>0</v>
      </c>
      <c r="O47">
        <v>0</v>
      </c>
      <c r="P47">
        <f t="shared" ca="1" si="1"/>
        <v>0.32089212627545038</v>
      </c>
      <c r="Q47">
        <f t="shared" si="2"/>
        <v>1</v>
      </c>
    </row>
    <row r="48" spans="1:17" x14ac:dyDescent="0.3">
      <c r="A48" t="s">
        <v>720</v>
      </c>
      <c r="B48" t="s">
        <v>65</v>
      </c>
      <c r="C48">
        <v>10</v>
      </c>
      <c r="D48">
        <v>47700</v>
      </c>
      <c r="E48" t="s">
        <v>1146</v>
      </c>
      <c r="F48">
        <v>7</v>
      </c>
      <c r="G48">
        <v>0.5</v>
      </c>
      <c r="H48">
        <v>2400</v>
      </c>
      <c r="I48">
        <v>1</v>
      </c>
      <c r="J48">
        <f>1</f>
        <v>1</v>
      </c>
      <c r="K48">
        <v>1</v>
      </c>
      <c r="L48">
        <v>0</v>
      </c>
      <c r="M48">
        <f t="shared" ca="1" si="0"/>
        <v>0.4047547779929852</v>
      </c>
      <c r="N48">
        <v>0</v>
      </c>
      <c r="O48">
        <v>0</v>
      </c>
      <c r="P48">
        <f t="shared" ca="1" si="1"/>
        <v>0.57372991896360193</v>
      </c>
      <c r="Q48">
        <f t="shared" si="2"/>
        <v>1</v>
      </c>
    </row>
    <row r="49" spans="1:17" x14ac:dyDescent="0.3">
      <c r="A49" t="s">
        <v>701</v>
      </c>
      <c r="B49" t="s">
        <v>65</v>
      </c>
      <c r="C49">
        <v>10</v>
      </c>
      <c r="D49">
        <v>20700</v>
      </c>
      <c r="E49" t="s">
        <v>1146</v>
      </c>
      <c r="F49">
        <v>8</v>
      </c>
      <c r="G49">
        <v>11.5</v>
      </c>
      <c r="H49">
        <v>10200</v>
      </c>
      <c r="I49">
        <v>1</v>
      </c>
      <c r="J49">
        <f>1</f>
        <v>1</v>
      </c>
      <c r="K49">
        <v>1</v>
      </c>
      <c r="L49">
        <v>0</v>
      </c>
      <c r="M49">
        <f t="shared" ca="1" si="0"/>
        <v>0.36394702480701491</v>
      </c>
      <c r="N49">
        <v>0</v>
      </c>
      <c r="O49">
        <v>0</v>
      </c>
      <c r="P49">
        <f t="shared" ca="1" si="1"/>
        <v>0.75885381770294302</v>
      </c>
      <c r="Q49">
        <f t="shared" si="2"/>
        <v>1</v>
      </c>
    </row>
    <row r="50" spans="1:17" x14ac:dyDescent="0.3">
      <c r="A50" t="s">
        <v>228</v>
      </c>
      <c r="B50" t="s">
        <v>65</v>
      </c>
      <c r="C50">
        <v>4</v>
      </c>
      <c r="D50">
        <v>31300</v>
      </c>
      <c r="E50" t="s">
        <v>67</v>
      </c>
      <c r="F50">
        <v>66</v>
      </c>
      <c r="G50">
        <v>2.9</v>
      </c>
      <c r="H50">
        <v>8000</v>
      </c>
      <c r="I50">
        <v>0</v>
      </c>
      <c r="J50">
        <f>1</f>
        <v>1</v>
      </c>
      <c r="K50">
        <v>1</v>
      </c>
      <c r="L50">
        <v>0</v>
      </c>
      <c r="M50">
        <f t="shared" ca="1" si="0"/>
        <v>0.16095336094300106</v>
      </c>
      <c r="N50">
        <v>0</v>
      </c>
      <c r="O50">
        <v>0</v>
      </c>
      <c r="P50">
        <f t="shared" ca="1" si="1"/>
        <v>0.17145307924057673</v>
      </c>
      <c r="Q50">
        <f t="shared" si="2"/>
        <v>1</v>
      </c>
    </row>
    <row r="51" spans="1:17" x14ac:dyDescent="0.3">
      <c r="A51" t="s">
        <v>722</v>
      </c>
      <c r="B51" t="s">
        <v>64</v>
      </c>
      <c r="C51">
        <v>9</v>
      </c>
      <c r="D51">
        <v>22200</v>
      </c>
      <c r="E51" t="s">
        <v>1146</v>
      </c>
      <c r="F51">
        <v>4</v>
      </c>
      <c r="G51">
        <v>7.9</v>
      </c>
      <c r="H51">
        <v>8600</v>
      </c>
      <c r="I51">
        <v>1</v>
      </c>
      <c r="J51">
        <f>1</f>
        <v>1</v>
      </c>
      <c r="K51">
        <v>1</v>
      </c>
      <c r="L51">
        <v>0</v>
      </c>
      <c r="M51">
        <f t="shared" ca="1" si="0"/>
        <v>0.72833595549416374</v>
      </c>
      <c r="N51">
        <v>0</v>
      </c>
      <c r="O51">
        <v>0</v>
      </c>
      <c r="P51">
        <f t="shared" ca="1" si="1"/>
        <v>0.8808857227364979</v>
      </c>
      <c r="Q51">
        <f t="shared" si="2"/>
        <v>1</v>
      </c>
    </row>
    <row r="52" spans="1:17" x14ac:dyDescent="0.3">
      <c r="A52" t="s">
        <v>652</v>
      </c>
      <c r="B52" t="s">
        <v>64</v>
      </c>
      <c r="C52">
        <v>3</v>
      </c>
      <c r="D52">
        <v>36600</v>
      </c>
      <c r="E52" t="s">
        <v>1146</v>
      </c>
      <c r="F52">
        <v>7</v>
      </c>
      <c r="G52">
        <v>6.9</v>
      </c>
      <c r="H52">
        <v>0</v>
      </c>
      <c r="I52">
        <v>1</v>
      </c>
      <c r="J52">
        <f>1</f>
        <v>1</v>
      </c>
      <c r="K52">
        <v>1</v>
      </c>
      <c r="L52">
        <v>0</v>
      </c>
      <c r="M52">
        <f t="shared" ca="1" si="0"/>
        <v>5.8055645813095968E-2</v>
      </c>
      <c r="N52">
        <v>0</v>
      </c>
      <c r="O52">
        <v>0</v>
      </c>
      <c r="P52">
        <f t="shared" ca="1" si="1"/>
        <v>0.5258570606945745</v>
      </c>
      <c r="Q52">
        <f t="shared" si="2"/>
        <v>1</v>
      </c>
    </row>
    <row r="53" spans="1:17" x14ac:dyDescent="0.3">
      <c r="A53" t="s">
        <v>237</v>
      </c>
      <c r="B53" t="s">
        <v>513</v>
      </c>
      <c r="C53">
        <v>3</v>
      </c>
      <c r="D53">
        <v>93000</v>
      </c>
      <c r="E53" t="s">
        <v>66</v>
      </c>
      <c r="F53">
        <v>57</v>
      </c>
      <c r="G53">
        <v>13.5</v>
      </c>
      <c r="H53">
        <v>13600</v>
      </c>
      <c r="I53">
        <v>0</v>
      </c>
      <c r="J53">
        <f>1</f>
        <v>1</v>
      </c>
      <c r="K53">
        <v>1</v>
      </c>
      <c r="L53">
        <v>0</v>
      </c>
      <c r="M53">
        <f t="shared" ca="1" si="0"/>
        <v>0.97393965495770829</v>
      </c>
      <c r="N53">
        <v>0</v>
      </c>
      <c r="O53">
        <v>0</v>
      </c>
      <c r="P53">
        <f t="shared" ca="1" si="1"/>
        <v>0.38379684291017568</v>
      </c>
      <c r="Q53">
        <f t="shared" si="2"/>
        <v>1</v>
      </c>
    </row>
    <row r="54" spans="1:17" x14ac:dyDescent="0.3">
      <c r="A54" t="s">
        <v>681</v>
      </c>
      <c r="B54" t="s">
        <v>62</v>
      </c>
      <c r="C54">
        <v>7</v>
      </c>
      <c r="D54">
        <v>55100</v>
      </c>
      <c r="E54" t="s">
        <v>1146</v>
      </c>
      <c r="F54">
        <v>4</v>
      </c>
      <c r="G54">
        <v>9.1</v>
      </c>
      <c r="H54">
        <v>3100</v>
      </c>
      <c r="I54">
        <v>1</v>
      </c>
      <c r="J54">
        <f>1</f>
        <v>1</v>
      </c>
      <c r="K54">
        <v>1</v>
      </c>
      <c r="L54">
        <v>0</v>
      </c>
      <c r="M54">
        <f t="shared" ca="1" si="0"/>
        <v>0.70603770718324899</v>
      </c>
      <c r="N54">
        <v>0</v>
      </c>
      <c r="O54">
        <v>0</v>
      </c>
      <c r="P54">
        <f t="shared" ca="1" si="1"/>
        <v>2.4237117061382873E-2</v>
      </c>
      <c r="Q54">
        <f t="shared" si="2"/>
        <v>1</v>
      </c>
    </row>
    <row r="55" spans="1:17" x14ac:dyDescent="0.3">
      <c r="A55" t="s">
        <v>148</v>
      </c>
      <c r="B55" t="s">
        <v>64</v>
      </c>
      <c r="C55">
        <v>7</v>
      </c>
      <c r="D55">
        <v>51600</v>
      </c>
      <c r="E55" t="s">
        <v>69</v>
      </c>
      <c r="F55">
        <v>51</v>
      </c>
      <c r="G55">
        <v>1.2</v>
      </c>
      <c r="H55">
        <v>9900</v>
      </c>
      <c r="I55">
        <v>0</v>
      </c>
      <c r="J55">
        <f>1</f>
        <v>1</v>
      </c>
      <c r="K55">
        <v>1</v>
      </c>
      <c r="L55">
        <v>0</v>
      </c>
      <c r="M55">
        <f t="shared" ca="1" si="0"/>
        <v>0.39573872191729442</v>
      </c>
      <c r="N55">
        <v>0</v>
      </c>
      <c r="O55">
        <v>0</v>
      </c>
      <c r="P55">
        <f t="shared" ca="1" si="1"/>
        <v>0.39946002161509986</v>
      </c>
      <c r="Q55">
        <f t="shared" si="2"/>
        <v>1</v>
      </c>
    </row>
    <row r="56" spans="1:17" x14ac:dyDescent="0.3">
      <c r="A56" t="s">
        <v>1131</v>
      </c>
      <c r="B56" t="s">
        <v>65</v>
      </c>
      <c r="C56">
        <v>5</v>
      </c>
      <c r="D56">
        <v>41700</v>
      </c>
      <c r="E56" t="s">
        <v>1146</v>
      </c>
      <c r="F56">
        <v>8</v>
      </c>
      <c r="G56">
        <v>2.2000000000000002</v>
      </c>
      <c r="H56">
        <v>2400</v>
      </c>
      <c r="I56">
        <v>1</v>
      </c>
      <c r="J56">
        <f>1</f>
        <v>1</v>
      </c>
      <c r="K56">
        <v>1</v>
      </c>
      <c r="L56">
        <v>0</v>
      </c>
      <c r="M56">
        <f t="shared" ca="1" si="0"/>
        <v>0.8475067691017244</v>
      </c>
      <c r="N56">
        <v>0</v>
      </c>
      <c r="O56">
        <v>0</v>
      </c>
      <c r="P56">
        <f t="shared" ca="1" si="1"/>
        <v>0.13609175862131584</v>
      </c>
      <c r="Q56">
        <f t="shared" si="2"/>
        <v>1</v>
      </c>
    </row>
    <row r="57" spans="1:17" x14ac:dyDescent="0.3">
      <c r="A57" t="s">
        <v>939</v>
      </c>
      <c r="B57" t="s">
        <v>64</v>
      </c>
      <c r="C57">
        <v>4</v>
      </c>
      <c r="D57">
        <v>32700</v>
      </c>
      <c r="E57" t="s">
        <v>1146</v>
      </c>
      <c r="F57">
        <v>4</v>
      </c>
      <c r="G57">
        <v>10.199999999999999</v>
      </c>
      <c r="H57">
        <v>2400</v>
      </c>
      <c r="I57">
        <v>1</v>
      </c>
      <c r="J57">
        <f>1</f>
        <v>1</v>
      </c>
      <c r="K57">
        <v>1</v>
      </c>
      <c r="L57">
        <v>0</v>
      </c>
      <c r="M57">
        <f t="shared" ca="1" si="0"/>
        <v>0.46820887119183363</v>
      </c>
      <c r="N57">
        <v>0</v>
      </c>
      <c r="O57">
        <v>0</v>
      </c>
      <c r="P57">
        <f t="shared" ca="1" si="1"/>
        <v>0.89773401226018945</v>
      </c>
      <c r="Q57">
        <f t="shared" si="2"/>
        <v>1</v>
      </c>
    </row>
    <row r="58" spans="1:17" x14ac:dyDescent="0.3">
      <c r="A58" t="s">
        <v>310</v>
      </c>
      <c r="B58" t="s">
        <v>64</v>
      </c>
      <c r="C58">
        <v>2</v>
      </c>
      <c r="D58">
        <v>24800</v>
      </c>
      <c r="E58" t="s">
        <v>69</v>
      </c>
      <c r="F58">
        <v>37</v>
      </c>
      <c r="G58">
        <v>2.5</v>
      </c>
      <c r="H58">
        <v>4700</v>
      </c>
      <c r="I58">
        <v>0</v>
      </c>
      <c r="J58">
        <f>1</f>
        <v>1</v>
      </c>
      <c r="K58">
        <v>1</v>
      </c>
      <c r="L58">
        <v>0</v>
      </c>
      <c r="M58">
        <f t="shared" ca="1" si="0"/>
        <v>0.61843541358049969</v>
      </c>
      <c r="N58">
        <v>0</v>
      </c>
      <c r="O58">
        <v>0</v>
      </c>
      <c r="P58">
        <f t="shared" ca="1" si="1"/>
        <v>0.89914686336195848</v>
      </c>
      <c r="Q58">
        <f t="shared" si="2"/>
        <v>1</v>
      </c>
    </row>
    <row r="59" spans="1:17" x14ac:dyDescent="0.3">
      <c r="A59" t="s">
        <v>1043</v>
      </c>
      <c r="B59" t="s">
        <v>513</v>
      </c>
      <c r="C59">
        <v>6</v>
      </c>
      <c r="D59">
        <v>76000</v>
      </c>
      <c r="E59" t="s">
        <v>1146</v>
      </c>
      <c r="F59">
        <v>1</v>
      </c>
      <c r="G59">
        <v>7.1</v>
      </c>
      <c r="H59">
        <v>8500</v>
      </c>
      <c r="I59">
        <v>1</v>
      </c>
      <c r="J59">
        <f>1</f>
        <v>1</v>
      </c>
      <c r="K59">
        <v>1</v>
      </c>
      <c r="L59">
        <v>0</v>
      </c>
      <c r="M59">
        <f t="shared" ca="1" si="0"/>
        <v>0.81908523997980998</v>
      </c>
      <c r="N59">
        <v>0</v>
      </c>
      <c r="O59">
        <v>0</v>
      </c>
      <c r="P59">
        <f t="shared" ca="1" si="1"/>
        <v>5.7293346017283753E-2</v>
      </c>
      <c r="Q59">
        <f t="shared" si="2"/>
        <v>1</v>
      </c>
    </row>
    <row r="60" spans="1:17" x14ac:dyDescent="0.3">
      <c r="A60" t="s">
        <v>404</v>
      </c>
      <c r="B60" t="s">
        <v>64</v>
      </c>
      <c r="C60">
        <v>4</v>
      </c>
      <c r="D60">
        <v>72900</v>
      </c>
      <c r="E60" t="s">
        <v>66</v>
      </c>
      <c r="F60">
        <v>30</v>
      </c>
      <c r="G60">
        <v>2.4</v>
      </c>
      <c r="H60">
        <v>6200</v>
      </c>
      <c r="I60">
        <v>0</v>
      </c>
      <c r="J60">
        <f>1</f>
        <v>1</v>
      </c>
      <c r="K60">
        <v>1</v>
      </c>
      <c r="L60">
        <v>0</v>
      </c>
      <c r="M60">
        <f t="shared" ca="1" si="0"/>
        <v>0.52585096972439127</v>
      </c>
      <c r="N60">
        <v>0</v>
      </c>
      <c r="O60">
        <v>0</v>
      </c>
      <c r="P60">
        <f t="shared" ca="1" si="1"/>
        <v>0.90409626406708188</v>
      </c>
      <c r="Q60">
        <f t="shared" si="2"/>
        <v>1</v>
      </c>
    </row>
    <row r="61" spans="1:17" x14ac:dyDescent="0.3">
      <c r="A61" t="s">
        <v>288</v>
      </c>
      <c r="B61" t="s">
        <v>65</v>
      </c>
      <c r="C61">
        <v>5</v>
      </c>
      <c r="D61">
        <v>40400</v>
      </c>
      <c r="E61" t="s">
        <v>67</v>
      </c>
      <c r="F61">
        <v>85</v>
      </c>
      <c r="G61">
        <v>12.7</v>
      </c>
      <c r="H61">
        <v>2400</v>
      </c>
      <c r="I61">
        <v>0</v>
      </c>
      <c r="J61">
        <f>1</f>
        <v>1</v>
      </c>
      <c r="K61">
        <v>1</v>
      </c>
      <c r="L61">
        <v>0</v>
      </c>
      <c r="M61">
        <f t="shared" ca="1" si="0"/>
        <v>0.75120658981313226</v>
      </c>
      <c r="N61">
        <v>0</v>
      </c>
      <c r="O61">
        <v>0</v>
      </c>
      <c r="P61">
        <f t="shared" ca="1" si="1"/>
        <v>0.86601117305627806</v>
      </c>
      <c r="Q61">
        <f t="shared" si="2"/>
        <v>1</v>
      </c>
    </row>
    <row r="62" spans="1:17" x14ac:dyDescent="0.3">
      <c r="A62" t="s">
        <v>1100</v>
      </c>
      <c r="B62" t="s">
        <v>513</v>
      </c>
      <c r="C62">
        <v>6</v>
      </c>
      <c r="D62">
        <v>78400</v>
      </c>
      <c r="E62" t="s">
        <v>1146</v>
      </c>
      <c r="F62">
        <v>5</v>
      </c>
      <c r="G62">
        <v>5.6</v>
      </c>
      <c r="H62">
        <v>3400</v>
      </c>
      <c r="I62">
        <v>1</v>
      </c>
      <c r="J62">
        <f>1</f>
        <v>1</v>
      </c>
      <c r="K62">
        <v>1</v>
      </c>
      <c r="L62">
        <v>0</v>
      </c>
      <c r="M62">
        <f t="shared" ca="1" si="0"/>
        <v>0.10879678358863032</v>
      </c>
      <c r="N62">
        <v>0</v>
      </c>
      <c r="O62">
        <v>0</v>
      </c>
      <c r="P62">
        <f t="shared" ca="1" si="1"/>
        <v>0.22846060306012295</v>
      </c>
      <c r="Q62">
        <f t="shared" si="2"/>
        <v>1</v>
      </c>
    </row>
    <row r="63" spans="1:17" x14ac:dyDescent="0.3">
      <c r="A63" t="s">
        <v>413</v>
      </c>
      <c r="B63" t="s">
        <v>513</v>
      </c>
      <c r="C63">
        <v>6</v>
      </c>
      <c r="D63">
        <v>29000</v>
      </c>
      <c r="E63" t="s">
        <v>68</v>
      </c>
      <c r="F63">
        <v>31</v>
      </c>
      <c r="G63">
        <v>8</v>
      </c>
      <c r="H63">
        <v>400</v>
      </c>
      <c r="I63">
        <v>0</v>
      </c>
      <c r="J63">
        <f>1</f>
        <v>1</v>
      </c>
      <c r="K63">
        <v>1</v>
      </c>
      <c r="L63">
        <v>0</v>
      </c>
      <c r="M63">
        <f t="shared" ca="1" si="0"/>
        <v>0.8993911158368485</v>
      </c>
      <c r="N63">
        <v>0</v>
      </c>
      <c r="O63">
        <v>0</v>
      </c>
      <c r="P63">
        <f t="shared" ca="1" si="1"/>
        <v>0.18814355085975543</v>
      </c>
      <c r="Q63">
        <f t="shared" si="2"/>
        <v>1</v>
      </c>
    </row>
    <row r="64" spans="1:17" x14ac:dyDescent="0.3">
      <c r="A64" t="s">
        <v>570</v>
      </c>
      <c r="B64" t="s">
        <v>64</v>
      </c>
      <c r="C64">
        <v>7</v>
      </c>
      <c r="D64">
        <v>27000</v>
      </c>
      <c r="E64" t="s">
        <v>66</v>
      </c>
      <c r="F64">
        <v>16</v>
      </c>
      <c r="G64">
        <v>1</v>
      </c>
      <c r="H64">
        <v>0</v>
      </c>
      <c r="I64">
        <v>0</v>
      </c>
      <c r="J64">
        <f>1</f>
        <v>1</v>
      </c>
      <c r="K64">
        <v>1</v>
      </c>
      <c r="L64">
        <v>0</v>
      </c>
      <c r="M64">
        <f t="shared" ca="1" si="0"/>
        <v>0.9793563218688941</v>
      </c>
      <c r="N64">
        <v>0</v>
      </c>
      <c r="O64">
        <v>0</v>
      </c>
      <c r="P64">
        <f t="shared" ca="1" si="1"/>
        <v>0.16074554049205092</v>
      </c>
      <c r="Q64">
        <f t="shared" si="2"/>
        <v>1</v>
      </c>
    </row>
    <row r="65" spans="1:17" x14ac:dyDescent="0.3">
      <c r="A65" t="s">
        <v>445</v>
      </c>
      <c r="B65" t="s">
        <v>65</v>
      </c>
      <c r="C65">
        <v>4</v>
      </c>
      <c r="D65">
        <v>55700</v>
      </c>
      <c r="E65" t="s">
        <v>68</v>
      </c>
      <c r="F65">
        <v>27</v>
      </c>
      <c r="G65">
        <v>13.4</v>
      </c>
      <c r="H65">
        <v>3700</v>
      </c>
      <c r="I65">
        <v>0</v>
      </c>
      <c r="J65">
        <f>1</f>
        <v>1</v>
      </c>
      <c r="K65">
        <v>1</v>
      </c>
      <c r="L65">
        <v>0</v>
      </c>
      <c r="M65">
        <f t="shared" ca="1" si="0"/>
        <v>5.9743579118024526E-2</v>
      </c>
      <c r="N65">
        <v>0</v>
      </c>
      <c r="O65">
        <v>0</v>
      </c>
      <c r="P65">
        <f t="shared" ca="1" si="1"/>
        <v>0.48806244556391043</v>
      </c>
      <c r="Q65">
        <f t="shared" si="2"/>
        <v>1</v>
      </c>
    </row>
    <row r="66" spans="1:17" x14ac:dyDescent="0.3">
      <c r="A66" t="s">
        <v>691</v>
      </c>
      <c r="B66" t="s">
        <v>64</v>
      </c>
      <c r="C66">
        <v>8</v>
      </c>
      <c r="D66">
        <v>19400</v>
      </c>
      <c r="E66" t="s">
        <v>1146</v>
      </c>
      <c r="F66">
        <v>4</v>
      </c>
      <c r="G66">
        <v>7.2</v>
      </c>
      <c r="H66">
        <v>800</v>
      </c>
      <c r="I66">
        <v>1</v>
      </c>
      <c r="J66">
        <f>1</f>
        <v>1</v>
      </c>
      <c r="K66">
        <v>1</v>
      </c>
      <c r="L66">
        <v>0</v>
      </c>
      <c r="M66">
        <f t="shared" ref="M66:M129" ca="1" si="3">RAND()</f>
        <v>5.7649084672731776E-3</v>
      </c>
      <c r="N66">
        <v>0</v>
      </c>
      <c r="O66">
        <v>0</v>
      </c>
      <c r="P66">
        <f t="shared" ref="P66:P129" ca="1" si="4">IF(L66=0,RAND(),"")</f>
        <v>0.40940436937263858</v>
      </c>
      <c r="Q66">
        <f t="shared" si="2"/>
        <v>1</v>
      </c>
    </row>
    <row r="67" spans="1:17" x14ac:dyDescent="0.3">
      <c r="A67" t="s">
        <v>857</v>
      </c>
      <c r="B67" t="s">
        <v>64</v>
      </c>
      <c r="C67">
        <v>4</v>
      </c>
      <c r="D67">
        <v>41400</v>
      </c>
      <c r="E67" t="s">
        <v>1146</v>
      </c>
      <c r="F67">
        <v>8</v>
      </c>
      <c r="G67">
        <v>5</v>
      </c>
      <c r="H67">
        <v>1000</v>
      </c>
      <c r="I67">
        <v>1</v>
      </c>
      <c r="J67">
        <f>1</f>
        <v>1</v>
      </c>
      <c r="K67">
        <v>1</v>
      </c>
      <c r="L67">
        <v>0</v>
      </c>
      <c r="M67">
        <f t="shared" ca="1" si="3"/>
        <v>0.29255900398983703</v>
      </c>
      <c r="N67">
        <v>0</v>
      </c>
      <c r="O67">
        <v>0</v>
      </c>
      <c r="P67">
        <f t="shared" ca="1" si="4"/>
        <v>0.84866195921610932</v>
      </c>
      <c r="Q67">
        <f t="shared" ref="Q67:Q130" si="5">IF(OR(L67=1,O67=1), 0,1)</f>
        <v>1</v>
      </c>
    </row>
    <row r="68" spans="1:17" x14ac:dyDescent="0.3">
      <c r="A68" t="s">
        <v>118</v>
      </c>
      <c r="B68" t="s">
        <v>65</v>
      </c>
      <c r="C68">
        <v>6</v>
      </c>
      <c r="D68">
        <v>19000</v>
      </c>
      <c r="E68" t="s">
        <v>67</v>
      </c>
      <c r="F68">
        <v>107</v>
      </c>
      <c r="G68">
        <v>8.9</v>
      </c>
      <c r="H68">
        <v>14600</v>
      </c>
      <c r="I68">
        <v>0</v>
      </c>
      <c r="J68">
        <f>1</f>
        <v>1</v>
      </c>
      <c r="K68">
        <v>1</v>
      </c>
      <c r="L68">
        <v>0</v>
      </c>
      <c r="M68">
        <f t="shared" ca="1" si="3"/>
        <v>0.95999841107042105</v>
      </c>
      <c r="N68">
        <v>0</v>
      </c>
      <c r="O68">
        <v>0</v>
      </c>
      <c r="P68">
        <f t="shared" ca="1" si="4"/>
        <v>0.66759296323191464</v>
      </c>
      <c r="Q68">
        <f t="shared" si="5"/>
        <v>1</v>
      </c>
    </row>
    <row r="69" spans="1:17" x14ac:dyDescent="0.3">
      <c r="A69" t="s">
        <v>390</v>
      </c>
      <c r="B69" t="s">
        <v>62</v>
      </c>
      <c r="C69">
        <v>3</v>
      </c>
      <c r="D69">
        <v>93100</v>
      </c>
      <c r="E69" t="s">
        <v>66</v>
      </c>
      <c r="F69">
        <v>59</v>
      </c>
      <c r="G69">
        <v>0.3</v>
      </c>
      <c r="H69">
        <v>13100</v>
      </c>
      <c r="I69">
        <v>0</v>
      </c>
      <c r="J69">
        <f>1</f>
        <v>1</v>
      </c>
      <c r="K69">
        <v>1</v>
      </c>
      <c r="L69">
        <v>0</v>
      </c>
      <c r="M69">
        <f t="shared" ca="1" si="3"/>
        <v>0.81026126418657229</v>
      </c>
      <c r="N69">
        <v>0</v>
      </c>
      <c r="O69">
        <v>0</v>
      </c>
      <c r="P69">
        <f t="shared" ca="1" si="4"/>
        <v>0.86477963892708065</v>
      </c>
      <c r="Q69">
        <f t="shared" si="5"/>
        <v>1</v>
      </c>
    </row>
    <row r="70" spans="1:17" x14ac:dyDescent="0.3">
      <c r="A70" t="s">
        <v>623</v>
      </c>
      <c r="B70" t="s">
        <v>513</v>
      </c>
      <c r="C70">
        <v>7</v>
      </c>
      <c r="D70">
        <v>68700</v>
      </c>
      <c r="E70" t="s">
        <v>68</v>
      </c>
      <c r="F70">
        <v>74</v>
      </c>
      <c r="G70">
        <v>7.6</v>
      </c>
      <c r="H70">
        <v>4500</v>
      </c>
      <c r="I70">
        <v>0</v>
      </c>
      <c r="J70">
        <f>1</f>
        <v>1</v>
      </c>
      <c r="K70">
        <v>1</v>
      </c>
      <c r="L70">
        <v>0</v>
      </c>
      <c r="M70">
        <f t="shared" ca="1" si="3"/>
        <v>0.44779255654393235</v>
      </c>
      <c r="N70">
        <v>0</v>
      </c>
      <c r="O70">
        <v>0</v>
      </c>
      <c r="P70">
        <f t="shared" ca="1" si="4"/>
        <v>0.51648958064908257</v>
      </c>
      <c r="Q70">
        <f t="shared" si="5"/>
        <v>1</v>
      </c>
    </row>
    <row r="71" spans="1:17" x14ac:dyDescent="0.3">
      <c r="A71" t="s">
        <v>874</v>
      </c>
      <c r="B71" t="s">
        <v>62</v>
      </c>
      <c r="C71">
        <v>7</v>
      </c>
      <c r="D71">
        <v>79000</v>
      </c>
      <c r="E71" t="s">
        <v>1146</v>
      </c>
      <c r="F71">
        <v>2</v>
      </c>
      <c r="G71">
        <v>4</v>
      </c>
      <c r="H71">
        <v>10800</v>
      </c>
      <c r="I71">
        <v>1</v>
      </c>
      <c r="J71">
        <f>1</f>
        <v>1</v>
      </c>
      <c r="K71">
        <v>1</v>
      </c>
      <c r="L71">
        <v>0</v>
      </c>
      <c r="M71">
        <f t="shared" ca="1" si="3"/>
        <v>0.11433039298724401</v>
      </c>
      <c r="N71">
        <v>0</v>
      </c>
      <c r="O71">
        <v>0</v>
      </c>
      <c r="P71">
        <f t="shared" ca="1" si="4"/>
        <v>0.50658999638127222</v>
      </c>
      <c r="Q71">
        <f t="shared" si="5"/>
        <v>1</v>
      </c>
    </row>
    <row r="72" spans="1:17" x14ac:dyDescent="0.3">
      <c r="A72" t="s">
        <v>963</v>
      </c>
      <c r="B72" t="s">
        <v>62</v>
      </c>
      <c r="C72">
        <v>10</v>
      </c>
      <c r="D72">
        <v>83200</v>
      </c>
      <c r="E72" t="s">
        <v>1146</v>
      </c>
      <c r="F72">
        <v>5</v>
      </c>
      <c r="G72">
        <v>9.6</v>
      </c>
      <c r="H72">
        <v>9500</v>
      </c>
      <c r="I72">
        <v>1</v>
      </c>
      <c r="J72">
        <f>1</f>
        <v>1</v>
      </c>
      <c r="K72">
        <v>1</v>
      </c>
      <c r="L72">
        <v>0</v>
      </c>
      <c r="M72">
        <f t="shared" ca="1" si="3"/>
        <v>0.88734310115098292</v>
      </c>
      <c r="N72">
        <v>0</v>
      </c>
      <c r="O72">
        <v>0</v>
      </c>
      <c r="P72">
        <f t="shared" ca="1" si="4"/>
        <v>0.91894982669466307</v>
      </c>
      <c r="Q72">
        <f t="shared" si="5"/>
        <v>1</v>
      </c>
    </row>
    <row r="73" spans="1:17" x14ac:dyDescent="0.3">
      <c r="A73" t="s">
        <v>610</v>
      </c>
      <c r="B73" t="s">
        <v>64</v>
      </c>
      <c r="C73">
        <v>4</v>
      </c>
      <c r="D73">
        <v>60100</v>
      </c>
      <c r="E73" t="s">
        <v>67</v>
      </c>
      <c r="F73">
        <v>65</v>
      </c>
      <c r="G73">
        <v>8.1</v>
      </c>
      <c r="H73">
        <v>7800</v>
      </c>
      <c r="I73">
        <v>0</v>
      </c>
      <c r="J73">
        <f>1</f>
        <v>1</v>
      </c>
      <c r="K73">
        <v>1</v>
      </c>
      <c r="L73">
        <v>0</v>
      </c>
      <c r="M73">
        <f t="shared" ca="1" si="3"/>
        <v>0.13832879836438716</v>
      </c>
      <c r="N73">
        <v>0</v>
      </c>
      <c r="O73">
        <v>0</v>
      </c>
      <c r="P73">
        <f t="shared" ca="1" si="4"/>
        <v>0.25122257711961116</v>
      </c>
      <c r="Q73">
        <f t="shared" si="5"/>
        <v>1</v>
      </c>
    </row>
    <row r="74" spans="1:17" x14ac:dyDescent="0.3">
      <c r="A74" t="s">
        <v>355</v>
      </c>
      <c r="B74" t="s">
        <v>65</v>
      </c>
      <c r="C74">
        <v>4</v>
      </c>
      <c r="D74">
        <v>83000</v>
      </c>
      <c r="E74" t="s">
        <v>69</v>
      </c>
      <c r="F74">
        <v>17</v>
      </c>
      <c r="G74">
        <v>9.3000000000000007</v>
      </c>
      <c r="H74">
        <v>8700</v>
      </c>
      <c r="I74">
        <v>0</v>
      </c>
      <c r="J74">
        <f>1</f>
        <v>1</v>
      </c>
      <c r="K74">
        <v>1</v>
      </c>
      <c r="L74">
        <v>0</v>
      </c>
      <c r="M74">
        <f t="shared" ca="1" si="3"/>
        <v>0.85541173167764684</v>
      </c>
      <c r="N74">
        <v>0</v>
      </c>
      <c r="O74">
        <v>0</v>
      </c>
      <c r="P74">
        <f t="shared" ca="1" si="4"/>
        <v>1.4782334009204257E-2</v>
      </c>
      <c r="Q74">
        <f t="shared" si="5"/>
        <v>1</v>
      </c>
    </row>
    <row r="75" spans="1:17" x14ac:dyDescent="0.3">
      <c r="A75" t="s">
        <v>409</v>
      </c>
      <c r="B75" t="s">
        <v>64</v>
      </c>
      <c r="C75">
        <v>1</v>
      </c>
      <c r="D75">
        <v>25900</v>
      </c>
      <c r="E75" t="s">
        <v>67</v>
      </c>
      <c r="F75">
        <v>65</v>
      </c>
      <c r="G75">
        <v>5.9</v>
      </c>
      <c r="H75">
        <v>0</v>
      </c>
      <c r="I75">
        <v>0</v>
      </c>
      <c r="J75">
        <f>1</f>
        <v>1</v>
      </c>
      <c r="K75">
        <v>1</v>
      </c>
      <c r="L75">
        <v>0</v>
      </c>
      <c r="M75">
        <f t="shared" ca="1" si="3"/>
        <v>0.14241239952973661</v>
      </c>
      <c r="N75">
        <v>0</v>
      </c>
      <c r="O75">
        <v>0</v>
      </c>
      <c r="P75">
        <f t="shared" ca="1" si="4"/>
        <v>0.6878321177405341</v>
      </c>
      <c r="Q75">
        <f t="shared" si="5"/>
        <v>1</v>
      </c>
    </row>
    <row r="76" spans="1:17" x14ac:dyDescent="0.3">
      <c r="A76" t="s">
        <v>830</v>
      </c>
      <c r="B76" t="s">
        <v>65</v>
      </c>
      <c r="C76">
        <v>4</v>
      </c>
      <c r="D76">
        <v>19100</v>
      </c>
      <c r="E76" t="s">
        <v>1146</v>
      </c>
      <c r="F76">
        <v>5</v>
      </c>
      <c r="G76">
        <v>12.2</v>
      </c>
      <c r="H76">
        <v>0</v>
      </c>
      <c r="I76">
        <v>1</v>
      </c>
      <c r="J76">
        <f>1</f>
        <v>1</v>
      </c>
      <c r="K76">
        <v>1</v>
      </c>
      <c r="L76">
        <v>0</v>
      </c>
      <c r="M76">
        <f t="shared" ca="1" si="3"/>
        <v>0.35969733474755006</v>
      </c>
      <c r="N76">
        <v>0</v>
      </c>
      <c r="O76">
        <v>0</v>
      </c>
      <c r="P76">
        <f t="shared" ca="1" si="4"/>
        <v>0.90396688550814819</v>
      </c>
      <c r="Q76">
        <f t="shared" si="5"/>
        <v>1</v>
      </c>
    </row>
    <row r="77" spans="1:17" x14ac:dyDescent="0.3">
      <c r="A77" t="s">
        <v>1005</v>
      </c>
      <c r="B77" t="s">
        <v>62</v>
      </c>
      <c r="C77">
        <v>7</v>
      </c>
      <c r="D77">
        <v>71700</v>
      </c>
      <c r="E77" t="s">
        <v>1146</v>
      </c>
      <c r="F77">
        <v>10</v>
      </c>
      <c r="G77">
        <v>8</v>
      </c>
      <c r="H77">
        <v>10800</v>
      </c>
      <c r="I77">
        <v>1</v>
      </c>
      <c r="J77">
        <f>1</f>
        <v>1</v>
      </c>
      <c r="K77">
        <v>1</v>
      </c>
      <c r="L77">
        <v>0</v>
      </c>
      <c r="M77">
        <f t="shared" ca="1" si="3"/>
        <v>0.45143404701813339</v>
      </c>
      <c r="N77">
        <v>0</v>
      </c>
      <c r="O77">
        <v>0</v>
      </c>
      <c r="P77">
        <f t="shared" ca="1" si="4"/>
        <v>0.5291008181307717</v>
      </c>
      <c r="Q77">
        <f t="shared" si="5"/>
        <v>1</v>
      </c>
    </row>
    <row r="78" spans="1:17" x14ac:dyDescent="0.3">
      <c r="A78" t="s">
        <v>797</v>
      </c>
      <c r="B78" t="s">
        <v>65</v>
      </c>
      <c r="C78">
        <v>7</v>
      </c>
      <c r="D78">
        <v>66900</v>
      </c>
      <c r="E78" t="s">
        <v>1146</v>
      </c>
      <c r="F78">
        <v>0</v>
      </c>
      <c r="G78">
        <v>5.0999999999999996</v>
      </c>
      <c r="H78">
        <v>3000</v>
      </c>
      <c r="I78">
        <v>1</v>
      </c>
      <c r="J78">
        <f>1</f>
        <v>1</v>
      </c>
      <c r="K78">
        <v>1</v>
      </c>
      <c r="L78">
        <v>0</v>
      </c>
      <c r="M78">
        <f t="shared" ca="1" si="3"/>
        <v>0.2670861116227049</v>
      </c>
      <c r="N78">
        <v>0</v>
      </c>
      <c r="O78">
        <v>0</v>
      </c>
      <c r="P78">
        <f t="shared" ca="1" si="4"/>
        <v>0.51516427176707191</v>
      </c>
      <c r="Q78">
        <f t="shared" si="5"/>
        <v>1</v>
      </c>
    </row>
    <row r="79" spans="1:17" x14ac:dyDescent="0.3">
      <c r="A79" t="s">
        <v>1099</v>
      </c>
      <c r="B79" t="s">
        <v>62</v>
      </c>
      <c r="C79">
        <v>5</v>
      </c>
      <c r="D79">
        <v>23300</v>
      </c>
      <c r="E79" t="s">
        <v>1146</v>
      </c>
      <c r="F79">
        <v>1</v>
      </c>
      <c r="G79">
        <v>9.9</v>
      </c>
      <c r="H79">
        <v>7500</v>
      </c>
      <c r="I79">
        <v>1</v>
      </c>
      <c r="J79">
        <f>1</f>
        <v>1</v>
      </c>
      <c r="K79">
        <v>1</v>
      </c>
      <c r="L79">
        <v>0</v>
      </c>
      <c r="M79">
        <f t="shared" ca="1" si="3"/>
        <v>0.17403667395736666</v>
      </c>
      <c r="N79">
        <v>0</v>
      </c>
      <c r="O79">
        <v>0</v>
      </c>
      <c r="P79">
        <f t="shared" ca="1" si="4"/>
        <v>0.56848772258237268</v>
      </c>
      <c r="Q79">
        <f t="shared" si="5"/>
        <v>1</v>
      </c>
    </row>
    <row r="80" spans="1:17" x14ac:dyDescent="0.3">
      <c r="A80" t="s">
        <v>500</v>
      </c>
      <c r="B80" t="s">
        <v>64</v>
      </c>
      <c r="C80">
        <v>6</v>
      </c>
      <c r="D80">
        <v>75000</v>
      </c>
      <c r="E80" t="s">
        <v>69</v>
      </c>
      <c r="F80">
        <v>11</v>
      </c>
      <c r="G80">
        <v>4.3</v>
      </c>
      <c r="H80">
        <v>0</v>
      </c>
      <c r="I80">
        <v>0</v>
      </c>
      <c r="J80">
        <f>1</f>
        <v>1</v>
      </c>
      <c r="K80">
        <v>1</v>
      </c>
      <c r="L80">
        <v>0</v>
      </c>
      <c r="M80">
        <f t="shared" ca="1" si="3"/>
        <v>0.62272885349430485</v>
      </c>
      <c r="N80">
        <v>0</v>
      </c>
      <c r="O80">
        <v>0</v>
      </c>
      <c r="P80">
        <f t="shared" ca="1" si="4"/>
        <v>0.49140400444972443</v>
      </c>
      <c r="Q80">
        <f t="shared" si="5"/>
        <v>1</v>
      </c>
    </row>
    <row r="81" spans="1:17" x14ac:dyDescent="0.3">
      <c r="A81" t="s">
        <v>932</v>
      </c>
      <c r="B81" t="s">
        <v>62</v>
      </c>
      <c r="C81">
        <v>5</v>
      </c>
      <c r="D81">
        <v>18400</v>
      </c>
      <c r="E81" t="s">
        <v>1146</v>
      </c>
      <c r="F81">
        <v>7</v>
      </c>
      <c r="G81">
        <v>10</v>
      </c>
      <c r="H81">
        <v>3700</v>
      </c>
      <c r="I81">
        <v>1</v>
      </c>
      <c r="J81">
        <f>1</f>
        <v>1</v>
      </c>
      <c r="K81">
        <v>1</v>
      </c>
      <c r="L81">
        <v>0</v>
      </c>
      <c r="M81">
        <f t="shared" ca="1" si="3"/>
        <v>0.90392324640271871</v>
      </c>
      <c r="N81">
        <v>0</v>
      </c>
      <c r="O81">
        <v>0</v>
      </c>
      <c r="P81">
        <f t="shared" ca="1" si="4"/>
        <v>0.9285133486288264</v>
      </c>
      <c r="Q81">
        <f t="shared" si="5"/>
        <v>1</v>
      </c>
    </row>
    <row r="82" spans="1:17" x14ac:dyDescent="0.3">
      <c r="A82" t="s">
        <v>1138</v>
      </c>
      <c r="B82" t="s">
        <v>65</v>
      </c>
      <c r="C82">
        <v>4</v>
      </c>
      <c r="D82">
        <v>56100</v>
      </c>
      <c r="E82" t="s">
        <v>1146</v>
      </c>
      <c r="F82">
        <v>1</v>
      </c>
      <c r="G82">
        <v>11.1</v>
      </c>
      <c r="H82">
        <v>7700</v>
      </c>
      <c r="I82">
        <v>1</v>
      </c>
      <c r="J82">
        <f>1</f>
        <v>1</v>
      </c>
      <c r="K82">
        <v>1</v>
      </c>
      <c r="L82">
        <v>0</v>
      </c>
      <c r="M82">
        <f t="shared" ca="1" si="3"/>
        <v>0.84406510948247615</v>
      </c>
      <c r="N82">
        <v>0</v>
      </c>
      <c r="O82">
        <v>0</v>
      </c>
      <c r="P82">
        <f t="shared" ca="1" si="4"/>
        <v>0.45125428386470257</v>
      </c>
      <c r="Q82">
        <f t="shared" si="5"/>
        <v>1</v>
      </c>
    </row>
    <row r="83" spans="1:17" x14ac:dyDescent="0.3">
      <c r="A83" t="s">
        <v>134</v>
      </c>
      <c r="B83" t="s">
        <v>513</v>
      </c>
      <c r="C83">
        <v>5</v>
      </c>
      <c r="D83">
        <v>77700</v>
      </c>
      <c r="E83" t="s">
        <v>68</v>
      </c>
      <c r="F83">
        <v>57</v>
      </c>
      <c r="G83">
        <v>2.1</v>
      </c>
      <c r="H83">
        <v>3000</v>
      </c>
      <c r="I83">
        <v>0</v>
      </c>
      <c r="J83">
        <f>1</f>
        <v>1</v>
      </c>
      <c r="K83">
        <v>1</v>
      </c>
      <c r="L83">
        <v>0</v>
      </c>
      <c r="M83">
        <f t="shared" ca="1" si="3"/>
        <v>0.92617228159008436</v>
      </c>
      <c r="N83">
        <v>0</v>
      </c>
      <c r="O83">
        <v>0</v>
      </c>
      <c r="P83">
        <f t="shared" ca="1" si="4"/>
        <v>2.9793821909613882E-3</v>
      </c>
      <c r="Q83">
        <f t="shared" si="5"/>
        <v>1</v>
      </c>
    </row>
    <row r="84" spans="1:17" x14ac:dyDescent="0.3">
      <c r="A84" t="s">
        <v>836</v>
      </c>
      <c r="B84" t="s">
        <v>62</v>
      </c>
      <c r="C84">
        <v>2</v>
      </c>
      <c r="D84">
        <v>16700</v>
      </c>
      <c r="E84" t="s">
        <v>1146</v>
      </c>
      <c r="F84">
        <v>0</v>
      </c>
      <c r="G84">
        <v>9.6999999999999993</v>
      </c>
      <c r="H84">
        <v>5000</v>
      </c>
      <c r="I84">
        <v>1</v>
      </c>
      <c r="J84">
        <f>1</f>
        <v>1</v>
      </c>
      <c r="K84">
        <v>1</v>
      </c>
      <c r="L84">
        <v>0</v>
      </c>
      <c r="M84">
        <f t="shared" ca="1" si="3"/>
        <v>0.1208173104663538</v>
      </c>
      <c r="N84">
        <v>0</v>
      </c>
      <c r="O84">
        <v>0</v>
      </c>
      <c r="P84">
        <f t="shared" ca="1" si="4"/>
        <v>0.85834902481422382</v>
      </c>
      <c r="Q84">
        <f t="shared" si="5"/>
        <v>1</v>
      </c>
    </row>
    <row r="85" spans="1:17" x14ac:dyDescent="0.3">
      <c r="A85" t="s">
        <v>757</v>
      </c>
      <c r="B85" t="s">
        <v>62</v>
      </c>
      <c r="C85">
        <v>10</v>
      </c>
      <c r="D85">
        <v>78100</v>
      </c>
      <c r="E85" t="s">
        <v>1146</v>
      </c>
      <c r="F85">
        <v>3</v>
      </c>
      <c r="G85">
        <v>7.7</v>
      </c>
      <c r="H85">
        <v>3400</v>
      </c>
      <c r="I85">
        <v>1</v>
      </c>
      <c r="J85">
        <f>1</f>
        <v>1</v>
      </c>
      <c r="K85">
        <v>1</v>
      </c>
      <c r="L85">
        <v>0</v>
      </c>
      <c r="M85">
        <f t="shared" ca="1" si="3"/>
        <v>0.26555026839311324</v>
      </c>
      <c r="N85">
        <v>0</v>
      </c>
      <c r="O85">
        <v>0</v>
      </c>
      <c r="P85">
        <f t="shared" ca="1" si="4"/>
        <v>0.50570199811309047</v>
      </c>
      <c r="Q85">
        <f t="shared" si="5"/>
        <v>1</v>
      </c>
    </row>
    <row r="86" spans="1:17" x14ac:dyDescent="0.3">
      <c r="A86" t="s">
        <v>705</v>
      </c>
      <c r="B86" t="s">
        <v>64</v>
      </c>
      <c r="C86">
        <v>1</v>
      </c>
      <c r="D86">
        <v>22700</v>
      </c>
      <c r="E86" t="s">
        <v>1146</v>
      </c>
      <c r="F86">
        <v>1</v>
      </c>
      <c r="G86">
        <v>7.3</v>
      </c>
      <c r="H86">
        <v>5400</v>
      </c>
      <c r="I86">
        <v>1</v>
      </c>
      <c r="J86">
        <f>1</f>
        <v>1</v>
      </c>
      <c r="K86">
        <v>1</v>
      </c>
      <c r="L86">
        <v>0</v>
      </c>
      <c r="M86">
        <f t="shared" ca="1" si="3"/>
        <v>5.5577550111546858E-2</v>
      </c>
      <c r="N86">
        <v>0</v>
      </c>
      <c r="O86">
        <v>0</v>
      </c>
      <c r="P86">
        <f t="shared" ca="1" si="4"/>
        <v>4.0664230129066281E-2</v>
      </c>
      <c r="Q86">
        <f t="shared" si="5"/>
        <v>1</v>
      </c>
    </row>
    <row r="87" spans="1:17" x14ac:dyDescent="0.3">
      <c r="A87" t="s">
        <v>1006</v>
      </c>
      <c r="B87" t="s">
        <v>64</v>
      </c>
      <c r="C87">
        <v>8</v>
      </c>
      <c r="D87">
        <v>39900</v>
      </c>
      <c r="E87" t="s">
        <v>1146</v>
      </c>
      <c r="F87">
        <v>8</v>
      </c>
      <c r="G87">
        <v>8.1</v>
      </c>
      <c r="H87">
        <v>7800</v>
      </c>
      <c r="I87">
        <v>1</v>
      </c>
      <c r="J87">
        <f>1</f>
        <v>1</v>
      </c>
      <c r="K87">
        <v>1</v>
      </c>
      <c r="L87">
        <v>0</v>
      </c>
      <c r="M87">
        <f t="shared" ca="1" si="3"/>
        <v>0.77211755503514212</v>
      </c>
      <c r="N87">
        <v>0</v>
      </c>
      <c r="O87">
        <v>0</v>
      </c>
      <c r="P87">
        <f t="shared" ca="1" si="4"/>
        <v>0.99448428039628589</v>
      </c>
      <c r="Q87">
        <f t="shared" si="5"/>
        <v>1</v>
      </c>
    </row>
    <row r="88" spans="1:17" x14ac:dyDescent="0.3">
      <c r="A88" t="s">
        <v>989</v>
      </c>
      <c r="B88" t="s">
        <v>65</v>
      </c>
      <c r="C88">
        <v>5</v>
      </c>
      <c r="D88">
        <v>27200</v>
      </c>
      <c r="E88" t="s">
        <v>1146</v>
      </c>
      <c r="F88">
        <v>9</v>
      </c>
      <c r="G88">
        <v>9.8000000000000007</v>
      </c>
      <c r="H88">
        <v>0</v>
      </c>
      <c r="I88">
        <v>1</v>
      </c>
      <c r="J88">
        <f>1</f>
        <v>1</v>
      </c>
      <c r="K88">
        <v>1</v>
      </c>
      <c r="L88">
        <v>0</v>
      </c>
      <c r="M88">
        <f t="shared" ca="1" si="3"/>
        <v>0.60058119929595877</v>
      </c>
      <c r="N88">
        <v>0</v>
      </c>
      <c r="O88">
        <v>0</v>
      </c>
      <c r="P88">
        <f t="shared" ca="1" si="4"/>
        <v>0.84859460247844454</v>
      </c>
      <c r="Q88">
        <f t="shared" si="5"/>
        <v>1</v>
      </c>
    </row>
    <row r="89" spans="1:17" x14ac:dyDescent="0.3">
      <c r="A89" t="s">
        <v>676</v>
      </c>
      <c r="B89" t="s">
        <v>513</v>
      </c>
      <c r="C89">
        <v>5</v>
      </c>
      <c r="D89">
        <v>29400</v>
      </c>
      <c r="E89" t="s">
        <v>1146</v>
      </c>
      <c r="F89">
        <v>2</v>
      </c>
      <c r="G89">
        <v>0.6</v>
      </c>
      <c r="H89">
        <v>13800</v>
      </c>
      <c r="I89">
        <v>1</v>
      </c>
      <c r="J89">
        <f>1</f>
        <v>1</v>
      </c>
      <c r="K89">
        <v>1</v>
      </c>
      <c r="L89">
        <v>0</v>
      </c>
      <c r="M89">
        <f t="shared" ca="1" si="3"/>
        <v>0.21301707207892062</v>
      </c>
      <c r="N89">
        <v>0</v>
      </c>
      <c r="O89">
        <v>0</v>
      </c>
      <c r="P89">
        <f t="shared" ca="1" si="4"/>
        <v>0.69248670346973906</v>
      </c>
      <c r="Q89">
        <f t="shared" si="5"/>
        <v>1</v>
      </c>
    </row>
    <row r="90" spans="1:17" x14ac:dyDescent="0.3">
      <c r="A90" t="s">
        <v>554</v>
      </c>
      <c r="B90" t="s">
        <v>62</v>
      </c>
      <c r="C90">
        <v>5</v>
      </c>
      <c r="D90">
        <v>35000</v>
      </c>
      <c r="E90" t="s">
        <v>69</v>
      </c>
      <c r="F90">
        <v>48</v>
      </c>
      <c r="G90">
        <v>3.8</v>
      </c>
      <c r="H90">
        <v>1400</v>
      </c>
      <c r="I90">
        <v>0</v>
      </c>
      <c r="J90">
        <f>1</f>
        <v>1</v>
      </c>
      <c r="K90">
        <v>1</v>
      </c>
      <c r="L90">
        <v>0</v>
      </c>
      <c r="M90">
        <f t="shared" ca="1" si="3"/>
        <v>0.76474460348419493</v>
      </c>
      <c r="N90">
        <v>0</v>
      </c>
      <c r="O90">
        <v>0</v>
      </c>
      <c r="P90">
        <f t="shared" ca="1" si="4"/>
        <v>0.76771099419971556</v>
      </c>
      <c r="Q90">
        <f t="shared" si="5"/>
        <v>1</v>
      </c>
    </row>
    <row r="91" spans="1:17" x14ac:dyDescent="0.3">
      <c r="A91" t="s">
        <v>650</v>
      </c>
      <c r="B91" t="s">
        <v>65</v>
      </c>
      <c r="C91">
        <v>6</v>
      </c>
      <c r="D91">
        <v>64900</v>
      </c>
      <c r="E91" t="s">
        <v>1146</v>
      </c>
      <c r="F91">
        <v>10</v>
      </c>
      <c r="G91">
        <v>1.5</v>
      </c>
      <c r="H91">
        <v>0</v>
      </c>
      <c r="I91">
        <v>1</v>
      </c>
      <c r="J91">
        <f>1</f>
        <v>1</v>
      </c>
      <c r="K91">
        <v>1</v>
      </c>
      <c r="L91">
        <v>0</v>
      </c>
      <c r="M91">
        <f t="shared" ca="1" si="3"/>
        <v>0.18403643785578527</v>
      </c>
      <c r="N91">
        <v>0</v>
      </c>
      <c r="O91">
        <v>0</v>
      </c>
      <c r="P91">
        <f t="shared" ca="1" si="4"/>
        <v>0.7915436375773669</v>
      </c>
      <c r="Q91">
        <f t="shared" si="5"/>
        <v>1</v>
      </c>
    </row>
    <row r="92" spans="1:17" x14ac:dyDescent="0.3">
      <c r="A92" t="s">
        <v>827</v>
      </c>
      <c r="B92" t="s">
        <v>513</v>
      </c>
      <c r="C92">
        <v>9</v>
      </c>
      <c r="D92">
        <v>103000</v>
      </c>
      <c r="E92" t="s">
        <v>1146</v>
      </c>
      <c r="F92">
        <v>9</v>
      </c>
      <c r="G92">
        <v>4.3</v>
      </c>
      <c r="H92">
        <v>0</v>
      </c>
      <c r="I92">
        <v>1</v>
      </c>
      <c r="J92">
        <f>1</f>
        <v>1</v>
      </c>
      <c r="K92">
        <v>1</v>
      </c>
      <c r="L92">
        <v>0</v>
      </c>
      <c r="M92">
        <f t="shared" ca="1" si="3"/>
        <v>0.80923507796754368</v>
      </c>
      <c r="N92">
        <v>0</v>
      </c>
      <c r="O92">
        <v>0</v>
      </c>
      <c r="P92">
        <f t="shared" ca="1" si="4"/>
        <v>0.97195314834538515</v>
      </c>
      <c r="Q92">
        <f t="shared" si="5"/>
        <v>1</v>
      </c>
    </row>
    <row r="93" spans="1:17" x14ac:dyDescent="0.3">
      <c r="A93" t="s">
        <v>648</v>
      </c>
      <c r="B93" t="s">
        <v>513</v>
      </c>
      <c r="C93">
        <v>4</v>
      </c>
      <c r="D93">
        <v>46600</v>
      </c>
      <c r="E93" t="s">
        <v>1146</v>
      </c>
      <c r="F93">
        <v>9</v>
      </c>
      <c r="G93">
        <v>9.9</v>
      </c>
      <c r="H93">
        <v>5400</v>
      </c>
      <c r="I93">
        <v>1</v>
      </c>
      <c r="J93">
        <f>1</f>
        <v>1</v>
      </c>
      <c r="K93">
        <v>1</v>
      </c>
      <c r="L93">
        <v>0</v>
      </c>
      <c r="M93">
        <f t="shared" ca="1" si="3"/>
        <v>0.69392047516700783</v>
      </c>
      <c r="N93">
        <v>0</v>
      </c>
      <c r="O93">
        <v>0</v>
      </c>
      <c r="P93">
        <f t="shared" ca="1" si="4"/>
        <v>0.78496743701017513</v>
      </c>
      <c r="Q93">
        <f t="shared" si="5"/>
        <v>1</v>
      </c>
    </row>
    <row r="94" spans="1:17" x14ac:dyDescent="0.3">
      <c r="A94" t="s">
        <v>502</v>
      </c>
      <c r="B94" t="s">
        <v>513</v>
      </c>
      <c r="C94">
        <v>5</v>
      </c>
      <c r="D94">
        <v>49900</v>
      </c>
      <c r="E94" t="s">
        <v>68</v>
      </c>
      <c r="F94">
        <v>49</v>
      </c>
      <c r="G94">
        <v>0.5</v>
      </c>
      <c r="H94">
        <v>6400</v>
      </c>
      <c r="I94">
        <v>0</v>
      </c>
      <c r="J94">
        <f>1</f>
        <v>1</v>
      </c>
      <c r="K94">
        <v>1</v>
      </c>
      <c r="L94">
        <v>0</v>
      </c>
      <c r="M94">
        <f t="shared" ca="1" si="3"/>
        <v>4.2041251028424265E-2</v>
      </c>
      <c r="N94">
        <v>0</v>
      </c>
      <c r="O94">
        <v>0</v>
      </c>
      <c r="P94">
        <f t="shared" ca="1" si="4"/>
        <v>0.48589811353041279</v>
      </c>
      <c r="Q94">
        <f t="shared" si="5"/>
        <v>1</v>
      </c>
    </row>
    <row r="95" spans="1:17" x14ac:dyDescent="0.3">
      <c r="A95" t="s">
        <v>347</v>
      </c>
      <c r="B95" t="s">
        <v>513</v>
      </c>
      <c r="C95">
        <v>5</v>
      </c>
      <c r="D95">
        <v>86100</v>
      </c>
      <c r="E95" t="s">
        <v>66</v>
      </c>
      <c r="F95">
        <v>34</v>
      </c>
      <c r="G95">
        <v>1.9</v>
      </c>
      <c r="H95">
        <v>1600</v>
      </c>
      <c r="I95">
        <v>0</v>
      </c>
      <c r="J95">
        <f>1</f>
        <v>1</v>
      </c>
      <c r="K95">
        <v>1</v>
      </c>
      <c r="L95">
        <v>0</v>
      </c>
      <c r="M95">
        <f t="shared" ca="1" si="3"/>
        <v>0.15344769617737475</v>
      </c>
      <c r="N95">
        <v>0</v>
      </c>
      <c r="O95">
        <v>0</v>
      </c>
      <c r="P95">
        <f t="shared" ca="1" si="4"/>
        <v>0.68029476999004979</v>
      </c>
      <c r="Q95">
        <f t="shared" si="5"/>
        <v>1</v>
      </c>
    </row>
    <row r="96" spans="1:17" x14ac:dyDescent="0.3">
      <c r="A96" t="s">
        <v>849</v>
      </c>
      <c r="B96" t="s">
        <v>64</v>
      </c>
      <c r="C96">
        <v>5</v>
      </c>
      <c r="D96">
        <v>20400</v>
      </c>
      <c r="E96" t="s">
        <v>1146</v>
      </c>
      <c r="F96">
        <v>0</v>
      </c>
      <c r="G96">
        <v>9.8000000000000007</v>
      </c>
      <c r="H96">
        <v>400</v>
      </c>
      <c r="I96">
        <v>1</v>
      </c>
      <c r="J96">
        <f>1</f>
        <v>1</v>
      </c>
      <c r="K96">
        <v>1</v>
      </c>
      <c r="L96">
        <v>0</v>
      </c>
      <c r="M96">
        <f t="shared" ca="1" si="3"/>
        <v>0.68097649312791064</v>
      </c>
      <c r="N96">
        <v>0</v>
      </c>
      <c r="O96">
        <v>0</v>
      </c>
      <c r="P96">
        <f t="shared" ca="1" si="4"/>
        <v>0.11101611721451399</v>
      </c>
      <c r="Q96">
        <f t="shared" si="5"/>
        <v>1</v>
      </c>
    </row>
    <row r="97" spans="1:17" x14ac:dyDescent="0.3">
      <c r="A97" t="s">
        <v>854</v>
      </c>
      <c r="B97" t="s">
        <v>62</v>
      </c>
      <c r="C97">
        <v>9</v>
      </c>
      <c r="D97">
        <v>79400</v>
      </c>
      <c r="E97" t="s">
        <v>1146</v>
      </c>
      <c r="F97">
        <v>8</v>
      </c>
      <c r="G97">
        <v>5.9</v>
      </c>
      <c r="H97">
        <v>0</v>
      </c>
      <c r="I97">
        <v>1</v>
      </c>
      <c r="J97">
        <f>1</f>
        <v>1</v>
      </c>
      <c r="K97">
        <v>1</v>
      </c>
      <c r="L97">
        <v>0</v>
      </c>
      <c r="M97">
        <f t="shared" ca="1" si="3"/>
        <v>0.49022564495689336</v>
      </c>
      <c r="N97">
        <v>0</v>
      </c>
      <c r="O97">
        <v>0</v>
      </c>
      <c r="P97">
        <f t="shared" ca="1" si="4"/>
        <v>8.9480974533953539E-2</v>
      </c>
      <c r="Q97">
        <f t="shared" si="5"/>
        <v>1</v>
      </c>
    </row>
    <row r="98" spans="1:17" x14ac:dyDescent="0.3">
      <c r="A98" t="s">
        <v>872</v>
      </c>
      <c r="B98" t="s">
        <v>64</v>
      </c>
      <c r="C98">
        <v>4</v>
      </c>
      <c r="D98">
        <v>52100</v>
      </c>
      <c r="E98" t="s">
        <v>1146</v>
      </c>
      <c r="F98">
        <v>7</v>
      </c>
      <c r="G98">
        <v>1.4</v>
      </c>
      <c r="H98">
        <v>2000</v>
      </c>
      <c r="I98">
        <v>1</v>
      </c>
      <c r="J98">
        <f>1</f>
        <v>1</v>
      </c>
      <c r="K98">
        <v>1</v>
      </c>
      <c r="L98">
        <v>0</v>
      </c>
      <c r="M98">
        <f t="shared" ca="1" si="3"/>
        <v>0.20185333847345344</v>
      </c>
      <c r="N98">
        <v>0</v>
      </c>
      <c r="O98">
        <v>0</v>
      </c>
      <c r="P98">
        <f t="shared" ca="1" si="4"/>
        <v>0.7139564071931751</v>
      </c>
      <c r="Q98">
        <f t="shared" si="5"/>
        <v>1</v>
      </c>
    </row>
    <row r="99" spans="1:17" x14ac:dyDescent="0.3">
      <c r="A99" t="s">
        <v>1052</v>
      </c>
      <c r="B99" t="s">
        <v>513</v>
      </c>
      <c r="C99">
        <v>3</v>
      </c>
      <c r="D99">
        <v>47200</v>
      </c>
      <c r="E99" t="s">
        <v>1146</v>
      </c>
      <c r="F99">
        <v>5</v>
      </c>
      <c r="G99">
        <v>8.9</v>
      </c>
      <c r="H99">
        <v>1800</v>
      </c>
      <c r="I99">
        <v>1</v>
      </c>
      <c r="J99">
        <f>1</f>
        <v>1</v>
      </c>
      <c r="K99">
        <v>1</v>
      </c>
      <c r="L99">
        <v>0</v>
      </c>
      <c r="M99">
        <f t="shared" ca="1" si="3"/>
        <v>0.65601892277587903</v>
      </c>
      <c r="N99">
        <v>0</v>
      </c>
      <c r="O99">
        <v>0</v>
      </c>
      <c r="P99">
        <f t="shared" ca="1" si="4"/>
        <v>0.44653817852636402</v>
      </c>
      <c r="Q99">
        <f t="shared" si="5"/>
        <v>1</v>
      </c>
    </row>
    <row r="100" spans="1:17" x14ac:dyDescent="0.3">
      <c r="A100" t="s">
        <v>1032</v>
      </c>
      <c r="B100" t="s">
        <v>65</v>
      </c>
      <c r="C100">
        <v>8</v>
      </c>
      <c r="D100">
        <v>16700</v>
      </c>
      <c r="E100" t="s">
        <v>1146</v>
      </c>
      <c r="F100">
        <v>1</v>
      </c>
      <c r="G100">
        <v>6.5</v>
      </c>
      <c r="H100">
        <v>3700</v>
      </c>
      <c r="I100">
        <v>1</v>
      </c>
      <c r="J100">
        <f>1</f>
        <v>1</v>
      </c>
      <c r="K100">
        <v>1</v>
      </c>
      <c r="L100">
        <v>0</v>
      </c>
      <c r="M100">
        <f t="shared" ca="1" si="3"/>
        <v>0.94118718280230462</v>
      </c>
      <c r="N100">
        <v>0</v>
      </c>
      <c r="O100">
        <v>0</v>
      </c>
      <c r="P100">
        <f t="shared" ca="1" si="4"/>
        <v>0.98930270445853108</v>
      </c>
      <c r="Q100">
        <f t="shared" si="5"/>
        <v>1</v>
      </c>
    </row>
    <row r="101" spans="1:17" x14ac:dyDescent="0.3">
      <c r="A101" t="s">
        <v>548</v>
      </c>
      <c r="B101" t="s">
        <v>62</v>
      </c>
      <c r="C101">
        <v>2</v>
      </c>
      <c r="D101">
        <v>73500</v>
      </c>
      <c r="E101" t="s">
        <v>66</v>
      </c>
      <c r="F101">
        <v>20</v>
      </c>
      <c r="G101">
        <v>7.3</v>
      </c>
      <c r="H101">
        <v>9100</v>
      </c>
      <c r="I101">
        <v>0</v>
      </c>
      <c r="J101">
        <f>1</f>
        <v>1</v>
      </c>
      <c r="K101">
        <v>1</v>
      </c>
      <c r="L101">
        <v>0</v>
      </c>
      <c r="M101">
        <f t="shared" ca="1" si="3"/>
        <v>0.79030980063287004</v>
      </c>
      <c r="N101">
        <v>0</v>
      </c>
      <c r="O101">
        <v>0</v>
      </c>
      <c r="P101">
        <f t="shared" ca="1" si="4"/>
        <v>0.9368608334115619</v>
      </c>
      <c r="Q101">
        <f t="shared" si="5"/>
        <v>1</v>
      </c>
    </row>
    <row r="102" spans="1:17" x14ac:dyDescent="0.3">
      <c r="A102" t="s">
        <v>884</v>
      </c>
      <c r="B102" t="s">
        <v>65</v>
      </c>
      <c r="C102">
        <v>8</v>
      </c>
      <c r="D102">
        <v>42800</v>
      </c>
      <c r="E102" t="s">
        <v>1146</v>
      </c>
      <c r="F102">
        <v>0</v>
      </c>
      <c r="G102">
        <v>2.8</v>
      </c>
      <c r="H102">
        <v>5600</v>
      </c>
      <c r="I102">
        <v>1</v>
      </c>
      <c r="J102">
        <f>1</f>
        <v>1</v>
      </c>
      <c r="K102">
        <v>1</v>
      </c>
      <c r="L102">
        <v>0</v>
      </c>
      <c r="M102">
        <f t="shared" ca="1" si="3"/>
        <v>6.4408975107622335E-2</v>
      </c>
      <c r="N102">
        <v>0</v>
      </c>
      <c r="O102">
        <v>0</v>
      </c>
      <c r="P102">
        <f t="shared" ca="1" si="4"/>
        <v>0.43368967503558686</v>
      </c>
      <c r="Q102">
        <f t="shared" si="5"/>
        <v>1</v>
      </c>
    </row>
    <row r="103" spans="1:17" x14ac:dyDescent="0.3">
      <c r="A103" t="s">
        <v>1018</v>
      </c>
      <c r="B103" t="s">
        <v>513</v>
      </c>
      <c r="C103">
        <v>7</v>
      </c>
      <c r="D103">
        <v>55200</v>
      </c>
      <c r="E103" t="s">
        <v>1146</v>
      </c>
      <c r="F103">
        <v>7</v>
      </c>
      <c r="G103">
        <v>13.1</v>
      </c>
      <c r="H103">
        <v>11800</v>
      </c>
      <c r="I103">
        <v>1</v>
      </c>
      <c r="J103">
        <f>1</f>
        <v>1</v>
      </c>
      <c r="K103">
        <v>1</v>
      </c>
      <c r="L103">
        <v>0</v>
      </c>
      <c r="M103">
        <f t="shared" ca="1" si="3"/>
        <v>7.2797917836845194E-2</v>
      </c>
      <c r="N103">
        <v>0</v>
      </c>
      <c r="O103">
        <v>0</v>
      </c>
      <c r="P103">
        <f t="shared" ca="1" si="4"/>
        <v>0.5855852215854821</v>
      </c>
      <c r="Q103">
        <f t="shared" si="5"/>
        <v>1</v>
      </c>
    </row>
    <row r="104" spans="1:17" x14ac:dyDescent="0.3">
      <c r="A104" t="s">
        <v>123</v>
      </c>
      <c r="B104" t="s">
        <v>62</v>
      </c>
      <c r="C104">
        <v>4</v>
      </c>
      <c r="D104">
        <v>27900</v>
      </c>
      <c r="E104" t="s">
        <v>67</v>
      </c>
      <c r="F104">
        <v>91</v>
      </c>
      <c r="G104">
        <v>3.7</v>
      </c>
      <c r="H104">
        <v>0</v>
      </c>
      <c r="I104">
        <v>0</v>
      </c>
      <c r="J104">
        <f>1</f>
        <v>1</v>
      </c>
      <c r="K104">
        <v>1</v>
      </c>
      <c r="L104">
        <v>0</v>
      </c>
      <c r="M104">
        <f t="shared" ca="1" si="3"/>
        <v>0.19923344711716084</v>
      </c>
      <c r="N104">
        <v>0</v>
      </c>
      <c r="O104">
        <v>0</v>
      </c>
      <c r="P104">
        <f t="shared" ca="1" si="4"/>
        <v>4.1119881553319138E-2</v>
      </c>
      <c r="Q104">
        <f t="shared" si="5"/>
        <v>1</v>
      </c>
    </row>
    <row r="105" spans="1:17" x14ac:dyDescent="0.3">
      <c r="A105" t="s">
        <v>246</v>
      </c>
      <c r="B105" t="s">
        <v>65</v>
      </c>
      <c r="C105">
        <v>7</v>
      </c>
      <c r="D105">
        <v>47000</v>
      </c>
      <c r="E105" t="s">
        <v>67</v>
      </c>
      <c r="F105">
        <v>96</v>
      </c>
      <c r="G105">
        <v>5.8</v>
      </c>
      <c r="H105">
        <v>8000</v>
      </c>
      <c r="I105">
        <v>0</v>
      </c>
      <c r="J105">
        <f>1</f>
        <v>1</v>
      </c>
      <c r="K105">
        <v>1</v>
      </c>
      <c r="L105">
        <v>0</v>
      </c>
      <c r="M105">
        <f t="shared" ca="1" si="3"/>
        <v>0.63029306306702826</v>
      </c>
      <c r="N105">
        <v>0</v>
      </c>
      <c r="O105">
        <v>0</v>
      </c>
      <c r="P105">
        <f t="shared" ca="1" si="4"/>
        <v>5.2914787310275657E-2</v>
      </c>
      <c r="Q105">
        <f t="shared" si="5"/>
        <v>1</v>
      </c>
    </row>
    <row r="106" spans="1:17" x14ac:dyDescent="0.3">
      <c r="A106" t="s">
        <v>604</v>
      </c>
      <c r="B106" t="s">
        <v>62</v>
      </c>
      <c r="C106">
        <v>4</v>
      </c>
      <c r="D106">
        <v>41000</v>
      </c>
      <c r="E106" t="s">
        <v>67</v>
      </c>
      <c r="F106">
        <v>47</v>
      </c>
      <c r="G106">
        <v>6.7</v>
      </c>
      <c r="H106">
        <v>6900</v>
      </c>
      <c r="I106">
        <v>0</v>
      </c>
      <c r="J106">
        <f>1</f>
        <v>1</v>
      </c>
      <c r="K106">
        <v>1</v>
      </c>
      <c r="L106">
        <v>0</v>
      </c>
      <c r="M106">
        <f t="shared" ca="1" si="3"/>
        <v>0.72511451855903142</v>
      </c>
      <c r="N106">
        <v>0</v>
      </c>
      <c r="O106">
        <v>0</v>
      </c>
      <c r="P106">
        <f t="shared" ca="1" si="4"/>
        <v>0.73155649135825951</v>
      </c>
      <c r="Q106">
        <f t="shared" si="5"/>
        <v>1</v>
      </c>
    </row>
    <row r="107" spans="1:17" x14ac:dyDescent="0.3">
      <c r="A107" t="s">
        <v>202</v>
      </c>
      <c r="B107" t="s">
        <v>62</v>
      </c>
      <c r="C107">
        <v>2</v>
      </c>
      <c r="D107">
        <v>64200</v>
      </c>
      <c r="E107" t="s">
        <v>68</v>
      </c>
      <c r="F107">
        <v>35</v>
      </c>
      <c r="G107">
        <v>5.5</v>
      </c>
      <c r="H107">
        <v>5100</v>
      </c>
      <c r="I107">
        <v>0</v>
      </c>
      <c r="J107">
        <f>1</f>
        <v>1</v>
      </c>
      <c r="K107">
        <v>1</v>
      </c>
      <c r="L107">
        <v>0</v>
      </c>
      <c r="M107">
        <f t="shared" ca="1" si="3"/>
        <v>0.41634099629280863</v>
      </c>
      <c r="N107">
        <v>0</v>
      </c>
      <c r="O107">
        <v>0</v>
      </c>
      <c r="P107">
        <f t="shared" ca="1" si="4"/>
        <v>0.60220216414442307</v>
      </c>
      <c r="Q107">
        <f t="shared" si="5"/>
        <v>1</v>
      </c>
    </row>
    <row r="108" spans="1:17" x14ac:dyDescent="0.3">
      <c r="A108" t="s">
        <v>185</v>
      </c>
      <c r="B108" t="s">
        <v>62</v>
      </c>
      <c r="C108">
        <v>8</v>
      </c>
      <c r="D108">
        <v>31000</v>
      </c>
      <c r="E108" t="s">
        <v>67</v>
      </c>
      <c r="F108">
        <v>72</v>
      </c>
      <c r="G108">
        <v>3.8</v>
      </c>
      <c r="H108">
        <v>7000</v>
      </c>
      <c r="I108">
        <v>0</v>
      </c>
      <c r="J108">
        <f>1</f>
        <v>1</v>
      </c>
      <c r="K108">
        <v>1</v>
      </c>
      <c r="L108">
        <v>0</v>
      </c>
      <c r="M108">
        <f t="shared" ca="1" si="3"/>
        <v>0.83715418049701062</v>
      </c>
      <c r="N108">
        <v>0</v>
      </c>
      <c r="O108">
        <v>0</v>
      </c>
      <c r="P108">
        <f t="shared" ca="1" si="4"/>
        <v>0.28502183283726656</v>
      </c>
      <c r="Q108">
        <f t="shared" si="5"/>
        <v>1</v>
      </c>
    </row>
    <row r="109" spans="1:17" x14ac:dyDescent="0.3">
      <c r="A109" t="s">
        <v>227</v>
      </c>
      <c r="B109" t="s">
        <v>62</v>
      </c>
      <c r="C109">
        <v>7</v>
      </c>
      <c r="D109">
        <v>67500</v>
      </c>
      <c r="E109" t="s">
        <v>69</v>
      </c>
      <c r="F109">
        <v>22</v>
      </c>
      <c r="G109">
        <v>9</v>
      </c>
      <c r="H109">
        <v>4300</v>
      </c>
      <c r="I109">
        <v>0</v>
      </c>
      <c r="J109">
        <f>1</f>
        <v>1</v>
      </c>
      <c r="K109">
        <v>1</v>
      </c>
      <c r="L109">
        <v>0</v>
      </c>
      <c r="M109">
        <f t="shared" ca="1" si="3"/>
        <v>0.8452579004048002</v>
      </c>
      <c r="N109">
        <v>0</v>
      </c>
      <c r="O109">
        <v>0</v>
      </c>
      <c r="P109">
        <f t="shared" ca="1" si="4"/>
        <v>0.64720018341405172</v>
      </c>
      <c r="Q109">
        <f t="shared" si="5"/>
        <v>1</v>
      </c>
    </row>
    <row r="110" spans="1:17" x14ac:dyDescent="0.3">
      <c r="A110" t="s">
        <v>267</v>
      </c>
      <c r="B110" t="s">
        <v>65</v>
      </c>
      <c r="C110">
        <v>3</v>
      </c>
      <c r="D110">
        <v>22000</v>
      </c>
      <c r="E110" t="s">
        <v>69</v>
      </c>
      <c r="F110">
        <v>39</v>
      </c>
      <c r="G110">
        <v>8.1999999999999993</v>
      </c>
      <c r="H110">
        <v>5200</v>
      </c>
      <c r="I110">
        <v>0</v>
      </c>
      <c r="J110">
        <f>1</f>
        <v>1</v>
      </c>
      <c r="K110">
        <v>1</v>
      </c>
      <c r="L110">
        <v>0</v>
      </c>
      <c r="M110">
        <f t="shared" ca="1" si="3"/>
        <v>5.2417697211138869E-2</v>
      </c>
      <c r="N110">
        <v>0</v>
      </c>
      <c r="O110">
        <v>0</v>
      </c>
      <c r="P110">
        <f t="shared" ca="1" si="4"/>
        <v>0.53505926625486511</v>
      </c>
      <c r="Q110">
        <f t="shared" si="5"/>
        <v>1</v>
      </c>
    </row>
    <row r="111" spans="1:17" x14ac:dyDescent="0.3">
      <c r="A111" t="s">
        <v>316</v>
      </c>
      <c r="B111" t="s">
        <v>513</v>
      </c>
      <c r="C111">
        <v>9</v>
      </c>
      <c r="D111">
        <v>90800</v>
      </c>
      <c r="E111" t="s">
        <v>67</v>
      </c>
      <c r="F111">
        <v>110</v>
      </c>
      <c r="G111">
        <v>12.1</v>
      </c>
      <c r="H111">
        <v>8000</v>
      </c>
      <c r="I111">
        <v>0</v>
      </c>
      <c r="J111">
        <f>1</f>
        <v>1</v>
      </c>
      <c r="K111">
        <v>1</v>
      </c>
      <c r="L111">
        <v>0</v>
      </c>
      <c r="M111">
        <f t="shared" ca="1" si="3"/>
        <v>0.20563625774845429</v>
      </c>
      <c r="N111">
        <v>0</v>
      </c>
      <c r="O111">
        <v>0</v>
      </c>
      <c r="P111">
        <f t="shared" ca="1" si="4"/>
        <v>0.33502022736249137</v>
      </c>
      <c r="Q111">
        <f t="shared" si="5"/>
        <v>1</v>
      </c>
    </row>
    <row r="112" spans="1:17" x14ac:dyDescent="0.3">
      <c r="A112" t="s">
        <v>442</v>
      </c>
      <c r="B112" t="s">
        <v>513</v>
      </c>
      <c r="C112">
        <v>4</v>
      </c>
      <c r="D112">
        <v>24400</v>
      </c>
      <c r="E112" t="s">
        <v>66</v>
      </c>
      <c r="F112">
        <v>28</v>
      </c>
      <c r="G112">
        <v>14.8</v>
      </c>
      <c r="H112">
        <v>1000</v>
      </c>
      <c r="I112">
        <v>0</v>
      </c>
      <c r="J112">
        <f>1</f>
        <v>1</v>
      </c>
      <c r="K112">
        <v>1</v>
      </c>
      <c r="L112">
        <v>0</v>
      </c>
      <c r="M112">
        <f t="shared" ca="1" si="3"/>
        <v>0.73310694230325135</v>
      </c>
      <c r="N112">
        <v>0</v>
      </c>
      <c r="O112">
        <v>0</v>
      </c>
      <c r="P112">
        <f t="shared" ca="1" si="4"/>
        <v>0.31569455792736778</v>
      </c>
      <c r="Q112">
        <f t="shared" si="5"/>
        <v>1</v>
      </c>
    </row>
    <row r="113" spans="1:17" x14ac:dyDescent="0.3">
      <c r="A113" t="s">
        <v>879</v>
      </c>
      <c r="B113" t="s">
        <v>65</v>
      </c>
      <c r="C113">
        <v>4</v>
      </c>
      <c r="D113">
        <v>54000</v>
      </c>
      <c r="E113" t="s">
        <v>1146</v>
      </c>
      <c r="F113">
        <v>3</v>
      </c>
      <c r="G113">
        <v>7</v>
      </c>
      <c r="H113">
        <v>4600</v>
      </c>
      <c r="I113">
        <v>1</v>
      </c>
      <c r="J113">
        <f>1</f>
        <v>1</v>
      </c>
      <c r="K113">
        <v>1</v>
      </c>
      <c r="L113">
        <v>0</v>
      </c>
      <c r="M113">
        <f t="shared" ca="1" si="3"/>
        <v>0.18692874947033367</v>
      </c>
      <c r="N113">
        <v>0</v>
      </c>
      <c r="O113">
        <v>0</v>
      </c>
      <c r="P113">
        <f t="shared" ca="1" si="4"/>
        <v>0.43773573446895042</v>
      </c>
      <c r="Q113">
        <f t="shared" si="5"/>
        <v>1</v>
      </c>
    </row>
    <row r="114" spans="1:17" x14ac:dyDescent="0.3">
      <c r="A114" t="s">
        <v>758</v>
      </c>
      <c r="B114" t="s">
        <v>513</v>
      </c>
      <c r="C114">
        <v>6</v>
      </c>
      <c r="D114">
        <v>174600</v>
      </c>
      <c r="E114" t="s">
        <v>1146</v>
      </c>
      <c r="F114">
        <v>10</v>
      </c>
      <c r="G114">
        <v>2.2000000000000002</v>
      </c>
      <c r="H114">
        <v>5300</v>
      </c>
      <c r="I114">
        <v>1</v>
      </c>
      <c r="J114">
        <f>1</f>
        <v>1</v>
      </c>
      <c r="K114">
        <v>1</v>
      </c>
      <c r="L114">
        <v>0</v>
      </c>
      <c r="M114">
        <f t="shared" ca="1" si="3"/>
        <v>0.83017291448688024</v>
      </c>
      <c r="N114">
        <v>0</v>
      </c>
      <c r="O114">
        <v>0</v>
      </c>
      <c r="P114">
        <f t="shared" ca="1" si="4"/>
        <v>9.9762893280889053E-2</v>
      </c>
      <c r="Q114">
        <f t="shared" si="5"/>
        <v>1</v>
      </c>
    </row>
    <row r="115" spans="1:17" x14ac:dyDescent="0.3">
      <c r="A115" t="s">
        <v>136</v>
      </c>
      <c r="B115" t="s">
        <v>62</v>
      </c>
      <c r="C115">
        <v>2</v>
      </c>
      <c r="D115">
        <v>15900</v>
      </c>
      <c r="E115" t="s">
        <v>66</v>
      </c>
      <c r="F115">
        <v>40</v>
      </c>
      <c r="G115">
        <v>1.3</v>
      </c>
      <c r="H115">
        <v>1600</v>
      </c>
      <c r="I115">
        <v>0</v>
      </c>
      <c r="J115">
        <f>1</f>
        <v>1</v>
      </c>
      <c r="K115">
        <v>1</v>
      </c>
      <c r="L115">
        <v>0</v>
      </c>
      <c r="M115">
        <f t="shared" ca="1" si="3"/>
        <v>3.9564657881764664E-2</v>
      </c>
      <c r="N115">
        <v>0</v>
      </c>
      <c r="O115">
        <v>0</v>
      </c>
      <c r="P115">
        <f t="shared" ca="1" si="4"/>
        <v>0.26267619867109115</v>
      </c>
      <c r="Q115">
        <f t="shared" si="5"/>
        <v>1</v>
      </c>
    </row>
    <row r="116" spans="1:17" x14ac:dyDescent="0.3">
      <c r="A116" t="s">
        <v>1136</v>
      </c>
      <c r="B116" t="s">
        <v>513</v>
      </c>
      <c r="C116">
        <v>6</v>
      </c>
      <c r="D116">
        <v>107300</v>
      </c>
      <c r="E116" t="s">
        <v>1146</v>
      </c>
      <c r="F116">
        <v>8</v>
      </c>
      <c r="G116">
        <v>6.3</v>
      </c>
      <c r="H116">
        <v>2700</v>
      </c>
      <c r="I116">
        <v>1</v>
      </c>
      <c r="J116">
        <f>1</f>
        <v>1</v>
      </c>
      <c r="K116">
        <v>1</v>
      </c>
      <c r="L116">
        <v>0</v>
      </c>
      <c r="M116">
        <f t="shared" ca="1" si="3"/>
        <v>0.80993507810817711</v>
      </c>
      <c r="N116">
        <v>0</v>
      </c>
      <c r="O116">
        <v>0</v>
      </c>
      <c r="P116">
        <f t="shared" ca="1" si="4"/>
        <v>0.24606624581266368</v>
      </c>
      <c r="Q116">
        <f t="shared" si="5"/>
        <v>1</v>
      </c>
    </row>
    <row r="117" spans="1:17" x14ac:dyDescent="0.3">
      <c r="A117" t="s">
        <v>112</v>
      </c>
      <c r="B117" t="s">
        <v>65</v>
      </c>
      <c r="C117">
        <v>7</v>
      </c>
      <c r="D117">
        <v>80800</v>
      </c>
      <c r="E117" t="s">
        <v>68</v>
      </c>
      <c r="F117">
        <v>31</v>
      </c>
      <c r="G117">
        <v>10</v>
      </c>
      <c r="H117">
        <v>12100</v>
      </c>
      <c r="I117">
        <v>0</v>
      </c>
      <c r="J117">
        <f>1</f>
        <v>1</v>
      </c>
      <c r="K117">
        <v>1</v>
      </c>
      <c r="L117">
        <v>0</v>
      </c>
      <c r="M117">
        <f t="shared" ca="1" si="3"/>
        <v>0.76436340150950799</v>
      </c>
      <c r="N117">
        <v>0</v>
      </c>
      <c r="O117">
        <v>0</v>
      </c>
      <c r="P117">
        <f t="shared" ca="1" si="4"/>
        <v>0.89207147966862677</v>
      </c>
      <c r="Q117">
        <f t="shared" si="5"/>
        <v>1</v>
      </c>
    </row>
    <row r="118" spans="1:17" x14ac:dyDescent="0.3">
      <c r="A118" t="s">
        <v>1056</v>
      </c>
      <c r="B118" t="s">
        <v>65</v>
      </c>
      <c r="C118">
        <v>4</v>
      </c>
      <c r="D118">
        <v>26500</v>
      </c>
      <c r="E118" t="s">
        <v>1146</v>
      </c>
      <c r="F118">
        <v>3</v>
      </c>
      <c r="G118">
        <v>13.6</v>
      </c>
      <c r="H118">
        <v>6500</v>
      </c>
      <c r="I118">
        <v>1</v>
      </c>
      <c r="J118">
        <f>1</f>
        <v>1</v>
      </c>
      <c r="K118">
        <v>1</v>
      </c>
      <c r="L118">
        <v>0</v>
      </c>
      <c r="M118">
        <f t="shared" ca="1" si="3"/>
        <v>1.416281424033905E-2</v>
      </c>
      <c r="N118">
        <v>0</v>
      </c>
      <c r="O118">
        <v>0</v>
      </c>
      <c r="P118">
        <f t="shared" ca="1" si="4"/>
        <v>0.24084812467201755</v>
      </c>
      <c r="Q118">
        <f t="shared" si="5"/>
        <v>1</v>
      </c>
    </row>
    <row r="119" spans="1:17" x14ac:dyDescent="0.3">
      <c r="A119" t="s">
        <v>1087</v>
      </c>
      <c r="B119" t="s">
        <v>513</v>
      </c>
      <c r="C119">
        <v>5</v>
      </c>
      <c r="D119">
        <v>37000</v>
      </c>
      <c r="E119" t="s">
        <v>1146</v>
      </c>
      <c r="F119">
        <v>6</v>
      </c>
      <c r="G119">
        <v>5.9</v>
      </c>
      <c r="H119">
        <v>7000</v>
      </c>
      <c r="I119">
        <v>1</v>
      </c>
      <c r="J119">
        <f>1</f>
        <v>1</v>
      </c>
      <c r="K119">
        <v>1</v>
      </c>
      <c r="L119">
        <v>0</v>
      </c>
      <c r="M119">
        <f t="shared" ca="1" si="3"/>
        <v>0.14563339818359766</v>
      </c>
      <c r="N119">
        <v>0</v>
      </c>
      <c r="O119">
        <v>0</v>
      </c>
      <c r="P119">
        <f t="shared" ca="1" si="4"/>
        <v>0.7353500095282921</v>
      </c>
      <c r="Q119">
        <f t="shared" si="5"/>
        <v>1</v>
      </c>
    </row>
    <row r="120" spans="1:17" x14ac:dyDescent="0.3">
      <c r="A120" t="s">
        <v>328</v>
      </c>
      <c r="B120" t="s">
        <v>64</v>
      </c>
      <c r="C120">
        <v>6</v>
      </c>
      <c r="D120">
        <v>26200</v>
      </c>
      <c r="E120" t="s">
        <v>67</v>
      </c>
      <c r="F120">
        <v>102</v>
      </c>
      <c r="G120">
        <v>0.9</v>
      </c>
      <c r="H120">
        <v>7500</v>
      </c>
      <c r="I120">
        <v>0</v>
      </c>
      <c r="J120">
        <f>1</f>
        <v>1</v>
      </c>
      <c r="K120">
        <v>1</v>
      </c>
      <c r="L120">
        <v>0</v>
      </c>
      <c r="M120">
        <f t="shared" ca="1" si="3"/>
        <v>0.89417354728417475</v>
      </c>
      <c r="N120">
        <v>0</v>
      </c>
      <c r="O120">
        <v>0</v>
      </c>
      <c r="P120">
        <f t="shared" ca="1" si="4"/>
        <v>0.92454963781189492</v>
      </c>
      <c r="Q120">
        <f t="shared" si="5"/>
        <v>1</v>
      </c>
    </row>
    <row r="121" spans="1:17" x14ac:dyDescent="0.3">
      <c r="A121" t="s">
        <v>307</v>
      </c>
      <c r="B121" t="s">
        <v>65</v>
      </c>
      <c r="C121">
        <v>2</v>
      </c>
      <c r="D121">
        <v>109000</v>
      </c>
      <c r="E121" t="s">
        <v>66</v>
      </c>
      <c r="F121">
        <v>53</v>
      </c>
      <c r="G121">
        <v>3.2</v>
      </c>
      <c r="H121">
        <v>1700</v>
      </c>
      <c r="I121">
        <v>0</v>
      </c>
      <c r="J121">
        <f>1</f>
        <v>1</v>
      </c>
      <c r="K121">
        <v>1</v>
      </c>
      <c r="L121">
        <v>0</v>
      </c>
      <c r="M121">
        <f t="shared" ca="1" si="3"/>
        <v>0.90430515892460783</v>
      </c>
      <c r="N121">
        <v>0</v>
      </c>
      <c r="O121">
        <v>0</v>
      </c>
      <c r="P121">
        <f t="shared" ca="1" si="4"/>
        <v>0.76603881585397116</v>
      </c>
      <c r="Q121">
        <f t="shared" si="5"/>
        <v>1</v>
      </c>
    </row>
    <row r="122" spans="1:17" x14ac:dyDescent="0.3">
      <c r="A122" t="s">
        <v>221</v>
      </c>
      <c r="B122" t="s">
        <v>64</v>
      </c>
      <c r="C122">
        <v>6</v>
      </c>
      <c r="D122">
        <v>35100</v>
      </c>
      <c r="E122" t="s">
        <v>69</v>
      </c>
      <c r="F122">
        <v>56</v>
      </c>
      <c r="G122">
        <v>0.7</v>
      </c>
      <c r="H122">
        <v>7100</v>
      </c>
      <c r="I122">
        <v>0</v>
      </c>
      <c r="J122">
        <f>1</f>
        <v>1</v>
      </c>
      <c r="K122">
        <v>1</v>
      </c>
      <c r="L122">
        <v>0</v>
      </c>
      <c r="M122">
        <f t="shared" ca="1" si="3"/>
        <v>0.63257816412602685</v>
      </c>
      <c r="N122">
        <v>0</v>
      </c>
      <c r="O122">
        <v>0</v>
      </c>
      <c r="P122">
        <f t="shared" ca="1" si="4"/>
        <v>7.2816908041157036E-2</v>
      </c>
      <c r="Q122">
        <f t="shared" si="5"/>
        <v>1</v>
      </c>
    </row>
    <row r="123" spans="1:17" x14ac:dyDescent="0.3">
      <c r="A123" t="s">
        <v>254</v>
      </c>
      <c r="B123" t="s">
        <v>513</v>
      </c>
      <c r="C123">
        <v>5</v>
      </c>
      <c r="D123">
        <v>23800</v>
      </c>
      <c r="E123" t="s">
        <v>68</v>
      </c>
      <c r="F123">
        <v>72</v>
      </c>
      <c r="G123">
        <v>4.0999999999999996</v>
      </c>
      <c r="H123">
        <v>1200</v>
      </c>
      <c r="I123">
        <v>0</v>
      </c>
      <c r="J123">
        <f>1</f>
        <v>1</v>
      </c>
      <c r="K123">
        <v>1</v>
      </c>
      <c r="L123">
        <v>0</v>
      </c>
      <c r="M123">
        <f t="shared" ca="1" si="3"/>
        <v>0.35122787945052136</v>
      </c>
      <c r="N123">
        <v>0</v>
      </c>
      <c r="O123">
        <v>0</v>
      </c>
      <c r="P123">
        <f t="shared" ca="1" si="4"/>
        <v>0.50883301012628712</v>
      </c>
      <c r="Q123">
        <f t="shared" si="5"/>
        <v>1</v>
      </c>
    </row>
    <row r="124" spans="1:17" x14ac:dyDescent="0.3">
      <c r="A124" t="s">
        <v>382</v>
      </c>
      <c r="B124" t="s">
        <v>513</v>
      </c>
      <c r="C124">
        <v>7</v>
      </c>
      <c r="D124">
        <v>48300</v>
      </c>
      <c r="E124" t="s">
        <v>67</v>
      </c>
      <c r="F124">
        <v>87</v>
      </c>
      <c r="G124">
        <v>12.9</v>
      </c>
      <c r="H124">
        <v>3800</v>
      </c>
      <c r="I124">
        <v>0</v>
      </c>
      <c r="J124">
        <f>1</f>
        <v>1</v>
      </c>
      <c r="K124">
        <v>1</v>
      </c>
      <c r="L124">
        <v>0</v>
      </c>
      <c r="M124">
        <f t="shared" ca="1" si="3"/>
        <v>0.34520190826039177</v>
      </c>
      <c r="N124">
        <v>0</v>
      </c>
      <c r="O124">
        <v>0</v>
      </c>
      <c r="P124">
        <f t="shared" ca="1" si="4"/>
        <v>0.29400334111745663</v>
      </c>
      <c r="Q124">
        <f t="shared" si="5"/>
        <v>1</v>
      </c>
    </row>
    <row r="125" spans="1:17" x14ac:dyDescent="0.3">
      <c r="A125" t="s">
        <v>289</v>
      </c>
      <c r="B125" t="s">
        <v>62</v>
      </c>
      <c r="C125">
        <v>8</v>
      </c>
      <c r="D125">
        <v>48800</v>
      </c>
      <c r="E125" t="s">
        <v>69</v>
      </c>
      <c r="F125">
        <v>24</v>
      </c>
      <c r="G125">
        <v>7.3</v>
      </c>
      <c r="H125">
        <v>3900</v>
      </c>
      <c r="I125">
        <v>0</v>
      </c>
      <c r="J125">
        <f>1</f>
        <v>1</v>
      </c>
      <c r="K125">
        <v>1</v>
      </c>
      <c r="L125">
        <v>0</v>
      </c>
      <c r="M125">
        <f t="shared" ca="1" si="3"/>
        <v>0.37072823844727687</v>
      </c>
      <c r="N125">
        <v>0</v>
      </c>
      <c r="O125">
        <v>0</v>
      </c>
      <c r="P125">
        <f t="shared" ca="1" si="4"/>
        <v>0.49886815116045058</v>
      </c>
      <c r="Q125">
        <f t="shared" si="5"/>
        <v>1</v>
      </c>
    </row>
    <row r="126" spans="1:17" x14ac:dyDescent="0.3">
      <c r="A126" t="s">
        <v>909</v>
      </c>
      <c r="B126" t="s">
        <v>513</v>
      </c>
      <c r="C126">
        <v>3</v>
      </c>
      <c r="D126">
        <v>74000</v>
      </c>
      <c r="E126" t="s">
        <v>1146</v>
      </c>
      <c r="F126">
        <v>4</v>
      </c>
      <c r="G126">
        <v>7.8</v>
      </c>
      <c r="H126">
        <v>500</v>
      </c>
      <c r="I126">
        <v>1</v>
      </c>
      <c r="J126">
        <f>1</f>
        <v>1</v>
      </c>
      <c r="K126">
        <v>1</v>
      </c>
      <c r="L126">
        <v>0</v>
      </c>
      <c r="M126">
        <f t="shared" ca="1" si="3"/>
        <v>0.38099820751203706</v>
      </c>
      <c r="N126">
        <v>0</v>
      </c>
      <c r="O126">
        <v>0</v>
      </c>
      <c r="P126">
        <f t="shared" ca="1" si="4"/>
        <v>0.30888250541523887</v>
      </c>
      <c r="Q126">
        <f t="shared" si="5"/>
        <v>1</v>
      </c>
    </row>
    <row r="127" spans="1:17" x14ac:dyDescent="0.3">
      <c r="A127" t="s">
        <v>811</v>
      </c>
      <c r="B127" t="s">
        <v>64</v>
      </c>
      <c r="C127">
        <v>5</v>
      </c>
      <c r="D127">
        <v>42100</v>
      </c>
      <c r="E127" t="s">
        <v>1146</v>
      </c>
      <c r="F127">
        <v>0</v>
      </c>
      <c r="G127">
        <v>7</v>
      </c>
      <c r="H127">
        <v>0</v>
      </c>
      <c r="I127">
        <v>1</v>
      </c>
      <c r="J127">
        <f>1</f>
        <v>1</v>
      </c>
      <c r="K127">
        <v>1</v>
      </c>
      <c r="L127">
        <v>0</v>
      </c>
      <c r="M127">
        <f t="shared" ca="1" si="3"/>
        <v>0.23717263279733891</v>
      </c>
      <c r="N127">
        <v>0</v>
      </c>
      <c r="O127">
        <v>0</v>
      </c>
      <c r="P127">
        <f t="shared" ca="1" si="4"/>
        <v>0.86386065134440371</v>
      </c>
      <c r="Q127">
        <f t="shared" si="5"/>
        <v>1</v>
      </c>
    </row>
    <row r="128" spans="1:17" x14ac:dyDescent="0.3">
      <c r="A128" t="s">
        <v>892</v>
      </c>
      <c r="B128" t="s">
        <v>62</v>
      </c>
      <c r="C128">
        <v>4</v>
      </c>
      <c r="D128">
        <v>31800</v>
      </c>
      <c r="E128" t="s">
        <v>1146</v>
      </c>
      <c r="F128">
        <v>4</v>
      </c>
      <c r="G128">
        <v>1</v>
      </c>
      <c r="H128">
        <v>4100</v>
      </c>
      <c r="I128">
        <v>1</v>
      </c>
      <c r="J128">
        <f>1</f>
        <v>1</v>
      </c>
      <c r="K128">
        <v>1</v>
      </c>
      <c r="L128">
        <v>0</v>
      </c>
      <c r="M128">
        <f t="shared" ca="1" si="3"/>
        <v>1.4790273887921312E-4</v>
      </c>
      <c r="N128">
        <v>0</v>
      </c>
      <c r="O128">
        <v>0</v>
      </c>
      <c r="P128">
        <f t="shared" ca="1" si="4"/>
        <v>0.9958744939935652</v>
      </c>
      <c r="Q128">
        <f t="shared" si="5"/>
        <v>1</v>
      </c>
    </row>
    <row r="129" spans="1:17" x14ac:dyDescent="0.3">
      <c r="A129" t="s">
        <v>547</v>
      </c>
      <c r="B129" t="s">
        <v>65</v>
      </c>
      <c r="C129">
        <v>3</v>
      </c>
      <c r="D129">
        <v>29200</v>
      </c>
      <c r="E129" t="s">
        <v>69</v>
      </c>
      <c r="F129">
        <v>45</v>
      </c>
      <c r="G129">
        <v>9.6999999999999993</v>
      </c>
      <c r="H129">
        <v>6800</v>
      </c>
      <c r="I129">
        <v>0</v>
      </c>
      <c r="J129">
        <f>1</f>
        <v>1</v>
      </c>
      <c r="K129">
        <v>1</v>
      </c>
      <c r="L129">
        <v>0</v>
      </c>
      <c r="M129">
        <f t="shared" ca="1" si="3"/>
        <v>0.4416768731013192</v>
      </c>
      <c r="N129">
        <v>0</v>
      </c>
      <c r="O129">
        <v>0</v>
      </c>
      <c r="P129">
        <f t="shared" ca="1" si="4"/>
        <v>0.66273237735715118</v>
      </c>
      <c r="Q129">
        <f t="shared" si="5"/>
        <v>1</v>
      </c>
    </row>
    <row r="130" spans="1:17" x14ac:dyDescent="0.3">
      <c r="A130" t="s">
        <v>216</v>
      </c>
      <c r="B130" t="s">
        <v>62</v>
      </c>
      <c r="C130">
        <v>3</v>
      </c>
      <c r="D130">
        <v>21800</v>
      </c>
      <c r="E130" t="s">
        <v>68</v>
      </c>
      <c r="F130">
        <v>28</v>
      </c>
      <c r="G130">
        <v>5.4</v>
      </c>
      <c r="H130">
        <v>2000</v>
      </c>
      <c r="I130">
        <v>0</v>
      </c>
      <c r="J130">
        <f>1</f>
        <v>1</v>
      </c>
      <c r="K130">
        <v>1</v>
      </c>
      <c r="L130">
        <v>0</v>
      </c>
      <c r="M130">
        <f t="shared" ref="M130:M193" ca="1" si="6">RAND()</f>
        <v>0.95856021411467607</v>
      </c>
      <c r="N130">
        <v>0</v>
      </c>
      <c r="O130">
        <v>0</v>
      </c>
      <c r="P130">
        <f t="shared" ref="P130:P193" ca="1" si="7">IF(L130=0,RAND(),"")</f>
        <v>0.17749470526682465</v>
      </c>
      <c r="Q130">
        <f t="shared" si="5"/>
        <v>1</v>
      </c>
    </row>
    <row r="131" spans="1:17" x14ac:dyDescent="0.3">
      <c r="A131" t="s">
        <v>695</v>
      </c>
      <c r="B131" t="s">
        <v>513</v>
      </c>
      <c r="C131">
        <v>7</v>
      </c>
      <c r="D131">
        <v>47300</v>
      </c>
      <c r="E131" t="s">
        <v>1146</v>
      </c>
      <c r="F131">
        <v>4</v>
      </c>
      <c r="G131">
        <v>8.8000000000000007</v>
      </c>
      <c r="H131">
        <v>2700</v>
      </c>
      <c r="I131">
        <v>1</v>
      </c>
      <c r="J131">
        <f>1</f>
        <v>1</v>
      </c>
      <c r="K131">
        <v>1</v>
      </c>
      <c r="L131">
        <v>0</v>
      </c>
      <c r="M131">
        <f t="shared" ca="1" si="6"/>
        <v>0.34539651371900293</v>
      </c>
      <c r="N131">
        <v>0</v>
      </c>
      <c r="O131">
        <v>0</v>
      </c>
      <c r="P131">
        <f t="shared" ca="1" si="7"/>
        <v>0.83473561084651926</v>
      </c>
      <c r="Q131">
        <f t="shared" ref="Q131:Q194" si="8">IF(OR(L131=1,O131=1), 0,1)</f>
        <v>1</v>
      </c>
    </row>
    <row r="132" spans="1:17" x14ac:dyDescent="0.3">
      <c r="A132" t="s">
        <v>700</v>
      </c>
      <c r="B132" t="s">
        <v>65</v>
      </c>
      <c r="C132">
        <v>2</v>
      </c>
      <c r="D132">
        <v>56500</v>
      </c>
      <c r="E132" t="s">
        <v>1146</v>
      </c>
      <c r="F132">
        <v>0</v>
      </c>
      <c r="G132">
        <v>0.8</v>
      </c>
      <c r="H132">
        <v>0</v>
      </c>
      <c r="I132">
        <v>1</v>
      </c>
      <c r="J132">
        <f>1</f>
        <v>1</v>
      </c>
      <c r="K132">
        <v>1</v>
      </c>
      <c r="L132">
        <v>0</v>
      </c>
      <c r="M132">
        <f t="shared" ca="1" si="6"/>
        <v>0.99832203629934424</v>
      </c>
      <c r="N132">
        <v>0</v>
      </c>
      <c r="O132">
        <v>0</v>
      </c>
      <c r="P132">
        <f t="shared" ca="1" si="7"/>
        <v>0.2333817503286344</v>
      </c>
      <c r="Q132">
        <f t="shared" si="8"/>
        <v>1</v>
      </c>
    </row>
    <row r="133" spans="1:17" x14ac:dyDescent="0.3">
      <c r="A133" t="s">
        <v>1133</v>
      </c>
      <c r="B133" t="s">
        <v>64</v>
      </c>
      <c r="C133">
        <v>9</v>
      </c>
      <c r="D133">
        <v>44700</v>
      </c>
      <c r="E133" t="s">
        <v>1146</v>
      </c>
      <c r="F133">
        <v>0</v>
      </c>
      <c r="G133">
        <v>11.2</v>
      </c>
      <c r="H133">
        <v>9500</v>
      </c>
      <c r="I133">
        <v>1</v>
      </c>
      <c r="J133">
        <f>1</f>
        <v>1</v>
      </c>
      <c r="K133">
        <v>1</v>
      </c>
      <c r="L133">
        <v>0</v>
      </c>
      <c r="M133">
        <f t="shared" ca="1" si="6"/>
        <v>0.49273429008103209</v>
      </c>
      <c r="N133">
        <v>0</v>
      </c>
      <c r="O133">
        <v>0</v>
      </c>
      <c r="P133">
        <f t="shared" ca="1" si="7"/>
        <v>0.42176451062827791</v>
      </c>
      <c r="Q133">
        <f t="shared" si="8"/>
        <v>1</v>
      </c>
    </row>
    <row r="134" spans="1:17" x14ac:dyDescent="0.3">
      <c r="A134" t="s">
        <v>993</v>
      </c>
      <c r="B134" t="s">
        <v>513</v>
      </c>
      <c r="C134">
        <v>6</v>
      </c>
      <c r="D134">
        <v>119900</v>
      </c>
      <c r="E134" t="s">
        <v>1146</v>
      </c>
      <c r="F134">
        <v>2</v>
      </c>
      <c r="G134">
        <v>13.5</v>
      </c>
      <c r="H134">
        <v>4500</v>
      </c>
      <c r="I134">
        <v>1</v>
      </c>
      <c r="J134">
        <f>1</f>
        <v>1</v>
      </c>
      <c r="K134">
        <v>1</v>
      </c>
      <c r="L134">
        <v>0</v>
      </c>
      <c r="M134">
        <f t="shared" ca="1" si="6"/>
        <v>0.56166771150755557</v>
      </c>
      <c r="N134">
        <v>0</v>
      </c>
      <c r="O134">
        <v>0</v>
      </c>
      <c r="P134">
        <f t="shared" ca="1" si="7"/>
        <v>0.92667820792788791</v>
      </c>
      <c r="Q134">
        <f t="shared" si="8"/>
        <v>1</v>
      </c>
    </row>
    <row r="135" spans="1:17" x14ac:dyDescent="0.3">
      <c r="A135" t="s">
        <v>281</v>
      </c>
      <c r="B135" t="s">
        <v>513</v>
      </c>
      <c r="C135">
        <v>6</v>
      </c>
      <c r="D135">
        <v>37400</v>
      </c>
      <c r="E135" t="s">
        <v>67</v>
      </c>
      <c r="F135">
        <v>97</v>
      </c>
      <c r="G135">
        <v>14.2</v>
      </c>
      <c r="H135">
        <v>8600</v>
      </c>
      <c r="I135">
        <v>0</v>
      </c>
      <c r="J135">
        <f>1</f>
        <v>1</v>
      </c>
      <c r="K135">
        <v>1</v>
      </c>
      <c r="L135">
        <v>0</v>
      </c>
      <c r="M135">
        <f t="shared" ca="1" si="6"/>
        <v>0.78788121160538016</v>
      </c>
      <c r="N135">
        <v>0</v>
      </c>
      <c r="O135">
        <v>0</v>
      </c>
      <c r="P135">
        <f t="shared" ca="1" si="7"/>
        <v>1.9006120266756632E-2</v>
      </c>
      <c r="Q135">
        <f t="shared" si="8"/>
        <v>1</v>
      </c>
    </row>
    <row r="136" spans="1:17" x14ac:dyDescent="0.3">
      <c r="A136" t="s">
        <v>856</v>
      </c>
      <c r="B136" t="s">
        <v>513</v>
      </c>
      <c r="C136">
        <v>2</v>
      </c>
      <c r="D136">
        <v>60400</v>
      </c>
      <c r="E136" t="s">
        <v>1146</v>
      </c>
      <c r="F136">
        <v>7</v>
      </c>
      <c r="G136">
        <v>4.5</v>
      </c>
      <c r="H136">
        <v>10600</v>
      </c>
      <c r="I136">
        <v>1</v>
      </c>
      <c r="J136">
        <f>1</f>
        <v>1</v>
      </c>
      <c r="K136">
        <v>1</v>
      </c>
      <c r="L136">
        <v>0</v>
      </c>
      <c r="M136">
        <f t="shared" ca="1" si="6"/>
        <v>0.95892998506378768</v>
      </c>
      <c r="N136">
        <v>0</v>
      </c>
      <c r="O136">
        <v>0</v>
      </c>
      <c r="P136">
        <f t="shared" ca="1" si="7"/>
        <v>0.93785892573851293</v>
      </c>
      <c r="Q136">
        <f t="shared" si="8"/>
        <v>1</v>
      </c>
    </row>
    <row r="137" spans="1:17" x14ac:dyDescent="0.3">
      <c r="A137" t="s">
        <v>486</v>
      </c>
      <c r="B137" t="s">
        <v>513</v>
      </c>
      <c r="C137">
        <v>1</v>
      </c>
      <c r="D137">
        <v>50600</v>
      </c>
      <c r="E137" t="s">
        <v>66</v>
      </c>
      <c r="F137">
        <v>36</v>
      </c>
      <c r="G137">
        <v>2.6</v>
      </c>
      <c r="H137">
        <v>0</v>
      </c>
      <c r="I137">
        <v>0</v>
      </c>
      <c r="J137">
        <f>1</f>
        <v>1</v>
      </c>
      <c r="K137">
        <v>1</v>
      </c>
      <c r="L137">
        <v>0</v>
      </c>
      <c r="M137">
        <f t="shared" ca="1" si="6"/>
        <v>0.46199840145054971</v>
      </c>
      <c r="N137">
        <v>0</v>
      </c>
      <c r="O137">
        <v>0</v>
      </c>
      <c r="P137">
        <f t="shared" ca="1" si="7"/>
        <v>0.30344796466107116</v>
      </c>
      <c r="Q137">
        <f t="shared" si="8"/>
        <v>1</v>
      </c>
    </row>
    <row r="138" spans="1:17" x14ac:dyDescent="0.3">
      <c r="A138" t="s">
        <v>962</v>
      </c>
      <c r="B138" t="s">
        <v>64</v>
      </c>
      <c r="C138">
        <v>4</v>
      </c>
      <c r="D138">
        <v>44600</v>
      </c>
      <c r="E138" t="s">
        <v>1146</v>
      </c>
      <c r="F138">
        <v>6</v>
      </c>
      <c r="G138">
        <v>0.5</v>
      </c>
      <c r="H138">
        <v>8700</v>
      </c>
      <c r="I138">
        <v>1</v>
      </c>
      <c r="J138">
        <f>1</f>
        <v>1</v>
      </c>
      <c r="K138">
        <v>1</v>
      </c>
      <c r="L138">
        <v>0</v>
      </c>
      <c r="M138">
        <f t="shared" ca="1" si="6"/>
        <v>9.9479709453918819E-2</v>
      </c>
      <c r="N138">
        <v>0</v>
      </c>
      <c r="O138">
        <v>0</v>
      </c>
      <c r="P138">
        <f t="shared" ca="1" si="7"/>
        <v>0.90515717279188801</v>
      </c>
      <c r="Q138">
        <f t="shared" si="8"/>
        <v>1</v>
      </c>
    </row>
    <row r="139" spans="1:17" x14ac:dyDescent="0.3">
      <c r="A139" t="s">
        <v>299</v>
      </c>
      <c r="B139" t="s">
        <v>62</v>
      </c>
      <c r="C139">
        <v>4</v>
      </c>
      <c r="D139">
        <v>17500</v>
      </c>
      <c r="E139" t="s">
        <v>67</v>
      </c>
      <c r="F139">
        <v>59</v>
      </c>
      <c r="G139">
        <v>8.5</v>
      </c>
      <c r="H139">
        <v>500</v>
      </c>
      <c r="I139">
        <v>0</v>
      </c>
      <c r="J139">
        <f>1</f>
        <v>1</v>
      </c>
      <c r="K139">
        <v>1</v>
      </c>
      <c r="L139">
        <v>0</v>
      </c>
      <c r="M139">
        <f t="shared" ca="1" si="6"/>
        <v>0.35187769495014076</v>
      </c>
      <c r="N139">
        <v>0</v>
      </c>
      <c r="O139">
        <v>0</v>
      </c>
      <c r="P139">
        <f t="shared" ca="1" si="7"/>
        <v>0.69902975465658168</v>
      </c>
      <c r="Q139">
        <f t="shared" si="8"/>
        <v>1</v>
      </c>
    </row>
    <row r="140" spans="1:17" x14ac:dyDescent="0.3">
      <c r="A140" t="s">
        <v>467</v>
      </c>
      <c r="B140" t="s">
        <v>64</v>
      </c>
      <c r="C140">
        <v>5</v>
      </c>
      <c r="D140">
        <v>55400</v>
      </c>
      <c r="E140" t="s">
        <v>68</v>
      </c>
      <c r="F140">
        <v>50</v>
      </c>
      <c r="G140">
        <v>3.4</v>
      </c>
      <c r="H140">
        <v>0</v>
      </c>
      <c r="I140">
        <v>0</v>
      </c>
      <c r="J140">
        <f>1</f>
        <v>1</v>
      </c>
      <c r="K140">
        <v>1</v>
      </c>
      <c r="L140">
        <v>0</v>
      </c>
      <c r="M140">
        <f t="shared" ca="1" si="6"/>
        <v>0.96861591007069414</v>
      </c>
      <c r="N140">
        <v>0</v>
      </c>
      <c r="O140">
        <v>0</v>
      </c>
      <c r="P140">
        <f t="shared" ca="1" si="7"/>
        <v>0.58180196142917751</v>
      </c>
      <c r="Q140">
        <f t="shared" si="8"/>
        <v>1</v>
      </c>
    </row>
    <row r="141" spans="1:17" x14ac:dyDescent="0.3">
      <c r="A141" t="s">
        <v>471</v>
      </c>
      <c r="B141" t="s">
        <v>62</v>
      </c>
      <c r="C141">
        <v>7</v>
      </c>
      <c r="D141">
        <v>48500</v>
      </c>
      <c r="E141" t="s">
        <v>68</v>
      </c>
      <c r="F141">
        <v>56</v>
      </c>
      <c r="G141">
        <v>7.4</v>
      </c>
      <c r="H141">
        <v>6700</v>
      </c>
      <c r="I141">
        <v>0</v>
      </c>
      <c r="J141">
        <f>1</f>
        <v>1</v>
      </c>
      <c r="K141">
        <v>1</v>
      </c>
      <c r="L141">
        <v>0</v>
      </c>
      <c r="M141">
        <f t="shared" ca="1" si="6"/>
        <v>0.19475537775921381</v>
      </c>
      <c r="N141">
        <v>0</v>
      </c>
      <c r="O141">
        <v>0</v>
      </c>
      <c r="P141">
        <f t="shared" ca="1" si="7"/>
        <v>0.74146560168762521</v>
      </c>
      <c r="Q141">
        <f t="shared" si="8"/>
        <v>1</v>
      </c>
    </row>
    <row r="142" spans="1:17" x14ac:dyDescent="0.3">
      <c r="A142" t="s">
        <v>629</v>
      </c>
      <c r="B142" t="s">
        <v>65</v>
      </c>
      <c r="C142">
        <v>7</v>
      </c>
      <c r="D142">
        <v>39900</v>
      </c>
      <c r="E142" t="s">
        <v>68</v>
      </c>
      <c r="F142">
        <v>36</v>
      </c>
      <c r="G142">
        <v>12.3</v>
      </c>
      <c r="H142">
        <v>300</v>
      </c>
      <c r="I142">
        <v>0</v>
      </c>
      <c r="J142">
        <f>1</f>
        <v>1</v>
      </c>
      <c r="K142">
        <v>1</v>
      </c>
      <c r="L142">
        <v>0</v>
      </c>
      <c r="M142">
        <f t="shared" ca="1" si="6"/>
        <v>0.44828694340907527</v>
      </c>
      <c r="N142">
        <v>0</v>
      </c>
      <c r="O142">
        <v>0</v>
      </c>
      <c r="P142">
        <f t="shared" ca="1" si="7"/>
        <v>0.36333982615965044</v>
      </c>
      <c r="Q142">
        <f t="shared" si="8"/>
        <v>1</v>
      </c>
    </row>
    <row r="143" spans="1:17" x14ac:dyDescent="0.3">
      <c r="A143" t="s">
        <v>1125</v>
      </c>
      <c r="B143" t="s">
        <v>513</v>
      </c>
      <c r="C143">
        <v>7</v>
      </c>
      <c r="D143">
        <v>41300</v>
      </c>
      <c r="E143" t="s">
        <v>1146</v>
      </c>
      <c r="F143">
        <v>10</v>
      </c>
      <c r="G143">
        <v>11.4</v>
      </c>
      <c r="H143">
        <v>5100</v>
      </c>
      <c r="I143">
        <v>1</v>
      </c>
      <c r="J143">
        <f>1</f>
        <v>1</v>
      </c>
      <c r="K143">
        <v>1</v>
      </c>
      <c r="L143">
        <v>0</v>
      </c>
      <c r="M143">
        <f t="shared" ca="1" si="6"/>
        <v>0.94975028749796697</v>
      </c>
      <c r="N143">
        <v>0</v>
      </c>
      <c r="O143">
        <v>0</v>
      </c>
      <c r="P143">
        <f t="shared" ca="1" si="7"/>
        <v>0.25229455026690073</v>
      </c>
      <c r="Q143">
        <f t="shared" si="8"/>
        <v>1</v>
      </c>
    </row>
    <row r="144" spans="1:17" x14ac:dyDescent="0.3">
      <c r="A144" t="s">
        <v>907</v>
      </c>
      <c r="B144" t="s">
        <v>513</v>
      </c>
      <c r="C144">
        <v>5</v>
      </c>
      <c r="D144">
        <v>30300</v>
      </c>
      <c r="E144" t="s">
        <v>1146</v>
      </c>
      <c r="F144">
        <v>5</v>
      </c>
      <c r="G144">
        <v>3.8</v>
      </c>
      <c r="H144">
        <v>100</v>
      </c>
      <c r="I144">
        <v>1</v>
      </c>
      <c r="J144">
        <f>1</f>
        <v>1</v>
      </c>
      <c r="K144">
        <v>1</v>
      </c>
      <c r="L144">
        <v>0</v>
      </c>
      <c r="M144">
        <f t="shared" ca="1" si="6"/>
        <v>0.46242356561992415</v>
      </c>
      <c r="N144">
        <v>0</v>
      </c>
      <c r="O144">
        <v>0</v>
      </c>
      <c r="P144">
        <f t="shared" ca="1" si="7"/>
        <v>0.15433153325996007</v>
      </c>
      <c r="Q144">
        <f t="shared" si="8"/>
        <v>1</v>
      </c>
    </row>
    <row r="145" spans="1:17" x14ac:dyDescent="0.3">
      <c r="A145" t="s">
        <v>433</v>
      </c>
      <c r="B145" t="s">
        <v>62</v>
      </c>
      <c r="C145">
        <v>9</v>
      </c>
      <c r="D145">
        <v>27800</v>
      </c>
      <c r="E145" t="s">
        <v>66</v>
      </c>
      <c r="F145">
        <v>28</v>
      </c>
      <c r="G145">
        <v>4.3</v>
      </c>
      <c r="H145">
        <v>6800</v>
      </c>
      <c r="I145">
        <v>0</v>
      </c>
      <c r="J145">
        <f>1</f>
        <v>1</v>
      </c>
      <c r="K145">
        <v>1</v>
      </c>
      <c r="L145">
        <v>0</v>
      </c>
      <c r="M145">
        <f t="shared" ca="1" si="6"/>
        <v>0.54576385801758964</v>
      </c>
      <c r="N145">
        <v>0</v>
      </c>
      <c r="O145">
        <v>0</v>
      </c>
      <c r="P145">
        <f t="shared" ca="1" si="7"/>
        <v>0.62204791139044002</v>
      </c>
      <c r="Q145">
        <f t="shared" si="8"/>
        <v>1</v>
      </c>
    </row>
    <row r="146" spans="1:17" x14ac:dyDescent="0.3">
      <c r="A146" t="s">
        <v>1003</v>
      </c>
      <c r="B146" t="s">
        <v>65</v>
      </c>
      <c r="C146">
        <v>8</v>
      </c>
      <c r="D146">
        <v>31500</v>
      </c>
      <c r="E146" t="s">
        <v>1146</v>
      </c>
      <c r="F146">
        <v>2</v>
      </c>
      <c r="G146">
        <v>10.199999999999999</v>
      </c>
      <c r="H146">
        <v>4200</v>
      </c>
      <c r="I146">
        <v>1</v>
      </c>
      <c r="J146">
        <f>1</f>
        <v>1</v>
      </c>
      <c r="K146">
        <v>1</v>
      </c>
      <c r="L146">
        <v>0</v>
      </c>
      <c r="M146">
        <f t="shared" ca="1" si="6"/>
        <v>0.82852801501993811</v>
      </c>
      <c r="N146">
        <v>0</v>
      </c>
      <c r="O146">
        <v>0</v>
      </c>
      <c r="P146">
        <f t="shared" ca="1" si="7"/>
        <v>0.55658635832403969</v>
      </c>
      <c r="Q146">
        <f t="shared" si="8"/>
        <v>1</v>
      </c>
    </row>
    <row r="147" spans="1:17" x14ac:dyDescent="0.3">
      <c r="A147" t="s">
        <v>210</v>
      </c>
      <c r="B147" t="s">
        <v>513</v>
      </c>
      <c r="C147">
        <v>2</v>
      </c>
      <c r="D147">
        <v>35900</v>
      </c>
      <c r="E147" t="s">
        <v>66</v>
      </c>
      <c r="F147">
        <v>48</v>
      </c>
      <c r="G147">
        <v>7.9</v>
      </c>
      <c r="H147">
        <v>7200</v>
      </c>
      <c r="I147">
        <v>0</v>
      </c>
      <c r="J147">
        <f>1</f>
        <v>1</v>
      </c>
      <c r="K147">
        <v>1</v>
      </c>
      <c r="L147">
        <v>0</v>
      </c>
      <c r="M147">
        <f t="shared" ca="1" si="6"/>
        <v>0.35126758129404934</v>
      </c>
      <c r="N147">
        <v>0</v>
      </c>
      <c r="O147">
        <v>0</v>
      </c>
      <c r="P147">
        <f t="shared" ca="1" si="7"/>
        <v>0.6749484872853343</v>
      </c>
      <c r="Q147">
        <f t="shared" si="8"/>
        <v>1</v>
      </c>
    </row>
    <row r="148" spans="1:17" x14ac:dyDescent="0.3">
      <c r="A148" t="s">
        <v>812</v>
      </c>
      <c r="B148" t="s">
        <v>62</v>
      </c>
      <c r="C148">
        <v>6</v>
      </c>
      <c r="D148">
        <v>23200</v>
      </c>
      <c r="E148" t="s">
        <v>1146</v>
      </c>
      <c r="F148">
        <v>8</v>
      </c>
      <c r="G148">
        <v>2.8</v>
      </c>
      <c r="H148">
        <v>0</v>
      </c>
      <c r="I148">
        <v>1</v>
      </c>
      <c r="J148">
        <f>1</f>
        <v>1</v>
      </c>
      <c r="K148">
        <v>1</v>
      </c>
      <c r="L148">
        <v>0</v>
      </c>
      <c r="M148">
        <f t="shared" ca="1" si="6"/>
        <v>0.72042868386500269</v>
      </c>
      <c r="N148">
        <v>0</v>
      </c>
      <c r="O148">
        <v>0</v>
      </c>
      <c r="P148">
        <f t="shared" ca="1" si="7"/>
        <v>0.89227029563805238</v>
      </c>
      <c r="Q148">
        <f t="shared" si="8"/>
        <v>1</v>
      </c>
    </row>
    <row r="149" spans="1:17" x14ac:dyDescent="0.3">
      <c r="A149" t="s">
        <v>631</v>
      </c>
      <c r="B149" t="s">
        <v>65</v>
      </c>
      <c r="C149">
        <v>4</v>
      </c>
      <c r="D149">
        <v>28400</v>
      </c>
      <c r="E149" t="s">
        <v>1146</v>
      </c>
      <c r="F149">
        <v>9</v>
      </c>
      <c r="G149">
        <v>11.2</v>
      </c>
      <c r="H149">
        <v>4000</v>
      </c>
      <c r="I149">
        <v>1</v>
      </c>
      <c r="J149">
        <f>1</f>
        <v>1</v>
      </c>
      <c r="K149">
        <v>1</v>
      </c>
      <c r="L149">
        <v>0</v>
      </c>
      <c r="M149">
        <f t="shared" ca="1" si="6"/>
        <v>3.1689647397571408E-2</v>
      </c>
      <c r="N149">
        <v>0</v>
      </c>
      <c r="O149">
        <v>0</v>
      </c>
      <c r="P149">
        <f t="shared" ca="1" si="7"/>
        <v>0.54417873855144527</v>
      </c>
      <c r="Q149">
        <f t="shared" si="8"/>
        <v>1</v>
      </c>
    </row>
    <row r="150" spans="1:17" x14ac:dyDescent="0.3">
      <c r="A150" t="s">
        <v>719</v>
      </c>
      <c r="B150" t="s">
        <v>65</v>
      </c>
      <c r="C150">
        <v>6</v>
      </c>
      <c r="D150">
        <v>27900</v>
      </c>
      <c r="E150" t="s">
        <v>1146</v>
      </c>
      <c r="F150">
        <v>7</v>
      </c>
      <c r="G150">
        <v>7.4</v>
      </c>
      <c r="H150">
        <v>5200</v>
      </c>
      <c r="I150">
        <v>1</v>
      </c>
      <c r="J150">
        <f>1</f>
        <v>1</v>
      </c>
      <c r="K150">
        <v>1</v>
      </c>
      <c r="L150">
        <v>0</v>
      </c>
      <c r="M150">
        <f t="shared" ca="1" si="6"/>
        <v>0.54913248154598038</v>
      </c>
      <c r="N150">
        <v>0</v>
      </c>
      <c r="O150">
        <v>0</v>
      </c>
      <c r="P150">
        <f t="shared" ca="1" si="7"/>
        <v>0.46712410011967831</v>
      </c>
      <c r="Q150">
        <f t="shared" si="8"/>
        <v>1</v>
      </c>
    </row>
    <row r="151" spans="1:17" x14ac:dyDescent="0.3">
      <c r="A151" t="s">
        <v>309</v>
      </c>
      <c r="B151" t="s">
        <v>65</v>
      </c>
      <c r="C151">
        <v>7</v>
      </c>
      <c r="D151">
        <v>64000</v>
      </c>
      <c r="E151" t="s">
        <v>67</v>
      </c>
      <c r="F151">
        <v>95</v>
      </c>
      <c r="G151">
        <v>3.5</v>
      </c>
      <c r="H151">
        <v>9800</v>
      </c>
      <c r="I151">
        <v>0</v>
      </c>
      <c r="J151">
        <f>1</f>
        <v>1</v>
      </c>
      <c r="K151">
        <v>1</v>
      </c>
      <c r="L151">
        <v>0</v>
      </c>
      <c r="M151">
        <f t="shared" ca="1" si="6"/>
        <v>0.4488719605064394</v>
      </c>
      <c r="N151">
        <v>0</v>
      </c>
      <c r="O151">
        <v>0</v>
      </c>
      <c r="P151">
        <f t="shared" ca="1" si="7"/>
        <v>0.94838920941304072</v>
      </c>
      <c r="Q151">
        <f t="shared" si="8"/>
        <v>1</v>
      </c>
    </row>
    <row r="152" spans="1:17" x14ac:dyDescent="0.3">
      <c r="A152" t="s">
        <v>663</v>
      </c>
      <c r="B152" t="s">
        <v>65</v>
      </c>
      <c r="C152">
        <v>9</v>
      </c>
      <c r="D152">
        <v>67900</v>
      </c>
      <c r="E152" t="s">
        <v>1146</v>
      </c>
      <c r="F152">
        <v>3</v>
      </c>
      <c r="G152">
        <v>9.1999999999999993</v>
      </c>
      <c r="H152">
        <v>6100</v>
      </c>
      <c r="I152">
        <v>1</v>
      </c>
      <c r="J152">
        <f>1</f>
        <v>1</v>
      </c>
      <c r="K152">
        <v>1</v>
      </c>
      <c r="L152">
        <v>0</v>
      </c>
      <c r="M152">
        <f t="shared" ca="1" si="6"/>
        <v>0.46422470478023958</v>
      </c>
      <c r="N152">
        <v>0</v>
      </c>
      <c r="O152">
        <v>0</v>
      </c>
      <c r="P152">
        <f t="shared" ca="1" si="7"/>
        <v>0.65778878377228822</v>
      </c>
      <c r="Q152">
        <f t="shared" si="8"/>
        <v>1</v>
      </c>
    </row>
    <row r="153" spans="1:17" x14ac:dyDescent="0.3">
      <c r="A153" t="s">
        <v>158</v>
      </c>
      <c r="B153" t="s">
        <v>65</v>
      </c>
      <c r="C153">
        <v>6</v>
      </c>
      <c r="D153">
        <v>98800</v>
      </c>
      <c r="E153" t="s">
        <v>66</v>
      </c>
      <c r="F153">
        <v>30</v>
      </c>
      <c r="G153">
        <v>11.9</v>
      </c>
      <c r="H153">
        <v>3500</v>
      </c>
      <c r="I153">
        <v>0</v>
      </c>
      <c r="J153">
        <f>1</f>
        <v>1</v>
      </c>
      <c r="K153">
        <v>1</v>
      </c>
      <c r="L153">
        <v>0</v>
      </c>
      <c r="M153">
        <f t="shared" ca="1" si="6"/>
        <v>3.6370729939782298E-2</v>
      </c>
      <c r="N153">
        <v>0</v>
      </c>
      <c r="O153">
        <v>0</v>
      </c>
      <c r="P153">
        <f t="shared" ca="1" si="7"/>
        <v>2.2862350656943753E-2</v>
      </c>
      <c r="Q153">
        <f t="shared" si="8"/>
        <v>1</v>
      </c>
    </row>
    <row r="154" spans="1:17" x14ac:dyDescent="0.3">
      <c r="A154" t="s">
        <v>839</v>
      </c>
      <c r="B154" t="s">
        <v>64</v>
      </c>
      <c r="C154">
        <v>4</v>
      </c>
      <c r="D154">
        <v>18700</v>
      </c>
      <c r="E154" t="s">
        <v>1146</v>
      </c>
      <c r="F154">
        <v>7</v>
      </c>
      <c r="G154">
        <v>2.4</v>
      </c>
      <c r="H154">
        <v>8600</v>
      </c>
      <c r="I154">
        <v>1</v>
      </c>
      <c r="J154">
        <f>1</f>
        <v>1</v>
      </c>
      <c r="K154">
        <v>1</v>
      </c>
      <c r="L154">
        <v>0</v>
      </c>
      <c r="M154">
        <f t="shared" ca="1" si="6"/>
        <v>0.92443592079290404</v>
      </c>
      <c r="N154">
        <v>0</v>
      </c>
      <c r="O154">
        <v>0</v>
      </c>
      <c r="P154">
        <f t="shared" ca="1" si="7"/>
        <v>0.37090083127714168</v>
      </c>
      <c r="Q154">
        <f t="shared" si="8"/>
        <v>1</v>
      </c>
    </row>
    <row r="155" spans="1:17" x14ac:dyDescent="0.3">
      <c r="A155" t="s">
        <v>151</v>
      </c>
      <c r="B155" t="s">
        <v>62</v>
      </c>
      <c r="C155">
        <v>5</v>
      </c>
      <c r="D155">
        <v>100900</v>
      </c>
      <c r="E155" t="s">
        <v>68</v>
      </c>
      <c r="F155">
        <v>32</v>
      </c>
      <c r="G155">
        <v>8.1999999999999993</v>
      </c>
      <c r="H155">
        <v>9200</v>
      </c>
      <c r="I155">
        <v>0</v>
      </c>
      <c r="J155">
        <f>1</f>
        <v>1</v>
      </c>
      <c r="K155">
        <v>1</v>
      </c>
      <c r="L155">
        <v>0</v>
      </c>
      <c r="M155">
        <f t="shared" ca="1" si="6"/>
        <v>0.17408900307942687</v>
      </c>
      <c r="N155">
        <v>0</v>
      </c>
      <c r="O155">
        <v>0</v>
      </c>
      <c r="P155">
        <f t="shared" ca="1" si="7"/>
        <v>0.82656682334373321</v>
      </c>
      <c r="Q155">
        <f t="shared" si="8"/>
        <v>1</v>
      </c>
    </row>
    <row r="156" spans="1:17" x14ac:dyDescent="0.3">
      <c r="A156" t="s">
        <v>279</v>
      </c>
      <c r="B156" t="s">
        <v>62</v>
      </c>
      <c r="C156">
        <v>3</v>
      </c>
      <c r="D156">
        <v>39700</v>
      </c>
      <c r="E156" t="s">
        <v>69</v>
      </c>
      <c r="F156">
        <v>56</v>
      </c>
      <c r="G156">
        <v>7.4</v>
      </c>
      <c r="H156">
        <v>3500</v>
      </c>
      <c r="I156">
        <v>0</v>
      </c>
      <c r="J156">
        <f>1</f>
        <v>1</v>
      </c>
      <c r="K156">
        <v>1</v>
      </c>
      <c r="L156">
        <v>0</v>
      </c>
      <c r="M156">
        <f t="shared" ca="1" si="6"/>
        <v>0.5389971339365428</v>
      </c>
      <c r="N156">
        <v>0</v>
      </c>
      <c r="O156">
        <v>0</v>
      </c>
      <c r="P156">
        <f t="shared" ca="1" si="7"/>
        <v>0.81483273090198738</v>
      </c>
      <c r="Q156">
        <f t="shared" si="8"/>
        <v>1</v>
      </c>
    </row>
    <row r="157" spans="1:17" x14ac:dyDescent="0.3">
      <c r="A157" t="s">
        <v>374</v>
      </c>
      <c r="B157" t="s">
        <v>62</v>
      </c>
      <c r="C157">
        <v>6</v>
      </c>
      <c r="D157">
        <v>31600</v>
      </c>
      <c r="E157" t="s">
        <v>66</v>
      </c>
      <c r="F157">
        <v>60</v>
      </c>
      <c r="G157">
        <v>3.9</v>
      </c>
      <c r="H157">
        <v>9400</v>
      </c>
      <c r="I157">
        <v>0</v>
      </c>
      <c r="J157">
        <f>1</f>
        <v>1</v>
      </c>
      <c r="K157">
        <v>1</v>
      </c>
      <c r="L157">
        <v>0</v>
      </c>
      <c r="M157">
        <f t="shared" ca="1" si="6"/>
        <v>0.15457148078640626</v>
      </c>
      <c r="N157">
        <v>0</v>
      </c>
      <c r="O157">
        <v>0</v>
      </c>
      <c r="P157">
        <f t="shared" ca="1" si="7"/>
        <v>0.84119974725945301</v>
      </c>
      <c r="Q157">
        <f t="shared" si="8"/>
        <v>1</v>
      </c>
    </row>
    <row r="158" spans="1:17" x14ac:dyDescent="0.3">
      <c r="A158" t="s">
        <v>995</v>
      </c>
      <c r="B158" t="s">
        <v>64</v>
      </c>
      <c r="C158">
        <v>4</v>
      </c>
      <c r="D158">
        <v>47000</v>
      </c>
      <c r="E158" t="s">
        <v>1146</v>
      </c>
      <c r="F158">
        <v>10</v>
      </c>
      <c r="G158">
        <v>12</v>
      </c>
      <c r="H158">
        <v>1900</v>
      </c>
      <c r="I158">
        <v>1</v>
      </c>
      <c r="J158">
        <f>1</f>
        <v>1</v>
      </c>
      <c r="K158">
        <v>1</v>
      </c>
      <c r="L158">
        <v>0</v>
      </c>
      <c r="M158">
        <f t="shared" ca="1" si="6"/>
        <v>3.471345943184545E-5</v>
      </c>
      <c r="N158">
        <v>0</v>
      </c>
      <c r="O158">
        <v>0</v>
      </c>
      <c r="P158">
        <f t="shared" ca="1" si="7"/>
        <v>0.52336858599017089</v>
      </c>
      <c r="Q158">
        <f t="shared" si="8"/>
        <v>1</v>
      </c>
    </row>
    <row r="159" spans="1:17" x14ac:dyDescent="0.3">
      <c r="A159" t="s">
        <v>581</v>
      </c>
      <c r="B159" t="s">
        <v>64</v>
      </c>
      <c r="C159">
        <v>3</v>
      </c>
      <c r="D159">
        <v>61400</v>
      </c>
      <c r="E159" t="s">
        <v>69</v>
      </c>
      <c r="F159">
        <v>13</v>
      </c>
      <c r="G159">
        <v>2.2999999999999998</v>
      </c>
      <c r="H159">
        <v>0</v>
      </c>
      <c r="I159">
        <v>0</v>
      </c>
      <c r="J159">
        <f>1</f>
        <v>1</v>
      </c>
      <c r="K159">
        <v>1</v>
      </c>
      <c r="L159">
        <v>0</v>
      </c>
      <c r="M159">
        <f t="shared" ca="1" si="6"/>
        <v>0.93494819806527263</v>
      </c>
      <c r="N159">
        <v>0</v>
      </c>
      <c r="O159">
        <v>0</v>
      </c>
      <c r="P159">
        <f t="shared" ca="1" si="7"/>
        <v>0.23257444476536115</v>
      </c>
      <c r="Q159">
        <f t="shared" si="8"/>
        <v>1</v>
      </c>
    </row>
    <row r="160" spans="1:17" x14ac:dyDescent="0.3">
      <c r="A160" t="s">
        <v>522</v>
      </c>
      <c r="B160" t="s">
        <v>65</v>
      </c>
      <c r="C160">
        <v>11</v>
      </c>
      <c r="D160">
        <v>27900</v>
      </c>
      <c r="E160" t="s">
        <v>69</v>
      </c>
      <c r="F160">
        <v>57</v>
      </c>
      <c r="G160">
        <v>13.6</v>
      </c>
      <c r="H160">
        <v>8700</v>
      </c>
      <c r="I160">
        <v>0</v>
      </c>
      <c r="J160">
        <f>1</f>
        <v>1</v>
      </c>
      <c r="K160">
        <v>1</v>
      </c>
      <c r="L160">
        <v>0</v>
      </c>
      <c r="M160">
        <f t="shared" ca="1" si="6"/>
        <v>0.52658122036878485</v>
      </c>
      <c r="N160">
        <v>0</v>
      </c>
      <c r="O160">
        <v>0</v>
      </c>
      <c r="P160">
        <f t="shared" ca="1" si="7"/>
        <v>0.29750371187241464</v>
      </c>
      <c r="Q160">
        <f t="shared" si="8"/>
        <v>1</v>
      </c>
    </row>
    <row r="161" spans="1:17" x14ac:dyDescent="0.3">
      <c r="A161" t="s">
        <v>949</v>
      </c>
      <c r="B161" t="s">
        <v>64</v>
      </c>
      <c r="C161">
        <v>8</v>
      </c>
      <c r="D161">
        <v>42400</v>
      </c>
      <c r="E161" t="s">
        <v>68</v>
      </c>
      <c r="F161">
        <v>54</v>
      </c>
      <c r="G161">
        <v>11.6</v>
      </c>
      <c r="H161">
        <v>6300</v>
      </c>
      <c r="I161">
        <v>1</v>
      </c>
      <c r="J161">
        <f>1</f>
        <v>1</v>
      </c>
      <c r="K161">
        <v>1</v>
      </c>
      <c r="L161">
        <v>0</v>
      </c>
      <c r="M161">
        <f t="shared" ca="1" si="6"/>
        <v>0.47644446130796847</v>
      </c>
      <c r="N161">
        <v>0</v>
      </c>
      <c r="O161">
        <v>0</v>
      </c>
      <c r="P161">
        <f t="shared" ca="1" si="7"/>
        <v>0.32301368813892006</v>
      </c>
      <c r="Q161">
        <f t="shared" si="8"/>
        <v>1</v>
      </c>
    </row>
    <row r="162" spans="1:17" x14ac:dyDescent="0.3">
      <c r="A162" t="s">
        <v>1105</v>
      </c>
      <c r="B162" t="s">
        <v>513</v>
      </c>
      <c r="C162">
        <v>6</v>
      </c>
      <c r="D162">
        <v>25400</v>
      </c>
      <c r="E162" t="s">
        <v>1146</v>
      </c>
      <c r="F162">
        <v>8</v>
      </c>
      <c r="G162">
        <v>14.5</v>
      </c>
      <c r="H162">
        <v>0</v>
      </c>
      <c r="I162">
        <v>1</v>
      </c>
      <c r="J162">
        <f>1</f>
        <v>1</v>
      </c>
      <c r="K162">
        <v>1</v>
      </c>
      <c r="L162">
        <v>0</v>
      </c>
      <c r="M162">
        <f t="shared" ca="1" si="6"/>
        <v>0.84240204261297336</v>
      </c>
      <c r="N162">
        <v>0</v>
      </c>
      <c r="O162">
        <v>0</v>
      </c>
      <c r="P162">
        <f t="shared" ca="1" si="7"/>
        <v>0.64645112585424747</v>
      </c>
      <c r="Q162">
        <f t="shared" si="8"/>
        <v>1</v>
      </c>
    </row>
    <row r="163" spans="1:17" x14ac:dyDescent="0.3">
      <c r="A163" t="s">
        <v>780</v>
      </c>
      <c r="B163" t="s">
        <v>64</v>
      </c>
      <c r="C163">
        <v>4</v>
      </c>
      <c r="D163">
        <v>45700</v>
      </c>
      <c r="E163" t="s">
        <v>1146</v>
      </c>
      <c r="F163">
        <v>7</v>
      </c>
      <c r="G163">
        <v>9.1</v>
      </c>
      <c r="H163">
        <v>2500</v>
      </c>
      <c r="I163">
        <v>1</v>
      </c>
      <c r="J163">
        <f>1</f>
        <v>1</v>
      </c>
      <c r="K163">
        <v>1</v>
      </c>
      <c r="L163">
        <v>0</v>
      </c>
      <c r="M163">
        <f t="shared" ca="1" si="6"/>
        <v>0.57869381811634235</v>
      </c>
      <c r="N163">
        <v>0</v>
      </c>
      <c r="O163">
        <v>0</v>
      </c>
      <c r="P163">
        <f t="shared" ca="1" si="7"/>
        <v>0.94472982602547662</v>
      </c>
      <c r="Q163">
        <f t="shared" si="8"/>
        <v>1</v>
      </c>
    </row>
    <row r="164" spans="1:17" x14ac:dyDescent="0.3">
      <c r="A164" t="s">
        <v>373</v>
      </c>
      <c r="B164" t="s">
        <v>62</v>
      </c>
      <c r="C164">
        <v>3</v>
      </c>
      <c r="D164">
        <v>45500</v>
      </c>
      <c r="E164" t="s">
        <v>68</v>
      </c>
      <c r="F164">
        <v>54</v>
      </c>
      <c r="G164">
        <v>7.5</v>
      </c>
      <c r="H164">
        <v>4800</v>
      </c>
      <c r="I164">
        <v>0</v>
      </c>
      <c r="J164">
        <f>1</f>
        <v>1</v>
      </c>
      <c r="K164">
        <v>1</v>
      </c>
      <c r="L164">
        <v>0</v>
      </c>
      <c r="M164">
        <f t="shared" ca="1" si="6"/>
        <v>0.42538836038722705</v>
      </c>
      <c r="N164">
        <v>0</v>
      </c>
      <c r="O164">
        <v>0</v>
      </c>
      <c r="P164">
        <f t="shared" ca="1" si="7"/>
        <v>0.17053741403912925</v>
      </c>
      <c r="Q164">
        <f t="shared" si="8"/>
        <v>1</v>
      </c>
    </row>
    <row r="165" spans="1:17" x14ac:dyDescent="0.3">
      <c r="A165" t="s">
        <v>903</v>
      </c>
      <c r="B165" t="s">
        <v>65</v>
      </c>
      <c r="C165">
        <v>6</v>
      </c>
      <c r="D165">
        <v>45800</v>
      </c>
      <c r="E165" t="s">
        <v>1146</v>
      </c>
      <c r="F165">
        <v>0</v>
      </c>
      <c r="G165">
        <v>8.6</v>
      </c>
      <c r="H165">
        <v>4400</v>
      </c>
      <c r="I165">
        <v>1</v>
      </c>
      <c r="J165">
        <f>1</f>
        <v>1</v>
      </c>
      <c r="K165">
        <v>1</v>
      </c>
      <c r="L165">
        <v>0</v>
      </c>
      <c r="M165">
        <f t="shared" ca="1" si="6"/>
        <v>0.25881572001040576</v>
      </c>
      <c r="N165">
        <v>0</v>
      </c>
      <c r="O165">
        <v>0</v>
      </c>
      <c r="P165">
        <f t="shared" ca="1" si="7"/>
        <v>0.81048239855045634</v>
      </c>
      <c r="Q165">
        <f t="shared" si="8"/>
        <v>1</v>
      </c>
    </row>
    <row r="166" spans="1:17" x14ac:dyDescent="0.3">
      <c r="A166" t="s">
        <v>713</v>
      </c>
      <c r="B166" t="s">
        <v>62</v>
      </c>
      <c r="C166">
        <v>1</v>
      </c>
      <c r="D166">
        <v>15900</v>
      </c>
      <c r="E166" t="s">
        <v>1146</v>
      </c>
      <c r="F166">
        <v>6</v>
      </c>
      <c r="G166">
        <v>2.1</v>
      </c>
      <c r="H166">
        <v>5300</v>
      </c>
      <c r="I166">
        <v>1</v>
      </c>
      <c r="J166">
        <f>1</f>
        <v>1</v>
      </c>
      <c r="K166">
        <v>1</v>
      </c>
      <c r="L166">
        <v>0</v>
      </c>
      <c r="M166">
        <f t="shared" ca="1" si="6"/>
        <v>0.45617269085907686</v>
      </c>
      <c r="N166">
        <v>0</v>
      </c>
      <c r="O166">
        <v>0</v>
      </c>
      <c r="P166">
        <f t="shared" ca="1" si="7"/>
        <v>0.51345041028339378</v>
      </c>
      <c r="Q166">
        <f t="shared" si="8"/>
        <v>1</v>
      </c>
    </row>
    <row r="167" spans="1:17" x14ac:dyDescent="0.3">
      <c r="A167" t="s">
        <v>127</v>
      </c>
      <c r="B167" t="s">
        <v>65</v>
      </c>
      <c r="C167">
        <v>7</v>
      </c>
      <c r="D167">
        <v>35500</v>
      </c>
      <c r="E167" t="s">
        <v>66</v>
      </c>
      <c r="F167">
        <v>19</v>
      </c>
      <c r="G167">
        <v>2.7</v>
      </c>
      <c r="H167">
        <v>3000</v>
      </c>
      <c r="I167">
        <v>0</v>
      </c>
      <c r="J167">
        <f>1</f>
        <v>1</v>
      </c>
      <c r="K167">
        <v>1</v>
      </c>
      <c r="L167">
        <v>0</v>
      </c>
      <c r="M167">
        <f t="shared" ca="1" si="6"/>
        <v>0.1515138360422299</v>
      </c>
      <c r="N167">
        <v>0</v>
      </c>
      <c r="O167">
        <v>0</v>
      </c>
      <c r="P167">
        <f t="shared" ca="1" si="7"/>
        <v>0.23118174467113384</v>
      </c>
      <c r="Q167">
        <f t="shared" si="8"/>
        <v>1</v>
      </c>
    </row>
    <row r="168" spans="1:17" x14ac:dyDescent="0.3">
      <c r="A168" t="s">
        <v>333</v>
      </c>
      <c r="B168" t="s">
        <v>64</v>
      </c>
      <c r="C168">
        <v>5</v>
      </c>
      <c r="D168">
        <v>25300</v>
      </c>
      <c r="E168" t="s">
        <v>67</v>
      </c>
      <c r="F168">
        <v>96</v>
      </c>
      <c r="G168">
        <v>2.4</v>
      </c>
      <c r="H168">
        <v>10300</v>
      </c>
      <c r="I168">
        <v>0</v>
      </c>
      <c r="J168">
        <f>1</f>
        <v>1</v>
      </c>
      <c r="K168">
        <v>1</v>
      </c>
      <c r="L168">
        <v>0</v>
      </c>
      <c r="M168">
        <f t="shared" ca="1" si="6"/>
        <v>0.41945574317354928</v>
      </c>
      <c r="N168">
        <v>0</v>
      </c>
      <c r="O168">
        <v>0</v>
      </c>
      <c r="P168">
        <f t="shared" ca="1" si="7"/>
        <v>0.77599955096344608</v>
      </c>
      <c r="Q168">
        <f t="shared" si="8"/>
        <v>1</v>
      </c>
    </row>
    <row r="169" spans="1:17" x14ac:dyDescent="0.3">
      <c r="A169" t="s">
        <v>490</v>
      </c>
      <c r="B169" t="s">
        <v>513</v>
      </c>
      <c r="C169">
        <v>5</v>
      </c>
      <c r="D169">
        <v>38800</v>
      </c>
      <c r="E169" t="s">
        <v>69</v>
      </c>
      <c r="F169">
        <v>47</v>
      </c>
      <c r="G169">
        <v>3.6</v>
      </c>
      <c r="H169">
        <v>8700</v>
      </c>
      <c r="I169">
        <v>0</v>
      </c>
      <c r="J169">
        <f>1</f>
        <v>1</v>
      </c>
      <c r="K169">
        <v>1</v>
      </c>
      <c r="L169">
        <v>0</v>
      </c>
      <c r="M169">
        <f t="shared" ca="1" si="6"/>
        <v>0.81871625110327628</v>
      </c>
      <c r="N169">
        <v>0</v>
      </c>
      <c r="O169">
        <v>0</v>
      </c>
      <c r="P169">
        <f t="shared" ca="1" si="7"/>
        <v>0.37528576828341642</v>
      </c>
      <c r="Q169">
        <f t="shared" si="8"/>
        <v>1</v>
      </c>
    </row>
    <row r="170" spans="1:17" x14ac:dyDescent="0.3">
      <c r="A170" t="s">
        <v>1106</v>
      </c>
      <c r="B170" t="s">
        <v>62</v>
      </c>
      <c r="C170">
        <v>5</v>
      </c>
      <c r="D170">
        <v>39700</v>
      </c>
      <c r="E170" t="s">
        <v>1146</v>
      </c>
      <c r="F170">
        <v>9</v>
      </c>
      <c r="G170">
        <v>8.1</v>
      </c>
      <c r="H170">
        <v>5000</v>
      </c>
      <c r="I170">
        <v>1</v>
      </c>
      <c r="J170">
        <f>1</f>
        <v>1</v>
      </c>
      <c r="K170">
        <v>1</v>
      </c>
      <c r="L170">
        <v>0</v>
      </c>
      <c r="M170">
        <f t="shared" ca="1" si="6"/>
        <v>0.91380963712379337</v>
      </c>
      <c r="N170">
        <v>0</v>
      </c>
      <c r="O170">
        <v>0</v>
      </c>
      <c r="P170">
        <f t="shared" ca="1" si="7"/>
        <v>0.59966275060640495</v>
      </c>
      <c r="Q170">
        <f t="shared" si="8"/>
        <v>1</v>
      </c>
    </row>
    <row r="171" spans="1:17" x14ac:dyDescent="0.3">
      <c r="A171" t="s">
        <v>703</v>
      </c>
      <c r="B171" t="s">
        <v>62</v>
      </c>
      <c r="C171">
        <v>1</v>
      </c>
      <c r="D171">
        <v>29200</v>
      </c>
      <c r="E171" t="s">
        <v>1146</v>
      </c>
      <c r="F171">
        <v>0</v>
      </c>
      <c r="G171">
        <v>1.9</v>
      </c>
      <c r="H171">
        <v>9300</v>
      </c>
      <c r="I171">
        <v>1</v>
      </c>
      <c r="J171">
        <f>1</f>
        <v>1</v>
      </c>
      <c r="K171">
        <v>1</v>
      </c>
      <c r="L171">
        <v>0</v>
      </c>
      <c r="M171">
        <f t="shared" ca="1" si="6"/>
        <v>6.0414046560260726E-2</v>
      </c>
      <c r="N171">
        <v>0</v>
      </c>
      <c r="O171">
        <v>0</v>
      </c>
      <c r="P171">
        <f t="shared" ca="1" si="7"/>
        <v>0.97351806919283224</v>
      </c>
      <c r="Q171">
        <f t="shared" si="8"/>
        <v>1</v>
      </c>
    </row>
    <row r="172" spans="1:17" x14ac:dyDescent="0.3">
      <c r="A172" t="s">
        <v>605</v>
      </c>
      <c r="B172" t="s">
        <v>62</v>
      </c>
      <c r="C172">
        <v>5</v>
      </c>
      <c r="D172">
        <v>66300</v>
      </c>
      <c r="E172" t="s">
        <v>68</v>
      </c>
      <c r="F172">
        <v>51</v>
      </c>
      <c r="G172">
        <v>4.2</v>
      </c>
      <c r="H172">
        <v>3000</v>
      </c>
      <c r="I172">
        <v>0</v>
      </c>
      <c r="J172">
        <f>1</f>
        <v>1</v>
      </c>
      <c r="K172">
        <v>1</v>
      </c>
      <c r="L172">
        <v>0</v>
      </c>
      <c r="M172">
        <f t="shared" ca="1" si="6"/>
        <v>0.35043894935867015</v>
      </c>
      <c r="N172">
        <v>0</v>
      </c>
      <c r="O172">
        <v>0</v>
      </c>
      <c r="P172">
        <f t="shared" ca="1" si="7"/>
        <v>0.30861268663278518</v>
      </c>
      <c r="Q172">
        <f t="shared" si="8"/>
        <v>1</v>
      </c>
    </row>
    <row r="173" spans="1:17" x14ac:dyDescent="0.3">
      <c r="A173" t="s">
        <v>225</v>
      </c>
      <c r="B173" t="s">
        <v>65</v>
      </c>
      <c r="C173">
        <v>4</v>
      </c>
      <c r="D173">
        <v>40300</v>
      </c>
      <c r="E173" t="s">
        <v>67</v>
      </c>
      <c r="F173">
        <v>63</v>
      </c>
      <c r="G173">
        <v>8.9</v>
      </c>
      <c r="H173">
        <v>4100</v>
      </c>
      <c r="I173">
        <v>0</v>
      </c>
      <c r="J173">
        <f>1</f>
        <v>1</v>
      </c>
      <c r="K173">
        <v>1</v>
      </c>
      <c r="L173">
        <v>0</v>
      </c>
      <c r="M173">
        <f t="shared" ca="1" si="6"/>
        <v>0.47629420020906521</v>
      </c>
      <c r="N173">
        <v>0</v>
      </c>
      <c r="O173">
        <v>0</v>
      </c>
      <c r="P173">
        <f t="shared" ca="1" si="7"/>
        <v>0.96897308616554634</v>
      </c>
      <c r="Q173">
        <f t="shared" si="8"/>
        <v>1</v>
      </c>
    </row>
    <row r="174" spans="1:17" x14ac:dyDescent="0.3">
      <c r="A174" t="s">
        <v>672</v>
      </c>
      <c r="B174" t="s">
        <v>65</v>
      </c>
      <c r="C174">
        <v>7</v>
      </c>
      <c r="D174">
        <v>146700</v>
      </c>
      <c r="E174" t="s">
        <v>1146</v>
      </c>
      <c r="F174">
        <v>2</v>
      </c>
      <c r="G174">
        <v>4.7</v>
      </c>
      <c r="H174">
        <v>5200</v>
      </c>
      <c r="I174">
        <v>1</v>
      </c>
      <c r="J174">
        <f>1</f>
        <v>1</v>
      </c>
      <c r="K174">
        <v>1</v>
      </c>
      <c r="L174">
        <v>0</v>
      </c>
      <c r="M174">
        <f t="shared" ca="1" si="6"/>
        <v>0.17233120874463359</v>
      </c>
      <c r="N174">
        <v>0</v>
      </c>
      <c r="O174">
        <v>0</v>
      </c>
      <c r="P174">
        <f t="shared" ca="1" si="7"/>
        <v>0.33037216431101191</v>
      </c>
      <c r="Q174">
        <f t="shared" si="8"/>
        <v>1</v>
      </c>
    </row>
    <row r="175" spans="1:17" x14ac:dyDescent="0.3">
      <c r="A175" t="s">
        <v>477</v>
      </c>
      <c r="B175" t="s">
        <v>65</v>
      </c>
      <c r="C175">
        <v>3</v>
      </c>
      <c r="D175">
        <v>46900</v>
      </c>
      <c r="E175" t="s">
        <v>66</v>
      </c>
      <c r="F175">
        <v>55</v>
      </c>
      <c r="G175">
        <v>6.5</v>
      </c>
      <c r="H175">
        <v>0</v>
      </c>
      <c r="I175">
        <v>0</v>
      </c>
      <c r="J175">
        <f>1</f>
        <v>1</v>
      </c>
      <c r="K175">
        <v>1</v>
      </c>
      <c r="L175">
        <v>0</v>
      </c>
      <c r="M175">
        <f t="shared" ca="1" si="6"/>
        <v>0.13824436355135772</v>
      </c>
      <c r="N175">
        <v>0</v>
      </c>
      <c r="O175">
        <v>0</v>
      </c>
      <c r="P175">
        <f t="shared" ca="1" si="7"/>
        <v>0.88180529591176193</v>
      </c>
      <c r="Q175">
        <f t="shared" si="8"/>
        <v>1</v>
      </c>
    </row>
    <row r="176" spans="1:17" x14ac:dyDescent="0.3">
      <c r="A176" t="s">
        <v>429</v>
      </c>
      <c r="B176" t="s">
        <v>64</v>
      </c>
      <c r="C176">
        <v>6</v>
      </c>
      <c r="D176">
        <v>19700</v>
      </c>
      <c r="E176" t="s">
        <v>69</v>
      </c>
      <c r="F176">
        <v>27</v>
      </c>
      <c r="G176">
        <v>6.5</v>
      </c>
      <c r="H176">
        <v>6000</v>
      </c>
      <c r="I176">
        <v>0</v>
      </c>
      <c r="J176">
        <f>1</f>
        <v>1</v>
      </c>
      <c r="K176">
        <v>1</v>
      </c>
      <c r="L176">
        <v>0</v>
      </c>
      <c r="M176">
        <f t="shared" ca="1" si="6"/>
        <v>0.36786783189465833</v>
      </c>
      <c r="N176">
        <v>0</v>
      </c>
      <c r="O176">
        <v>0</v>
      </c>
      <c r="P176">
        <f t="shared" ca="1" si="7"/>
        <v>0.22245785260117501</v>
      </c>
      <c r="Q176">
        <f t="shared" si="8"/>
        <v>1</v>
      </c>
    </row>
    <row r="177" spans="1:17" x14ac:dyDescent="0.3">
      <c r="A177" t="s">
        <v>457</v>
      </c>
      <c r="B177" t="s">
        <v>62</v>
      </c>
      <c r="C177">
        <v>3</v>
      </c>
      <c r="D177">
        <v>29800</v>
      </c>
      <c r="E177" t="s">
        <v>67</v>
      </c>
      <c r="F177">
        <v>56</v>
      </c>
      <c r="G177">
        <v>9.4</v>
      </c>
      <c r="H177">
        <v>5300</v>
      </c>
      <c r="I177">
        <v>0</v>
      </c>
      <c r="J177">
        <f>1</f>
        <v>1</v>
      </c>
      <c r="K177">
        <v>1</v>
      </c>
      <c r="L177">
        <v>0</v>
      </c>
      <c r="M177">
        <f t="shared" ca="1" si="6"/>
        <v>0.2042758244524433</v>
      </c>
      <c r="N177">
        <v>0</v>
      </c>
      <c r="O177">
        <v>0</v>
      </c>
      <c r="P177">
        <f t="shared" ca="1" si="7"/>
        <v>0.29324075778066949</v>
      </c>
      <c r="Q177">
        <f t="shared" si="8"/>
        <v>1</v>
      </c>
    </row>
    <row r="178" spans="1:17" x14ac:dyDescent="0.3">
      <c r="A178" t="s">
        <v>982</v>
      </c>
      <c r="B178" t="s">
        <v>513</v>
      </c>
      <c r="C178">
        <v>3</v>
      </c>
      <c r="D178">
        <v>15700</v>
      </c>
      <c r="E178" t="s">
        <v>1146</v>
      </c>
      <c r="F178">
        <v>10</v>
      </c>
      <c r="G178">
        <v>11.8</v>
      </c>
      <c r="H178">
        <v>800</v>
      </c>
      <c r="I178">
        <v>1</v>
      </c>
      <c r="J178">
        <f>1</f>
        <v>1</v>
      </c>
      <c r="K178">
        <v>1</v>
      </c>
      <c r="L178">
        <v>0</v>
      </c>
      <c r="M178">
        <f t="shared" ca="1" si="6"/>
        <v>0.66007750008334298</v>
      </c>
      <c r="N178">
        <v>0</v>
      </c>
      <c r="O178">
        <v>0</v>
      </c>
      <c r="P178">
        <f t="shared" ca="1" si="7"/>
        <v>1.3644835105516617E-2</v>
      </c>
      <c r="Q178">
        <f t="shared" si="8"/>
        <v>1</v>
      </c>
    </row>
    <row r="179" spans="1:17" x14ac:dyDescent="0.3">
      <c r="A179" t="s">
        <v>1077</v>
      </c>
      <c r="B179" t="s">
        <v>62</v>
      </c>
      <c r="C179">
        <v>10</v>
      </c>
      <c r="D179">
        <v>29300</v>
      </c>
      <c r="E179" t="s">
        <v>1146</v>
      </c>
      <c r="F179">
        <v>2</v>
      </c>
      <c r="G179">
        <v>1.1000000000000001</v>
      </c>
      <c r="H179">
        <v>4800</v>
      </c>
      <c r="I179">
        <v>1</v>
      </c>
      <c r="J179">
        <f>1</f>
        <v>1</v>
      </c>
      <c r="K179">
        <v>1</v>
      </c>
      <c r="L179">
        <v>0</v>
      </c>
      <c r="M179">
        <f t="shared" ca="1" si="6"/>
        <v>0.89716513609802329</v>
      </c>
      <c r="N179">
        <v>0</v>
      </c>
      <c r="O179">
        <v>0</v>
      </c>
      <c r="P179">
        <f t="shared" ca="1" si="7"/>
        <v>0.60439476257399305</v>
      </c>
      <c r="Q179">
        <f t="shared" si="8"/>
        <v>1</v>
      </c>
    </row>
    <row r="180" spans="1:17" x14ac:dyDescent="0.3">
      <c r="A180" t="s">
        <v>1007</v>
      </c>
      <c r="B180" t="s">
        <v>513</v>
      </c>
      <c r="C180">
        <v>7</v>
      </c>
      <c r="D180">
        <v>32400</v>
      </c>
      <c r="E180" t="s">
        <v>1146</v>
      </c>
      <c r="F180">
        <v>6</v>
      </c>
      <c r="G180">
        <v>7.8</v>
      </c>
      <c r="H180">
        <v>4200</v>
      </c>
      <c r="I180">
        <v>1</v>
      </c>
      <c r="J180">
        <f>1</f>
        <v>1</v>
      </c>
      <c r="K180">
        <v>1</v>
      </c>
      <c r="L180">
        <v>0</v>
      </c>
      <c r="M180">
        <f t="shared" ca="1" si="6"/>
        <v>0.94524701606546502</v>
      </c>
      <c r="N180">
        <v>0</v>
      </c>
      <c r="O180">
        <v>0</v>
      </c>
      <c r="P180">
        <f t="shared" ca="1" si="7"/>
        <v>0.86546823146870766</v>
      </c>
      <c r="Q180">
        <f t="shared" si="8"/>
        <v>1</v>
      </c>
    </row>
    <row r="181" spans="1:17" x14ac:dyDescent="0.3">
      <c r="A181" t="s">
        <v>188</v>
      </c>
      <c r="B181" t="s">
        <v>65</v>
      </c>
      <c r="C181">
        <v>5</v>
      </c>
      <c r="D181">
        <v>21500</v>
      </c>
      <c r="E181" t="s">
        <v>67</v>
      </c>
      <c r="F181">
        <v>101</v>
      </c>
      <c r="G181">
        <v>6.1</v>
      </c>
      <c r="H181">
        <v>6700</v>
      </c>
      <c r="I181">
        <v>0</v>
      </c>
      <c r="J181">
        <f>1</f>
        <v>1</v>
      </c>
      <c r="K181">
        <v>1</v>
      </c>
      <c r="L181">
        <v>0</v>
      </c>
      <c r="M181">
        <f t="shared" ca="1" si="6"/>
        <v>0.92187554581932052</v>
      </c>
      <c r="N181">
        <v>0</v>
      </c>
      <c r="O181">
        <v>0</v>
      </c>
      <c r="P181">
        <f t="shared" ca="1" si="7"/>
        <v>0.94099442963686286</v>
      </c>
      <c r="Q181">
        <f t="shared" si="8"/>
        <v>1</v>
      </c>
    </row>
    <row r="182" spans="1:17" x14ac:dyDescent="0.3">
      <c r="A182" t="s">
        <v>376</v>
      </c>
      <c r="B182" t="s">
        <v>65</v>
      </c>
      <c r="C182">
        <v>8</v>
      </c>
      <c r="D182">
        <v>50600</v>
      </c>
      <c r="E182" t="s">
        <v>66</v>
      </c>
      <c r="F182">
        <v>34</v>
      </c>
      <c r="G182">
        <v>5.3</v>
      </c>
      <c r="H182">
        <v>5900</v>
      </c>
      <c r="I182">
        <v>0</v>
      </c>
      <c r="J182">
        <f>1</f>
        <v>1</v>
      </c>
      <c r="K182">
        <v>1</v>
      </c>
      <c r="L182">
        <v>0</v>
      </c>
      <c r="M182">
        <f t="shared" ca="1" si="6"/>
        <v>0.14788966915178914</v>
      </c>
      <c r="N182">
        <v>0</v>
      </c>
      <c r="O182">
        <v>0</v>
      </c>
      <c r="P182">
        <f t="shared" ca="1" si="7"/>
        <v>0.1546051405896206</v>
      </c>
      <c r="Q182">
        <f t="shared" si="8"/>
        <v>1</v>
      </c>
    </row>
    <row r="183" spans="1:17" x14ac:dyDescent="0.3">
      <c r="A183" t="s">
        <v>898</v>
      </c>
      <c r="B183" t="s">
        <v>62</v>
      </c>
      <c r="C183">
        <v>4</v>
      </c>
      <c r="D183">
        <v>28700</v>
      </c>
      <c r="E183" t="s">
        <v>1146</v>
      </c>
      <c r="F183">
        <v>9</v>
      </c>
      <c r="G183">
        <v>8.8000000000000007</v>
      </c>
      <c r="H183">
        <v>0</v>
      </c>
      <c r="I183">
        <v>1</v>
      </c>
      <c r="J183">
        <f>1</f>
        <v>1</v>
      </c>
      <c r="K183">
        <v>1</v>
      </c>
      <c r="L183">
        <v>0</v>
      </c>
      <c r="M183">
        <f t="shared" ca="1" si="6"/>
        <v>9.8307238590622514E-2</v>
      </c>
      <c r="N183">
        <v>0</v>
      </c>
      <c r="O183">
        <v>0</v>
      </c>
      <c r="P183">
        <f t="shared" ca="1" si="7"/>
        <v>0.7430873226867355</v>
      </c>
      <c r="Q183">
        <f t="shared" si="8"/>
        <v>1</v>
      </c>
    </row>
    <row r="184" spans="1:17" x14ac:dyDescent="0.3">
      <c r="A184" t="s">
        <v>400</v>
      </c>
      <c r="B184" t="s">
        <v>64</v>
      </c>
      <c r="C184">
        <v>6</v>
      </c>
      <c r="D184">
        <v>39800</v>
      </c>
      <c r="E184" t="s">
        <v>69</v>
      </c>
      <c r="F184">
        <v>23</v>
      </c>
      <c r="G184">
        <v>2</v>
      </c>
      <c r="H184">
        <v>10000</v>
      </c>
      <c r="I184">
        <v>0</v>
      </c>
      <c r="J184">
        <f>1</f>
        <v>1</v>
      </c>
      <c r="K184">
        <v>1</v>
      </c>
      <c r="L184">
        <v>0</v>
      </c>
      <c r="M184">
        <f t="shared" ca="1" si="6"/>
        <v>0.54801696952133683</v>
      </c>
      <c r="N184">
        <v>0</v>
      </c>
      <c r="O184">
        <v>0</v>
      </c>
      <c r="P184">
        <f t="shared" ca="1" si="7"/>
        <v>0.42485220132697599</v>
      </c>
      <c r="Q184">
        <f t="shared" si="8"/>
        <v>1</v>
      </c>
    </row>
    <row r="185" spans="1:17" x14ac:dyDescent="0.3">
      <c r="A185" t="s">
        <v>129</v>
      </c>
      <c r="B185" t="s">
        <v>62</v>
      </c>
      <c r="C185">
        <v>4</v>
      </c>
      <c r="D185">
        <v>35900</v>
      </c>
      <c r="E185" t="s">
        <v>67</v>
      </c>
      <c r="F185">
        <v>109</v>
      </c>
      <c r="G185">
        <v>1.2</v>
      </c>
      <c r="H185">
        <v>12800</v>
      </c>
      <c r="I185">
        <v>0</v>
      </c>
      <c r="J185">
        <f>1</f>
        <v>1</v>
      </c>
      <c r="K185">
        <v>1</v>
      </c>
      <c r="L185">
        <v>0</v>
      </c>
      <c r="M185">
        <f t="shared" ca="1" si="6"/>
        <v>0.10559608988053637</v>
      </c>
      <c r="N185">
        <v>0</v>
      </c>
      <c r="O185">
        <v>0</v>
      </c>
      <c r="P185">
        <f t="shared" ca="1" si="7"/>
        <v>0.11867411784555548</v>
      </c>
      <c r="Q185">
        <f t="shared" si="8"/>
        <v>1</v>
      </c>
    </row>
    <row r="186" spans="1:17" x14ac:dyDescent="0.3">
      <c r="A186" t="s">
        <v>646</v>
      </c>
      <c r="B186" t="s">
        <v>65</v>
      </c>
      <c r="C186">
        <v>6</v>
      </c>
      <c r="D186">
        <v>44900</v>
      </c>
      <c r="E186" t="s">
        <v>1146</v>
      </c>
      <c r="F186">
        <v>4</v>
      </c>
      <c r="G186">
        <v>12.4</v>
      </c>
      <c r="H186">
        <v>1800</v>
      </c>
      <c r="I186">
        <v>1</v>
      </c>
      <c r="J186">
        <f>1</f>
        <v>1</v>
      </c>
      <c r="K186">
        <v>1</v>
      </c>
      <c r="L186">
        <v>0</v>
      </c>
      <c r="M186">
        <f t="shared" ca="1" si="6"/>
        <v>0.59395883180967812</v>
      </c>
      <c r="N186">
        <v>0</v>
      </c>
      <c r="O186">
        <v>0</v>
      </c>
      <c r="P186">
        <f t="shared" ca="1" si="7"/>
        <v>0.58756888632381676</v>
      </c>
      <c r="Q186">
        <f t="shared" si="8"/>
        <v>1</v>
      </c>
    </row>
    <row r="187" spans="1:17" x14ac:dyDescent="0.3">
      <c r="A187" t="s">
        <v>743</v>
      </c>
      <c r="B187" t="s">
        <v>65</v>
      </c>
      <c r="C187">
        <v>8</v>
      </c>
      <c r="D187">
        <v>34000</v>
      </c>
      <c r="E187" t="s">
        <v>1146</v>
      </c>
      <c r="F187">
        <v>7</v>
      </c>
      <c r="G187">
        <v>5.9</v>
      </c>
      <c r="H187">
        <v>9000</v>
      </c>
      <c r="I187">
        <v>1</v>
      </c>
      <c r="J187">
        <f>1</f>
        <v>1</v>
      </c>
      <c r="K187">
        <v>1</v>
      </c>
      <c r="L187">
        <v>0</v>
      </c>
      <c r="M187">
        <f t="shared" ca="1" si="6"/>
        <v>0.82954646009253108</v>
      </c>
      <c r="N187">
        <v>0</v>
      </c>
      <c r="O187">
        <v>0</v>
      </c>
      <c r="P187">
        <f t="shared" ca="1" si="7"/>
        <v>0.14884630041475599</v>
      </c>
      <c r="Q187">
        <f t="shared" si="8"/>
        <v>1</v>
      </c>
    </row>
    <row r="188" spans="1:17" x14ac:dyDescent="0.3">
      <c r="A188" t="s">
        <v>459</v>
      </c>
      <c r="B188" t="s">
        <v>65</v>
      </c>
      <c r="C188">
        <v>7</v>
      </c>
      <c r="D188">
        <v>42800</v>
      </c>
      <c r="E188" t="s">
        <v>66</v>
      </c>
      <c r="F188">
        <v>39</v>
      </c>
      <c r="G188">
        <v>12.2</v>
      </c>
      <c r="H188">
        <v>2000</v>
      </c>
      <c r="I188">
        <v>0</v>
      </c>
      <c r="J188">
        <f>1</f>
        <v>1</v>
      </c>
      <c r="K188">
        <v>1</v>
      </c>
      <c r="L188">
        <v>0</v>
      </c>
      <c r="M188">
        <f t="shared" ca="1" si="6"/>
        <v>0.29086627775923213</v>
      </c>
      <c r="N188">
        <v>0</v>
      </c>
      <c r="O188">
        <v>0</v>
      </c>
      <c r="P188">
        <f t="shared" ca="1" si="7"/>
        <v>0.60821952885433195</v>
      </c>
      <c r="Q188">
        <f t="shared" si="8"/>
        <v>1</v>
      </c>
    </row>
    <row r="189" spans="1:17" x14ac:dyDescent="0.3">
      <c r="A189" t="s">
        <v>781</v>
      </c>
      <c r="B189" t="s">
        <v>62</v>
      </c>
      <c r="C189">
        <v>7</v>
      </c>
      <c r="D189">
        <v>31000</v>
      </c>
      <c r="E189" t="s">
        <v>1146</v>
      </c>
      <c r="F189">
        <v>3</v>
      </c>
      <c r="G189">
        <v>8.1999999999999993</v>
      </c>
      <c r="H189">
        <v>7600</v>
      </c>
      <c r="I189">
        <v>1</v>
      </c>
      <c r="J189">
        <f>1</f>
        <v>1</v>
      </c>
      <c r="K189">
        <v>1</v>
      </c>
      <c r="L189">
        <v>0</v>
      </c>
      <c r="M189">
        <f t="shared" ca="1" si="6"/>
        <v>0.16405191707982947</v>
      </c>
      <c r="N189">
        <v>0</v>
      </c>
      <c r="O189">
        <v>0</v>
      </c>
      <c r="P189">
        <f t="shared" ca="1" si="7"/>
        <v>0.66271906867000063</v>
      </c>
      <c r="Q189">
        <f t="shared" si="8"/>
        <v>1</v>
      </c>
    </row>
    <row r="190" spans="1:17" x14ac:dyDescent="0.3">
      <c r="A190" t="s">
        <v>728</v>
      </c>
      <c r="B190" t="s">
        <v>513</v>
      </c>
      <c r="C190">
        <v>7</v>
      </c>
      <c r="D190">
        <v>44000</v>
      </c>
      <c r="E190" t="s">
        <v>1146</v>
      </c>
      <c r="F190">
        <v>9</v>
      </c>
      <c r="G190">
        <v>6.7</v>
      </c>
      <c r="H190">
        <v>1500</v>
      </c>
      <c r="I190">
        <v>1</v>
      </c>
      <c r="J190">
        <f>1</f>
        <v>1</v>
      </c>
      <c r="K190">
        <v>1</v>
      </c>
      <c r="L190">
        <v>0</v>
      </c>
      <c r="M190">
        <f t="shared" ca="1" si="6"/>
        <v>0.54366116818238408</v>
      </c>
      <c r="N190">
        <v>0</v>
      </c>
      <c r="O190">
        <v>0</v>
      </c>
      <c r="P190">
        <f t="shared" ca="1" si="7"/>
        <v>0.96998568902480797</v>
      </c>
      <c r="Q190">
        <f t="shared" si="8"/>
        <v>1</v>
      </c>
    </row>
    <row r="191" spans="1:17" x14ac:dyDescent="0.3">
      <c r="A191" t="s">
        <v>175</v>
      </c>
      <c r="B191" t="s">
        <v>65</v>
      </c>
      <c r="C191">
        <v>6</v>
      </c>
      <c r="D191">
        <v>28300</v>
      </c>
      <c r="E191" t="s">
        <v>67</v>
      </c>
      <c r="F191">
        <v>119</v>
      </c>
      <c r="G191">
        <v>12.6</v>
      </c>
      <c r="H191">
        <v>15200</v>
      </c>
      <c r="I191">
        <v>0</v>
      </c>
      <c r="J191">
        <f>1</f>
        <v>1</v>
      </c>
      <c r="K191">
        <v>1</v>
      </c>
      <c r="L191">
        <v>0</v>
      </c>
      <c r="M191">
        <f t="shared" ca="1" si="6"/>
        <v>0.78639593861153179</v>
      </c>
      <c r="N191">
        <v>0</v>
      </c>
      <c r="O191">
        <v>0</v>
      </c>
      <c r="P191">
        <f t="shared" ca="1" si="7"/>
        <v>0.301312402663236</v>
      </c>
      <c r="Q191">
        <f t="shared" si="8"/>
        <v>1</v>
      </c>
    </row>
    <row r="192" spans="1:17" x14ac:dyDescent="0.3">
      <c r="A192" t="s">
        <v>455</v>
      </c>
      <c r="B192" t="s">
        <v>65</v>
      </c>
      <c r="C192">
        <v>4</v>
      </c>
      <c r="D192">
        <v>30700</v>
      </c>
      <c r="E192" t="s">
        <v>66</v>
      </c>
      <c r="F192">
        <v>69</v>
      </c>
      <c r="G192">
        <v>13.9</v>
      </c>
      <c r="H192">
        <v>3900</v>
      </c>
      <c r="I192">
        <v>0</v>
      </c>
      <c r="J192">
        <f>1</f>
        <v>1</v>
      </c>
      <c r="K192">
        <v>1</v>
      </c>
      <c r="L192">
        <v>0</v>
      </c>
      <c r="M192">
        <f t="shared" ca="1" si="6"/>
        <v>4.494269879464452E-2</v>
      </c>
      <c r="N192">
        <v>0</v>
      </c>
      <c r="O192">
        <v>0</v>
      </c>
      <c r="P192">
        <f t="shared" ca="1" si="7"/>
        <v>0.1565622343151809</v>
      </c>
      <c r="Q192">
        <f t="shared" si="8"/>
        <v>1</v>
      </c>
    </row>
    <row r="193" spans="1:17" x14ac:dyDescent="0.3">
      <c r="A193" t="s">
        <v>975</v>
      </c>
      <c r="B193" t="s">
        <v>65</v>
      </c>
      <c r="C193">
        <v>8</v>
      </c>
      <c r="D193">
        <v>28100</v>
      </c>
      <c r="E193" t="s">
        <v>1146</v>
      </c>
      <c r="F193">
        <v>7</v>
      </c>
      <c r="G193">
        <v>10.3</v>
      </c>
      <c r="H193">
        <v>17300</v>
      </c>
      <c r="I193">
        <v>1</v>
      </c>
      <c r="J193">
        <f>1</f>
        <v>1</v>
      </c>
      <c r="K193">
        <v>1</v>
      </c>
      <c r="L193">
        <v>0</v>
      </c>
      <c r="M193">
        <f t="shared" ca="1" si="6"/>
        <v>0.47187213879629064</v>
      </c>
      <c r="N193">
        <v>0</v>
      </c>
      <c r="O193">
        <v>0</v>
      </c>
      <c r="P193">
        <f t="shared" ca="1" si="7"/>
        <v>0.97936351312182623</v>
      </c>
      <c r="Q193">
        <f t="shared" si="8"/>
        <v>1</v>
      </c>
    </row>
    <row r="194" spans="1:17" x14ac:dyDescent="0.3">
      <c r="A194" t="s">
        <v>759</v>
      </c>
      <c r="B194" t="s">
        <v>64</v>
      </c>
      <c r="C194">
        <v>7</v>
      </c>
      <c r="D194">
        <v>22700</v>
      </c>
      <c r="E194" t="s">
        <v>1146</v>
      </c>
      <c r="F194">
        <v>8</v>
      </c>
      <c r="G194">
        <v>3.6</v>
      </c>
      <c r="H194">
        <v>5500</v>
      </c>
      <c r="I194">
        <v>1</v>
      </c>
      <c r="J194">
        <f>1</f>
        <v>1</v>
      </c>
      <c r="K194">
        <v>1</v>
      </c>
      <c r="L194">
        <v>0</v>
      </c>
      <c r="M194">
        <f t="shared" ref="M194:M257" ca="1" si="9">RAND()</f>
        <v>0.12073112679288345</v>
      </c>
      <c r="N194">
        <v>0</v>
      </c>
      <c r="O194">
        <v>0</v>
      </c>
      <c r="P194">
        <f t="shared" ref="P194:P257" ca="1" si="10">IF(L194=0,RAND(),"")</f>
        <v>0.29558682499065403</v>
      </c>
      <c r="Q194">
        <f t="shared" si="8"/>
        <v>1</v>
      </c>
    </row>
    <row r="195" spans="1:17" x14ac:dyDescent="0.3">
      <c r="A195" t="s">
        <v>841</v>
      </c>
      <c r="B195" t="s">
        <v>64</v>
      </c>
      <c r="C195">
        <v>7</v>
      </c>
      <c r="D195">
        <v>28800</v>
      </c>
      <c r="E195" t="s">
        <v>1146</v>
      </c>
      <c r="F195">
        <v>6</v>
      </c>
      <c r="G195">
        <v>11.8</v>
      </c>
      <c r="H195">
        <v>2500</v>
      </c>
      <c r="I195">
        <v>1</v>
      </c>
      <c r="J195">
        <f>1</f>
        <v>1</v>
      </c>
      <c r="K195">
        <v>1</v>
      </c>
      <c r="L195">
        <v>0</v>
      </c>
      <c r="M195">
        <f t="shared" ca="1" si="9"/>
        <v>0.43336749172266287</v>
      </c>
      <c r="N195">
        <v>0</v>
      </c>
      <c r="O195">
        <v>0</v>
      </c>
      <c r="P195">
        <f t="shared" ca="1" si="10"/>
        <v>0.65395955565724662</v>
      </c>
      <c r="Q195">
        <f t="shared" ref="Q195:Q258" si="11">IF(OR(L195=1,O195=1), 0,1)</f>
        <v>1</v>
      </c>
    </row>
    <row r="196" spans="1:17" x14ac:dyDescent="0.3">
      <c r="A196" t="s">
        <v>574</v>
      </c>
      <c r="B196" t="s">
        <v>62</v>
      </c>
      <c r="C196">
        <v>5</v>
      </c>
      <c r="D196">
        <v>48200</v>
      </c>
      <c r="E196" t="s">
        <v>69</v>
      </c>
      <c r="F196">
        <v>18</v>
      </c>
      <c r="G196">
        <v>9.1</v>
      </c>
      <c r="H196">
        <v>0</v>
      </c>
      <c r="I196">
        <v>0</v>
      </c>
      <c r="J196">
        <f>1</f>
        <v>1</v>
      </c>
      <c r="K196">
        <v>1</v>
      </c>
      <c r="L196">
        <v>0</v>
      </c>
      <c r="M196">
        <f t="shared" ca="1" si="9"/>
        <v>0.33274795371939359</v>
      </c>
      <c r="N196">
        <v>0</v>
      </c>
      <c r="O196">
        <v>0</v>
      </c>
      <c r="P196">
        <f t="shared" ca="1" si="10"/>
        <v>0.15226784072971655</v>
      </c>
      <c r="Q196">
        <f t="shared" si="11"/>
        <v>1</v>
      </c>
    </row>
    <row r="197" spans="1:17" x14ac:dyDescent="0.3">
      <c r="A197" t="s">
        <v>953</v>
      </c>
      <c r="B197" t="s">
        <v>65</v>
      </c>
      <c r="C197">
        <v>5</v>
      </c>
      <c r="D197">
        <v>25500</v>
      </c>
      <c r="E197" t="s">
        <v>1146</v>
      </c>
      <c r="F197">
        <v>0</v>
      </c>
      <c r="G197">
        <v>1.6</v>
      </c>
      <c r="H197">
        <v>100</v>
      </c>
      <c r="I197">
        <v>1</v>
      </c>
      <c r="J197">
        <f>1</f>
        <v>1</v>
      </c>
      <c r="K197">
        <v>1</v>
      </c>
      <c r="L197">
        <v>0</v>
      </c>
      <c r="M197">
        <f t="shared" ca="1" si="9"/>
        <v>0.25701994308998211</v>
      </c>
      <c r="N197">
        <v>0</v>
      </c>
      <c r="O197">
        <v>0</v>
      </c>
      <c r="P197">
        <f t="shared" ca="1" si="10"/>
        <v>0.26197066643547851</v>
      </c>
      <c r="Q197">
        <f t="shared" si="11"/>
        <v>1</v>
      </c>
    </row>
    <row r="198" spans="1:17" x14ac:dyDescent="0.3">
      <c r="A198" t="s">
        <v>302</v>
      </c>
      <c r="B198" t="s">
        <v>62</v>
      </c>
      <c r="C198">
        <v>8</v>
      </c>
      <c r="D198">
        <v>46900</v>
      </c>
      <c r="E198" t="s">
        <v>68</v>
      </c>
      <c r="F198">
        <v>44</v>
      </c>
      <c r="G198">
        <v>6.4</v>
      </c>
      <c r="H198">
        <v>11400</v>
      </c>
      <c r="I198">
        <v>0</v>
      </c>
      <c r="J198">
        <f>1</f>
        <v>1</v>
      </c>
      <c r="K198">
        <v>1</v>
      </c>
      <c r="L198">
        <v>0</v>
      </c>
      <c r="M198">
        <f t="shared" ca="1" si="9"/>
        <v>3.1523035319387716E-2</v>
      </c>
      <c r="N198">
        <v>0</v>
      </c>
      <c r="O198">
        <v>0</v>
      </c>
      <c r="P198">
        <f t="shared" ca="1" si="10"/>
        <v>0.52076688354121636</v>
      </c>
      <c r="Q198">
        <f t="shared" si="11"/>
        <v>1</v>
      </c>
    </row>
    <row r="199" spans="1:17" x14ac:dyDescent="0.3">
      <c r="A199" t="s">
        <v>204</v>
      </c>
      <c r="B199" t="s">
        <v>65</v>
      </c>
      <c r="C199">
        <v>3</v>
      </c>
      <c r="D199">
        <v>9100</v>
      </c>
      <c r="E199" t="s">
        <v>67</v>
      </c>
      <c r="F199">
        <v>111</v>
      </c>
      <c r="G199">
        <v>1.7</v>
      </c>
      <c r="H199">
        <v>9800</v>
      </c>
      <c r="I199">
        <v>0</v>
      </c>
      <c r="J199">
        <f>1</f>
        <v>1</v>
      </c>
      <c r="K199">
        <v>1</v>
      </c>
      <c r="L199">
        <v>0</v>
      </c>
      <c r="M199">
        <f t="shared" ca="1" si="9"/>
        <v>0.14499508799334171</v>
      </c>
      <c r="N199">
        <v>0</v>
      </c>
      <c r="O199">
        <v>0</v>
      </c>
      <c r="P199">
        <f t="shared" ca="1" si="10"/>
        <v>0.25937526773107056</v>
      </c>
      <c r="Q199">
        <f t="shared" si="11"/>
        <v>1</v>
      </c>
    </row>
    <row r="200" spans="1:17" x14ac:dyDescent="0.3">
      <c r="A200" t="s">
        <v>487</v>
      </c>
      <c r="B200" t="s">
        <v>513</v>
      </c>
      <c r="C200">
        <v>3</v>
      </c>
      <c r="D200">
        <v>16200</v>
      </c>
      <c r="E200" t="s">
        <v>69</v>
      </c>
      <c r="F200">
        <v>42</v>
      </c>
      <c r="G200">
        <v>14.9</v>
      </c>
      <c r="H200">
        <v>0</v>
      </c>
      <c r="I200">
        <v>0</v>
      </c>
      <c r="J200">
        <f>1</f>
        <v>1</v>
      </c>
      <c r="K200">
        <v>1</v>
      </c>
      <c r="L200">
        <v>0</v>
      </c>
      <c r="M200">
        <f t="shared" ca="1" si="9"/>
        <v>0.76184435595137578</v>
      </c>
      <c r="N200">
        <v>0</v>
      </c>
      <c r="O200">
        <v>0</v>
      </c>
      <c r="P200">
        <f t="shared" ca="1" si="10"/>
        <v>0.48003366023534211</v>
      </c>
      <c r="Q200">
        <f t="shared" si="11"/>
        <v>1</v>
      </c>
    </row>
    <row r="201" spans="1:17" x14ac:dyDescent="0.3">
      <c r="A201" t="s">
        <v>537</v>
      </c>
      <c r="B201" t="s">
        <v>62</v>
      </c>
      <c r="C201">
        <v>4</v>
      </c>
      <c r="D201">
        <v>42300</v>
      </c>
      <c r="E201" t="s">
        <v>68</v>
      </c>
      <c r="F201">
        <v>40</v>
      </c>
      <c r="G201">
        <v>3.5</v>
      </c>
      <c r="H201">
        <v>8900</v>
      </c>
      <c r="I201">
        <v>0</v>
      </c>
      <c r="J201">
        <f>1</f>
        <v>1</v>
      </c>
      <c r="K201">
        <v>1</v>
      </c>
      <c r="L201">
        <v>0</v>
      </c>
      <c r="M201">
        <f t="shared" ca="1" si="9"/>
        <v>0.91281883269932707</v>
      </c>
      <c r="N201">
        <v>0</v>
      </c>
      <c r="O201">
        <v>0</v>
      </c>
      <c r="P201">
        <f t="shared" ca="1" si="10"/>
        <v>0.874811746445181</v>
      </c>
      <c r="Q201">
        <f t="shared" si="11"/>
        <v>1</v>
      </c>
    </row>
    <row r="202" spans="1:17" x14ac:dyDescent="0.3">
      <c r="A202" t="s">
        <v>738</v>
      </c>
      <c r="B202" t="s">
        <v>62</v>
      </c>
      <c r="C202">
        <v>9</v>
      </c>
      <c r="D202">
        <v>21700</v>
      </c>
      <c r="E202" t="s">
        <v>1146</v>
      </c>
      <c r="F202">
        <v>3</v>
      </c>
      <c r="G202">
        <v>8.3000000000000007</v>
      </c>
      <c r="H202">
        <v>9800</v>
      </c>
      <c r="I202">
        <v>1</v>
      </c>
      <c r="J202">
        <f>1</f>
        <v>1</v>
      </c>
      <c r="K202">
        <v>1</v>
      </c>
      <c r="L202">
        <v>0</v>
      </c>
      <c r="M202">
        <f t="shared" ca="1" si="9"/>
        <v>0.35674881841019912</v>
      </c>
      <c r="N202">
        <v>0</v>
      </c>
      <c r="O202">
        <v>0</v>
      </c>
      <c r="P202">
        <f t="shared" ca="1" si="10"/>
        <v>0.10190752414776483</v>
      </c>
      <c r="Q202">
        <f t="shared" si="11"/>
        <v>1</v>
      </c>
    </row>
    <row r="203" spans="1:17" x14ac:dyDescent="0.3">
      <c r="A203" t="s">
        <v>680</v>
      </c>
      <c r="B203" t="s">
        <v>64</v>
      </c>
      <c r="C203">
        <v>4</v>
      </c>
      <c r="D203">
        <v>45400</v>
      </c>
      <c r="E203" t="s">
        <v>1146</v>
      </c>
      <c r="F203">
        <v>9</v>
      </c>
      <c r="G203">
        <v>9.6</v>
      </c>
      <c r="H203">
        <v>6600</v>
      </c>
      <c r="I203">
        <v>1</v>
      </c>
      <c r="J203">
        <f>1</f>
        <v>1</v>
      </c>
      <c r="K203">
        <v>1</v>
      </c>
      <c r="L203">
        <v>0</v>
      </c>
      <c r="M203">
        <f t="shared" ca="1" si="9"/>
        <v>0.78813064504466945</v>
      </c>
      <c r="N203">
        <v>0</v>
      </c>
      <c r="O203">
        <v>0</v>
      </c>
      <c r="P203">
        <f t="shared" ca="1" si="10"/>
        <v>0.68917154920225587</v>
      </c>
      <c r="Q203">
        <f t="shared" si="11"/>
        <v>1</v>
      </c>
    </row>
    <row r="204" spans="1:17" x14ac:dyDescent="0.3">
      <c r="A204" t="s">
        <v>845</v>
      </c>
      <c r="B204" t="s">
        <v>64</v>
      </c>
      <c r="C204">
        <v>4</v>
      </c>
      <c r="D204">
        <v>37300</v>
      </c>
      <c r="E204" t="s">
        <v>1146</v>
      </c>
      <c r="F204">
        <v>10</v>
      </c>
      <c r="G204">
        <v>4.8</v>
      </c>
      <c r="H204">
        <v>4100</v>
      </c>
      <c r="I204">
        <v>1</v>
      </c>
      <c r="J204">
        <f>1</f>
        <v>1</v>
      </c>
      <c r="K204">
        <v>1</v>
      </c>
      <c r="L204">
        <v>0</v>
      </c>
      <c r="M204">
        <f t="shared" ca="1" si="9"/>
        <v>0.3187358748524135</v>
      </c>
      <c r="N204">
        <v>0</v>
      </c>
      <c r="O204">
        <v>0</v>
      </c>
      <c r="P204">
        <f t="shared" ca="1" si="10"/>
        <v>0.64691811619017536</v>
      </c>
      <c r="Q204">
        <f t="shared" si="11"/>
        <v>1</v>
      </c>
    </row>
    <row r="205" spans="1:17" x14ac:dyDescent="0.3">
      <c r="A205" t="s">
        <v>843</v>
      </c>
      <c r="B205" t="s">
        <v>62</v>
      </c>
      <c r="C205">
        <v>7</v>
      </c>
      <c r="D205">
        <v>23100</v>
      </c>
      <c r="E205" t="s">
        <v>1146</v>
      </c>
      <c r="F205">
        <v>2</v>
      </c>
      <c r="G205">
        <v>1.8</v>
      </c>
      <c r="H205">
        <v>1500</v>
      </c>
      <c r="I205">
        <v>1</v>
      </c>
      <c r="J205">
        <f>1</f>
        <v>1</v>
      </c>
      <c r="K205">
        <v>1</v>
      </c>
      <c r="L205">
        <v>0</v>
      </c>
      <c r="M205">
        <f t="shared" ca="1" si="9"/>
        <v>0.8362566463474721</v>
      </c>
      <c r="N205">
        <v>0</v>
      </c>
      <c r="O205">
        <v>0</v>
      </c>
      <c r="P205">
        <f t="shared" ca="1" si="10"/>
        <v>0.22779795318520879</v>
      </c>
      <c r="Q205">
        <f t="shared" si="11"/>
        <v>1</v>
      </c>
    </row>
    <row r="206" spans="1:17" x14ac:dyDescent="0.3">
      <c r="A206" t="s">
        <v>941</v>
      </c>
      <c r="B206" t="s">
        <v>64</v>
      </c>
      <c r="C206">
        <v>6</v>
      </c>
      <c r="D206">
        <v>67600</v>
      </c>
      <c r="E206" t="s">
        <v>1146</v>
      </c>
      <c r="F206">
        <v>10</v>
      </c>
      <c r="G206">
        <v>9.6</v>
      </c>
      <c r="H206">
        <v>5300</v>
      </c>
      <c r="I206">
        <v>1</v>
      </c>
      <c r="J206">
        <f>1</f>
        <v>1</v>
      </c>
      <c r="K206">
        <v>1</v>
      </c>
      <c r="L206">
        <v>0</v>
      </c>
      <c r="M206">
        <f t="shared" ca="1" si="9"/>
        <v>0.98613070422307725</v>
      </c>
      <c r="N206">
        <v>0</v>
      </c>
      <c r="O206">
        <v>0</v>
      </c>
      <c r="P206">
        <f t="shared" ca="1" si="10"/>
        <v>0.83047151179896628</v>
      </c>
      <c r="Q206">
        <f t="shared" si="11"/>
        <v>1</v>
      </c>
    </row>
    <row r="207" spans="1:17" x14ac:dyDescent="0.3">
      <c r="A207" t="s">
        <v>354</v>
      </c>
      <c r="B207" t="s">
        <v>513</v>
      </c>
      <c r="C207">
        <v>7</v>
      </c>
      <c r="D207">
        <v>47700</v>
      </c>
      <c r="E207" t="s">
        <v>68</v>
      </c>
      <c r="F207">
        <v>65</v>
      </c>
      <c r="G207">
        <v>4</v>
      </c>
      <c r="H207">
        <v>7700</v>
      </c>
      <c r="I207">
        <v>0</v>
      </c>
      <c r="J207">
        <f>1</f>
        <v>1</v>
      </c>
      <c r="K207">
        <v>1</v>
      </c>
      <c r="L207">
        <v>0</v>
      </c>
      <c r="M207">
        <f t="shared" ca="1" si="9"/>
        <v>0.78472846775547644</v>
      </c>
      <c r="N207">
        <v>0</v>
      </c>
      <c r="O207">
        <v>0</v>
      </c>
      <c r="P207">
        <f t="shared" ca="1" si="10"/>
        <v>0.40865392874396234</v>
      </c>
      <c r="Q207">
        <f t="shared" si="11"/>
        <v>1</v>
      </c>
    </row>
    <row r="208" spans="1:17" x14ac:dyDescent="0.3">
      <c r="A208" t="s">
        <v>981</v>
      </c>
      <c r="B208" t="s">
        <v>513</v>
      </c>
      <c r="C208">
        <v>3</v>
      </c>
      <c r="D208">
        <v>42200</v>
      </c>
      <c r="E208" t="s">
        <v>1146</v>
      </c>
      <c r="F208">
        <v>1</v>
      </c>
      <c r="G208">
        <v>9.3000000000000007</v>
      </c>
      <c r="H208">
        <v>3100</v>
      </c>
      <c r="I208">
        <v>1</v>
      </c>
      <c r="J208">
        <f>1</f>
        <v>1</v>
      </c>
      <c r="K208">
        <v>1</v>
      </c>
      <c r="L208">
        <v>0</v>
      </c>
      <c r="M208">
        <f t="shared" ca="1" si="9"/>
        <v>0.53104373722521725</v>
      </c>
      <c r="N208">
        <v>0</v>
      </c>
      <c r="O208">
        <v>0</v>
      </c>
      <c r="P208">
        <f t="shared" ca="1" si="10"/>
        <v>6.2592106492831423E-4</v>
      </c>
      <c r="Q208">
        <f t="shared" si="11"/>
        <v>1</v>
      </c>
    </row>
    <row r="209" spans="1:17" x14ac:dyDescent="0.3">
      <c r="A209" t="s">
        <v>414</v>
      </c>
      <c r="B209" t="s">
        <v>65</v>
      </c>
      <c r="C209">
        <v>4</v>
      </c>
      <c r="D209">
        <v>11900</v>
      </c>
      <c r="E209" t="s">
        <v>66</v>
      </c>
      <c r="F209">
        <v>55</v>
      </c>
      <c r="G209">
        <v>5.9</v>
      </c>
      <c r="H209">
        <v>9600</v>
      </c>
      <c r="I209">
        <v>0</v>
      </c>
      <c r="J209">
        <f>1</f>
        <v>1</v>
      </c>
      <c r="K209">
        <v>1</v>
      </c>
      <c r="L209">
        <v>0</v>
      </c>
      <c r="M209">
        <f t="shared" ca="1" si="9"/>
        <v>0.57809882173866156</v>
      </c>
      <c r="N209">
        <v>0</v>
      </c>
      <c r="O209">
        <v>0</v>
      </c>
      <c r="P209">
        <f t="shared" ca="1" si="10"/>
        <v>0.42372969086943024</v>
      </c>
      <c r="Q209">
        <f t="shared" si="11"/>
        <v>1</v>
      </c>
    </row>
    <row r="210" spans="1:17" x14ac:dyDescent="0.3">
      <c r="A210" t="s">
        <v>1047</v>
      </c>
      <c r="B210" t="s">
        <v>64</v>
      </c>
      <c r="C210">
        <v>8</v>
      </c>
      <c r="D210">
        <v>47900</v>
      </c>
      <c r="E210" t="s">
        <v>1146</v>
      </c>
      <c r="F210">
        <v>5</v>
      </c>
      <c r="G210">
        <v>2.7</v>
      </c>
      <c r="H210">
        <v>8800</v>
      </c>
      <c r="I210">
        <v>1</v>
      </c>
      <c r="J210">
        <f>1</f>
        <v>1</v>
      </c>
      <c r="K210">
        <v>1</v>
      </c>
      <c r="L210">
        <v>0</v>
      </c>
      <c r="M210">
        <f t="shared" ca="1" si="9"/>
        <v>4.4019464865502789E-2</v>
      </c>
      <c r="N210">
        <v>0</v>
      </c>
      <c r="O210">
        <v>0</v>
      </c>
      <c r="P210">
        <f t="shared" ca="1" si="10"/>
        <v>0.9174303936578494</v>
      </c>
      <c r="Q210">
        <f t="shared" si="11"/>
        <v>1</v>
      </c>
    </row>
    <row r="211" spans="1:17" x14ac:dyDescent="0.3">
      <c r="A211" t="s">
        <v>1107</v>
      </c>
      <c r="B211" t="s">
        <v>64</v>
      </c>
      <c r="C211">
        <v>6</v>
      </c>
      <c r="D211">
        <v>37100</v>
      </c>
      <c r="E211" t="s">
        <v>1146</v>
      </c>
      <c r="F211">
        <v>5</v>
      </c>
      <c r="G211">
        <v>2.9</v>
      </c>
      <c r="H211">
        <v>7700</v>
      </c>
      <c r="I211">
        <v>1</v>
      </c>
      <c r="J211">
        <f>1</f>
        <v>1</v>
      </c>
      <c r="K211">
        <v>1</v>
      </c>
      <c r="L211">
        <v>0</v>
      </c>
      <c r="M211">
        <f t="shared" ca="1" si="9"/>
        <v>0.65950417923088811</v>
      </c>
      <c r="N211">
        <v>0</v>
      </c>
      <c r="O211">
        <v>0</v>
      </c>
      <c r="P211">
        <f t="shared" ca="1" si="10"/>
        <v>0.58263563473840507</v>
      </c>
      <c r="Q211">
        <f t="shared" si="11"/>
        <v>1</v>
      </c>
    </row>
    <row r="212" spans="1:17" x14ac:dyDescent="0.3">
      <c r="A212" t="s">
        <v>128</v>
      </c>
      <c r="B212" t="s">
        <v>513</v>
      </c>
      <c r="C212">
        <v>7</v>
      </c>
      <c r="D212">
        <v>52700</v>
      </c>
      <c r="E212" t="s">
        <v>66</v>
      </c>
      <c r="F212">
        <v>47</v>
      </c>
      <c r="G212">
        <v>6.6</v>
      </c>
      <c r="H212">
        <v>11600</v>
      </c>
      <c r="I212">
        <v>0</v>
      </c>
      <c r="J212">
        <f>1</f>
        <v>1</v>
      </c>
      <c r="K212">
        <v>1</v>
      </c>
      <c r="L212">
        <v>0</v>
      </c>
      <c r="M212">
        <f t="shared" ca="1" si="9"/>
        <v>0.71779676700621675</v>
      </c>
      <c r="N212">
        <v>0</v>
      </c>
      <c r="O212">
        <v>0</v>
      </c>
      <c r="P212">
        <f t="shared" ca="1" si="10"/>
        <v>0.50408332924629251</v>
      </c>
      <c r="Q212">
        <f t="shared" si="11"/>
        <v>1</v>
      </c>
    </row>
    <row r="213" spans="1:17" x14ac:dyDescent="0.3">
      <c r="A213" t="s">
        <v>1123</v>
      </c>
      <c r="B213" t="s">
        <v>513</v>
      </c>
      <c r="C213">
        <v>5</v>
      </c>
      <c r="D213">
        <v>89700</v>
      </c>
      <c r="E213" t="s">
        <v>1146</v>
      </c>
      <c r="F213">
        <v>5</v>
      </c>
      <c r="G213">
        <v>11.6</v>
      </c>
      <c r="H213">
        <v>12900</v>
      </c>
      <c r="I213">
        <v>1</v>
      </c>
      <c r="J213">
        <f>1</f>
        <v>1</v>
      </c>
      <c r="K213">
        <v>1</v>
      </c>
      <c r="L213">
        <v>0</v>
      </c>
      <c r="M213">
        <f t="shared" ca="1" si="9"/>
        <v>0.21873461572251263</v>
      </c>
      <c r="N213">
        <v>0</v>
      </c>
      <c r="O213">
        <v>0</v>
      </c>
      <c r="P213">
        <f t="shared" ca="1" si="10"/>
        <v>0.50466784978623447</v>
      </c>
      <c r="Q213">
        <f t="shared" si="11"/>
        <v>1</v>
      </c>
    </row>
    <row r="214" spans="1:17" x14ac:dyDescent="0.3">
      <c r="A214" t="s">
        <v>312</v>
      </c>
      <c r="B214" t="s">
        <v>513</v>
      </c>
      <c r="C214">
        <v>6</v>
      </c>
      <c r="D214">
        <v>41500</v>
      </c>
      <c r="E214" t="s">
        <v>68</v>
      </c>
      <c r="F214">
        <v>60</v>
      </c>
      <c r="G214">
        <v>8.3000000000000007</v>
      </c>
      <c r="H214">
        <v>0</v>
      </c>
      <c r="I214">
        <v>0</v>
      </c>
      <c r="J214">
        <f>1</f>
        <v>1</v>
      </c>
      <c r="K214">
        <v>1</v>
      </c>
      <c r="L214">
        <v>0</v>
      </c>
      <c r="M214">
        <f t="shared" ca="1" si="9"/>
        <v>0.61416726910740416</v>
      </c>
      <c r="N214">
        <v>0</v>
      </c>
      <c r="O214">
        <v>0</v>
      </c>
      <c r="P214">
        <f t="shared" ca="1" si="10"/>
        <v>0.54558938362038267</v>
      </c>
      <c r="Q214">
        <f t="shared" si="11"/>
        <v>1</v>
      </c>
    </row>
    <row r="215" spans="1:17" x14ac:dyDescent="0.3">
      <c r="A215" t="s">
        <v>660</v>
      </c>
      <c r="B215" t="s">
        <v>513</v>
      </c>
      <c r="C215">
        <v>8</v>
      </c>
      <c r="D215">
        <v>167100</v>
      </c>
      <c r="E215" t="s">
        <v>1146</v>
      </c>
      <c r="F215">
        <v>5</v>
      </c>
      <c r="G215">
        <v>12.9</v>
      </c>
      <c r="H215">
        <v>5400</v>
      </c>
      <c r="I215">
        <v>1</v>
      </c>
      <c r="J215">
        <f>1</f>
        <v>1</v>
      </c>
      <c r="K215">
        <v>1</v>
      </c>
      <c r="L215">
        <v>0</v>
      </c>
      <c r="M215">
        <f t="shared" ca="1" si="9"/>
        <v>0.64181090133525598</v>
      </c>
      <c r="N215">
        <v>0</v>
      </c>
      <c r="O215">
        <v>0</v>
      </c>
      <c r="P215">
        <f t="shared" ca="1" si="10"/>
        <v>0.87896300354852597</v>
      </c>
      <c r="Q215">
        <f t="shared" si="11"/>
        <v>1</v>
      </c>
    </row>
    <row r="216" spans="1:17" x14ac:dyDescent="0.3">
      <c r="A216" t="s">
        <v>384</v>
      </c>
      <c r="B216" t="s">
        <v>64</v>
      </c>
      <c r="C216">
        <v>10</v>
      </c>
      <c r="D216">
        <v>38000</v>
      </c>
      <c r="E216" t="s">
        <v>69</v>
      </c>
      <c r="F216">
        <v>59</v>
      </c>
      <c r="G216">
        <v>11</v>
      </c>
      <c r="H216">
        <v>9100</v>
      </c>
      <c r="I216">
        <v>0</v>
      </c>
      <c r="J216">
        <f>1</f>
        <v>1</v>
      </c>
      <c r="K216">
        <v>1</v>
      </c>
      <c r="L216">
        <v>0</v>
      </c>
      <c r="M216">
        <f t="shared" ca="1" si="9"/>
        <v>0.40509144876637548</v>
      </c>
      <c r="N216">
        <v>0</v>
      </c>
      <c r="O216">
        <v>0</v>
      </c>
      <c r="P216">
        <f t="shared" ca="1" si="10"/>
        <v>0.48413923995166319</v>
      </c>
      <c r="Q216">
        <f t="shared" si="11"/>
        <v>1</v>
      </c>
    </row>
    <row r="217" spans="1:17" x14ac:dyDescent="0.3">
      <c r="A217" t="s">
        <v>964</v>
      </c>
      <c r="B217" t="s">
        <v>64</v>
      </c>
      <c r="C217">
        <v>6</v>
      </c>
      <c r="D217">
        <v>26200</v>
      </c>
      <c r="E217" t="s">
        <v>1146</v>
      </c>
      <c r="F217">
        <v>8</v>
      </c>
      <c r="G217">
        <v>8.8000000000000007</v>
      </c>
      <c r="H217">
        <v>6600</v>
      </c>
      <c r="I217">
        <v>1</v>
      </c>
      <c r="J217">
        <f>1</f>
        <v>1</v>
      </c>
      <c r="K217">
        <v>1</v>
      </c>
      <c r="L217">
        <v>0</v>
      </c>
      <c r="M217">
        <f t="shared" ca="1" si="9"/>
        <v>0.81426399830040452</v>
      </c>
      <c r="N217">
        <v>0</v>
      </c>
      <c r="O217">
        <v>0</v>
      </c>
      <c r="P217">
        <f t="shared" ca="1" si="10"/>
        <v>0.1105889986184424</v>
      </c>
      <c r="Q217">
        <f t="shared" si="11"/>
        <v>1</v>
      </c>
    </row>
    <row r="218" spans="1:17" x14ac:dyDescent="0.3">
      <c r="A218" t="s">
        <v>252</v>
      </c>
      <c r="B218" t="s">
        <v>64</v>
      </c>
      <c r="C218">
        <v>9</v>
      </c>
      <c r="D218">
        <v>61900</v>
      </c>
      <c r="E218" t="s">
        <v>66</v>
      </c>
      <c r="F218">
        <v>17</v>
      </c>
      <c r="G218">
        <v>4.0999999999999996</v>
      </c>
      <c r="H218">
        <v>0</v>
      </c>
      <c r="I218">
        <v>0</v>
      </c>
      <c r="J218">
        <f>1</f>
        <v>1</v>
      </c>
      <c r="K218">
        <v>1</v>
      </c>
      <c r="L218">
        <v>0</v>
      </c>
      <c r="M218">
        <f t="shared" ca="1" si="9"/>
        <v>0.30048411915299267</v>
      </c>
      <c r="N218">
        <v>0</v>
      </c>
      <c r="O218">
        <v>0</v>
      </c>
      <c r="P218">
        <f t="shared" ca="1" si="10"/>
        <v>0.45522193219714235</v>
      </c>
      <c r="Q218">
        <f t="shared" si="11"/>
        <v>1</v>
      </c>
    </row>
    <row r="219" spans="1:17" x14ac:dyDescent="0.3">
      <c r="A219" t="s">
        <v>877</v>
      </c>
      <c r="B219" t="s">
        <v>64</v>
      </c>
      <c r="C219">
        <v>7</v>
      </c>
      <c r="D219">
        <v>130200</v>
      </c>
      <c r="E219" t="s">
        <v>1146</v>
      </c>
      <c r="F219">
        <v>8</v>
      </c>
      <c r="G219">
        <v>2.2000000000000002</v>
      </c>
      <c r="H219">
        <v>8900</v>
      </c>
      <c r="I219">
        <v>1</v>
      </c>
      <c r="J219">
        <f>1</f>
        <v>1</v>
      </c>
      <c r="K219">
        <v>1</v>
      </c>
      <c r="L219">
        <v>0</v>
      </c>
      <c r="M219">
        <f t="shared" ca="1" si="9"/>
        <v>0.16421833031430921</v>
      </c>
      <c r="N219">
        <v>0</v>
      </c>
      <c r="O219">
        <v>0</v>
      </c>
      <c r="P219">
        <f t="shared" ca="1" si="10"/>
        <v>0.88544690850884944</v>
      </c>
      <c r="Q219">
        <f t="shared" si="11"/>
        <v>1</v>
      </c>
    </row>
    <row r="220" spans="1:17" x14ac:dyDescent="0.3">
      <c r="A220" t="s">
        <v>594</v>
      </c>
      <c r="B220" t="s">
        <v>65</v>
      </c>
      <c r="C220">
        <v>7</v>
      </c>
      <c r="D220">
        <v>29200</v>
      </c>
      <c r="E220" t="s">
        <v>67</v>
      </c>
      <c r="F220">
        <v>85</v>
      </c>
      <c r="G220">
        <v>7.5</v>
      </c>
      <c r="H220">
        <v>7200</v>
      </c>
      <c r="I220">
        <v>0</v>
      </c>
      <c r="J220">
        <f>1</f>
        <v>1</v>
      </c>
      <c r="K220">
        <v>1</v>
      </c>
      <c r="L220">
        <v>0</v>
      </c>
      <c r="M220">
        <f t="shared" ca="1" si="9"/>
        <v>0.51242484073570549</v>
      </c>
      <c r="N220">
        <v>0</v>
      </c>
      <c r="O220">
        <v>0</v>
      </c>
      <c r="P220">
        <f t="shared" ca="1" si="10"/>
        <v>0.1800451819131047</v>
      </c>
      <c r="Q220">
        <f t="shared" si="11"/>
        <v>1</v>
      </c>
    </row>
    <row r="221" spans="1:17" x14ac:dyDescent="0.3">
      <c r="A221" t="s">
        <v>553</v>
      </c>
      <c r="B221" t="s">
        <v>62</v>
      </c>
      <c r="C221">
        <v>8</v>
      </c>
      <c r="D221">
        <v>61900</v>
      </c>
      <c r="E221" t="s">
        <v>66</v>
      </c>
      <c r="F221">
        <v>46</v>
      </c>
      <c r="G221">
        <v>9.8000000000000007</v>
      </c>
      <c r="H221">
        <v>8400</v>
      </c>
      <c r="I221">
        <v>0</v>
      </c>
      <c r="J221">
        <f>1</f>
        <v>1</v>
      </c>
      <c r="K221">
        <v>1</v>
      </c>
      <c r="L221">
        <v>0</v>
      </c>
      <c r="M221">
        <f t="shared" ca="1" si="9"/>
        <v>2.8129894964501911E-2</v>
      </c>
      <c r="N221">
        <v>0</v>
      </c>
      <c r="O221">
        <v>0</v>
      </c>
      <c r="P221">
        <f t="shared" ca="1" si="10"/>
        <v>0.21876027232129369</v>
      </c>
      <c r="Q221">
        <f t="shared" si="11"/>
        <v>1</v>
      </c>
    </row>
    <row r="222" spans="1:17" x14ac:dyDescent="0.3">
      <c r="A222" t="s">
        <v>272</v>
      </c>
      <c r="B222" t="s">
        <v>64</v>
      </c>
      <c r="C222">
        <v>5</v>
      </c>
      <c r="D222">
        <v>51500</v>
      </c>
      <c r="E222" t="s">
        <v>69</v>
      </c>
      <c r="F222">
        <v>37</v>
      </c>
      <c r="G222">
        <v>4.0999999999999996</v>
      </c>
      <c r="H222">
        <v>3700</v>
      </c>
      <c r="I222">
        <v>0</v>
      </c>
      <c r="J222">
        <f>1</f>
        <v>1</v>
      </c>
      <c r="K222">
        <v>1</v>
      </c>
      <c r="L222">
        <v>0</v>
      </c>
      <c r="M222">
        <f t="shared" ca="1" si="9"/>
        <v>0.66606862853300397</v>
      </c>
      <c r="N222">
        <v>0</v>
      </c>
      <c r="O222">
        <v>0</v>
      </c>
      <c r="P222">
        <f t="shared" ca="1" si="10"/>
        <v>0.54777000079207161</v>
      </c>
      <c r="Q222">
        <f t="shared" si="11"/>
        <v>1</v>
      </c>
    </row>
    <row r="223" spans="1:17" x14ac:dyDescent="0.3">
      <c r="A223" t="s">
        <v>579</v>
      </c>
      <c r="B223" t="s">
        <v>65</v>
      </c>
      <c r="C223">
        <v>9</v>
      </c>
      <c r="D223">
        <v>68100</v>
      </c>
      <c r="E223" t="s">
        <v>67</v>
      </c>
      <c r="F223">
        <v>50</v>
      </c>
      <c r="G223">
        <v>13.7</v>
      </c>
      <c r="H223">
        <v>13600</v>
      </c>
      <c r="I223">
        <v>0</v>
      </c>
      <c r="J223">
        <f>1</f>
        <v>1</v>
      </c>
      <c r="K223">
        <v>1</v>
      </c>
      <c r="L223">
        <v>0</v>
      </c>
      <c r="M223">
        <f t="shared" ca="1" si="9"/>
        <v>0.44270473358795137</v>
      </c>
      <c r="N223">
        <v>0</v>
      </c>
      <c r="O223">
        <v>0</v>
      </c>
      <c r="P223">
        <f t="shared" ca="1" si="10"/>
        <v>0.65543837935864224</v>
      </c>
      <c r="Q223">
        <f t="shared" si="11"/>
        <v>1</v>
      </c>
    </row>
    <row r="224" spans="1:17" x14ac:dyDescent="0.3">
      <c r="A224" t="s">
        <v>685</v>
      </c>
      <c r="B224" t="s">
        <v>65</v>
      </c>
      <c r="C224">
        <v>7</v>
      </c>
      <c r="D224">
        <v>111300</v>
      </c>
      <c r="E224" t="s">
        <v>1146</v>
      </c>
      <c r="F224">
        <v>10</v>
      </c>
      <c r="G224">
        <v>3.4</v>
      </c>
      <c r="H224">
        <v>9600</v>
      </c>
      <c r="I224">
        <v>1</v>
      </c>
      <c r="J224">
        <f>1</f>
        <v>1</v>
      </c>
      <c r="K224">
        <v>1</v>
      </c>
      <c r="L224">
        <v>0</v>
      </c>
      <c r="M224">
        <f t="shared" ca="1" si="9"/>
        <v>0.67527257678098118</v>
      </c>
      <c r="N224">
        <v>0</v>
      </c>
      <c r="O224">
        <v>0</v>
      </c>
      <c r="P224">
        <f t="shared" ca="1" si="10"/>
        <v>0.90229214284993298</v>
      </c>
      <c r="Q224">
        <f t="shared" si="11"/>
        <v>1</v>
      </c>
    </row>
    <row r="225" spans="1:17" x14ac:dyDescent="0.3">
      <c r="A225" t="s">
        <v>508</v>
      </c>
      <c r="B225" t="s">
        <v>64</v>
      </c>
      <c r="C225">
        <v>9</v>
      </c>
      <c r="D225">
        <v>101900</v>
      </c>
      <c r="E225" t="s">
        <v>66</v>
      </c>
      <c r="F225">
        <v>52</v>
      </c>
      <c r="G225">
        <v>10.3</v>
      </c>
      <c r="H225">
        <v>9700</v>
      </c>
      <c r="I225">
        <v>0</v>
      </c>
      <c r="J225">
        <f>1</f>
        <v>1</v>
      </c>
      <c r="K225">
        <v>1</v>
      </c>
      <c r="L225">
        <v>0</v>
      </c>
      <c r="M225">
        <f t="shared" ca="1" si="9"/>
        <v>0.93400572144718197</v>
      </c>
      <c r="N225">
        <v>0</v>
      </c>
      <c r="O225">
        <v>0</v>
      </c>
      <c r="P225">
        <f t="shared" ca="1" si="10"/>
        <v>0.44037952720644713</v>
      </c>
      <c r="Q225">
        <f t="shared" si="11"/>
        <v>1</v>
      </c>
    </row>
    <row r="226" spans="1:17" x14ac:dyDescent="0.3">
      <c r="A226" t="s">
        <v>894</v>
      </c>
      <c r="B226" t="s">
        <v>64</v>
      </c>
      <c r="C226">
        <v>4</v>
      </c>
      <c r="D226">
        <v>46300</v>
      </c>
      <c r="E226" t="s">
        <v>1146</v>
      </c>
      <c r="F226">
        <v>4</v>
      </c>
      <c r="G226">
        <v>5.8</v>
      </c>
      <c r="H226">
        <v>4300</v>
      </c>
      <c r="I226">
        <v>1</v>
      </c>
      <c r="J226">
        <f>1</f>
        <v>1</v>
      </c>
      <c r="K226">
        <v>1</v>
      </c>
      <c r="L226">
        <v>0</v>
      </c>
      <c r="M226">
        <f t="shared" ca="1" si="9"/>
        <v>0.62142066763712578</v>
      </c>
      <c r="N226">
        <v>0</v>
      </c>
      <c r="O226">
        <v>0</v>
      </c>
      <c r="P226">
        <f t="shared" ca="1" si="10"/>
        <v>0.32099674657128541</v>
      </c>
      <c r="Q226">
        <f t="shared" si="11"/>
        <v>1</v>
      </c>
    </row>
    <row r="227" spans="1:17" x14ac:dyDescent="0.3">
      <c r="A227" t="s">
        <v>871</v>
      </c>
      <c r="B227" t="s">
        <v>62</v>
      </c>
      <c r="C227">
        <v>3</v>
      </c>
      <c r="D227">
        <v>53700</v>
      </c>
      <c r="E227" t="s">
        <v>1146</v>
      </c>
      <c r="F227">
        <v>1</v>
      </c>
      <c r="G227">
        <v>8.1999999999999993</v>
      </c>
      <c r="H227">
        <v>0</v>
      </c>
      <c r="I227">
        <v>1</v>
      </c>
      <c r="J227">
        <f>1</f>
        <v>1</v>
      </c>
      <c r="K227">
        <v>1</v>
      </c>
      <c r="L227">
        <v>0</v>
      </c>
      <c r="M227">
        <f t="shared" ca="1" si="9"/>
        <v>0.70169560569368905</v>
      </c>
      <c r="N227">
        <v>0</v>
      </c>
      <c r="O227">
        <v>0</v>
      </c>
      <c r="P227">
        <f t="shared" ca="1" si="10"/>
        <v>0.14127658827547174</v>
      </c>
      <c r="Q227">
        <f t="shared" si="11"/>
        <v>1</v>
      </c>
    </row>
    <row r="228" spans="1:17" x14ac:dyDescent="0.3">
      <c r="A228" t="s">
        <v>796</v>
      </c>
      <c r="B228" t="s">
        <v>62</v>
      </c>
      <c r="C228">
        <v>2</v>
      </c>
      <c r="D228">
        <v>30900</v>
      </c>
      <c r="E228" t="s">
        <v>1146</v>
      </c>
      <c r="F228">
        <v>0</v>
      </c>
      <c r="G228">
        <v>2.5</v>
      </c>
      <c r="H228">
        <v>1200</v>
      </c>
      <c r="I228">
        <v>1</v>
      </c>
      <c r="J228">
        <f>1</f>
        <v>1</v>
      </c>
      <c r="K228">
        <v>1</v>
      </c>
      <c r="L228">
        <v>0</v>
      </c>
      <c r="M228">
        <f t="shared" ca="1" si="9"/>
        <v>0.43775768544677218</v>
      </c>
      <c r="N228">
        <v>0</v>
      </c>
      <c r="O228">
        <v>0</v>
      </c>
      <c r="P228">
        <f t="shared" ca="1" si="10"/>
        <v>0.1202865203883865</v>
      </c>
      <c r="Q228">
        <f t="shared" si="11"/>
        <v>1</v>
      </c>
    </row>
    <row r="229" spans="1:17" x14ac:dyDescent="0.3">
      <c r="A229" t="s">
        <v>1022</v>
      </c>
      <c r="B229" t="s">
        <v>62</v>
      </c>
      <c r="C229">
        <v>5</v>
      </c>
      <c r="D229">
        <v>39900</v>
      </c>
      <c r="E229" t="s">
        <v>1146</v>
      </c>
      <c r="F229">
        <v>5</v>
      </c>
      <c r="G229">
        <v>5.7</v>
      </c>
      <c r="H229">
        <v>200</v>
      </c>
      <c r="I229">
        <v>1</v>
      </c>
      <c r="J229">
        <f>1</f>
        <v>1</v>
      </c>
      <c r="K229">
        <v>1</v>
      </c>
      <c r="L229">
        <v>0</v>
      </c>
      <c r="M229">
        <f t="shared" ca="1" si="9"/>
        <v>0.51781061733400313</v>
      </c>
      <c r="N229">
        <v>0</v>
      </c>
      <c r="O229">
        <v>0</v>
      </c>
      <c r="P229">
        <f t="shared" ca="1" si="10"/>
        <v>0.92943494573276009</v>
      </c>
      <c r="Q229">
        <f t="shared" si="11"/>
        <v>1</v>
      </c>
    </row>
    <row r="230" spans="1:17" x14ac:dyDescent="0.3">
      <c r="A230" t="s">
        <v>117</v>
      </c>
      <c r="B230" t="s">
        <v>513</v>
      </c>
      <c r="C230">
        <v>6</v>
      </c>
      <c r="D230">
        <v>24000</v>
      </c>
      <c r="E230" t="s">
        <v>66</v>
      </c>
      <c r="F230">
        <v>38</v>
      </c>
      <c r="G230">
        <v>5.2</v>
      </c>
      <c r="H230">
        <v>2400</v>
      </c>
      <c r="I230">
        <v>0</v>
      </c>
      <c r="J230">
        <f>1</f>
        <v>1</v>
      </c>
      <c r="K230">
        <v>1</v>
      </c>
      <c r="L230">
        <v>0</v>
      </c>
      <c r="M230">
        <f t="shared" ca="1" si="9"/>
        <v>0.18821334978061621</v>
      </c>
      <c r="N230">
        <v>0</v>
      </c>
      <c r="O230">
        <v>0</v>
      </c>
      <c r="P230">
        <f t="shared" ca="1" si="10"/>
        <v>0.13427734080504639</v>
      </c>
      <c r="Q230">
        <f t="shared" si="11"/>
        <v>1</v>
      </c>
    </row>
    <row r="231" spans="1:17" x14ac:dyDescent="0.3">
      <c r="A231" t="s">
        <v>889</v>
      </c>
      <c r="B231" t="s">
        <v>513</v>
      </c>
      <c r="C231">
        <v>5</v>
      </c>
      <c r="D231">
        <v>10100</v>
      </c>
      <c r="E231" t="s">
        <v>1146</v>
      </c>
      <c r="F231">
        <v>1</v>
      </c>
      <c r="G231">
        <v>9.6999999999999993</v>
      </c>
      <c r="H231">
        <v>9500</v>
      </c>
      <c r="I231">
        <v>1</v>
      </c>
      <c r="J231">
        <f>1</f>
        <v>1</v>
      </c>
      <c r="K231">
        <v>1</v>
      </c>
      <c r="L231">
        <v>0</v>
      </c>
      <c r="M231">
        <f t="shared" ca="1" si="9"/>
        <v>5.9833661512417757E-2</v>
      </c>
      <c r="N231">
        <v>0</v>
      </c>
      <c r="O231">
        <v>0</v>
      </c>
      <c r="P231">
        <f t="shared" ca="1" si="10"/>
        <v>0.23178161399511277</v>
      </c>
      <c r="Q231">
        <f t="shared" si="11"/>
        <v>1</v>
      </c>
    </row>
    <row r="232" spans="1:17" x14ac:dyDescent="0.3">
      <c r="A232" t="s">
        <v>773</v>
      </c>
      <c r="B232" t="s">
        <v>64</v>
      </c>
      <c r="C232">
        <v>4</v>
      </c>
      <c r="D232">
        <v>63700</v>
      </c>
      <c r="E232" t="s">
        <v>1146</v>
      </c>
      <c r="F232">
        <v>7</v>
      </c>
      <c r="G232">
        <v>9.6</v>
      </c>
      <c r="H232">
        <v>12200</v>
      </c>
      <c r="I232">
        <v>1</v>
      </c>
      <c r="J232">
        <f>1</f>
        <v>1</v>
      </c>
      <c r="K232">
        <v>1</v>
      </c>
      <c r="L232">
        <v>0</v>
      </c>
      <c r="M232">
        <f t="shared" ca="1" si="9"/>
        <v>0.30903030041327351</v>
      </c>
      <c r="N232">
        <v>0</v>
      </c>
      <c r="O232">
        <v>0</v>
      </c>
      <c r="P232">
        <f t="shared" ca="1" si="10"/>
        <v>0.4039815640539578</v>
      </c>
      <c r="Q232">
        <f t="shared" si="11"/>
        <v>1</v>
      </c>
    </row>
    <row r="233" spans="1:17" x14ac:dyDescent="0.3">
      <c r="A233" t="s">
        <v>948</v>
      </c>
      <c r="B233" t="s">
        <v>62</v>
      </c>
      <c r="C233">
        <v>5</v>
      </c>
      <c r="D233">
        <v>44500</v>
      </c>
      <c r="E233" t="s">
        <v>1146</v>
      </c>
      <c r="F233">
        <v>10</v>
      </c>
      <c r="G233">
        <v>2.2999999999999998</v>
      </c>
      <c r="H233">
        <v>11200</v>
      </c>
      <c r="I233">
        <v>1</v>
      </c>
      <c r="J233">
        <f>1</f>
        <v>1</v>
      </c>
      <c r="K233">
        <v>1</v>
      </c>
      <c r="L233">
        <v>0</v>
      </c>
      <c r="M233">
        <f t="shared" ca="1" si="9"/>
        <v>0.82446372940224066</v>
      </c>
      <c r="N233">
        <v>0</v>
      </c>
      <c r="O233">
        <v>0</v>
      </c>
      <c r="P233">
        <f t="shared" ca="1" si="10"/>
        <v>0.97450846496835619</v>
      </c>
      <c r="Q233">
        <f t="shared" si="11"/>
        <v>1</v>
      </c>
    </row>
    <row r="234" spans="1:17" x14ac:dyDescent="0.3">
      <c r="A234" t="s">
        <v>485</v>
      </c>
      <c r="B234" t="s">
        <v>62</v>
      </c>
      <c r="C234">
        <v>9</v>
      </c>
      <c r="D234">
        <v>33300</v>
      </c>
      <c r="E234" t="s">
        <v>68</v>
      </c>
      <c r="F234">
        <v>42</v>
      </c>
      <c r="G234">
        <v>8.6</v>
      </c>
      <c r="H234">
        <v>8900</v>
      </c>
      <c r="I234">
        <v>0</v>
      </c>
      <c r="J234">
        <f>1</f>
        <v>1</v>
      </c>
      <c r="K234">
        <v>1</v>
      </c>
      <c r="L234">
        <v>0</v>
      </c>
      <c r="M234">
        <f t="shared" ca="1" si="9"/>
        <v>0.42769234892311625</v>
      </c>
      <c r="N234">
        <v>0</v>
      </c>
      <c r="O234">
        <v>0</v>
      </c>
      <c r="P234">
        <f t="shared" ca="1" si="10"/>
        <v>0.11569057850925946</v>
      </c>
      <c r="Q234">
        <f t="shared" si="11"/>
        <v>1</v>
      </c>
    </row>
    <row r="235" spans="1:17" x14ac:dyDescent="0.3">
      <c r="A235" t="s">
        <v>478</v>
      </c>
      <c r="B235" t="s">
        <v>65</v>
      </c>
      <c r="C235">
        <v>9</v>
      </c>
      <c r="D235">
        <v>28500</v>
      </c>
      <c r="E235" t="s">
        <v>66</v>
      </c>
      <c r="F235">
        <v>31</v>
      </c>
      <c r="G235">
        <v>2.5</v>
      </c>
      <c r="H235">
        <v>7400</v>
      </c>
      <c r="I235">
        <v>0</v>
      </c>
      <c r="J235">
        <f>1</f>
        <v>1</v>
      </c>
      <c r="K235">
        <v>1</v>
      </c>
      <c r="L235">
        <v>0</v>
      </c>
      <c r="M235">
        <f t="shared" ca="1" si="9"/>
        <v>0.84665561064939365</v>
      </c>
      <c r="N235">
        <v>0</v>
      </c>
      <c r="O235">
        <v>0</v>
      </c>
      <c r="P235">
        <f t="shared" ca="1" si="10"/>
        <v>0.56963748367416189</v>
      </c>
      <c r="Q235">
        <f t="shared" si="11"/>
        <v>1</v>
      </c>
    </row>
    <row r="236" spans="1:17" x14ac:dyDescent="0.3">
      <c r="A236" t="s">
        <v>144</v>
      </c>
      <c r="B236" t="s">
        <v>65</v>
      </c>
      <c r="C236">
        <v>9</v>
      </c>
      <c r="D236">
        <v>26700</v>
      </c>
      <c r="E236" t="s">
        <v>66</v>
      </c>
      <c r="F236">
        <v>67</v>
      </c>
      <c r="G236">
        <v>13.2</v>
      </c>
      <c r="H236">
        <v>11200</v>
      </c>
      <c r="I236">
        <v>0</v>
      </c>
      <c r="J236">
        <f>1</f>
        <v>1</v>
      </c>
      <c r="K236">
        <v>1</v>
      </c>
      <c r="L236">
        <v>0</v>
      </c>
      <c r="M236">
        <f t="shared" ca="1" si="9"/>
        <v>0.52528791327170332</v>
      </c>
      <c r="N236">
        <v>0</v>
      </c>
      <c r="O236">
        <v>0</v>
      </c>
      <c r="P236">
        <f t="shared" ca="1" si="10"/>
        <v>0.12421865895174067</v>
      </c>
      <c r="Q236">
        <f t="shared" si="11"/>
        <v>1</v>
      </c>
    </row>
    <row r="237" spans="1:17" x14ac:dyDescent="0.3">
      <c r="A237" t="s">
        <v>1116</v>
      </c>
      <c r="B237" t="s">
        <v>513</v>
      </c>
      <c r="C237">
        <v>9</v>
      </c>
      <c r="D237">
        <v>27200</v>
      </c>
      <c r="E237" t="s">
        <v>1146</v>
      </c>
      <c r="F237">
        <v>5</v>
      </c>
      <c r="G237">
        <v>11.9</v>
      </c>
      <c r="H237">
        <v>9500</v>
      </c>
      <c r="I237">
        <v>1</v>
      </c>
      <c r="J237">
        <f>1</f>
        <v>1</v>
      </c>
      <c r="K237">
        <v>1</v>
      </c>
      <c r="L237">
        <v>0</v>
      </c>
      <c r="M237">
        <f t="shared" ca="1" si="9"/>
        <v>0.30006722656766072</v>
      </c>
      <c r="N237">
        <v>0</v>
      </c>
      <c r="O237">
        <v>0</v>
      </c>
      <c r="P237">
        <f t="shared" ca="1" si="10"/>
        <v>0.50443204550835585</v>
      </c>
      <c r="Q237">
        <f t="shared" si="11"/>
        <v>1</v>
      </c>
    </row>
    <row r="238" spans="1:17" x14ac:dyDescent="0.3">
      <c r="A238" t="s">
        <v>896</v>
      </c>
      <c r="B238" t="s">
        <v>62</v>
      </c>
      <c r="C238">
        <v>6</v>
      </c>
      <c r="D238">
        <v>29300</v>
      </c>
      <c r="E238" t="s">
        <v>1146</v>
      </c>
      <c r="F238">
        <v>4</v>
      </c>
      <c r="G238">
        <v>3.5</v>
      </c>
      <c r="H238">
        <v>0</v>
      </c>
      <c r="I238">
        <v>1</v>
      </c>
      <c r="J238">
        <f>1</f>
        <v>1</v>
      </c>
      <c r="K238">
        <v>1</v>
      </c>
      <c r="L238">
        <v>0</v>
      </c>
      <c r="M238">
        <f t="shared" ca="1" si="9"/>
        <v>0.97028529239799788</v>
      </c>
      <c r="N238">
        <v>0</v>
      </c>
      <c r="O238">
        <v>0</v>
      </c>
      <c r="P238">
        <f t="shared" ca="1" si="10"/>
        <v>0.43522460700945165</v>
      </c>
      <c r="Q238">
        <f t="shared" si="11"/>
        <v>1</v>
      </c>
    </row>
    <row r="239" spans="1:17" x14ac:dyDescent="0.3">
      <c r="A239" t="s">
        <v>1058</v>
      </c>
      <c r="B239" t="s">
        <v>64</v>
      </c>
      <c r="C239">
        <v>5</v>
      </c>
      <c r="D239">
        <v>31500</v>
      </c>
      <c r="E239" t="s">
        <v>1146</v>
      </c>
      <c r="F239">
        <v>1</v>
      </c>
      <c r="G239">
        <v>1.1000000000000001</v>
      </c>
      <c r="H239">
        <v>0</v>
      </c>
      <c r="I239">
        <v>1</v>
      </c>
      <c r="J239">
        <f>1</f>
        <v>1</v>
      </c>
      <c r="K239">
        <v>1</v>
      </c>
      <c r="L239">
        <v>0</v>
      </c>
      <c r="M239">
        <f t="shared" ca="1" si="9"/>
        <v>0.14295775448390791</v>
      </c>
      <c r="N239">
        <v>0</v>
      </c>
      <c r="O239">
        <v>0</v>
      </c>
      <c r="P239">
        <f t="shared" ca="1" si="10"/>
        <v>0.85126551393726713</v>
      </c>
      <c r="Q239">
        <f t="shared" si="11"/>
        <v>1</v>
      </c>
    </row>
    <row r="240" spans="1:17" x14ac:dyDescent="0.3">
      <c r="A240" t="s">
        <v>731</v>
      </c>
      <c r="B240" t="s">
        <v>513</v>
      </c>
      <c r="C240">
        <v>6</v>
      </c>
      <c r="D240">
        <v>56500</v>
      </c>
      <c r="E240" t="s">
        <v>1146</v>
      </c>
      <c r="F240">
        <v>5</v>
      </c>
      <c r="G240">
        <v>0.5</v>
      </c>
      <c r="H240">
        <v>13100</v>
      </c>
      <c r="I240">
        <v>1</v>
      </c>
      <c r="J240">
        <f>1</f>
        <v>1</v>
      </c>
      <c r="K240">
        <v>1</v>
      </c>
      <c r="L240">
        <v>0</v>
      </c>
      <c r="M240">
        <f t="shared" ca="1" si="9"/>
        <v>0.75900173635646362</v>
      </c>
      <c r="N240">
        <v>0</v>
      </c>
      <c r="O240">
        <v>0</v>
      </c>
      <c r="P240">
        <f t="shared" ca="1" si="10"/>
        <v>0.85954763669521561</v>
      </c>
      <c r="Q240">
        <f t="shared" si="11"/>
        <v>1</v>
      </c>
    </row>
    <row r="241" spans="1:17" x14ac:dyDescent="0.3">
      <c r="A241" t="s">
        <v>205</v>
      </c>
      <c r="B241" t="s">
        <v>65</v>
      </c>
      <c r="C241">
        <v>3</v>
      </c>
      <c r="D241">
        <v>59300</v>
      </c>
      <c r="E241" t="s">
        <v>69</v>
      </c>
      <c r="F241">
        <v>50</v>
      </c>
      <c r="G241">
        <v>13.6</v>
      </c>
      <c r="H241">
        <v>10000</v>
      </c>
      <c r="I241">
        <v>0</v>
      </c>
      <c r="J241">
        <f>1</f>
        <v>1</v>
      </c>
      <c r="K241">
        <v>1</v>
      </c>
      <c r="L241">
        <v>0</v>
      </c>
      <c r="M241">
        <f t="shared" ca="1" si="9"/>
        <v>0.53640079723265821</v>
      </c>
      <c r="N241">
        <v>0</v>
      </c>
      <c r="O241">
        <v>0</v>
      </c>
      <c r="P241">
        <f t="shared" ca="1" si="10"/>
        <v>0.36593342840956444</v>
      </c>
      <c r="Q241">
        <f t="shared" si="11"/>
        <v>1</v>
      </c>
    </row>
    <row r="242" spans="1:17" x14ac:dyDescent="0.3">
      <c r="A242" t="s">
        <v>470</v>
      </c>
      <c r="B242" t="s">
        <v>64</v>
      </c>
      <c r="C242">
        <v>5</v>
      </c>
      <c r="D242">
        <v>54600</v>
      </c>
      <c r="E242" t="s">
        <v>68</v>
      </c>
      <c r="F242">
        <v>63</v>
      </c>
      <c r="G242">
        <v>8</v>
      </c>
      <c r="H242">
        <v>4900</v>
      </c>
      <c r="I242">
        <v>0</v>
      </c>
      <c r="J242">
        <f>1</f>
        <v>1</v>
      </c>
      <c r="K242">
        <v>1</v>
      </c>
      <c r="L242">
        <v>0</v>
      </c>
      <c r="M242">
        <f t="shared" ca="1" si="9"/>
        <v>0.5139335533906505</v>
      </c>
      <c r="N242">
        <v>0</v>
      </c>
      <c r="O242">
        <v>0</v>
      </c>
      <c r="P242">
        <f t="shared" ca="1" si="10"/>
        <v>0.27303853140101753</v>
      </c>
      <c r="Q242">
        <f t="shared" si="11"/>
        <v>1</v>
      </c>
    </row>
    <row r="243" spans="1:17" x14ac:dyDescent="0.3">
      <c r="A243" t="s">
        <v>588</v>
      </c>
      <c r="B243" t="s">
        <v>62</v>
      </c>
      <c r="C243">
        <v>4</v>
      </c>
      <c r="D243">
        <v>20400</v>
      </c>
      <c r="E243" t="s">
        <v>66</v>
      </c>
      <c r="F243">
        <v>26</v>
      </c>
      <c r="G243">
        <v>6.8</v>
      </c>
      <c r="H243">
        <v>1800</v>
      </c>
      <c r="I243">
        <v>0</v>
      </c>
      <c r="J243">
        <f>1</f>
        <v>1</v>
      </c>
      <c r="K243">
        <v>1</v>
      </c>
      <c r="L243">
        <v>0</v>
      </c>
      <c r="M243">
        <f t="shared" ca="1" si="9"/>
        <v>0.86780109989183474</v>
      </c>
      <c r="N243">
        <v>0</v>
      </c>
      <c r="O243">
        <v>0</v>
      </c>
      <c r="P243">
        <f t="shared" ca="1" si="10"/>
        <v>9.3135947183031975E-2</v>
      </c>
      <c r="Q243">
        <f t="shared" si="11"/>
        <v>1</v>
      </c>
    </row>
    <row r="244" spans="1:17" x14ac:dyDescent="0.3">
      <c r="A244" t="s">
        <v>439</v>
      </c>
      <c r="B244" t="s">
        <v>62</v>
      </c>
      <c r="C244">
        <v>4</v>
      </c>
      <c r="D244">
        <v>47400</v>
      </c>
      <c r="E244" t="s">
        <v>66</v>
      </c>
      <c r="F244">
        <v>45</v>
      </c>
      <c r="G244">
        <v>6.4</v>
      </c>
      <c r="H244">
        <v>3500</v>
      </c>
      <c r="I244">
        <v>0</v>
      </c>
      <c r="J244">
        <f>1</f>
        <v>1</v>
      </c>
      <c r="K244">
        <v>1</v>
      </c>
      <c r="L244">
        <v>0</v>
      </c>
      <c r="M244">
        <f t="shared" ca="1" si="9"/>
        <v>0.39924907533692877</v>
      </c>
      <c r="N244">
        <v>0</v>
      </c>
      <c r="O244">
        <v>0</v>
      </c>
      <c r="P244">
        <f t="shared" ca="1" si="10"/>
        <v>0.14461444996003259</v>
      </c>
      <c r="Q244">
        <f t="shared" si="11"/>
        <v>1</v>
      </c>
    </row>
    <row r="245" spans="1:17" x14ac:dyDescent="0.3">
      <c r="A245" t="s">
        <v>406</v>
      </c>
      <c r="B245" t="s">
        <v>62</v>
      </c>
      <c r="C245">
        <v>7</v>
      </c>
      <c r="D245">
        <v>22700</v>
      </c>
      <c r="E245" t="s">
        <v>66</v>
      </c>
      <c r="F245">
        <v>34</v>
      </c>
      <c r="G245">
        <v>0.2</v>
      </c>
      <c r="H245">
        <v>3500</v>
      </c>
      <c r="I245">
        <v>0</v>
      </c>
      <c r="J245">
        <f>1</f>
        <v>1</v>
      </c>
      <c r="K245">
        <v>1</v>
      </c>
      <c r="L245">
        <v>0</v>
      </c>
      <c r="M245">
        <f t="shared" ca="1" si="9"/>
        <v>2.5368639617331601E-2</v>
      </c>
      <c r="N245">
        <v>0</v>
      </c>
      <c r="O245">
        <v>0</v>
      </c>
      <c r="P245">
        <f t="shared" ca="1" si="10"/>
        <v>0.52930865491612122</v>
      </c>
      <c r="Q245">
        <f t="shared" si="11"/>
        <v>1</v>
      </c>
    </row>
    <row r="246" spans="1:17" x14ac:dyDescent="0.3">
      <c r="A246" t="s">
        <v>132</v>
      </c>
      <c r="B246" t="s">
        <v>64</v>
      </c>
      <c r="C246">
        <v>5</v>
      </c>
      <c r="D246">
        <v>56500</v>
      </c>
      <c r="E246" t="s">
        <v>66</v>
      </c>
      <c r="F246">
        <v>38</v>
      </c>
      <c r="G246">
        <v>4.5999999999999996</v>
      </c>
      <c r="H246">
        <v>2400</v>
      </c>
      <c r="I246">
        <v>0</v>
      </c>
      <c r="J246">
        <f>1</f>
        <v>1</v>
      </c>
      <c r="K246">
        <v>1</v>
      </c>
      <c r="L246">
        <v>0</v>
      </c>
      <c r="M246">
        <f t="shared" ca="1" si="9"/>
        <v>0.74209101436471292</v>
      </c>
      <c r="N246">
        <v>0</v>
      </c>
      <c r="O246">
        <v>0</v>
      </c>
      <c r="P246">
        <f t="shared" ca="1" si="10"/>
        <v>0.94512206961453948</v>
      </c>
      <c r="Q246">
        <f t="shared" si="11"/>
        <v>1</v>
      </c>
    </row>
    <row r="247" spans="1:17" x14ac:dyDescent="0.3">
      <c r="A247" t="s">
        <v>602</v>
      </c>
      <c r="B247" t="s">
        <v>62</v>
      </c>
      <c r="C247">
        <v>3</v>
      </c>
      <c r="D247">
        <v>89600</v>
      </c>
      <c r="E247" t="s">
        <v>69</v>
      </c>
      <c r="F247">
        <v>37</v>
      </c>
      <c r="G247">
        <v>4.5</v>
      </c>
      <c r="H247">
        <v>600</v>
      </c>
      <c r="I247">
        <v>0</v>
      </c>
      <c r="J247">
        <f>1</f>
        <v>1</v>
      </c>
      <c r="K247">
        <v>1</v>
      </c>
      <c r="L247">
        <v>0</v>
      </c>
      <c r="M247">
        <f t="shared" ca="1" si="9"/>
        <v>0.90934432795879472</v>
      </c>
      <c r="N247">
        <v>0</v>
      </c>
      <c r="O247">
        <v>0</v>
      </c>
      <c r="P247">
        <f t="shared" ca="1" si="10"/>
        <v>0.79683736165060925</v>
      </c>
      <c r="Q247">
        <f t="shared" si="11"/>
        <v>1</v>
      </c>
    </row>
    <row r="248" spans="1:17" x14ac:dyDescent="0.3">
      <c r="A248" t="s">
        <v>557</v>
      </c>
      <c r="B248" t="s">
        <v>65</v>
      </c>
      <c r="C248">
        <v>5</v>
      </c>
      <c r="D248">
        <v>19300</v>
      </c>
      <c r="E248" t="s">
        <v>67</v>
      </c>
      <c r="F248">
        <v>103</v>
      </c>
      <c r="G248">
        <v>5.3</v>
      </c>
      <c r="H248">
        <v>11600</v>
      </c>
      <c r="I248">
        <v>0</v>
      </c>
      <c r="J248">
        <f>1</f>
        <v>1</v>
      </c>
      <c r="K248">
        <v>1</v>
      </c>
      <c r="L248">
        <v>0</v>
      </c>
      <c r="M248">
        <f t="shared" ca="1" si="9"/>
        <v>0.80170721648585141</v>
      </c>
      <c r="N248">
        <v>0</v>
      </c>
      <c r="O248">
        <v>0</v>
      </c>
      <c r="P248">
        <f t="shared" ca="1" si="10"/>
        <v>0.90800321487841229</v>
      </c>
      <c r="Q248">
        <f t="shared" si="11"/>
        <v>1</v>
      </c>
    </row>
    <row r="249" spans="1:17" x14ac:dyDescent="0.3">
      <c r="A249" t="s">
        <v>792</v>
      </c>
      <c r="B249" t="s">
        <v>62</v>
      </c>
      <c r="C249">
        <v>4</v>
      </c>
      <c r="D249">
        <v>13200</v>
      </c>
      <c r="E249" t="s">
        <v>1146</v>
      </c>
      <c r="F249">
        <v>8</v>
      </c>
      <c r="G249">
        <v>7</v>
      </c>
      <c r="H249">
        <v>6500</v>
      </c>
      <c r="I249">
        <v>1</v>
      </c>
      <c r="J249">
        <f>1</f>
        <v>1</v>
      </c>
      <c r="K249">
        <v>1</v>
      </c>
      <c r="L249">
        <v>0</v>
      </c>
      <c r="M249">
        <f t="shared" ca="1" si="9"/>
        <v>0.89124566575746522</v>
      </c>
      <c r="N249">
        <v>0</v>
      </c>
      <c r="O249">
        <v>0</v>
      </c>
      <c r="P249">
        <f t="shared" ca="1" si="10"/>
        <v>0.43477071852395766</v>
      </c>
      <c r="Q249">
        <f t="shared" si="11"/>
        <v>1</v>
      </c>
    </row>
    <row r="250" spans="1:17" x14ac:dyDescent="0.3">
      <c r="A250" t="s">
        <v>561</v>
      </c>
      <c r="B250" t="s">
        <v>513</v>
      </c>
      <c r="C250">
        <v>4</v>
      </c>
      <c r="D250">
        <v>24900</v>
      </c>
      <c r="E250" t="s">
        <v>67</v>
      </c>
      <c r="F250">
        <v>111</v>
      </c>
      <c r="G250">
        <v>7.5</v>
      </c>
      <c r="H250">
        <v>3300</v>
      </c>
      <c r="I250">
        <v>0</v>
      </c>
      <c r="J250">
        <f>1</f>
        <v>1</v>
      </c>
      <c r="K250">
        <v>1</v>
      </c>
      <c r="L250">
        <v>0</v>
      </c>
      <c r="M250">
        <f t="shared" ca="1" si="9"/>
        <v>0.36265686040796197</v>
      </c>
      <c r="N250">
        <v>0</v>
      </c>
      <c r="O250">
        <v>0</v>
      </c>
      <c r="P250">
        <f t="shared" ca="1" si="10"/>
        <v>0.906149908975171</v>
      </c>
      <c r="Q250">
        <f t="shared" si="11"/>
        <v>1</v>
      </c>
    </row>
    <row r="251" spans="1:17" x14ac:dyDescent="0.3">
      <c r="A251" t="s">
        <v>200</v>
      </c>
      <c r="B251" t="s">
        <v>513</v>
      </c>
      <c r="C251">
        <v>3</v>
      </c>
      <c r="D251">
        <v>26000</v>
      </c>
      <c r="E251" t="s">
        <v>66</v>
      </c>
      <c r="F251">
        <v>66</v>
      </c>
      <c r="G251">
        <v>4.5</v>
      </c>
      <c r="H251">
        <v>3800</v>
      </c>
      <c r="I251">
        <v>0</v>
      </c>
      <c r="J251">
        <f>1</f>
        <v>1</v>
      </c>
      <c r="K251">
        <v>1</v>
      </c>
      <c r="L251">
        <v>0</v>
      </c>
      <c r="M251">
        <f t="shared" ca="1" si="9"/>
        <v>0.40479506454915415</v>
      </c>
      <c r="N251">
        <v>0</v>
      </c>
      <c r="O251">
        <v>0</v>
      </c>
      <c r="P251">
        <f t="shared" ca="1" si="10"/>
        <v>0.17949686711377566</v>
      </c>
      <c r="Q251">
        <f t="shared" si="11"/>
        <v>1</v>
      </c>
    </row>
    <row r="252" spans="1:17" x14ac:dyDescent="0.3">
      <c r="A252" t="s">
        <v>1012</v>
      </c>
      <c r="B252" t="s">
        <v>64</v>
      </c>
      <c r="C252">
        <v>7</v>
      </c>
      <c r="D252">
        <v>25900</v>
      </c>
      <c r="E252" t="s">
        <v>1146</v>
      </c>
      <c r="F252">
        <v>1</v>
      </c>
      <c r="G252">
        <v>2</v>
      </c>
      <c r="H252">
        <v>0</v>
      </c>
      <c r="I252">
        <v>1</v>
      </c>
      <c r="J252">
        <f>1</f>
        <v>1</v>
      </c>
      <c r="K252">
        <v>1</v>
      </c>
      <c r="L252">
        <v>0</v>
      </c>
      <c r="M252">
        <f t="shared" ca="1" si="9"/>
        <v>0.57559404439222306</v>
      </c>
      <c r="N252">
        <v>0</v>
      </c>
      <c r="O252">
        <v>0</v>
      </c>
      <c r="P252">
        <f t="shared" ca="1" si="10"/>
        <v>0.6435902973650699</v>
      </c>
      <c r="Q252">
        <f t="shared" si="11"/>
        <v>1</v>
      </c>
    </row>
    <row r="253" spans="1:17" x14ac:dyDescent="0.3">
      <c r="A253" t="s">
        <v>552</v>
      </c>
      <c r="B253" t="s">
        <v>513</v>
      </c>
      <c r="C253">
        <v>5</v>
      </c>
      <c r="D253">
        <v>45500</v>
      </c>
      <c r="E253" t="s">
        <v>66</v>
      </c>
      <c r="F253">
        <v>17</v>
      </c>
      <c r="G253">
        <v>13.4</v>
      </c>
      <c r="H253">
        <v>0</v>
      </c>
      <c r="I253">
        <v>0</v>
      </c>
      <c r="J253">
        <f>1</f>
        <v>1</v>
      </c>
      <c r="K253">
        <v>1</v>
      </c>
      <c r="L253">
        <v>0</v>
      </c>
      <c r="M253">
        <f t="shared" ca="1" si="9"/>
        <v>0.2766966452627766</v>
      </c>
      <c r="N253">
        <v>0</v>
      </c>
      <c r="O253">
        <v>0</v>
      </c>
      <c r="P253">
        <f t="shared" ca="1" si="10"/>
        <v>0.8398334939413219</v>
      </c>
      <c r="Q253">
        <f t="shared" si="11"/>
        <v>1</v>
      </c>
    </row>
    <row r="254" spans="1:17" x14ac:dyDescent="0.3">
      <c r="A254" t="s">
        <v>927</v>
      </c>
      <c r="B254" t="s">
        <v>513</v>
      </c>
      <c r="C254">
        <v>10</v>
      </c>
      <c r="D254">
        <v>31100</v>
      </c>
      <c r="E254" t="s">
        <v>1146</v>
      </c>
      <c r="F254">
        <v>6</v>
      </c>
      <c r="G254">
        <v>7.9</v>
      </c>
      <c r="H254">
        <v>1400</v>
      </c>
      <c r="I254">
        <v>1</v>
      </c>
      <c r="J254">
        <f>1</f>
        <v>1</v>
      </c>
      <c r="K254">
        <v>1</v>
      </c>
      <c r="L254">
        <v>0</v>
      </c>
      <c r="M254">
        <f t="shared" ca="1" si="9"/>
        <v>0.17602411394216144</v>
      </c>
      <c r="N254">
        <v>0</v>
      </c>
      <c r="O254">
        <v>0</v>
      </c>
      <c r="P254">
        <f t="shared" ca="1" si="10"/>
        <v>0.16268020963663743</v>
      </c>
      <c r="Q254">
        <f t="shared" si="11"/>
        <v>1</v>
      </c>
    </row>
    <row r="255" spans="1:17" x14ac:dyDescent="0.3">
      <c r="A255" t="s">
        <v>595</v>
      </c>
      <c r="B255" t="s">
        <v>513</v>
      </c>
      <c r="C255">
        <v>3</v>
      </c>
      <c r="D255">
        <v>24000</v>
      </c>
      <c r="E255" t="s">
        <v>69</v>
      </c>
      <c r="F255">
        <v>27</v>
      </c>
      <c r="G255">
        <v>11.4</v>
      </c>
      <c r="H255">
        <v>0</v>
      </c>
      <c r="I255">
        <v>0</v>
      </c>
      <c r="J255">
        <f>1</f>
        <v>1</v>
      </c>
      <c r="K255">
        <v>1</v>
      </c>
      <c r="L255">
        <v>0</v>
      </c>
      <c r="M255">
        <f t="shared" ca="1" si="9"/>
        <v>0.6546130252922292</v>
      </c>
      <c r="N255">
        <v>0</v>
      </c>
      <c r="O255">
        <v>0</v>
      </c>
      <c r="P255">
        <f t="shared" ca="1" si="10"/>
        <v>0.44620350481217697</v>
      </c>
      <c r="Q255">
        <f t="shared" si="11"/>
        <v>1</v>
      </c>
    </row>
    <row r="256" spans="1:17" x14ac:dyDescent="0.3">
      <c r="A256" t="s">
        <v>734</v>
      </c>
      <c r="B256" t="s">
        <v>513</v>
      </c>
      <c r="C256">
        <v>5</v>
      </c>
      <c r="D256">
        <v>24700</v>
      </c>
      <c r="E256" t="s">
        <v>1146</v>
      </c>
      <c r="F256">
        <v>3</v>
      </c>
      <c r="G256">
        <v>4.5</v>
      </c>
      <c r="H256">
        <v>16300</v>
      </c>
      <c r="I256">
        <v>1</v>
      </c>
      <c r="J256">
        <f>1</f>
        <v>1</v>
      </c>
      <c r="K256">
        <v>1</v>
      </c>
      <c r="L256">
        <v>0</v>
      </c>
      <c r="M256">
        <f t="shared" ca="1" si="9"/>
        <v>0.38633451473222635</v>
      </c>
      <c r="N256">
        <v>0</v>
      </c>
      <c r="O256">
        <v>0</v>
      </c>
      <c r="P256">
        <f t="shared" ca="1" si="10"/>
        <v>0.94778796512303476</v>
      </c>
      <c r="Q256">
        <f t="shared" si="11"/>
        <v>1</v>
      </c>
    </row>
    <row r="257" spans="1:17" x14ac:dyDescent="0.3">
      <c r="A257" t="s">
        <v>375</v>
      </c>
      <c r="B257" t="s">
        <v>64</v>
      </c>
      <c r="C257">
        <v>2</v>
      </c>
      <c r="D257">
        <v>12500</v>
      </c>
      <c r="E257" t="s">
        <v>67</v>
      </c>
      <c r="F257">
        <v>120</v>
      </c>
      <c r="G257">
        <v>8</v>
      </c>
      <c r="H257">
        <v>4800</v>
      </c>
      <c r="I257">
        <v>0</v>
      </c>
      <c r="J257">
        <f>1</f>
        <v>1</v>
      </c>
      <c r="K257">
        <v>1</v>
      </c>
      <c r="L257">
        <v>0</v>
      </c>
      <c r="M257">
        <f t="shared" ca="1" si="9"/>
        <v>0.36433787280903596</v>
      </c>
      <c r="N257">
        <v>0</v>
      </c>
      <c r="O257">
        <v>0</v>
      </c>
      <c r="P257">
        <f t="shared" ca="1" si="10"/>
        <v>0.70094007069707764</v>
      </c>
      <c r="Q257">
        <f t="shared" si="11"/>
        <v>1</v>
      </c>
    </row>
    <row r="258" spans="1:17" x14ac:dyDescent="0.3">
      <c r="A258" t="s">
        <v>826</v>
      </c>
      <c r="B258" t="s">
        <v>62</v>
      </c>
      <c r="C258">
        <v>8</v>
      </c>
      <c r="D258">
        <v>66600</v>
      </c>
      <c r="E258" t="s">
        <v>1146</v>
      </c>
      <c r="F258">
        <v>0</v>
      </c>
      <c r="G258">
        <v>3.2</v>
      </c>
      <c r="H258">
        <v>1300</v>
      </c>
      <c r="I258">
        <v>1</v>
      </c>
      <c r="J258">
        <f>1</f>
        <v>1</v>
      </c>
      <c r="K258">
        <v>1</v>
      </c>
      <c r="L258">
        <v>0</v>
      </c>
      <c r="M258">
        <f t="shared" ref="M258:M321" ca="1" si="12">RAND()</f>
        <v>0.12541077549405089</v>
      </c>
      <c r="N258">
        <v>0</v>
      </c>
      <c r="O258">
        <v>0</v>
      </c>
      <c r="P258">
        <f t="shared" ref="P258:P321" ca="1" si="13">IF(L258=0,RAND(),"")</f>
        <v>0.46738374787107573</v>
      </c>
      <c r="Q258">
        <f t="shared" si="11"/>
        <v>1</v>
      </c>
    </row>
    <row r="259" spans="1:17" x14ac:dyDescent="0.3">
      <c r="A259" t="s">
        <v>899</v>
      </c>
      <c r="B259" t="s">
        <v>62</v>
      </c>
      <c r="C259">
        <v>5</v>
      </c>
      <c r="D259">
        <v>117000</v>
      </c>
      <c r="E259" t="s">
        <v>1146</v>
      </c>
      <c r="F259">
        <v>9</v>
      </c>
      <c r="G259">
        <v>7.3</v>
      </c>
      <c r="H259">
        <v>3700</v>
      </c>
      <c r="I259">
        <v>1</v>
      </c>
      <c r="J259">
        <f>1</f>
        <v>1</v>
      </c>
      <c r="K259">
        <v>1</v>
      </c>
      <c r="L259">
        <v>0</v>
      </c>
      <c r="M259">
        <f t="shared" ca="1" si="12"/>
        <v>0.99971397899956416</v>
      </c>
      <c r="N259">
        <v>0</v>
      </c>
      <c r="O259">
        <v>0</v>
      </c>
      <c r="P259">
        <f t="shared" ca="1" si="13"/>
        <v>0.10932015737630274</v>
      </c>
      <c r="Q259">
        <f t="shared" ref="Q259:Q322" si="14">IF(OR(L259=1,O259=1), 0,1)</f>
        <v>1</v>
      </c>
    </row>
    <row r="260" spans="1:17" x14ac:dyDescent="0.3">
      <c r="A260" t="s">
        <v>608</v>
      </c>
      <c r="B260" t="s">
        <v>65</v>
      </c>
      <c r="C260">
        <v>7</v>
      </c>
      <c r="D260">
        <v>24900</v>
      </c>
      <c r="E260" t="s">
        <v>68</v>
      </c>
      <c r="F260">
        <v>32</v>
      </c>
      <c r="G260">
        <v>6.4</v>
      </c>
      <c r="H260">
        <v>3700</v>
      </c>
      <c r="I260">
        <v>0</v>
      </c>
      <c r="J260">
        <f>1</f>
        <v>1</v>
      </c>
      <c r="K260">
        <v>1</v>
      </c>
      <c r="L260">
        <v>0</v>
      </c>
      <c r="M260">
        <f t="shared" ca="1" si="12"/>
        <v>0.11310634658865837</v>
      </c>
      <c r="N260">
        <v>0</v>
      </c>
      <c r="O260">
        <v>0</v>
      </c>
      <c r="P260">
        <f t="shared" ca="1" si="13"/>
        <v>0.61099910511950817</v>
      </c>
      <c r="Q260">
        <f t="shared" si="14"/>
        <v>1</v>
      </c>
    </row>
    <row r="261" spans="1:17" x14ac:dyDescent="0.3">
      <c r="A261" t="s">
        <v>755</v>
      </c>
      <c r="B261" t="s">
        <v>62</v>
      </c>
      <c r="C261">
        <v>5</v>
      </c>
      <c r="D261">
        <v>81100</v>
      </c>
      <c r="E261" t="s">
        <v>1146</v>
      </c>
      <c r="F261">
        <v>4</v>
      </c>
      <c r="G261">
        <v>10</v>
      </c>
      <c r="H261">
        <v>7100</v>
      </c>
      <c r="I261">
        <v>1</v>
      </c>
      <c r="J261">
        <f>1</f>
        <v>1</v>
      </c>
      <c r="K261">
        <v>1</v>
      </c>
      <c r="L261">
        <v>0</v>
      </c>
      <c r="M261">
        <f t="shared" ca="1" si="12"/>
        <v>0.10928663230850388</v>
      </c>
      <c r="N261">
        <v>0</v>
      </c>
      <c r="O261">
        <v>0</v>
      </c>
      <c r="P261">
        <f t="shared" ca="1" si="13"/>
        <v>0.76944456713883391</v>
      </c>
      <c r="Q261">
        <f t="shared" si="14"/>
        <v>1</v>
      </c>
    </row>
    <row r="262" spans="1:17" x14ac:dyDescent="0.3">
      <c r="A262" t="s">
        <v>974</v>
      </c>
      <c r="B262" t="s">
        <v>65</v>
      </c>
      <c r="C262">
        <v>5</v>
      </c>
      <c r="D262">
        <v>82500</v>
      </c>
      <c r="E262" t="s">
        <v>1146</v>
      </c>
      <c r="F262">
        <v>7</v>
      </c>
      <c r="G262">
        <v>1.9</v>
      </c>
      <c r="H262">
        <v>10600</v>
      </c>
      <c r="I262">
        <v>1</v>
      </c>
      <c r="J262">
        <f>1</f>
        <v>1</v>
      </c>
      <c r="K262">
        <v>1</v>
      </c>
      <c r="L262">
        <v>0</v>
      </c>
      <c r="M262">
        <f t="shared" ca="1" si="12"/>
        <v>9.4566280739067921E-3</v>
      </c>
      <c r="N262">
        <v>0</v>
      </c>
      <c r="O262">
        <v>0</v>
      </c>
      <c r="P262">
        <f t="shared" ca="1" si="13"/>
        <v>0.55349655551788179</v>
      </c>
      <c r="Q262">
        <f t="shared" si="14"/>
        <v>1</v>
      </c>
    </row>
    <row r="263" spans="1:17" x14ac:dyDescent="0.3">
      <c r="A263" t="s">
        <v>888</v>
      </c>
      <c r="B263" t="s">
        <v>65</v>
      </c>
      <c r="C263">
        <v>3</v>
      </c>
      <c r="D263">
        <v>10300</v>
      </c>
      <c r="E263" t="s">
        <v>1146</v>
      </c>
      <c r="F263">
        <v>6</v>
      </c>
      <c r="G263">
        <v>10.9</v>
      </c>
      <c r="H263">
        <v>2200</v>
      </c>
      <c r="I263">
        <v>1</v>
      </c>
      <c r="J263">
        <f>1</f>
        <v>1</v>
      </c>
      <c r="K263">
        <v>1</v>
      </c>
      <c r="L263">
        <v>0</v>
      </c>
      <c r="M263">
        <f t="shared" ca="1" si="12"/>
        <v>0.68650730249953584</v>
      </c>
      <c r="N263">
        <v>0</v>
      </c>
      <c r="O263">
        <v>0</v>
      </c>
      <c r="P263">
        <f t="shared" ca="1" si="13"/>
        <v>0.71627399199894726</v>
      </c>
      <c r="Q263">
        <f t="shared" si="14"/>
        <v>1</v>
      </c>
    </row>
    <row r="264" spans="1:17" x14ac:dyDescent="0.3">
      <c r="A264" t="s">
        <v>155</v>
      </c>
      <c r="B264" t="s">
        <v>65</v>
      </c>
      <c r="C264">
        <v>1</v>
      </c>
      <c r="D264">
        <v>21000</v>
      </c>
      <c r="E264" t="s">
        <v>67</v>
      </c>
      <c r="F264">
        <v>58</v>
      </c>
      <c r="G264">
        <v>4.8</v>
      </c>
      <c r="H264">
        <v>0</v>
      </c>
      <c r="I264">
        <v>0</v>
      </c>
      <c r="J264">
        <f>1</f>
        <v>1</v>
      </c>
      <c r="K264">
        <v>1</v>
      </c>
      <c r="L264">
        <v>0</v>
      </c>
      <c r="M264">
        <f t="shared" ca="1" si="12"/>
        <v>0.43562962189682852</v>
      </c>
      <c r="N264">
        <v>0</v>
      </c>
      <c r="O264">
        <v>0</v>
      </c>
      <c r="P264">
        <f t="shared" ca="1" si="13"/>
        <v>0.51235844322207713</v>
      </c>
      <c r="Q264">
        <f t="shared" si="14"/>
        <v>1</v>
      </c>
    </row>
    <row r="265" spans="1:17" x14ac:dyDescent="0.3">
      <c r="A265" t="s">
        <v>893</v>
      </c>
      <c r="B265" t="s">
        <v>65</v>
      </c>
      <c r="C265">
        <v>5</v>
      </c>
      <c r="D265">
        <v>35600</v>
      </c>
      <c r="E265" t="s">
        <v>66</v>
      </c>
      <c r="F265">
        <v>32</v>
      </c>
      <c r="G265">
        <v>3.1</v>
      </c>
      <c r="H265">
        <v>3600</v>
      </c>
      <c r="I265">
        <v>1</v>
      </c>
      <c r="J265">
        <f>1</f>
        <v>1</v>
      </c>
      <c r="K265">
        <v>1</v>
      </c>
      <c r="L265">
        <v>0</v>
      </c>
      <c r="M265">
        <f t="shared" ca="1" si="12"/>
        <v>0.67499702858216137</v>
      </c>
      <c r="N265">
        <v>0</v>
      </c>
      <c r="O265">
        <v>0</v>
      </c>
      <c r="P265">
        <f t="shared" ca="1" si="13"/>
        <v>0.41036048060260211</v>
      </c>
      <c r="Q265">
        <f t="shared" si="14"/>
        <v>1</v>
      </c>
    </row>
    <row r="266" spans="1:17" x14ac:dyDescent="0.3">
      <c r="A266" t="s">
        <v>448</v>
      </c>
      <c r="B266" t="s">
        <v>62</v>
      </c>
      <c r="C266">
        <v>10</v>
      </c>
      <c r="D266">
        <v>45100</v>
      </c>
      <c r="E266" t="s">
        <v>66</v>
      </c>
      <c r="F266">
        <v>57</v>
      </c>
      <c r="G266">
        <v>7</v>
      </c>
      <c r="H266">
        <v>6000</v>
      </c>
      <c r="I266">
        <v>0</v>
      </c>
      <c r="J266">
        <f>1</f>
        <v>1</v>
      </c>
      <c r="K266">
        <v>1</v>
      </c>
      <c r="L266">
        <v>0</v>
      </c>
      <c r="M266">
        <f t="shared" ca="1" si="12"/>
        <v>0.5256713986500946</v>
      </c>
      <c r="N266">
        <v>0</v>
      </c>
      <c r="O266">
        <v>0</v>
      </c>
      <c r="P266">
        <f t="shared" ca="1" si="13"/>
        <v>0.52961007153070849</v>
      </c>
      <c r="Q266">
        <f t="shared" si="14"/>
        <v>1</v>
      </c>
    </row>
    <row r="267" spans="1:17" x14ac:dyDescent="0.3">
      <c r="A267" t="s">
        <v>407</v>
      </c>
      <c r="B267" t="s">
        <v>513</v>
      </c>
      <c r="C267">
        <v>4</v>
      </c>
      <c r="D267">
        <v>44800</v>
      </c>
      <c r="E267" t="s">
        <v>66</v>
      </c>
      <c r="F267">
        <v>44</v>
      </c>
      <c r="G267">
        <v>0.8</v>
      </c>
      <c r="H267">
        <v>0</v>
      </c>
      <c r="I267">
        <v>0</v>
      </c>
      <c r="J267">
        <f>1</f>
        <v>1</v>
      </c>
      <c r="K267">
        <v>1</v>
      </c>
      <c r="L267">
        <v>0</v>
      </c>
      <c r="M267">
        <f t="shared" ca="1" si="12"/>
        <v>0.22181713179148077</v>
      </c>
      <c r="N267">
        <v>0</v>
      </c>
      <c r="O267">
        <v>0</v>
      </c>
      <c r="P267">
        <f t="shared" ca="1" si="13"/>
        <v>0.40702445457117931</v>
      </c>
      <c r="Q267">
        <f t="shared" si="14"/>
        <v>1</v>
      </c>
    </row>
    <row r="268" spans="1:17" x14ac:dyDescent="0.3">
      <c r="A268" t="s">
        <v>895</v>
      </c>
      <c r="B268" t="s">
        <v>65</v>
      </c>
      <c r="C268">
        <v>10</v>
      </c>
      <c r="D268">
        <v>35500</v>
      </c>
      <c r="E268" t="s">
        <v>1146</v>
      </c>
      <c r="F268">
        <v>8</v>
      </c>
      <c r="G268">
        <v>7.4</v>
      </c>
      <c r="H268">
        <v>0</v>
      </c>
      <c r="I268">
        <v>1</v>
      </c>
      <c r="J268">
        <f>1</f>
        <v>1</v>
      </c>
      <c r="K268">
        <v>1</v>
      </c>
      <c r="L268">
        <v>0</v>
      </c>
      <c r="M268">
        <f t="shared" ca="1" si="12"/>
        <v>0.46468277557080451</v>
      </c>
      <c r="N268">
        <v>0</v>
      </c>
      <c r="O268">
        <v>0</v>
      </c>
      <c r="P268">
        <f t="shared" ca="1" si="13"/>
        <v>0.17671715328755733</v>
      </c>
      <c r="Q268">
        <f t="shared" si="14"/>
        <v>1</v>
      </c>
    </row>
    <row r="269" spans="1:17" x14ac:dyDescent="0.3">
      <c r="A269" t="s">
        <v>776</v>
      </c>
      <c r="B269" t="s">
        <v>64</v>
      </c>
      <c r="C269">
        <v>6</v>
      </c>
      <c r="D269">
        <v>51400</v>
      </c>
      <c r="E269" t="s">
        <v>1146</v>
      </c>
      <c r="F269">
        <v>9</v>
      </c>
      <c r="G269">
        <v>2.5</v>
      </c>
      <c r="H269">
        <v>6700</v>
      </c>
      <c r="I269">
        <v>1</v>
      </c>
      <c r="J269">
        <f>1</f>
        <v>1</v>
      </c>
      <c r="K269">
        <v>1</v>
      </c>
      <c r="L269">
        <v>0</v>
      </c>
      <c r="M269">
        <f t="shared" ca="1" si="12"/>
        <v>0.21959193663054355</v>
      </c>
      <c r="N269">
        <v>0</v>
      </c>
      <c r="O269">
        <v>0</v>
      </c>
      <c r="P269">
        <f t="shared" ca="1" si="13"/>
        <v>4.9520379086994692E-3</v>
      </c>
      <c r="Q269">
        <f t="shared" si="14"/>
        <v>1</v>
      </c>
    </row>
    <row r="270" spans="1:17" x14ac:dyDescent="0.3">
      <c r="A270" t="s">
        <v>1042</v>
      </c>
      <c r="B270" t="s">
        <v>65</v>
      </c>
      <c r="C270">
        <v>3</v>
      </c>
      <c r="D270">
        <v>36600</v>
      </c>
      <c r="E270" t="s">
        <v>1146</v>
      </c>
      <c r="F270">
        <v>8</v>
      </c>
      <c r="G270">
        <v>12.8</v>
      </c>
      <c r="H270">
        <v>9900</v>
      </c>
      <c r="I270">
        <v>1</v>
      </c>
      <c r="J270">
        <f>1</f>
        <v>1</v>
      </c>
      <c r="K270">
        <v>1</v>
      </c>
      <c r="L270">
        <v>0</v>
      </c>
      <c r="M270">
        <f t="shared" ca="1" si="12"/>
        <v>0.49062220953045599</v>
      </c>
      <c r="N270">
        <v>0</v>
      </c>
      <c r="O270">
        <v>0</v>
      </c>
      <c r="P270">
        <f t="shared" ca="1" si="13"/>
        <v>0.48250484456387766</v>
      </c>
      <c r="Q270">
        <f t="shared" si="14"/>
        <v>1</v>
      </c>
    </row>
    <row r="271" spans="1:17" x14ac:dyDescent="0.3">
      <c r="A271" t="s">
        <v>968</v>
      </c>
      <c r="B271" t="s">
        <v>65</v>
      </c>
      <c r="C271">
        <v>4</v>
      </c>
      <c r="D271">
        <v>55800</v>
      </c>
      <c r="E271" t="s">
        <v>1146</v>
      </c>
      <c r="F271">
        <v>10</v>
      </c>
      <c r="G271">
        <v>4.4000000000000004</v>
      </c>
      <c r="H271">
        <v>4600</v>
      </c>
      <c r="I271">
        <v>1</v>
      </c>
      <c r="J271">
        <f>1</f>
        <v>1</v>
      </c>
      <c r="K271">
        <v>1</v>
      </c>
      <c r="L271">
        <v>0</v>
      </c>
      <c r="M271">
        <f t="shared" ca="1" si="12"/>
        <v>0.68100724327192674</v>
      </c>
      <c r="N271">
        <v>0</v>
      </c>
      <c r="O271">
        <v>0</v>
      </c>
      <c r="P271">
        <f t="shared" ca="1" si="13"/>
        <v>0.56340057151251699</v>
      </c>
      <c r="Q271">
        <f t="shared" si="14"/>
        <v>1</v>
      </c>
    </row>
    <row r="272" spans="1:17" x14ac:dyDescent="0.3">
      <c r="A272" t="s">
        <v>1015</v>
      </c>
      <c r="B272" t="s">
        <v>64</v>
      </c>
      <c r="C272">
        <v>3</v>
      </c>
      <c r="D272">
        <v>13800</v>
      </c>
      <c r="E272" t="s">
        <v>1146</v>
      </c>
      <c r="F272">
        <v>3</v>
      </c>
      <c r="G272">
        <v>11</v>
      </c>
      <c r="H272">
        <v>0</v>
      </c>
      <c r="I272">
        <v>1</v>
      </c>
      <c r="J272">
        <f>1</f>
        <v>1</v>
      </c>
      <c r="K272">
        <v>1</v>
      </c>
      <c r="L272">
        <v>0</v>
      </c>
      <c r="M272">
        <f t="shared" ca="1" si="12"/>
        <v>0.51269557258032339</v>
      </c>
      <c r="N272">
        <v>0</v>
      </c>
      <c r="O272">
        <v>0</v>
      </c>
      <c r="P272">
        <f t="shared" ca="1" si="13"/>
        <v>0.22021361194363698</v>
      </c>
      <c r="Q272">
        <f t="shared" si="14"/>
        <v>1</v>
      </c>
    </row>
    <row r="273" spans="1:17" x14ac:dyDescent="0.3">
      <c r="A273" t="s">
        <v>282</v>
      </c>
      <c r="B273" t="s">
        <v>513</v>
      </c>
      <c r="C273">
        <v>10</v>
      </c>
      <c r="D273">
        <v>104000</v>
      </c>
      <c r="E273" t="s">
        <v>69</v>
      </c>
      <c r="F273">
        <v>56</v>
      </c>
      <c r="G273">
        <v>0.5</v>
      </c>
      <c r="H273">
        <v>9500</v>
      </c>
      <c r="I273">
        <v>0</v>
      </c>
      <c r="J273">
        <f>1</f>
        <v>1</v>
      </c>
      <c r="K273">
        <v>1</v>
      </c>
      <c r="L273">
        <v>0</v>
      </c>
      <c r="M273">
        <f t="shared" ca="1" si="12"/>
        <v>0.57881628452916734</v>
      </c>
      <c r="N273">
        <v>0</v>
      </c>
      <c r="O273">
        <v>0</v>
      </c>
      <c r="P273">
        <f t="shared" ca="1" si="13"/>
        <v>0.26592913835655907</v>
      </c>
      <c r="Q273">
        <f t="shared" si="14"/>
        <v>1</v>
      </c>
    </row>
    <row r="274" spans="1:17" x14ac:dyDescent="0.3">
      <c r="A274" t="s">
        <v>971</v>
      </c>
      <c r="B274" t="s">
        <v>62</v>
      </c>
      <c r="C274">
        <v>7</v>
      </c>
      <c r="D274">
        <v>15500</v>
      </c>
      <c r="E274" t="s">
        <v>1146</v>
      </c>
      <c r="F274">
        <v>10</v>
      </c>
      <c r="G274">
        <v>5.2</v>
      </c>
      <c r="H274">
        <v>5200</v>
      </c>
      <c r="I274">
        <v>1</v>
      </c>
      <c r="J274">
        <f>1</f>
        <v>1</v>
      </c>
      <c r="K274">
        <v>1</v>
      </c>
      <c r="L274">
        <v>0</v>
      </c>
      <c r="M274">
        <f t="shared" ca="1" si="12"/>
        <v>0.30078695564569602</v>
      </c>
      <c r="N274">
        <v>0</v>
      </c>
      <c r="O274">
        <v>0</v>
      </c>
      <c r="P274">
        <f t="shared" ca="1" si="13"/>
        <v>0.89412846473811969</v>
      </c>
      <c r="Q274">
        <f t="shared" si="14"/>
        <v>1</v>
      </c>
    </row>
    <row r="275" spans="1:17" x14ac:dyDescent="0.3">
      <c r="A275" t="s">
        <v>815</v>
      </c>
      <c r="B275" t="s">
        <v>64</v>
      </c>
      <c r="C275">
        <v>5</v>
      </c>
      <c r="D275">
        <v>47800</v>
      </c>
      <c r="E275" t="s">
        <v>1146</v>
      </c>
      <c r="F275">
        <v>9</v>
      </c>
      <c r="G275">
        <v>2.2999999999999998</v>
      </c>
      <c r="H275">
        <v>3700</v>
      </c>
      <c r="I275">
        <v>1</v>
      </c>
      <c r="J275">
        <f>1</f>
        <v>1</v>
      </c>
      <c r="K275">
        <v>1</v>
      </c>
      <c r="L275">
        <v>0</v>
      </c>
      <c r="M275">
        <f t="shared" ca="1" si="12"/>
        <v>0.79616551292445137</v>
      </c>
      <c r="N275">
        <v>0</v>
      </c>
      <c r="O275">
        <v>0</v>
      </c>
      <c r="P275">
        <f t="shared" ca="1" si="13"/>
        <v>0.81949438573010192</v>
      </c>
      <c r="Q275">
        <f t="shared" si="14"/>
        <v>1</v>
      </c>
    </row>
    <row r="276" spans="1:17" x14ac:dyDescent="0.3">
      <c r="A276" t="s">
        <v>961</v>
      </c>
      <c r="B276" t="s">
        <v>62</v>
      </c>
      <c r="C276">
        <v>9</v>
      </c>
      <c r="D276">
        <v>17900</v>
      </c>
      <c r="E276" t="s">
        <v>1146</v>
      </c>
      <c r="F276">
        <v>6</v>
      </c>
      <c r="G276">
        <v>0.9</v>
      </c>
      <c r="H276">
        <v>0</v>
      </c>
      <c r="I276">
        <v>1</v>
      </c>
      <c r="J276">
        <f>1</f>
        <v>1</v>
      </c>
      <c r="K276">
        <v>1</v>
      </c>
      <c r="L276">
        <v>0</v>
      </c>
      <c r="M276">
        <f t="shared" ca="1" si="12"/>
        <v>0.57184025207681854</v>
      </c>
      <c r="N276">
        <v>0</v>
      </c>
      <c r="O276">
        <v>0</v>
      </c>
      <c r="P276">
        <f t="shared" ca="1" si="13"/>
        <v>3.3444868840701414E-2</v>
      </c>
      <c r="Q276">
        <f t="shared" si="14"/>
        <v>1</v>
      </c>
    </row>
    <row r="277" spans="1:17" x14ac:dyDescent="0.3">
      <c r="A277" t="s">
        <v>897</v>
      </c>
      <c r="B277" t="s">
        <v>62</v>
      </c>
      <c r="C277">
        <v>8</v>
      </c>
      <c r="D277">
        <v>69200</v>
      </c>
      <c r="E277" t="s">
        <v>1146</v>
      </c>
      <c r="F277">
        <v>3</v>
      </c>
      <c r="G277">
        <v>4.3</v>
      </c>
      <c r="H277">
        <v>1500</v>
      </c>
      <c r="I277">
        <v>1</v>
      </c>
      <c r="J277">
        <f>1</f>
        <v>1</v>
      </c>
      <c r="K277">
        <v>1</v>
      </c>
      <c r="L277">
        <v>0</v>
      </c>
      <c r="M277">
        <f t="shared" ca="1" si="12"/>
        <v>0.18009717871480801</v>
      </c>
      <c r="N277">
        <v>0</v>
      </c>
      <c r="O277">
        <v>0</v>
      </c>
      <c r="P277">
        <f t="shared" ca="1" si="13"/>
        <v>0.40172347202655401</v>
      </c>
      <c r="Q277">
        <f t="shared" si="14"/>
        <v>1</v>
      </c>
    </row>
    <row r="278" spans="1:17" x14ac:dyDescent="0.3">
      <c r="A278" t="s">
        <v>219</v>
      </c>
      <c r="B278" t="s">
        <v>65</v>
      </c>
      <c r="C278">
        <v>10</v>
      </c>
      <c r="D278">
        <v>71700</v>
      </c>
      <c r="E278" t="s">
        <v>67</v>
      </c>
      <c r="F278">
        <v>60</v>
      </c>
      <c r="G278">
        <v>8.9</v>
      </c>
      <c r="H278">
        <v>10100</v>
      </c>
      <c r="I278">
        <v>0</v>
      </c>
      <c r="J278">
        <f>1</f>
        <v>1</v>
      </c>
      <c r="K278">
        <v>1</v>
      </c>
      <c r="L278">
        <v>0</v>
      </c>
      <c r="M278">
        <f t="shared" ca="1" si="12"/>
        <v>0.52258402121698733</v>
      </c>
      <c r="N278">
        <v>0</v>
      </c>
      <c r="O278">
        <v>0</v>
      </c>
      <c r="P278">
        <f t="shared" ca="1" si="13"/>
        <v>0.47437701046304903</v>
      </c>
      <c r="Q278">
        <f t="shared" si="14"/>
        <v>1</v>
      </c>
    </row>
    <row r="279" spans="1:17" x14ac:dyDescent="0.3">
      <c r="A279" t="s">
        <v>434</v>
      </c>
      <c r="B279" t="s">
        <v>65</v>
      </c>
      <c r="C279">
        <v>4</v>
      </c>
      <c r="D279">
        <v>56900</v>
      </c>
      <c r="E279" t="s">
        <v>67</v>
      </c>
      <c r="F279">
        <v>120</v>
      </c>
      <c r="G279">
        <v>8.5</v>
      </c>
      <c r="H279">
        <v>8200</v>
      </c>
      <c r="I279">
        <v>0</v>
      </c>
      <c r="J279">
        <f>1</f>
        <v>1</v>
      </c>
      <c r="K279">
        <v>1</v>
      </c>
      <c r="L279">
        <v>0</v>
      </c>
      <c r="M279">
        <f t="shared" ca="1" si="12"/>
        <v>0.1726988803616728</v>
      </c>
      <c r="N279">
        <v>0</v>
      </c>
      <c r="O279">
        <v>0</v>
      </c>
      <c r="P279">
        <f t="shared" ca="1" si="13"/>
        <v>0.6897894890046371</v>
      </c>
      <c r="Q279">
        <f t="shared" si="14"/>
        <v>1</v>
      </c>
    </row>
    <row r="280" spans="1:17" x14ac:dyDescent="0.3">
      <c r="A280" t="s">
        <v>1067</v>
      </c>
      <c r="B280" t="s">
        <v>64</v>
      </c>
      <c r="C280">
        <v>4</v>
      </c>
      <c r="D280">
        <v>10000</v>
      </c>
      <c r="E280" t="s">
        <v>1146</v>
      </c>
      <c r="F280">
        <v>1</v>
      </c>
      <c r="G280">
        <v>5.7</v>
      </c>
      <c r="H280">
        <v>0</v>
      </c>
      <c r="I280">
        <v>1</v>
      </c>
      <c r="J280">
        <f>1</f>
        <v>1</v>
      </c>
      <c r="K280">
        <v>1</v>
      </c>
      <c r="L280">
        <v>0</v>
      </c>
      <c r="M280">
        <f t="shared" ca="1" si="12"/>
        <v>0.74312346423764131</v>
      </c>
      <c r="N280">
        <v>0</v>
      </c>
      <c r="O280">
        <v>0</v>
      </c>
      <c r="P280">
        <f t="shared" ca="1" si="13"/>
        <v>0.16800040213412559</v>
      </c>
      <c r="Q280">
        <f t="shared" si="14"/>
        <v>1</v>
      </c>
    </row>
    <row r="281" spans="1:17" x14ac:dyDescent="0.3">
      <c r="A281" t="s">
        <v>419</v>
      </c>
      <c r="B281" t="s">
        <v>513</v>
      </c>
      <c r="C281">
        <v>3</v>
      </c>
      <c r="D281">
        <v>49100</v>
      </c>
      <c r="E281" t="s">
        <v>67</v>
      </c>
      <c r="F281">
        <v>110</v>
      </c>
      <c r="G281">
        <v>3.7</v>
      </c>
      <c r="H281">
        <v>11500</v>
      </c>
      <c r="I281">
        <v>0</v>
      </c>
      <c r="J281">
        <f>1</f>
        <v>1</v>
      </c>
      <c r="K281">
        <v>1</v>
      </c>
      <c r="L281">
        <v>0</v>
      </c>
      <c r="M281">
        <f t="shared" ca="1" si="12"/>
        <v>5.6197739516217093E-2</v>
      </c>
      <c r="N281">
        <v>0</v>
      </c>
      <c r="O281">
        <v>0</v>
      </c>
      <c r="P281">
        <f t="shared" ca="1" si="13"/>
        <v>0.43735005407230354</v>
      </c>
      <c r="Q281">
        <f t="shared" si="14"/>
        <v>1</v>
      </c>
    </row>
    <row r="282" spans="1:17" x14ac:dyDescent="0.3">
      <c r="A282" t="s">
        <v>1074</v>
      </c>
      <c r="B282" t="s">
        <v>65</v>
      </c>
      <c r="C282">
        <v>11</v>
      </c>
      <c r="D282">
        <v>54500</v>
      </c>
      <c r="E282" t="s">
        <v>1146</v>
      </c>
      <c r="F282">
        <v>7</v>
      </c>
      <c r="G282">
        <v>3.4</v>
      </c>
      <c r="H282">
        <v>15100</v>
      </c>
      <c r="I282">
        <v>1</v>
      </c>
      <c r="J282">
        <f>1</f>
        <v>1</v>
      </c>
      <c r="K282">
        <v>1</v>
      </c>
      <c r="L282">
        <v>0</v>
      </c>
      <c r="M282">
        <f t="shared" ca="1" si="12"/>
        <v>0.57321387286964753</v>
      </c>
      <c r="N282">
        <v>0</v>
      </c>
      <c r="O282">
        <v>0</v>
      </c>
      <c r="P282">
        <f t="shared" ca="1" si="13"/>
        <v>0.60527653321331043</v>
      </c>
      <c r="Q282">
        <f t="shared" si="14"/>
        <v>1</v>
      </c>
    </row>
    <row r="283" spans="1:17" x14ac:dyDescent="0.3">
      <c r="A283" t="s">
        <v>526</v>
      </c>
      <c r="B283" t="s">
        <v>513</v>
      </c>
      <c r="C283">
        <v>6</v>
      </c>
      <c r="D283">
        <v>70200</v>
      </c>
      <c r="E283" t="s">
        <v>69</v>
      </c>
      <c r="F283">
        <v>50</v>
      </c>
      <c r="G283">
        <v>3.2</v>
      </c>
      <c r="H283">
        <v>13400</v>
      </c>
      <c r="I283">
        <v>0</v>
      </c>
      <c r="J283">
        <f>1</f>
        <v>1</v>
      </c>
      <c r="K283">
        <v>1</v>
      </c>
      <c r="L283">
        <v>0</v>
      </c>
      <c r="M283">
        <f t="shared" ca="1" si="12"/>
        <v>0.28585392508478802</v>
      </c>
      <c r="N283">
        <v>0</v>
      </c>
      <c r="O283">
        <v>0</v>
      </c>
      <c r="P283">
        <f t="shared" ca="1" si="13"/>
        <v>0.54484594872987746</v>
      </c>
      <c r="Q283">
        <f t="shared" si="14"/>
        <v>1</v>
      </c>
    </row>
    <row r="284" spans="1:17" x14ac:dyDescent="0.3">
      <c r="A284" t="s">
        <v>714</v>
      </c>
      <c r="B284" t="s">
        <v>513</v>
      </c>
      <c r="C284">
        <v>6</v>
      </c>
      <c r="D284">
        <v>89700</v>
      </c>
      <c r="E284" t="s">
        <v>1146</v>
      </c>
      <c r="F284">
        <v>5</v>
      </c>
      <c r="G284">
        <v>4.8</v>
      </c>
      <c r="H284">
        <v>4100</v>
      </c>
      <c r="I284">
        <v>1</v>
      </c>
      <c r="J284">
        <f>1</f>
        <v>1</v>
      </c>
      <c r="K284">
        <v>1</v>
      </c>
      <c r="L284">
        <v>0</v>
      </c>
      <c r="M284">
        <f t="shared" ca="1" si="12"/>
        <v>0.76821880554449296</v>
      </c>
      <c r="N284">
        <v>0</v>
      </c>
      <c r="O284">
        <v>0</v>
      </c>
      <c r="P284">
        <f t="shared" ca="1" si="13"/>
        <v>0.10294804173150329</v>
      </c>
      <c r="Q284">
        <f t="shared" si="14"/>
        <v>1</v>
      </c>
    </row>
    <row r="285" spans="1:17" x14ac:dyDescent="0.3">
      <c r="A285" t="s">
        <v>1036</v>
      </c>
      <c r="B285" t="s">
        <v>62</v>
      </c>
      <c r="C285">
        <v>5</v>
      </c>
      <c r="D285">
        <v>16400</v>
      </c>
      <c r="E285" t="s">
        <v>1146</v>
      </c>
      <c r="F285">
        <v>7</v>
      </c>
      <c r="G285">
        <v>4.5</v>
      </c>
      <c r="H285">
        <v>2800</v>
      </c>
      <c r="I285">
        <v>1</v>
      </c>
      <c r="J285">
        <f>1</f>
        <v>1</v>
      </c>
      <c r="K285">
        <v>1</v>
      </c>
      <c r="L285">
        <v>0</v>
      </c>
      <c r="M285">
        <f t="shared" ca="1" si="12"/>
        <v>0.75410507881547406</v>
      </c>
      <c r="N285">
        <v>0</v>
      </c>
      <c r="O285">
        <v>0</v>
      </c>
      <c r="P285">
        <f t="shared" ca="1" si="13"/>
        <v>0.96192695183060417</v>
      </c>
      <c r="Q285">
        <f t="shared" si="14"/>
        <v>1</v>
      </c>
    </row>
    <row r="286" spans="1:17" x14ac:dyDescent="0.3">
      <c r="A286" t="s">
        <v>578</v>
      </c>
      <c r="B286" t="s">
        <v>64</v>
      </c>
      <c r="C286">
        <v>7</v>
      </c>
      <c r="D286">
        <v>26700</v>
      </c>
      <c r="E286" t="s">
        <v>68</v>
      </c>
      <c r="F286">
        <v>46</v>
      </c>
      <c r="G286">
        <v>0.4</v>
      </c>
      <c r="H286">
        <v>5900</v>
      </c>
      <c r="I286">
        <v>0</v>
      </c>
      <c r="J286">
        <f>1</f>
        <v>1</v>
      </c>
      <c r="K286">
        <v>1</v>
      </c>
      <c r="L286">
        <v>0</v>
      </c>
      <c r="M286">
        <f t="shared" ca="1" si="12"/>
        <v>4.6145668368408832E-2</v>
      </c>
      <c r="N286">
        <v>0</v>
      </c>
      <c r="O286">
        <v>0</v>
      </c>
      <c r="P286">
        <f t="shared" ca="1" si="13"/>
        <v>0.53536510087583866</v>
      </c>
      <c r="Q286">
        <f t="shared" si="14"/>
        <v>1</v>
      </c>
    </row>
    <row r="287" spans="1:17" x14ac:dyDescent="0.3">
      <c r="A287" t="s">
        <v>723</v>
      </c>
      <c r="B287" t="s">
        <v>513</v>
      </c>
      <c r="C287">
        <v>4</v>
      </c>
      <c r="D287">
        <v>72600</v>
      </c>
      <c r="E287" t="s">
        <v>1146</v>
      </c>
      <c r="F287">
        <v>0</v>
      </c>
      <c r="G287">
        <v>11.9</v>
      </c>
      <c r="H287">
        <v>2300</v>
      </c>
      <c r="I287">
        <v>1</v>
      </c>
      <c r="J287">
        <f>1</f>
        <v>1</v>
      </c>
      <c r="K287">
        <v>1</v>
      </c>
      <c r="L287">
        <v>0</v>
      </c>
      <c r="M287">
        <f t="shared" ca="1" si="12"/>
        <v>0.82664170755230548</v>
      </c>
      <c r="N287">
        <v>0</v>
      </c>
      <c r="O287">
        <v>0</v>
      </c>
      <c r="P287">
        <f t="shared" ca="1" si="13"/>
        <v>0.30220578113141505</v>
      </c>
      <c r="Q287">
        <f t="shared" si="14"/>
        <v>1</v>
      </c>
    </row>
    <row r="288" spans="1:17" x14ac:dyDescent="0.3">
      <c r="A288" t="s">
        <v>524</v>
      </c>
      <c r="B288" t="s">
        <v>513</v>
      </c>
      <c r="C288">
        <v>5</v>
      </c>
      <c r="D288">
        <v>29200</v>
      </c>
      <c r="E288" t="s">
        <v>68</v>
      </c>
      <c r="F288">
        <v>25</v>
      </c>
      <c r="G288">
        <v>11.5</v>
      </c>
      <c r="H288">
        <v>2900</v>
      </c>
      <c r="I288">
        <v>0</v>
      </c>
      <c r="J288">
        <f>1</f>
        <v>1</v>
      </c>
      <c r="K288">
        <v>1</v>
      </c>
      <c r="L288">
        <v>0</v>
      </c>
      <c r="M288">
        <f t="shared" ca="1" si="12"/>
        <v>0.82740455917653377</v>
      </c>
      <c r="N288">
        <v>0</v>
      </c>
      <c r="O288">
        <v>0</v>
      </c>
      <c r="P288">
        <f t="shared" ca="1" si="13"/>
        <v>0.73368139847745417</v>
      </c>
      <c r="Q288">
        <f t="shared" si="14"/>
        <v>1</v>
      </c>
    </row>
    <row r="289" spans="1:17" x14ac:dyDescent="0.3">
      <c r="A289" t="s">
        <v>545</v>
      </c>
      <c r="B289" t="s">
        <v>64</v>
      </c>
      <c r="C289">
        <v>5</v>
      </c>
      <c r="D289">
        <v>21500</v>
      </c>
      <c r="E289" t="s">
        <v>67</v>
      </c>
      <c r="F289">
        <v>62</v>
      </c>
      <c r="G289">
        <v>9.3000000000000007</v>
      </c>
      <c r="H289">
        <v>6800</v>
      </c>
      <c r="I289">
        <v>0</v>
      </c>
      <c r="J289">
        <f>1</f>
        <v>1</v>
      </c>
      <c r="K289">
        <v>1</v>
      </c>
      <c r="L289">
        <v>0</v>
      </c>
      <c r="M289">
        <f t="shared" ca="1" si="12"/>
        <v>0.18684811696016834</v>
      </c>
      <c r="N289">
        <v>0</v>
      </c>
      <c r="O289">
        <v>0</v>
      </c>
      <c r="P289">
        <f t="shared" ca="1" si="13"/>
        <v>0.15164639074635256</v>
      </c>
      <c r="Q289">
        <f t="shared" si="14"/>
        <v>1</v>
      </c>
    </row>
    <row r="290" spans="1:17" x14ac:dyDescent="0.3">
      <c r="A290" t="s">
        <v>369</v>
      </c>
      <c r="B290" t="s">
        <v>62</v>
      </c>
      <c r="C290">
        <v>6</v>
      </c>
      <c r="D290">
        <v>60200</v>
      </c>
      <c r="E290" t="s">
        <v>67</v>
      </c>
      <c r="F290">
        <v>95</v>
      </c>
      <c r="G290">
        <v>2.9</v>
      </c>
      <c r="H290">
        <v>7900</v>
      </c>
      <c r="I290">
        <v>0</v>
      </c>
      <c r="J290">
        <f>1</f>
        <v>1</v>
      </c>
      <c r="K290">
        <v>1</v>
      </c>
      <c r="L290">
        <v>0</v>
      </c>
      <c r="M290">
        <f t="shared" ca="1" si="12"/>
        <v>0.87967906170843202</v>
      </c>
      <c r="N290">
        <v>0</v>
      </c>
      <c r="O290">
        <v>0</v>
      </c>
      <c r="P290">
        <f t="shared" ca="1" si="13"/>
        <v>0.90487398741574365</v>
      </c>
      <c r="Q290">
        <f t="shared" si="14"/>
        <v>1</v>
      </c>
    </row>
    <row r="291" spans="1:17" x14ac:dyDescent="0.3">
      <c r="A291" t="s">
        <v>980</v>
      </c>
      <c r="B291" t="s">
        <v>65</v>
      </c>
      <c r="C291">
        <v>8</v>
      </c>
      <c r="D291">
        <v>44600</v>
      </c>
      <c r="E291" t="s">
        <v>1146</v>
      </c>
      <c r="F291">
        <v>0</v>
      </c>
      <c r="G291">
        <v>13.3</v>
      </c>
      <c r="H291">
        <v>10600</v>
      </c>
      <c r="I291">
        <v>1</v>
      </c>
      <c r="J291">
        <f>1</f>
        <v>1</v>
      </c>
      <c r="K291">
        <v>1</v>
      </c>
      <c r="L291">
        <v>0</v>
      </c>
      <c r="M291">
        <f t="shared" ca="1" si="12"/>
        <v>0.57080145839902474</v>
      </c>
      <c r="N291">
        <v>0</v>
      </c>
      <c r="O291">
        <v>0</v>
      </c>
      <c r="P291">
        <f t="shared" ca="1" si="13"/>
        <v>0.8673119708553001</v>
      </c>
      <c r="Q291">
        <f t="shared" si="14"/>
        <v>1</v>
      </c>
    </row>
    <row r="292" spans="1:17" x14ac:dyDescent="0.3">
      <c r="A292" t="s">
        <v>422</v>
      </c>
      <c r="B292" t="s">
        <v>513</v>
      </c>
      <c r="C292">
        <v>10</v>
      </c>
      <c r="D292">
        <v>63200</v>
      </c>
      <c r="E292" t="s">
        <v>67</v>
      </c>
      <c r="F292">
        <v>62</v>
      </c>
      <c r="G292">
        <v>14.5</v>
      </c>
      <c r="H292">
        <v>11700</v>
      </c>
      <c r="I292">
        <v>0</v>
      </c>
      <c r="J292">
        <f>1</f>
        <v>1</v>
      </c>
      <c r="K292">
        <v>1</v>
      </c>
      <c r="L292">
        <v>0</v>
      </c>
      <c r="M292">
        <f t="shared" ca="1" si="12"/>
        <v>0.88370262516615172</v>
      </c>
      <c r="N292">
        <v>0</v>
      </c>
      <c r="O292">
        <v>0</v>
      </c>
      <c r="P292">
        <f t="shared" ca="1" si="13"/>
        <v>0.42529815214999156</v>
      </c>
      <c r="Q292">
        <f t="shared" si="14"/>
        <v>1</v>
      </c>
    </row>
    <row r="293" spans="1:17" x14ac:dyDescent="0.3">
      <c r="A293" t="s">
        <v>972</v>
      </c>
      <c r="B293" t="s">
        <v>64</v>
      </c>
      <c r="C293">
        <v>7</v>
      </c>
      <c r="D293">
        <v>50300</v>
      </c>
      <c r="E293" t="s">
        <v>1146</v>
      </c>
      <c r="F293">
        <v>10</v>
      </c>
      <c r="G293">
        <v>9.9</v>
      </c>
      <c r="H293">
        <v>1700</v>
      </c>
      <c r="I293">
        <v>1</v>
      </c>
      <c r="J293">
        <f>1</f>
        <v>1</v>
      </c>
      <c r="K293">
        <v>1</v>
      </c>
      <c r="L293">
        <v>0</v>
      </c>
      <c r="M293">
        <f t="shared" ca="1" si="12"/>
        <v>6.6338250028040613E-2</v>
      </c>
      <c r="N293">
        <v>0</v>
      </c>
      <c r="O293">
        <v>0</v>
      </c>
      <c r="P293">
        <f t="shared" ca="1" si="13"/>
        <v>0.5399764800086736</v>
      </c>
      <c r="Q293">
        <f t="shared" si="14"/>
        <v>1</v>
      </c>
    </row>
    <row r="294" spans="1:17" x14ac:dyDescent="0.3">
      <c r="A294" t="s">
        <v>365</v>
      </c>
      <c r="B294" t="s">
        <v>65</v>
      </c>
      <c r="C294">
        <v>4</v>
      </c>
      <c r="D294">
        <v>36400</v>
      </c>
      <c r="E294" t="s">
        <v>67</v>
      </c>
      <c r="F294">
        <v>115</v>
      </c>
      <c r="G294">
        <v>3.5</v>
      </c>
      <c r="H294">
        <v>2300</v>
      </c>
      <c r="I294">
        <v>0</v>
      </c>
      <c r="J294">
        <f>1</f>
        <v>1</v>
      </c>
      <c r="K294">
        <v>1</v>
      </c>
      <c r="L294">
        <v>0</v>
      </c>
      <c r="M294">
        <f t="shared" ca="1" si="12"/>
        <v>0.34564563021925054</v>
      </c>
      <c r="N294">
        <v>0</v>
      </c>
      <c r="O294">
        <v>0</v>
      </c>
      <c r="P294">
        <f t="shared" ca="1" si="13"/>
        <v>0.47245909378664064</v>
      </c>
      <c r="Q294">
        <f t="shared" si="14"/>
        <v>1</v>
      </c>
    </row>
    <row r="295" spans="1:17" x14ac:dyDescent="0.3">
      <c r="A295" t="s">
        <v>936</v>
      </c>
      <c r="B295" t="s">
        <v>62</v>
      </c>
      <c r="C295">
        <v>8</v>
      </c>
      <c r="D295">
        <v>118500</v>
      </c>
      <c r="E295" t="s">
        <v>1146</v>
      </c>
      <c r="F295">
        <v>1</v>
      </c>
      <c r="G295">
        <v>8.4</v>
      </c>
      <c r="H295">
        <v>11400</v>
      </c>
      <c r="I295">
        <v>1</v>
      </c>
      <c r="J295">
        <f>1</f>
        <v>1</v>
      </c>
      <c r="K295">
        <v>1</v>
      </c>
      <c r="L295">
        <v>0</v>
      </c>
      <c r="M295">
        <f t="shared" ca="1" si="12"/>
        <v>0.57939272996822477</v>
      </c>
      <c r="N295">
        <v>0</v>
      </c>
      <c r="O295">
        <v>0</v>
      </c>
      <c r="P295">
        <f t="shared" ca="1" si="13"/>
        <v>0.79882993236524646</v>
      </c>
      <c r="Q295">
        <f t="shared" si="14"/>
        <v>1</v>
      </c>
    </row>
    <row r="296" spans="1:17" x14ac:dyDescent="0.3">
      <c r="A296" t="s">
        <v>250</v>
      </c>
      <c r="B296" t="s">
        <v>64</v>
      </c>
      <c r="C296">
        <v>5</v>
      </c>
      <c r="D296">
        <v>114700</v>
      </c>
      <c r="E296" t="s">
        <v>68</v>
      </c>
      <c r="F296">
        <v>33</v>
      </c>
      <c r="G296">
        <v>7.1</v>
      </c>
      <c r="H296">
        <v>8600</v>
      </c>
      <c r="I296">
        <v>0</v>
      </c>
      <c r="J296">
        <f>1</f>
        <v>1</v>
      </c>
      <c r="K296">
        <v>1</v>
      </c>
      <c r="L296">
        <v>0</v>
      </c>
      <c r="M296">
        <f t="shared" ca="1" si="12"/>
        <v>0.58412227910821291</v>
      </c>
      <c r="N296">
        <v>0</v>
      </c>
      <c r="O296">
        <v>0</v>
      </c>
      <c r="P296">
        <f t="shared" ca="1" si="13"/>
        <v>0.15145862218670503</v>
      </c>
      <c r="Q296">
        <f t="shared" si="14"/>
        <v>1</v>
      </c>
    </row>
    <row r="297" spans="1:17" x14ac:dyDescent="0.3">
      <c r="A297" t="s">
        <v>902</v>
      </c>
      <c r="B297" t="s">
        <v>62</v>
      </c>
      <c r="C297">
        <v>7</v>
      </c>
      <c r="D297">
        <v>142800</v>
      </c>
      <c r="E297" t="s">
        <v>1146</v>
      </c>
      <c r="F297">
        <v>0</v>
      </c>
      <c r="G297">
        <v>2.2000000000000002</v>
      </c>
      <c r="H297">
        <v>0</v>
      </c>
      <c r="I297">
        <v>1</v>
      </c>
      <c r="J297">
        <f>1</f>
        <v>1</v>
      </c>
      <c r="K297">
        <v>1</v>
      </c>
      <c r="L297">
        <v>0</v>
      </c>
      <c r="M297">
        <f t="shared" ca="1" si="12"/>
        <v>0.47268537067620442</v>
      </c>
      <c r="N297">
        <v>0</v>
      </c>
      <c r="O297">
        <v>0</v>
      </c>
      <c r="P297">
        <f t="shared" ca="1" si="13"/>
        <v>5.0029216873445082E-2</v>
      </c>
      <c r="Q297">
        <f t="shared" si="14"/>
        <v>1</v>
      </c>
    </row>
    <row r="298" spans="1:17" x14ac:dyDescent="0.3">
      <c r="A298" t="s">
        <v>908</v>
      </c>
      <c r="B298" t="s">
        <v>64</v>
      </c>
      <c r="C298">
        <v>4</v>
      </c>
      <c r="D298">
        <v>52500</v>
      </c>
      <c r="E298" t="s">
        <v>1146</v>
      </c>
      <c r="F298">
        <v>5</v>
      </c>
      <c r="G298">
        <v>9.3000000000000007</v>
      </c>
      <c r="H298">
        <v>9700</v>
      </c>
      <c r="I298">
        <v>1</v>
      </c>
      <c r="J298">
        <f>1</f>
        <v>1</v>
      </c>
      <c r="K298">
        <v>1</v>
      </c>
      <c r="L298">
        <v>0</v>
      </c>
      <c r="M298">
        <f t="shared" ca="1" si="12"/>
        <v>0.37992681233257408</v>
      </c>
      <c r="N298">
        <v>0</v>
      </c>
      <c r="O298">
        <v>0</v>
      </c>
      <c r="P298">
        <f t="shared" ca="1" si="13"/>
        <v>0.27588616012785228</v>
      </c>
      <c r="Q298">
        <f t="shared" si="14"/>
        <v>1</v>
      </c>
    </row>
    <row r="299" spans="1:17" x14ac:dyDescent="0.3">
      <c r="A299" t="s">
        <v>775</v>
      </c>
      <c r="B299" t="s">
        <v>62</v>
      </c>
      <c r="C299">
        <v>6</v>
      </c>
      <c r="D299">
        <v>39500</v>
      </c>
      <c r="E299" t="s">
        <v>1146</v>
      </c>
      <c r="F299">
        <v>4</v>
      </c>
      <c r="G299">
        <v>9.5</v>
      </c>
      <c r="H299">
        <v>6600</v>
      </c>
      <c r="I299">
        <v>1</v>
      </c>
      <c r="J299">
        <f>1</f>
        <v>1</v>
      </c>
      <c r="K299">
        <v>1</v>
      </c>
      <c r="L299">
        <v>0</v>
      </c>
      <c r="M299">
        <f t="shared" ca="1" si="12"/>
        <v>0.30469923349502503</v>
      </c>
      <c r="N299">
        <v>0</v>
      </c>
      <c r="O299">
        <v>0</v>
      </c>
      <c r="P299">
        <f t="shared" ca="1" si="13"/>
        <v>0.17584917274687883</v>
      </c>
      <c r="Q299">
        <f t="shared" si="14"/>
        <v>1</v>
      </c>
    </row>
    <row r="300" spans="1:17" x14ac:dyDescent="0.3">
      <c r="A300" t="s">
        <v>1124</v>
      </c>
      <c r="B300" t="s">
        <v>64</v>
      </c>
      <c r="C300">
        <v>7</v>
      </c>
      <c r="D300">
        <v>24600</v>
      </c>
      <c r="E300" t="s">
        <v>1146</v>
      </c>
      <c r="F300">
        <v>2</v>
      </c>
      <c r="G300">
        <v>1.5</v>
      </c>
      <c r="H300">
        <v>5200</v>
      </c>
      <c r="I300">
        <v>1</v>
      </c>
      <c r="J300">
        <f>1</f>
        <v>1</v>
      </c>
      <c r="K300">
        <v>1</v>
      </c>
      <c r="L300">
        <v>0</v>
      </c>
      <c r="M300">
        <f t="shared" ca="1" si="12"/>
        <v>0.20825671224762909</v>
      </c>
      <c r="N300">
        <v>0</v>
      </c>
      <c r="O300">
        <v>0</v>
      </c>
      <c r="P300">
        <f t="shared" ca="1" si="13"/>
        <v>0.62303343754011364</v>
      </c>
      <c r="Q300">
        <f t="shared" si="14"/>
        <v>1</v>
      </c>
    </row>
    <row r="301" spans="1:17" x14ac:dyDescent="0.3">
      <c r="A301" t="s">
        <v>503</v>
      </c>
      <c r="B301" t="s">
        <v>65</v>
      </c>
      <c r="C301">
        <v>6</v>
      </c>
      <c r="D301">
        <v>62200</v>
      </c>
      <c r="E301" t="s">
        <v>69</v>
      </c>
      <c r="F301">
        <v>60</v>
      </c>
      <c r="G301">
        <v>3.7</v>
      </c>
      <c r="H301">
        <v>11800</v>
      </c>
      <c r="I301">
        <v>0</v>
      </c>
      <c r="J301">
        <f>1</f>
        <v>1</v>
      </c>
      <c r="K301">
        <v>1</v>
      </c>
      <c r="L301">
        <v>0</v>
      </c>
      <c r="M301">
        <f t="shared" ca="1" si="12"/>
        <v>6.1832208324620885E-2</v>
      </c>
      <c r="N301">
        <v>0</v>
      </c>
      <c r="O301">
        <v>0</v>
      </c>
      <c r="P301">
        <f t="shared" ca="1" si="13"/>
        <v>0.60488463364696998</v>
      </c>
      <c r="Q301">
        <f t="shared" si="14"/>
        <v>1</v>
      </c>
    </row>
    <row r="302" spans="1:17" x14ac:dyDescent="0.3">
      <c r="A302" t="s">
        <v>436</v>
      </c>
      <c r="B302" t="s">
        <v>65</v>
      </c>
      <c r="C302">
        <v>6</v>
      </c>
      <c r="D302">
        <v>32700</v>
      </c>
      <c r="E302" t="s">
        <v>66</v>
      </c>
      <c r="F302">
        <v>63</v>
      </c>
      <c r="G302">
        <v>10.1</v>
      </c>
      <c r="H302">
        <v>3600</v>
      </c>
      <c r="I302">
        <v>0</v>
      </c>
      <c r="J302">
        <f>1</f>
        <v>1</v>
      </c>
      <c r="K302">
        <v>1</v>
      </c>
      <c r="L302">
        <v>0</v>
      </c>
      <c r="M302">
        <f t="shared" ca="1" si="12"/>
        <v>0.39709715500662501</v>
      </c>
      <c r="N302">
        <v>0</v>
      </c>
      <c r="O302">
        <v>0</v>
      </c>
      <c r="P302">
        <f t="shared" ca="1" si="13"/>
        <v>0.39803725770532283</v>
      </c>
      <c r="Q302">
        <f t="shared" si="14"/>
        <v>1</v>
      </c>
    </row>
    <row r="303" spans="1:17" x14ac:dyDescent="0.3">
      <c r="A303" t="s">
        <v>232</v>
      </c>
      <c r="B303" t="s">
        <v>64</v>
      </c>
      <c r="C303">
        <v>7</v>
      </c>
      <c r="D303">
        <v>27000</v>
      </c>
      <c r="E303" t="s">
        <v>67</v>
      </c>
      <c r="F303">
        <v>100</v>
      </c>
      <c r="G303">
        <v>0.3</v>
      </c>
      <c r="H303">
        <v>300</v>
      </c>
      <c r="I303">
        <v>0</v>
      </c>
      <c r="J303">
        <f>1</f>
        <v>1</v>
      </c>
      <c r="K303">
        <v>1</v>
      </c>
      <c r="L303">
        <v>0</v>
      </c>
      <c r="M303">
        <f t="shared" ca="1" si="12"/>
        <v>0.90215289363115503</v>
      </c>
      <c r="N303">
        <v>0</v>
      </c>
      <c r="O303">
        <v>0</v>
      </c>
      <c r="P303">
        <f t="shared" ca="1" si="13"/>
        <v>0.45127403075683492</v>
      </c>
      <c r="Q303">
        <f t="shared" si="14"/>
        <v>1</v>
      </c>
    </row>
    <row r="304" spans="1:17" x14ac:dyDescent="0.3">
      <c r="A304" t="s">
        <v>334</v>
      </c>
      <c r="B304" t="s">
        <v>64</v>
      </c>
      <c r="C304">
        <v>6</v>
      </c>
      <c r="D304">
        <v>57500</v>
      </c>
      <c r="E304" t="s">
        <v>68</v>
      </c>
      <c r="F304">
        <v>58</v>
      </c>
      <c r="G304">
        <v>10.7</v>
      </c>
      <c r="H304">
        <v>6100</v>
      </c>
      <c r="I304">
        <v>0</v>
      </c>
      <c r="J304">
        <f>1</f>
        <v>1</v>
      </c>
      <c r="K304">
        <v>1</v>
      </c>
      <c r="L304">
        <v>0</v>
      </c>
      <c r="M304">
        <f t="shared" ca="1" si="12"/>
        <v>0.93295593983237002</v>
      </c>
      <c r="N304">
        <v>0</v>
      </c>
      <c r="O304">
        <v>0</v>
      </c>
      <c r="P304">
        <f t="shared" ca="1" si="13"/>
        <v>0.55609977273029787</v>
      </c>
      <c r="Q304">
        <f t="shared" si="14"/>
        <v>1</v>
      </c>
    </row>
    <row r="305" spans="1:17" x14ac:dyDescent="0.3">
      <c r="A305" t="s">
        <v>725</v>
      </c>
      <c r="B305" t="s">
        <v>513</v>
      </c>
      <c r="C305">
        <v>5</v>
      </c>
      <c r="D305">
        <v>34700</v>
      </c>
      <c r="E305" t="s">
        <v>1146</v>
      </c>
      <c r="F305">
        <v>1</v>
      </c>
      <c r="G305">
        <v>7.6</v>
      </c>
      <c r="H305">
        <v>0</v>
      </c>
      <c r="I305">
        <v>1</v>
      </c>
      <c r="J305">
        <f>1</f>
        <v>1</v>
      </c>
      <c r="K305">
        <v>1</v>
      </c>
      <c r="L305">
        <v>0</v>
      </c>
      <c r="M305">
        <f t="shared" ca="1" si="12"/>
        <v>0.35613767465702484</v>
      </c>
      <c r="N305">
        <v>0</v>
      </c>
      <c r="O305">
        <v>0</v>
      </c>
      <c r="P305">
        <f t="shared" ca="1" si="13"/>
        <v>0.31632558466341987</v>
      </c>
      <c r="Q305">
        <f t="shared" si="14"/>
        <v>1</v>
      </c>
    </row>
    <row r="306" spans="1:17" x14ac:dyDescent="0.3">
      <c r="A306" t="s">
        <v>821</v>
      </c>
      <c r="B306" t="s">
        <v>513</v>
      </c>
      <c r="C306">
        <v>7</v>
      </c>
      <c r="D306">
        <v>14300</v>
      </c>
      <c r="E306" t="s">
        <v>1146</v>
      </c>
      <c r="F306">
        <v>6</v>
      </c>
      <c r="G306">
        <v>7.5</v>
      </c>
      <c r="H306">
        <v>3200</v>
      </c>
      <c r="I306">
        <v>1</v>
      </c>
      <c r="J306">
        <f>1</f>
        <v>1</v>
      </c>
      <c r="K306">
        <v>1</v>
      </c>
      <c r="L306">
        <v>0</v>
      </c>
      <c r="M306">
        <f t="shared" ca="1" si="12"/>
        <v>0.805245387881658</v>
      </c>
      <c r="N306">
        <v>0</v>
      </c>
      <c r="O306">
        <v>0</v>
      </c>
      <c r="P306">
        <f t="shared" ca="1" si="13"/>
        <v>0.98113870104026868</v>
      </c>
      <c r="Q306">
        <f t="shared" si="14"/>
        <v>1</v>
      </c>
    </row>
    <row r="307" spans="1:17" x14ac:dyDescent="0.3">
      <c r="A307" t="s">
        <v>662</v>
      </c>
      <c r="B307" t="s">
        <v>64</v>
      </c>
      <c r="C307">
        <v>3</v>
      </c>
      <c r="D307">
        <v>36700</v>
      </c>
      <c r="E307" t="s">
        <v>1146</v>
      </c>
      <c r="F307">
        <v>2</v>
      </c>
      <c r="G307">
        <v>11.9</v>
      </c>
      <c r="H307">
        <v>0</v>
      </c>
      <c r="I307">
        <v>1</v>
      </c>
      <c r="J307">
        <f>1</f>
        <v>1</v>
      </c>
      <c r="K307">
        <v>1</v>
      </c>
      <c r="L307">
        <v>0</v>
      </c>
      <c r="M307">
        <f t="shared" ca="1" si="12"/>
        <v>0.32943050840027999</v>
      </c>
      <c r="N307">
        <v>0</v>
      </c>
      <c r="O307">
        <v>0</v>
      </c>
      <c r="P307">
        <f t="shared" ca="1" si="13"/>
        <v>0.29252929453108267</v>
      </c>
      <c r="Q307">
        <f t="shared" si="14"/>
        <v>1</v>
      </c>
    </row>
    <row r="308" spans="1:17" x14ac:dyDescent="0.3">
      <c r="A308" t="s">
        <v>1024</v>
      </c>
      <c r="B308" t="s">
        <v>513</v>
      </c>
      <c r="C308">
        <v>2</v>
      </c>
      <c r="D308">
        <v>30000</v>
      </c>
      <c r="E308" t="s">
        <v>1146</v>
      </c>
      <c r="F308">
        <v>2</v>
      </c>
      <c r="G308">
        <v>11.7</v>
      </c>
      <c r="H308">
        <v>6900</v>
      </c>
      <c r="I308">
        <v>1</v>
      </c>
      <c r="J308">
        <f>1</f>
        <v>1</v>
      </c>
      <c r="K308">
        <v>1</v>
      </c>
      <c r="L308">
        <v>0</v>
      </c>
      <c r="M308">
        <f t="shared" ca="1" si="12"/>
        <v>0.50068560870847878</v>
      </c>
      <c r="N308">
        <v>0</v>
      </c>
      <c r="O308">
        <v>0</v>
      </c>
      <c r="P308">
        <f t="shared" ca="1" si="13"/>
        <v>0.46524497630136918</v>
      </c>
      <c r="Q308">
        <f t="shared" si="14"/>
        <v>1</v>
      </c>
    </row>
    <row r="309" spans="1:17" x14ac:dyDescent="0.3">
      <c r="A309" t="s">
        <v>1065</v>
      </c>
      <c r="B309" t="s">
        <v>65</v>
      </c>
      <c r="C309">
        <v>6</v>
      </c>
      <c r="D309">
        <v>45500</v>
      </c>
      <c r="E309" t="s">
        <v>1146</v>
      </c>
      <c r="F309">
        <v>9</v>
      </c>
      <c r="G309">
        <v>2.7</v>
      </c>
      <c r="H309">
        <v>3500</v>
      </c>
      <c r="I309">
        <v>1</v>
      </c>
      <c r="J309">
        <f>1</f>
        <v>1</v>
      </c>
      <c r="K309">
        <v>1</v>
      </c>
      <c r="L309">
        <v>0</v>
      </c>
      <c r="M309">
        <f t="shared" ca="1" si="12"/>
        <v>6.6959981818693448E-2</v>
      </c>
      <c r="N309">
        <v>0</v>
      </c>
      <c r="O309">
        <v>0</v>
      </c>
      <c r="P309">
        <f t="shared" ca="1" si="13"/>
        <v>0.66074705132767009</v>
      </c>
      <c r="Q309">
        <f t="shared" si="14"/>
        <v>1</v>
      </c>
    </row>
    <row r="310" spans="1:17" x14ac:dyDescent="0.3">
      <c r="A310" t="s">
        <v>640</v>
      </c>
      <c r="B310" t="s">
        <v>62</v>
      </c>
      <c r="C310">
        <v>2</v>
      </c>
      <c r="D310">
        <v>50200</v>
      </c>
      <c r="E310" t="s">
        <v>1146</v>
      </c>
      <c r="F310">
        <v>0</v>
      </c>
      <c r="G310">
        <v>7.7</v>
      </c>
      <c r="H310">
        <v>700</v>
      </c>
      <c r="I310">
        <v>1</v>
      </c>
      <c r="J310">
        <f>1</f>
        <v>1</v>
      </c>
      <c r="K310">
        <v>1</v>
      </c>
      <c r="L310">
        <v>0</v>
      </c>
      <c r="M310">
        <f t="shared" ca="1" si="12"/>
        <v>0.94551225115144599</v>
      </c>
      <c r="N310">
        <v>0</v>
      </c>
      <c r="O310">
        <v>0</v>
      </c>
      <c r="P310">
        <f t="shared" ca="1" si="13"/>
        <v>0.30445774268365744</v>
      </c>
      <c r="Q310">
        <f t="shared" si="14"/>
        <v>1</v>
      </c>
    </row>
    <row r="311" spans="1:17" x14ac:dyDescent="0.3">
      <c r="A311" t="s">
        <v>353</v>
      </c>
      <c r="B311" t="s">
        <v>65</v>
      </c>
      <c r="C311">
        <v>5</v>
      </c>
      <c r="D311">
        <v>49500</v>
      </c>
      <c r="E311" t="s">
        <v>69</v>
      </c>
      <c r="F311">
        <v>49</v>
      </c>
      <c r="G311">
        <v>9.1</v>
      </c>
      <c r="H311">
        <v>7800</v>
      </c>
      <c r="I311">
        <v>0</v>
      </c>
      <c r="J311">
        <f>1</f>
        <v>1</v>
      </c>
      <c r="K311">
        <v>1</v>
      </c>
      <c r="L311">
        <v>0</v>
      </c>
      <c r="M311">
        <f t="shared" ca="1" si="12"/>
        <v>0.63996498475794938</v>
      </c>
      <c r="N311">
        <v>0</v>
      </c>
      <c r="O311">
        <v>0</v>
      </c>
      <c r="P311">
        <f t="shared" ca="1" si="13"/>
        <v>0.9602045444723073</v>
      </c>
      <c r="Q311">
        <f t="shared" si="14"/>
        <v>1</v>
      </c>
    </row>
    <row r="312" spans="1:17" x14ac:dyDescent="0.3">
      <c r="A312" t="s">
        <v>120</v>
      </c>
      <c r="B312" t="s">
        <v>513</v>
      </c>
      <c r="C312">
        <v>7</v>
      </c>
      <c r="D312">
        <v>16000</v>
      </c>
      <c r="E312" t="s">
        <v>68</v>
      </c>
      <c r="F312">
        <v>39</v>
      </c>
      <c r="G312">
        <v>1.2</v>
      </c>
      <c r="H312">
        <v>2100</v>
      </c>
      <c r="I312">
        <v>0</v>
      </c>
      <c r="J312">
        <f>1</f>
        <v>1</v>
      </c>
      <c r="K312">
        <v>1</v>
      </c>
      <c r="L312">
        <v>0</v>
      </c>
      <c r="M312">
        <f t="shared" ca="1" si="12"/>
        <v>3.4458935566911486E-2</v>
      </c>
      <c r="N312">
        <v>0</v>
      </c>
      <c r="O312">
        <v>0</v>
      </c>
      <c r="P312">
        <f t="shared" ca="1" si="13"/>
        <v>0.58705339226893927</v>
      </c>
      <c r="Q312">
        <f t="shared" si="14"/>
        <v>1</v>
      </c>
    </row>
    <row r="313" spans="1:17" x14ac:dyDescent="0.3">
      <c r="A313" t="s">
        <v>248</v>
      </c>
      <c r="B313" t="s">
        <v>513</v>
      </c>
      <c r="C313">
        <v>10</v>
      </c>
      <c r="D313">
        <v>69900</v>
      </c>
      <c r="E313" t="s">
        <v>67</v>
      </c>
      <c r="F313">
        <v>83</v>
      </c>
      <c r="G313">
        <v>3.6</v>
      </c>
      <c r="H313">
        <v>14300</v>
      </c>
      <c r="I313">
        <v>0</v>
      </c>
      <c r="J313">
        <f>1</f>
        <v>1</v>
      </c>
      <c r="K313">
        <v>1</v>
      </c>
      <c r="L313">
        <v>0</v>
      </c>
      <c r="M313">
        <f t="shared" ca="1" si="12"/>
        <v>0.63883721271824156</v>
      </c>
      <c r="N313">
        <v>0</v>
      </c>
      <c r="O313">
        <v>0</v>
      </c>
      <c r="P313">
        <f t="shared" ca="1" si="13"/>
        <v>0.98262714969547216</v>
      </c>
      <c r="Q313">
        <f t="shared" si="14"/>
        <v>1</v>
      </c>
    </row>
    <row r="314" spans="1:17" x14ac:dyDescent="0.3">
      <c r="A314" t="s">
        <v>484</v>
      </c>
      <c r="B314" t="s">
        <v>65</v>
      </c>
      <c r="C314">
        <v>3</v>
      </c>
      <c r="D314">
        <v>51400</v>
      </c>
      <c r="E314" t="s">
        <v>68</v>
      </c>
      <c r="F314">
        <v>74</v>
      </c>
      <c r="G314">
        <v>2</v>
      </c>
      <c r="H314">
        <v>5900</v>
      </c>
      <c r="I314">
        <v>0</v>
      </c>
      <c r="J314">
        <f>1</f>
        <v>1</v>
      </c>
      <c r="K314">
        <v>1</v>
      </c>
      <c r="L314">
        <v>0</v>
      </c>
      <c r="M314">
        <f t="shared" ca="1" si="12"/>
        <v>0.81953184920563604</v>
      </c>
      <c r="N314">
        <v>0</v>
      </c>
      <c r="O314">
        <v>0</v>
      </c>
      <c r="P314">
        <f t="shared" ca="1" si="13"/>
        <v>0.69191073913156942</v>
      </c>
      <c r="Q314">
        <f t="shared" si="14"/>
        <v>1</v>
      </c>
    </row>
    <row r="315" spans="1:17" x14ac:dyDescent="0.3">
      <c r="A315" t="s">
        <v>218</v>
      </c>
      <c r="B315" t="s">
        <v>64</v>
      </c>
      <c r="C315">
        <v>7</v>
      </c>
      <c r="D315">
        <v>42200</v>
      </c>
      <c r="E315" t="s">
        <v>66</v>
      </c>
      <c r="F315">
        <v>32</v>
      </c>
      <c r="G315">
        <v>10.1</v>
      </c>
      <c r="H315">
        <v>7000</v>
      </c>
      <c r="I315">
        <v>0</v>
      </c>
      <c r="J315">
        <f>1</f>
        <v>1</v>
      </c>
      <c r="K315">
        <v>1</v>
      </c>
      <c r="L315">
        <v>0</v>
      </c>
      <c r="M315">
        <f t="shared" ca="1" si="12"/>
        <v>0.62647858898993014</v>
      </c>
      <c r="N315">
        <v>0</v>
      </c>
      <c r="O315">
        <v>0</v>
      </c>
      <c r="P315">
        <f t="shared" ca="1" si="13"/>
        <v>0.49887045776736039</v>
      </c>
      <c r="Q315">
        <f t="shared" si="14"/>
        <v>1</v>
      </c>
    </row>
    <row r="316" spans="1:17" x14ac:dyDescent="0.3">
      <c r="A316" t="s">
        <v>327</v>
      </c>
      <c r="B316" t="s">
        <v>62</v>
      </c>
      <c r="C316">
        <v>6</v>
      </c>
      <c r="D316">
        <v>30400</v>
      </c>
      <c r="E316" t="s">
        <v>69</v>
      </c>
      <c r="F316">
        <v>33</v>
      </c>
      <c r="G316">
        <v>4.3</v>
      </c>
      <c r="H316">
        <v>3000</v>
      </c>
      <c r="I316">
        <v>0</v>
      </c>
      <c r="J316">
        <f>1</f>
        <v>1</v>
      </c>
      <c r="K316">
        <v>1</v>
      </c>
      <c r="L316">
        <v>0</v>
      </c>
      <c r="M316">
        <f t="shared" ca="1" si="12"/>
        <v>0.12184022061142119</v>
      </c>
      <c r="N316">
        <v>0</v>
      </c>
      <c r="O316">
        <v>0</v>
      </c>
      <c r="P316">
        <f t="shared" ca="1" si="13"/>
        <v>0.14947947487747537</v>
      </c>
      <c r="Q316">
        <f t="shared" si="14"/>
        <v>1</v>
      </c>
    </row>
    <row r="317" spans="1:17" x14ac:dyDescent="0.3">
      <c r="A317" t="s">
        <v>637</v>
      </c>
      <c r="B317" t="s">
        <v>513</v>
      </c>
      <c r="C317">
        <v>7</v>
      </c>
      <c r="D317">
        <v>29000</v>
      </c>
      <c r="E317" t="s">
        <v>1146</v>
      </c>
      <c r="F317">
        <v>9</v>
      </c>
      <c r="G317">
        <v>0.7</v>
      </c>
      <c r="H317">
        <v>8400</v>
      </c>
      <c r="I317">
        <v>1</v>
      </c>
      <c r="J317">
        <f>1</f>
        <v>1</v>
      </c>
      <c r="K317">
        <v>1</v>
      </c>
      <c r="L317">
        <v>0</v>
      </c>
      <c r="M317">
        <f t="shared" ca="1" si="12"/>
        <v>0.44926241086320806</v>
      </c>
      <c r="N317">
        <v>0</v>
      </c>
      <c r="O317">
        <v>0</v>
      </c>
      <c r="P317">
        <f t="shared" ca="1" si="13"/>
        <v>0.80405959325317711</v>
      </c>
      <c r="Q317">
        <f t="shared" si="14"/>
        <v>1</v>
      </c>
    </row>
    <row r="318" spans="1:17" x14ac:dyDescent="0.3">
      <c r="A318" t="s">
        <v>694</v>
      </c>
      <c r="B318" t="s">
        <v>64</v>
      </c>
      <c r="C318">
        <v>5</v>
      </c>
      <c r="D318">
        <v>41600</v>
      </c>
      <c r="E318" t="s">
        <v>1146</v>
      </c>
      <c r="F318">
        <v>6</v>
      </c>
      <c r="G318">
        <v>2.4</v>
      </c>
      <c r="H318">
        <v>3200</v>
      </c>
      <c r="I318">
        <v>1</v>
      </c>
      <c r="J318">
        <f>1</f>
        <v>1</v>
      </c>
      <c r="K318">
        <v>1</v>
      </c>
      <c r="L318">
        <v>0</v>
      </c>
      <c r="M318">
        <f t="shared" ca="1" si="12"/>
        <v>0.72865008999346526</v>
      </c>
      <c r="N318">
        <v>0</v>
      </c>
      <c r="O318">
        <v>0</v>
      </c>
      <c r="P318">
        <f t="shared" ca="1" si="13"/>
        <v>0.14138082836376098</v>
      </c>
      <c r="Q318">
        <f t="shared" si="14"/>
        <v>1</v>
      </c>
    </row>
    <row r="319" spans="1:17" x14ac:dyDescent="0.3">
      <c r="A319" t="s">
        <v>863</v>
      </c>
      <c r="B319" t="s">
        <v>62</v>
      </c>
      <c r="C319">
        <v>8</v>
      </c>
      <c r="D319">
        <v>33600</v>
      </c>
      <c r="E319" t="s">
        <v>1146</v>
      </c>
      <c r="F319">
        <v>1</v>
      </c>
      <c r="G319">
        <v>0.2</v>
      </c>
      <c r="H319">
        <v>2500</v>
      </c>
      <c r="I319">
        <v>1</v>
      </c>
      <c r="J319">
        <f>1</f>
        <v>1</v>
      </c>
      <c r="K319">
        <v>1</v>
      </c>
      <c r="L319">
        <v>0</v>
      </c>
      <c r="M319">
        <f t="shared" ca="1" si="12"/>
        <v>0.19780371731210211</v>
      </c>
      <c r="N319">
        <v>0</v>
      </c>
      <c r="O319">
        <v>0</v>
      </c>
      <c r="P319">
        <f t="shared" ca="1" si="13"/>
        <v>0.85417760394309838</v>
      </c>
      <c r="Q319">
        <f t="shared" si="14"/>
        <v>1</v>
      </c>
    </row>
    <row r="320" spans="1:17" x14ac:dyDescent="0.3">
      <c r="A320" t="s">
        <v>364</v>
      </c>
      <c r="B320" t="s">
        <v>65</v>
      </c>
      <c r="C320">
        <v>10</v>
      </c>
      <c r="D320">
        <v>40500</v>
      </c>
      <c r="E320" t="s">
        <v>67</v>
      </c>
      <c r="F320">
        <v>66</v>
      </c>
      <c r="G320">
        <v>4.7</v>
      </c>
      <c r="H320">
        <v>9500</v>
      </c>
      <c r="I320">
        <v>0</v>
      </c>
      <c r="J320">
        <f>1</f>
        <v>1</v>
      </c>
      <c r="K320">
        <v>1</v>
      </c>
      <c r="L320">
        <v>0</v>
      </c>
      <c r="M320">
        <f t="shared" ca="1" si="12"/>
        <v>0.99087074854289847</v>
      </c>
      <c r="N320">
        <v>0</v>
      </c>
      <c r="O320">
        <v>0</v>
      </c>
      <c r="P320">
        <f t="shared" ca="1" si="13"/>
        <v>8.6962555581284628E-2</v>
      </c>
      <c r="Q320">
        <f t="shared" si="14"/>
        <v>1</v>
      </c>
    </row>
    <row r="321" spans="1:17" x14ac:dyDescent="0.3">
      <c r="A321" t="s">
        <v>386</v>
      </c>
      <c r="B321" t="s">
        <v>65</v>
      </c>
      <c r="C321">
        <v>7</v>
      </c>
      <c r="D321">
        <v>19500</v>
      </c>
      <c r="E321" t="s">
        <v>69</v>
      </c>
      <c r="F321">
        <v>57</v>
      </c>
      <c r="G321">
        <v>9.1</v>
      </c>
      <c r="H321">
        <v>3800</v>
      </c>
      <c r="I321">
        <v>0</v>
      </c>
      <c r="J321">
        <f>1</f>
        <v>1</v>
      </c>
      <c r="K321">
        <v>1</v>
      </c>
      <c r="L321">
        <v>0</v>
      </c>
      <c r="M321">
        <f t="shared" ca="1" si="12"/>
        <v>0.68911842343587304</v>
      </c>
      <c r="N321">
        <v>0</v>
      </c>
      <c r="O321">
        <v>0</v>
      </c>
      <c r="P321">
        <f t="shared" ca="1" si="13"/>
        <v>0.72467107835417555</v>
      </c>
      <c r="Q321">
        <f t="shared" si="14"/>
        <v>1</v>
      </c>
    </row>
    <row r="322" spans="1:17" x14ac:dyDescent="0.3">
      <c r="A322" t="s">
        <v>527</v>
      </c>
      <c r="B322" t="s">
        <v>513</v>
      </c>
      <c r="C322">
        <v>4</v>
      </c>
      <c r="D322">
        <v>26900</v>
      </c>
      <c r="E322" t="s">
        <v>66</v>
      </c>
      <c r="F322">
        <v>31</v>
      </c>
      <c r="G322">
        <v>4.3</v>
      </c>
      <c r="H322">
        <v>8000</v>
      </c>
      <c r="I322">
        <v>0</v>
      </c>
      <c r="J322">
        <f>1</f>
        <v>1</v>
      </c>
      <c r="K322">
        <v>1</v>
      </c>
      <c r="L322">
        <v>0</v>
      </c>
      <c r="M322">
        <f t="shared" ref="M322:M385" ca="1" si="15">RAND()</f>
        <v>0.90203685462698135</v>
      </c>
      <c r="N322">
        <v>0</v>
      </c>
      <c r="O322">
        <v>0</v>
      </c>
      <c r="P322">
        <f t="shared" ref="P322:P385" ca="1" si="16">IF(L322=0,RAND(),"")</f>
        <v>0.36712015253552088</v>
      </c>
      <c r="Q322">
        <f t="shared" si="14"/>
        <v>1</v>
      </c>
    </row>
    <row r="323" spans="1:17" x14ac:dyDescent="0.3">
      <c r="A323" t="s">
        <v>329</v>
      </c>
      <c r="B323" t="s">
        <v>62</v>
      </c>
      <c r="C323">
        <v>6</v>
      </c>
      <c r="D323">
        <v>128600</v>
      </c>
      <c r="E323" t="s">
        <v>68</v>
      </c>
      <c r="F323">
        <v>28</v>
      </c>
      <c r="G323">
        <v>1.6</v>
      </c>
      <c r="H323">
        <v>12800</v>
      </c>
      <c r="I323">
        <v>0</v>
      </c>
      <c r="J323">
        <f>1</f>
        <v>1</v>
      </c>
      <c r="K323">
        <v>1</v>
      </c>
      <c r="L323">
        <v>0</v>
      </c>
      <c r="M323">
        <f t="shared" ca="1" si="15"/>
        <v>0.18996134402793041</v>
      </c>
      <c r="N323">
        <v>0</v>
      </c>
      <c r="O323">
        <v>0</v>
      </c>
      <c r="P323">
        <f t="shared" ca="1" si="16"/>
        <v>0.87730527159648553</v>
      </c>
      <c r="Q323">
        <f t="shared" ref="Q323:Q386" si="17">IF(OR(L323=1,O323=1), 0,1)</f>
        <v>1</v>
      </c>
    </row>
    <row r="324" spans="1:17" x14ac:dyDescent="0.3">
      <c r="A324" t="s">
        <v>427</v>
      </c>
      <c r="B324" t="s">
        <v>513</v>
      </c>
      <c r="C324">
        <v>4</v>
      </c>
      <c r="D324">
        <v>39700</v>
      </c>
      <c r="E324" t="s">
        <v>69</v>
      </c>
      <c r="F324">
        <v>50</v>
      </c>
      <c r="G324">
        <v>13.8</v>
      </c>
      <c r="H324">
        <v>4700</v>
      </c>
      <c r="I324">
        <v>0</v>
      </c>
      <c r="J324">
        <f>1</f>
        <v>1</v>
      </c>
      <c r="K324">
        <v>1</v>
      </c>
      <c r="L324">
        <v>0</v>
      </c>
      <c r="M324">
        <f t="shared" ca="1" si="15"/>
        <v>0.50739934239436013</v>
      </c>
      <c r="N324">
        <v>0</v>
      </c>
      <c r="O324">
        <v>0</v>
      </c>
      <c r="P324">
        <f t="shared" ca="1" si="16"/>
        <v>0.79199413495425863</v>
      </c>
      <c r="Q324">
        <f t="shared" si="17"/>
        <v>1</v>
      </c>
    </row>
    <row r="325" spans="1:17" x14ac:dyDescent="0.3">
      <c r="A325" t="s">
        <v>944</v>
      </c>
      <c r="B325" t="s">
        <v>64</v>
      </c>
      <c r="C325">
        <v>6</v>
      </c>
      <c r="D325">
        <v>20800</v>
      </c>
      <c r="E325" t="s">
        <v>1146</v>
      </c>
      <c r="F325">
        <v>4</v>
      </c>
      <c r="G325">
        <v>10.8</v>
      </c>
      <c r="H325">
        <v>1300</v>
      </c>
      <c r="I325">
        <v>1</v>
      </c>
      <c r="J325">
        <f>1</f>
        <v>1</v>
      </c>
      <c r="K325">
        <v>1</v>
      </c>
      <c r="L325">
        <v>0</v>
      </c>
      <c r="M325">
        <f t="shared" ca="1" si="15"/>
        <v>0.65724610393088412</v>
      </c>
      <c r="N325">
        <v>0</v>
      </c>
      <c r="O325">
        <v>0</v>
      </c>
      <c r="P325">
        <f t="shared" ca="1" si="16"/>
        <v>0.51392578844483794</v>
      </c>
      <c r="Q325">
        <f t="shared" si="17"/>
        <v>1</v>
      </c>
    </row>
    <row r="326" spans="1:17" x14ac:dyDescent="0.3">
      <c r="A326" t="s">
        <v>1080</v>
      </c>
      <c r="B326" t="s">
        <v>65</v>
      </c>
      <c r="C326">
        <v>6</v>
      </c>
      <c r="D326">
        <v>71200</v>
      </c>
      <c r="E326" t="s">
        <v>1146</v>
      </c>
      <c r="F326">
        <v>5</v>
      </c>
      <c r="G326">
        <v>8.6999999999999993</v>
      </c>
      <c r="H326">
        <v>3100</v>
      </c>
      <c r="I326">
        <v>1</v>
      </c>
      <c r="J326">
        <f>1</f>
        <v>1</v>
      </c>
      <c r="K326">
        <v>1</v>
      </c>
      <c r="L326">
        <v>0</v>
      </c>
      <c r="M326">
        <f t="shared" ca="1" si="15"/>
        <v>0.83810065310656889</v>
      </c>
      <c r="N326">
        <v>0</v>
      </c>
      <c r="O326">
        <v>0</v>
      </c>
      <c r="P326">
        <f t="shared" ca="1" si="16"/>
        <v>0.99645823356455399</v>
      </c>
      <c r="Q326">
        <f t="shared" si="17"/>
        <v>1</v>
      </c>
    </row>
    <row r="327" spans="1:17" x14ac:dyDescent="0.3">
      <c r="A327" t="s">
        <v>632</v>
      </c>
      <c r="B327" t="s">
        <v>65</v>
      </c>
      <c r="C327">
        <v>8</v>
      </c>
      <c r="D327">
        <v>76000</v>
      </c>
      <c r="E327" t="s">
        <v>1146</v>
      </c>
      <c r="F327">
        <v>6</v>
      </c>
      <c r="G327">
        <v>9.3000000000000007</v>
      </c>
      <c r="H327">
        <v>11800</v>
      </c>
      <c r="I327">
        <v>1</v>
      </c>
      <c r="J327">
        <f>1</f>
        <v>1</v>
      </c>
      <c r="K327">
        <v>1</v>
      </c>
      <c r="L327">
        <v>0</v>
      </c>
      <c r="M327">
        <f t="shared" ca="1" si="15"/>
        <v>0.11741164465475207</v>
      </c>
      <c r="N327">
        <v>0</v>
      </c>
      <c r="O327">
        <v>0</v>
      </c>
      <c r="P327">
        <f t="shared" ca="1" si="16"/>
        <v>0.83922908135827656</v>
      </c>
      <c r="Q327">
        <f t="shared" si="17"/>
        <v>1</v>
      </c>
    </row>
    <row r="328" spans="1:17" x14ac:dyDescent="0.3">
      <c r="A328" t="s">
        <v>804</v>
      </c>
      <c r="B328" t="s">
        <v>65</v>
      </c>
      <c r="C328">
        <v>6</v>
      </c>
      <c r="D328">
        <v>12900</v>
      </c>
      <c r="E328" t="s">
        <v>1146</v>
      </c>
      <c r="F328">
        <v>6</v>
      </c>
      <c r="G328">
        <v>1</v>
      </c>
      <c r="H328">
        <v>6100</v>
      </c>
      <c r="I328">
        <v>1</v>
      </c>
      <c r="J328">
        <f>1</f>
        <v>1</v>
      </c>
      <c r="K328">
        <v>1</v>
      </c>
      <c r="L328">
        <v>0</v>
      </c>
      <c r="M328">
        <f t="shared" ca="1" si="15"/>
        <v>2.0167541002141909E-2</v>
      </c>
      <c r="N328">
        <v>0</v>
      </c>
      <c r="O328">
        <v>0</v>
      </c>
      <c r="P328">
        <f t="shared" ca="1" si="16"/>
        <v>0.38358453640935908</v>
      </c>
      <c r="Q328">
        <f t="shared" si="17"/>
        <v>1</v>
      </c>
    </row>
    <row r="329" spans="1:17" x14ac:dyDescent="0.3">
      <c r="A329" t="s">
        <v>1055</v>
      </c>
      <c r="B329" t="s">
        <v>62</v>
      </c>
      <c r="C329">
        <v>10</v>
      </c>
      <c r="D329">
        <v>35600</v>
      </c>
      <c r="E329" t="s">
        <v>1146</v>
      </c>
      <c r="F329">
        <v>6</v>
      </c>
      <c r="G329">
        <v>6.9</v>
      </c>
      <c r="H329">
        <v>0</v>
      </c>
      <c r="I329">
        <v>1</v>
      </c>
      <c r="J329">
        <f>1</f>
        <v>1</v>
      </c>
      <c r="K329">
        <v>1</v>
      </c>
      <c r="L329">
        <v>0</v>
      </c>
      <c r="M329">
        <f t="shared" ca="1" si="15"/>
        <v>0.10743701453153853</v>
      </c>
      <c r="N329">
        <v>0</v>
      </c>
      <c r="O329">
        <v>0</v>
      </c>
      <c r="P329">
        <f t="shared" ca="1" si="16"/>
        <v>0.84450865648306328</v>
      </c>
      <c r="Q329">
        <f t="shared" si="17"/>
        <v>1</v>
      </c>
    </row>
    <row r="330" spans="1:17" x14ac:dyDescent="0.3">
      <c r="A330" t="s">
        <v>249</v>
      </c>
      <c r="B330" t="s">
        <v>513</v>
      </c>
      <c r="C330">
        <v>4</v>
      </c>
      <c r="D330">
        <v>37900</v>
      </c>
      <c r="E330" t="s">
        <v>69</v>
      </c>
      <c r="F330">
        <v>22</v>
      </c>
      <c r="G330">
        <v>5.5</v>
      </c>
      <c r="H330">
        <v>9300</v>
      </c>
      <c r="I330">
        <v>0</v>
      </c>
      <c r="J330">
        <f>1</f>
        <v>1</v>
      </c>
      <c r="K330">
        <v>1</v>
      </c>
      <c r="L330">
        <v>0</v>
      </c>
      <c r="M330">
        <f t="shared" ca="1" si="15"/>
        <v>0.15918750163988804</v>
      </c>
      <c r="N330">
        <v>0</v>
      </c>
      <c r="O330">
        <v>0</v>
      </c>
      <c r="P330">
        <f t="shared" ca="1" si="16"/>
        <v>0.37807911410666106</v>
      </c>
      <c r="Q330">
        <f t="shared" si="17"/>
        <v>1</v>
      </c>
    </row>
    <row r="331" spans="1:17" x14ac:dyDescent="0.3">
      <c r="A331" t="s">
        <v>766</v>
      </c>
      <c r="B331" t="s">
        <v>65</v>
      </c>
      <c r="C331">
        <v>4</v>
      </c>
      <c r="D331">
        <v>30900</v>
      </c>
      <c r="E331" t="s">
        <v>1146</v>
      </c>
      <c r="F331">
        <v>1</v>
      </c>
      <c r="G331">
        <v>12.7</v>
      </c>
      <c r="H331">
        <v>3400</v>
      </c>
      <c r="I331">
        <v>1</v>
      </c>
      <c r="J331">
        <f>1</f>
        <v>1</v>
      </c>
      <c r="K331">
        <v>1</v>
      </c>
      <c r="L331">
        <v>0</v>
      </c>
      <c r="M331">
        <f t="shared" ca="1" si="15"/>
        <v>8.3728571762349269E-2</v>
      </c>
      <c r="N331">
        <v>0</v>
      </c>
      <c r="O331">
        <v>0</v>
      </c>
      <c r="P331">
        <f t="shared" ca="1" si="16"/>
        <v>0.30731674601726244</v>
      </c>
      <c r="Q331">
        <f t="shared" si="17"/>
        <v>1</v>
      </c>
    </row>
    <row r="332" spans="1:17" x14ac:dyDescent="0.3">
      <c r="A332" t="s">
        <v>1025</v>
      </c>
      <c r="B332" t="s">
        <v>65</v>
      </c>
      <c r="C332">
        <v>5</v>
      </c>
      <c r="D332">
        <v>29500</v>
      </c>
      <c r="E332" t="s">
        <v>1146</v>
      </c>
      <c r="F332">
        <v>9</v>
      </c>
      <c r="G332">
        <v>2.2999999999999998</v>
      </c>
      <c r="H332">
        <v>0</v>
      </c>
      <c r="I332">
        <v>1</v>
      </c>
      <c r="J332">
        <f>1</f>
        <v>1</v>
      </c>
      <c r="K332">
        <v>1</v>
      </c>
      <c r="L332">
        <v>0</v>
      </c>
      <c r="M332">
        <f t="shared" ca="1" si="15"/>
        <v>0.5253318667596486</v>
      </c>
      <c r="N332">
        <v>0</v>
      </c>
      <c r="O332">
        <v>0</v>
      </c>
      <c r="P332">
        <f t="shared" ca="1" si="16"/>
        <v>0.61744591010152339</v>
      </c>
      <c r="Q332">
        <f t="shared" si="17"/>
        <v>1</v>
      </c>
    </row>
    <row r="333" spans="1:17" x14ac:dyDescent="0.3">
      <c r="A333" t="s">
        <v>239</v>
      </c>
      <c r="B333" t="s">
        <v>513</v>
      </c>
      <c r="C333">
        <v>8</v>
      </c>
      <c r="D333">
        <v>55700</v>
      </c>
      <c r="E333" t="s">
        <v>69</v>
      </c>
      <c r="F333">
        <v>24</v>
      </c>
      <c r="G333">
        <v>11.3</v>
      </c>
      <c r="H333">
        <v>300</v>
      </c>
      <c r="I333">
        <v>0</v>
      </c>
      <c r="J333">
        <f>1</f>
        <v>1</v>
      </c>
      <c r="K333">
        <v>1</v>
      </c>
      <c r="L333">
        <v>0</v>
      </c>
      <c r="M333">
        <f t="shared" ca="1" si="15"/>
        <v>0.9426347660565082</v>
      </c>
      <c r="N333">
        <v>0</v>
      </c>
      <c r="O333">
        <v>0</v>
      </c>
      <c r="P333">
        <f t="shared" ca="1" si="16"/>
        <v>2.4519667119858646E-2</v>
      </c>
      <c r="Q333">
        <f t="shared" si="17"/>
        <v>1</v>
      </c>
    </row>
    <row r="334" spans="1:17" x14ac:dyDescent="0.3">
      <c r="A334" t="s">
        <v>287</v>
      </c>
      <c r="B334" t="s">
        <v>65</v>
      </c>
      <c r="C334">
        <v>5</v>
      </c>
      <c r="D334">
        <v>39200</v>
      </c>
      <c r="E334" t="s">
        <v>66</v>
      </c>
      <c r="F334">
        <v>17</v>
      </c>
      <c r="G334">
        <v>12.8</v>
      </c>
      <c r="H334">
        <v>0</v>
      </c>
      <c r="I334">
        <v>0</v>
      </c>
      <c r="J334">
        <f>1</f>
        <v>1</v>
      </c>
      <c r="K334">
        <v>1</v>
      </c>
      <c r="L334">
        <v>0</v>
      </c>
      <c r="M334">
        <f t="shared" ca="1" si="15"/>
        <v>0.72659452205668418</v>
      </c>
      <c r="N334">
        <v>0</v>
      </c>
      <c r="O334">
        <v>0</v>
      </c>
      <c r="P334">
        <f t="shared" ca="1" si="16"/>
        <v>0.32865889881154375</v>
      </c>
      <c r="Q334">
        <f t="shared" si="17"/>
        <v>1</v>
      </c>
    </row>
    <row r="335" spans="1:17" x14ac:dyDescent="0.3">
      <c r="A335" t="s">
        <v>865</v>
      </c>
      <c r="B335" t="s">
        <v>64</v>
      </c>
      <c r="C335">
        <v>6</v>
      </c>
      <c r="D335">
        <v>51800</v>
      </c>
      <c r="E335" t="s">
        <v>1146</v>
      </c>
      <c r="F335">
        <v>3</v>
      </c>
      <c r="G335">
        <v>3.4</v>
      </c>
      <c r="H335">
        <v>1200</v>
      </c>
      <c r="I335">
        <v>1</v>
      </c>
      <c r="J335">
        <f>1</f>
        <v>1</v>
      </c>
      <c r="K335">
        <v>1</v>
      </c>
      <c r="L335">
        <v>0</v>
      </c>
      <c r="M335">
        <f t="shared" ca="1" si="15"/>
        <v>0.35655138875488412</v>
      </c>
      <c r="N335">
        <v>0</v>
      </c>
      <c r="O335">
        <v>0</v>
      </c>
      <c r="P335">
        <f t="shared" ca="1" si="16"/>
        <v>0.71555746849761093</v>
      </c>
      <c r="Q335">
        <f t="shared" si="17"/>
        <v>1</v>
      </c>
    </row>
    <row r="336" spans="1:17" x14ac:dyDescent="0.3">
      <c r="A336" t="s">
        <v>924</v>
      </c>
      <c r="B336" t="s">
        <v>64</v>
      </c>
      <c r="C336">
        <v>9</v>
      </c>
      <c r="D336">
        <v>24600</v>
      </c>
      <c r="E336" t="s">
        <v>1146</v>
      </c>
      <c r="F336">
        <v>2</v>
      </c>
      <c r="G336">
        <v>3.6</v>
      </c>
      <c r="H336">
        <v>9100</v>
      </c>
      <c r="I336">
        <v>1</v>
      </c>
      <c r="J336">
        <f>1</f>
        <v>1</v>
      </c>
      <c r="K336">
        <v>1</v>
      </c>
      <c r="L336">
        <v>0</v>
      </c>
      <c r="M336">
        <f t="shared" ca="1" si="15"/>
        <v>0.39965533673193498</v>
      </c>
      <c r="N336">
        <v>0</v>
      </c>
      <c r="O336">
        <v>0</v>
      </c>
      <c r="P336">
        <f t="shared" ca="1" si="16"/>
        <v>0.48579506465955724</v>
      </c>
      <c r="Q336">
        <f t="shared" si="17"/>
        <v>1</v>
      </c>
    </row>
    <row r="337" spans="1:17" x14ac:dyDescent="0.3">
      <c r="A337" t="s">
        <v>634</v>
      </c>
      <c r="B337" t="s">
        <v>65</v>
      </c>
      <c r="C337">
        <v>7</v>
      </c>
      <c r="D337">
        <v>32800</v>
      </c>
      <c r="E337" t="s">
        <v>1146</v>
      </c>
      <c r="F337">
        <v>0</v>
      </c>
      <c r="G337">
        <v>9.1999999999999993</v>
      </c>
      <c r="H337">
        <v>7100</v>
      </c>
      <c r="I337">
        <v>1</v>
      </c>
      <c r="J337">
        <f>1</f>
        <v>1</v>
      </c>
      <c r="K337">
        <v>1</v>
      </c>
      <c r="L337">
        <v>0</v>
      </c>
      <c r="M337">
        <f t="shared" ca="1" si="15"/>
        <v>0.85482420856444175</v>
      </c>
      <c r="N337">
        <v>0</v>
      </c>
      <c r="O337">
        <v>0</v>
      </c>
      <c r="P337">
        <f t="shared" ca="1" si="16"/>
        <v>0.78163264097429852</v>
      </c>
      <c r="Q337">
        <f t="shared" si="17"/>
        <v>1</v>
      </c>
    </row>
    <row r="338" spans="1:17" x14ac:dyDescent="0.3">
      <c r="A338" t="s">
        <v>585</v>
      </c>
      <c r="B338" t="s">
        <v>65</v>
      </c>
      <c r="C338">
        <v>1</v>
      </c>
      <c r="D338">
        <v>25100</v>
      </c>
      <c r="E338" t="s">
        <v>67</v>
      </c>
      <c r="F338">
        <v>53</v>
      </c>
      <c r="G338">
        <v>7.2</v>
      </c>
      <c r="H338">
        <v>2600</v>
      </c>
      <c r="I338">
        <v>0</v>
      </c>
      <c r="J338">
        <f>1</f>
        <v>1</v>
      </c>
      <c r="K338">
        <v>1</v>
      </c>
      <c r="L338">
        <v>0</v>
      </c>
      <c r="M338">
        <f t="shared" ca="1" si="15"/>
        <v>0.8863543648915635</v>
      </c>
      <c r="N338">
        <v>0</v>
      </c>
      <c r="O338">
        <v>0</v>
      </c>
      <c r="P338">
        <f t="shared" ca="1" si="16"/>
        <v>0.13995705502034672</v>
      </c>
      <c r="Q338">
        <f t="shared" si="17"/>
        <v>1</v>
      </c>
    </row>
    <row r="339" spans="1:17" x14ac:dyDescent="0.3">
      <c r="A339" t="s">
        <v>942</v>
      </c>
      <c r="B339" t="s">
        <v>65</v>
      </c>
      <c r="C339">
        <v>5</v>
      </c>
      <c r="D339">
        <v>37100</v>
      </c>
      <c r="E339" t="s">
        <v>1146</v>
      </c>
      <c r="F339">
        <v>4</v>
      </c>
      <c r="G339">
        <v>11.2</v>
      </c>
      <c r="H339">
        <v>9600</v>
      </c>
      <c r="I339">
        <v>1</v>
      </c>
      <c r="J339">
        <f>1</f>
        <v>1</v>
      </c>
      <c r="K339">
        <v>1</v>
      </c>
      <c r="L339">
        <v>0</v>
      </c>
      <c r="M339">
        <f t="shared" ca="1" si="15"/>
        <v>0.68998053056452957</v>
      </c>
      <c r="N339">
        <v>0</v>
      </c>
      <c r="O339">
        <v>0</v>
      </c>
      <c r="P339">
        <f t="shared" ca="1" si="16"/>
        <v>0.58809147793787619</v>
      </c>
      <c r="Q339">
        <f t="shared" si="17"/>
        <v>1</v>
      </c>
    </row>
    <row r="340" spans="1:17" x14ac:dyDescent="0.3">
      <c r="A340" t="s">
        <v>606</v>
      </c>
      <c r="B340" t="s">
        <v>65</v>
      </c>
      <c r="C340">
        <v>7</v>
      </c>
      <c r="D340">
        <v>43100</v>
      </c>
      <c r="E340" t="s">
        <v>69</v>
      </c>
      <c r="F340">
        <v>25</v>
      </c>
      <c r="G340">
        <v>4.5999999999999996</v>
      </c>
      <c r="H340">
        <v>12500</v>
      </c>
      <c r="I340">
        <v>0</v>
      </c>
      <c r="J340">
        <f>1</f>
        <v>1</v>
      </c>
      <c r="K340">
        <v>1</v>
      </c>
      <c r="L340">
        <v>0</v>
      </c>
      <c r="M340">
        <f t="shared" ca="1" si="15"/>
        <v>0.63892554381280142</v>
      </c>
      <c r="N340">
        <v>0</v>
      </c>
      <c r="O340">
        <v>0</v>
      </c>
      <c r="P340">
        <f t="shared" ca="1" si="16"/>
        <v>0.84322045759400832</v>
      </c>
      <c r="Q340">
        <f t="shared" si="17"/>
        <v>1</v>
      </c>
    </row>
    <row r="341" spans="1:17" x14ac:dyDescent="0.3">
      <c r="A341" t="s">
        <v>808</v>
      </c>
      <c r="B341" t="s">
        <v>513</v>
      </c>
      <c r="C341">
        <v>6</v>
      </c>
      <c r="D341">
        <v>55700</v>
      </c>
      <c r="E341" t="s">
        <v>1146</v>
      </c>
      <c r="F341">
        <v>0</v>
      </c>
      <c r="G341">
        <v>5</v>
      </c>
      <c r="H341">
        <v>3900</v>
      </c>
      <c r="I341">
        <v>1</v>
      </c>
      <c r="J341">
        <f>1</f>
        <v>1</v>
      </c>
      <c r="K341">
        <v>1</v>
      </c>
      <c r="L341">
        <v>0</v>
      </c>
      <c r="M341">
        <f t="shared" ca="1" si="15"/>
        <v>0.64763169993337566</v>
      </c>
      <c r="N341">
        <v>0</v>
      </c>
      <c r="O341">
        <v>0</v>
      </c>
      <c r="P341">
        <f t="shared" ca="1" si="16"/>
        <v>0.87039465247087355</v>
      </c>
      <c r="Q341">
        <f t="shared" si="17"/>
        <v>1</v>
      </c>
    </row>
    <row r="342" spans="1:17" x14ac:dyDescent="0.3">
      <c r="A342" t="s">
        <v>819</v>
      </c>
      <c r="B342" t="s">
        <v>64</v>
      </c>
      <c r="C342">
        <v>3</v>
      </c>
      <c r="D342">
        <v>66000</v>
      </c>
      <c r="E342" t="s">
        <v>1146</v>
      </c>
      <c r="F342">
        <v>4</v>
      </c>
      <c r="G342">
        <v>6.2</v>
      </c>
      <c r="H342">
        <v>9200</v>
      </c>
      <c r="I342">
        <v>1</v>
      </c>
      <c r="J342">
        <f>1</f>
        <v>1</v>
      </c>
      <c r="K342">
        <v>1</v>
      </c>
      <c r="L342">
        <v>0</v>
      </c>
      <c r="M342">
        <f t="shared" ca="1" si="15"/>
        <v>3.6470189610489867E-2</v>
      </c>
      <c r="N342">
        <v>0</v>
      </c>
      <c r="O342">
        <v>0</v>
      </c>
      <c r="P342">
        <f t="shared" ca="1" si="16"/>
        <v>0.61639853952471058</v>
      </c>
      <c r="Q342">
        <f t="shared" si="17"/>
        <v>1</v>
      </c>
    </row>
    <row r="343" spans="1:17" x14ac:dyDescent="0.3">
      <c r="A343" t="s">
        <v>481</v>
      </c>
      <c r="B343" t="s">
        <v>513</v>
      </c>
      <c r="C343">
        <v>5</v>
      </c>
      <c r="D343">
        <v>65200</v>
      </c>
      <c r="E343" t="s">
        <v>69</v>
      </c>
      <c r="F343">
        <v>20</v>
      </c>
      <c r="G343">
        <v>5</v>
      </c>
      <c r="H343">
        <v>4200</v>
      </c>
      <c r="I343">
        <v>0</v>
      </c>
      <c r="J343">
        <f>1</f>
        <v>1</v>
      </c>
      <c r="K343">
        <v>1</v>
      </c>
      <c r="L343">
        <v>0</v>
      </c>
      <c r="M343">
        <f t="shared" ca="1" si="15"/>
        <v>0.39278587759950145</v>
      </c>
      <c r="N343">
        <v>0</v>
      </c>
      <c r="O343">
        <v>0</v>
      </c>
      <c r="P343">
        <f t="shared" ca="1" si="16"/>
        <v>0.37087843245658225</v>
      </c>
      <c r="Q343">
        <f t="shared" si="17"/>
        <v>1</v>
      </c>
    </row>
    <row r="344" spans="1:17" x14ac:dyDescent="0.3">
      <c r="A344" t="s">
        <v>207</v>
      </c>
      <c r="B344" t="s">
        <v>65</v>
      </c>
      <c r="C344">
        <v>2</v>
      </c>
      <c r="D344">
        <v>12400</v>
      </c>
      <c r="E344" t="s">
        <v>66</v>
      </c>
      <c r="F344">
        <v>32</v>
      </c>
      <c r="G344">
        <v>12.8</v>
      </c>
      <c r="H344">
        <v>2900</v>
      </c>
      <c r="I344">
        <v>0</v>
      </c>
      <c r="J344">
        <f>1</f>
        <v>1</v>
      </c>
      <c r="K344">
        <v>1</v>
      </c>
      <c r="L344">
        <v>0</v>
      </c>
      <c r="M344">
        <f t="shared" ca="1" si="15"/>
        <v>1.0858611464186096E-2</v>
      </c>
      <c r="N344">
        <v>0</v>
      </c>
      <c r="O344">
        <v>0</v>
      </c>
      <c r="P344">
        <f t="shared" ca="1" si="16"/>
        <v>0.44781309746574305</v>
      </c>
      <c r="Q344">
        <f t="shared" si="17"/>
        <v>1</v>
      </c>
    </row>
    <row r="345" spans="1:17" x14ac:dyDescent="0.3">
      <c r="A345" t="s">
        <v>806</v>
      </c>
      <c r="B345" t="s">
        <v>64</v>
      </c>
      <c r="C345">
        <v>2</v>
      </c>
      <c r="D345">
        <v>18400</v>
      </c>
      <c r="E345" t="s">
        <v>1146</v>
      </c>
      <c r="F345">
        <v>4</v>
      </c>
      <c r="G345">
        <v>5</v>
      </c>
      <c r="H345">
        <v>0</v>
      </c>
      <c r="I345">
        <v>1</v>
      </c>
      <c r="J345">
        <f>1</f>
        <v>1</v>
      </c>
      <c r="K345">
        <v>1</v>
      </c>
      <c r="L345">
        <v>0</v>
      </c>
      <c r="M345">
        <f t="shared" ca="1" si="15"/>
        <v>0.57713949644667206</v>
      </c>
      <c r="N345">
        <v>0</v>
      </c>
      <c r="O345">
        <v>0</v>
      </c>
      <c r="P345">
        <f t="shared" ca="1" si="16"/>
        <v>0.55761862016239561</v>
      </c>
      <c r="Q345">
        <f t="shared" si="17"/>
        <v>1</v>
      </c>
    </row>
    <row r="346" spans="1:17" x14ac:dyDescent="0.3">
      <c r="A346" t="s">
        <v>452</v>
      </c>
      <c r="B346" t="s">
        <v>65</v>
      </c>
      <c r="C346">
        <v>8</v>
      </c>
      <c r="D346">
        <v>37000</v>
      </c>
      <c r="E346" t="s">
        <v>67</v>
      </c>
      <c r="F346">
        <v>71</v>
      </c>
      <c r="G346">
        <v>10</v>
      </c>
      <c r="H346">
        <v>3700</v>
      </c>
      <c r="I346">
        <v>0</v>
      </c>
      <c r="J346">
        <f>1</f>
        <v>1</v>
      </c>
      <c r="K346">
        <v>1</v>
      </c>
      <c r="L346">
        <v>0</v>
      </c>
      <c r="M346">
        <f t="shared" ca="1" si="15"/>
        <v>0.50850087227736529</v>
      </c>
      <c r="N346">
        <v>0</v>
      </c>
      <c r="O346">
        <v>0</v>
      </c>
      <c r="P346">
        <f t="shared" ca="1" si="16"/>
        <v>0.21336255628923506</v>
      </c>
      <c r="Q346">
        <f t="shared" si="17"/>
        <v>1</v>
      </c>
    </row>
    <row r="347" spans="1:17" x14ac:dyDescent="0.3">
      <c r="A347" t="s">
        <v>866</v>
      </c>
      <c r="B347" t="s">
        <v>65</v>
      </c>
      <c r="C347">
        <v>8</v>
      </c>
      <c r="D347">
        <v>8800</v>
      </c>
      <c r="E347" t="s">
        <v>1146</v>
      </c>
      <c r="F347">
        <v>5</v>
      </c>
      <c r="G347">
        <v>0.8</v>
      </c>
      <c r="H347">
        <v>7300</v>
      </c>
      <c r="I347">
        <v>1</v>
      </c>
      <c r="J347">
        <f>1</f>
        <v>1</v>
      </c>
      <c r="K347">
        <v>1</v>
      </c>
      <c r="L347">
        <v>0</v>
      </c>
      <c r="M347">
        <f t="shared" ca="1" si="15"/>
        <v>0.93704477035941469</v>
      </c>
      <c r="N347">
        <v>0</v>
      </c>
      <c r="O347">
        <v>0</v>
      </c>
      <c r="P347">
        <f t="shared" ca="1" si="16"/>
        <v>0.95362964589160426</v>
      </c>
      <c r="Q347">
        <f t="shared" si="17"/>
        <v>1</v>
      </c>
    </row>
    <row r="348" spans="1:17" x14ac:dyDescent="0.3">
      <c r="A348" t="s">
        <v>926</v>
      </c>
      <c r="B348" t="s">
        <v>513</v>
      </c>
      <c r="C348">
        <v>3</v>
      </c>
      <c r="D348">
        <v>25000</v>
      </c>
      <c r="E348" t="s">
        <v>1146</v>
      </c>
      <c r="F348">
        <v>10</v>
      </c>
      <c r="G348">
        <v>10.6</v>
      </c>
      <c r="H348">
        <v>7000</v>
      </c>
      <c r="I348">
        <v>1</v>
      </c>
      <c r="J348">
        <f>1</f>
        <v>1</v>
      </c>
      <c r="K348">
        <v>1</v>
      </c>
      <c r="L348">
        <v>0</v>
      </c>
      <c r="M348">
        <f t="shared" ca="1" si="15"/>
        <v>0.96756001865150043</v>
      </c>
      <c r="N348">
        <v>0</v>
      </c>
      <c r="O348">
        <v>0</v>
      </c>
      <c r="P348">
        <f t="shared" ca="1" si="16"/>
        <v>0.76749888287600732</v>
      </c>
      <c r="Q348">
        <f t="shared" si="17"/>
        <v>1</v>
      </c>
    </row>
    <row r="349" spans="1:17" x14ac:dyDescent="0.3">
      <c r="A349" t="s">
        <v>1004</v>
      </c>
      <c r="B349" t="s">
        <v>65</v>
      </c>
      <c r="C349">
        <v>7</v>
      </c>
      <c r="D349">
        <v>32800</v>
      </c>
      <c r="E349" t="s">
        <v>1146</v>
      </c>
      <c r="F349">
        <v>1</v>
      </c>
      <c r="G349">
        <v>13.9</v>
      </c>
      <c r="H349">
        <v>2200</v>
      </c>
      <c r="I349">
        <v>1</v>
      </c>
      <c r="J349">
        <f>1</f>
        <v>1</v>
      </c>
      <c r="K349">
        <v>1</v>
      </c>
      <c r="L349">
        <v>0</v>
      </c>
      <c r="M349">
        <f t="shared" ca="1" si="15"/>
        <v>0.96528473724447994</v>
      </c>
      <c r="N349">
        <v>0</v>
      </c>
      <c r="O349">
        <v>0</v>
      </c>
      <c r="P349">
        <f t="shared" ca="1" si="16"/>
        <v>0.78649139014780023</v>
      </c>
      <c r="Q349">
        <f t="shared" si="17"/>
        <v>1</v>
      </c>
    </row>
    <row r="350" spans="1:17" x14ac:dyDescent="0.3">
      <c r="A350" t="s">
        <v>887</v>
      </c>
      <c r="B350" t="s">
        <v>513</v>
      </c>
      <c r="C350">
        <v>5</v>
      </c>
      <c r="D350">
        <v>15000</v>
      </c>
      <c r="E350" t="s">
        <v>66</v>
      </c>
      <c r="F350">
        <v>18</v>
      </c>
      <c r="G350">
        <v>9.6</v>
      </c>
      <c r="H350">
        <v>4800</v>
      </c>
      <c r="I350">
        <v>1</v>
      </c>
      <c r="J350">
        <f>1</f>
        <v>1</v>
      </c>
      <c r="K350">
        <v>1</v>
      </c>
      <c r="L350">
        <v>0</v>
      </c>
      <c r="M350">
        <f t="shared" ca="1" si="15"/>
        <v>0.91296898095131152</v>
      </c>
      <c r="N350">
        <v>0</v>
      </c>
      <c r="O350">
        <v>0</v>
      </c>
      <c r="P350">
        <f t="shared" ca="1" si="16"/>
        <v>0.10919601317500793</v>
      </c>
      <c r="Q350">
        <f t="shared" si="17"/>
        <v>1</v>
      </c>
    </row>
    <row r="351" spans="1:17" x14ac:dyDescent="0.3">
      <c r="A351" t="s">
        <v>867</v>
      </c>
      <c r="B351" t="s">
        <v>62</v>
      </c>
      <c r="C351">
        <v>4</v>
      </c>
      <c r="D351">
        <v>49800</v>
      </c>
      <c r="E351" t="s">
        <v>1146</v>
      </c>
      <c r="F351">
        <v>6</v>
      </c>
      <c r="G351">
        <v>6.5</v>
      </c>
      <c r="H351">
        <v>10000</v>
      </c>
      <c r="I351">
        <v>1</v>
      </c>
      <c r="J351">
        <f>1</f>
        <v>1</v>
      </c>
      <c r="K351">
        <v>1</v>
      </c>
      <c r="L351">
        <v>0</v>
      </c>
      <c r="M351">
        <f t="shared" ca="1" si="15"/>
        <v>6.1911191655620978E-2</v>
      </c>
      <c r="N351">
        <v>0</v>
      </c>
      <c r="O351">
        <v>0</v>
      </c>
      <c r="P351">
        <f t="shared" ca="1" si="16"/>
        <v>0.4743650365552694</v>
      </c>
      <c r="Q351">
        <f t="shared" si="17"/>
        <v>1</v>
      </c>
    </row>
    <row r="352" spans="1:17" x14ac:dyDescent="0.3">
      <c r="A352" t="s">
        <v>625</v>
      </c>
      <c r="B352" t="s">
        <v>513</v>
      </c>
      <c r="C352">
        <v>8</v>
      </c>
      <c r="D352">
        <v>86500</v>
      </c>
      <c r="E352" t="s">
        <v>67</v>
      </c>
      <c r="F352">
        <v>71</v>
      </c>
      <c r="G352">
        <v>12.5</v>
      </c>
      <c r="H352">
        <v>5700</v>
      </c>
      <c r="I352">
        <v>0</v>
      </c>
      <c r="J352">
        <f>1</f>
        <v>1</v>
      </c>
      <c r="K352">
        <v>1</v>
      </c>
      <c r="L352">
        <v>0</v>
      </c>
      <c r="M352">
        <f t="shared" ca="1" si="15"/>
        <v>0.45419597919167076</v>
      </c>
      <c r="N352">
        <v>0</v>
      </c>
      <c r="O352">
        <v>0</v>
      </c>
      <c r="P352">
        <f t="shared" ca="1" si="16"/>
        <v>0.45400025807737454</v>
      </c>
      <c r="Q352">
        <f t="shared" si="17"/>
        <v>1</v>
      </c>
    </row>
    <row r="353" spans="1:17" x14ac:dyDescent="0.3">
      <c r="A353" t="s">
        <v>1083</v>
      </c>
      <c r="B353" t="s">
        <v>62</v>
      </c>
      <c r="C353">
        <v>6</v>
      </c>
      <c r="D353">
        <v>96700</v>
      </c>
      <c r="E353" t="s">
        <v>1146</v>
      </c>
      <c r="F353">
        <v>5</v>
      </c>
      <c r="G353">
        <v>5.8</v>
      </c>
      <c r="H353">
        <v>5300</v>
      </c>
      <c r="I353">
        <v>1</v>
      </c>
      <c r="J353">
        <f>1</f>
        <v>1</v>
      </c>
      <c r="K353">
        <v>1</v>
      </c>
      <c r="L353">
        <v>0</v>
      </c>
      <c r="M353">
        <f t="shared" ca="1" si="15"/>
        <v>0.66985040936865325</v>
      </c>
      <c r="N353">
        <v>0</v>
      </c>
      <c r="O353">
        <v>0</v>
      </c>
      <c r="P353">
        <f t="shared" ca="1" si="16"/>
        <v>0.69079941896503227</v>
      </c>
      <c r="Q353">
        <f t="shared" si="17"/>
        <v>1</v>
      </c>
    </row>
    <row r="354" spans="1:17" x14ac:dyDescent="0.3">
      <c r="A354" t="s">
        <v>1108</v>
      </c>
      <c r="B354" t="s">
        <v>64</v>
      </c>
      <c r="C354">
        <v>7</v>
      </c>
      <c r="D354">
        <v>35400</v>
      </c>
      <c r="E354" t="s">
        <v>1146</v>
      </c>
      <c r="F354">
        <v>2</v>
      </c>
      <c r="G354">
        <v>8.6999999999999993</v>
      </c>
      <c r="H354">
        <v>6700</v>
      </c>
      <c r="I354">
        <v>1</v>
      </c>
      <c r="J354">
        <f>1</f>
        <v>1</v>
      </c>
      <c r="K354">
        <v>1</v>
      </c>
      <c r="L354">
        <v>0</v>
      </c>
      <c r="M354">
        <f t="shared" ca="1" si="15"/>
        <v>0.67512427718458345</v>
      </c>
      <c r="N354">
        <v>0</v>
      </c>
      <c r="O354">
        <v>0</v>
      </c>
      <c r="P354">
        <f t="shared" ca="1" si="16"/>
        <v>0.14654462718068861</v>
      </c>
      <c r="Q354">
        <f t="shared" si="17"/>
        <v>1</v>
      </c>
    </row>
    <row r="355" spans="1:17" x14ac:dyDescent="0.3">
      <c r="A355" t="s">
        <v>996</v>
      </c>
      <c r="B355" t="s">
        <v>64</v>
      </c>
      <c r="C355">
        <v>5</v>
      </c>
      <c r="D355">
        <v>19600</v>
      </c>
      <c r="E355" t="s">
        <v>1146</v>
      </c>
      <c r="F355">
        <v>1</v>
      </c>
      <c r="G355">
        <v>1.3</v>
      </c>
      <c r="H355">
        <v>6300</v>
      </c>
      <c r="I355">
        <v>1</v>
      </c>
      <c r="J355">
        <f>1</f>
        <v>1</v>
      </c>
      <c r="K355">
        <v>1</v>
      </c>
      <c r="L355">
        <v>0</v>
      </c>
      <c r="M355">
        <f t="shared" ca="1" si="15"/>
        <v>0.91680561275247208</v>
      </c>
      <c r="N355">
        <v>0</v>
      </c>
      <c r="O355">
        <v>0</v>
      </c>
      <c r="P355">
        <f t="shared" ca="1" si="16"/>
        <v>0.69951687837687682</v>
      </c>
      <c r="Q355">
        <f t="shared" si="17"/>
        <v>1</v>
      </c>
    </row>
    <row r="356" spans="1:17" x14ac:dyDescent="0.3">
      <c r="A356" t="s">
        <v>292</v>
      </c>
      <c r="B356" t="s">
        <v>513</v>
      </c>
      <c r="C356">
        <v>1</v>
      </c>
      <c r="D356">
        <v>46200</v>
      </c>
      <c r="E356" t="s">
        <v>68</v>
      </c>
      <c r="F356">
        <v>30</v>
      </c>
      <c r="G356">
        <v>5.9</v>
      </c>
      <c r="H356">
        <v>300</v>
      </c>
      <c r="I356">
        <v>0</v>
      </c>
      <c r="J356">
        <f>1</f>
        <v>1</v>
      </c>
      <c r="K356">
        <v>1</v>
      </c>
      <c r="L356">
        <v>0</v>
      </c>
      <c r="M356">
        <f t="shared" ca="1" si="15"/>
        <v>0.1725398858299011</v>
      </c>
      <c r="N356">
        <v>0</v>
      </c>
      <c r="O356">
        <v>0</v>
      </c>
      <c r="P356">
        <f t="shared" ca="1" si="16"/>
        <v>0.20543178074738977</v>
      </c>
      <c r="Q356">
        <f t="shared" si="17"/>
        <v>1</v>
      </c>
    </row>
    <row r="357" spans="1:17" x14ac:dyDescent="0.3">
      <c r="A357" t="s">
        <v>828</v>
      </c>
      <c r="B357" t="s">
        <v>64</v>
      </c>
      <c r="C357">
        <v>3</v>
      </c>
      <c r="D357">
        <v>23500</v>
      </c>
      <c r="E357" t="s">
        <v>1146</v>
      </c>
      <c r="F357">
        <v>2</v>
      </c>
      <c r="G357">
        <v>6</v>
      </c>
      <c r="H357">
        <v>8900</v>
      </c>
      <c r="I357">
        <v>1</v>
      </c>
      <c r="J357">
        <f>1</f>
        <v>1</v>
      </c>
      <c r="K357">
        <v>1</v>
      </c>
      <c r="L357">
        <v>0</v>
      </c>
      <c r="M357">
        <f t="shared" ca="1" si="15"/>
        <v>0.30261847770788208</v>
      </c>
      <c r="N357">
        <v>0</v>
      </c>
      <c r="O357">
        <v>0</v>
      </c>
      <c r="P357">
        <f t="shared" ca="1" si="16"/>
        <v>0.33206684734778247</v>
      </c>
      <c r="Q357">
        <f t="shared" si="17"/>
        <v>1</v>
      </c>
    </row>
    <row r="358" spans="1:17" x14ac:dyDescent="0.3">
      <c r="A358" t="s">
        <v>150</v>
      </c>
      <c r="B358" t="s">
        <v>62</v>
      </c>
      <c r="C358">
        <v>6</v>
      </c>
      <c r="D358">
        <v>78800</v>
      </c>
      <c r="E358" t="s">
        <v>69</v>
      </c>
      <c r="F358">
        <v>20</v>
      </c>
      <c r="G358">
        <v>8.1999999999999993</v>
      </c>
      <c r="H358">
        <v>8900</v>
      </c>
      <c r="I358">
        <v>0</v>
      </c>
      <c r="J358">
        <f>1</f>
        <v>1</v>
      </c>
      <c r="K358">
        <v>1</v>
      </c>
      <c r="L358">
        <v>0</v>
      </c>
      <c r="M358">
        <f t="shared" ca="1" si="15"/>
        <v>0.70928866711815652</v>
      </c>
      <c r="N358">
        <v>0</v>
      </c>
      <c r="O358">
        <v>0</v>
      </c>
      <c r="P358">
        <f t="shared" ca="1" si="16"/>
        <v>0.89621450200044539</v>
      </c>
      <c r="Q358">
        <f t="shared" si="17"/>
        <v>1</v>
      </c>
    </row>
    <row r="359" spans="1:17" x14ac:dyDescent="0.3">
      <c r="A359" t="s">
        <v>240</v>
      </c>
      <c r="B359" t="s">
        <v>513</v>
      </c>
      <c r="C359">
        <v>4</v>
      </c>
      <c r="D359">
        <v>17400</v>
      </c>
      <c r="E359" t="s">
        <v>67</v>
      </c>
      <c r="F359">
        <v>95</v>
      </c>
      <c r="G359">
        <v>4</v>
      </c>
      <c r="H359">
        <v>7900</v>
      </c>
      <c r="I359">
        <v>0</v>
      </c>
      <c r="J359">
        <f>1</f>
        <v>1</v>
      </c>
      <c r="K359">
        <v>1</v>
      </c>
      <c r="L359">
        <v>0</v>
      </c>
      <c r="M359">
        <f t="shared" ca="1" si="15"/>
        <v>0.56494754438337214</v>
      </c>
      <c r="N359">
        <v>0</v>
      </c>
      <c r="O359">
        <v>0</v>
      </c>
      <c r="P359">
        <f t="shared" ca="1" si="16"/>
        <v>0.69914305392150866</v>
      </c>
      <c r="Q359">
        <f t="shared" si="17"/>
        <v>1</v>
      </c>
    </row>
    <row r="360" spans="1:17" x14ac:dyDescent="0.3">
      <c r="A360" t="s">
        <v>243</v>
      </c>
      <c r="B360" t="s">
        <v>513</v>
      </c>
      <c r="C360">
        <v>6</v>
      </c>
      <c r="D360">
        <v>75300</v>
      </c>
      <c r="E360" t="s">
        <v>69</v>
      </c>
      <c r="F360">
        <v>12</v>
      </c>
      <c r="G360">
        <v>9.1</v>
      </c>
      <c r="H360">
        <v>6800</v>
      </c>
      <c r="I360">
        <v>0</v>
      </c>
      <c r="J360">
        <f>1</f>
        <v>1</v>
      </c>
      <c r="K360">
        <v>1</v>
      </c>
      <c r="L360">
        <v>0</v>
      </c>
      <c r="M360">
        <f t="shared" ca="1" si="15"/>
        <v>0.34850215747542967</v>
      </c>
      <c r="N360">
        <v>0</v>
      </c>
      <c r="O360">
        <v>0</v>
      </c>
      <c r="P360">
        <f t="shared" ca="1" si="16"/>
        <v>0.19972754228578582</v>
      </c>
      <c r="Q360">
        <f t="shared" si="17"/>
        <v>1</v>
      </c>
    </row>
    <row r="361" spans="1:17" x14ac:dyDescent="0.3">
      <c r="A361" t="s">
        <v>533</v>
      </c>
      <c r="B361" t="s">
        <v>513</v>
      </c>
      <c r="C361">
        <v>5</v>
      </c>
      <c r="D361">
        <v>67400</v>
      </c>
      <c r="E361" t="s">
        <v>68</v>
      </c>
      <c r="F361">
        <v>34</v>
      </c>
      <c r="G361">
        <v>1.9</v>
      </c>
      <c r="H361">
        <v>400</v>
      </c>
      <c r="I361">
        <v>0</v>
      </c>
      <c r="J361">
        <f>1</f>
        <v>1</v>
      </c>
      <c r="K361">
        <v>1</v>
      </c>
      <c r="L361">
        <v>0</v>
      </c>
      <c r="M361">
        <f t="shared" ca="1" si="15"/>
        <v>0.3457936740148071</v>
      </c>
      <c r="N361">
        <v>0</v>
      </c>
      <c r="O361">
        <v>0</v>
      </c>
      <c r="P361">
        <f t="shared" ca="1" si="16"/>
        <v>0.35145874885041339</v>
      </c>
      <c r="Q361">
        <f t="shared" si="17"/>
        <v>1</v>
      </c>
    </row>
    <row r="362" spans="1:17" x14ac:dyDescent="0.3">
      <c r="A362" t="s">
        <v>684</v>
      </c>
      <c r="B362" t="s">
        <v>62</v>
      </c>
      <c r="C362">
        <v>7</v>
      </c>
      <c r="D362">
        <v>10900</v>
      </c>
      <c r="E362" t="s">
        <v>1146</v>
      </c>
      <c r="F362">
        <v>10</v>
      </c>
      <c r="G362">
        <v>2.9</v>
      </c>
      <c r="H362">
        <v>0</v>
      </c>
      <c r="I362">
        <v>1</v>
      </c>
      <c r="J362">
        <f>1</f>
        <v>1</v>
      </c>
      <c r="K362">
        <v>1</v>
      </c>
      <c r="L362">
        <v>0</v>
      </c>
      <c r="M362">
        <f t="shared" ca="1" si="15"/>
        <v>0.42678775798169344</v>
      </c>
      <c r="N362">
        <v>0</v>
      </c>
      <c r="O362">
        <v>0</v>
      </c>
      <c r="P362">
        <f t="shared" ca="1" si="16"/>
        <v>0.63774490276659557</v>
      </c>
      <c r="Q362">
        <f t="shared" si="17"/>
        <v>1</v>
      </c>
    </row>
    <row r="363" spans="1:17" x14ac:dyDescent="0.3">
      <c r="A363" t="s">
        <v>599</v>
      </c>
      <c r="B363" t="s">
        <v>65</v>
      </c>
      <c r="C363">
        <v>3</v>
      </c>
      <c r="D363">
        <v>35600</v>
      </c>
      <c r="E363" t="s">
        <v>68</v>
      </c>
      <c r="F363">
        <v>23</v>
      </c>
      <c r="G363">
        <v>4.5</v>
      </c>
      <c r="H363">
        <v>7400</v>
      </c>
      <c r="I363">
        <v>0</v>
      </c>
      <c r="J363">
        <f>1</f>
        <v>1</v>
      </c>
      <c r="K363">
        <v>1</v>
      </c>
      <c r="L363">
        <v>0</v>
      </c>
      <c r="M363">
        <f t="shared" ca="1" si="15"/>
        <v>0.22430011570553654</v>
      </c>
      <c r="N363">
        <v>0</v>
      </c>
      <c r="O363">
        <v>0</v>
      </c>
      <c r="P363">
        <f t="shared" ca="1" si="16"/>
        <v>1.4150926966173039E-2</v>
      </c>
      <c r="Q363">
        <f t="shared" si="17"/>
        <v>1</v>
      </c>
    </row>
    <row r="364" spans="1:17" x14ac:dyDescent="0.3">
      <c r="A364" t="s">
        <v>1038</v>
      </c>
      <c r="B364" t="s">
        <v>64</v>
      </c>
      <c r="C364">
        <v>3</v>
      </c>
      <c r="D364">
        <v>29900</v>
      </c>
      <c r="E364" t="s">
        <v>1146</v>
      </c>
      <c r="F364">
        <v>4</v>
      </c>
      <c r="G364">
        <v>10</v>
      </c>
      <c r="H364">
        <v>8000</v>
      </c>
      <c r="I364">
        <v>1</v>
      </c>
      <c r="J364">
        <f>1</f>
        <v>1</v>
      </c>
      <c r="K364">
        <v>1</v>
      </c>
      <c r="L364">
        <v>0</v>
      </c>
      <c r="M364">
        <f t="shared" ca="1" si="15"/>
        <v>0.52285505270101618</v>
      </c>
      <c r="N364">
        <v>0</v>
      </c>
      <c r="O364">
        <v>0</v>
      </c>
      <c r="P364">
        <f t="shared" ca="1" si="16"/>
        <v>0.67533740320462043</v>
      </c>
      <c r="Q364">
        <f t="shared" si="17"/>
        <v>1</v>
      </c>
    </row>
    <row r="365" spans="1:17" x14ac:dyDescent="0.3">
      <c r="A365" t="s">
        <v>692</v>
      </c>
      <c r="B365" t="s">
        <v>64</v>
      </c>
      <c r="C365">
        <v>5</v>
      </c>
      <c r="D365">
        <v>20500</v>
      </c>
      <c r="E365" t="s">
        <v>1146</v>
      </c>
      <c r="F365">
        <v>1</v>
      </c>
      <c r="G365">
        <v>3.3</v>
      </c>
      <c r="H365">
        <v>4000</v>
      </c>
      <c r="I365">
        <v>1</v>
      </c>
      <c r="J365">
        <f>1</f>
        <v>1</v>
      </c>
      <c r="K365">
        <v>1</v>
      </c>
      <c r="L365">
        <v>0</v>
      </c>
      <c r="M365">
        <f t="shared" ca="1" si="15"/>
        <v>0.59664857210255529</v>
      </c>
      <c r="N365">
        <v>0</v>
      </c>
      <c r="O365">
        <v>0</v>
      </c>
      <c r="P365">
        <f t="shared" ca="1" si="16"/>
        <v>0.20835072046615399</v>
      </c>
      <c r="Q365">
        <f t="shared" si="17"/>
        <v>1</v>
      </c>
    </row>
    <row r="366" spans="1:17" x14ac:dyDescent="0.3">
      <c r="A366" t="s">
        <v>733</v>
      </c>
      <c r="B366" t="s">
        <v>513</v>
      </c>
      <c r="C366">
        <v>9</v>
      </c>
      <c r="D366">
        <v>36800</v>
      </c>
      <c r="E366" t="s">
        <v>1146</v>
      </c>
      <c r="F366">
        <v>4</v>
      </c>
      <c r="G366">
        <v>8.3000000000000007</v>
      </c>
      <c r="H366">
        <v>3800</v>
      </c>
      <c r="I366">
        <v>1</v>
      </c>
      <c r="J366">
        <f>1</f>
        <v>1</v>
      </c>
      <c r="K366">
        <v>1</v>
      </c>
      <c r="L366">
        <v>0</v>
      </c>
      <c r="M366">
        <f t="shared" ca="1" si="15"/>
        <v>0.92665718559430466</v>
      </c>
      <c r="N366">
        <v>0</v>
      </c>
      <c r="O366">
        <v>0</v>
      </c>
      <c r="P366">
        <f t="shared" ca="1" si="16"/>
        <v>0.56354627666162271</v>
      </c>
      <c r="Q366">
        <f t="shared" si="17"/>
        <v>1</v>
      </c>
    </row>
    <row r="367" spans="1:17" x14ac:dyDescent="0.3">
      <c r="A367" t="s">
        <v>311</v>
      </c>
      <c r="B367" t="s">
        <v>62</v>
      </c>
      <c r="C367">
        <v>6</v>
      </c>
      <c r="D367">
        <v>39000</v>
      </c>
      <c r="E367" t="s">
        <v>66</v>
      </c>
      <c r="F367">
        <v>21</v>
      </c>
      <c r="G367">
        <v>6.5</v>
      </c>
      <c r="H367">
        <v>1000</v>
      </c>
      <c r="I367">
        <v>0</v>
      </c>
      <c r="J367">
        <f>1</f>
        <v>1</v>
      </c>
      <c r="K367">
        <v>1</v>
      </c>
      <c r="L367">
        <v>0</v>
      </c>
      <c r="M367">
        <f t="shared" ca="1" si="15"/>
        <v>0.43913661593132369</v>
      </c>
      <c r="N367">
        <v>0</v>
      </c>
      <c r="O367">
        <v>0</v>
      </c>
      <c r="P367">
        <f t="shared" ca="1" si="16"/>
        <v>0.27239861126933751</v>
      </c>
      <c r="Q367">
        <f t="shared" si="17"/>
        <v>1</v>
      </c>
    </row>
    <row r="368" spans="1:17" x14ac:dyDescent="0.3">
      <c r="A368" t="s">
        <v>346</v>
      </c>
      <c r="B368" t="s">
        <v>513</v>
      </c>
      <c r="C368">
        <v>4</v>
      </c>
      <c r="D368">
        <v>59000</v>
      </c>
      <c r="E368" t="s">
        <v>66</v>
      </c>
      <c r="F368">
        <v>61</v>
      </c>
      <c r="G368">
        <v>7.8</v>
      </c>
      <c r="H368">
        <v>11200</v>
      </c>
      <c r="I368">
        <v>0</v>
      </c>
      <c r="J368">
        <f>1</f>
        <v>1</v>
      </c>
      <c r="K368">
        <v>1</v>
      </c>
      <c r="L368">
        <v>0</v>
      </c>
      <c r="M368">
        <f t="shared" ca="1" si="15"/>
        <v>0.15670079846752527</v>
      </c>
      <c r="N368">
        <v>0</v>
      </c>
      <c r="O368">
        <v>0</v>
      </c>
      <c r="P368">
        <f t="shared" ca="1" si="16"/>
        <v>0.54064950662379652</v>
      </c>
      <c r="Q368">
        <f t="shared" si="17"/>
        <v>1</v>
      </c>
    </row>
    <row r="369" spans="1:17" x14ac:dyDescent="0.3">
      <c r="A369" t="s">
        <v>170</v>
      </c>
      <c r="B369" t="s">
        <v>65</v>
      </c>
      <c r="C369">
        <v>3</v>
      </c>
      <c r="D369">
        <v>31400</v>
      </c>
      <c r="E369" t="s">
        <v>67</v>
      </c>
      <c r="F369">
        <v>97</v>
      </c>
      <c r="G369">
        <v>8.1999999999999993</v>
      </c>
      <c r="H369">
        <v>0</v>
      </c>
      <c r="I369">
        <v>0</v>
      </c>
      <c r="J369">
        <f>1</f>
        <v>1</v>
      </c>
      <c r="K369">
        <v>1</v>
      </c>
      <c r="L369">
        <v>0</v>
      </c>
      <c r="M369">
        <f t="shared" ca="1" si="15"/>
        <v>0.3963654737274438</v>
      </c>
      <c r="N369">
        <v>0</v>
      </c>
      <c r="O369">
        <v>0</v>
      </c>
      <c r="P369">
        <f t="shared" ca="1" si="16"/>
        <v>3.1616588713966109E-2</v>
      </c>
      <c r="Q369">
        <f t="shared" si="17"/>
        <v>1</v>
      </c>
    </row>
    <row r="370" spans="1:17" x14ac:dyDescent="0.3">
      <c r="A370" t="s">
        <v>726</v>
      </c>
      <c r="B370" t="s">
        <v>65</v>
      </c>
      <c r="C370">
        <v>7</v>
      </c>
      <c r="D370">
        <v>46500</v>
      </c>
      <c r="E370" t="s">
        <v>1146</v>
      </c>
      <c r="F370">
        <v>6</v>
      </c>
      <c r="G370">
        <v>4.5</v>
      </c>
      <c r="H370">
        <v>7700</v>
      </c>
      <c r="I370">
        <v>1</v>
      </c>
      <c r="J370">
        <f>1</f>
        <v>1</v>
      </c>
      <c r="K370">
        <v>1</v>
      </c>
      <c r="L370">
        <v>0</v>
      </c>
      <c r="M370">
        <f t="shared" ca="1" si="15"/>
        <v>0.36996566245168272</v>
      </c>
      <c r="N370">
        <v>0</v>
      </c>
      <c r="O370">
        <v>0</v>
      </c>
      <c r="P370">
        <f t="shared" ca="1" si="16"/>
        <v>0.85646333862963686</v>
      </c>
      <c r="Q370">
        <f t="shared" si="17"/>
        <v>1</v>
      </c>
    </row>
    <row r="371" spans="1:17" x14ac:dyDescent="0.3">
      <c r="A371" t="s">
        <v>233</v>
      </c>
      <c r="B371" t="s">
        <v>65</v>
      </c>
      <c r="C371">
        <v>4</v>
      </c>
      <c r="D371">
        <v>47000</v>
      </c>
      <c r="E371" t="s">
        <v>68</v>
      </c>
      <c r="F371">
        <v>62</v>
      </c>
      <c r="G371">
        <v>7.3</v>
      </c>
      <c r="H371">
        <v>2100</v>
      </c>
      <c r="I371">
        <v>0</v>
      </c>
      <c r="J371">
        <f>1</f>
        <v>1</v>
      </c>
      <c r="K371">
        <v>1</v>
      </c>
      <c r="L371">
        <v>0</v>
      </c>
      <c r="M371">
        <f t="shared" ca="1" si="15"/>
        <v>0.5134611360897352</v>
      </c>
      <c r="N371">
        <v>0</v>
      </c>
      <c r="O371">
        <v>0</v>
      </c>
      <c r="P371">
        <f t="shared" ca="1" si="16"/>
        <v>0.49340225013227745</v>
      </c>
      <c r="Q371">
        <f t="shared" si="17"/>
        <v>1</v>
      </c>
    </row>
    <row r="372" spans="1:17" x14ac:dyDescent="0.3">
      <c r="A372" t="s">
        <v>702</v>
      </c>
      <c r="B372" t="s">
        <v>64</v>
      </c>
      <c r="C372">
        <v>5</v>
      </c>
      <c r="D372">
        <v>48400</v>
      </c>
      <c r="E372" t="s">
        <v>1146</v>
      </c>
      <c r="F372">
        <v>3</v>
      </c>
      <c r="G372">
        <v>3.4</v>
      </c>
      <c r="H372">
        <v>0</v>
      </c>
      <c r="I372">
        <v>1</v>
      </c>
      <c r="J372">
        <f>1</f>
        <v>1</v>
      </c>
      <c r="K372">
        <v>1</v>
      </c>
      <c r="L372">
        <v>0</v>
      </c>
      <c r="M372">
        <f t="shared" ca="1" si="15"/>
        <v>0.89352749876108195</v>
      </c>
      <c r="N372">
        <v>0</v>
      </c>
      <c r="O372">
        <v>0</v>
      </c>
      <c r="P372">
        <f t="shared" ca="1" si="16"/>
        <v>0.94040073727883378</v>
      </c>
      <c r="Q372">
        <f t="shared" si="17"/>
        <v>1</v>
      </c>
    </row>
    <row r="373" spans="1:17" x14ac:dyDescent="0.3">
      <c r="A373" t="s">
        <v>1119</v>
      </c>
      <c r="B373" t="s">
        <v>513</v>
      </c>
      <c r="C373">
        <v>4</v>
      </c>
      <c r="D373">
        <v>35100</v>
      </c>
      <c r="E373" t="s">
        <v>1146</v>
      </c>
      <c r="F373">
        <v>6</v>
      </c>
      <c r="G373">
        <v>6</v>
      </c>
      <c r="H373">
        <v>9000</v>
      </c>
      <c r="I373">
        <v>1</v>
      </c>
      <c r="J373">
        <f>1</f>
        <v>1</v>
      </c>
      <c r="K373">
        <v>1</v>
      </c>
      <c r="L373">
        <v>0</v>
      </c>
      <c r="M373">
        <f t="shared" ca="1" si="15"/>
        <v>7.6288600685996411E-2</v>
      </c>
      <c r="N373">
        <v>0</v>
      </c>
      <c r="O373">
        <v>0</v>
      </c>
      <c r="P373">
        <f t="shared" ca="1" si="16"/>
        <v>0.44987625491498828</v>
      </c>
      <c r="Q373">
        <f t="shared" si="17"/>
        <v>1</v>
      </c>
    </row>
    <row r="374" spans="1:17" x14ac:dyDescent="0.3">
      <c r="A374" t="s">
        <v>940</v>
      </c>
      <c r="B374" t="s">
        <v>64</v>
      </c>
      <c r="C374">
        <v>3</v>
      </c>
      <c r="D374">
        <v>29800</v>
      </c>
      <c r="E374" t="s">
        <v>1146</v>
      </c>
      <c r="F374">
        <v>4</v>
      </c>
      <c r="G374">
        <v>6.1</v>
      </c>
      <c r="H374">
        <v>0</v>
      </c>
      <c r="I374">
        <v>1</v>
      </c>
      <c r="J374">
        <f>1</f>
        <v>1</v>
      </c>
      <c r="K374">
        <v>1</v>
      </c>
      <c r="L374">
        <v>0</v>
      </c>
      <c r="M374">
        <f t="shared" ca="1" si="15"/>
        <v>0.22562645212246413</v>
      </c>
      <c r="N374">
        <v>0</v>
      </c>
      <c r="O374">
        <v>0</v>
      </c>
      <c r="P374">
        <f t="shared" ca="1" si="16"/>
        <v>0.21468827358988318</v>
      </c>
      <c r="Q374">
        <f t="shared" si="17"/>
        <v>1</v>
      </c>
    </row>
    <row r="375" spans="1:17" x14ac:dyDescent="0.3">
      <c r="A375" t="s">
        <v>366</v>
      </c>
      <c r="B375" t="s">
        <v>62</v>
      </c>
      <c r="C375">
        <v>3</v>
      </c>
      <c r="D375">
        <v>52400</v>
      </c>
      <c r="E375" t="s">
        <v>68</v>
      </c>
      <c r="F375">
        <v>48</v>
      </c>
      <c r="G375">
        <v>9.5</v>
      </c>
      <c r="H375">
        <v>3500</v>
      </c>
      <c r="I375">
        <v>0</v>
      </c>
      <c r="J375">
        <f>1</f>
        <v>1</v>
      </c>
      <c r="K375">
        <v>1</v>
      </c>
      <c r="L375">
        <v>0</v>
      </c>
      <c r="M375">
        <f t="shared" ca="1" si="15"/>
        <v>0.89009417573831651</v>
      </c>
      <c r="N375">
        <v>0</v>
      </c>
      <c r="O375">
        <v>0</v>
      </c>
      <c r="P375">
        <f t="shared" ca="1" si="16"/>
        <v>0.38347147240640089</v>
      </c>
      <c r="Q375">
        <f t="shared" si="17"/>
        <v>1</v>
      </c>
    </row>
    <row r="376" spans="1:17" x14ac:dyDescent="0.3">
      <c r="A376" t="s">
        <v>338</v>
      </c>
      <c r="B376" t="s">
        <v>64</v>
      </c>
      <c r="C376">
        <v>8</v>
      </c>
      <c r="D376">
        <v>44900</v>
      </c>
      <c r="E376" t="s">
        <v>68</v>
      </c>
      <c r="F376">
        <v>63</v>
      </c>
      <c r="G376">
        <v>2.9</v>
      </c>
      <c r="H376">
        <v>2600</v>
      </c>
      <c r="I376">
        <v>0</v>
      </c>
      <c r="J376">
        <f>1</f>
        <v>1</v>
      </c>
      <c r="K376">
        <v>1</v>
      </c>
      <c r="L376">
        <v>0</v>
      </c>
      <c r="M376">
        <f t="shared" ca="1" si="15"/>
        <v>8.4871686904554045E-3</v>
      </c>
      <c r="N376">
        <v>0</v>
      </c>
      <c r="O376">
        <v>0</v>
      </c>
      <c r="P376">
        <f t="shared" ca="1" si="16"/>
        <v>0.54064954173156177</v>
      </c>
      <c r="Q376">
        <f t="shared" si="17"/>
        <v>1</v>
      </c>
    </row>
    <row r="377" spans="1:17" x14ac:dyDescent="0.3">
      <c r="A377" t="s">
        <v>1002</v>
      </c>
      <c r="B377" t="s">
        <v>513</v>
      </c>
      <c r="C377">
        <v>9</v>
      </c>
      <c r="D377">
        <v>18100</v>
      </c>
      <c r="E377" t="s">
        <v>1146</v>
      </c>
      <c r="F377">
        <v>3</v>
      </c>
      <c r="G377">
        <v>7.7</v>
      </c>
      <c r="H377">
        <v>9200</v>
      </c>
      <c r="I377">
        <v>1</v>
      </c>
      <c r="J377">
        <f>1</f>
        <v>1</v>
      </c>
      <c r="K377">
        <v>1</v>
      </c>
      <c r="L377">
        <v>0</v>
      </c>
      <c r="M377">
        <f t="shared" ca="1" si="15"/>
        <v>0.63157069900800145</v>
      </c>
      <c r="N377">
        <v>0</v>
      </c>
      <c r="O377">
        <v>0</v>
      </c>
      <c r="P377">
        <f t="shared" ca="1" si="16"/>
        <v>1.4823483550045147E-2</v>
      </c>
      <c r="Q377">
        <f t="shared" si="17"/>
        <v>1</v>
      </c>
    </row>
    <row r="378" spans="1:17" x14ac:dyDescent="0.3">
      <c r="A378" t="s">
        <v>791</v>
      </c>
      <c r="B378" t="s">
        <v>64</v>
      </c>
      <c r="C378">
        <v>6</v>
      </c>
      <c r="D378">
        <v>76300</v>
      </c>
      <c r="E378" t="s">
        <v>1146</v>
      </c>
      <c r="F378">
        <v>10</v>
      </c>
      <c r="G378">
        <v>2.2000000000000002</v>
      </c>
      <c r="H378">
        <v>0</v>
      </c>
      <c r="I378">
        <v>1</v>
      </c>
      <c r="J378">
        <f>1</f>
        <v>1</v>
      </c>
      <c r="K378">
        <v>1</v>
      </c>
      <c r="L378">
        <v>0</v>
      </c>
      <c r="M378">
        <f t="shared" ca="1" si="15"/>
        <v>0.21126115998635597</v>
      </c>
      <c r="N378">
        <v>0</v>
      </c>
      <c r="O378">
        <v>0</v>
      </c>
      <c r="P378">
        <f t="shared" ca="1" si="16"/>
        <v>0.35977038363640246</v>
      </c>
      <c r="Q378">
        <f t="shared" si="17"/>
        <v>1</v>
      </c>
    </row>
    <row r="379" spans="1:17" x14ac:dyDescent="0.3">
      <c r="A379" t="s">
        <v>475</v>
      </c>
      <c r="B379" t="s">
        <v>64</v>
      </c>
      <c r="C379">
        <v>1</v>
      </c>
      <c r="D379">
        <v>41800</v>
      </c>
      <c r="E379" t="s">
        <v>69</v>
      </c>
      <c r="F379">
        <v>56</v>
      </c>
      <c r="G379">
        <v>11.3</v>
      </c>
      <c r="H379">
        <v>4200</v>
      </c>
      <c r="I379">
        <v>0</v>
      </c>
      <c r="J379">
        <f>1</f>
        <v>1</v>
      </c>
      <c r="K379">
        <v>1</v>
      </c>
      <c r="L379">
        <v>0</v>
      </c>
      <c r="M379">
        <f t="shared" ca="1" si="15"/>
        <v>0.20656935393127807</v>
      </c>
      <c r="N379">
        <v>0</v>
      </c>
      <c r="O379">
        <v>0</v>
      </c>
      <c r="P379">
        <f t="shared" ca="1" si="16"/>
        <v>0.73898117484314163</v>
      </c>
      <c r="Q379">
        <f t="shared" si="17"/>
        <v>1</v>
      </c>
    </row>
    <row r="380" spans="1:17" x14ac:dyDescent="0.3">
      <c r="A380" t="s">
        <v>620</v>
      </c>
      <c r="B380" t="s">
        <v>62</v>
      </c>
      <c r="C380">
        <v>8</v>
      </c>
      <c r="D380">
        <v>32600</v>
      </c>
      <c r="E380" t="s">
        <v>68</v>
      </c>
      <c r="F380">
        <v>32</v>
      </c>
      <c r="G380">
        <v>0.7</v>
      </c>
      <c r="H380">
        <v>9700</v>
      </c>
      <c r="I380">
        <v>0</v>
      </c>
      <c r="J380">
        <f>1</f>
        <v>1</v>
      </c>
      <c r="K380">
        <v>1</v>
      </c>
      <c r="L380">
        <v>0</v>
      </c>
      <c r="M380">
        <f t="shared" ca="1" si="15"/>
        <v>8.1940057027485302E-2</v>
      </c>
      <c r="N380">
        <v>0</v>
      </c>
      <c r="O380">
        <v>0</v>
      </c>
      <c r="P380">
        <f t="shared" ca="1" si="16"/>
        <v>0.25343042001235982</v>
      </c>
      <c r="Q380">
        <f t="shared" si="17"/>
        <v>1</v>
      </c>
    </row>
    <row r="381" spans="1:17" x14ac:dyDescent="0.3">
      <c r="A381" t="s">
        <v>590</v>
      </c>
      <c r="B381" t="s">
        <v>513</v>
      </c>
      <c r="C381">
        <v>5</v>
      </c>
      <c r="D381">
        <v>49700</v>
      </c>
      <c r="E381" t="s">
        <v>66</v>
      </c>
      <c r="F381">
        <v>35</v>
      </c>
      <c r="G381">
        <v>6.3</v>
      </c>
      <c r="H381">
        <v>11900</v>
      </c>
      <c r="I381">
        <v>0</v>
      </c>
      <c r="J381">
        <f>1</f>
        <v>1</v>
      </c>
      <c r="K381">
        <v>1</v>
      </c>
      <c r="L381">
        <v>0</v>
      </c>
      <c r="M381">
        <f t="shared" ca="1" si="15"/>
        <v>0.81036089963276059</v>
      </c>
      <c r="N381">
        <v>0</v>
      </c>
      <c r="O381">
        <v>0</v>
      </c>
      <c r="P381">
        <f t="shared" ca="1" si="16"/>
        <v>0.72080345429291259</v>
      </c>
      <c r="Q381">
        <f t="shared" si="17"/>
        <v>1</v>
      </c>
    </row>
    <row r="382" spans="1:17" x14ac:dyDescent="0.3">
      <c r="A382" t="s">
        <v>209</v>
      </c>
      <c r="B382" t="s">
        <v>64</v>
      </c>
      <c r="C382">
        <v>1</v>
      </c>
      <c r="D382">
        <v>67800</v>
      </c>
      <c r="E382" t="s">
        <v>66</v>
      </c>
      <c r="F382">
        <v>56</v>
      </c>
      <c r="G382">
        <v>11.5</v>
      </c>
      <c r="H382">
        <v>5300</v>
      </c>
      <c r="I382">
        <v>0</v>
      </c>
      <c r="J382">
        <f>1</f>
        <v>1</v>
      </c>
      <c r="K382">
        <v>1</v>
      </c>
      <c r="L382">
        <v>0</v>
      </c>
      <c r="M382">
        <f t="shared" ca="1" si="15"/>
        <v>0.28422360235817334</v>
      </c>
      <c r="N382">
        <v>0</v>
      </c>
      <c r="O382">
        <v>0</v>
      </c>
      <c r="P382">
        <f t="shared" ca="1" si="16"/>
        <v>0.91870563591174459</v>
      </c>
      <c r="Q382">
        <f t="shared" si="17"/>
        <v>1</v>
      </c>
    </row>
    <row r="383" spans="1:17" x14ac:dyDescent="0.3">
      <c r="A383" t="s">
        <v>978</v>
      </c>
      <c r="B383" t="s">
        <v>65</v>
      </c>
      <c r="C383">
        <v>6</v>
      </c>
      <c r="D383">
        <v>25300</v>
      </c>
      <c r="E383" t="s">
        <v>1146</v>
      </c>
      <c r="F383">
        <v>1</v>
      </c>
      <c r="G383">
        <v>6.5</v>
      </c>
      <c r="H383">
        <v>0</v>
      </c>
      <c r="I383">
        <v>1</v>
      </c>
      <c r="J383">
        <f>1</f>
        <v>1</v>
      </c>
      <c r="K383">
        <v>1</v>
      </c>
      <c r="L383">
        <v>0</v>
      </c>
      <c r="M383">
        <f t="shared" ca="1" si="15"/>
        <v>0.92701716427199565</v>
      </c>
      <c r="N383">
        <v>0</v>
      </c>
      <c r="O383">
        <v>0</v>
      </c>
      <c r="P383">
        <f t="shared" ca="1" si="16"/>
        <v>0.10735652148935659</v>
      </c>
      <c r="Q383">
        <f t="shared" si="17"/>
        <v>1</v>
      </c>
    </row>
    <row r="384" spans="1:17" x14ac:dyDescent="0.3">
      <c r="A384" t="s">
        <v>555</v>
      </c>
      <c r="B384" t="s">
        <v>65</v>
      </c>
      <c r="C384">
        <v>7</v>
      </c>
      <c r="D384">
        <v>105500</v>
      </c>
      <c r="E384" t="s">
        <v>68</v>
      </c>
      <c r="F384">
        <v>53</v>
      </c>
      <c r="G384">
        <v>10.5</v>
      </c>
      <c r="H384">
        <v>5000</v>
      </c>
      <c r="I384">
        <v>0</v>
      </c>
      <c r="J384">
        <f>1</f>
        <v>1</v>
      </c>
      <c r="K384">
        <v>1</v>
      </c>
      <c r="L384">
        <v>0</v>
      </c>
      <c r="M384">
        <f t="shared" ca="1" si="15"/>
        <v>0.81481089648356531</v>
      </c>
      <c r="N384">
        <v>0</v>
      </c>
      <c r="O384">
        <v>0</v>
      </c>
      <c r="P384">
        <f t="shared" ca="1" si="16"/>
        <v>0.15963232491611401</v>
      </c>
      <c r="Q384">
        <f t="shared" si="17"/>
        <v>1</v>
      </c>
    </row>
    <row r="385" spans="1:17" x14ac:dyDescent="0.3">
      <c r="A385" t="s">
        <v>905</v>
      </c>
      <c r="B385" t="s">
        <v>65</v>
      </c>
      <c r="C385">
        <v>8</v>
      </c>
      <c r="D385">
        <v>54700</v>
      </c>
      <c r="E385" t="s">
        <v>1146</v>
      </c>
      <c r="F385">
        <v>10</v>
      </c>
      <c r="G385">
        <v>6.2</v>
      </c>
      <c r="H385">
        <v>0</v>
      </c>
      <c r="I385">
        <v>1</v>
      </c>
      <c r="J385">
        <f>1</f>
        <v>1</v>
      </c>
      <c r="K385">
        <v>1</v>
      </c>
      <c r="L385">
        <v>0</v>
      </c>
      <c r="M385">
        <f t="shared" ca="1" si="15"/>
        <v>0.49333271987240557</v>
      </c>
      <c r="N385">
        <v>0</v>
      </c>
      <c r="O385">
        <v>0</v>
      </c>
      <c r="P385">
        <f t="shared" ca="1" si="16"/>
        <v>7.7530035210032877E-2</v>
      </c>
      <c r="Q385">
        <f t="shared" si="17"/>
        <v>1</v>
      </c>
    </row>
    <row r="386" spans="1:17" x14ac:dyDescent="0.3">
      <c r="A386" t="s">
        <v>234</v>
      </c>
      <c r="B386" t="s">
        <v>65</v>
      </c>
      <c r="C386">
        <v>9</v>
      </c>
      <c r="D386">
        <v>29600</v>
      </c>
      <c r="E386" t="s">
        <v>69</v>
      </c>
      <c r="F386">
        <v>58</v>
      </c>
      <c r="G386">
        <v>3.3</v>
      </c>
      <c r="H386">
        <v>7600</v>
      </c>
      <c r="I386">
        <v>0</v>
      </c>
      <c r="J386">
        <f>1</f>
        <v>1</v>
      </c>
      <c r="K386">
        <v>1</v>
      </c>
      <c r="L386">
        <v>0</v>
      </c>
      <c r="M386">
        <f t="shared" ref="M386:M449" ca="1" si="18">RAND()</f>
        <v>0.75679151122394051</v>
      </c>
      <c r="N386">
        <v>0</v>
      </c>
      <c r="O386">
        <v>0</v>
      </c>
      <c r="P386">
        <f t="shared" ref="P386:P449" ca="1" si="19">IF(L386=0,RAND(),"")</f>
        <v>0.24475099376888509</v>
      </c>
      <c r="Q386">
        <f t="shared" si="17"/>
        <v>1</v>
      </c>
    </row>
    <row r="387" spans="1:17" x14ac:dyDescent="0.3">
      <c r="A387" t="s">
        <v>340</v>
      </c>
      <c r="B387" t="s">
        <v>65</v>
      </c>
      <c r="C387">
        <v>2</v>
      </c>
      <c r="D387">
        <v>29400</v>
      </c>
      <c r="E387" t="s">
        <v>68</v>
      </c>
      <c r="F387">
        <v>40</v>
      </c>
      <c r="G387">
        <v>5.4</v>
      </c>
      <c r="H387">
        <v>3000</v>
      </c>
      <c r="I387">
        <v>0</v>
      </c>
      <c r="J387">
        <f>1</f>
        <v>1</v>
      </c>
      <c r="K387">
        <v>1</v>
      </c>
      <c r="L387">
        <v>0</v>
      </c>
      <c r="M387">
        <f t="shared" ca="1" si="18"/>
        <v>0.54219574570995377</v>
      </c>
      <c r="N387">
        <v>0</v>
      </c>
      <c r="O387">
        <v>0</v>
      </c>
      <c r="P387">
        <f t="shared" ca="1" si="19"/>
        <v>0.68208897993224216</v>
      </c>
      <c r="Q387">
        <f t="shared" ref="Q387:Q450" si="20">IF(OR(L387=1,O387=1), 0,1)</f>
        <v>1</v>
      </c>
    </row>
    <row r="388" spans="1:17" x14ac:dyDescent="0.3">
      <c r="A388" t="s">
        <v>1075</v>
      </c>
      <c r="B388" t="s">
        <v>513</v>
      </c>
      <c r="C388">
        <v>8</v>
      </c>
      <c r="D388">
        <v>22000</v>
      </c>
      <c r="E388" t="s">
        <v>1146</v>
      </c>
      <c r="F388">
        <v>6</v>
      </c>
      <c r="G388">
        <v>14</v>
      </c>
      <c r="H388">
        <v>3000</v>
      </c>
      <c r="I388">
        <v>1</v>
      </c>
      <c r="J388">
        <f>1</f>
        <v>1</v>
      </c>
      <c r="K388">
        <v>1</v>
      </c>
      <c r="L388">
        <v>0</v>
      </c>
      <c r="M388">
        <f t="shared" ca="1" si="18"/>
        <v>0.10042446042522457</v>
      </c>
      <c r="N388">
        <v>0</v>
      </c>
      <c r="O388">
        <v>0</v>
      </c>
      <c r="P388">
        <f t="shared" ca="1" si="19"/>
        <v>0.69459974945746572</v>
      </c>
      <c r="Q388">
        <f t="shared" si="20"/>
        <v>1</v>
      </c>
    </row>
    <row r="389" spans="1:17" x14ac:dyDescent="0.3">
      <c r="A389" t="s">
        <v>291</v>
      </c>
      <c r="B389" t="s">
        <v>62</v>
      </c>
      <c r="C389">
        <v>6</v>
      </c>
      <c r="D389">
        <v>37100</v>
      </c>
      <c r="E389" t="s">
        <v>69</v>
      </c>
      <c r="F389">
        <v>35</v>
      </c>
      <c r="G389">
        <v>3.1</v>
      </c>
      <c r="H389">
        <v>3400</v>
      </c>
      <c r="I389">
        <v>0</v>
      </c>
      <c r="J389">
        <f>1</f>
        <v>1</v>
      </c>
      <c r="K389">
        <v>1</v>
      </c>
      <c r="L389">
        <v>0</v>
      </c>
      <c r="M389">
        <f t="shared" ca="1" si="18"/>
        <v>0.70901889380311078</v>
      </c>
      <c r="N389">
        <v>0</v>
      </c>
      <c r="O389">
        <v>0</v>
      </c>
      <c r="P389">
        <f t="shared" ca="1" si="19"/>
        <v>0.9973362719999409</v>
      </c>
      <c r="Q389">
        <f t="shared" si="20"/>
        <v>1</v>
      </c>
    </row>
    <row r="390" spans="1:17" x14ac:dyDescent="0.3">
      <c r="A390" t="s">
        <v>496</v>
      </c>
      <c r="B390" t="s">
        <v>65</v>
      </c>
      <c r="C390">
        <v>10</v>
      </c>
      <c r="D390">
        <v>26100</v>
      </c>
      <c r="E390" t="s">
        <v>69</v>
      </c>
      <c r="F390">
        <v>44</v>
      </c>
      <c r="G390">
        <v>3.2</v>
      </c>
      <c r="H390">
        <v>13100</v>
      </c>
      <c r="I390">
        <v>0</v>
      </c>
      <c r="J390">
        <f>1</f>
        <v>1</v>
      </c>
      <c r="K390">
        <v>1</v>
      </c>
      <c r="L390">
        <v>0</v>
      </c>
      <c r="M390">
        <f t="shared" ca="1" si="18"/>
        <v>0.34586594903471646</v>
      </c>
      <c r="N390">
        <v>0</v>
      </c>
      <c r="O390">
        <v>0</v>
      </c>
      <c r="P390">
        <f t="shared" ca="1" si="19"/>
        <v>0.5477620163944994</v>
      </c>
      <c r="Q390">
        <f t="shared" si="20"/>
        <v>1</v>
      </c>
    </row>
    <row r="391" spans="1:17" x14ac:dyDescent="0.3">
      <c r="A391" t="s">
        <v>732</v>
      </c>
      <c r="B391" t="s">
        <v>513</v>
      </c>
      <c r="C391">
        <v>5</v>
      </c>
      <c r="D391">
        <v>33100</v>
      </c>
      <c r="E391" t="s">
        <v>1146</v>
      </c>
      <c r="F391">
        <v>10</v>
      </c>
      <c r="G391">
        <v>15</v>
      </c>
      <c r="H391">
        <v>7400</v>
      </c>
      <c r="I391">
        <v>1</v>
      </c>
      <c r="J391">
        <f>1</f>
        <v>1</v>
      </c>
      <c r="K391">
        <v>1</v>
      </c>
      <c r="L391">
        <v>0</v>
      </c>
      <c r="M391">
        <f t="shared" ca="1" si="18"/>
        <v>0.33915061784375677</v>
      </c>
      <c r="N391">
        <v>0</v>
      </c>
      <c r="O391">
        <v>0</v>
      </c>
      <c r="P391">
        <f t="shared" ca="1" si="19"/>
        <v>0.46799509785358184</v>
      </c>
      <c r="Q391">
        <f t="shared" si="20"/>
        <v>1</v>
      </c>
    </row>
    <row r="392" spans="1:17" x14ac:dyDescent="0.3">
      <c r="A392" t="s">
        <v>957</v>
      </c>
      <c r="B392" t="s">
        <v>513</v>
      </c>
      <c r="C392">
        <v>9</v>
      </c>
      <c r="D392">
        <v>31500</v>
      </c>
      <c r="E392" t="s">
        <v>1146</v>
      </c>
      <c r="F392">
        <v>8</v>
      </c>
      <c r="G392">
        <v>1.8</v>
      </c>
      <c r="H392">
        <v>6700</v>
      </c>
      <c r="I392">
        <v>1</v>
      </c>
      <c r="J392">
        <f>1</f>
        <v>1</v>
      </c>
      <c r="K392">
        <v>1</v>
      </c>
      <c r="L392">
        <v>0</v>
      </c>
      <c r="M392">
        <f t="shared" ca="1" si="18"/>
        <v>0.99658093899181166</v>
      </c>
      <c r="N392">
        <v>0</v>
      </c>
      <c r="O392">
        <v>0</v>
      </c>
      <c r="P392">
        <f t="shared" ca="1" si="19"/>
        <v>0.88980381606204528</v>
      </c>
      <c r="Q392">
        <f t="shared" si="20"/>
        <v>1</v>
      </c>
    </row>
    <row r="393" spans="1:17" x14ac:dyDescent="0.3">
      <c r="A393" t="s">
        <v>764</v>
      </c>
      <c r="B393" t="s">
        <v>62</v>
      </c>
      <c r="C393">
        <v>9</v>
      </c>
      <c r="D393">
        <v>36500</v>
      </c>
      <c r="E393" t="s">
        <v>1146</v>
      </c>
      <c r="F393">
        <v>0</v>
      </c>
      <c r="G393">
        <v>9.1999999999999993</v>
      </c>
      <c r="H393">
        <v>3400</v>
      </c>
      <c r="I393">
        <v>1</v>
      </c>
      <c r="J393">
        <f>1</f>
        <v>1</v>
      </c>
      <c r="K393">
        <v>1</v>
      </c>
      <c r="L393">
        <v>0</v>
      </c>
      <c r="M393">
        <f t="shared" ca="1" si="18"/>
        <v>0.78727154096254337</v>
      </c>
      <c r="N393">
        <v>0</v>
      </c>
      <c r="O393">
        <v>0</v>
      </c>
      <c r="P393">
        <f t="shared" ca="1" si="19"/>
        <v>0.65400663610515075</v>
      </c>
      <c r="Q393">
        <f t="shared" si="20"/>
        <v>1</v>
      </c>
    </row>
    <row r="394" spans="1:17" x14ac:dyDescent="0.3">
      <c r="A394" t="s">
        <v>222</v>
      </c>
      <c r="B394" t="s">
        <v>62</v>
      </c>
      <c r="C394">
        <v>8</v>
      </c>
      <c r="D394">
        <v>58300</v>
      </c>
      <c r="E394" t="s">
        <v>68</v>
      </c>
      <c r="F394">
        <v>62</v>
      </c>
      <c r="G394">
        <v>7.7</v>
      </c>
      <c r="H394">
        <v>9300</v>
      </c>
      <c r="I394">
        <v>0</v>
      </c>
      <c r="J394">
        <f>1</f>
        <v>1</v>
      </c>
      <c r="K394">
        <v>1</v>
      </c>
      <c r="L394">
        <v>0</v>
      </c>
      <c r="M394">
        <f t="shared" ca="1" si="18"/>
        <v>0.79003420925234968</v>
      </c>
      <c r="N394">
        <v>0</v>
      </c>
      <c r="O394">
        <v>0</v>
      </c>
      <c r="P394">
        <f t="shared" ca="1" si="19"/>
        <v>0.81113699517332183</v>
      </c>
      <c r="Q394">
        <f t="shared" si="20"/>
        <v>1</v>
      </c>
    </row>
    <row r="395" spans="1:17" x14ac:dyDescent="0.3">
      <c r="A395" t="s">
        <v>956</v>
      </c>
      <c r="B395" t="s">
        <v>64</v>
      </c>
      <c r="C395">
        <v>4</v>
      </c>
      <c r="D395">
        <v>57300</v>
      </c>
      <c r="E395" t="s">
        <v>1146</v>
      </c>
      <c r="F395">
        <v>6</v>
      </c>
      <c r="G395">
        <v>11.1</v>
      </c>
      <c r="H395">
        <v>1300</v>
      </c>
      <c r="I395">
        <v>1</v>
      </c>
      <c r="J395">
        <f>1</f>
        <v>1</v>
      </c>
      <c r="K395">
        <v>1</v>
      </c>
      <c r="L395">
        <v>0</v>
      </c>
      <c r="M395">
        <f t="shared" ca="1" si="18"/>
        <v>0.22694591543513498</v>
      </c>
      <c r="N395">
        <v>0</v>
      </c>
      <c r="O395">
        <v>0</v>
      </c>
      <c r="P395">
        <f t="shared" ca="1" si="19"/>
        <v>0.13662888724310052</v>
      </c>
      <c r="Q395">
        <f t="shared" si="20"/>
        <v>1</v>
      </c>
    </row>
    <row r="396" spans="1:17" x14ac:dyDescent="0.3">
      <c r="A396" t="s">
        <v>801</v>
      </c>
      <c r="B396" t="s">
        <v>62</v>
      </c>
      <c r="C396">
        <v>8</v>
      </c>
      <c r="D396">
        <v>60900</v>
      </c>
      <c r="E396" t="s">
        <v>1146</v>
      </c>
      <c r="F396">
        <v>0</v>
      </c>
      <c r="G396">
        <v>4.8</v>
      </c>
      <c r="H396">
        <v>10200</v>
      </c>
      <c r="I396">
        <v>1</v>
      </c>
      <c r="J396">
        <f>1</f>
        <v>1</v>
      </c>
      <c r="K396">
        <v>1</v>
      </c>
      <c r="L396">
        <v>0</v>
      </c>
      <c r="M396">
        <f t="shared" ca="1" si="18"/>
        <v>0.14639295964475296</v>
      </c>
      <c r="N396">
        <v>0</v>
      </c>
      <c r="O396">
        <v>0</v>
      </c>
      <c r="P396">
        <f t="shared" ca="1" si="19"/>
        <v>6.0014953065989918E-4</v>
      </c>
      <c r="Q396">
        <f t="shared" si="20"/>
        <v>1</v>
      </c>
    </row>
    <row r="397" spans="1:17" x14ac:dyDescent="0.3">
      <c r="A397" t="s">
        <v>242</v>
      </c>
      <c r="B397" t="s">
        <v>62</v>
      </c>
      <c r="C397">
        <v>5</v>
      </c>
      <c r="D397">
        <v>49100</v>
      </c>
      <c r="E397" t="s">
        <v>69</v>
      </c>
      <c r="F397">
        <v>45</v>
      </c>
      <c r="G397">
        <v>7.9</v>
      </c>
      <c r="H397">
        <v>2900</v>
      </c>
      <c r="I397">
        <v>0</v>
      </c>
      <c r="J397">
        <f>1</f>
        <v>1</v>
      </c>
      <c r="K397">
        <v>1</v>
      </c>
      <c r="L397">
        <v>0</v>
      </c>
      <c r="M397">
        <f t="shared" ca="1" si="18"/>
        <v>0.30874733024404022</v>
      </c>
      <c r="N397">
        <v>0</v>
      </c>
      <c r="O397">
        <v>0</v>
      </c>
      <c r="P397">
        <f t="shared" ca="1" si="19"/>
        <v>0.54627948708238261</v>
      </c>
      <c r="Q397">
        <f t="shared" si="20"/>
        <v>1</v>
      </c>
    </row>
    <row r="398" spans="1:17" x14ac:dyDescent="0.3">
      <c r="A398" t="s">
        <v>1035</v>
      </c>
      <c r="B398" t="s">
        <v>62</v>
      </c>
      <c r="C398">
        <v>3</v>
      </c>
      <c r="D398">
        <v>19300</v>
      </c>
      <c r="E398" t="s">
        <v>1146</v>
      </c>
      <c r="F398">
        <v>5</v>
      </c>
      <c r="G398">
        <v>8.6999999999999993</v>
      </c>
      <c r="H398">
        <v>7200</v>
      </c>
      <c r="I398">
        <v>1</v>
      </c>
      <c r="J398">
        <f>1</f>
        <v>1</v>
      </c>
      <c r="K398">
        <v>1</v>
      </c>
      <c r="L398">
        <v>0</v>
      </c>
      <c r="M398">
        <f t="shared" ca="1" si="18"/>
        <v>0.98334306545633066</v>
      </c>
      <c r="N398">
        <v>0</v>
      </c>
      <c r="O398">
        <v>0</v>
      </c>
      <c r="P398">
        <f t="shared" ca="1" si="19"/>
        <v>0.44019969886901189</v>
      </c>
      <c r="Q398">
        <f t="shared" si="20"/>
        <v>1</v>
      </c>
    </row>
    <row r="399" spans="1:17" x14ac:dyDescent="0.3">
      <c r="A399" t="s">
        <v>194</v>
      </c>
      <c r="B399" t="s">
        <v>513</v>
      </c>
      <c r="C399">
        <v>3</v>
      </c>
      <c r="D399">
        <v>14800</v>
      </c>
      <c r="E399" t="s">
        <v>66</v>
      </c>
      <c r="F399">
        <v>16</v>
      </c>
      <c r="G399">
        <v>2.2000000000000002</v>
      </c>
      <c r="H399">
        <v>4300</v>
      </c>
      <c r="I399">
        <v>0</v>
      </c>
      <c r="J399">
        <f>1</f>
        <v>1</v>
      </c>
      <c r="K399">
        <v>1</v>
      </c>
      <c r="L399">
        <v>0</v>
      </c>
      <c r="M399">
        <f t="shared" ca="1" si="18"/>
        <v>0.75126538770371698</v>
      </c>
      <c r="N399">
        <v>0</v>
      </c>
      <c r="O399">
        <v>0</v>
      </c>
      <c r="P399">
        <f t="shared" ca="1" si="19"/>
        <v>0.64976342311335977</v>
      </c>
      <c r="Q399">
        <f t="shared" si="20"/>
        <v>1</v>
      </c>
    </row>
    <row r="400" spans="1:17" x14ac:dyDescent="0.3">
      <c r="A400" t="s">
        <v>274</v>
      </c>
      <c r="B400" t="s">
        <v>513</v>
      </c>
      <c r="C400">
        <v>7</v>
      </c>
      <c r="D400">
        <v>114700</v>
      </c>
      <c r="E400" t="s">
        <v>67</v>
      </c>
      <c r="F400">
        <v>88</v>
      </c>
      <c r="G400">
        <v>9.6</v>
      </c>
      <c r="H400">
        <v>13100</v>
      </c>
      <c r="I400">
        <v>0</v>
      </c>
      <c r="J400">
        <f>1</f>
        <v>1</v>
      </c>
      <c r="K400">
        <v>1</v>
      </c>
      <c r="L400">
        <v>0</v>
      </c>
      <c r="M400">
        <f t="shared" ca="1" si="18"/>
        <v>0.42209445255574307</v>
      </c>
      <c r="N400">
        <v>0</v>
      </c>
      <c r="O400">
        <v>0</v>
      </c>
      <c r="P400">
        <f t="shared" ca="1" si="19"/>
        <v>3.9394421760539089E-3</v>
      </c>
      <c r="Q400">
        <f t="shared" si="20"/>
        <v>1</v>
      </c>
    </row>
    <row r="401" spans="1:17" x14ac:dyDescent="0.3">
      <c r="A401" t="s">
        <v>256</v>
      </c>
      <c r="B401" t="s">
        <v>62</v>
      </c>
      <c r="C401">
        <v>8</v>
      </c>
      <c r="D401">
        <v>45600</v>
      </c>
      <c r="E401" t="s">
        <v>69</v>
      </c>
      <c r="F401">
        <v>20</v>
      </c>
      <c r="G401">
        <v>6</v>
      </c>
      <c r="H401">
        <v>0</v>
      </c>
      <c r="I401">
        <v>0</v>
      </c>
      <c r="J401">
        <f>1</f>
        <v>1</v>
      </c>
      <c r="K401">
        <v>1</v>
      </c>
      <c r="L401">
        <v>0</v>
      </c>
      <c r="M401">
        <f t="shared" ca="1" si="18"/>
        <v>0.65239219660218739</v>
      </c>
      <c r="N401">
        <v>0</v>
      </c>
      <c r="O401">
        <v>0</v>
      </c>
      <c r="P401">
        <f t="shared" ca="1" si="19"/>
        <v>0.20320202542751609</v>
      </c>
      <c r="Q401">
        <f t="shared" si="20"/>
        <v>1</v>
      </c>
    </row>
    <row r="402" spans="1:17" x14ac:dyDescent="0.3">
      <c r="A402" t="s">
        <v>168</v>
      </c>
      <c r="B402" t="s">
        <v>65</v>
      </c>
      <c r="C402">
        <v>8</v>
      </c>
      <c r="D402">
        <v>54000</v>
      </c>
      <c r="E402" t="s">
        <v>69</v>
      </c>
      <c r="F402">
        <v>37</v>
      </c>
      <c r="G402">
        <v>12.3</v>
      </c>
      <c r="H402">
        <v>7500</v>
      </c>
      <c r="I402">
        <v>0</v>
      </c>
      <c r="J402">
        <f>1</f>
        <v>1</v>
      </c>
      <c r="K402">
        <v>1</v>
      </c>
      <c r="L402">
        <v>0</v>
      </c>
      <c r="M402">
        <f t="shared" ca="1" si="18"/>
        <v>0.21856404256543704</v>
      </c>
      <c r="N402">
        <v>0</v>
      </c>
      <c r="O402">
        <v>0</v>
      </c>
      <c r="P402">
        <f t="shared" ca="1" si="19"/>
        <v>0.44033254707569813</v>
      </c>
      <c r="Q402">
        <f t="shared" si="20"/>
        <v>1</v>
      </c>
    </row>
    <row r="403" spans="1:17" x14ac:dyDescent="0.3">
      <c r="A403" t="s">
        <v>536</v>
      </c>
      <c r="B403" t="s">
        <v>65</v>
      </c>
      <c r="C403">
        <v>7</v>
      </c>
      <c r="D403">
        <v>78300</v>
      </c>
      <c r="E403" t="s">
        <v>69</v>
      </c>
      <c r="F403">
        <v>59</v>
      </c>
      <c r="G403">
        <v>1.5</v>
      </c>
      <c r="H403">
        <v>400</v>
      </c>
      <c r="I403">
        <v>0</v>
      </c>
      <c r="J403">
        <f>1</f>
        <v>1</v>
      </c>
      <c r="K403">
        <v>1</v>
      </c>
      <c r="L403">
        <v>0</v>
      </c>
      <c r="M403">
        <f t="shared" ca="1" si="18"/>
        <v>0.61908593042342841</v>
      </c>
      <c r="N403">
        <v>0</v>
      </c>
      <c r="O403">
        <v>0</v>
      </c>
      <c r="P403">
        <f t="shared" ca="1" si="19"/>
        <v>0.38399196719666973</v>
      </c>
      <c r="Q403">
        <f t="shared" si="20"/>
        <v>1</v>
      </c>
    </row>
    <row r="404" spans="1:17" x14ac:dyDescent="0.3">
      <c r="A404" t="s">
        <v>999</v>
      </c>
      <c r="B404" t="s">
        <v>513</v>
      </c>
      <c r="C404">
        <v>7</v>
      </c>
      <c r="D404">
        <v>41700</v>
      </c>
      <c r="E404" t="s">
        <v>1146</v>
      </c>
      <c r="F404">
        <v>6</v>
      </c>
      <c r="G404">
        <v>10.199999999999999</v>
      </c>
      <c r="H404">
        <v>4000</v>
      </c>
      <c r="I404">
        <v>1</v>
      </c>
      <c r="J404">
        <f>1</f>
        <v>1</v>
      </c>
      <c r="K404">
        <v>1</v>
      </c>
      <c r="L404">
        <v>0</v>
      </c>
      <c r="M404">
        <f t="shared" ca="1" si="18"/>
        <v>0.849854171412458</v>
      </c>
      <c r="N404">
        <v>0</v>
      </c>
      <c r="O404">
        <v>0</v>
      </c>
      <c r="P404">
        <f t="shared" ca="1" si="19"/>
        <v>0.48593774697887349</v>
      </c>
      <c r="Q404">
        <f t="shared" si="20"/>
        <v>1</v>
      </c>
    </row>
    <row r="405" spans="1:17" x14ac:dyDescent="0.3">
      <c r="A405" t="s">
        <v>678</v>
      </c>
      <c r="B405" t="s">
        <v>513</v>
      </c>
      <c r="C405">
        <v>7</v>
      </c>
      <c r="D405">
        <v>50900</v>
      </c>
      <c r="E405" t="s">
        <v>1146</v>
      </c>
      <c r="F405">
        <v>8</v>
      </c>
      <c r="G405">
        <v>3.8</v>
      </c>
      <c r="H405">
        <v>3700</v>
      </c>
      <c r="I405">
        <v>1</v>
      </c>
      <c r="J405">
        <f>1</f>
        <v>1</v>
      </c>
      <c r="K405">
        <v>1</v>
      </c>
      <c r="L405">
        <v>0</v>
      </c>
      <c r="M405">
        <f t="shared" ca="1" si="18"/>
        <v>0.92561303275447349</v>
      </c>
      <c r="N405">
        <v>0</v>
      </c>
      <c r="O405">
        <v>0</v>
      </c>
      <c r="P405">
        <f t="shared" ca="1" si="19"/>
        <v>0.17935817541366672</v>
      </c>
      <c r="Q405">
        <f t="shared" si="20"/>
        <v>1</v>
      </c>
    </row>
    <row r="406" spans="1:17" x14ac:dyDescent="0.3">
      <c r="A406" t="s">
        <v>278</v>
      </c>
      <c r="B406" t="s">
        <v>65</v>
      </c>
      <c r="C406">
        <v>8</v>
      </c>
      <c r="D406">
        <v>19300</v>
      </c>
      <c r="E406" t="s">
        <v>66</v>
      </c>
      <c r="F406">
        <v>70</v>
      </c>
      <c r="G406">
        <v>9.8000000000000007</v>
      </c>
      <c r="H406">
        <v>10500</v>
      </c>
      <c r="I406">
        <v>0</v>
      </c>
      <c r="J406">
        <f>1</f>
        <v>1</v>
      </c>
      <c r="K406">
        <v>1</v>
      </c>
      <c r="L406">
        <v>0</v>
      </c>
      <c r="M406">
        <f t="shared" ca="1" si="18"/>
        <v>0.89284564866179905</v>
      </c>
      <c r="N406">
        <v>0</v>
      </c>
      <c r="O406">
        <v>0</v>
      </c>
      <c r="P406">
        <f t="shared" ca="1" si="19"/>
        <v>0.85261397630115598</v>
      </c>
      <c r="Q406">
        <f t="shared" si="20"/>
        <v>1</v>
      </c>
    </row>
    <row r="407" spans="1:17" x14ac:dyDescent="0.3">
      <c r="A407" t="s">
        <v>140</v>
      </c>
      <c r="B407" t="s">
        <v>64</v>
      </c>
      <c r="C407">
        <v>3</v>
      </c>
      <c r="D407">
        <v>27300</v>
      </c>
      <c r="E407" t="s">
        <v>68</v>
      </c>
      <c r="F407">
        <v>33</v>
      </c>
      <c r="G407">
        <v>5.0999999999999996</v>
      </c>
      <c r="H407">
        <v>18700</v>
      </c>
      <c r="I407">
        <v>0</v>
      </c>
      <c r="J407">
        <f>1</f>
        <v>1</v>
      </c>
      <c r="K407">
        <v>1</v>
      </c>
      <c r="L407">
        <v>0</v>
      </c>
      <c r="M407">
        <f t="shared" ca="1" si="18"/>
        <v>0.80748566312676517</v>
      </c>
      <c r="N407">
        <v>0</v>
      </c>
      <c r="O407">
        <v>0</v>
      </c>
      <c r="P407">
        <f t="shared" ca="1" si="19"/>
        <v>0.54575437684341754</v>
      </c>
      <c r="Q407">
        <f t="shared" si="20"/>
        <v>1</v>
      </c>
    </row>
    <row r="408" spans="1:17" x14ac:dyDescent="0.3">
      <c r="A408" t="s">
        <v>1109</v>
      </c>
      <c r="B408" t="s">
        <v>513</v>
      </c>
      <c r="C408">
        <v>8</v>
      </c>
      <c r="D408">
        <v>28100</v>
      </c>
      <c r="E408" t="s">
        <v>1146</v>
      </c>
      <c r="F408">
        <v>10</v>
      </c>
      <c r="G408">
        <v>12.5</v>
      </c>
      <c r="H408">
        <v>6500</v>
      </c>
      <c r="I408">
        <v>1</v>
      </c>
      <c r="J408">
        <f>1</f>
        <v>1</v>
      </c>
      <c r="K408">
        <v>1</v>
      </c>
      <c r="L408">
        <v>0</v>
      </c>
      <c r="M408">
        <f t="shared" ca="1" si="18"/>
        <v>0.16826829346641892</v>
      </c>
      <c r="N408">
        <v>0</v>
      </c>
      <c r="O408">
        <v>0</v>
      </c>
      <c r="P408">
        <f t="shared" ca="1" si="19"/>
        <v>0.51114041605690219</v>
      </c>
      <c r="Q408">
        <f t="shared" si="20"/>
        <v>1</v>
      </c>
    </row>
    <row r="409" spans="1:17" x14ac:dyDescent="0.3">
      <c r="A409" t="s">
        <v>1126</v>
      </c>
      <c r="B409" t="s">
        <v>513</v>
      </c>
      <c r="C409">
        <v>6</v>
      </c>
      <c r="D409">
        <v>26800</v>
      </c>
      <c r="E409" t="s">
        <v>1146</v>
      </c>
      <c r="F409">
        <v>9</v>
      </c>
      <c r="G409">
        <v>1.3</v>
      </c>
      <c r="H409">
        <v>7600</v>
      </c>
      <c r="I409">
        <v>1</v>
      </c>
      <c r="J409">
        <f>1</f>
        <v>1</v>
      </c>
      <c r="K409">
        <v>1</v>
      </c>
      <c r="L409">
        <v>0</v>
      </c>
      <c r="M409">
        <f t="shared" ca="1" si="18"/>
        <v>0.65438424708646947</v>
      </c>
      <c r="N409">
        <v>0</v>
      </c>
      <c r="O409">
        <v>0</v>
      </c>
      <c r="P409">
        <f t="shared" ca="1" si="19"/>
        <v>0.3075048732596084</v>
      </c>
      <c r="Q409">
        <f t="shared" si="20"/>
        <v>1</v>
      </c>
    </row>
    <row r="410" spans="1:17" x14ac:dyDescent="0.3">
      <c r="A410" t="s">
        <v>235</v>
      </c>
      <c r="B410" t="s">
        <v>513</v>
      </c>
      <c r="C410">
        <v>7</v>
      </c>
      <c r="D410">
        <v>11900</v>
      </c>
      <c r="E410" t="s">
        <v>66</v>
      </c>
      <c r="F410">
        <v>28</v>
      </c>
      <c r="G410">
        <v>8.6</v>
      </c>
      <c r="H410">
        <v>9600</v>
      </c>
      <c r="I410">
        <v>0</v>
      </c>
      <c r="J410">
        <f>1</f>
        <v>1</v>
      </c>
      <c r="K410">
        <v>1</v>
      </c>
      <c r="L410">
        <v>0</v>
      </c>
      <c r="M410">
        <f t="shared" ca="1" si="18"/>
        <v>0.99765937958929729</v>
      </c>
      <c r="N410">
        <v>0</v>
      </c>
      <c r="O410">
        <v>0</v>
      </c>
      <c r="P410">
        <f t="shared" ca="1" si="19"/>
        <v>0.33247210327042731</v>
      </c>
      <c r="Q410">
        <f t="shared" si="20"/>
        <v>1</v>
      </c>
    </row>
    <row r="411" spans="1:17" x14ac:dyDescent="0.3">
      <c r="A411" t="s">
        <v>891</v>
      </c>
      <c r="B411" t="s">
        <v>65</v>
      </c>
      <c r="C411">
        <v>6</v>
      </c>
      <c r="D411">
        <v>12200</v>
      </c>
      <c r="E411" t="s">
        <v>1146</v>
      </c>
      <c r="F411">
        <v>2</v>
      </c>
      <c r="G411">
        <v>9.1</v>
      </c>
      <c r="H411">
        <v>8300</v>
      </c>
      <c r="I411">
        <v>1</v>
      </c>
      <c r="J411">
        <f>1</f>
        <v>1</v>
      </c>
      <c r="K411">
        <v>1</v>
      </c>
      <c r="L411">
        <v>0</v>
      </c>
      <c r="M411">
        <f t="shared" ca="1" si="18"/>
        <v>0.76476681327621898</v>
      </c>
      <c r="N411">
        <v>0</v>
      </c>
      <c r="O411">
        <v>0</v>
      </c>
      <c r="P411">
        <f t="shared" ca="1" si="19"/>
        <v>0.22072128467764307</v>
      </c>
      <c r="Q411">
        <f t="shared" si="20"/>
        <v>1</v>
      </c>
    </row>
    <row r="412" spans="1:17" x14ac:dyDescent="0.3">
      <c r="A412" t="s">
        <v>712</v>
      </c>
      <c r="B412" t="s">
        <v>64</v>
      </c>
      <c r="C412">
        <v>4</v>
      </c>
      <c r="D412">
        <v>46700</v>
      </c>
      <c r="E412" t="s">
        <v>1146</v>
      </c>
      <c r="F412">
        <v>10</v>
      </c>
      <c r="G412">
        <v>5.5</v>
      </c>
      <c r="H412">
        <v>1300</v>
      </c>
      <c r="I412">
        <v>1</v>
      </c>
      <c r="J412">
        <f>1</f>
        <v>1</v>
      </c>
      <c r="K412">
        <v>1</v>
      </c>
      <c r="L412">
        <v>0</v>
      </c>
      <c r="M412">
        <f t="shared" ca="1" si="18"/>
        <v>0.21984032479475046</v>
      </c>
      <c r="N412">
        <v>0</v>
      </c>
      <c r="O412">
        <v>0</v>
      </c>
      <c r="P412">
        <f t="shared" ca="1" si="19"/>
        <v>0.33199721305047292</v>
      </c>
      <c r="Q412">
        <f t="shared" si="20"/>
        <v>1</v>
      </c>
    </row>
    <row r="413" spans="1:17" x14ac:dyDescent="0.3">
      <c r="A413" t="s">
        <v>319</v>
      </c>
      <c r="B413" t="s">
        <v>62</v>
      </c>
      <c r="C413">
        <v>9</v>
      </c>
      <c r="D413">
        <v>22100</v>
      </c>
      <c r="E413" t="s">
        <v>68</v>
      </c>
      <c r="F413">
        <v>22</v>
      </c>
      <c r="G413">
        <v>7.1</v>
      </c>
      <c r="H413">
        <v>8800</v>
      </c>
      <c r="I413">
        <v>0</v>
      </c>
      <c r="J413">
        <f>1</f>
        <v>1</v>
      </c>
      <c r="K413">
        <v>1</v>
      </c>
      <c r="L413">
        <v>0</v>
      </c>
      <c r="M413">
        <f t="shared" ca="1" si="18"/>
        <v>0.37973541055460369</v>
      </c>
      <c r="N413">
        <v>0</v>
      </c>
      <c r="O413">
        <v>0</v>
      </c>
      <c r="P413">
        <f t="shared" ca="1" si="19"/>
        <v>0.63928461326454344</v>
      </c>
      <c r="Q413">
        <f t="shared" si="20"/>
        <v>1</v>
      </c>
    </row>
    <row r="414" spans="1:17" x14ac:dyDescent="0.3">
      <c r="A414" t="s">
        <v>690</v>
      </c>
      <c r="B414" t="s">
        <v>513</v>
      </c>
      <c r="C414">
        <v>5</v>
      </c>
      <c r="D414">
        <v>34200</v>
      </c>
      <c r="E414" t="s">
        <v>1146</v>
      </c>
      <c r="F414">
        <v>2</v>
      </c>
      <c r="G414">
        <v>5.7</v>
      </c>
      <c r="H414">
        <v>2200</v>
      </c>
      <c r="I414">
        <v>1</v>
      </c>
      <c r="J414">
        <f>1</f>
        <v>1</v>
      </c>
      <c r="K414">
        <v>1</v>
      </c>
      <c r="L414">
        <v>0</v>
      </c>
      <c r="M414">
        <f t="shared" ca="1" si="18"/>
        <v>0.11098466314271671</v>
      </c>
      <c r="N414">
        <v>0</v>
      </c>
      <c r="O414">
        <v>0</v>
      </c>
      <c r="P414">
        <f t="shared" ca="1" si="19"/>
        <v>4.2561469870235791E-2</v>
      </c>
      <c r="Q414">
        <f t="shared" si="20"/>
        <v>1</v>
      </c>
    </row>
    <row r="415" spans="1:17" x14ac:dyDescent="0.3">
      <c r="A415" t="s">
        <v>141</v>
      </c>
      <c r="B415" t="s">
        <v>65</v>
      </c>
      <c r="C415">
        <v>6</v>
      </c>
      <c r="D415">
        <v>72100</v>
      </c>
      <c r="E415" t="s">
        <v>68</v>
      </c>
      <c r="F415">
        <v>53</v>
      </c>
      <c r="G415">
        <v>11.3</v>
      </c>
      <c r="H415">
        <v>8900</v>
      </c>
      <c r="I415">
        <v>0</v>
      </c>
      <c r="J415">
        <f>1</f>
        <v>1</v>
      </c>
      <c r="K415">
        <v>1</v>
      </c>
      <c r="L415">
        <v>0</v>
      </c>
      <c r="M415">
        <f t="shared" ca="1" si="18"/>
        <v>6.7630132977899327E-2</v>
      </c>
      <c r="N415">
        <v>0</v>
      </c>
      <c r="O415">
        <v>0</v>
      </c>
      <c r="P415">
        <f t="shared" ca="1" si="19"/>
        <v>4.035472513503402E-2</v>
      </c>
      <c r="Q415">
        <f t="shared" si="20"/>
        <v>1</v>
      </c>
    </row>
    <row r="416" spans="1:17" x14ac:dyDescent="0.3">
      <c r="A416" t="s">
        <v>847</v>
      </c>
      <c r="B416" t="s">
        <v>513</v>
      </c>
      <c r="C416">
        <v>4</v>
      </c>
      <c r="D416">
        <v>28800</v>
      </c>
      <c r="E416" t="s">
        <v>1146</v>
      </c>
      <c r="F416">
        <v>7</v>
      </c>
      <c r="G416">
        <v>10.6</v>
      </c>
      <c r="H416">
        <v>0</v>
      </c>
      <c r="I416">
        <v>1</v>
      </c>
      <c r="J416">
        <f>1</f>
        <v>1</v>
      </c>
      <c r="K416">
        <v>1</v>
      </c>
      <c r="L416">
        <v>0</v>
      </c>
      <c r="M416">
        <f t="shared" ca="1" si="18"/>
        <v>0.30146426671559312</v>
      </c>
      <c r="N416">
        <v>0</v>
      </c>
      <c r="O416">
        <v>0</v>
      </c>
      <c r="P416">
        <f t="shared" ca="1" si="19"/>
        <v>0.41879128584319458</v>
      </c>
      <c r="Q416">
        <f t="shared" si="20"/>
        <v>1</v>
      </c>
    </row>
    <row r="417" spans="1:17" x14ac:dyDescent="0.3">
      <c r="A417" t="s">
        <v>546</v>
      </c>
      <c r="B417" t="s">
        <v>64</v>
      </c>
      <c r="C417">
        <v>4</v>
      </c>
      <c r="D417">
        <v>32000</v>
      </c>
      <c r="E417" t="s">
        <v>69</v>
      </c>
      <c r="F417">
        <v>25</v>
      </c>
      <c r="G417">
        <v>11.5</v>
      </c>
      <c r="H417">
        <v>3600</v>
      </c>
      <c r="I417">
        <v>0</v>
      </c>
      <c r="J417">
        <f>1</f>
        <v>1</v>
      </c>
      <c r="K417">
        <v>1</v>
      </c>
      <c r="L417">
        <v>0</v>
      </c>
      <c r="M417">
        <f t="shared" ca="1" si="18"/>
        <v>0.65895491211843138</v>
      </c>
      <c r="N417">
        <v>0</v>
      </c>
      <c r="O417">
        <v>0</v>
      </c>
      <c r="P417">
        <f t="shared" ca="1" si="19"/>
        <v>0.1484499891171851</v>
      </c>
      <c r="Q417">
        <f t="shared" si="20"/>
        <v>1</v>
      </c>
    </row>
    <row r="418" spans="1:17" x14ac:dyDescent="0.3">
      <c r="A418" t="s">
        <v>523</v>
      </c>
      <c r="B418" t="s">
        <v>62</v>
      </c>
      <c r="C418">
        <v>5</v>
      </c>
      <c r="D418">
        <v>80600</v>
      </c>
      <c r="E418" t="s">
        <v>69</v>
      </c>
      <c r="F418">
        <v>50</v>
      </c>
      <c r="G418">
        <v>9.1999999999999993</v>
      </c>
      <c r="H418">
        <v>7600</v>
      </c>
      <c r="I418">
        <v>0</v>
      </c>
      <c r="J418">
        <f>1</f>
        <v>1</v>
      </c>
      <c r="K418">
        <v>1</v>
      </c>
      <c r="L418">
        <v>0</v>
      </c>
      <c r="M418">
        <f t="shared" ca="1" si="18"/>
        <v>0.18847505397800657</v>
      </c>
      <c r="N418">
        <v>0</v>
      </c>
      <c r="O418">
        <v>0</v>
      </c>
      <c r="P418">
        <f t="shared" ca="1" si="19"/>
        <v>0.53043528366037118</v>
      </c>
      <c r="Q418">
        <f t="shared" si="20"/>
        <v>1</v>
      </c>
    </row>
    <row r="419" spans="1:17" x14ac:dyDescent="0.3">
      <c r="A419" t="s">
        <v>1020</v>
      </c>
      <c r="B419" t="s">
        <v>62</v>
      </c>
      <c r="C419">
        <v>6</v>
      </c>
      <c r="D419">
        <v>17500</v>
      </c>
      <c r="E419" t="s">
        <v>1146</v>
      </c>
      <c r="F419">
        <v>5</v>
      </c>
      <c r="G419">
        <v>7.8</v>
      </c>
      <c r="H419">
        <v>2300</v>
      </c>
      <c r="I419">
        <v>1</v>
      </c>
      <c r="J419">
        <f>1</f>
        <v>1</v>
      </c>
      <c r="K419">
        <v>1</v>
      </c>
      <c r="L419">
        <v>0</v>
      </c>
      <c r="M419">
        <f t="shared" ca="1" si="18"/>
        <v>0.96694963438888004</v>
      </c>
      <c r="N419">
        <v>0</v>
      </c>
      <c r="O419">
        <v>0</v>
      </c>
      <c r="P419">
        <f t="shared" ca="1" si="19"/>
        <v>0.14066332978288665</v>
      </c>
      <c r="Q419">
        <f t="shared" si="20"/>
        <v>1</v>
      </c>
    </row>
    <row r="420" spans="1:17" x14ac:dyDescent="0.3">
      <c r="A420" t="s">
        <v>853</v>
      </c>
      <c r="B420" t="s">
        <v>65</v>
      </c>
      <c r="C420">
        <v>7</v>
      </c>
      <c r="D420">
        <v>83200</v>
      </c>
      <c r="E420" t="s">
        <v>1146</v>
      </c>
      <c r="F420">
        <v>0</v>
      </c>
      <c r="G420">
        <v>11.6</v>
      </c>
      <c r="H420">
        <v>6800</v>
      </c>
      <c r="I420">
        <v>1</v>
      </c>
      <c r="J420">
        <f>1</f>
        <v>1</v>
      </c>
      <c r="K420">
        <v>1</v>
      </c>
      <c r="L420">
        <v>0</v>
      </c>
      <c r="M420">
        <f t="shared" ca="1" si="18"/>
        <v>0.41604523836672025</v>
      </c>
      <c r="N420">
        <v>0</v>
      </c>
      <c r="O420">
        <v>0</v>
      </c>
      <c r="P420">
        <f t="shared" ca="1" si="19"/>
        <v>0.17511622381498548</v>
      </c>
      <c r="Q420">
        <f t="shared" si="20"/>
        <v>1</v>
      </c>
    </row>
    <row r="421" spans="1:17" x14ac:dyDescent="0.3">
      <c r="A421" t="s">
        <v>649</v>
      </c>
      <c r="B421" t="s">
        <v>62</v>
      </c>
      <c r="C421">
        <v>7</v>
      </c>
      <c r="D421">
        <v>144600</v>
      </c>
      <c r="E421" t="s">
        <v>1146</v>
      </c>
      <c r="F421">
        <v>6</v>
      </c>
      <c r="G421">
        <v>6.3</v>
      </c>
      <c r="H421">
        <v>13700</v>
      </c>
      <c r="I421">
        <v>1</v>
      </c>
      <c r="J421">
        <f>1</f>
        <v>1</v>
      </c>
      <c r="K421">
        <v>1</v>
      </c>
      <c r="L421">
        <v>0</v>
      </c>
      <c r="M421">
        <f t="shared" ca="1" si="18"/>
        <v>0.9320931166033225</v>
      </c>
      <c r="N421">
        <v>0</v>
      </c>
      <c r="O421">
        <v>0</v>
      </c>
      <c r="P421">
        <f t="shared" ca="1" si="19"/>
        <v>0.81134352654619812</v>
      </c>
      <c r="Q421">
        <f t="shared" si="20"/>
        <v>1</v>
      </c>
    </row>
    <row r="422" spans="1:17" x14ac:dyDescent="0.3">
      <c r="A422" t="s">
        <v>642</v>
      </c>
      <c r="B422" t="s">
        <v>513</v>
      </c>
      <c r="C422">
        <v>10</v>
      </c>
      <c r="D422">
        <v>12400</v>
      </c>
      <c r="E422" t="s">
        <v>1146</v>
      </c>
      <c r="F422">
        <v>9</v>
      </c>
      <c r="G422">
        <v>4.9000000000000004</v>
      </c>
      <c r="H422">
        <v>6500</v>
      </c>
      <c r="I422">
        <v>1</v>
      </c>
      <c r="J422">
        <f>1</f>
        <v>1</v>
      </c>
      <c r="K422">
        <v>1</v>
      </c>
      <c r="L422">
        <v>0</v>
      </c>
      <c r="M422">
        <f t="shared" ca="1" si="18"/>
        <v>0.82669864679731431</v>
      </c>
      <c r="N422">
        <v>0</v>
      </c>
      <c r="O422">
        <v>0</v>
      </c>
      <c r="P422">
        <f t="shared" ca="1" si="19"/>
        <v>0.32852515773151647</v>
      </c>
      <c r="Q422">
        <f t="shared" si="20"/>
        <v>1</v>
      </c>
    </row>
    <row r="423" spans="1:17" x14ac:dyDescent="0.3">
      <c r="A423" t="s">
        <v>943</v>
      </c>
      <c r="B423" t="s">
        <v>513</v>
      </c>
      <c r="C423">
        <v>5</v>
      </c>
      <c r="D423">
        <v>50000</v>
      </c>
      <c r="E423" t="s">
        <v>1146</v>
      </c>
      <c r="F423">
        <v>6</v>
      </c>
      <c r="G423">
        <v>4.0999999999999996</v>
      </c>
      <c r="H423">
        <v>3300</v>
      </c>
      <c r="I423">
        <v>1</v>
      </c>
      <c r="J423">
        <f>1</f>
        <v>1</v>
      </c>
      <c r="K423">
        <v>1</v>
      </c>
      <c r="L423">
        <v>0</v>
      </c>
      <c r="M423">
        <f t="shared" ca="1" si="18"/>
        <v>0.41475502590872082</v>
      </c>
      <c r="N423">
        <v>0</v>
      </c>
      <c r="O423">
        <v>0</v>
      </c>
      <c r="P423">
        <f t="shared" ca="1" si="19"/>
        <v>0.98445845901290396</v>
      </c>
      <c r="Q423">
        <f t="shared" si="20"/>
        <v>1</v>
      </c>
    </row>
    <row r="424" spans="1:17" x14ac:dyDescent="0.3">
      <c r="A424" t="s">
        <v>290</v>
      </c>
      <c r="B424" t="s">
        <v>513</v>
      </c>
      <c r="C424">
        <v>6</v>
      </c>
      <c r="D424">
        <v>55700</v>
      </c>
      <c r="E424" t="s">
        <v>67</v>
      </c>
      <c r="F424">
        <v>72</v>
      </c>
      <c r="G424">
        <v>1.3</v>
      </c>
      <c r="H424">
        <v>6000</v>
      </c>
      <c r="I424">
        <v>0</v>
      </c>
      <c r="J424">
        <f>1</f>
        <v>1</v>
      </c>
      <c r="K424">
        <v>1</v>
      </c>
      <c r="L424">
        <v>0</v>
      </c>
      <c r="M424">
        <f t="shared" ca="1" si="18"/>
        <v>0.25473517886563379</v>
      </c>
      <c r="N424">
        <v>0</v>
      </c>
      <c r="O424">
        <v>0</v>
      </c>
      <c r="P424">
        <f t="shared" ca="1" si="19"/>
        <v>0.49327138571174034</v>
      </c>
      <c r="Q424">
        <f t="shared" si="20"/>
        <v>1</v>
      </c>
    </row>
    <row r="425" spans="1:17" x14ac:dyDescent="0.3">
      <c r="A425" t="s">
        <v>377</v>
      </c>
      <c r="B425" t="s">
        <v>513</v>
      </c>
      <c r="C425">
        <v>7</v>
      </c>
      <c r="D425">
        <v>54600</v>
      </c>
      <c r="E425" t="s">
        <v>69</v>
      </c>
      <c r="F425">
        <v>53</v>
      </c>
      <c r="G425">
        <v>6.9</v>
      </c>
      <c r="H425">
        <v>5700</v>
      </c>
      <c r="I425">
        <v>0</v>
      </c>
      <c r="J425">
        <f>1</f>
        <v>1</v>
      </c>
      <c r="K425">
        <v>1</v>
      </c>
      <c r="L425">
        <v>0</v>
      </c>
      <c r="M425">
        <f t="shared" ca="1" si="18"/>
        <v>1.209767132791062E-2</v>
      </c>
      <c r="N425">
        <v>0</v>
      </c>
      <c r="O425">
        <v>0</v>
      </c>
      <c r="P425">
        <f t="shared" ca="1" si="19"/>
        <v>9.2268727492736069E-2</v>
      </c>
      <c r="Q425">
        <f t="shared" si="20"/>
        <v>1</v>
      </c>
    </row>
    <row r="426" spans="1:17" x14ac:dyDescent="0.3">
      <c r="A426" t="s">
        <v>923</v>
      </c>
      <c r="B426" t="s">
        <v>65</v>
      </c>
      <c r="C426">
        <v>2</v>
      </c>
      <c r="D426">
        <v>40800</v>
      </c>
      <c r="E426" t="s">
        <v>1146</v>
      </c>
      <c r="F426">
        <v>0</v>
      </c>
      <c r="G426">
        <v>3</v>
      </c>
      <c r="H426">
        <v>3300</v>
      </c>
      <c r="I426">
        <v>1</v>
      </c>
      <c r="J426">
        <f>1</f>
        <v>1</v>
      </c>
      <c r="K426">
        <v>1</v>
      </c>
      <c r="L426">
        <v>0</v>
      </c>
      <c r="M426">
        <f t="shared" ca="1" si="18"/>
        <v>0.17441584919242192</v>
      </c>
      <c r="N426">
        <v>0</v>
      </c>
      <c r="O426">
        <v>0</v>
      </c>
      <c r="P426">
        <f t="shared" ca="1" si="19"/>
        <v>1.1636300109483577E-2</v>
      </c>
      <c r="Q426">
        <f t="shared" si="20"/>
        <v>1</v>
      </c>
    </row>
    <row r="427" spans="1:17" x14ac:dyDescent="0.3">
      <c r="A427" t="s">
        <v>342</v>
      </c>
      <c r="B427" t="s">
        <v>62</v>
      </c>
      <c r="C427">
        <v>4</v>
      </c>
      <c r="D427">
        <v>22600</v>
      </c>
      <c r="E427" t="s">
        <v>66</v>
      </c>
      <c r="F427">
        <v>53</v>
      </c>
      <c r="G427">
        <v>0.4</v>
      </c>
      <c r="H427">
        <v>4300</v>
      </c>
      <c r="I427">
        <v>0</v>
      </c>
      <c r="J427">
        <f>1</f>
        <v>1</v>
      </c>
      <c r="K427">
        <v>1</v>
      </c>
      <c r="L427">
        <v>0</v>
      </c>
      <c r="M427">
        <f t="shared" ca="1" si="18"/>
        <v>0.34827362238352999</v>
      </c>
      <c r="N427">
        <v>0</v>
      </c>
      <c r="O427">
        <v>0</v>
      </c>
      <c r="P427">
        <f t="shared" ca="1" si="19"/>
        <v>0.36658021645227312</v>
      </c>
      <c r="Q427">
        <f t="shared" si="20"/>
        <v>1</v>
      </c>
    </row>
    <row r="428" spans="1:17" x14ac:dyDescent="0.3">
      <c r="A428" t="s">
        <v>300</v>
      </c>
      <c r="B428" t="s">
        <v>64</v>
      </c>
      <c r="C428">
        <v>6</v>
      </c>
      <c r="D428">
        <v>36700</v>
      </c>
      <c r="E428" t="s">
        <v>67</v>
      </c>
      <c r="F428">
        <v>70</v>
      </c>
      <c r="G428">
        <v>7.4</v>
      </c>
      <c r="H428">
        <v>3600</v>
      </c>
      <c r="I428">
        <v>0</v>
      </c>
      <c r="J428">
        <f>1</f>
        <v>1</v>
      </c>
      <c r="K428">
        <v>1</v>
      </c>
      <c r="L428">
        <v>0</v>
      </c>
      <c r="M428">
        <f t="shared" ca="1" si="18"/>
        <v>0.14236207772755594</v>
      </c>
      <c r="N428">
        <v>0</v>
      </c>
      <c r="O428">
        <v>0</v>
      </c>
      <c r="P428">
        <f t="shared" ca="1" si="19"/>
        <v>0.76540687565213894</v>
      </c>
      <c r="Q428">
        <f t="shared" si="20"/>
        <v>1</v>
      </c>
    </row>
    <row r="429" spans="1:17" x14ac:dyDescent="0.3">
      <c r="A429" t="s">
        <v>529</v>
      </c>
      <c r="B429" t="s">
        <v>65</v>
      </c>
      <c r="C429">
        <v>8</v>
      </c>
      <c r="D429">
        <v>60100</v>
      </c>
      <c r="E429" t="s">
        <v>66</v>
      </c>
      <c r="F429">
        <v>22</v>
      </c>
      <c r="G429">
        <v>8.6999999999999993</v>
      </c>
      <c r="H429">
        <v>1800</v>
      </c>
      <c r="I429">
        <v>0</v>
      </c>
      <c r="J429">
        <f>1</f>
        <v>1</v>
      </c>
      <c r="K429">
        <v>1</v>
      </c>
      <c r="L429">
        <v>0</v>
      </c>
      <c r="M429">
        <f t="shared" ca="1" si="18"/>
        <v>0.36393903440120046</v>
      </c>
      <c r="N429">
        <v>0</v>
      </c>
      <c r="O429">
        <v>0</v>
      </c>
      <c r="P429">
        <f t="shared" ca="1" si="19"/>
        <v>0.44659820888767376</v>
      </c>
      <c r="Q429">
        <f t="shared" si="20"/>
        <v>1</v>
      </c>
    </row>
    <row r="430" spans="1:17" x14ac:dyDescent="0.3">
      <c r="A430" t="s">
        <v>388</v>
      </c>
      <c r="B430" t="s">
        <v>513</v>
      </c>
      <c r="C430">
        <v>3</v>
      </c>
      <c r="D430">
        <v>31600</v>
      </c>
      <c r="E430" t="s">
        <v>67</v>
      </c>
      <c r="F430">
        <v>62</v>
      </c>
      <c r="G430">
        <v>15</v>
      </c>
      <c r="H430">
        <v>8700</v>
      </c>
      <c r="I430">
        <v>0</v>
      </c>
      <c r="J430">
        <f>1</f>
        <v>1</v>
      </c>
      <c r="K430">
        <v>1</v>
      </c>
      <c r="L430">
        <v>0</v>
      </c>
      <c r="M430">
        <f t="shared" ca="1" si="18"/>
        <v>3.943567186296848E-3</v>
      </c>
      <c r="N430">
        <v>0</v>
      </c>
      <c r="O430">
        <v>0</v>
      </c>
      <c r="P430">
        <f t="shared" ca="1" si="19"/>
        <v>0.58979083370248875</v>
      </c>
      <c r="Q430">
        <f t="shared" si="20"/>
        <v>1</v>
      </c>
    </row>
    <row r="431" spans="1:17" x14ac:dyDescent="0.3">
      <c r="A431" t="s">
        <v>761</v>
      </c>
      <c r="B431" t="s">
        <v>64</v>
      </c>
      <c r="C431">
        <v>10</v>
      </c>
      <c r="D431">
        <v>66300</v>
      </c>
      <c r="E431" t="s">
        <v>1146</v>
      </c>
      <c r="F431">
        <v>10</v>
      </c>
      <c r="G431">
        <v>6.2</v>
      </c>
      <c r="H431">
        <v>8900</v>
      </c>
      <c r="I431">
        <v>1</v>
      </c>
      <c r="J431">
        <f>1</f>
        <v>1</v>
      </c>
      <c r="K431">
        <v>1</v>
      </c>
      <c r="L431">
        <v>0</v>
      </c>
      <c r="M431">
        <f t="shared" ca="1" si="18"/>
        <v>0.53012999973215857</v>
      </c>
      <c r="N431">
        <v>0</v>
      </c>
      <c r="O431">
        <v>0</v>
      </c>
      <c r="P431">
        <f t="shared" ca="1" si="19"/>
        <v>5.3524885399528155E-2</v>
      </c>
      <c r="Q431">
        <f t="shared" si="20"/>
        <v>1</v>
      </c>
    </row>
    <row r="432" spans="1:17" x14ac:dyDescent="0.3">
      <c r="A432" t="s">
        <v>186</v>
      </c>
      <c r="B432" t="s">
        <v>65</v>
      </c>
      <c r="C432">
        <v>8</v>
      </c>
      <c r="D432">
        <v>41700</v>
      </c>
      <c r="E432" t="s">
        <v>67</v>
      </c>
      <c r="F432">
        <v>72</v>
      </c>
      <c r="G432">
        <v>9.1</v>
      </c>
      <c r="H432">
        <v>8400</v>
      </c>
      <c r="I432">
        <v>0</v>
      </c>
      <c r="J432">
        <f>1</f>
        <v>1</v>
      </c>
      <c r="K432">
        <v>1</v>
      </c>
      <c r="L432">
        <v>0</v>
      </c>
      <c r="M432">
        <f t="shared" ca="1" si="18"/>
        <v>0.47521250417822714</v>
      </c>
      <c r="N432">
        <v>0</v>
      </c>
      <c r="O432">
        <v>0</v>
      </c>
      <c r="P432">
        <f t="shared" ca="1" si="19"/>
        <v>0.76650400517976325</v>
      </c>
      <c r="Q432">
        <f t="shared" si="20"/>
        <v>1</v>
      </c>
    </row>
    <row r="433" spans="1:17" x14ac:dyDescent="0.3">
      <c r="A433" t="s">
        <v>320</v>
      </c>
      <c r="B433" t="s">
        <v>62</v>
      </c>
      <c r="C433">
        <v>5</v>
      </c>
      <c r="D433">
        <v>41400</v>
      </c>
      <c r="E433" t="s">
        <v>68</v>
      </c>
      <c r="F433">
        <v>50</v>
      </c>
      <c r="G433">
        <v>2.8</v>
      </c>
      <c r="H433">
        <v>7900</v>
      </c>
      <c r="I433">
        <v>0</v>
      </c>
      <c r="J433">
        <f>1</f>
        <v>1</v>
      </c>
      <c r="K433">
        <v>1</v>
      </c>
      <c r="L433">
        <v>0</v>
      </c>
      <c r="M433">
        <f t="shared" ca="1" si="18"/>
        <v>0.96576073090588332</v>
      </c>
      <c r="N433">
        <v>0</v>
      </c>
      <c r="O433">
        <v>0</v>
      </c>
      <c r="P433">
        <f t="shared" ca="1" si="19"/>
        <v>0.68207763527086773</v>
      </c>
      <c r="Q433">
        <f t="shared" si="20"/>
        <v>1</v>
      </c>
    </row>
    <row r="434" spans="1:17" x14ac:dyDescent="0.3">
      <c r="A434" t="s">
        <v>1142</v>
      </c>
      <c r="B434" t="s">
        <v>65</v>
      </c>
      <c r="C434">
        <v>4</v>
      </c>
      <c r="D434">
        <v>41300</v>
      </c>
      <c r="E434" t="s">
        <v>1146</v>
      </c>
      <c r="F434">
        <v>3</v>
      </c>
      <c r="G434">
        <v>0.7</v>
      </c>
      <c r="H434">
        <v>1300</v>
      </c>
      <c r="I434">
        <v>1</v>
      </c>
      <c r="J434">
        <f>1</f>
        <v>1</v>
      </c>
      <c r="K434">
        <v>1</v>
      </c>
      <c r="L434">
        <v>0</v>
      </c>
      <c r="M434">
        <f t="shared" ca="1" si="18"/>
        <v>0.35419265830855839</v>
      </c>
      <c r="N434">
        <v>0</v>
      </c>
      <c r="O434">
        <v>0</v>
      </c>
      <c r="P434">
        <f t="shared" ca="1" si="19"/>
        <v>0.63466312075697684</v>
      </c>
      <c r="Q434">
        <f t="shared" si="20"/>
        <v>1</v>
      </c>
    </row>
    <row r="435" spans="1:17" x14ac:dyDescent="0.3">
      <c r="A435" t="s">
        <v>499</v>
      </c>
      <c r="B435" t="s">
        <v>513</v>
      </c>
      <c r="C435">
        <v>7</v>
      </c>
      <c r="D435">
        <v>73900</v>
      </c>
      <c r="E435" t="s">
        <v>69</v>
      </c>
      <c r="F435">
        <v>60</v>
      </c>
      <c r="G435">
        <v>4.0999999999999996</v>
      </c>
      <c r="H435">
        <v>7400</v>
      </c>
      <c r="I435">
        <v>0</v>
      </c>
      <c r="J435">
        <f>1</f>
        <v>1</v>
      </c>
      <c r="K435">
        <v>1</v>
      </c>
      <c r="L435">
        <v>0</v>
      </c>
      <c r="M435">
        <f t="shared" ca="1" si="18"/>
        <v>0.64942749655689969</v>
      </c>
      <c r="N435">
        <v>0</v>
      </c>
      <c r="O435">
        <v>0</v>
      </c>
      <c r="P435">
        <f t="shared" ca="1" si="19"/>
        <v>1.3317317910139237E-2</v>
      </c>
      <c r="Q435">
        <f t="shared" si="20"/>
        <v>1</v>
      </c>
    </row>
    <row r="436" spans="1:17" x14ac:dyDescent="0.3">
      <c r="A436" t="s">
        <v>914</v>
      </c>
      <c r="B436" t="s">
        <v>62</v>
      </c>
      <c r="C436">
        <v>6</v>
      </c>
      <c r="D436">
        <v>59900</v>
      </c>
      <c r="E436" t="s">
        <v>1146</v>
      </c>
      <c r="F436">
        <v>0</v>
      </c>
      <c r="G436">
        <v>7.3</v>
      </c>
      <c r="H436">
        <v>11100</v>
      </c>
      <c r="I436">
        <v>1</v>
      </c>
      <c r="J436">
        <f>1</f>
        <v>1</v>
      </c>
      <c r="K436">
        <v>1</v>
      </c>
      <c r="L436">
        <v>0</v>
      </c>
      <c r="M436">
        <f t="shared" ca="1" si="18"/>
        <v>0.32202876744072839</v>
      </c>
      <c r="N436">
        <v>0</v>
      </c>
      <c r="O436">
        <v>0</v>
      </c>
      <c r="P436">
        <f t="shared" ca="1" si="19"/>
        <v>0.40861427263777883</v>
      </c>
      <c r="Q436">
        <f t="shared" si="20"/>
        <v>1</v>
      </c>
    </row>
    <row r="437" spans="1:17" x14ac:dyDescent="0.3">
      <c r="A437" t="s">
        <v>507</v>
      </c>
      <c r="B437" t="s">
        <v>513</v>
      </c>
      <c r="C437">
        <v>7</v>
      </c>
      <c r="D437">
        <v>36600</v>
      </c>
      <c r="E437" t="s">
        <v>68</v>
      </c>
      <c r="F437">
        <v>74</v>
      </c>
      <c r="G437">
        <v>12.8</v>
      </c>
      <c r="H437">
        <v>2700</v>
      </c>
      <c r="I437">
        <v>0</v>
      </c>
      <c r="J437">
        <f>1</f>
        <v>1</v>
      </c>
      <c r="K437">
        <v>1</v>
      </c>
      <c r="L437">
        <v>0</v>
      </c>
      <c r="M437">
        <f t="shared" ca="1" si="18"/>
        <v>0.242178692123309</v>
      </c>
      <c r="N437">
        <v>0</v>
      </c>
      <c r="O437">
        <v>0</v>
      </c>
      <c r="P437">
        <f t="shared" ca="1" si="19"/>
        <v>0.6478643665675492</v>
      </c>
      <c r="Q437">
        <f t="shared" si="20"/>
        <v>1</v>
      </c>
    </row>
    <row r="438" spans="1:17" x14ac:dyDescent="0.3">
      <c r="A438" t="s">
        <v>322</v>
      </c>
      <c r="B438" t="s">
        <v>65</v>
      </c>
      <c r="C438">
        <v>3</v>
      </c>
      <c r="D438">
        <v>21700</v>
      </c>
      <c r="E438" t="s">
        <v>67</v>
      </c>
      <c r="F438">
        <v>98</v>
      </c>
      <c r="G438">
        <v>3</v>
      </c>
      <c r="H438">
        <v>7400</v>
      </c>
      <c r="I438">
        <v>0</v>
      </c>
      <c r="J438">
        <f>1</f>
        <v>1</v>
      </c>
      <c r="K438">
        <v>1</v>
      </c>
      <c r="L438">
        <v>0</v>
      </c>
      <c r="M438">
        <f t="shared" ca="1" si="18"/>
        <v>0.4115623366032064</v>
      </c>
      <c r="N438">
        <v>0</v>
      </c>
      <c r="O438">
        <v>0</v>
      </c>
      <c r="P438">
        <f t="shared" ca="1" si="19"/>
        <v>0.81224668954452661</v>
      </c>
      <c r="Q438">
        <f t="shared" si="20"/>
        <v>1</v>
      </c>
    </row>
    <row r="439" spans="1:17" x14ac:dyDescent="0.3">
      <c r="A439" t="s">
        <v>543</v>
      </c>
      <c r="B439" t="s">
        <v>65</v>
      </c>
      <c r="C439">
        <v>2</v>
      </c>
      <c r="D439">
        <v>12300</v>
      </c>
      <c r="E439" t="s">
        <v>67</v>
      </c>
      <c r="F439">
        <v>56</v>
      </c>
      <c r="G439">
        <v>11.3</v>
      </c>
      <c r="H439">
        <v>6100</v>
      </c>
      <c r="I439">
        <v>0</v>
      </c>
      <c r="J439">
        <f>1</f>
        <v>1</v>
      </c>
      <c r="K439">
        <v>1</v>
      </c>
      <c r="L439">
        <v>0</v>
      </c>
      <c r="M439">
        <f t="shared" ca="1" si="18"/>
        <v>0.881835950759571</v>
      </c>
      <c r="N439">
        <v>0</v>
      </c>
      <c r="O439">
        <v>0</v>
      </c>
      <c r="P439">
        <f t="shared" ca="1" si="19"/>
        <v>0.30833083311003995</v>
      </c>
      <c r="Q439">
        <f t="shared" si="20"/>
        <v>1</v>
      </c>
    </row>
    <row r="440" spans="1:17" x14ac:dyDescent="0.3">
      <c r="A440" t="s">
        <v>603</v>
      </c>
      <c r="B440" t="s">
        <v>64</v>
      </c>
      <c r="C440">
        <v>7</v>
      </c>
      <c r="D440">
        <v>63300</v>
      </c>
      <c r="E440" t="s">
        <v>66</v>
      </c>
      <c r="F440">
        <v>26</v>
      </c>
      <c r="G440">
        <v>0.6</v>
      </c>
      <c r="H440">
        <v>3400</v>
      </c>
      <c r="I440">
        <v>0</v>
      </c>
      <c r="J440">
        <f>1</f>
        <v>1</v>
      </c>
      <c r="K440">
        <v>1</v>
      </c>
      <c r="L440">
        <v>0</v>
      </c>
      <c r="M440">
        <f t="shared" ca="1" si="18"/>
        <v>0.76873392378629846</v>
      </c>
      <c r="N440">
        <v>0</v>
      </c>
      <c r="O440">
        <v>0</v>
      </c>
      <c r="P440">
        <f t="shared" ca="1" si="19"/>
        <v>0.80772314284458835</v>
      </c>
      <c r="Q440">
        <f t="shared" si="20"/>
        <v>1</v>
      </c>
    </row>
    <row r="441" spans="1:17" x14ac:dyDescent="0.3">
      <c r="A441" t="s">
        <v>1135</v>
      </c>
      <c r="B441" t="s">
        <v>65</v>
      </c>
      <c r="C441">
        <v>2</v>
      </c>
      <c r="D441">
        <v>16000</v>
      </c>
      <c r="E441" t="s">
        <v>1146</v>
      </c>
      <c r="F441">
        <v>1</v>
      </c>
      <c r="G441">
        <v>11.7</v>
      </c>
      <c r="H441">
        <v>9800</v>
      </c>
      <c r="I441">
        <v>1</v>
      </c>
      <c r="J441">
        <f>1</f>
        <v>1</v>
      </c>
      <c r="K441">
        <v>1</v>
      </c>
      <c r="L441">
        <v>0</v>
      </c>
      <c r="M441">
        <f t="shared" ca="1" si="18"/>
        <v>0.52682887042117221</v>
      </c>
      <c r="N441">
        <v>0</v>
      </c>
      <c r="O441">
        <v>0</v>
      </c>
      <c r="P441">
        <f t="shared" ca="1" si="19"/>
        <v>0.46801321204072099</v>
      </c>
      <c r="Q441">
        <f t="shared" si="20"/>
        <v>1</v>
      </c>
    </row>
    <row r="442" spans="1:17" x14ac:dyDescent="0.3">
      <c r="A442" t="s">
        <v>883</v>
      </c>
      <c r="B442" t="s">
        <v>62</v>
      </c>
      <c r="C442">
        <v>5</v>
      </c>
      <c r="D442">
        <v>42400</v>
      </c>
      <c r="E442" t="s">
        <v>1146</v>
      </c>
      <c r="F442">
        <v>9</v>
      </c>
      <c r="G442">
        <v>3.9</v>
      </c>
      <c r="H442">
        <v>10700</v>
      </c>
      <c r="I442">
        <v>1</v>
      </c>
      <c r="J442">
        <f>1</f>
        <v>1</v>
      </c>
      <c r="K442">
        <v>1</v>
      </c>
      <c r="L442">
        <v>0</v>
      </c>
      <c r="M442">
        <f t="shared" ca="1" si="18"/>
        <v>0.42218563905811279</v>
      </c>
      <c r="N442">
        <v>0</v>
      </c>
      <c r="O442">
        <v>0</v>
      </c>
      <c r="P442">
        <f t="shared" ca="1" si="19"/>
        <v>0.71762673926540266</v>
      </c>
      <c r="Q442">
        <f t="shared" si="20"/>
        <v>1</v>
      </c>
    </row>
    <row r="443" spans="1:17" x14ac:dyDescent="0.3">
      <c r="A443" t="s">
        <v>1053</v>
      </c>
      <c r="B443" t="s">
        <v>62</v>
      </c>
      <c r="C443">
        <v>9</v>
      </c>
      <c r="D443">
        <v>52600</v>
      </c>
      <c r="E443" t="s">
        <v>1146</v>
      </c>
      <c r="F443">
        <v>8</v>
      </c>
      <c r="G443">
        <v>2.9</v>
      </c>
      <c r="H443">
        <v>4200</v>
      </c>
      <c r="I443">
        <v>1</v>
      </c>
      <c r="J443">
        <f>1</f>
        <v>1</v>
      </c>
      <c r="K443">
        <v>1</v>
      </c>
      <c r="L443">
        <v>0</v>
      </c>
      <c r="M443">
        <f t="shared" ca="1" si="18"/>
        <v>0.58227038365671369</v>
      </c>
      <c r="N443">
        <v>0</v>
      </c>
      <c r="O443">
        <v>0</v>
      </c>
      <c r="P443">
        <f t="shared" ca="1" si="19"/>
        <v>0.75676014497896793</v>
      </c>
      <c r="Q443">
        <f t="shared" si="20"/>
        <v>1</v>
      </c>
    </row>
    <row r="444" spans="1:17" x14ac:dyDescent="0.3">
      <c r="A444" t="s">
        <v>749</v>
      </c>
      <c r="B444" t="s">
        <v>64</v>
      </c>
      <c r="C444">
        <v>5</v>
      </c>
      <c r="D444">
        <v>63900</v>
      </c>
      <c r="E444" t="s">
        <v>1146</v>
      </c>
      <c r="F444">
        <v>8</v>
      </c>
      <c r="G444">
        <v>0.3</v>
      </c>
      <c r="H444">
        <v>0</v>
      </c>
      <c r="I444">
        <v>1</v>
      </c>
      <c r="J444">
        <f>1</f>
        <v>1</v>
      </c>
      <c r="K444">
        <v>1</v>
      </c>
      <c r="L444">
        <v>0</v>
      </c>
      <c r="M444">
        <f t="shared" ca="1" si="18"/>
        <v>0.81762590836445626</v>
      </c>
      <c r="N444">
        <v>0</v>
      </c>
      <c r="O444">
        <v>0</v>
      </c>
      <c r="P444">
        <f t="shared" ca="1" si="19"/>
        <v>0.87051911542591143</v>
      </c>
      <c r="Q444">
        <f t="shared" si="20"/>
        <v>1</v>
      </c>
    </row>
    <row r="445" spans="1:17" x14ac:dyDescent="0.3">
      <c r="A445" t="s">
        <v>1090</v>
      </c>
      <c r="B445" t="s">
        <v>62</v>
      </c>
      <c r="C445">
        <v>4</v>
      </c>
      <c r="D445">
        <v>31500</v>
      </c>
      <c r="E445" t="s">
        <v>1146</v>
      </c>
      <c r="F445">
        <v>3</v>
      </c>
      <c r="G445">
        <v>0.8</v>
      </c>
      <c r="H445">
        <v>4700</v>
      </c>
      <c r="I445">
        <v>1</v>
      </c>
      <c r="J445">
        <f>1</f>
        <v>1</v>
      </c>
      <c r="K445">
        <v>1</v>
      </c>
      <c r="L445">
        <v>0</v>
      </c>
      <c r="M445">
        <f t="shared" ca="1" si="18"/>
        <v>0.78021841553377391</v>
      </c>
      <c r="N445">
        <v>0</v>
      </c>
      <c r="O445">
        <v>0</v>
      </c>
      <c r="P445">
        <f t="shared" ca="1" si="19"/>
        <v>0.43733671786212758</v>
      </c>
      <c r="Q445">
        <f t="shared" si="20"/>
        <v>1</v>
      </c>
    </row>
    <row r="446" spans="1:17" x14ac:dyDescent="0.3">
      <c r="A446" t="s">
        <v>568</v>
      </c>
      <c r="B446" t="s">
        <v>62</v>
      </c>
      <c r="C446">
        <v>4</v>
      </c>
      <c r="D446">
        <v>36500</v>
      </c>
      <c r="E446" t="s">
        <v>68</v>
      </c>
      <c r="F446">
        <v>61</v>
      </c>
      <c r="G446">
        <v>4.0999999999999996</v>
      </c>
      <c r="H446">
        <v>4200</v>
      </c>
      <c r="I446">
        <v>0</v>
      </c>
      <c r="J446">
        <f>1</f>
        <v>1</v>
      </c>
      <c r="K446">
        <v>1</v>
      </c>
      <c r="L446">
        <v>0</v>
      </c>
      <c r="M446">
        <f t="shared" ca="1" si="18"/>
        <v>0.51928692958715905</v>
      </c>
      <c r="N446">
        <v>0</v>
      </c>
      <c r="O446">
        <v>0</v>
      </c>
      <c r="P446">
        <f t="shared" ca="1" si="19"/>
        <v>0.2495323141835688</v>
      </c>
      <c r="Q446">
        <f t="shared" si="20"/>
        <v>1</v>
      </c>
    </row>
    <row r="447" spans="1:17" x14ac:dyDescent="0.3">
      <c r="A447" t="s">
        <v>304</v>
      </c>
      <c r="B447" t="s">
        <v>62</v>
      </c>
      <c r="C447">
        <v>8</v>
      </c>
      <c r="D447">
        <v>47500</v>
      </c>
      <c r="E447" t="s">
        <v>66</v>
      </c>
      <c r="F447">
        <v>27</v>
      </c>
      <c r="G447">
        <v>3</v>
      </c>
      <c r="H447">
        <v>6800</v>
      </c>
      <c r="I447">
        <v>0</v>
      </c>
      <c r="J447">
        <f>1</f>
        <v>1</v>
      </c>
      <c r="K447">
        <v>1</v>
      </c>
      <c r="L447">
        <v>0</v>
      </c>
      <c r="M447">
        <f t="shared" ca="1" si="18"/>
        <v>0.86740860251080676</v>
      </c>
      <c r="N447">
        <v>0</v>
      </c>
      <c r="O447">
        <v>0</v>
      </c>
      <c r="P447">
        <f t="shared" ca="1" si="19"/>
        <v>0.24548012563007993</v>
      </c>
      <c r="Q447">
        <f t="shared" si="20"/>
        <v>1</v>
      </c>
    </row>
    <row r="448" spans="1:17" x14ac:dyDescent="0.3">
      <c r="A448" t="s">
        <v>1114</v>
      </c>
      <c r="B448" t="s">
        <v>64</v>
      </c>
      <c r="C448">
        <v>7</v>
      </c>
      <c r="D448">
        <v>32600</v>
      </c>
      <c r="E448" t="s">
        <v>1146</v>
      </c>
      <c r="F448">
        <v>4</v>
      </c>
      <c r="G448">
        <v>5.8</v>
      </c>
      <c r="H448">
        <v>6500</v>
      </c>
      <c r="I448">
        <v>1</v>
      </c>
      <c r="J448">
        <f>1</f>
        <v>1</v>
      </c>
      <c r="K448">
        <v>1</v>
      </c>
      <c r="L448">
        <v>0</v>
      </c>
      <c r="M448">
        <f t="shared" ca="1" si="18"/>
        <v>0.73661521917198791</v>
      </c>
      <c r="N448">
        <v>0</v>
      </c>
      <c r="O448">
        <v>0</v>
      </c>
      <c r="P448">
        <f t="shared" ca="1" si="19"/>
        <v>7.189362337704297E-2</v>
      </c>
      <c r="Q448">
        <f t="shared" si="20"/>
        <v>1</v>
      </c>
    </row>
    <row r="449" spans="1:17" x14ac:dyDescent="0.3">
      <c r="A449" t="s">
        <v>368</v>
      </c>
      <c r="B449" t="s">
        <v>62</v>
      </c>
      <c r="C449">
        <v>6</v>
      </c>
      <c r="D449">
        <v>51900</v>
      </c>
      <c r="E449" t="s">
        <v>69</v>
      </c>
      <c r="F449">
        <v>32</v>
      </c>
      <c r="G449">
        <v>3.8</v>
      </c>
      <c r="H449">
        <v>2600</v>
      </c>
      <c r="I449">
        <v>0</v>
      </c>
      <c r="J449">
        <f>1</f>
        <v>1</v>
      </c>
      <c r="K449">
        <v>1</v>
      </c>
      <c r="L449">
        <v>0</v>
      </c>
      <c r="M449">
        <f t="shared" ca="1" si="18"/>
        <v>0.37466942140312431</v>
      </c>
      <c r="N449">
        <v>0</v>
      </c>
      <c r="O449">
        <v>0</v>
      </c>
      <c r="P449">
        <f t="shared" ca="1" si="19"/>
        <v>0.15007942655218431</v>
      </c>
      <c r="Q449">
        <f t="shared" si="20"/>
        <v>1</v>
      </c>
    </row>
    <row r="450" spans="1:17" x14ac:dyDescent="0.3">
      <c r="A450" t="s">
        <v>1144</v>
      </c>
      <c r="B450" t="s">
        <v>513</v>
      </c>
      <c r="C450">
        <v>3</v>
      </c>
      <c r="D450">
        <v>27300</v>
      </c>
      <c r="E450" t="s">
        <v>1146</v>
      </c>
      <c r="F450">
        <v>7</v>
      </c>
      <c r="G450">
        <v>9.9</v>
      </c>
      <c r="H450">
        <v>11200</v>
      </c>
      <c r="I450">
        <v>1</v>
      </c>
      <c r="J450">
        <f>1</f>
        <v>1</v>
      </c>
      <c r="K450">
        <v>1</v>
      </c>
      <c r="L450">
        <v>0</v>
      </c>
      <c r="M450">
        <f t="shared" ref="M450:M513" ca="1" si="21">RAND()</f>
        <v>0.89756387756057365</v>
      </c>
      <c r="N450">
        <v>0</v>
      </c>
      <c r="O450">
        <v>0</v>
      </c>
      <c r="P450">
        <f t="shared" ref="P450:P513" ca="1" si="22">IF(L450=0,RAND(),"")</f>
        <v>0.75254821669647609</v>
      </c>
      <c r="Q450">
        <f t="shared" si="20"/>
        <v>1</v>
      </c>
    </row>
    <row r="451" spans="1:17" x14ac:dyDescent="0.3">
      <c r="A451" t="s">
        <v>824</v>
      </c>
      <c r="B451" t="s">
        <v>65</v>
      </c>
      <c r="C451">
        <v>4</v>
      </c>
      <c r="D451">
        <v>30000</v>
      </c>
      <c r="E451" t="s">
        <v>1146</v>
      </c>
      <c r="F451">
        <v>5</v>
      </c>
      <c r="G451">
        <v>12.3</v>
      </c>
      <c r="H451">
        <v>4800</v>
      </c>
      <c r="I451">
        <v>1</v>
      </c>
      <c r="J451">
        <f>1</f>
        <v>1</v>
      </c>
      <c r="K451">
        <v>1</v>
      </c>
      <c r="L451">
        <v>0</v>
      </c>
      <c r="M451">
        <f t="shared" ca="1" si="21"/>
        <v>0.85563862101730748</v>
      </c>
      <c r="N451">
        <v>0</v>
      </c>
      <c r="O451">
        <v>0</v>
      </c>
      <c r="P451">
        <f t="shared" ca="1" si="22"/>
        <v>1.3085643414568748E-3</v>
      </c>
      <c r="Q451">
        <f t="shared" ref="Q451:Q514" si="23">IF(OR(L451=1,O451=1), 0,1)</f>
        <v>1</v>
      </c>
    </row>
    <row r="452" spans="1:17" x14ac:dyDescent="0.3">
      <c r="A452" t="s">
        <v>133</v>
      </c>
      <c r="B452" t="s">
        <v>513</v>
      </c>
      <c r="C452">
        <v>5</v>
      </c>
      <c r="D452">
        <v>87900</v>
      </c>
      <c r="E452" t="s">
        <v>69</v>
      </c>
      <c r="F452">
        <v>53</v>
      </c>
      <c r="G452">
        <v>14.3</v>
      </c>
      <c r="H452">
        <v>800</v>
      </c>
      <c r="I452">
        <v>0</v>
      </c>
      <c r="J452">
        <f>1</f>
        <v>1</v>
      </c>
      <c r="K452">
        <v>1</v>
      </c>
      <c r="L452">
        <v>0</v>
      </c>
      <c r="M452">
        <f t="shared" ca="1" si="21"/>
        <v>0.37045815894775302</v>
      </c>
      <c r="N452">
        <v>0</v>
      </c>
      <c r="O452">
        <v>0</v>
      </c>
      <c r="P452">
        <f t="shared" ca="1" si="22"/>
        <v>4.0930736181739369E-2</v>
      </c>
      <c r="Q452">
        <f t="shared" si="23"/>
        <v>1</v>
      </c>
    </row>
    <row r="453" spans="1:17" x14ac:dyDescent="0.3">
      <c r="A453" t="s">
        <v>786</v>
      </c>
      <c r="B453" t="s">
        <v>64</v>
      </c>
      <c r="C453">
        <v>5</v>
      </c>
      <c r="D453">
        <v>27600</v>
      </c>
      <c r="E453" t="s">
        <v>1146</v>
      </c>
      <c r="F453">
        <v>2</v>
      </c>
      <c r="G453">
        <v>9</v>
      </c>
      <c r="H453">
        <v>1300</v>
      </c>
      <c r="I453">
        <v>1</v>
      </c>
      <c r="J453">
        <f>1</f>
        <v>1</v>
      </c>
      <c r="K453">
        <v>1</v>
      </c>
      <c r="L453">
        <v>0</v>
      </c>
      <c r="M453">
        <f t="shared" ca="1" si="21"/>
        <v>0.14040631498921674</v>
      </c>
      <c r="N453">
        <v>0</v>
      </c>
      <c r="O453">
        <v>0</v>
      </c>
      <c r="P453">
        <f t="shared" ca="1" si="22"/>
        <v>0.89167788926856562</v>
      </c>
      <c r="Q453">
        <f t="shared" si="23"/>
        <v>1</v>
      </c>
    </row>
    <row r="454" spans="1:17" x14ac:dyDescent="0.3">
      <c r="A454" t="s">
        <v>335</v>
      </c>
      <c r="B454" t="s">
        <v>65</v>
      </c>
      <c r="C454">
        <v>4</v>
      </c>
      <c r="D454">
        <v>24400</v>
      </c>
      <c r="E454" t="s">
        <v>69</v>
      </c>
      <c r="F454">
        <v>14</v>
      </c>
      <c r="G454">
        <v>12.2</v>
      </c>
      <c r="H454">
        <v>6700</v>
      </c>
      <c r="I454">
        <v>0</v>
      </c>
      <c r="J454">
        <f>1</f>
        <v>1</v>
      </c>
      <c r="K454">
        <v>1</v>
      </c>
      <c r="L454">
        <v>0</v>
      </c>
      <c r="M454">
        <f t="shared" ca="1" si="21"/>
        <v>0.41268791427134666</v>
      </c>
      <c r="N454">
        <v>0</v>
      </c>
      <c r="O454">
        <v>0</v>
      </c>
      <c r="P454">
        <f t="shared" ca="1" si="22"/>
        <v>0.42794060131996237</v>
      </c>
      <c r="Q454">
        <f t="shared" si="23"/>
        <v>1</v>
      </c>
    </row>
    <row r="455" spans="1:17" x14ac:dyDescent="0.3">
      <c r="A455" t="s">
        <v>544</v>
      </c>
      <c r="B455" t="s">
        <v>65</v>
      </c>
      <c r="C455">
        <v>7</v>
      </c>
      <c r="D455">
        <v>62300</v>
      </c>
      <c r="E455" t="s">
        <v>67</v>
      </c>
      <c r="F455">
        <v>78</v>
      </c>
      <c r="G455">
        <v>5.3</v>
      </c>
      <c r="H455">
        <v>8900</v>
      </c>
      <c r="I455">
        <v>0</v>
      </c>
      <c r="J455">
        <f>1</f>
        <v>1</v>
      </c>
      <c r="K455">
        <v>1</v>
      </c>
      <c r="L455">
        <v>0</v>
      </c>
      <c r="M455">
        <f t="shared" ca="1" si="21"/>
        <v>0.29039329212845233</v>
      </c>
      <c r="N455">
        <v>0</v>
      </c>
      <c r="O455">
        <v>0</v>
      </c>
      <c r="P455">
        <f t="shared" ca="1" si="22"/>
        <v>0.75254659862087347</v>
      </c>
      <c r="Q455">
        <f t="shared" si="23"/>
        <v>1</v>
      </c>
    </row>
    <row r="456" spans="1:17" x14ac:dyDescent="0.3">
      <c r="A456" t="s">
        <v>416</v>
      </c>
      <c r="B456" t="s">
        <v>513</v>
      </c>
      <c r="C456">
        <v>3</v>
      </c>
      <c r="D456">
        <v>25400</v>
      </c>
      <c r="E456" t="s">
        <v>66</v>
      </c>
      <c r="F456">
        <v>36</v>
      </c>
      <c r="G456">
        <v>4.9000000000000004</v>
      </c>
      <c r="H456">
        <v>2600</v>
      </c>
      <c r="I456">
        <v>0</v>
      </c>
      <c r="J456">
        <f>1</f>
        <v>1</v>
      </c>
      <c r="K456">
        <v>1</v>
      </c>
      <c r="L456">
        <v>0</v>
      </c>
      <c r="M456">
        <f t="shared" ca="1" si="21"/>
        <v>4.1142967477013515E-2</v>
      </c>
      <c r="N456">
        <v>0</v>
      </c>
      <c r="O456">
        <v>0</v>
      </c>
      <c r="P456">
        <f t="shared" ca="1" si="22"/>
        <v>0.89297848457690621</v>
      </c>
      <c r="Q456">
        <f t="shared" si="23"/>
        <v>1</v>
      </c>
    </row>
    <row r="457" spans="1:17" x14ac:dyDescent="0.3">
      <c r="A457" t="s">
        <v>740</v>
      </c>
      <c r="B457" t="s">
        <v>64</v>
      </c>
      <c r="C457">
        <v>11</v>
      </c>
      <c r="D457">
        <v>29600</v>
      </c>
      <c r="E457" t="s">
        <v>1146</v>
      </c>
      <c r="F457">
        <v>1</v>
      </c>
      <c r="G457">
        <v>8.5</v>
      </c>
      <c r="H457">
        <v>7400</v>
      </c>
      <c r="I457">
        <v>1</v>
      </c>
      <c r="J457">
        <f>1</f>
        <v>1</v>
      </c>
      <c r="K457">
        <v>1</v>
      </c>
      <c r="L457">
        <v>0</v>
      </c>
      <c r="M457">
        <f t="shared" ca="1" si="21"/>
        <v>0.45866423216823859</v>
      </c>
      <c r="N457">
        <v>0</v>
      </c>
      <c r="O457">
        <v>0</v>
      </c>
      <c r="P457">
        <f t="shared" ca="1" si="22"/>
        <v>0.90956974395651646</v>
      </c>
      <c r="Q457">
        <f t="shared" si="23"/>
        <v>1</v>
      </c>
    </row>
    <row r="458" spans="1:17" x14ac:dyDescent="0.3">
      <c r="A458" t="s">
        <v>122</v>
      </c>
      <c r="B458" t="s">
        <v>65</v>
      </c>
      <c r="C458">
        <v>3</v>
      </c>
      <c r="D458">
        <v>36800</v>
      </c>
      <c r="E458" t="s">
        <v>68</v>
      </c>
      <c r="F458">
        <v>71</v>
      </c>
      <c r="G458">
        <v>10.9</v>
      </c>
      <c r="H458">
        <v>9800</v>
      </c>
      <c r="I458">
        <v>0</v>
      </c>
      <c r="J458">
        <f>1</f>
        <v>1</v>
      </c>
      <c r="K458">
        <v>1</v>
      </c>
      <c r="L458">
        <v>0</v>
      </c>
      <c r="M458">
        <f t="shared" ca="1" si="21"/>
        <v>0.27530725226739949</v>
      </c>
      <c r="N458">
        <v>0</v>
      </c>
      <c r="O458">
        <v>0</v>
      </c>
      <c r="P458">
        <f t="shared" ca="1" si="22"/>
        <v>0.52244213350788071</v>
      </c>
      <c r="Q458">
        <f t="shared" si="23"/>
        <v>1</v>
      </c>
    </row>
    <row r="459" spans="1:17" x14ac:dyDescent="0.3">
      <c r="A459" t="s">
        <v>494</v>
      </c>
      <c r="B459" t="s">
        <v>64</v>
      </c>
      <c r="C459">
        <v>8</v>
      </c>
      <c r="D459">
        <v>74300</v>
      </c>
      <c r="E459" t="s">
        <v>68</v>
      </c>
      <c r="F459">
        <v>67</v>
      </c>
      <c r="G459">
        <v>0.4</v>
      </c>
      <c r="H459">
        <v>7400</v>
      </c>
      <c r="I459">
        <v>0</v>
      </c>
      <c r="J459">
        <f>1</f>
        <v>1</v>
      </c>
      <c r="K459">
        <v>1</v>
      </c>
      <c r="L459">
        <v>0</v>
      </c>
      <c r="M459">
        <f t="shared" ca="1" si="21"/>
        <v>0.25914815111748457</v>
      </c>
      <c r="N459">
        <v>0</v>
      </c>
      <c r="O459">
        <v>0</v>
      </c>
      <c r="P459">
        <f t="shared" ca="1" si="22"/>
        <v>0.3262488173444329</v>
      </c>
      <c r="Q459">
        <f t="shared" si="23"/>
        <v>1</v>
      </c>
    </row>
    <row r="460" spans="1:17" x14ac:dyDescent="0.3">
      <c r="A460" t="s">
        <v>922</v>
      </c>
      <c r="B460" t="s">
        <v>513</v>
      </c>
      <c r="C460">
        <v>5</v>
      </c>
      <c r="D460">
        <v>36000</v>
      </c>
      <c r="E460" t="s">
        <v>1146</v>
      </c>
      <c r="F460">
        <v>6</v>
      </c>
      <c r="G460">
        <v>8</v>
      </c>
      <c r="H460">
        <v>7200</v>
      </c>
      <c r="I460">
        <v>1</v>
      </c>
      <c r="J460">
        <f>1</f>
        <v>1</v>
      </c>
      <c r="K460">
        <v>1</v>
      </c>
      <c r="L460">
        <v>0</v>
      </c>
      <c r="M460">
        <f t="shared" ca="1" si="21"/>
        <v>0.16250540450257178</v>
      </c>
      <c r="N460">
        <v>0</v>
      </c>
      <c r="O460">
        <v>0</v>
      </c>
      <c r="P460">
        <f t="shared" ca="1" si="22"/>
        <v>0.45028387806328107</v>
      </c>
      <c r="Q460">
        <f t="shared" si="23"/>
        <v>1</v>
      </c>
    </row>
    <row r="461" spans="1:17" x14ac:dyDescent="0.3">
      <c r="A461" t="s">
        <v>928</v>
      </c>
      <c r="B461" t="s">
        <v>65</v>
      </c>
      <c r="C461">
        <v>6</v>
      </c>
      <c r="D461">
        <v>86300</v>
      </c>
      <c r="E461" t="s">
        <v>1146</v>
      </c>
      <c r="F461">
        <v>8</v>
      </c>
      <c r="G461">
        <v>5.5</v>
      </c>
      <c r="H461">
        <v>7400</v>
      </c>
      <c r="I461">
        <v>1</v>
      </c>
      <c r="J461">
        <f>1</f>
        <v>1</v>
      </c>
      <c r="K461">
        <v>1</v>
      </c>
      <c r="L461">
        <v>0</v>
      </c>
      <c r="M461">
        <f t="shared" ca="1" si="21"/>
        <v>0.21066043192226802</v>
      </c>
      <c r="N461">
        <v>0</v>
      </c>
      <c r="O461">
        <v>0</v>
      </c>
      <c r="P461">
        <f t="shared" ca="1" si="22"/>
        <v>0.6579922751143138</v>
      </c>
      <c r="Q461">
        <f t="shared" si="23"/>
        <v>1</v>
      </c>
    </row>
    <row r="462" spans="1:17" x14ac:dyDescent="0.3">
      <c r="A462" t="s">
        <v>912</v>
      </c>
      <c r="B462" t="s">
        <v>513</v>
      </c>
      <c r="C462">
        <v>6</v>
      </c>
      <c r="D462">
        <v>75400</v>
      </c>
      <c r="E462" t="s">
        <v>1146</v>
      </c>
      <c r="F462">
        <v>9</v>
      </c>
      <c r="G462">
        <v>9.1999999999999993</v>
      </c>
      <c r="H462">
        <v>3700</v>
      </c>
      <c r="I462">
        <v>1</v>
      </c>
      <c r="J462">
        <f>1</f>
        <v>1</v>
      </c>
      <c r="K462">
        <v>1</v>
      </c>
      <c r="L462">
        <v>0</v>
      </c>
      <c r="M462">
        <f t="shared" ca="1" si="21"/>
        <v>0.92748388556439931</v>
      </c>
      <c r="N462">
        <v>0</v>
      </c>
      <c r="O462">
        <v>0</v>
      </c>
      <c r="P462">
        <f t="shared" ca="1" si="22"/>
        <v>6.3454415092395466E-2</v>
      </c>
      <c r="Q462">
        <f t="shared" si="23"/>
        <v>1</v>
      </c>
    </row>
    <row r="463" spans="1:17" x14ac:dyDescent="0.3">
      <c r="A463" t="s">
        <v>401</v>
      </c>
      <c r="B463" t="s">
        <v>513</v>
      </c>
      <c r="C463">
        <v>2</v>
      </c>
      <c r="D463">
        <v>40500</v>
      </c>
      <c r="E463" t="s">
        <v>67</v>
      </c>
      <c r="F463">
        <v>93</v>
      </c>
      <c r="G463">
        <v>11.6</v>
      </c>
      <c r="H463">
        <v>4300</v>
      </c>
      <c r="I463">
        <v>0</v>
      </c>
      <c r="J463">
        <f>1</f>
        <v>1</v>
      </c>
      <c r="K463">
        <v>1</v>
      </c>
      <c r="L463">
        <v>0</v>
      </c>
      <c r="M463">
        <f t="shared" ca="1" si="21"/>
        <v>0.13594581079353607</v>
      </c>
      <c r="N463">
        <v>0</v>
      </c>
      <c r="O463">
        <v>0</v>
      </c>
      <c r="P463">
        <f t="shared" ca="1" si="22"/>
        <v>0.8312637553526161</v>
      </c>
      <c r="Q463">
        <f t="shared" si="23"/>
        <v>1</v>
      </c>
    </row>
    <row r="464" spans="1:17" x14ac:dyDescent="0.3">
      <c r="A464" t="s">
        <v>717</v>
      </c>
      <c r="B464" t="s">
        <v>65</v>
      </c>
      <c r="C464">
        <v>4</v>
      </c>
      <c r="D464">
        <v>40600</v>
      </c>
      <c r="E464" t="s">
        <v>1146</v>
      </c>
      <c r="F464">
        <v>8</v>
      </c>
      <c r="G464">
        <v>10.9</v>
      </c>
      <c r="H464">
        <v>0</v>
      </c>
      <c r="I464">
        <v>1</v>
      </c>
      <c r="J464">
        <f>1</f>
        <v>1</v>
      </c>
      <c r="K464">
        <v>1</v>
      </c>
      <c r="L464">
        <v>0</v>
      </c>
      <c r="M464">
        <f t="shared" ca="1" si="21"/>
        <v>0.1480687247139153</v>
      </c>
      <c r="N464">
        <v>0</v>
      </c>
      <c r="O464">
        <v>0</v>
      </c>
      <c r="P464">
        <f t="shared" ca="1" si="22"/>
        <v>0.11238584886830816</v>
      </c>
      <c r="Q464">
        <f t="shared" si="23"/>
        <v>1</v>
      </c>
    </row>
    <row r="465" spans="1:17" x14ac:dyDescent="0.3">
      <c r="A465" t="s">
        <v>715</v>
      </c>
      <c r="B465" t="s">
        <v>513</v>
      </c>
      <c r="C465">
        <v>2</v>
      </c>
      <c r="D465">
        <v>46500</v>
      </c>
      <c r="E465" t="s">
        <v>1146</v>
      </c>
      <c r="F465">
        <v>2</v>
      </c>
      <c r="G465">
        <v>14</v>
      </c>
      <c r="H465">
        <v>10400</v>
      </c>
      <c r="I465">
        <v>1</v>
      </c>
      <c r="J465">
        <f>1</f>
        <v>1</v>
      </c>
      <c r="K465">
        <v>1</v>
      </c>
      <c r="L465">
        <v>0</v>
      </c>
      <c r="M465">
        <f t="shared" ca="1" si="21"/>
        <v>0.29639164785445227</v>
      </c>
      <c r="N465">
        <v>0</v>
      </c>
      <c r="O465">
        <v>0</v>
      </c>
      <c r="P465">
        <f t="shared" ca="1" si="22"/>
        <v>0.31217811287261898</v>
      </c>
      <c r="Q465">
        <f t="shared" si="23"/>
        <v>1</v>
      </c>
    </row>
    <row r="466" spans="1:17" x14ac:dyDescent="0.3">
      <c r="A466" t="s">
        <v>951</v>
      </c>
      <c r="B466" t="s">
        <v>64</v>
      </c>
      <c r="C466">
        <v>5</v>
      </c>
      <c r="D466">
        <v>63700</v>
      </c>
      <c r="E466" t="s">
        <v>1146</v>
      </c>
      <c r="F466">
        <v>3</v>
      </c>
      <c r="G466">
        <v>5</v>
      </c>
      <c r="H466">
        <v>5100</v>
      </c>
      <c r="I466">
        <v>1</v>
      </c>
      <c r="J466">
        <f>1</f>
        <v>1</v>
      </c>
      <c r="K466">
        <v>1</v>
      </c>
      <c r="L466">
        <v>0</v>
      </c>
      <c r="M466">
        <f t="shared" ca="1" si="21"/>
        <v>0.55378088265614422</v>
      </c>
      <c r="N466">
        <v>0</v>
      </c>
      <c r="O466">
        <v>0</v>
      </c>
      <c r="P466">
        <f t="shared" ca="1" si="22"/>
        <v>0.77659251440900312</v>
      </c>
      <c r="Q466">
        <f t="shared" si="23"/>
        <v>1</v>
      </c>
    </row>
    <row r="467" spans="1:17" x14ac:dyDescent="0.3">
      <c r="A467" t="s">
        <v>276</v>
      </c>
      <c r="B467" t="s">
        <v>62</v>
      </c>
      <c r="C467">
        <v>3</v>
      </c>
      <c r="D467">
        <v>44700</v>
      </c>
      <c r="E467" t="s">
        <v>66</v>
      </c>
      <c r="F467">
        <v>32</v>
      </c>
      <c r="G467">
        <v>1.1000000000000001</v>
      </c>
      <c r="H467">
        <v>0</v>
      </c>
      <c r="I467">
        <v>0</v>
      </c>
      <c r="J467">
        <f>1</f>
        <v>1</v>
      </c>
      <c r="K467">
        <v>1</v>
      </c>
      <c r="L467">
        <v>0</v>
      </c>
      <c r="M467">
        <f t="shared" ca="1" si="21"/>
        <v>0.94751027923657682</v>
      </c>
      <c r="N467">
        <v>0</v>
      </c>
      <c r="O467">
        <v>0</v>
      </c>
      <c r="P467">
        <f t="shared" ca="1" si="22"/>
        <v>1.6215598447438029E-2</v>
      </c>
      <c r="Q467">
        <f t="shared" si="23"/>
        <v>1</v>
      </c>
    </row>
    <row r="468" spans="1:17" x14ac:dyDescent="0.3">
      <c r="A468" t="s">
        <v>430</v>
      </c>
      <c r="B468" t="s">
        <v>64</v>
      </c>
      <c r="C468">
        <v>1</v>
      </c>
      <c r="D468">
        <v>12600</v>
      </c>
      <c r="E468" t="s">
        <v>66</v>
      </c>
      <c r="F468">
        <v>68</v>
      </c>
      <c r="G468">
        <v>1.9</v>
      </c>
      <c r="H468">
        <v>1400</v>
      </c>
      <c r="I468">
        <v>0</v>
      </c>
      <c r="J468">
        <f>1</f>
        <v>1</v>
      </c>
      <c r="K468">
        <v>1</v>
      </c>
      <c r="L468">
        <v>0</v>
      </c>
      <c r="M468">
        <f t="shared" ca="1" si="21"/>
        <v>0.11272611202069782</v>
      </c>
      <c r="N468">
        <v>0</v>
      </c>
      <c r="O468">
        <v>0</v>
      </c>
      <c r="P468">
        <f t="shared" ca="1" si="22"/>
        <v>0.44020138952229793</v>
      </c>
      <c r="Q468">
        <f t="shared" si="23"/>
        <v>1</v>
      </c>
    </row>
    <row r="469" spans="1:17" x14ac:dyDescent="0.3">
      <c r="A469" t="s">
        <v>609</v>
      </c>
      <c r="B469" t="s">
        <v>65</v>
      </c>
      <c r="C469">
        <v>6</v>
      </c>
      <c r="D469">
        <v>52700</v>
      </c>
      <c r="E469" t="s">
        <v>68</v>
      </c>
      <c r="F469">
        <v>71</v>
      </c>
      <c r="G469">
        <v>1.9</v>
      </c>
      <c r="H469">
        <v>5200</v>
      </c>
      <c r="I469">
        <v>0</v>
      </c>
      <c r="J469">
        <f>1</f>
        <v>1</v>
      </c>
      <c r="K469">
        <v>1</v>
      </c>
      <c r="L469">
        <v>0</v>
      </c>
      <c r="M469">
        <f t="shared" ca="1" si="21"/>
        <v>0.18740461277139719</v>
      </c>
      <c r="N469">
        <v>0</v>
      </c>
      <c r="O469">
        <v>0</v>
      </c>
      <c r="P469">
        <f t="shared" ca="1" si="22"/>
        <v>0.44717764821772366</v>
      </c>
      <c r="Q469">
        <f t="shared" si="23"/>
        <v>1</v>
      </c>
    </row>
    <row r="470" spans="1:17" x14ac:dyDescent="0.3">
      <c r="A470" t="s">
        <v>638</v>
      </c>
      <c r="B470" t="s">
        <v>64</v>
      </c>
      <c r="C470">
        <v>2</v>
      </c>
      <c r="D470">
        <v>30700</v>
      </c>
      <c r="E470" t="s">
        <v>1146</v>
      </c>
      <c r="F470">
        <v>10</v>
      </c>
      <c r="G470">
        <v>6.5</v>
      </c>
      <c r="H470">
        <v>10500</v>
      </c>
      <c r="I470">
        <v>1</v>
      </c>
      <c r="J470">
        <f>1</f>
        <v>1</v>
      </c>
      <c r="K470">
        <v>1</v>
      </c>
      <c r="L470">
        <v>0</v>
      </c>
      <c r="M470">
        <f t="shared" ca="1" si="21"/>
        <v>0.28762142959476666</v>
      </c>
      <c r="N470">
        <v>0</v>
      </c>
      <c r="O470">
        <v>0</v>
      </c>
      <c r="P470">
        <f t="shared" ca="1" si="22"/>
        <v>0.6332922538449256</v>
      </c>
      <c r="Q470">
        <f t="shared" si="23"/>
        <v>1</v>
      </c>
    </row>
    <row r="471" spans="1:17" x14ac:dyDescent="0.3">
      <c r="A471" t="s">
        <v>848</v>
      </c>
      <c r="B471" t="s">
        <v>513</v>
      </c>
      <c r="C471">
        <v>6</v>
      </c>
      <c r="D471">
        <v>25100</v>
      </c>
      <c r="E471" t="s">
        <v>1146</v>
      </c>
      <c r="F471">
        <v>2</v>
      </c>
      <c r="G471">
        <v>13.4</v>
      </c>
      <c r="H471">
        <v>0</v>
      </c>
      <c r="I471">
        <v>1</v>
      </c>
      <c r="J471">
        <f>1</f>
        <v>1</v>
      </c>
      <c r="K471">
        <v>1</v>
      </c>
      <c r="L471">
        <v>0</v>
      </c>
      <c r="M471">
        <f t="shared" ca="1" si="21"/>
        <v>0.90280023104780105</v>
      </c>
      <c r="N471">
        <v>0</v>
      </c>
      <c r="O471">
        <v>0</v>
      </c>
      <c r="P471">
        <f t="shared" ca="1" si="22"/>
        <v>5.3593702575914337E-2</v>
      </c>
      <c r="Q471">
        <f t="shared" si="23"/>
        <v>1</v>
      </c>
    </row>
    <row r="472" spans="1:17" x14ac:dyDescent="0.3">
      <c r="A472" t="s">
        <v>997</v>
      </c>
      <c r="B472" t="s">
        <v>513</v>
      </c>
      <c r="C472">
        <v>7</v>
      </c>
      <c r="D472">
        <v>32500</v>
      </c>
      <c r="E472" t="s">
        <v>1146</v>
      </c>
      <c r="F472">
        <v>2</v>
      </c>
      <c r="G472">
        <v>2.7</v>
      </c>
      <c r="H472">
        <v>4800</v>
      </c>
      <c r="I472">
        <v>1</v>
      </c>
      <c r="J472">
        <f>1</f>
        <v>1</v>
      </c>
      <c r="K472">
        <v>1</v>
      </c>
      <c r="L472">
        <v>0</v>
      </c>
      <c r="M472">
        <f t="shared" ca="1" si="21"/>
        <v>0.54367228115207733</v>
      </c>
      <c r="N472">
        <v>0</v>
      </c>
      <c r="O472">
        <v>0</v>
      </c>
      <c r="P472">
        <f t="shared" ca="1" si="22"/>
        <v>0.77936498583348701</v>
      </c>
      <c r="Q472">
        <f t="shared" si="23"/>
        <v>1</v>
      </c>
    </row>
    <row r="473" spans="1:17" x14ac:dyDescent="0.3">
      <c r="A473" t="s">
        <v>1076</v>
      </c>
      <c r="B473" t="s">
        <v>64</v>
      </c>
      <c r="C473">
        <v>2</v>
      </c>
      <c r="D473">
        <v>43200</v>
      </c>
      <c r="E473" t="s">
        <v>1146</v>
      </c>
      <c r="F473">
        <v>10</v>
      </c>
      <c r="G473">
        <v>3.1</v>
      </c>
      <c r="H473">
        <v>0</v>
      </c>
      <c r="I473">
        <v>1</v>
      </c>
      <c r="J473">
        <f>1</f>
        <v>1</v>
      </c>
      <c r="K473">
        <v>1</v>
      </c>
      <c r="L473">
        <v>0</v>
      </c>
      <c r="M473">
        <f t="shared" ca="1" si="21"/>
        <v>0.60293759525905966</v>
      </c>
      <c r="N473">
        <v>0</v>
      </c>
      <c r="O473">
        <v>0</v>
      </c>
      <c r="P473">
        <f t="shared" ca="1" si="22"/>
        <v>0.20273390481040199</v>
      </c>
      <c r="Q473">
        <f t="shared" si="23"/>
        <v>1</v>
      </c>
    </row>
    <row r="474" spans="1:17" x14ac:dyDescent="0.3">
      <c r="A474" t="s">
        <v>137</v>
      </c>
      <c r="B474" t="s">
        <v>62</v>
      </c>
      <c r="C474">
        <v>3</v>
      </c>
      <c r="D474">
        <v>24100</v>
      </c>
      <c r="E474" t="s">
        <v>66</v>
      </c>
      <c r="F474">
        <v>41</v>
      </c>
      <c r="G474">
        <v>3.5</v>
      </c>
      <c r="H474">
        <v>2700</v>
      </c>
      <c r="I474">
        <v>0</v>
      </c>
      <c r="J474">
        <f>1</f>
        <v>1</v>
      </c>
      <c r="K474">
        <v>1</v>
      </c>
      <c r="L474">
        <v>0</v>
      </c>
      <c r="M474">
        <f t="shared" ca="1" si="21"/>
        <v>0.35639696538360277</v>
      </c>
      <c r="N474">
        <v>0</v>
      </c>
      <c r="O474">
        <v>0</v>
      </c>
      <c r="P474">
        <f t="shared" ca="1" si="22"/>
        <v>0.71359759148901347</v>
      </c>
      <c r="Q474">
        <f t="shared" si="23"/>
        <v>1</v>
      </c>
    </row>
    <row r="475" spans="1:17" x14ac:dyDescent="0.3">
      <c r="A475" t="s">
        <v>656</v>
      </c>
      <c r="B475" t="s">
        <v>513</v>
      </c>
      <c r="C475">
        <v>9</v>
      </c>
      <c r="D475">
        <v>30900</v>
      </c>
      <c r="E475" t="s">
        <v>1146</v>
      </c>
      <c r="F475">
        <v>3</v>
      </c>
      <c r="G475">
        <v>0.9</v>
      </c>
      <c r="H475">
        <v>7300</v>
      </c>
      <c r="I475">
        <v>1</v>
      </c>
      <c r="J475">
        <f>1</f>
        <v>1</v>
      </c>
      <c r="K475">
        <v>1</v>
      </c>
      <c r="L475">
        <v>0</v>
      </c>
      <c r="M475">
        <f t="shared" ca="1" si="21"/>
        <v>0.90646194008067427</v>
      </c>
      <c r="N475">
        <v>0</v>
      </c>
      <c r="O475">
        <v>0</v>
      </c>
      <c r="P475">
        <f t="shared" ca="1" si="22"/>
        <v>0.38964103008158102</v>
      </c>
      <c r="Q475">
        <f t="shared" si="23"/>
        <v>1</v>
      </c>
    </row>
    <row r="476" spans="1:17" x14ac:dyDescent="0.3">
      <c r="A476" t="s">
        <v>698</v>
      </c>
      <c r="B476" t="s">
        <v>513</v>
      </c>
      <c r="C476">
        <v>1</v>
      </c>
      <c r="D476">
        <v>64100</v>
      </c>
      <c r="E476" t="s">
        <v>1146</v>
      </c>
      <c r="F476">
        <v>5</v>
      </c>
      <c r="G476">
        <v>5.9</v>
      </c>
      <c r="H476">
        <v>0</v>
      </c>
      <c r="I476">
        <v>1</v>
      </c>
      <c r="J476">
        <f>1</f>
        <v>1</v>
      </c>
      <c r="K476">
        <v>1</v>
      </c>
      <c r="L476">
        <v>0</v>
      </c>
      <c r="M476">
        <f t="shared" ca="1" si="21"/>
        <v>0.19570216332547918</v>
      </c>
      <c r="N476">
        <v>0</v>
      </c>
      <c r="O476">
        <v>0</v>
      </c>
      <c r="P476">
        <f t="shared" ca="1" si="22"/>
        <v>0.48077318524974888</v>
      </c>
      <c r="Q476">
        <f t="shared" si="23"/>
        <v>1</v>
      </c>
    </row>
    <row r="477" spans="1:17" x14ac:dyDescent="0.3">
      <c r="A477" t="s">
        <v>191</v>
      </c>
      <c r="B477" t="s">
        <v>513</v>
      </c>
      <c r="C477">
        <v>5</v>
      </c>
      <c r="D477">
        <v>49300</v>
      </c>
      <c r="E477" t="s">
        <v>69</v>
      </c>
      <c r="F477">
        <v>56</v>
      </c>
      <c r="G477">
        <v>13.9</v>
      </c>
      <c r="H477">
        <v>4300</v>
      </c>
      <c r="I477">
        <v>0</v>
      </c>
      <c r="J477">
        <f>1</f>
        <v>1</v>
      </c>
      <c r="K477">
        <v>1</v>
      </c>
      <c r="L477">
        <v>0</v>
      </c>
      <c r="M477">
        <f t="shared" ca="1" si="21"/>
        <v>0.68277717448186159</v>
      </c>
      <c r="N477">
        <v>0</v>
      </c>
      <c r="O477">
        <v>0</v>
      </c>
      <c r="P477">
        <f t="shared" ca="1" si="22"/>
        <v>0.3433804928994969</v>
      </c>
      <c r="Q477">
        <f t="shared" si="23"/>
        <v>1</v>
      </c>
    </row>
    <row r="478" spans="1:17" x14ac:dyDescent="0.3">
      <c r="A478" t="s">
        <v>627</v>
      </c>
      <c r="B478" t="s">
        <v>62</v>
      </c>
      <c r="C478">
        <v>2</v>
      </c>
      <c r="D478">
        <v>33200</v>
      </c>
      <c r="E478" t="s">
        <v>67</v>
      </c>
      <c r="F478">
        <v>120</v>
      </c>
      <c r="G478">
        <v>8.6</v>
      </c>
      <c r="H478">
        <v>1400</v>
      </c>
      <c r="I478">
        <v>0</v>
      </c>
      <c r="J478">
        <f>1</f>
        <v>1</v>
      </c>
      <c r="K478">
        <v>1</v>
      </c>
      <c r="L478">
        <v>0</v>
      </c>
      <c r="M478">
        <f t="shared" ca="1" si="21"/>
        <v>1.5033820762864858E-2</v>
      </c>
      <c r="N478">
        <v>0</v>
      </c>
      <c r="O478">
        <v>0</v>
      </c>
      <c r="P478">
        <f t="shared" ca="1" si="22"/>
        <v>0.81568129559053149</v>
      </c>
      <c r="Q478">
        <f t="shared" si="23"/>
        <v>1</v>
      </c>
    </row>
    <row r="479" spans="1:17" x14ac:dyDescent="0.3">
      <c r="A479" t="s">
        <v>651</v>
      </c>
      <c r="B479" t="s">
        <v>513</v>
      </c>
      <c r="C479">
        <v>5</v>
      </c>
      <c r="D479">
        <v>25100</v>
      </c>
      <c r="E479" t="s">
        <v>1146</v>
      </c>
      <c r="F479">
        <v>7</v>
      </c>
      <c r="G479">
        <v>3.3</v>
      </c>
      <c r="H479">
        <v>4400</v>
      </c>
      <c r="I479">
        <v>1</v>
      </c>
      <c r="J479">
        <f>1</f>
        <v>1</v>
      </c>
      <c r="K479">
        <v>1</v>
      </c>
      <c r="L479">
        <v>0</v>
      </c>
      <c r="M479">
        <f t="shared" ca="1" si="21"/>
        <v>0.96891276261017967</v>
      </c>
      <c r="N479">
        <v>0</v>
      </c>
      <c r="O479">
        <v>0</v>
      </c>
      <c r="P479">
        <f t="shared" ca="1" si="22"/>
        <v>0.36965827718826916</v>
      </c>
      <c r="Q479">
        <f t="shared" si="23"/>
        <v>1</v>
      </c>
    </row>
    <row r="480" spans="1:17" x14ac:dyDescent="0.3">
      <c r="A480" t="s">
        <v>156</v>
      </c>
      <c r="B480" t="s">
        <v>62</v>
      </c>
      <c r="C480">
        <v>3</v>
      </c>
      <c r="D480">
        <v>24400</v>
      </c>
      <c r="E480" t="s">
        <v>66</v>
      </c>
      <c r="F480">
        <v>32</v>
      </c>
      <c r="G480">
        <v>8.8000000000000007</v>
      </c>
      <c r="H480">
        <v>900</v>
      </c>
      <c r="I480">
        <v>0</v>
      </c>
      <c r="J480">
        <f>1</f>
        <v>1</v>
      </c>
      <c r="K480">
        <v>1</v>
      </c>
      <c r="L480">
        <v>0</v>
      </c>
      <c r="M480">
        <f t="shared" ca="1" si="21"/>
        <v>0.42761857493765865</v>
      </c>
      <c r="N480">
        <v>0</v>
      </c>
      <c r="O480">
        <v>0</v>
      </c>
      <c r="P480">
        <f t="shared" ca="1" si="22"/>
        <v>0.95109602532390469</v>
      </c>
      <c r="Q480">
        <f t="shared" si="23"/>
        <v>1</v>
      </c>
    </row>
    <row r="481" spans="1:17" x14ac:dyDescent="0.3">
      <c r="A481" t="s">
        <v>262</v>
      </c>
      <c r="B481" t="s">
        <v>62</v>
      </c>
      <c r="C481">
        <v>9</v>
      </c>
      <c r="D481">
        <v>83500</v>
      </c>
      <c r="E481" t="s">
        <v>67</v>
      </c>
      <c r="F481">
        <v>119</v>
      </c>
      <c r="G481">
        <v>6.8</v>
      </c>
      <c r="H481">
        <v>700</v>
      </c>
      <c r="I481">
        <v>0</v>
      </c>
      <c r="J481">
        <f>1</f>
        <v>1</v>
      </c>
      <c r="K481">
        <v>1</v>
      </c>
      <c r="L481">
        <v>0</v>
      </c>
      <c r="M481">
        <f t="shared" ca="1" si="21"/>
        <v>0.35591975902718009</v>
      </c>
      <c r="N481">
        <v>0</v>
      </c>
      <c r="O481">
        <v>0</v>
      </c>
      <c r="P481">
        <f t="shared" ca="1" si="22"/>
        <v>0.4556326182195406</v>
      </c>
      <c r="Q481">
        <f t="shared" si="23"/>
        <v>1</v>
      </c>
    </row>
    <row r="482" spans="1:17" x14ac:dyDescent="0.3">
      <c r="A482" t="s">
        <v>772</v>
      </c>
      <c r="B482" t="s">
        <v>62</v>
      </c>
      <c r="C482">
        <v>9</v>
      </c>
      <c r="D482">
        <v>78500</v>
      </c>
      <c r="E482" t="s">
        <v>1146</v>
      </c>
      <c r="F482">
        <v>3</v>
      </c>
      <c r="G482">
        <v>9.8000000000000007</v>
      </c>
      <c r="H482">
        <v>7400</v>
      </c>
      <c r="I482">
        <v>1</v>
      </c>
      <c r="J482">
        <f>1</f>
        <v>1</v>
      </c>
      <c r="K482">
        <v>1</v>
      </c>
      <c r="L482">
        <v>0</v>
      </c>
      <c r="M482">
        <f t="shared" ca="1" si="21"/>
        <v>0.49197239466609299</v>
      </c>
      <c r="N482">
        <v>0</v>
      </c>
      <c r="O482">
        <v>0</v>
      </c>
      <c r="P482">
        <f t="shared" ca="1" si="22"/>
        <v>0.78928785186139128</v>
      </c>
      <c r="Q482">
        <f t="shared" si="23"/>
        <v>1</v>
      </c>
    </row>
    <row r="483" spans="1:17" x14ac:dyDescent="0.3">
      <c r="A483" t="s">
        <v>724</v>
      </c>
      <c r="B483" t="s">
        <v>62</v>
      </c>
      <c r="C483">
        <v>3</v>
      </c>
      <c r="D483">
        <v>29600</v>
      </c>
      <c r="E483" t="s">
        <v>1146</v>
      </c>
      <c r="F483">
        <v>6</v>
      </c>
      <c r="G483">
        <v>0.6</v>
      </c>
      <c r="H483">
        <v>3600</v>
      </c>
      <c r="I483">
        <v>1</v>
      </c>
      <c r="J483">
        <f>1</f>
        <v>1</v>
      </c>
      <c r="K483">
        <v>1</v>
      </c>
      <c r="L483">
        <v>0</v>
      </c>
      <c r="M483">
        <f t="shared" ca="1" si="21"/>
        <v>0.88318063109489775</v>
      </c>
      <c r="N483">
        <v>0</v>
      </c>
      <c r="O483">
        <v>0</v>
      </c>
      <c r="P483">
        <f t="shared" ca="1" si="22"/>
        <v>0.81899677847854724</v>
      </c>
      <c r="Q483">
        <f t="shared" si="23"/>
        <v>1</v>
      </c>
    </row>
    <row r="484" spans="1:17" x14ac:dyDescent="0.3">
      <c r="A484" t="s">
        <v>199</v>
      </c>
      <c r="B484" t="s">
        <v>64</v>
      </c>
      <c r="C484">
        <v>3</v>
      </c>
      <c r="D484">
        <v>42400</v>
      </c>
      <c r="E484" t="s">
        <v>66</v>
      </c>
      <c r="F484">
        <v>69</v>
      </c>
      <c r="G484">
        <v>1</v>
      </c>
      <c r="H484">
        <v>4900</v>
      </c>
      <c r="I484">
        <v>0</v>
      </c>
      <c r="J484">
        <f>1</f>
        <v>1</v>
      </c>
      <c r="K484">
        <v>1</v>
      </c>
      <c r="L484">
        <v>0</v>
      </c>
      <c r="M484">
        <f t="shared" ca="1" si="21"/>
        <v>0.37459637346640184</v>
      </c>
      <c r="N484">
        <v>0</v>
      </c>
      <c r="O484">
        <v>0</v>
      </c>
      <c r="P484">
        <f t="shared" ca="1" si="22"/>
        <v>9.5381745653195682E-2</v>
      </c>
      <c r="Q484">
        <f t="shared" si="23"/>
        <v>1</v>
      </c>
    </row>
    <row r="485" spans="1:17" x14ac:dyDescent="0.3">
      <c r="A485" t="s">
        <v>990</v>
      </c>
      <c r="B485" t="s">
        <v>65</v>
      </c>
      <c r="C485">
        <v>9</v>
      </c>
      <c r="D485">
        <v>49500</v>
      </c>
      <c r="E485" t="s">
        <v>1146</v>
      </c>
      <c r="F485">
        <v>8</v>
      </c>
      <c r="G485">
        <v>10.7</v>
      </c>
      <c r="H485">
        <v>6400</v>
      </c>
      <c r="I485">
        <v>1</v>
      </c>
      <c r="J485">
        <f>1</f>
        <v>1</v>
      </c>
      <c r="K485">
        <v>1</v>
      </c>
      <c r="L485">
        <v>0</v>
      </c>
      <c r="M485">
        <f t="shared" ca="1" si="21"/>
        <v>0.71430795445882367</v>
      </c>
      <c r="N485">
        <v>0</v>
      </c>
      <c r="O485">
        <v>0</v>
      </c>
      <c r="P485">
        <f t="shared" ca="1" si="22"/>
        <v>0.42916595645366795</v>
      </c>
      <c r="Q485">
        <f t="shared" si="23"/>
        <v>1</v>
      </c>
    </row>
    <row r="486" spans="1:17" x14ac:dyDescent="0.3">
      <c r="A486" t="s">
        <v>966</v>
      </c>
      <c r="B486" t="s">
        <v>62</v>
      </c>
      <c r="C486">
        <v>4</v>
      </c>
      <c r="D486">
        <v>30900</v>
      </c>
      <c r="E486" t="s">
        <v>1146</v>
      </c>
      <c r="F486">
        <v>4</v>
      </c>
      <c r="G486">
        <v>0.5</v>
      </c>
      <c r="H486">
        <v>4200</v>
      </c>
      <c r="I486">
        <v>1</v>
      </c>
      <c r="J486">
        <f>1</f>
        <v>1</v>
      </c>
      <c r="K486">
        <v>1</v>
      </c>
      <c r="L486">
        <v>0</v>
      </c>
      <c r="M486">
        <f t="shared" ca="1" si="21"/>
        <v>0.37370436997111756</v>
      </c>
      <c r="N486">
        <v>0</v>
      </c>
      <c r="O486">
        <v>0</v>
      </c>
      <c r="P486">
        <f t="shared" ca="1" si="22"/>
        <v>0.42895954336700248</v>
      </c>
      <c r="Q486">
        <f t="shared" si="23"/>
        <v>1</v>
      </c>
    </row>
    <row r="487" spans="1:17" x14ac:dyDescent="0.3">
      <c r="A487" t="s">
        <v>425</v>
      </c>
      <c r="B487" t="s">
        <v>513</v>
      </c>
      <c r="C487">
        <v>4</v>
      </c>
      <c r="D487">
        <v>45800</v>
      </c>
      <c r="E487" t="s">
        <v>69</v>
      </c>
      <c r="F487">
        <v>54</v>
      </c>
      <c r="G487">
        <v>5.0999999999999996</v>
      </c>
      <c r="H487">
        <v>3700</v>
      </c>
      <c r="I487">
        <v>0</v>
      </c>
      <c r="J487">
        <f>1</f>
        <v>1</v>
      </c>
      <c r="K487">
        <v>1</v>
      </c>
      <c r="L487">
        <v>0</v>
      </c>
      <c r="M487">
        <f t="shared" ca="1" si="21"/>
        <v>0.31016670568268745</v>
      </c>
      <c r="N487">
        <v>0</v>
      </c>
      <c r="O487">
        <v>0</v>
      </c>
      <c r="P487">
        <f t="shared" ca="1" si="22"/>
        <v>0.39841392053497349</v>
      </c>
      <c r="Q487">
        <f t="shared" si="23"/>
        <v>1</v>
      </c>
    </row>
    <row r="488" spans="1:17" x14ac:dyDescent="0.3">
      <c r="A488" t="s">
        <v>668</v>
      </c>
      <c r="B488" t="s">
        <v>65</v>
      </c>
      <c r="C488">
        <v>9</v>
      </c>
      <c r="D488">
        <v>76800</v>
      </c>
      <c r="E488" t="s">
        <v>1146</v>
      </c>
      <c r="F488">
        <v>4</v>
      </c>
      <c r="G488">
        <v>13.9</v>
      </c>
      <c r="H488">
        <v>9500</v>
      </c>
      <c r="I488">
        <v>1</v>
      </c>
      <c r="J488">
        <f>1</f>
        <v>1</v>
      </c>
      <c r="K488">
        <v>1</v>
      </c>
      <c r="L488">
        <v>0</v>
      </c>
      <c r="M488">
        <f t="shared" ca="1" si="21"/>
        <v>0.28239671645935949</v>
      </c>
      <c r="N488">
        <v>0</v>
      </c>
      <c r="O488">
        <v>0</v>
      </c>
      <c r="P488">
        <f t="shared" ca="1" si="22"/>
        <v>0.90090135918866732</v>
      </c>
      <c r="Q488">
        <f t="shared" si="23"/>
        <v>1</v>
      </c>
    </row>
    <row r="489" spans="1:17" x14ac:dyDescent="0.3">
      <c r="A489" t="s">
        <v>1117</v>
      </c>
      <c r="B489" t="s">
        <v>64</v>
      </c>
      <c r="C489">
        <v>4</v>
      </c>
      <c r="D489">
        <v>20500</v>
      </c>
      <c r="E489" t="s">
        <v>1146</v>
      </c>
      <c r="F489">
        <v>0</v>
      </c>
      <c r="G489">
        <v>7.1</v>
      </c>
      <c r="H489">
        <v>2900</v>
      </c>
      <c r="I489">
        <v>1</v>
      </c>
      <c r="J489">
        <f>1</f>
        <v>1</v>
      </c>
      <c r="K489">
        <v>1</v>
      </c>
      <c r="L489">
        <v>0</v>
      </c>
      <c r="M489">
        <f t="shared" ca="1" si="21"/>
        <v>0.51899793447050591</v>
      </c>
      <c r="N489">
        <v>0</v>
      </c>
      <c r="O489">
        <v>0</v>
      </c>
      <c r="P489">
        <f t="shared" ca="1" si="22"/>
        <v>0.31337673212546191</v>
      </c>
      <c r="Q489">
        <f t="shared" si="23"/>
        <v>1</v>
      </c>
    </row>
    <row r="490" spans="1:17" x14ac:dyDescent="0.3">
      <c r="A490" t="s">
        <v>653</v>
      </c>
      <c r="B490" t="s">
        <v>513</v>
      </c>
      <c r="C490">
        <v>11</v>
      </c>
      <c r="D490">
        <v>19400</v>
      </c>
      <c r="E490" t="s">
        <v>1146</v>
      </c>
      <c r="F490">
        <v>2</v>
      </c>
      <c r="G490">
        <v>10.1</v>
      </c>
      <c r="H490">
        <v>1200</v>
      </c>
      <c r="I490">
        <v>1</v>
      </c>
      <c r="J490">
        <f>1</f>
        <v>1</v>
      </c>
      <c r="K490">
        <v>1</v>
      </c>
      <c r="L490">
        <v>0</v>
      </c>
      <c r="M490">
        <f t="shared" ca="1" si="21"/>
        <v>4.2141353207203802E-2</v>
      </c>
      <c r="N490">
        <v>0</v>
      </c>
      <c r="O490">
        <v>0</v>
      </c>
      <c r="P490">
        <f t="shared" ca="1" si="22"/>
        <v>8.6979599648950967E-2</v>
      </c>
      <c r="Q490">
        <f t="shared" si="23"/>
        <v>1</v>
      </c>
    </row>
    <row r="491" spans="1:17" x14ac:dyDescent="0.3">
      <c r="A491" t="s">
        <v>945</v>
      </c>
      <c r="B491" t="s">
        <v>513</v>
      </c>
      <c r="C491">
        <v>6</v>
      </c>
      <c r="D491">
        <v>31700</v>
      </c>
      <c r="E491" t="s">
        <v>1146</v>
      </c>
      <c r="F491">
        <v>0</v>
      </c>
      <c r="G491">
        <v>4.3</v>
      </c>
      <c r="H491">
        <v>9800</v>
      </c>
      <c r="I491">
        <v>1</v>
      </c>
      <c r="J491">
        <f>1</f>
        <v>1</v>
      </c>
      <c r="K491">
        <v>1</v>
      </c>
      <c r="L491">
        <v>0</v>
      </c>
      <c r="M491">
        <f t="shared" ca="1" si="21"/>
        <v>0.70583747651148709</v>
      </c>
      <c r="N491">
        <v>0</v>
      </c>
      <c r="O491">
        <v>0</v>
      </c>
      <c r="P491">
        <f t="shared" ca="1" si="22"/>
        <v>0.70365882154847037</v>
      </c>
      <c r="Q491">
        <f t="shared" si="23"/>
        <v>1</v>
      </c>
    </row>
    <row r="492" spans="1:17" x14ac:dyDescent="0.3">
      <c r="A492" t="s">
        <v>251</v>
      </c>
      <c r="B492" t="s">
        <v>62</v>
      </c>
      <c r="C492">
        <v>1</v>
      </c>
      <c r="D492">
        <v>68900</v>
      </c>
      <c r="E492" t="s">
        <v>66</v>
      </c>
      <c r="F492">
        <v>42</v>
      </c>
      <c r="G492">
        <v>1.5</v>
      </c>
      <c r="H492">
        <v>5300</v>
      </c>
      <c r="I492">
        <v>0</v>
      </c>
      <c r="J492">
        <f>1</f>
        <v>1</v>
      </c>
      <c r="K492">
        <v>1</v>
      </c>
      <c r="L492">
        <v>0</v>
      </c>
      <c r="M492">
        <f t="shared" ca="1" si="21"/>
        <v>0.37128431611927692</v>
      </c>
      <c r="N492">
        <v>0</v>
      </c>
      <c r="O492">
        <v>0</v>
      </c>
      <c r="P492">
        <f t="shared" ca="1" si="22"/>
        <v>0.10418786956617709</v>
      </c>
      <c r="Q492">
        <f t="shared" si="23"/>
        <v>1</v>
      </c>
    </row>
    <row r="493" spans="1:17" x14ac:dyDescent="0.3">
      <c r="A493" t="s">
        <v>474</v>
      </c>
      <c r="B493" t="s">
        <v>62</v>
      </c>
      <c r="C493">
        <v>8</v>
      </c>
      <c r="D493">
        <v>76600</v>
      </c>
      <c r="E493" t="s">
        <v>67</v>
      </c>
      <c r="F493">
        <v>120</v>
      </c>
      <c r="G493">
        <v>1</v>
      </c>
      <c r="H493">
        <v>6400</v>
      </c>
      <c r="I493">
        <v>0</v>
      </c>
      <c r="J493">
        <f>1</f>
        <v>1</v>
      </c>
      <c r="K493">
        <v>1</v>
      </c>
      <c r="L493">
        <v>0</v>
      </c>
      <c r="M493">
        <f t="shared" ca="1" si="21"/>
        <v>0.52938124906172301</v>
      </c>
      <c r="N493">
        <v>0</v>
      </c>
      <c r="O493">
        <v>0</v>
      </c>
      <c r="P493">
        <f t="shared" ca="1" si="22"/>
        <v>3.3826657095353818E-3</v>
      </c>
      <c r="Q493">
        <f t="shared" si="23"/>
        <v>1</v>
      </c>
    </row>
    <row r="494" spans="1:17" x14ac:dyDescent="0.3">
      <c r="A494" t="s">
        <v>383</v>
      </c>
      <c r="B494" t="s">
        <v>65</v>
      </c>
      <c r="C494">
        <v>3</v>
      </c>
      <c r="D494">
        <v>85700</v>
      </c>
      <c r="E494" t="s">
        <v>69</v>
      </c>
      <c r="F494">
        <v>32</v>
      </c>
      <c r="G494">
        <v>5.5</v>
      </c>
      <c r="H494">
        <v>4600</v>
      </c>
      <c r="I494">
        <v>0</v>
      </c>
      <c r="J494">
        <f>1</f>
        <v>1</v>
      </c>
      <c r="K494">
        <v>1</v>
      </c>
      <c r="L494">
        <v>0</v>
      </c>
      <c r="M494">
        <f t="shared" ca="1" si="21"/>
        <v>9.8360450812568945E-2</v>
      </c>
      <c r="N494">
        <v>0</v>
      </c>
      <c r="O494">
        <v>0</v>
      </c>
      <c r="P494">
        <f t="shared" ca="1" si="22"/>
        <v>0.45099357050787336</v>
      </c>
      <c r="Q494">
        <f t="shared" si="23"/>
        <v>1</v>
      </c>
    </row>
    <row r="495" spans="1:17" x14ac:dyDescent="0.3">
      <c r="A495" t="s">
        <v>598</v>
      </c>
      <c r="B495" t="s">
        <v>65</v>
      </c>
      <c r="C495">
        <v>5</v>
      </c>
      <c r="D495">
        <v>39600</v>
      </c>
      <c r="E495" t="s">
        <v>68</v>
      </c>
      <c r="F495">
        <v>30</v>
      </c>
      <c r="G495">
        <v>9</v>
      </c>
      <c r="H495">
        <v>3400</v>
      </c>
      <c r="I495">
        <v>0</v>
      </c>
      <c r="J495">
        <f>1</f>
        <v>1</v>
      </c>
      <c r="K495">
        <v>1</v>
      </c>
      <c r="L495">
        <v>0</v>
      </c>
      <c r="M495">
        <f t="shared" ca="1" si="21"/>
        <v>2.804047352973682E-2</v>
      </c>
      <c r="N495">
        <v>0</v>
      </c>
      <c r="O495">
        <v>0</v>
      </c>
      <c r="P495">
        <f t="shared" ca="1" si="22"/>
        <v>0.17536134618524135</v>
      </c>
      <c r="Q495">
        <f t="shared" si="23"/>
        <v>1</v>
      </c>
    </row>
    <row r="496" spans="1:17" x14ac:dyDescent="0.3">
      <c r="A496" t="s">
        <v>643</v>
      </c>
      <c r="B496" t="s">
        <v>513</v>
      </c>
      <c r="C496">
        <v>5</v>
      </c>
      <c r="D496">
        <v>48900</v>
      </c>
      <c r="E496" t="s">
        <v>1146</v>
      </c>
      <c r="F496">
        <v>5</v>
      </c>
      <c r="G496">
        <v>1.8</v>
      </c>
      <c r="H496">
        <v>0</v>
      </c>
      <c r="I496">
        <v>1</v>
      </c>
      <c r="J496">
        <f>1</f>
        <v>1</v>
      </c>
      <c r="K496">
        <v>1</v>
      </c>
      <c r="L496">
        <v>0</v>
      </c>
      <c r="M496">
        <f t="shared" ca="1" si="21"/>
        <v>0.98635918482741602</v>
      </c>
      <c r="N496">
        <v>0</v>
      </c>
      <c r="O496">
        <v>0</v>
      </c>
      <c r="P496">
        <f t="shared" ca="1" si="22"/>
        <v>0.81680209695659511</v>
      </c>
      <c r="Q496">
        <f t="shared" si="23"/>
        <v>1</v>
      </c>
    </row>
    <row r="497" spans="1:17" x14ac:dyDescent="0.3">
      <c r="A497" t="s">
        <v>344</v>
      </c>
      <c r="B497" t="s">
        <v>513</v>
      </c>
      <c r="C497">
        <v>9</v>
      </c>
      <c r="D497">
        <v>62100</v>
      </c>
      <c r="E497" t="s">
        <v>69</v>
      </c>
      <c r="F497">
        <v>37</v>
      </c>
      <c r="G497">
        <v>6.3</v>
      </c>
      <c r="H497">
        <v>12600</v>
      </c>
      <c r="I497">
        <v>0</v>
      </c>
      <c r="J497">
        <f>1</f>
        <v>1</v>
      </c>
      <c r="K497">
        <v>1</v>
      </c>
      <c r="L497">
        <v>0</v>
      </c>
      <c r="M497">
        <f t="shared" ca="1" si="21"/>
        <v>0.54296372173295726</v>
      </c>
      <c r="N497">
        <v>0</v>
      </c>
      <c r="O497">
        <v>0</v>
      </c>
      <c r="P497">
        <f t="shared" ca="1" si="22"/>
        <v>0.33255230805884728</v>
      </c>
      <c r="Q497">
        <f t="shared" si="23"/>
        <v>1</v>
      </c>
    </row>
    <row r="498" spans="1:17" x14ac:dyDescent="0.3">
      <c r="A498" t="s">
        <v>667</v>
      </c>
      <c r="B498" t="s">
        <v>62</v>
      </c>
      <c r="C498">
        <v>5</v>
      </c>
      <c r="D498">
        <v>86900</v>
      </c>
      <c r="E498" t="s">
        <v>1146</v>
      </c>
      <c r="F498">
        <v>8</v>
      </c>
      <c r="G498">
        <v>6.9</v>
      </c>
      <c r="H498">
        <v>900</v>
      </c>
      <c r="I498">
        <v>1</v>
      </c>
      <c r="J498">
        <f>1</f>
        <v>1</v>
      </c>
      <c r="K498">
        <v>1</v>
      </c>
      <c r="L498">
        <v>0</v>
      </c>
      <c r="M498">
        <f t="shared" ca="1" si="21"/>
        <v>0.49802330190896948</v>
      </c>
      <c r="N498">
        <v>0</v>
      </c>
      <c r="O498">
        <v>0</v>
      </c>
      <c r="P498">
        <f t="shared" ca="1" si="22"/>
        <v>1.3832353869081326E-2</v>
      </c>
      <c r="Q498">
        <f t="shared" si="23"/>
        <v>1</v>
      </c>
    </row>
    <row r="499" spans="1:17" x14ac:dyDescent="0.3">
      <c r="A499" t="s">
        <v>550</v>
      </c>
      <c r="B499" t="s">
        <v>64</v>
      </c>
      <c r="C499">
        <v>8</v>
      </c>
      <c r="D499">
        <v>55900</v>
      </c>
      <c r="E499" t="s">
        <v>66</v>
      </c>
      <c r="F499">
        <v>58</v>
      </c>
      <c r="G499">
        <v>8.1</v>
      </c>
      <c r="H499">
        <v>11200</v>
      </c>
      <c r="I499">
        <v>0</v>
      </c>
      <c r="J499">
        <f>1</f>
        <v>1</v>
      </c>
      <c r="K499">
        <v>1</v>
      </c>
      <c r="L499">
        <v>0</v>
      </c>
      <c r="M499">
        <f t="shared" ca="1" si="21"/>
        <v>0.42827084860915388</v>
      </c>
      <c r="N499">
        <v>0</v>
      </c>
      <c r="O499">
        <v>0</v>
      </c>
      <c r="P499">
        <f t="shared" ca="1" si="22"/>
        <v>0.94587433244085395</v>
      </c>
      <c r="Q499">
        <f t="shared" si="23"/>
        <v>1</v>
      </c>
    </row>
    <row r="500" spans="1:17" x14ac:dyDescent="0.3">
      <c r="A500" t="s">
        <v>1061</v>
      </c>
      <c r="B500" t="s">
        <v>65</v>
      </c>
      <c r="C500">
        <v>10</v>
      </c>
      <c r="D500">
        <v>61100</v>
      </c>
      <c r="E500" t="s">
        <v>1146</v>
      </c>
      <c r="F500">
        <v>8</v>
      </c>
      <c r="G500">
        <v>5.7</v>
      </c>
      <c r="H500">
        <v>8200</v>
      </c>
      <c r="I500">
        <v>1</v>
      </c>
      <c r="J500">
        <f>1</f>
        <v>1</v>
      </c>
      <c r="K500">
        <v>1</v>
      </c>
      <c r="L500">
        <v>0</v>
      </c>
      <c r="M500">
        <f t="shared" ca="1" si="21"/>
        <v>9.7138283134644565E-3</v>
      </c>
      <c r="N500">
        <v>0</v>
      </c>
      <c r="O500">
        <v>0</v>
      </c>
      <c r="P500">
        <f t="shared" ca="1" si="22"/>
        <v>0.67529112542902547</v>
      </c>
      <c r="Q500">
        <f t="shared" si="23"/>
        <v>1</v>
      </c>
    </row>
    <row r="501" spans="1:17" x14ac:dyDescent="0.3">
      <c r="A501" t="s">
        <v>1082</v>
      </c>
      <c r="B501" t="s">
        <v>64</v>
      </c>
      <c r="C501">
        <v>3</v>
      </c>
      <c r="D501">
        <v>47000</v>
      </c>
      <c r="E501" t="s">
        <v>1146</v>
      </c>
      <c r="F501">
        <v>7</v>
      </c>
      <c r="G501">
        <v>2.8</v>
      </c>
      <c r="H501">
        <v>0</v>
      </c>
      <c r="I501">
        <v>1</v>
      </c>
      <c r="J501">
        <f>1</f>
        <v>1</v>
      </c>
      <c r="K501">
        <v>1</v>
      </c>
      <c r="L501">
        <v>0</v>
      </c>
      <c r="M501">
        <f t="shared" ca="1" si="21"/>
        <v>0.67937540265983731</v>
      </c>
      <c r="N501">
        <v>0</v>
      </c>
      <c r="O501">
        <v>0</v>
      </c>
      <c r="P501">
        <f t="shared" ca="1" si="22"/>
        <v>0.90192366443228489</v>
      </c>
      <c r="Q501">
        <f t="shared" si="23"/>
        <v>1</v>
      </c>
    </row>
    <row r="502" spans="1:17" x14ac:dyDescent="0.3">
      <c r="A502" t="s">
        <v>580</v>
      </c>
      <c r="B502" t="s">
        <v>65</v>
      </c>
      <c r="C502">
        <v>2</v>
      </c>
      <c r="D502">
        <v>107700</v>
      </c>
      <c r="E502" t="s">
        <v>68</v>
      </c>
      <c r="F502">
        <v>71</v>
      </c>
      <c r="G502">
        <v>6.4</v>
      </c>
      <c r="H502">
        <v>8400</v>
      </c>
      <c r="I502">
        <v>0</v>
      </c>
      <c r="J502">
        <f>1</f>
        <v>1</v>
      </c>
      <c r="K502">
        <v>1</v>
      </c>
      <c r="L502">
        <v>0</v>
      </c>
      <c r="M502">
        <f t="shared" ca="1" si="21"/>
        <v>0.38229853995496277</v>
      </c>
      <c r="N502">
        <v>0</v>
      </c>
      <c r="O502">
        <v>0</v>
      </c>
      <c r="P502">
        <f t="shared" ca="1" si="22"/>
        <v>0.66409561112372173</v>
      </c>
      <c r="Q502">
        <f t="shared" si="23"/>
        <v>1</v>
      </c>
    </row>
    <row r="503" spans="1:17" x14ac:dyDescent="0.3">
      <c r="A503" t="s">
        <v>146</v>
      </c>
      <c r="B503" t="s">
        <v>513</v>
      </c>
      <c r="C503">
        <v>7</v>
      </c>
      <c r="D503">
        <v>43900</v>
      </c>
      <c r="E503" t="s">
        <v>68</v>
      </c>
      <c r="F503">
        <v>59</v>
      </c>
      <c r="G503">
        <v>12</v>
      </c>
      <c r="H503">
        <v>0</v>
      </c>
      <c r="I503">
        <v>0</v>
      </c>
      <c r="J503">
        <f>1</f>
        <v>1</v>
      </c>
      <c r="K503">
        <v>1</v>
      </c>
      <c r="L503">
        <v>0</v>
      </c>
      <c r="M503">
        <f t="shared" ca="1" si="21"/>
        <v>0.87525280945303241</v>
      </c>
      <c r="N503">
        <v>0</v>
      </c>
      <c r="O503">
        <v>0</v>
      </c>
      <c r="P503">
        <f t="shared" ca="1" si="22"/>
        <v>0.44764501561282954</v>
      </c>
      <c r="Q503">
        <f t="shared" si="23"/>
        <v>1</v>
      </c>
    </row>
    <row r="504" spans="1:17" x14ac:dyDescent="0.3">
      <c r="A504" t="s">
        <v>900</v>
      </c>
      <c r="B504" t="s">
        <v>65</v>
      </c>
      <c r="C504">
        <v>8</v>
      </c>
      <c r="D504">
        <v>37600</v>
      </c>
      <c r="E504" t="s">
        <v>1146</v>
      </c>
      <c r="F504">
        <v>4</v>
      </c>
      <c r="G504">
        <v>9.9</v>
      </c>
      <c r="H504">
        <v>7700</v>
      </c>
      <c r="I504">
        <v>1</v>
      </c>
      <c r="J504">
        <f>1</f>
        <v>1</v>
      </c>
      <c r="K504">
        <v>1</v>
      </c>
      <c r="L504">
        <v>0</v>
      </c>
      <c r="M504">
        <f t="shared" ca="1" si="21"/>
        <v>0.6024502825936503</v>
      </c>
      <c r="N504">
        <v>0</v>
      </c>
      <c r="O504">
        <v>0</v>
      </c>
      <c r="P504">
        <f t="shared" ca="1" si="22"/>
        <v>0.59638610000393244</v>
      </c>
      <c r="Q504">
        <f t="shared" si="23"/>
        <v>1</v>
      </c>
    </row>
    <row r="505" spans="1:17" x14ac:dyDescent="0.3">
      <c r="A505" t="s">
        <v>1001</v>
      </c>
      <c r="B505" t="s">
        <v>62</v>
      </c>
      <c r="C505">
        <v>5</v>
      </c>
      <c r="D505">
        <v>20700</v>
      </c>
      <c r="E505" t="s">
        <v>1146</v>
      </c>
      <c r="F505">
        <v>10</v>
      </c>
      <c r="G505">
        <v>8.5</v>
      </c>
      <c r="H505">
        <v>2500</v>
      </c>
      <c r="I505">
        <v>1</v>
      </c>
      <c r="J505">
        <f>1</f>
        <v>1</v>
      </c>
      <c r="K505">
        <v>1</v>
      </c>
      <c r="L505">
        <v>0</v>
      </c>
      <c r="M505">
        <f t="shared" ca="1" si="21"/>
        <v>0.77212858106350546</v>
      </c>
      <c r="N505">
        <v>0</v>
      </c>
      <c r="O505">
        <v>0</v>
      </c>
      <c r="P505">
        <f t="shared" ca="1" si="22"/>
        <v>0.98940223577408848</v>
      </c>
      <c r="Q505">
        <f t="shared" si="23"/>
        <v>1</v>
      </c>
    </row>
    <row r="506" spans="1:17" x14ac:dyDescent="0.3">
      <c r="A506" t="s">
        <v>213</v>
      </c>
      <c r="B506" t="s">
        <v>64</v>
      </c>
      <c r="C506">
        <v>3</v>
      </c>
      <c r="D506">
        <v>38500</v>
      </c>
      <c r="E506" t="s">
        <v>69</v>
      </c>
      <c r="F506">
        <v>55</v>
      </c>
      <c r="G506">
        <v>11.5</v>
      </c>
      <c r="H506">
        <v>9200</v>
      </c>
      <c r="I506">
        <v>0</v>
      </c>
      <c r="J506">
        <f>1</f>
        <v>1</v>
      </c>
      <c r="K506">
        <v>1</v>
      </c>
      <c r="L506">
        <v>0</v>
      </c>
      <c r="M506">
        <f t="shared" ca="1" si="21"/>
        <v>0.43260970403910337</v>
      </c>
      <c r="N506">
        <v>0</v>
      </c>
      <c r="O506">
        <v>0</v>
      </c>
      <c r="P506">
        <f t="shared" ca="1" si="22"/>
        <v>0.32907365604953032</v>
      </c>
      <c r="Q506">
        <f t="shared" si="23"/>
        <v>1</v>
      </c>
    </row>
    <row r="507" spans="1:17" x14ac:dyDescent="0.3">
      <c r="A507" t="s">
        <v>572</v>
      </c>
      <c r="B507" t="s">
        <v>65</v>
      </c>
      <c r="C507">
        <v>5</v>
      </c>
      <c r="D507">
        <v>23700</v>
      </c>
      <c r="E507" t="s">
        <v>69</v>
      </c>
      <c r="F507">
        <v>31</v>
      </c>
      <c r="G507">
        <v>4.3</v>
      </c>
      <c r="H507">
        <v>4100</v>
      </c>
      <c r="I507">
        <v>0</v>
      </c>
      <c r="J507">
        <f>1</f>
        <v>1</v>
      </c>
      <c r="K507">
        <v>1</v>
      </c>
      <c r="L507">
        <v>0</v>
      </c>
      <c r="M507">
        <f t="shared" ca="1" si="21"/>
        <v>0.76019415474260377</v>
      </c>
      <c r="N507">
        <v>0</v>
      </c>
      <c r="O507">
        <v>0</v>
      </c>
      <c r="P507">
        <f t="shared" ca="1" si="22"/>
        <v>0.62918773274357309</v>
      </c>
      <c r="Q507">
        <f t="shared" si="23"/>
        <v>1</v>
      </c>
    </row>
    <row r="508" spans="1:17" x14ac:dyDescent="0.3">
      <c r="A508" t="s">
        <v>852</v>
      </c>
      <c r="B508" t="s">
        <v>62</v>
      </c>
      <c r="C508">
        <v>7</v>
      </c>
      <c r="D508">
        <v>49600</v>
      </c>
      <c r="E508" t="s">
        <v>1146</v>
      </c>
      <c r="F508">
        <v>5</v>
      </c>
      <c r="G508">
        <v>4.3</v>
      </c>
      <c r="H508">
        <v>3800</v>
      </c>
      <c r="I508">
        <v>1</v>
      </c>
      <c r="J508">
        <f>1</f>
        <v>1</v>
      </c>
      <c r="K508">
        <v>1</v>
      </c>
      <c r="L508">
        <v>0</v>
      </c>
      <c r="M508">
        <f t="shared" ca="1" si="21"/>
        <v>5.8296864116809122E-2</v>
      </c>
      <c r="N508">
        <v>0</v>
      </c>
      <c r="O508">
        <v>0</v>
      </c>
      <c r="P508">
        <f t="shared" ca="1" si="22"/>
        <v>0.47045938889508876</v>
      </c>
      <c r="Q508">
        <f t="shared" si="23"/>
        <v>1</v>
      </c>
    </row>
    <row r="509" spans="1:17" x14ac:dyDescent="0.3">
      <c r="A509" t="s">
        <v>813</v>
      </c>
      <c r="B509" t="s">
        <v>64</v>
      </c>
      <c r="C509">
        <v>3</v>
      </c>
      <c r="D509">
        <v>46800</v>
      </c>
      <c r="E509" t="s">
        <v>1146</v>
      </c>
      <c r="F509">
        <v>4</v>
      </c>
      <c r="G509">
        <v>2</v>
      </c>
      <c r="H509">
        <v>1300</v>
      </c>
      <c r="I509">
        <v>1</v>
      </c>
      <c r="J509">
        <f>1</f>
        <v>1</v>
      </c>
      <c r="K509">
        <v>1</v>
      </c>
      <c r="L509">
        <v>0</v>
      </c>
      <c r="M509">
        <f t="shared" ca="1" si="21"/>
        <v>0.98400317718462049</v>
      </c>
      <c r="N509">
        <v>0</v>
      </c>
      <c r="O509">
        <v>0</v>
      </c>
      <c r="P509">
        <f t="shared" ca="1" si="22"/>
        <v>0.85028119849244876</v>
      </c>
      <c r="Q509">
        <f t="shared" si="23"/>
        <v>1</v>
      </c>
    </row>
    <row r="510" spans="1:17" x14ac:dyDescent="0.3">
      <c r="A510" t="s">
        <v>1140</v>
      </c>
      <c r="B510" t="s">
        <v>65</v>
      </c>
      <c r="C510">
        <v>1</v>
      </c>
      <c r="D510">
        <v>16400</v>
      </c>
      <c r="E510" t="s">
        <v>1146</v>
      </c>
      <c r="F510">
        <v>4</v>
      </c>
      <c r="G510">
        <v>12.7</v>
      </c>
      <c r="H510">
        <v>0</v>
      </c>
      <c r="I510">
        <v>1</v>
      </c>
      <c r="J510">
        <f>1</f>
        <v>1</v>
      </c>
      <c r="K510">
        <v>1</v>
      </c>
      <c r="L510">
        <v>0</v>
      </c>
      <c r="M510">
        <f t="shared" ca="1" si="21"/>
        <v>0.31350208329355589</v>
      </c>
      <c r="N510">
        <v>0</v>
      </c>
      <c r="O510">
        <v>0</v>
      </c>
      <c r="P510">
        <f t="shared" ca="1" si="22"/>
        <v>0.87299436009463072</v>
      </c>
      <c r="Q510">
        <f t="shared" si="23"/>
        <v>1</v>
      </c>
    </row>
    <row r="511" spans="1:17" x14ac:dyDescent="0.3">
      <c r="A511" t="s">
        <v>1060</v>
      </c>
      <c r="B511" t="s">
        <v>62</v>
      </c>
      <c r="C511">
        <v>6</v>
      </c>
      <c r="D511">
        <v>43200</v>
      </c>
      <c r="E511" t="s">
        <v>1146</v>
      </c>
      <c r="F511">
        <v>4</v>
      </c>
      <c r="G511">
        <v>0.8</v>
      </c>
      <c r="H511">
        <v>0</v>
      </c>
      <c r="I511">
        <v>1</v>
      </c>
      <c r="J511">
        <f>1</f>
        <v>1</v>
      </c>
      <c r="K511">
        <v>1</v>
      </c>
      <c r="L511">
        <v>0</v>
      </c>
      <c r="M511">
        <f t="shared" ca="1" si="21"/>
        <v>0.61917454580131093</v>
      </c>
      <c r="N511">
        <v>0</v>
      </c>
      <c r="O511">
        <v>0</v>
      </c>
      <c r="P511">
        <f t="shared" ca="1" si="22"/>
        <v>0.49426298623781895</v>
      </c>
      <c r="Q511">
        <f t="shared" si="23"/>
        <v>1</v>
      </c>
    </row>
    <row r="512" spans="1:17" x14ac:dyDescent="0.3">
      <c r="A512" t="s">
        <v>947</v>
      </c>
      <c r="B512" t="s">
        <v>65</v>
      </c>
      <c r="C512">
        <v>8</v>
      </c>
      <c r="D512">
        <v>7600</v>
      </c>
      <c r="E512" t="s">
        <v>1146</v>
      </c>
      <c r="F512">
        <v>1</v>
      </c>
      <c r="G512">
        <v>10.6</v>
      </c>
      <c r="H512">
        <v>2300</v>
      </c>
      <c r="I512">
        <v>1</v>
      </c>
      <c r="J512">
        <f>1</f>
        <v>1</v>
      </c>
      <c r="K512">
        <v>1</v>
      </c>
      <c r="L512">
        <v>0</v>
      </c>
      <c r="M512">
        <f t="shared" ca="1" si="21"/>
        <v>0.24766004777173001</v>
      </c>
      <c r="N512">
        <v>0</v>
      </c>
      <c r="O512">
        <v>0</v>
      </c>
      <c r="P512">
        <f t="shared" ca="1" si="22"/>
        <v>0.72131174196430603</v>
      </c>
      <c r="Q512">
        <f t="shared" si="23"/>
        <v>1</v>
      </c>
    </row>
    <row r="513" spans="1:17" x14ac:dyDescent="0.3">
      <c r="A513" t="s">
        <v>818</v>
      </c>
      <c r="B513" t="s">
        <v>65</v>
      </c>
      <c r="C513">
        <v>2</v>
      </c>
      <c r="D513">
        <v>29800</v>
      </c>
      <c r="E513" t="s">
        <v>1146</v>
      </c>
      <c r="F513">
        <v>0</v>
      </c>
      <c r="G513">
        <v>10.199999999999999</v>
      </c>
      <c r="H513">
        <v>800</v>
      </c>
      <c r="I513">
        <v>1</v>
      </c>
      <c r="J513">
        <f>1</f>
        <v>1</v>
      </c>
      <c r="K513">
        <v>1</v>
      </c>
      <c r="L513">
        <v>0</v>
      </c>
      <c r="M513">
        <f t="shared" ca="1" si="21"/>
        <v>0.86688662178626064</v>
      </c>
      <c r="N513">
        <v>0</v>
      </c>
      <c r="O513">
        <v>0</v>
      </c>
      <c r="P513">
        <f t="shared" ca="1" si="22"/>
        <v>0.26548528351575607</v>
      </c>
      <c r="Q513">
        <f t="shared" si="23"/>
        <v>1</v>
      </c>
    </row>
    <row r="514" spans="1:17" x14ac:dyDescent="0.3">
      <c r="A514" t="s">
        <v>878</v>
      </c>
      <c r="B514" t="s">
        <v>513</v>
      </c>
      <c r="C514">
        <v>6</v>
      </c>
      <c r="D514">
        <v>52300</v>
      </c>
      <c r="E514" t="s">
        <v>1146</v>
      </c>
      <c r="F514">
        <v>3</v>
      </c>
      <c r="G514">
        <v>10.199999999999999</v>
      </c>
      <c r="H514">
        <v>10800</v>
      </c>
      <c r="I514">
        <v>1</v>
      </c>
      <c r="J514">
        <f>1</f>
        <v>1</v>
      </c>
      <c r="K514">
        <v>1</v>
      </c>
      <c r="L514">
        <v>0</v>
      </c>
      <c r="M514">
        <f t="shared" ref="M514:M577" ca="1" si="24">RAND()</f>
        <v>6.0776400684248166E-5</v>
      </c>
      <c r="N514">
        <v>0</v>
      </c>
      <c r="O514">
        <v>0</v>
      </c>
      <c r="P514">
        <f t="shared" ref="P514:P577" ca="1" si="25">IF(L514=0,RAND(),"")</f>
        <v>0.65354966507042234</v>
      </c>
      <c r="Q514">
        <f t="shared" si="23"/>
        <v>1</v>
      </c>
    </row>
    <row r="515" spans="1:17" x14ac:dyDescent="0.3">
      <c r="A515" t="s">
        <v>769</v>
      </c>
      <c r="B515" t="s">
        <v>64</v>
      </c>
      <c r="C515">
        <v>6</v>
      </c>
      <c r="D515">
        <v>27600</v>
      </c>
      <c r="E515" t="s">
        <v>1146</v>
      </c>
      <c r="F515">
        <v>0</v>
      </c>
      <c r="G515">
        <v>1</v>
      </c>
      <c r="H515">
        <v>600</v>
      </c>
      <c r="I515">
        <v>1</v>
      </c>
      <c r="J515">
        <f>1</f>
        <v>1</v>
      </c>
      <c r="K515">
        <v>1</v>
      </c>
      <c r="L515">
        <v>0</v>
      </c>
      <c r="M515">
        <f t="shared" ca="1" si="24"/>
        <v>0.28881402312309379</v>
      </c>
      <c r="N515">
        <v>0</v>
      </c>
      <c r="O515">
        <v>0</v>
      </c>
      <c r="P515">
        <f t="shared" ca="1" si="25"/>
        <v>0.1439669204415398</v>
      </c>
      <c r="Q515">
        <f t="shared" ref="Q515:Q578" si="26">IF(OR(L515=1,O515=1), 0,1)</f>
        <v>1</v>
      </c>
    </row>
    <row r="516" spans="1:17" x14ac:dyDescent="0.3">
      <c r="A516" t="s">
        <v>959</v>
      </c>
      <c r="B516" t="s">
        <v>513</v>
      </c>
      <c r="C516">
        <v>4</v>
      </c>
      <c r="D516">
        <v>35000</v>
      </c>
      <c r="E516" t="s">
        <v>1146</v>
      </c>
      <c r="F516">
        <v>5</v>
      </c>
      <c r="G516">
        <v>7.3</v>
      </c>
      <c r="H516">
        <v>15500</v>
      </c>
      <c r="I516">
        <v>1</v>
      </c>
      <c r="J516">
        <f>1</f>
        <v>1</v>
      </c>
      <c r="K516">
        <v>1</v>
      </c>
      <c r="L516">
        <v>0</v>
      </c>
      <c r="M516">
        <f t="shared" ca="1" si="24"/>
        <v>0.79770389969505739</v>
      </c>
      <c r="N516">
        <v>0</v>
      </c>
      <c r="O516">
        <v>0</v>
      </c>
      <c r="P516">
        <f t="shared" ca="1" si="25"/>
        <v>0.90002237884300484</v>
      </c>
      <c r="Q516">
        <f t="shared" si="26"/>
        <v>1</v>
      </c>
    </row>
    <row r="517" spans="1:17" x14ac:dyDescent="0.3">
      <c r="A517" t="s">
        <v>890</v>
      </c>
      <c r="B517" t="s">
        <v>64</v>
      </c>
      <c r="C517">
        <v>5</v>
      </c>
      <c r="D517">
        <v>154400</v>
      </c>
      <c r="E517" t="s">
        <v>1146</v>
      </c>
      <c r="F517">
        <v>3</v>
      </c>
      <c r="G517">
        <v>5.3</v>
      </c>
      <c r="H517">
        <v>6000</v>
      </c>
      <c r="I517">
        <v>1</v>
      </c>
      <c r="J517">
        <f>1</f>
        <v>1</v>
      </c>
      <c r="K517">
        <v>1</v>
      </c>
      <c r="L517">
        <v>0</v>
      </c>
      <c r="M517">
        <f t="shared" ca="1" si="24"/>
        <v>0.48269438853317681</v>
      </c>
      <c r="N517">
        <v>0</v>
      </c>
      <c r="O517">
        <v>0</v>
      </c>
      <c r="P517">
        <f t="shared" ca="1" si="25"/>
        <v>0.23305279824528746</v>
      </c>
      <c r="Q517">
        <f t="shared" si="26"/>
        <v>1</v>
      </c>
    </row>
    <row r="518" spans="1:17" x14ac:dyDescent="0.3">
      <c r="A518" t="s">
        <v>264</v>
      </c>
      <c r="B518" t="s">
        <v>64</v>
      </c>
      <c r="C518">
        <v>2</v>
      </c>
      <c r="D518">
        <v>24200</v>
      </c>
      <c r="E518" t="s">
        <v>66</v>
      </c>
      <c r="F518">
        <v>48</v>
      </c>
      <c r="G518">
        <v>7.3</v>
      </c>
      <c r="H518">
        <v>0</v>
      </c>
      <c r="I518">
        <v>0</v>
      </c>
      <c r="J518">
        <f>1</f>
        <v>1</v>
      </c>
      <c r="K518">
        <v>1</v>
      </c>
      <c r="L518">
        <v>0</v>
      </c>
      <c r="M518">
        <f t="shared" ca="1" si="24"/>
        <v>0.49136574163945923</v>
      </c>
      <c r="N518">
        <v>0</v>
      </c>
      <c r="O518">
        <v>0</v>
      </c>
      <c r="P518">
        <f t="shared" ca="1" si="25"/>
        <v>0.49626296563059324</v>
      </c>
      <c r="Q518">
        <f t="shared" si="26"/>
        <v>1</v>
      </c>
    </row>
    <row r="519" spans="1:17" x14ac:dyDescent="0.3">
      <c r="A519" t="s">
        <v>1121</v>
      </c>
      <c r="B519" t="s">
        <v>64</v>
      </c>
      <c r="C519">
        <v>6</v>
      </c>
      <c r="D519">
        <v>29100</v>
      </c>
      <c r="E519" t="s">
        <v>1146</v>
      </c>
      <c r="F519">
        <v>8</v>
      </c>
      <c r="G519">
        <v>1.9</v>
      </c>
      <c r="H519">
        <v>300</v>
      </c>
      <c r="I519">
        <v>1</v>
      </c>
      <c r="J519">
        <f>1</f>
        <v>1</v>
      </c>
      <c r="K519">
        <v>1</v>
      </c>
      <c r="L519">
        <v>0</v>
      </c>
      <c r="M519">
        <f t="shared" ca="1" si="24"/>
        <v>0.23693444067739355</v>
      </c>
      <c r="N519">
        <v>0</v>
      </c>
      <c r="O519">
        <v>0</v>
      </c>
      <c r="P519">
        <f t="shared" ca="1" si="25"/>
        <v>0.97943144530334414</v>
      </c>
      <c r="Q519">
        <f t="shared" si="26"/>
        <v>1</v>
      </c>
    </row>
    <row r="520" spans="1:17" x14ac:dyDescent="0.3">
      <c r="A520" t="s">
        <v>161</v>
      </c>
      <c r="B520" t="s">
        <v>513</v>
      </c>
      <c r="C520">
        <v>9</v>
      </c>
      <c r="D520">
        <v>16100</v>
      </c>
      <c r="E520" t="s">
        <v>67</v>
      </c>
      <c r="F520">
        <v>60</v>
      </c>
      <c r="G520">
        <v>12</v>
      </c>
      <c r="H520">
        <v>6400</v>
      </c>
      <c r="I520">
        <v>0</v>
      </c>
      <c r="J520">
        <f>1</f>
        <v>1</v>
      </c>
      <c r="K520">
        <v>1</v>
      </c>
      <c r="L520">
        <v>0</v>
      </c>
      <c r="M520">
        <f t="shared" ca="1" si="24"/>
        <v>0.90707005240102734</v>
      </c>
      <c r="N520">
        <v>0</v>
      </c>
      <c r="O520">
        <v>0</v>
      </c>
      <c r="P520">
        <f t="shared" ca="1" si="25"/>
        <v>8.3783998056552456E-2</v>
      </c>
      <c r="Q520">
        <f t="shared" si="26"/>
        <v>1</v>
      </c>
    </row>
    <row r="521" spans="1:17" x14ac:dyDescent="0.3">
      <c r="A521" t="s">
        <v>418</v>
      </c>
      <c r="B521" t="s">
        <v>513</v>
      </c>
      <c r="C521">
        <v>3</v>
      </c>
      <c r="D521">
        <v>38600</v>
      </c>
      <c r="E521" t="s">
        <v>67</v>
      </c>
      <c r="F521">
        <v>91</v>
      </c>
      <c r="G521">
        <v>2.8</v>
      </c>
      <c r="H521">
        <v>3500</v>
      </c>
      <c r="I521">
        <v>0</v>
      </c>
      <c r="J521">
        <f>1</f>
        <v>1</v>
      </c>
      <c r="K521">
        <v>1</v>
      </c>
      <c r="L521">
        <v>0</v>
      </c>
      <c r="M521">
        <f t="shared" ca="1" si="24"/>
        <v>0.18729736904980177</v>
      </c>
      <c r="N521">
        <v>0</v>
      </c>
      <c r="O521">
        <v>0</v>
      </c>
      <c r="P521">
        <f t="shared" ca="1" si="25"/>
        <v>0.3945949102253663</v>
      </c>
      <c r="Q521">
        <f t="shared" si="26"/>
        <v>1</v>
      </c>
    </row>
    <row r="522" spans="1:17" x14ac:dyDescent="0.3">
      <c r="A522" t="s">
        <v>798</v>
      </c>
      <c r="B522" t="s">
        <v>65</v>
      </c>
      <c r="C522">
        <v>4</v>
      </c>
      <c r="D522">
        <v>40100</v>
      </c>
      <c r="E522" t="s">
        <v>1146</v>
      </c>
      <c r="F522">
        <v>3</v>
      </c>
      <c r="G522">
        <v>2.4</v>
      </c>
      <c r="H522">
        <v>500</v>
      </c>
      <c r="I522">
        <v>1</v>
      </c>
      <c r="J522">
        <f>1</f>
        <v>1</v>
      </c>
      <c r="K522">
        <v>1</v>
      </c>
      <c r="L522">
        <v>0</v>
      </c>
      <c r="M522">
        <f t="shared" ca="1" si="24"/>
        <v>3.4788580721098361E-2</v>
      </c>
      <c r="N522">
        <v>0</v>
      </c>
      <c r="O522">
        <v>0</v>
      </c>
      <c r="P522">
        <f t="shared" ca="1" si="25"/>
        <v>0.20575825804146175</v>
      </c>
      <c r="Q522">
        <f t="shared" si="26"/>
        <v>1</v>
      </c>
    </row>
    <row r="523" spans="1:17" x14ac:dyDescent="0.3">
      <c r="A523" t="s">
        <v>247</v>
      </c>
      <c r="B523" t="s">
        <v>62</v>
      </c>
      <c r="C523">
        <v>4</v>
      </c>
      <c r="D523">
        <v>47700</v>
      </c>
      <c r="E523" t="s">
        <v>68</v>
      </c>
      <c r="F523">
        <v>72</v>
      </c>
      <c r="G523">
        <v>2.9</v>
      </c>
      <c r="H523">
        <v>10200</v>
      </c>
      <c r="I523">
        <v>0</v>
      </c>
      <c r="J523">
        <f>1</f>
        <v>1</v>
      </c>
      <c r="K523">
        <v>1</v>
      </c>
      <c r="L523">
        <v>0</v>
      </c>
      <c r="M523">
        <f t="shared" ca="1" si="24"/>
        <v>0.30316180433771023</v>
      </c>
      <c r="N523">
        <v>0</v>
      </c>
      <c r="O523">
        <v>0</v>
      </c>
      <c r="P523">
        <f t="shared" ca="1" si="25"/>
        <v>0.33602148358345241</v>
      </c>
      <c r="Q523">
        <f t="shared" si="26"/>
        <v>1</v>
      </c>
    </row>
    <row r="524" spans="1:17" x14ac:dyDescent="0.3">
      <c r="A524" t="s">
        <v>466</v>
      </c>
      <c r="B524" t="s">
        <v>64</v>
      </c>
      <c r="C524">
        <v>9</v>
      </c>
      <c r="D524">
        <v>33100</v>
      </c>
      <c r="E524" t="s">
        <v>69</v>
      </c>
      <c r="F524">
        <v>57</v>
      </c>
      <c r="G524">
        <v>5.5</v>
      </c>
      <c r="H524">
        <v>8400</v>
      </c>
      <c r="I524">
        <v>0</v>
      </c>
      <c r="J524">
        <f>1</f>
        <v>1</v>
      </c>
      <c r="K524">
        <v>1</v>
      </c>
      <c r="L524">
        <v>0</v>
      </c>
      <c r="M524">
        <f t="shared" ca="1" si="24"/>
        <v>0.55558311730465237</v>
      </c>
      <c r="N524">
        <v>0</v>
      </c>
      <c r="O524">
        <v>0</v>
      </c>
      <c r="P524">
        <f t="shared" ca="1" si="25"/>
        <v>0.47177608082534805</v>
      </c>
      <c r="Q524">
        <f t="shared" si="26"/>
        <v>1</v>
      </c>
    </row>
    <row r="525" spans="1:17" x14ac:dyDescent="0.3">
      <c r="A525" t="s">
        <v>301</v>
      </c>
      <c r="B525" t="s">
        <v>65</v>
      </c>
      <c r="C525">
        <v>7</v>
      </c>
      <c r="D525">
        <v>52500</v>
      </c>
      <c r="E525" t="s">
        <v>67</v>
      </c>
      <c r="F525">
        <v>46</v>
      </c>
      <c r="G525">
        <v>1.5</v>
      </c>
      <c r="H525">
        <v>6700</v>
      </c>
      <c r="I525">
        <v>0</v>
      </c>
      <c r="J525">
        <f>1</f>
        <v>1</v>
      </c>
      <c r="K525">
        <v>1</v>
      </c>
      <c r="L525">
        <v>0</v>
      </c>
      <c r="M525">
        <f t="shared" ca="1" si="24"/>
        <v>0.67264422393313406</v>
      </c>
      <c r="N525">
        <v>0</v>
      </c>
      <c r="O525">
        <v>0</v>
      </c>
      <c r="P525">
        <f t="shared" ca="1" si="25"/>
        <v>0.37372442577598919</v>
      </c>
      <c r="Q525">
        <f t="shared" si="26"/>
        <v>1</v>
      </c>
    </row>
    <row r="526" spans="1:17" x14ac:dyDescent="0.3">
      <c r="A526" t="s">
        <v>520</v>
      </c>
      <c r="B526" t="s">
        <v>64</v>
      </c>
      <c r="C526">
        <v>4</v>
      </c>
      <c r="D526">
        <v>51700</v>
      </c>
      <c r="E526" t="s">
        <v>67</v>
      </c>
      <c r="F526">
        <v>72</v>
      </c>
      <c r="G526">
        <v>0.9</v>
      </c>
      <c r="H526">
        <v>0</v>
      </c>
      <c r="I526">
        <v>0</v>
      </c>
      <c r="J526">
        <f>1</f>
        <v>1</v>
      </c>
      <c r="K526">
        <v>1</v>
      </c>
      <c r="L526">
        <v>0</v>
      </c>
      <c r="M526">
        <f t="shared" ca="1" si="24"/>
        <v>8.3188908381494064E-3</v>
      </c>
      <c r="N526">
        <v>0</v>
      </c>
      <c r="O526">
        <v>0</v>
      </c>
      <c r="P526">
        <f t="shared" ca="1" si="25"/>
        <v>0.19282422610883099</v>
      </c>
      <c r="Q526">
        <f t="shared" si="26"/>
        <v>1</v>
      </c>
    </row>
    <row r="527" spans="1:17" x14ac:dyDescent="0.3">
      <c r="A527" t="s">
        <v>285</v>
      </c>
      <c r="B527" t="s">
        <v>65</v>
      </c>
      <c r="C527">
        <v>9</v>
      </c>
      <c r="D527">
        <v>98600</v>
      </c>
      <c r="E527" t="s">
        <v>67</v>
      </c>
      <c r="F527">
        <v>120</v>
      </c>
      <c r="G527">
        <v>3</v>
      </c>
      <c r="H527">
        <v>15600</v>
      </c>
      <c r="I527">
        <v>0</v>
      </c>
      <c r="J527">
        <f>1</f>
        <v>1</v>
      </c>
      <c r="K527">
        <v>1</v>
      </c>
      <c r="L527">
        <v>0</v>
      </c>
      <c r="M527">
        <f t="shared" ca="1" si="24"/>
        <v>0.33659395068975362</v>
      </c>
      <c r="N527">
        <v>0</v>
      </c>
      <c r="O527">
        <v>0</v>
      </c>
      <c r="P527">
        <f t="shared" ca="1" si="25"/>
        <v>0.81600114814115909</v>
      </c>
      <c r="Q527">
        <f t="shared" si="26"/>
        <v>1</v>
      </c>
    </row>
    <row r="528" spans="1:17" x14ac:dyDescent="0.3">
      <c r="A528" t="s">
        <v>493</v>
      </c>
      <c r="B528" t="s">
        <v>513</v>
      </c>
      <c r="C528">
        <v>4</v>
      </c>
      <c r="D528">
        <v>37200</v>
      </c>
      <c r="E528" t="s">
        <v>66</v>
      </c>
      <c r="F528">
        <v>50</v>
      </c>
      <c r="G528">
        <v>7</v>
      </c>
      <c r="H528">
        <v>5900</v>
      </c>
      <c r="I528">
        <v>0</v>
      </c>
      <c r="J528">
        <f>1</f>
        <v>1</v>
      </c>
      <c r="K528">
        <v>1</v>
      </c>
      <c r="L528">
        <v>0</v>
      </c>
      <c r="M528">
        <f t="shared" ca="1" si="24"/>
        <v>0.88784835117314453</v>
      </c>
      <c r="N528">
        <v>0</v>
      </c>
      <c r="O528">
        <v>0</v>
      </c>
      <c r="P528">
        <f t="shared" ca="1" si="25"/>
        <v>0.95314918249529434</v>
      </c>
      <c r="Q528">
        <f t="shared" si="26"/>
        <v>1</v>
      </c>
    </row>
    <row r="529" spans="1:17" x14ac:dyDescent="0.3">
      <c r="A529" t="s">
        <v>244</v>
      </c>
      <c r="B529" t="s">
        <v>513</v>
      </c>
      <c r="C529">
        <v>6</v>
      </c>
      <c r="D529">
        <v>71000</v>
      </c>
      <c r="E529" t="s">
        <v>69</v>
      </c>
      <c r="F529">
        <v>24</v>
      </c>
      <c r="G529">
        <v>2.6</v>
      </c>
      <c r="H529">
        <v>3000</v>
      </c>
      <c r="I529">
        <v>0</v>
      </c>
      <c r="J529">
        <f>1</f>
        <v>1</v>
      </c>
      <c r="K529">
        <v>1</v>
      </c>
      <c r="L529">
        <v>0</v>
      </c>
      <c r="M529">
        <f t="shared" ca="1" si="24"/>
        <v>0.71062478194094736</v>
      </c>
      <c r="N529">
        <v>0</v>
      </c>
      <c r="O529">
        <v>0</v>
      </c>
      <c r="P529">
        <f t="shared" ca="1" si="25"/>
        <v>0.78474521340404535</v>
      </c>
      <c r="Q529">
        <f t="shared" si="26"/>
        <v>1</v>
      </c>
    </row>
    <row r="530" spans="1:17" x14ac:dyDescent="0.3">
      <c r="A530" t="s">
        <v>535</v>
      </c>
      <c r="B530" t="s">
        <v>62</v>
      </c>
      <c r="C530">
        <v>7</v>
      </c>
      <c r="D530">
        <v>118500</v>
      </c>
      <c r="E530" t="s">
        <v>69</v>
      </c>
      <c r="F530">
        <v>46</v>
      </c>
      <c r="G530">
        <v>3.5</v>
      </c>
      <c r="H530">
        <v>6500</v>
      </c>
      <c r="I530">
        <v>0</v>
      </c>
      <c r="J530">
        <f>1</f>
        <v>1</v>
      </c>
      <c r="K530">
        <v>1</v>
      </c>
      <c r="L530">
        <v>0</v>
      </c>
      <c r="M530">
        <f t="shared" ca="1" si="24"/>
        <v>8.4115401368141773E-2</v>
      </c>
      <c r="N530">
        <v>0</v>
      </c>
      <c r="O530">
        <v>0</v>
      </c>
      <c r="P530">
        <f t="shared" ca="1" si="25"/>
        <v>0.96663747492178198</v>
      </c>
      <c r="Q530">
        <f t="shared" si="26"/>
        <v>1</v>
      </c>
    </row>
    <row r="531" spans="1:17" x14ac:dyDescent="0.3">
      <c r="A531" t="s">
        <v>596</v>
      </c>
      <c r="B531" t="s">
        <v>65</v>
      </c>
      <c r="C531">
        <v>3</v>
      </c>
      <c r="D531">
        <v>34700</v>
      </c>
      <c r="E531" t="s">
        <v>68</v>
      </c>
      <c r="F531">
        <v>62</v>
      </c>
      <c r="G531">
        <v>12.4</v>
      </c>
      <c r="H531">
        <v>10000</v>
      </c>
      <c r="I531">
        <v>0</v>
      </c>
      <c r="J531">
        <f>1</f>
        <v>1</v>
      </c>
      <c r="K531">
        <v>1</v>
      </c>
      <c r="L531">
        <v>0</v>
      </c>
      <c r="M531">
        <f t="shared" ca="1" si="24"/>
        <v>0.6464441020284617</v>
      </c>
      <c r="N531">
        <v>0</v>
      </c>
      <c r="O531">
        <v>0</v>
      </c>
      <c r="P531">
        <f t="shared" ca="1" si="25"/>
        <v>0.85531321837946872</v>
      </c>
      <c r="Q531">
        <f t="shared" si="26"/>
        <v>1</v>
      </c>
    </row>
    <row r="532" spans="1:17" x14ac:dyDescent="0.3">
      <c r="A532" t="s">
        <v>855</v>
      </c>
      <c r="B532" t="s">
        <v>64</v>
      </c>
      <c r="C532">
        <v>2</v>
      </c>
      <c r="D532">
        <v>24600</v>
      </c>
      <c r="E532" t="s">
        <v>1146</v>
      </c>
      <c r="F532">
        <v>10</v>
      </c>
      <c r="G532">
        <v>8.3000000000000007</v>
      </c>
      <c r="H532">
        <v>0</v>
      </c>
      <c r="I532">
        <v>1</v>
      </c>
      <c r="J532">
        <f>1</f>
        <v>1</v>
      </c>
      <c r="K532">
        <v>1</v>
      </c>
      <c r="L532">
        <v>0</v>
      </c>
      <c r="M532">
        <f t="shared" ca="1" si="24"/>
        <v>0.2435667056644244</v>
      </c>
      <c r="N532">
        <v>0</v>
      </c>
      <c r="O532">
        <v>0</v>
      </c>
      <c r="P532">
        <f t="shared" ca="1" si="25"/>
        <v>1.6649871063634691E-2</v>
      </c>
      <c r="Q532">
        <f t="shared" si="26"/>
        <v>1</v>
      </c>
    </row>
    <row r="533" spans="1:17" x14ac:dyDescent="0.3">
      <c r="A533" t="s">
        <v>431</v>
      </c>
      <c r="B533" t="s">
        <v>513</v>
      </c>
      <c r="C533">
        <v>9</v>
      </c>
      <c r="D533">
        <v>40200</v>
      </c>
      <c r="E533" t="s">
        <v>66</v>
      </c>
      <c r="F533">
        <v>47</v>
      </c>
      <c r="G533">
        <v>7.9</v>
      </c>
      <c r="H533">
        <v>3600</v>
      </c>
      <c r="I533">
        <v>0</v>
      </c>
      <c r="J533">
        <f>1</f>
        <v>1</v>
      </c>
      <c r="K533">
        <v>1</v>
      </c>
      <c r="L533">
        <v>0</v>
      </c>
      <c r="M533">
        <f t="shared" ca="1" si="24"/>
        <v>0.85374938915239407</v>
      </c>
      <c r="N533">
        <v>0</v>
      </c>
      <c r="O533">
        <v>0</v>
      </c>
      <c r="P533">
        <f t="shared" ca="1" si="25"/>
        <v>0.93171004608068819</v>
      </c>
      <c r="Q533">
        <f t="shared" si="26"/>
        <v>1</v>
      </c>
    </row>
    <row r="534" spans="1:17" x14ac:dyDescent="0.3">
      <c r="A534" t="s">
        <v>582</v>
      </c>
      <c r="B534" t="s">
        <v>65</v>
      </c>
      <c r="C534">
        <v>7</v>
      </c>
      <c r="D534">
        <v>33700</v>
      </c>
      <c r="E534" t="s">
        <v>68</v>
      </c>
      <c r="F534">
        <v>48</v>
      </c>
      <c r="G534">
        <v>13.2</v>
      </c>
      <c r="H534">
        <v>4500</v>
      </c>
      <c r="I534">
        <v>0</v>
      </c>
      <c r="J534">
        <f>1</f>
        <v>1</v>
      </c>
      <c r="K534">
        <v>1</v>
      </c>
      <c r="L534">
        <v>0</v>
      </c>
      <c r="M534">
        <f t="shared" ca="1" si="24"/>
        <v>0.72153761881273637</v>
      </c>
      <c r="N534">
        <v>0</v>
      </c>
      <c r="O534">
        <v>0</v>
      </c>
      <c r="P534">
        <f t="shared" ca="1" si="25"/>
        <v>0.86103617954879863</v>
      </c>
      <c r="Q534">
        <f t="shared" si="26"/>
        <v>1</v>
      </c>
    </row>
    <row r="535" spans="1:17" x14ac:dyDescent="0.3">
      <c r="A535" t="s">
        <v>405</v>
      </c>
      <c r="B535" t="s">
        <v>64</v>
      </c>
      <c r="C535">
        <v>5</v>
      </c>
      <c r="D535">
        <v>30500</v>
      </c>
      <c r="E535" t="s">
        <v>67</v>
      </c>
      <c r="F535">
        <v>100</v>
      </c>
      <c r="G535">
        <v>11.8</v>
      </c>
      <c r="H535">
        <v>6100</v>
      </c>
      <c r="I535">
        <v>0</v>
      </c>
      <c r="J535">
        <f>1</f>
        <v>1</v>
      </c>
      <c r="K535">
        <v>1</v>
      </c>
      <c r="L535">
        <v>0</v>
      </c>
      <c r="M535">
        <f t="shared" ca="1" si="24"/>
        <v>0.85270783361957081</v>
      </c>
      <c r="N535">
        <v>0</v>
      </c>
      <c r="O535">
        <v>0</v>
      </c>
      <c r="P535">
        <f t="shared" ca="1" si="25"/>
        <v>0.53552311564492694</v>
      </c>
      <c r="Q535">
        <f t="shared" si="26"/>
        <v>1</v>
      </c>
    </row>
    <row r="536" spans="1:17" x14ac:dyDescent="0.3">
      <c r="A536" t="s">
        <v>741</v>
      </c>
      <c r="B536" t="s">
        <v>65</v>
      </c>
      <c r="C536">
        <v>8</v>
      </c>
      <c r="D536">
        <v>54400</v>
      </c>
      <c r="E536" t="s">
        <v>1146</v>
      </c>
      <c r="F536">
        <v>2</v>
      </c>
      <c r="G536">
        <v>8.5</v>
      </c>
      <c r="H536">
        <v>2600</v>
      </c>
      <c r="I536">
        <v>1</v>
      </c>
      <c r="J536">
        <f>1</f>
        <v>1</v>
      </c>
      <c r="K536">
        <v>1</v>
      </c>
      <c r="L536">
        <v>0</v>
      </c>
      <c r="M536">
        <f t="shared" ca="1" si="24"/>
        <v>6.9191507705097521E-2</v>
      </c>
      <c r="N536">
        <v>0</v>
      </c>
      <c r="O536">
        <v>0</v>
      </c>
      <c r="P536">
        <f t="shared" ca="1" si="25"/>
        <v>0.93793157987596965</v>
      </c>
      <c r="Q536">
        <f t="shared" si="26"/>
        <v>1</v>
      </c>
    </row>
    <row r="537" spans="1:17" x14ac:dyDescent="0.3">
      <c r="A537" t="s">
        <v>1016</v>
      </c>
      <c r="B537" t="s">
        <v>64</v>
      </c>
      <c r="C537">
        <v>6</v>
      </c>
      <c r="D537">
        <v>19500</v>
      </c>
      <c r="E537" t="s">
        <v>1146</v>
      </c>
      <c r="F537">
        <v>3</v>
      </c>
      <c r="G537">
        <v>0.6</v>
      </c>
      <c r="H537">
        <v>800</v>
      </c>
      <c r="I537">
        <v>1</v>
      </c>
      <c r="J537">
        <f>1</f>
        <v>1</v>
      </c>
      <c r="K537">
        <v>1</v>
      </c>
      <c r="L537">
        <v>0</v>
      </c>
      <c r="M537">
        <f t="shared" ca="1" si="24"/>
        <v>0.47032883762673305</v>
      </c>
      <c r="N537">
        <v>0</v>
      </c>
      <c r="O537">
        <v>0</v>
      </c>
      <c r="P537">
        <f t="shared" ca="1" si="25"/>
        <v>0.62360342284890835</v>
      </c>
      <c r="Q537">
        <f t="shared" si="26"/>
        <v>1</v>
      </c>
    </row>
    <row r="538" spans="1:17" x14ac:dyDescent="0.3">
      <c r="A538" t="s">
        <v>1085</v>
      </c>
      <c r="B538" t="s">
        <v>62</v>
      </c>
      <c r="C538">
        <v>7</v>
      </c>
      <c r="D538">
        <v>26000</v>
      </c>
      <c r="E538" t="s">
        <v>1146</v>
      </c>
      <c r="F538">
        <v>4</v>
      </c>
      <c r="G538">
        <v>1.2</v>
      </c>
      <c r="H538">
        <v>5700</v>
      </c>
      <c r="I538">
        <v>1</v>
      </c>
      <c r="J538">
        <f>1</f>
        <v>1</v>
      </c>
      <c r="K538">
        <v>1</v>
      </c>
      <c r="L538">
        <v>0</v>
      </c>
      <c r="M538">
        <f t="shared" ca="1" si="24"/>
        <v>0.18268005076681493</v>
      </c>
      <c r="N538">
        <v>0</v>
      </c>
      <c r="O538">
        <v>0</v>
      </c>
      <c r="P538">
        <f t="shared" ca="1" si="25"/>
        <v>0.55931856937657509</v>
      </c>
      <c r="Q538">
        <f t="shared" si="26"/>
        <v>1</v>
      </c>
    </row>
    <row r="539" spans="1:17" x14ac:dyDescent="0.3">
      <c r="A539" t="s">
        <v>762</v>
      </c>
      <c r="B539" t="s">
        <v>64</v>
      </c>
      <c r="C539">
        <v>9</v>
      </c>
      <c r="D539">
        <v>30700</v>
      </c>
      <c r="E539" t="s">
        <v>1146</v>
      </c>
      <c r="F539">
        <v>5</v>
      </c>
      <c r="G539">
        <v>10.6</v>
      </c>
      <c r="H539">
        <v>0</v>
      </c>
      <c r="I539">
        <v>1</v>
      </c>
      <c r="J539">
        <f>1</f>
        <v>1</v>
      </c>
      <c r="K539">
        <v>1</v>
      </c>
      <c r="L539">
        <v>0</v>
      </c>
      <c r="M539">
        <f t="shared" ca="1" si="24"/>
        <v>0.30601013049593939</v>
      </c>
      <c r="N539">
        <v>0</v>
      </c>
      <c r="O539">
        <v>0</v>
      </c>
      <c r="P539">
        <f t="shared" ca="1" si="25"/>
        <v>0.64637941387700681</v>
      </c>
      <c r="Q539">
        <f t="shared" si="26"/>
        <v>1</v>
      </c>
    </row>
    <row r="540" spans="1:17" x14ac:dyDescent="0.3">
      <c r="A540" t="s">
        <v>263</v>
      </c>
      <c r="B540" t="s">
        <v>64</v>
      </c>
      <c r="C540">
        <v>4</v>
      </c>
      <c r="D540">
        <v>109000</v>
      </c>
      <c r="E540" t="s">
        <v>67</v>
      </c>
      <c r="F540">
        <v>100</v>
      </c>
      <c r="G540">
        <v>7.1</v>
      </c>
      <c r="H540">
        <v>8400</v>
      </c>
      <c r="I540">
        <v>0</v>
      </c>
      <c r="J540">
        <f>1</f>
        <v>1</v>
      </c>
      <c r="K540">
        <v>1</v>
      </c>
      <c r="L540">
        <v>0</v>
      </c>
      <c r="M540">
        <f t="shared" ca="1" si="24"/>
        <v>0.11208036649261821</v>
      </c>
      <c r="N540">
        <v>0</v>
      </c>
      <c r="O540">
        <v>0</v>
      </c>
      <c r="P540">
        <f t="shared" ca="1" si="25"/>
        <v>5.307796738605397E-2</v>
      </c>
      <c r="Q540">
        <f t="shared" si="26"/>
        <v>1</v>
      </c>
    </row>
    <row r="541" spans="1:17" x14ac:dyDescent="0.3">
      <c r="A541" t="s">
        <v>495</v>
      </c>
      <c r="B541" t="s">
        <v>64</v>
      </c>
      <c r="C541">
        <v>7</v>
      </c>
      <c r="D541">
        <v>38200</v>
      </c>
      <c r="E541" t="s">
        <v>69</v>
      </c>
      <c r="F541">
        <v>55</v>
      </c>
      <c r="G541">
        <v>11.7</v>
      </c>
      <c r="H541">
        <v>7000</v>
      </c>
      <c r="I541">
        <v>0</v>
      </c>
      <c r="J541">
        <f>1</f>
        <v>1</v>
      </c>
      <c r="K541">
        <v>1</v>
      </c>
      <c r="L541">
        <v>0</v>
      </c>
      <c r="M541">
        <f t="shared" ca="1" si="24"/>
        <v>0.25031235456664869</v>
      </c>
      <c r="N541">
        <v>0</v>
      </c>
      <c r="O541">
        <v>0</v>
      </c>
      <c r="P541">
        <f t="shared" ca="1" si="25"/>
        <v>0.17541066996872556</v>
      </c>
      <c r="Q541">
        <f t="shared" si="26"/>
        <v>1</v>
      </c>
    </row>
    <row r="542" spans="1:17" x14ac:dyDescent="0.3">
      <c r="A542" t="s">
        <v>370</v>
      </c>
      <c r="B542" t="s">
        <v>513</v>
      </c>
      <c r="C542">
        <v>9</v>
      </c>
      <c r="D542">
        <v>22500</v>
      </c>
      <c r="E542" t="s">
        <v>66</v>
      </c>
      <c r="F542">
        <v>52</v>
      </c>
      <c r="G542">
        <v>7.6</v>
      </c>
      <c r="H542">
        <v>16000</v>
      </c>
      <c r="I542">
        <v>0</v>
      </c>
      <c r="J542">
        <f>1</f>
        <v>1</v>
      </c>
      <c r="K542">
        <v>1</v>
      </c>
      <c r="L542">
        <v>0</v>
      </c>
      <c r="M542">
        <f t="shared" ca="1" si="24"/>
        <v>0.65955766987173392</v>
      </c>
      <c r="N542">
        <v>0</v>
      </c>
      <c r="O542">
        <v>0</v>
      </c>
      <c r="P542">
        <f t="shared" ca="1" si="25"/>
        <v>0.51349155764427834</v>
      </c>
      <c r="Q542">
        <f t="shared" si="26"/>
        <v>1</v>
      </c>
    </row>
    <row r="543" spans="1:17" x14ac:dyDescent="0.3">
      <c r="A543" t="s">
        <v>268</v>
      </c>
      <c r="B543" t="s">
        <v>64</v>
      </c>
      <c r="C543">
        <v>4</v>
      </c>
      <c r="D543">
        <v>17100</v>
      </c>
      <c r="E543" t="s">
        <v>68</v>
      </c>
      <c r="F543">
        <v>66</v>
      </c>
      <c r="G543">
        <v>5</v>
      </c>
      <c r="H543">
        <v>9200</v>
      </c>
      <c r="I543">
        <v>0</v>
      </c>
      <c r="J543">
        <f>1</f>
        <v>1</v>
      </c>
      <c r="K543">
        <v>1</v>
      </c>
      <c r="L543">
        <v>0</v>
      </c>
      <c r="M543">
        <f t="shared" ca="1" si="24"/>
        <v>0.49167823139557443</v>
      </c>
      <c r="N543">
        <v>0</v>
      </c>
      <c r="O543">
        <v>0</v>
      </c>
      <c r="P543">
        <f t="shared" ca="1" si="25"/>
        <v>9.5738507553690511E-2</v>
      </c>
      <c r="Q543">
        <f t="shared" si="26"/>
        <v>1</v>
      </c>
    </row>
    <row r="544" spans="1:17" x14ac:dyDescent="0.3">
      <c r="A544" t="s">
        <v>408</v>
      </c>
      <c r="B544" t="s">
        <v>62</v>
      </c>
      <c r="C544">
        <v>7</v>
      </c>
      <c r="D544">
        <v>50800</v>
      </c>
      <c r="E544" t="s">
        <v>69</v>
      </c>
      <c r="F544">
        <v>32</v>
      </c>
      <c r="G544">
        <v>5.7</v>
      </c>
      <c r="H544">
        <v>6500</v>
      </c>
      <c r="I544">
        <v>0</v>
      </c>
      <c r="J544">
        <f>1</f>
        <v>1</v>
      </c>
      <c r="K544">
        <v>1</v>
      </c>
      <c r="L544">
        <v>0</v>
      </c>
      <c r="M544">
        <f t="shared" ca="1" si="24"/>
        <v>0.79228008844711495</v>
      </c>
      <c r="N544">
        <v>0</v>
      </c>
      <c r="O544">
        <v>0</v>
      </c>
      <c r="P544">
        <f t="shared" ca="1" si="25"/>
        <v>0.47418572284026728</v>
      </c>
      <c r="Q544">
        <f t="shared" si="26"/>
        <v>1</v>
      </c>
    </row>
    <row r="545" spans="1:17" x14ac:dyDescent="0.3">
      <c r="A545" t="s">
        <v>257</v>
      </c>
      <c r="B545" t="s">
        <v>513</v>
      </c>
      <c r="C545">
        <v>9</v>
      </c>
      <c r="D545">
        <v>52500</v>
      </c>
      <c r="E545" t="s">
        <v>67</v>
      </c>
      <c r="F545">
        <v>61</v>
      </c>
      <c r="G545">
        <v>12.9</v>
      </c>
      <c r="H545">
        <v>900</v>
      </c>
      <c r="I545">
        <v>0</v>
      </c>
      <c r="J545">
        <f>1</f>
        <v>1</v>
      </c>
      <c r="K545">
        <v>1</v>
      </c>
      <c r="L545">
        <v>0</v>
      </c>
      <c r="M545">
        <f t="shared" ca="1" si="24"/>
        <v>0.85367081634817599</v>
      </c>
      <c r="N545">
        <v>0</v>
      </c>
      <c r="O545">
        <v>0</v>
      </c>
      <c r="P545">
        <f t="shared" ca="1" si="25"/>
        <v>0.95268459950350104</v>
      </c>
      <c r="Q545">
        <f t="shared" si="26"/>
        <v>1</v>
      </c>
    </row>
    <row r="546" spans="1:17" x14ac:dyDescent="0.3">
      <c r="A546" t="s">
        <v>160</v>
      </c>
      <c r="B546" t="s">
        <v>65</v>
      </c>
      <c r="C546">
        <v>4</v>
      </c>
      <c r="D546">
        <v>43200</v>
      </c>
      <c r="E546" t="s">
        <v>69</v>
      </c>
      <c r="F546">
        <v>28</v>
      </c>
      <c r="G546">
        <v>4</v>
      </c>
      <c r="H546">
        <v>0</v>
      </c>
      <c r="I546">
        <v>0</v>
      </c>
      <c r="J546">
        <f>1</f>
        <v>1</v>
      </c>
      <c r="K546">
        <v>1</v>
      </c>
      <c r="L546">
        <v>0</v>
      </c>
      <c r="M546">
        <f t="shared" ca="1" si="24"/>
        <v>0.65490179819496486</v>
      </c>
      <c r="N546">
        <v>0</v>
      </c>
      <c r="O546">
        <v>0</v>
      </c>
      <c r="P546">
        <f t="shared" ca="1" si="25"/>
        <v>0.45875961604636073</v>
      </c>
      <c r="Q546">
        <f t="shared" si="26"/>
        <v>1</v>
      </c>
    </row>
    <row r="547" spans="1:17" x14ac:dyDescent="0.3">
      <c r="A547" t="s">
        <v>654</v>
      </c>
      <c r="B547" t="s">
        <v>513</v>
      </c>
      <c r="C547">
        <v>5</v>
      </c>
      <c r="D547">
        <v>24500</v>
      </c>
      <c r="E547" t="s">
        <v>1146</v>
      </c>
      <c r="F547">
        <v>5</v>
      </c>
      <c r="G547">
        <v>14.6</v>
      </c>
      <c r="H547">
        <v>0</v>
      </c>
      <c r="I547">
        <v>1</v>
      </c>
      <c r="J547">
        <f>1</f>
        <v>1</v>
      </c>
      <c r="K547">
        <v>1</v>
      </c>
      <c r="L547">
        <v>0</v>
      </c>
      <c r="M547">
        <f t="shared" ca="1" si="24"/>
        <v>0.22589514286455659</v>
      </c>
      <c r="N547">
        <v>0</v>
      </c>
      <c r="O547">
        <v>0</v>
      </c>
      <c r="P547">
        <f t="shared" ca="1" si="25"/>
        <v>0.52992984920511577</v>
      </c>
      <c r="Q547">
        <f t="shared" si="26"/>
        <v>1</v>
      </c>
    </row>
    <row r="548" spans="1:17" x14ac:dyDescent="0.3">
      <c r="A548" t="s">
        <v>126</v>
      </c>
      <c r="B548" t="s">
        <v>513</v>
      </c>
      <c r="C548">
        <v>4</v>
      </c>
      <c r="D548">
        <v>26900</v>
      </c>
      <c r="E548" t="s">
        <v>66</v>
      </c>
      <c r="F548">
        <v>31</v>
      </c>
      <c r="G548">
        <v>4.2</v>
      </c>
      <c r="H548">
        <v>0</v>
      </c>
      <c r="I548">
        <v>0</v>
      </c>
      <c r="J548">
        <f>1</f>
        <v>1</v>
      </c>
      <c r="K548">
        <v>1</v>
      </c>
      <c r="L548">
        <v>0</v>
      </c>
      <c r="M548">
        <f t="shared" ca="1" si="24"/>
        <v>0.24374759147265923</v>
      </c>
      <c r="N548">
        <v>0</v>
      </c>
      <c r="O548">
        <v>0</v>
      </c>
      <c r="P548">
        <f t="shared" ca="1" si="25"/>
        <v>9.1118732989301732E-2</v>
      </c>
      <c r="Q548">
        <f t="shared" si="26"/>
        <v>1</v>
      </c>
    </row>
    <row r="549" spans="1:17" x14ac:dyDescent="0.3">
      <c r="A549" t="s">
        <v>840</v>
      </c>
      <c r="B549" t="s">
        <v>65</v>
      </c>
      <c r="C549">
        <v>9</v>
      </c>
      <c r="D549">
        <v>15500</v>
      </c>
      <c r="E549" t="s">
        <v>1146</v>
      </c>
      <c r="F549">
        <v>7</v>
      </c>
      <c r="G549">
        <v>8.4</v>
      </c>
      <c r="H549">
        <v>9400</v>
      </c>
      <c r="I549">
        <v>1</v>
      </c>
      <c r="J549">
        <f>1</f>
        <v>1</v>
      </c>
      <c r="K549">
        <v>1</v>
      </c>
      <c r="L549">
        <v>0</v>
      </c>
      <c r="M549">
        <f t="shared" ca="1" si="24"/>
        <v>0.18035477397156952</v>
      </c>
      <c r="N549">
        <v>0</v>
      </c>
      <c r="O549">
        <v>0</v>
      </c>
      <c r="P549">
        <f t="shared" ca="1" si="25"/>
        <v>0.71538086466893569</v>
      </c>
      <c r="Q549">
        <f t="shared" si="26"/>
        <v>1</v>
      </c>
    </row>
    <row r="550" spans="1:17" x14ac:dyDescent="0.3">
      <c r="A550" t="s">
        <v>1054</v>
      </c>
      <c r="B550" t="s">
        <v>62</v>
      </c>
      <c r="C550">
        <v>7</v>
      </c>
      <c r="D550">
        <v>20100</v>
      </c>
      <c r="E550" t="s">
        <v>1146</v>
      </c>
      <c r="F550">
        <v>5</v>
      </c>
      <c r="G550">
        <v>6</v>
      </c>
      <c r="H550">
        <v>4700</v>
      </c>
      <c r="I550">
        <v>1</v>
      </c>
      <c r="J550">
        <f>1</f>
        <v>1</v>
      </c>
      <c r="K550">
        <v>1</v>
      </c>
      <c r="L550">
        <v>0</v>
      </c>
      <c r="M550">
        <f t="shared" ca="1" si="24"/>
        <v>0.44831402734599068</v>
      </c>
      <c r="N550">
        <v>0</v>
      </c>
      <c r="O550">
        <v>0</v>
      </c>
      <c r="P550">
        <f t="shared" ca="1" si="25"/>
        <v>0.28298903684828236</v>
      </c>
      <c r="Q550">
        <f t="shared" si="26"/>
        <v>1</v>
      </c>
    </row>
    <row r="551" spans="1:17" x14ac:dyDescent="0.3">
      <c r="A551" t="s">
        <v>977</v>
      </c>
      <c r="B551" t="s">
        <v>64</v>
      </c>
      <c r="C551">
        <v>7</v>
      </c>
      <c r="D551">
        <v>94200</v>
      </c>
      <c r="E551" t="s">
        <v>1146</v>
      </c>
      <c r="F551">
        <v>8</v>
      </c>
      <c r="G551">
        <v>5.8</v>
      </c>
      <c r="H551">
        <v>9800</v>
      </c>
      <c r="I551">
        <v>1</v>
      </c>
      <c r="J551">
        <f>1</f>
        <v>1</v>
      </c>
      <c r="K551">
        <v>1</v>
      </c>
      <c r="L551">
        <v>0</v>
      </c>
      <c r="M551">
        <f t="shared" ca="1" si="24"/>
        <v>0.2517329801316025</v>
      </c>
      <c r="N551">
        <v>0</v>
      </c>
      <c r="O551">
        <v>0</v>
      </c>
      <c r="P551">
        <f t="shared" ca="1" si="25"/>
        <v>3.1168817027269369E-2</v>
      </c>
      <c r="Q551">
        <f t="shared" si="26"/>
        <v>1</v>
      </c>
    </row>
    <row r="552" spans="1:17" x14ac:dyDescent="0.3">
      <c r="A552" t="s">
        <v>318</v>
      </c>
      <c r="B552" t="s">
        <v>65</v>
      </c>
      <c r="C552">
        <v>10</v>
      </c>
      <c r="D552">
        <v>19300</v>
      </c>
      <c r="E552" t="s">
        <v>67</v>
      </c>
      <c r="F552">
        <v>113</v>
      </c>
      <c r="G552">
        <v>6.2</v>
      </c>
      <c r="H552">
        <v>13100</v>
      </c>
      <c r="I552">
        <v>0</v>
      </c>
      <c r="J552">
        <f>1</f>
        <v>1</v>
      </c>
      <c r="K552">
        <v>1</v>
      </c>
      <c r="L552">
        <v>0</v>
      </c>
      <c r="M552">
        <f t="shared" ca="1" si="24"/>
        <v>0.36000439458594535</v>
      </c>
      <c r="N552">
        <v>0</v>
      </c>
      <c r="O552">
        <v>0</v>
      </c>
      <c r="P552">
        <f t="shared" ca="1" si="25"/>
        <v>0.74529817016949507</v>
      </c>
      <c r="Q552">
        <f t="shared" si="26"/>
        <v>1</v>
      </c>
    </row>
    <row r="553" spans="1:17" x14ac:dyDescent="0.3">
      <c r="A553" t="s">
        <v>803</v>
      </c>
      <c r="B553" t="s">
        <v>62</v>
      </c>
      <c r="C553">
        <v>5</v>
      </c>
      <c r="D553">
        <v>17200</v>
      </c>
      <c r="E553" t="s">
        <v>1146</v>
      </c>
      <c r="F553">
        <v>10</v>
      </c>
      <c r="G553">
        <v>1.1000000000000001</v>
      </c>
      <c r="H553">
        <v>0</v>
      </c>
      <c r="I553">
        <v>1</v>
      </c>
      <c r="J553">
        <f>1</f>
        <v>1</v>
      </c>
      <c r="K553">
        <v>1</v>
      </c>
      <c r="L553">
        <v>0</v>
      </c>
      <c r="M553">
        <f t="shared" ca="1" si="24"/>
        <v>0.91561651308927394</v>
      </c>
      <c r="N553">
        <v>0</v>
      </c>
      <c r="O553">
        <v>0</v>
      </c>
      <c r="P553">
        <f t="shared" ca="1" si="25"/>
        <v>0.73955780850613428</v>
      </c>
      <c r="Q553">
        <f t="shared" si="26"/>
        <v>1</v>
      </c>
    </row>
    <row r="554" spans="1:17" x14ac:dyDescent="0.3">
      <c r="A554" t="s">
        <v>275</v>
      </c>
      <c r="B554" t="s">
        <v>64</v>
      </c>
      <c r="C554">
        <v>5</v>
      </c>
      <c r="D554">
        <v>61500</v>
      </c>
      <c r="E554" t="s">
        <v>66</v>
      </c>
      <c r="F554">
        <v>54</v>
      </c>
      <c r="G554">
        <v>4.7</v>
      </c>
      <c r="H554">
        <v>9800</v>
      </c>
      <c r="I554">
        <v>0</v>
      </c>
      <c r="J554">
        <f>1</f>
        <v>1</v>
      </c>
      <c r="K554">
        <v>1</v>
      </c>
      <c r="L554">
        <v>0</v>
      </c>
      <c r="M554">
        <f t="shared" ca="1" si="24"/>
        <v>0.37122300548101794</v>
      </c>
      <c r="N554">
        <v>0</v>
      </c>
      <c r="O554">
        <v>0</v>
      </c>
      <c r="P554">
        <f t="shared" ca="1" si="25"/>
        <v>0.61107054974988861</v>
      </c>
      <c r="Q554">
        <f t="shared" si="26"/>
        <v>1</v>
      </c>
    </row>
    <row r="555" spans="1:17" x14ac:dyDescent="0.3">
      <c r="A555" t="s">
        <v>1094</v>
      </c>
      <c r="B555" t="s">
        <v>513</v>
      </c>
      <c r="C555">
        <v>8</v>
      </c>
      <c r="D555">
        <v>42300</v>
      </c>
      <c r="E555" t="s">
        <v>1146</v>
      </c>
      <c r="F555">
        <v>6</v>
      </c>
      <c r="G555">
        <v>1.7</v>
      </c>
      <c r="H555">
        <v>6200</v>
      </c>
      <c r="I555">
        <v>1</v>
      </c>
      <c r="J555">
        <f>1</f>
        <v>1</v>
      </c>
      <c r="K555">
        <v>1</v>
      </c>
      <c r="L555">
        <v>0</v>
      </c>
      <c r="M555">
        <f t="shared" ca="1" si="24"/>
        <v>0.36110160209824271</v>
      </c>
      <c r="N555">
        <v>0</v>
      </c>
      <c r="O555">
        <v>0</v>
      </c>
      <c r="P555">
        <f t="shared" ca="1" si="25"/>
        <v>8.3774479526023904E-2</v>
      </c>
      <c r="Q555">
        <f t="shared" si="26"/>
        <v>1</v>
      </c>
    </row>
    <row r="556" spans="1:17" x14ac:dyDescent="0.3">
      <c r="A556" t="s">
        <v>220</v>
      </c>
      <c r="B556" t="s">
        <v>62</v>
      </c>
      <c r="C556">
        <v>4</v>
      </c>
      <c r="D556">
        <v>16800</v>
      </c>
      <c r="E556" t="s">
        <v>67</v>
      </c>
      <c r="F556">
        <v>68</v>
      </c>
      <c r="G556">
        <v>1.7</v>
      </c>
      <c r="H556">
        <v>4200</v>
      </c>
      <c r="I556">
        <v>0</v>
      </c>
      <c r="J556">
        <f>1</f>
        <v>1</v>
      </c>
      <c r="K556">
        <v>1</v>
      </c>
      <c r="L556">
        <v>0</v>
      </c>
      <c r="M556">
        <f t="shared" ca="1" si="24"/>
        <v>0.80155387893161811</v>
      </c>
      <c r="N556">
        <v>0</v>
      </c>
      <c r="O556">
        <v>0</v>
      </c>
      <c r="P556">
        <f t="shared" ca="1" si="25"/>
        <v>0.3119967576885978</v>
      </c>
      <c r="Q556">
        <f t="shared" si="26"/>
        <v>1</v>
      </c>
    </row>
    <row r="557" spans="1:17" x14ac:dyDescent="0.3">
      <c r="A557" t="s">
        <v>489</v>
      </c>
      <c r="B557" t="s">
        <v>65</v>
      </c>
      <c r="C557">
        <v>8</v>
      </c>
      <c r="D557">
        <v>33500</v>
      </c>
      <c r="E557" t="s">
        <v>67</v>
      </c>
      <c r="F557">
        <v>105</v>
      </c>
      <c r="G557">
        <v>1.9</v>
      </c>
      <c r="H557">
        <v>13400</v>
      </c>
      <c r="I557">
        <v>0</v>
      </c>
      <c r="J557">
        <f>1</f>
        <v>1</v>
      </c>
      <c r="K557">
        <v>1</v>
      </c>
      <c r="L557">
        <v>0</v>
      </c>
      <c r="M557">
        <f t="shared" ca="1" si="24"/>
        <v>0.45920417729240126</v>
      </c>
      <c r="N557">
        <v>0</v>
      </c>
      <c r="O557">
        <v>0</v>
      </c>
      <c r="P557">
        <f t="shared" ca="1" si="25"/>
        <v>0.81742767441832609</v>
      </c>
      <c r="Q557">
        <f t="shared" si="26"/>
        <v>1</v>
      </c>
    </row>
    <row r="558" spans="1:17" x14ac:dyDescent="0.3">
      <c r="A558" t="s">
        <v>509</v>
      </c>
      <c r="B558" t="s">
        <v>513</v>
      </c>
      <c r="C558">
        <v>10</v>
      </c>
      <c r="D558">
        <v>93100</v>
      </c>
      <c r="E558" t="s">
        <v>69</v>
      </c>
      <c r="F558">
        <v>52</v>
      </c>
      <c r="G558">
        <v>10.4</v>
      </c>
      <c r="H558">
        <v>8400</v>
      </c>
      <c r="I558">
        <v>0</v>
      </c>
      <c r="J558">
        <f>1</f>
        <v>1</v>
      </c>
      <c r="K558">
        <v>1</v>
      </c>
      <c r="L558">
        <v>0</v>
      </c>
      <c r="M558">
        <f t="shared" ca="1" si="24"/>
        <v>0.28811919684314768</v>
      </c>
      <c r="N558">
        <v>0</v>
      </c>
      <c r="O558">
        <v>0</v>
      </c>
      <c r="P558">
        <f t="shared" ca="1" si="25"/>
        <v>0.60352002274216332</v>
      </c>
      <c r="Q558">
        <f t="shared" si="26"/>
        <v>1</v>
      </c>
    </row>
    <row r="559" spans="1:17" x14ac:dyDescent="0.3">
      <c r="A559" t="s">
        <v>179</v>
      </c>
      <c r="B559" t="s">
        <v>64</v>
      </c>
      <c r="C559">
        <v>3</v>
      </c>
      <c r="D559">
        <v>28800</v>
      </c>
      <c r="E559" t="s">
        <v>67</v>
      </c>
      <c r="F559">
        <v>70</v>
      </c>
      <c r="G559">
        <v>3</v>
      </c>
      <c r="H559">
        <v>9700</v>
      </c>
      <c r="I559">
        <v>0</v>
      </c>
      <c r="J559">
        <f>1</f>
        <v>1</v>
      </c>
      <c r="K559">
        <v>1</v>
      </c>
      <c r="L559">
        <v>0</v>
      </c>
      <c r="M559">
        <f t="shared" ca="1" si="24"/>
        <v>0.33526311206875292</v>
      </c>
      <c r="N559">
        <v>0</v>
      </c>
      <c r="O559">
        <v>0</v>
      </c>
      <c r="P559">
        <f t="shared" ca="1" si="25"/>
        <v>0.20162046367490638</v>
      </c>
      <c r="Q559">
        <f t="shared" si="26"/>
        <v>1</v>
      </c>
    </row>
    <row r="560" spans="1:17" x14ac:dyDescent="0.3">
      <c r="A560" t="s">
        <v>539</v>
      </c>
      <c r="B560" t="s">
        <v>64</v>
      </c>
      <c r="C560">
        <v>3</v>
      </c>
      <c r="D560">
        <v>54700</v>
      </c>
      <c r="E560" t="s">
        <v>69</v>
      </c>
      <c r="F560">
        <v>11</v>
      </c>
      <c r="G560">
        <v>3.2</v>
      </c>
      <c r="H560">
        <v>2100</v>
      </c>
      <c r="I560">
        <v>0</v>
      </c>
      <c r="J560">
        <f>1</f>
        <v>1</v>
      </c>
      <c r="K560">
        <v>1</v>
      </c>
      <c r="L560">
        <v>0</v>
      </c>
      <c r="M560">
        <f t="shared" ca="1" si="24"/>
        <v>3.7380848609517736E-2</v>
      </c>
      <c r="N560">
        <v>0</v>
      </c>
      <c r="O560">
        <v>0</v>
      </c>
      <c r="P560">
        <f t="shared" ca="1" si="25"/>
        <v>0.93878826917512881</v>
      </c>
      <c r="Q560">
        <f t="shared" si="26"/>
        <v>1</v>
      </c>
    </row>
    <row r="561" spans="1:17" x14ac:dyDescent="0.3">
      <c r="A561" t="s">
        <v>1139</v>
      </c>
      <c r="B561" t="s">
        <v>65</v>
      </c>
      <c r="C561">
        <v>6</v>
      </c>
      <c r="D561">
        <v>15300</v>
      </c>
      <c r="E561" t="s">
        <v>1146</v>
      </c>
      <c r="F561">
        <v>2</v>
      </c>
      <c r="G561">
        <v>12</v>
      </c>
      <c r="H561">
        <v>9000</v>
      </c>
      <c r="I561">
        <v>1</v>
      </c>
      <c r="J561">
        <f>1</f>
        <v>1</v>
      </c>
      <c r="K561">
        <v>1</v>
      </c>
      <c r="L561">
        <v>0</v>
      </c>
      <c r="M561">
        <f t="shared" ca="1" si="24"/>
        <v>0.64547617217789788</v>
      </c>
      <c r="N561">
        <v>0</v>
      </c>
      <c r="O561">
        <v>0</v>
      </c>
      <c r="P561">
        <f t="shared" ca="1" si="25"/>
        <v>0.53040672041835779</v>
      </c>
      <c r="Q561">
        <f t="shared" si="26"/>
        <v>1</v>
      </c>
    </row>
    <row r="562" spans="1:17" x14ac:dyDescent="0.3">
      <c r="A562" t="s">
        <v>1070</v>
      </c>
      <c r="B562" t="s">
        <v>513</v>
      </c>
      <c r="C562">
        <v>7</v>
      </c>
      <c r="D562">
        <v>34600</v>
      </c>
      <c r="E562" t="s">
        <v>1146</v>
      </c>
      <c r="F562">
        <v>6</v>
      </c>
      <c r="G562">
        <v>10.7</v>
      </c>
      <c r="H562">
        <v>9200</v>
      </c>
      <c r="I562">
        <v>1</v>
      </c>
      <c r="J562">
        <f>1</f>
        <v>1</v>
      </c>
      <c r="K562">
        <v>1</v>
      </c>
      <c r="L562">
        <v>0</v>
      </c>
      <c r="M562">
        <f t="shared" ca="1" si="24"/>
        <v>0.84450375802730249</v>
      </c>
      <c r="N562">
        <v>0</v>
      </c>
      <c r="O562">
        <v>0</v>
      </c>
      <c r="P562">
        <f t="shared" ca="1" si="25"/>
        <v>9.8080132988239255E-2</v>
      </c>
      <c r="Q562">
        <f t="shared" si="26"/>
        <v>1</v>
      </c>
    </row>
    <row r="563" spans="1:17" x14ac:dyDescent="0.3">
      <c r="A563" t="s">
        <v>737</v>
      </c>
      <c r="B563" t="s">
        <v>62</v>
      </c>
      <c r="C563">
        <v>3</v>
      </c>
      <c r="D563">
        <v>27200</v>
      </c>
      <c r="E563" t="s">
        <v>1146</v>
      </c>
      <c r="F563">
        <v>9</v>
      </c>
      <c r="G563">
        <v>9.1</v>
      </c>
      <c r="H563">
        <v>1400</v>
      </c>
      <c r="I563">
        <v>1</v>
      </c>
      <c r="J563">
        <f>1</f>
        <v>1</v>
      </c>
      <c r="K563">
        <v>1</v>
      </c>
      <c r="L563">
        <v>0</v>
      </c>
      <c r="M563">
        <f t="shared" ca="1" si="24"/>
        <v>0.71885712132338753</v>
      </c>
      <c r="N563">
        <v>0</v>
      </c>
      <c r="O563">
        <v>0</v>
      </c>
      <c r="P563">
        <f t="shared" ca="1" si="25"/>
        <v>0.59042795327204323</v>
      </c>
      <c r="Q563">
        <f t="shared" si="26"/>
        <v>1</v>
      </c>
    </row>
    <row r="564" spans="1:17" x14ac:dyDescent="0.3">
      <c r="A564" t="s">
        <v>768</v>
      </c>
      <c r="B564" t="s">
        <v>64</v>
      </c>
      <c r="C564">
        <v>5</v>
      </c>
      <c r="D564">
        <v>58100</v>
      </c>
      <c r="E564" t="s">
        <v>1146</v>
      </c>
      <c r="F564">
        <v>1</v>
      </c>
      <c r="G564">
        <v>7.2</v>
      </c>
      <c r="H564">
        <v>0</v>
      </c>
      <c r="I564">
        <v>1</v>
      </c>
      <c r="J564">
        <f>1</f>
        <v>1</v>
      </c>
      <c r="K564">
        <v>1</v>
      </c>
      <c r="L564">
        <v>0</v>
      </c>
      <c r="M564">
        <f t="shared" ca="1" si="24"/>
        <v>0.78134314203072763</v>
      </c>
      <c r="N564">
        <v>0</v>
      </c>
      <c r="O564">
        <v>0</v>
      </c>
      <c r="P564">
        <f t="shared" ca="1" si="25"/>
        <v>0.65565924023844757</v>
      </c>
      <c r="Q564">
        <f t="shared" si="26"/>
        <v>1</v>
      </c>
    </row>
    <row r="565" spans="1:17" x14ac:dyDescent="0.3">
      <c r="A565" t="s">
        <v>115</v>
      </c>
      <c r="B565" t="s">
        <v>65</v>
      </c>
      <c r="C565">
        <v>8</v>
      </c>
      <c r="D565">
        <v>32200</v>
      </c>
      <c r="E565" t="s">
        <v>67</v>
      </c>
      <c r="F565">
        <v>45</v>
      </c>
      <c r="G565">
        <v>11.4</v>
      </c>
      <c r="H565">
        <v>9500</v>
      </c>
      <c r="I565">
        <v>0</v>
      </c>
      <c r="J565">
        <f>1</f>
        <v>1</v>
      </c>
      <c r="K565">
        <v>1</v>
      </c>
      <c r="L565">
        <v>0</v>
      </c>
      <c r="M565">
        <f t="shared" ca="1" si="24"/>
        <v>0.26352690687729041</v>
      </c>
      <c r="N565">
        <v>0</v>
      </c>
      <c r="O565">
        <v>0</v>
      </c>
      <c r="P565">
        <f t="shared" ca="1" si="25"/>
        <v>0.7496322491237295</v>
      </c>
      <c r="Q565">
        <f t="shared" si="26"/>
        <v>1</v>
      </c>
    </row>
    <row r="566" spans="1:17" x14ac:dyDescent="0.3">
      <c r="A566" t="s">
        <v>736</v>
      </c>
      <c r="B566" t="s">
        <v>62</v>
      </c>
      <c r="C566">
        <v>4</v>
      </c>
      <c r="D566">
        <v>15900</v>
      </c>
      <c r="E566" t="s">
        <v>1146</v>
      </c>
      <c r="F566">
        <v>10</v>
      </c>
      <c r="G566">
        <v>8</v>
      </c>
      <c r="H566">
        <v>300</v>
      </c>
      <c r="I566">
        <v>1</v>
      </c>
      <c r="J566">
        <f>1</f>
        <v>1</v>
      </c>
      <c r="K566">
        <v>1</v>
      </c>
      <c r="L566">
        <v>0</v>
      </c>
      <c r="M566">
        <f t="shared" ca="1" si="24"/>
        <v>0.10163840110442657</v>
      </c>
      <c r="N566">
        <v>0</v>
      </c>
      <c r="O566">
        <v>0</v>
      </c>
      <c r="P566">
        <f t="shared" ca="1" si="25"/>
        <v>0.60658793479656981</v>
      </c>
      <c r="Q566">
        <f t="shared" si="26"/>
        <v>1</v>
      </c>
    </row>
    <row r="567" spans="1:17" x14ac:dyDescent="0.3">
      <c r="A567" t="s">
        <v>428</v>
      </c>
      <c r="B567" t="s">
        <v>62</v>
      </c>
      <c r="C567">
        <v>7</v>
      </c>
      <c r="D567">
        <v>42700</v>
      </c>
      <c r="E567" t="s">
        <v>66</v>
      </c>
      <c r="F567">
        <v>47</v>
      </c>
      <c r="G567">
        <v>6.2</v>
      </c>
      <c r="H567">
        <v>0</v>
      </c>
      <c r="I567">
        <v>0</v>
      </c>
      <c r="J567">
        <f>1</f>
        <v>1</v>
      </c>
      <c r="K567">
        <v>1</v>
      </c>
      <c r="L567">
        <v>0</v>
      </c>
      <c r="M567">
        <f t="shared" ca="1" si="24"/>
        <v>9.69462251974883E-2</v>
      </c>
      <c r="N567">
        <v>0</v>
      </c>
      <c r="O567">
        <v>0</v>
      </c>
      <c r="P567">
        <f t="shared" ca="1" si="25"/>
        <v>7.4932609383209337E-2</v>
      </c>
      <c r="Q567">
        <f t="shared" si="26"/>
        <v>1</v>
      </c>
    </row>
    <row r="568" spans="1:17" x14ac:dyDescent="0.3">
      <c r="A568" t="s">
        <v>424</v>
      </c>
      <c r="B568" t="s">
        <v>65</v>
      </c>
      <c r="C568">
        <v>6</v>
      </c>
      <c r="D568">
        <v>54500</v>
      </c>
      <c r="E568" t="s">
        <v>68</v>
      </c>
      <c r="F568">
        <v>63</v>
      </c>
      <c r="G568">
        <v>0.9</v>
      </c>
      <c r="H568">
        <v>5600</v>
      </c>
      <c r="I568">
        <v>0</v>
      </c>
      <c r="J568">
        <f>1</f>
        <v>1</v>
      </c>
      <c r="K568">
        <v>1</v>
      </c>
      <c r="L568">
        <v>0</v>
      </c>
      <c r="M568">
        <f t="shared" ca="1" si="24"/>
        <v>0.44160922612031606</v>
      </c>
      <c r="N568">
        <v>0</v>
      </c>
      <c r="O568">
        <v>0</v>
      </c>
      <c r="P568">
        <f t="shared" ca="1" si="25"/>
        <v>0.86507926194124096</v>
      </c>
      <c r="Q568">
        <f t="shared" si="26"/>
        <v>1</v>
      </c>
    </row>
    <row r="569" spans="1:17" x14ac:dyDescent="0.3">
      <c r="A569" t="s">
        <v>453</v>
      </c>
      <c r="B569" t="s">
        <v>513</v>
      </c>
      <c r="C569">
        <v>9</v>
      </c>
      <c r="D569">
        <v>60200</v>
      </c>
      <c r="E569" t="s">
        <v>66</v>
      </c>
      <c r="F569">
        <v>31</v>
      </c>
      <c r="G569">
        <v>6.2</v>
      </c>
      <c r="H569">
        <v>6400</v>
      </c>
      <c r="I569">
        <v>0</v>
      </c>
      <c r="J569">
        <f>1</f>
        <v>1</v>
      </c>
      <c r="K569">
        <v>1</v>
      </c>
      <c r="L569">
        <v>0</v>
      </c>
      <c r="M569">
        <f t="shared" ca="1" si="24"/>
        <v>0.53066425151098162</v>
      </c>
      <c r="N569">
        <v>0</v>
      </c>
      <c r="O569">
        <v>0</v>
      </c>
      <c r="P569">
        <f t="shared" ca="1" si="25"/>
        <v>0.10903172107917758</v>
      </c>
      <c r="Q569">
        <f t="shared" si="26"/>
        <v>1</v>
      </c>
    </row>
    <row r="570" spans="1:17" x14ac:dyDescent="0.3">
      <c r="A570" t="s">
        <v>844</v>
      </c>
      <c r="B570" t="s">
        <v>64</v>
      </c>
      <c r="C570">
        <v>2</v>
      </c>
      <c r="D570">
        <v>20700</v>
      </c>
      <c r="E570" t="s">
        <v>66</v>
      </c>
      <c r="F570">
        <v>43</v>
      </c>
      <c r="G570">
        <v>10.9</v>
      </c>
      <c r="H570">
        <v>2700</v>
      </c>
      <c r="I570">
        <v>1</v>
      </c>
      <c r="J570">
        <f>1</f>
        <v>1</v>
      </c>
      <c r="K570">
        <v>1</v>
      </c>
      <c r="L570">
        <v>0</v>
      </c>
      <c r="M570">
        <f t="shared" ca="1" si="24"/>
        <v>0.10749200926223612</v>
      </c>
      <c r="N570">
        <v>0</v>
      </c>
      <c r="O570">
        <v>0</v>
      </c>
      <c r="P570">
        <f t="shared" ca="1" si="25"/>
        <v>0.50222358349904972</v>
      </c>
      <c r="Q570">
        <f t="shared" si="26"/>
        <v>1</v>
      </c>
    </row>
    <row r="571" spans="1:17" x14ac:dyDescent="0.3">
      <c r="A571" t="s">
        <v>799</v>
      </c>
      <c r="B571" t="s">
        <v>65</v>
      </c>
      <c r="C571">
        <v>5</v>
      </c>
      <c r="D571">
        <v>44000</v>
      </c>
      <c r="E571" t="s">
        <v>1146</v>
      </c>
      <c r="F571">
        <v>1</v>
      </c>
      <c r="G571">
        <v>10.5</v>
      </c>
      <c r="H571">
        <v>11400</v>
      </c>
      <c r="I571">
        <v>1</v>
      </c>
      <c r="J571">
        <f>1</f>
        <v>1</v>
      </c>
      <c r="K571">
        <v>1</v>
      </c>
      <c r="L571">
        <v>0</v>
      </c>
      <c r="M571">
        <f t="shared" ca="1" si="24"/>
        <v>0.11990502420167892</v>
      </c>
      <c r="N571">
        <v>0</v>
      </c>
      <c r="O571">
        <v>0</v>
      </c>
      <c r="P571">
        <f t="shared" ca="1" si="25"/>
        <v>0.71078542511426557</v>
      </c>
      <c r="Q571">
        <f t="shared" si="26"/>
        <v>1</v>
      </c>
    </row>
    <row r="572" spans="1:17" x14ac:dyDescent="0.3">
      <c r="A572" t="s">
        <v>1096</v>
      </c>
      <c r="B572" t="s">
        <v>513</v>
      </c>
      <c r="C572">
        <v>4</v>
      </c>
      <c r="D572">
        <v>29400</v>
      </c>
      <c r="E572" t="s">
        <v>1146</v>
      </c>
      <c r="F572">
        <v>0</v>
      </c>
      <c r="G572">
        <v>9.8000000000000007</v>
      </c>
      <c r="H572">
        <v>0</v>
      </c>
      <c r="I572">
        <v>1</v>
      </c>
      <c r="J572">
        <f>1</f>
        <v>1</v>
      </c>
      <c r="K572">
        <v>1</v>
      </c>
      <c r="L572">
        <v>0</v>
      </c>
      <c r="M572">
        <f t="shared" ca="1" si="24"/>
        <v>0.55383064291115469</v>
      </c>
      <c r="N572">
        <v>0</v>
      </c>
      <c r="O572">
        <v>0</v>
      </c>
      <c r="P572">
        <f t="shared" ca="1" si="25"/>
        <v>0.11300633966930951</v>
      </c>
      <c r="Q572">
        <f t="shared" si="26"/>
        <v>1</v>
      </c>
    </row>
    <row r="573" spans="1:17" x14ac:dyDescent="0.3">
      <c r="A573" t="s">
        <v>696</v>
      </c>
      <c r="B573" t="s">
        <v>65</v>
      </c>
      <c r="C573">
        <v>6</v>
      </c>
      <c r="D573">
        <v>44400</v>
      </c>
      <c r="E573" t="s">
        <v>1146</v>
      </c>
      <c r="F573">
        <v>0</v>
      </c>
      <c r="G573">
        <v>5.8</v>
      </c>
      <c r="H573">
        <v>7100</v>
      </c>
      <c r="I573">
        <v>1</v>
      </c>
      <c r="J573">
        <f>1</f>
        <v>1</v>
      </c>
      <c r="K573">
        <v>1</v>
      </c>
      <c r="L573">
        <v>0</v>
      </c>
      <c r="M573">
        <f t="shared" ca="1" si="24"/>
        <v>0.21265729950585388</v>
      </c>
      <c r="N573">
        <v>0</v>
      </c>
      <c r="O573">
        <v>0</v>
      </c>
      <c r="P573">
        <f t="shared" ca="1" si="25"/>
        <v>0.18416978052762811</v>
      </c>
      <c r="Q573">
        <f t="shared" si="26"/>
        <v>1</v>
      </c>
    </row>
    <row r="574" spans="1:17" x14ac:dyDescent="0.3">
      <c r="A574" t="s">
        <v>816</v>
      </c>
      <c r="B574" t="s">
        <v>513</v>
      </c>
      <c r="C574">
        <v>7</v>
      </c>
      <c r="D574">
        <v>54600</v>
      </c>
      <c r="E574" t="s">
        <v>1146</v>
      </c>
      <c r="F574">
        <v>10</v>
      </c>
      <c r="G574">
        <v>5.6</v>
      </c>
      <c r="H574">
        <v>0</v>
      </c>
      <c r="I574">
        <v>1</v>
      </c>
      <c r="J574">
        <f>1</f>
        <v>1</v>
      </c>
      <c r="K574">
        <v>1</v>
      </c>
      <c r="L574">
        <v>0</v>
      </c>
      <c r="M574">
        <f t="shared" ca="1" si="24"/>
        <v>0.63553128223748023</v>
      </c>
      <c r="N574">
        <v>0</v>
      </c>
      <c r="O574">
        <v>0</v>
      </c>
      <c r="P574">
        <f t="shared" ca="1" si="25"/>
        <v>0.92732634677001025</v>
      </c>
      <c r="Q574">
        <f t="shared" si="26"/>
        <v>1</v>
      </c>
    </row>
    <row r="575" spans="1:17" x14ac:dyDescent="0.3">
      <c r="A575" t="s">
        <v>569</v>
      </c>
      <c r="B575" t="s">
        <v>513</v>
      </c>
      <c r="C575">
        <v>2</v>
      </c>
      <c r="D575">
        <v>66400</v>
      </c>
      <c r="E575" t="s">
        <v>66</v>
      </c>
      <c r="F575">
        <v>62</v>
      </c>
      <c r="G575">
        <v>11.7</v>
      </c>
      <c r="H575">
        <v>12200</v>
      </c>
      <c r="I575">
        <v>0</v>
      </c>
      <c r="J575">
        <f>1</f>
        <v>1</v>
      </c>
      <c r="K575">
        <v>1</v>
      </c>
      <c r="L575">
        <v>0</v>
      </c>
      <c r="M575">
        <f t="shared" ca="1" si="24"/>
        <v>4.3780532149337636E-2</v>
      </c>
      <c r="N575">
        <v>0</v>
      </c>
      <c r="O575">
        <v>0</v>
      </c>
      <c r="P575">
        <f t="shared" ca="1" si="25"/>
        <v>0.5280114412558562</v>
      </c>
      <c r="Q575">
        <f t="shared" si="26"/>
        <v>1</v>
      </c>
    </row>
    <row r="576" spans="1:17" x14ac:dyDescent="0.3">
      <c r="A576" t="s">
        <v>339</v>
      </c>
      <c r="B576" t="s">
        <v>64</v>
      </c>
      <c r="C576">
        <v>7</v>
      </c>
      <c r="D576">
        <v>39700</v>
      </c>
      <c r="E576" t="s">
        <v>66</v>
      </c>
      <c r="F576">
        <v>18</v>
      </c>
      <c r="G576">
        <v>4.8</v>
      </c>
      <c r="H576">
        <v>5800</v>
      </c>
      <c r="I576">
        <v>0</v>
      </c>
      <c r="J576">
        <f>1</f>
        <v>1</v>
      </c>
      <c r="K576">
        <v>1</v>
      </c>
      <c r="L576">
        <v>0</v>
      </c>
      <c r="M576">
        <f t="shared" ca="1" si="24"/>
        <v>0.69113416187342291</v>
      </c>
      <c r="N576">
        <v>0</v>
      </c>
      <c r="O576">
        <v>0</v>
      </c>
      <c r="P576">
        <f t="shared" ca="1" si="25"/>
        <v>7.6571940687605311E-3</v>
      </c>
      <c r="Q576">
        <f t="shared" si="26"/>
        <v>1</v>
      </c>
    </row>
    <row r="577" spans="1:17" x14ac:dyDescent="0.3">
      <c r="A577" t="s">
        <v>670</v>
      </c>
      <c r="B577" t="s">
        <v>64</v>
      </c>
      <c r="C577">
        <v>10</v>
      </c>
      <c r="D577">
        <v>53600</v>
      </c>
      <c r="E577" t="s">
        <v>68</v>
      </c>
      <c r="F577">
        <v>57</v>
      </c>
      <c r="G577">
        <v>8.6</v>
      </c>
      <c r="H577">
        <v>1800</v>
      </c>
      <c r="I577">
        <v>1</v>
      </c>
      <c r="J577">
        <f>1</f>
        <v>1</v>
      </c>
      <c r="K577">
        <v>1</v>
      </c>
      <c r="L577">
        <v>0</v>
      </c>
      <c r="M577">
        <f t="shared" ca="1" si="24"/>
        <v>0.96411250167176432</v>
      </c>
      <c r="N577">
        <v>0</v>
      </c>
      <c r="O577">
        <v>0</v>
      </c>
      <c r="P577">
        <f t="shared" ca="1" si="25"/>
        <v>0.43070391797524799</v>
      </c>
      <c r="Q577">
        <f t="shared" si="26"/>
        <v>1</v>
      </c>
    </row>
    <row r="578" spans="1:17" x14ac:dyDescent="0.3">
      <c r="A578" t="s">
        <v>394</v>
      </c>
      <c r="B578" t="s">
        <v>62</v>
      </c>
      <c r="C578">
        <v>5</v>
      </c>
      <c r="D578">
        <v>14500</v>
      </c>
      <c r="E578" t="s">
        <v>68</v>
      </c>
      <c r="F578">
        <v>49</v>
      </c>
      <c r="G578">
        <v>0.5</v>
      </c>
      <c r="H578">
        <v>3300</v>
      </c>
      <c r="I578">
        <v>0</v>
      </c>
      <c r="J578">
        <f>1</f>
        <v>1</v>
      </c>
      <c r="K578">
        <v>1</v>
      </c>
      <c r="L578">
        <v>0</v>
      </c>
      <c r="M578">
        <f t="shared" ref="M578:M641" ca="1" si="27">RAND()</f>
        <v>0.92330473933233614</v>
      </c>
      <c r="N578">
        <v>0</v>
      </c>
      <c r="O578">
        <v>0</v>
      </c>
      <c r="P578">
        <f t="shared" ref="P578:P641" ca="1" si="28">IF(L578=0,RAND(),"")</f>
        <v>0.39679496505135947</v>
      </c>
      <c r="Q578">
        <f t="shared" si="26"/>
        <v>1</v>
      </c>
    </row>
    <row r="579" spans="1:17" x14ac:dyDescent="0.3">
      <c r="A579" t="s">
        <v>462</v>
      </c>
      <c r="B579" t="s">
        <v>64</v>
      </c>
      <c r="C579">
        <v>10</v>
      </c>
      <c r="D579">
        <v>69400</v>
      </c>
      <c r="E579" t="s">
        <v>66</v>
      </c>
      <c r="F579">
        <v>63</v>
      </c>
      <c r="G579">
        <v>5.8</v>
      </c>
      <c r="H579">
        <v>8700</v>
      </c>
      <c r="I579">
        <v>0</v>
      </c>
      <c r="J579">
        <f>1</f>
        <v>1</v>
      </c>
      <c r="K579">
        <v>1</v>
      </c>
      <c r="L579">
        <v>0</v>
      </c>
      <c r="M579">
        <f t="shared" ca="1" si="27"/>
        <v>0.37541543446125725</v>
      </c>
      <c r="N579">
        <v>0</v>
      </c>
      <c r="O579">
        <v>0</v>
      </c>
      <c r="P579">
        <f t="shared" ca="1" si="28"/>
        <v>0.31220035182186123</v>
      </c>
      <c r="Q579">
        <f t="shared" ref="Q579:Q642" si="29">IF(OR(L579=1,O579=1), 0,1)</f>
        <v>1</v>
      </c>
    </row>
    <row r="580" spans="1:17" x14ac:dyDescent="0.3">
      <c r="A580" t="s">
        <v>832</v>
      </c>
      <c r="B580" t="s">
        <v>64</v>
      </c>
      <c r="C580">
        <v>2</v>
      </c>
      <c r="D580">
        <v>21000</v>
      </c>
      <c r="E580" t="s">
        <v>1146</v>
      </c>
      <c r="F580">
        <v>3</v>
      </c>
      <c r="G580">
        <v>2</v>
      </c>
      <c r="H580">
        <v>0</v>
      </c>
      <c r="I580">
        <v>1</v>
      </c>
      <c r="J580">
        <f>1</f>
        <v>1</v>
      </c>
      <c r="K580">
        <v>1</v>
      </c>
      <c r="L580">
        <v>0</v>
      </c>
      <c r="M580">
        <f t="shared" ca="1" si="27"/>
        <v>0.45428271536599285</v>
      </c>
      <c r="N580">
        <v>0</v>
      </c>
      <c r="O580">
        <v>0</v>
      </c>
      <c r="P580">
        <f t="shared" ca="1" si="28"/>
        <v>0.92592250094019946</v>
      </c>
      <c r="Q580">
        <f t="shared" si="29"/>
        <v>1</v>
      </c>
    </row>
    <row r="581" spans="1:17" x14ac:dyDescent="0.3">
      <c r="A581" t="s">
        <v>994</v>
      </c>
      <c r="B581" t="s">
        <v>513</v>
      </c>
      <c r="C581">
        <v>6</v>
      </c>
      <c r="D581">
        <v>34700</v>
      </c>
      <c r="E581" t="s">
        <v>1146</v>
      </c>
      <c r="F581">
        <v>7</v>
      </c>
      <c r="G581">
        <v>6.1</v>
      </c>
      <c r="H581">
        <v>4200</v>
      </c>
      <c r="I581">
        <v>1</v>
      </c>
      <c r="J581">
        <f>1</f>
        <v>1</v>
      </c>
      <c r="K581">
        <v>1</v>
      </c>
      <c r="L581">
        <v>0</v>
      </c>
      <c r="M581">
        <f t="shared" ca="1" si="27"/>
        <v>0.38730261532177834</v>
      </c>
      <c r="N581">
        <v>0</v>
      </c>
      <c r="O581">
        <v>0</v>
      </c>
      <c r="P581">
        <f t="shared" ca="1" si="28"/>
        <v>0.15749311799014531</v>
      </c>
      <c r="Q581">
        <f t="shared" si="29"/>
        <v>1</v>
      </c>
    </row>
    <row r="582" spans="1:17" x14ac:dyDescent="0.3">
      <c r="A582" t="s">
        <v>783</v>
      </c>
      <c r="B582" t="s">
        <v>62</v>
      </c>
      <c r="C582">
        <v>7</v>
      </c>
      <c r="D582">
        <v>48300</v>
      </c>
      <c r="E582" t="s">
        <v>1146</v>
      </c>
      <c r="F582">
        <v>4</v>
      </c>
      <c r="G582">
        <v>5.9</v>
      </c>
      <c r="H582">
        <v>5900</v>
      </c>
      <c r="I582">
        <v>1</v>
      </c>
      <c r="J582">
        <f>1</f>
        <v>1</v>
      </c>
      <c r="K582">
        <v>1</v>
      </c>
      <c r="L582">
        <v>0</v>
      </c>
      <c r="M582">
        <f t="shared" ca="1" si="27"/>
        <v>2.6368507466850932E-2</v>
      </c>
      <c r="N582">
        <v>0</v>
      </c>
      <c r="O582">
        <v>0</v>
      </c>
      <c r="P582">
        <f t="shared" ca="1" si="28"/>
        <v>0.48398979681885612</v>
      </c>
      <c r="Q582">
        <f t="shared" si="29"/>
        <v>1</v>
      </c>
    </row>
    <row r="583" spans="1:17" x14ac:dyDescent="0.3">
      <c r="A583" t="s">
        <v>380</v>
      </c>
      <c r="B583" t="s">
        <v>65</v>
      </c>
      <c r="C583">
        <v>6</v>
      </c>
      <c r="D583">
        <v>73200</v>
      </c>
      <c r="E583" t="s">
        <v>68</v>
      </c>
      <c r="F583">
        <v>65</v>
      </c>
      <c r="G583">
        <v>12.3</v>
      </c>
      <c r="H583">
        <v>3500</v>
      </c>
      <c r="I583">
        <v>0</v>
      </c>
      <c r="J583">
        <f>1</f>
        <v>1</v>
      </c>
      <c r="K583">
        <v>1</v>
      </c>
      <c r="L583">
        <v>0</v>
      </c>
      <c r="M583">
        <f t="shared" ca="1" si="27"/>
        <v>0.84928968466753718</v>
      </c>
      <c r="N583">
        <v>0</v>
      </c>
      <c r="O583">
        <v>0</v>
      </c>
      <c r="P583">
        <f t="shared" ca="1" si="28"/>
        <v>0.90036667883608967</v>
      </c>
      <c r="Q583">
        <f t="shared" si="29"/>
        <v>1</v>
      </c>
    </row>
    <row r="584" spans="1:17" x14ac:dyDescent="0.3">
      <c r="A584" t="s">
        <v>802</v>
      </c>
      <c r="B584" t="s">
        <v>64</v>
      </c>
      <c r="C584">
        <v>7</v>
      </c>
      <c r="D584">
        <v>72000</v>
      </c>
      <c r="E584" t="s">
        <v>68</v>
      </c>
      <c r="F584">
        <v>56</v>
      </c>
      <c r="G584">
        <v>10.199999999999999</v>
      </c>
      <c r="H584">
        <v>11700</v>
      </c>
      <c r="I584">
        <v>1</v>
      </c>
      <c r="J584">
        <f>1</f>
        <v>1</v>
      </c>
      <c r="K584">
        <v>1</v>
      </c>
      <c r="L584">
        <v>0</v>
      </c>
      <c r="M584">
        <f t="shared" ca="1" si="27"/>
        <v>0.17481734400812565</v>
      </c>
      <c r="N584">
        <v>0</v>
      </c>
      <c r="O584">
        <v>0</v>
      </c>
      <c r="P584">
        <f t="shared" ca="1" si="28"/>
        <v>0.96746027961630077</v>
      </c>
      <c r="Q584">
        <f t="shared" si="29"/>
        <v>1</v>
      </c>
    </row>
    <row r="585" spans="1:17" x14ac:dyDescent="0.3">
      <c r="A585" t="s">
        <v>921</v>
      </c>
      <c r="B585" t="s">
        <v>62</v>
      </c>
      <c r="C585">
        <v>8</v>
      </c>
      <c r="D585">
        <v>104400</v>
      </c>
      <c r="E585" t="s">
        <v>1146</v>
      </c>
      <c r="F585">
        <v>0</v>
      </c>
      <c r="G585">
        <v>0.8</v>
      </c>
      <c r="H585">
        <v>5200</v>
      </c>
      <c r="I585">
        <v>1</v>
      </c>
      <c r="J585">
        <f>1</f>
        <v>1</v>
      </c>
      <c r="K585">
        <v>1</v>
      </c>
      <c r="L585">
        <v>0</v>
      </c>
      <c r="M585">
        <f t="shared" ca="1" si="27"/>
        <v>5.3451363143502739E-2</v>
      </c>
      <c r="N585">
        <v>0</v>
      </c>
      <c r="O585">
        <v>0</v>
      </c>
      <c r="P585">
        <f t="shared" ca="1" si="28"/>
        <v>4.9533550663923731E-2</v>
      </c>
      <c r="Q585">
        <f t="shared" si="29"/>
        <v>1</v>
      </c>
    </row>
    <row r="586" spans="1:17" x14ac:dyDescent="0.3">
      <c r="A586" t="s">
        <v>814</v>
      </c>
      <c r="B586" t="s">
        <v>513</v>
      </c>
      <c r="C586">
        <v>6</v>
      </c>
      <c r="D586">
        <v>26600</v>
      </c>
      <c r="E586" t="s">
        <v>1146</v>
      </c>
      <c r="F586">
        <v>0</v>
      </c>
      <c r="G586">
        <v>8.6</v>
      </c>
      <c r="H586">
        <v>0</v>
      </c>
      <c r="I586">
        <v>1</v>
      </c>
      <c r="J586">
        <f>1</f>
        <v>1</v>
      </c>
      <c r="K586">
        <v>1</v>
      </c>
      <c r="L586">
        <v>0</v>
      </c>
      <c r="M586">
        <f t="shared" ca="1" si="27"/>
        <v>0.90880997749761716</v>
      </c>
      <c r="N586">
        <v>0</v>
      </c>
      <c r="O586">
        <v>0</v>
      </c>
      <c r="P586">
        <f t="shared" ca="1" si="28"/>
        <v>0.97527378237251328</v>
      </c>
      <c r="Q586">
        <f t="shared" si="29"/>
        <v>1</v>
      </c>
    </row>
    <row r="587" spans="1:17" x14ac:dyDescent="0.3">
      <c r="A587" t="s">
        <v>822</v>
      </c>
      <c r="B587" t="s">
        <v>513</v>
      </c>
      <c r="C587">
        <v>5</v>
      </c>
      <c r="D587">
        <v>101700</v>
      </c>
      <c r="E587" t="s">
        <v>1146</v>
      </c>
      <c r="F587">
        <v>1</v>
      </c>
      <c r="G587">
        <v>8.9</v>
      </c>
      <c r="H587">
        <v>4000</v>
      </c>
      <c r="I587">
        <v>1</v>
      </c>
      <c r="J587">
        <f>1</f>
        <v>1</v>
      </c>
      <c r="K587">
        <v>1</v>
      </c>
      <c r="L587">
        <v>0</v>
      </c>
      <c r="M587">
        <f t="shared" ca="1" si="27"/>
        <v>0.93804562564326877</v>
      </c>
      <c r="N587">
        <v>0</v>
      </c>
      <c r="O587">
        <v>0</v>
      </c>
      <c r="P587">
        <f t="shared" ca="1" si="28"/>
        <v>0.47758812793241323</v>
      </c>
      <c r="Q587">
        <f t="shared" si="29"/>
        <v>1</v>
      </c>
    </row>
    <row r="588" spans="1:17" x14ac:dyDescent="0.3">
      <c r="A588" t="s">
        <v>788</v>
      </c>
      <c r="B588" t="s">
        <v>62</v>
      </c>
      <c r="C588">
        <v>7</v>
      </c>
      <c r="D588">
        <v>59900</v>
      </c>
      <c r="E588" t="s">
        <v>1146</v>
      </c>
      <c r="F588">
        <v>1</v>
      </c>
      <c r="G588">
        <v>7.4</v>
      </c>
      <c r="H588">
        <v>4700</v>
      </c>
      <c r="I588">
        <v>1</v>
      </c>
      <c r="J588">
        <f>1</f>
        <v>1</v>
      </c>
      <c r="K588">
        <v>1</v>
      </c>
      <c r="L588">
        <v>0</v>
      </c>
      <c r="M588">
        <f t="shared" ca="1" si="27"/>
        <v>0.84289062934052472</v>
      </c>
      <c r="N588">
        <v>0</v>
      </c>
      <c r="O588">
        <v>0</v>
      </c>
      <c r="P588">
        <f t="shared" ca="1" si="28"/>
        <v>0.34361157119558894</v>
      </c>
      <c r="Q588">
        <f t="shared" si="29"/>
        <v>1</v>
      </c>
    </row>
    <row r="589" spans="1:17" x14ac:dyDescent="0.3">
      <c r="A589" t="s">
        <v>469</v>
      </c>
      <c r="B589" t="s">
        <v>62</v>
      </c>
      <c r="C589">
        <v>1</v>
      </c>
      <c r="D589">
        <v>28000</v>
      </c>
      <c r="E589" t="s">
        <v>66</v>
      </c>
      <c r="F589">
        <v>21</v>
      </c>
      <c r="G589">
        <v>5.4</v>
      </c>
      <c r="H589">
        <v>5100</v>
      </c>
      <c r="I589">
        <v>0</v>
      </c>
      <c r="J589">
        <f>1</f>
        <v>1</v>
      </c>
      <c r="K589">
        <v>1</v>
      </c>
      <c r="L589">
        <v>0</v>
      </c>
      <c r="M589">
        <f t="shared" ca="1" si="27"/>
        <v>0.43716793278276933</v>
      </c>
      <c r="N589">
        <v>0</v>
      </c>
      <c r="O589">
        <v>0</v>
      </c>
      <c r="P589">
        <f t="shared" ca="1" si="28"/>
        <v>0.38369683219825101</v>
      </c>
      <c r="Q589">
        <f t="shared" si="29"/>
        <v>1</v>
      </c>
    </row>
    <row r="590" spans="1:17" x14ac:dyDescent="0.3">
      <c r="A590" t="s">
        <v>756</v>
      </c>
      <c r="B590" t="s">
        <v>64</v>
      </c>
      <c r="C590">
        <v>7</v>
      </c>
      <c r="D590">
        <v>50300</v>
      </c>
      <c r="E590" t="s">
        <v>1146</v>
      </c>
      <c r="F590">
        <v>5</v>
      </c>
      <c r="G590">
        <v>4.5</v>
      </c>
      <c r="H590">
        <v>11200</v>
      </c>
      <c r="I590">
        <v>1</v>
      </c>
      <c r="J590">
        <f>1</f>
        <v>1</v>
      </c>
      <c r="K590">
        <v>1</v>
      </c>
      <c r="L590">
        <v>0</v>
      </c>
      <c r="M590">
        <f t="shared" ca="1" si="27"/>
        <v>0.38464373316007661</v>
      </c>
      <c r="N590">
        <v>0</v>
      </c>
      <c r="O590">
        <v>0</v>
      </c>
      <c r="P590">
        <f t="shared" ca="1" si="28"/>
        <v>0.65116388890420007</v>
      </c>
      <c r="Q590">
        <f t="shared" si="29"/>
        <v>1</v>
      </c>
    </row>
    <row r="591" spans="1:17" x14ac:dyDescent="0.3">
      <c r="A591" t="s">
        <v>1141</v>
      </c>
      <c r="B591" t="s">
        <v>64</v>
      </c>
      <c r="C591">
        <v>2</v>
      </c>
      <c r="D591">
        <v>15900</v>
      </c>
      <c r="E591" t="s">
        <v>1146</v>
      </c>
      <c r="F591">
        <v>5</v>
      </c>
      <c r="G591">
        <v>5.4</v>
      </c>
      <c r="H591">
        <v>5100</v>
      </c>
      <c r="I591">
        <v>1</v>
      </c>
      <c r="J591">
        <f>1</f>
        <v>1</v>
      </c>
      <c r="K591">
        <v>1</v>
      </c>
      <c r="L591">
        <v>0</v>
      </c>
      <c r="M591">
        <f t="shared" ca="1" si="27"/>
        <v>0.67821636630218474</v>
      </c>
      <c r="N591">
        <v>0</v>
      </c>
      <c r="O591">
        <v>0</v>
      </c>
      <c r="P591">
        <f t="shared" ca="1" si="28"/>
        <v>0.8331648987210285</v>
      </c>
      <c r="Q591">
        <f t="shared" si="29"/>
        <v>1</v>
      </c>
    </row>
    <row r="592" spans="1:17" x14ac:dyDescent="0.3">
      <c r="A592" t="s">
        <v>423</v>
      </c>
      <c r="B592" t="s">
        <v>513</v>
      </c>
      <c r="C592">
        <v>5</v>
      </c>
      <c r="D592">
        <v>32600</v>
      </c>
      <c r="E592" t="s">
        <v>66</v>
      </c>
      <c r="F592">
        <v>51</v>
      </c>
      <c r="G592">
        <v>13</v>
      </c>
      <c r="H592">
        <v>13900</v>
      </c>
      <c r="I592">
        <v>0</v>
      </c>
      <c r="J592">
        <f>1</f>
        <v>1</v>
      </c>
      <c r="K592">
        <v>1</v>
      </c>
      <c r="L592">
        <v>0</v>
      </c>
      <c r="M592">
        <f t="shared" ca="1" si="27"/>
        <v>0.46087855841272607</v>
      </c>
      <c r="N592">
        <v>0</v>
      </c>
      <c r="O592">
        <v>0</v>
      </c>
      <c r="P592">
        <f t="shared" ca="1" si="28"/>
        <v>0.25547930979287337</v>
      </c>
      <c r="Q592">
        <f t="shared" si="29"/>
        <v>1</v>
      </c>
    </row>
    <row r="593" spans="1:17" x14ac:dyDescent="0.3">
      <c r="A593" t="s">
        <v>294</v>
      </c>
      <c r="B593" t="s">
        <v>62</v>
      </c>
      <c r="C593">
        <v>6</v>
      </c>
      <c r="D593">
        <v>65900</v>
      </c>
      <c r="E593" t="s">
        <v>68</v>
      </c>
      <c r="F593">
        <v>61</v>
      </c>
      <c r="G593">
        <v>9.3000000000000007</v>
      </c>
      <c r="H593">
        <v>3000</v>
      </c>
      <c r="I593">
        <v>0</v>
      </c>
      <c r="J593">
        <f>1</f>
        <v>1</v>
      </c>
      <c r="K593">
        <v>1</v>
      </c>
      <c r="L593">
        <v>0</v>
      </c>
      <c r="M593">
        <f t="shared" ca="1" si="27"/>
        <v>0.48495566402323909</v>
      </c>
      <c r="N593">
        <v>0</v>
      </c>
      <c r="O593">
        <v>0</v>
      </c>
      <c r="P593">
        <f t="shared" ca="1" si="28"/>
        <v>0.87403861163963548</v>
      </c>
      <c r="Q593">
        <f t="shared" si="29"/>
        <v>1</v>
      </c>
    </row>
    <row r="594" spans="1:17" x14ac:dyDescent="0.3">
      <c r="A594" t="s">
        <v>211</v>
      </c>
      <c r="B594" t="s">
        <v>64</v>
      </c>
      <c r="C594">
        <v>4</v>
      </c>
      <c r="D594">
        <v>62300</v>
      </c>
      <c r="E594" t="s">
        <v>68</v>
      </c>
      <c r="F594">
        <v>56</v>
      </c>
      <c r="G594">
        <v>11.3</v>
      </c>
      <c r="H594">
        <v>0</v>
      </c>
      <c r="I594">
        <v>0</v>
      </c>
      <c r="J594">
        <f>1</f>
        <v>1</v>
      </c>
      <c r="K594">
        <v>1</v>
      </c>
      <c r="L594">
        <v>0</v>
      </c>
      <c r="M594">
        <f t="shared" ca="1" si="27"/>
        <v>0.53885555173554589</v>
      </c>
      <c r="N594">
        <v>0</v>
      </c>
      <c r="O594">
        <v>0</v>
      </c>
      <c r="P594">
        <f t="shared" ca="1" si="28"/>
        <v>0.84527052881061737</v>
      </c>
      <c r="Q594">
        <f t="shared" si="29"/>
        <v>1</v>
      </c>
    </row>
    <row r="595" spans="1:17" x14ac:dyDescent="0.3">
      <c r="A595" t="s">
        <v>1112</v>
      </c>
      <c r="B595" t="s">
        <v>513</v>
      </c>
      <c r="C595">
        <v>10</v>
      </c>
      <c r="D595">
        <v>13900</v>
      </c>
      <c r="E595" t="s">
        <v>1146</v>
      </c>
      <c r="F595">
        <v>2</v>
      </c>
      <c r="G595">
        <v>14.2</v>
      </c>
      <c r="H595">
        <v>2900</v>
      </c>
      <c r="I595">
        <v>1</v>
      </c>
      <c r="J595">
        <f>1</f>
        <v>1</v>
      </c>
      <c r="K595">
        <v>1</v>
      </c>
      <c r="L595">
        <v>0</v>
      </c>
      <c r="M595">
        <f t="shared" ca="1" si="27"/>
        <v>0.51207940771967686</v>
      </c>
      <c r="N595">
        <v>0</v>
      </c>
      <c r="O595">
        <v>0</v>
      </c>
      <c r="P595">
        <f t="shared" ca="1" si="28"/>
        <v>0.15423909940520575</v>
      </c>
      <c r="Q595">
        <f t="shared" si="29"/>
        <v>1</v>
      </c>
    </row>
    <row r="596" spans="1:17" x14ac:dyDescent="0.3">
      <c r="A596" t="s">
        <v>110</v>
      </c>
      <c r="B596" t="s">
        <v>62</v>
      </c>
      <c r="C596">
        <v>4</v>
      </c>
      <c r="D596">
        <v>32300</v>
      </c>
      <c r="E596" t="s">
        <v>69</v>
      </c>
      <c r="F596">
        <v>37</v>
      </c>
      <c r="G596">
        <v>3.2</v>
      </c>
      <c r="H596">
        <v>2600</v>
      </c>
      <c r="I596">
        <v>0</v>
      </c>
      <c r="J596">
        <f>1</f>
        <v>1</v>
      </c>
      <c r="K596">
        <v>1</v>
      </c>
      <c r="L596">
        <v>0</v>
      </c>
      <c r="M596">
        <f t="shared" ca="1" si="27"/>
        <v>8.8085466475899321E-2</v>
      </c>
      <c r="N596">
        <v>0</v>
      </c>
      <c r="O596">
        <v>0</v>
      </c>
      <c r="P596">
        <f t="shared" ca="1" si="28"/>
        <v>0.21144036733621785</v>
      </c>
      <c r="Q596">
        <f t="shared" si="29"/>
        <v>1</v>
      </c>
    </row>
    <row r="597" spans="1:17" x14ac:dyDescent="0.3">
      <c r="A597" t="s">
        <v>976</v>
      </c>
      <c r="B597" t="s">
        <v>62</v>
      </c>
      <c r="C597">
        <v>9</v>
      </c>
      <c r="D597">
        <v>26300</v>
      </c>
      <c r="E597" t="s">
        <v>1146</v>
      </c>
      <c r="F597">
        <v>2</v>
      </c>
      <c r="G597">
        <v>4.2</v>
      </c>
      <c r="H597">
        <v>7000</v>
      </c>
      <c r="I597">
        <v>1</v>
      </c>
      <c r="J597">
        <f>1</f>
        <v>1</v>
      </c>
      <c r="K597">
        <v>1</v>
      </c>
      <c r="L597">
        <v>0</v>
      </c>
      <c r="M597">
        <f t="shared" ca="1" si="27"/>
        <v>0.31443727336838934</v>
      </c>
      <c r="N597">
        <v>0</v>
      </c>
      <c r="O597">
        <v>0</v>
      </c>
      <c r="P597">
        <f t="shared" ca="1" si="28"/>
        <v>0.75950968567314925</v>
      </c>
      <c r="Q597">
        <f t="shared" si="29"/>
        <v>1</v>
      </c>
    </row>
    <row r="598" spans="1:17" x14ac:dyDescent="0.3">
      <c r="A598" t="s">
        <v>443</v>
      </c>
      <c r="B598" t="s">
        <v>65</v>
      </c>
      <c r="C598">
        <v>6</v>
      </c>
      <c r="D598">
        <v>52300</v>
      </c>
      <c r="E598" t="s">
        <v>67</v>
      </c>
      <c r="F598">
        <v>101</v>
      </c>
      <c r="G598">
        <v>3.8</v>
      </c>
      <c r="H598">
        <v>5300</v>
      </c>
      <c r="I598">
        <v>0</v>
      </c>
      <c r="J598">
        <f>1</f>
        <v>1</v>
      </c>
      <c r="K598">
        <v>1</v>
      </c>
      <c r="L598">
        <v>0</v>
      </c>
      <c r="M598">
        <f t="shared" ca="1" si="27"/>
        <v>0.25990815427460212</v>
      </c>
      <c r="N598">
        <v>0</v>
      </c>
      <c r="O598">
        <v>0</v>
      </c>
      <c r="P598">
        <f t="shared" ca="1" si="28"/>
        <v>0.26100850089279715</v>
      </c>
      <c r="Q598">
        <f t="shared" si="29"/>
        <v>1</v>
      </c>
    </row>
    <row r="599" spans="1:17" x14ac:dyDescent="0.3">
      <c r="A599" t="s">
        <v>861</v>
      </c>
      <c r="B599" t="s">
        <v>513</v>
      </c>
      <c r="C599">
        <v>8</v>
      </c>
      <c r="D599">
        <v>16400</v>
      </c>
      <c r="E599" t="s">
        <v>1146</v>
      </c>
      <c r="F599">
        <v>8</v>
      </c>
      <c r="G599">
        <v>1.8</v>
      </c>
      <c r="H599">
        <v>5400</v>
      </c>
      <c r="I599">
        <v>1</v>
      </c>
      <c r="J599">
        <f>1</f>
        <v>1</v>
      </c>
      <c r="K599">
        <v>1</v>
      </c>
      <c r="L599">
        <v>0</v>
      </c>
      <c r="M599">
        <f t="shared" ca="1" si="27"/>
        <v>0.43326279711428772</v>
      </c>
      <c r="N599">
        <v>0</v>
      </c>
      <c r="O599">
        <v>0</v>
      </c>
      <c r="P599">
        <f t="shared" ca="1" si="28"/>
        <v>0.25267354932975206</v>
      </c>
      <c r="Q599">
        <f t="shared" si="29"/>
        <v>1</v>
      </c>
    </row>
    <row r="600" spans="1:17" x14ac:dyDescent="0.3">
      <c r="A600" t="s">
        <v>860</v>
      </c>
      <c r="B600" t="s">
        <v>64</v>
      </c>
      <c r="C600">
        <v>8</v>
      </c>
      <c r="D600">
        <v>63900</v>
      </c>
      <c r="E600" t="s">
        <v>1146</v>
      </c>
      <c r="F600">
        <v>8</v>
      </c>
      <c r="G600">
        <v>6.3</v>
      </c>
      <c r="H600">
        <v>5800</v>
      </c>
      <c r="I600">
        <v>1</v>
      </c>
      <c r="J600">
        <f>1</f>
        <v>1</v>
      </c>
      <c r="K600">
        <v>1</v>
      </c>
      <c r="L600">
        <v>0</v>
      </c>
      <c r="M600">
        <f t="shared" ca="1" si="27"/>
        <v>0.32684369341078212</v>
      </c>
      <c r="N600">
        <v>0</v>
      </c>
      <c r="O600">
        <v>0</v>
      </c>
      <c r="P600">
        <f t="shared" ca="1" si="28"/>
        <v>0.11494175392131378</v>
      </c>
      <c r="Q600">
        <f t="shared" si="29"/>
        <v>1</v>
      </c>
    </row>
    <row r="601" spans="1:17" x14ac:dyDescent="0.3">
      <c r="A601" t="s">
        <v>647</v>
      </c>
      <c r="B601" t="s">
        <v>513</v>
      </c>
      <c r="C601">
        <v>6</v>
      </c>
      <c r="D601">
        <v>62000</v>
      </c>
      <c r="E601" t="s">
        <v>1146</v>
      </c>
      <c r="F601">
        <v>0</v>
      </c>
      <c r="G601">
        <v>6.3</v>
      </c>
      <c r="H601">
        <v>0</v>
      </c>
      <c r="I601">
        <v>1</v>
      </c>
      <c r="J601">
        <f>1</f>
        <v>1</v>
      </c>
      <c r="K601">
        <v>1</v>
      </c>
      <c r="L601">
        <v>0</v>
      </c>
      <c r="M601">
        <f t="shared" ca="1" si="27"/>
        <v>0.44769067947819363</v>
      </c>
      <c r="N601">
        <v>0</v>
      </c>
      <c r="O601">
        <v>0</v>
      </c>
      <c r="P601">
        <f t="shared" ca="1" si="28"/>
        <v>0.58464734470906909</v>
      </c>
      <c r="Q601">
        <f t="shared" si="29"/>
        <v>1</v>
      </c>
    </row>
    <row r="602" spans="1:17" x14ac:dyDescent="0.3">
      <c r="A602" t="s">
        <v>540</v>
      </c>
      <c r="B602" t="s">
        <v>65</v>
      </c>
      <c r="C602">
        <v>7</v>
      </c>
      <c r="D602">
        <v>32500</v>
      </c>
      <c r="E602" t="s">
        <v>67</v>
      </c>
      <c r="F602">
        <v>64</v>
      </c>
      <c r="G602">
        <v>4.3</v>
      </c>
      <c r="H602">
        <v>9000</v>
      </c>
      <c r="I602">
        <v>0</v>
      </c>
      <c r="J602">
        <f>1</f>
        <v>1</v>
      </c>
      <c r="K602">
        <v>1</v>
      </c>
      <c r="L602">
        <v>0</v>
      </c>
      <c r="M602">
        <f t="shared" ca="1" si="27"/>
        <v>0.32682710207958254</v>
      </c>
      <c r="N602">
        <v>0</v>
      </c>
      <c r="O602">
        <v>0</v>
      </c>
      <c r="P602">
        <f t="shared" ca="1" si="28"/>
        <v>0.96911757393866083</v>
      </c>
      <c r="Q602">
        <f t="shared" si="29"/>
        <v>1</v>
      </c>
    </row>
    <row r="603" spans="1:17" x14ac:dyDescent="0.3">
      <c r="A603" t="s">
        <v>1069</v>
      </c>
      <c r="B603" t="s">
        <v>62</v>
      </c>
      <c r="C603">
        <v>8</v>
      </c>
      <c r="D603">
        <v>56400</v>
      </c>
      <c r="E603" t="s">
        <v>1146</v>
      </c>
      <c r="F603">
        <v>6</v>
      </c>
      <c r="G603">
        <v>1.1000000000000001</v>
      </c>
      <c r="H603">
        <v>7000</v>
      </c>
      <c r="I603">
        <v>1</v>
      </c>
      <c r="J603">
        <f>1</f>
        <v>1</v>
      </c>
      <c r="K603">
        <v>1</v>
      </c>
      <c r="L603">
        <v>0</v>
      </c>
      <c r="M603">
        <f t="shared" ca="1" si="27"/>
        <v>0.37919390649640938</v>
      </c>
      <c r="N603">
        <v>0</v>
      </c>
      <c r="O603">
        <v>0</v>
      </c>
      <c r="P603">
        <f t="shared" ca="1" si="28"/>
        <v>0.65686034605235533</v>
      </c>
      <c r="Q603">
        <f t="shared" si="29"/>
        <v>1</v>
      </c>
    </row>
    <row r="604" spans="1:17" x14ac:dyDescent="0.3">
      <c r="A604" t="s">
        <v>794</v>
      </c>
      <c r="B604" t="s">
        <v>65</v>
      </c>
      <c r="C604">
        <v>7</v>
      </c>
      <c r="D604">
        <v>17400</v>
      </c>
      <c r="E604" t="s">
        <v>1146</v>
      </c>
      <c r="F604">
        <v>9</v>
      </c>
      <c r="G604">
        <v>4.3</v>
      </c>
      <c r="H604">
        <v>0</v>
      </c>
      <c r="I604">
        <v>1</v>
      </c>
      <c r="J604">
        <f>1</f>
        <v>1</v>
      </c>
      <c r="K604">
        <v>1</v>
      </c>
      <c r="L604">
        <v>0</v>
      </c>
      <c r="M604">
        <f t="shared" ca="1" si="27"/>
        <v>0.21916457451300175</v>
      </c>
      <c r="N604">
        <v>0</v>
      </c>
      <c r="O604">
        <v>0</v>
      </c>
      <c r="P604">
        <f t="shared" ca="1" si="28"/>
        <v>0.36107749091838048</v>
      </c>
      <c r="Q604">
        <f t="shared" si="29"/>
        <v>1</v>
      </c>
    </row>
    <row r="605" spans="1:17" x14ac:dyDescent="0.3">
      <c r="A605" t="s">
        <v>458</v>
      </c>
      <c r="B605" t="s">
        <v>65</v>
      </c>
      <c r="C605">
        <v>7</v>
      </c>
      <c r="D605">
        <v>30000</v>
      </c>
      <c r="E605" t="s">
        <v>69</v>
      </c>
      <c r="F605">
        <v>49</v>
      </c>
      <c r="G605">
        <v>10.9</v>
      </c>
      <c r="H605">
        <v>6300</v>
      </c>
      <c r="I605">
        <v>0</v>
      </c>
      <c r="J605">
        <f>1</f>
        <v>1</v>
      </c>
      <c r="K605">
        <v>1</v>
      </c>
      <c r="L605">
        <v>0</v>
      </c>
      <c r="M605">
        <f t="shared" ca="1" si="27"/>
        <v>0.47466510850849475</v>
      </c>
      <c r="N605">
        <v>0</v>
      </c>
      <c r="O605">
        <v>0</v>
      </c>
      <c r="P605">
        <f t="shared" ca="1" si="28"/>
        <v>1.6907439561206772E-3</v>
      </c>
      <c r="Q605">
        <f t="shared" si="29"/>
        <v>1</v>
      </c>
    </row>
    <row r="606" spans="1:17" x14ac:dyDescent="0.3">
      <c r="A606" t="s">
        <v>917</v>
      </c>
      <c r="B606" t="s">
        <v>65</v>
      </c>
      <c r="C606">
        <v>9</v>
      </c>
      <c r="D606">
        <v>26900</v>
      </c>
      <c r="E606" t="s">
        <v>1146</v>
      </c>
      <c r="F606">
        <v>4</v>
      </c>
      <c r="G606">
        <v>10.8</v>
      </c>
      <c r="H606">
        <v>4700</v>
      </c>
      <c r="I606">
        <v>1</v>
      </c>
      <c r="J606">
        <f>1</f>
        <v>1</v>
      </c>
      <c r="K606">
        <v>1</v>
      </c>
      <c r="L606">
        <v>0</v>
      </c>
      <c r="M606">
        <f t="shared" ca="1" si="27"/>
        <v>0.85670951948658325</v>
      </c>
      <c r="N606">
        <v>0</v>
      </c>
      <c r="O606">
        <v>0</v>
      </c>
      <c r="P606">
        <f t="shared" ca="1" si="28"/>
        <v>0.57040421184669365</v>
      </c>
      <c r="Q606">
        <f t="shared" si="29"/>
        <v>1</v>
      </c>
    </row>
    <row r="607" spans="1:17" x14ac:dyDescent="0.3">
      <c r="A607" t="s">
        <v>505</v>
      </c>
      <c r="B607" t="s">
        <v>65</v>
      </c>
      <c r="C607">
        <v>2</v>
      </c>
      <c r="D607">
        <v>37200</v>
      </c>
      <c r="E607" t="s">
        <v>67</v>
      </c>
      <c r="F607">
        <v>80</v>
      </c>
      <c r="G607">
        <v>4.5999999999999996</v>
      </c>
      <c r="H607">
        <v>100</v>
      </c>
      <c r="I607">
        <v>0</v>
      </c>
      <c r="J607">
        <f>1</f>
        <v>1</v>
      </c>
      <c r="K607">
        <v>1</v>
      </c>
      <c r="L607">
        <v>0</v>
      </c>
      <c r="M607">
        <f t="shared" ca="1" si="27"/>
        <v>0.65044008288679711</v>
      </c>
      <c r="N607">
        <v>0</v>
      </c>
      <c r="O607">
        <v>0</v>
      </c>
      <c r="P607">
        <f t="shared" ca="1" si="28"/>
        <v>0.56253323817326872</v>
      </c>
      <c r="Q607">
        <f t="shared" si="29"/>
        <v>1</v>
      </c>
    </row>
    <row r="608" spans="1:17" x14ac:dyDescent="0.3">
      <c r="A608" t="s">
        <v>969</v>
      </c>
      <c r="B608" t="s">
        <v>64</v>
      </c>
      <c r="C608">
        <v>2</v>
      </c>
      <c r="D608">
        <v>32300</v>
      </c>
      <c r="E608" t="s">
        <v>1146</v>
      </c>
      <c r="F608">
        <v>8</v>
      </c>
      <c r="G608">
        <v>8.1999999999999993</v>
      </c>
      <c r="H608">
        <v>3900</v>
      </c>
      <c r="I608">
        <v>1</v>
      </c>
      <c r="J608">
        <f>1</f>
        <v>1</v>
      </c>
      <c r="K608">
        <v>1</v>
      </c>
      <c r="L608">
        <v>0</v>
      </c>
      <c r="M608">
        <f t="shared" ca="1" si="27"/>
        <v>0.15372242776795375</v>
      </c>
      <c r="N608">
        <v>0</v>
      </c>
      <c r="O608">
        <v>0</v>
      </c>
      <c r="P608">
        <f t="shared" ca="1" si="28"/>
        <v>0.72484270152518782</v>
      </c>
      <c r="Q608">
        <f t="shared" si="29"/>
        <v>1</v>
      </c>
    </row>
    <row r="609" spans="1:17" x14ac:dyDescent="0.3">
      <c r="A609" t="s">
        <v>379</v>
      </c>
      <c r="B609" t="s">
        <v>64</v>
      </c>
      <c r="C609">
        <v>4</v>
      </c>
      <c r="D609">
        <v>61100</v>
      </c>
      <c r="E609" t="s">
        <v>66</v>
      </c>
      <c r="F609">
        <v>34</v>
      </c>
      <c r="G609">
        <v>0.8</v>
      </c>
      <c r="H609">
        <v>4100</v>
      </c>
      <c r="I609">
        <v>0</v>
      </c>
      <c r="J609">
        <f>1</f>
        <v>1</v>
      </c>
      <c r="K609">
        <v>1</v>
      </c>
      <c r="L609">
        <v>0</v>
      </c>
      <c r="M609">
        <f t="shared" ca="1" si="27"/>
        <v>0.4101821527426821</v>
      </c>
      <c r="N609">
        <v>0</v>
      </c>
      <c r="O609">
        <v>0</v>
      </c>
      <c r="P609">
        <f t="shared" ca="1" si="28"/>
        <v>0.47524330572935636</v>
      </c>
      <c r="Q609">
        <f t="shared" si="29"/>
        <v>1</v>
      </c>
    </row>
    <row r="610" spans="1:17" x14ac:dyDescent="0.3">
      <c r="A610" t="s">
        <v>440</v>
      </c>
      <c r="B610" t="s">
        <v>64</v>
      </c>
      <c r="C610">
        <v>4</v>
      </c>
      <c r="D610">
        <v>27000</v>
      </c>
      <c r="E610" t="s">
        <v>69</v>
      </c>
      <c r="F610">
        <v>60</v>
      </c>
      <c r="G610">
        <v>4.3</v>
      </c>
      <c r="H610">
        <v>3200</v>
      </c>
      <c r="I610">
        <v>0</v>
      </c>
      <c r="J610">
        <f>1</f>
        <v>1</v>
      </c>
      <c r="K610">
        <v>1</v>
      </c>
      <c r="L610">
        <v>0</v>
      </c>
      <c r="M610">
        <f t="shared" ca="1" si="27"/>
        <v>0.97311263313498941</v>
      </c>
      <c r="N610">
        <v>0</v>
      </c>
      <c r="O610">
        <v>0</v>
      </c>
      <c r="P610">
        <f t="shared" ca="1" si="28"/>
        <v>0.43841621973246059</v>
      </c>
      <c r="Q610">
        <f t="shared" si="29"/>
        <v>1</v>
      </c>
    </row>
    <row r="611" spans="1:17" x14ac:dyDescent="0.3">
      <c r="A611" t="s">
        <v>1000</v>
      </c>
      <c r="B611" t="s">
        <v>513</v>
      </c>
      <c r="C611">
        <v>7</v>
      </c>
      <c r="D611">
        <v>19400</v>
      </c>
      <c r="E611" t="s">
        <v>1146</v>
      </c>
      <c r="F611">
        <v>1</v>
      </c>
      <c r="G611">
        <v>11.5</v>
      </c>
      <c r="H611">
        <v>8000</v>
      </c>
      <c r="I611">
        <v>1</v>
      </c>
      <c r="J611">
        <f>1</f>
        <v>1</v>
      </c>
      <c r="K611">
        <v>1</v>
      </c>
      <c r="L611">
        <v>0</v>
      </c>
      <c r="M611">
        <f t="shared" ca="1" si="27"/>
        <v>0.38520829639245824</v>
      </c>
      <c r="N611">
        <v>0</v>
      </c>
      <c r="O611">
        <v>0</v>
      </c>
      <c r="P611">
        <f t="shared" ca="1" si="28"/>
        <v>0.61933842740106027</v>
      </c>
      <c r="Q611">
        <f t="shared" si="29"/>
        <v>1</v>
      </c>
    </row>
    <row r="612" spans="1:17" x14ac:dyDescent="0.3">
      <c r="A612" t="s">
        <v>1017</v>
      </c>
      <c r="B612" t="s">
        <v>65</v>
      </c>
      <c r="C612">
        <v>3</v>
      </c>
      <c r="D612">
        <v>84200</v>
      </c>
      <c r="E612" t="s">
        <v>1146</v>
      </c>
      <c r="F612">
        <v>5</v>
      </c>
      <c r="G612">
        <v>8.1</v>
      </c>
      <c r="H612">
        <v>2100</v>
      </c>
      <c r="I612">
        <v>1</v>
      </c>
      <c r="J612">
        <f>1</f>
        <v>1</v>
      </c>
      <c r="K612">
        <v>1</v>
      </c>
      <c r="L612">
        <v>0</v>
      </c>
      <c r="M612">
        <f t="shared" ca="1" si="27"/>
        <v>0.98104310646224202</v>
      </c>
      <c r="N612">
        <v>0</v>
      </c>
      <c r="O612">
        <v>0</v>
      </c>
      <c r="P612">
        <f t="shared" ca="1" si="28"/>
        <v>0.99661642945821183</v>
      </c>
      <c r="Q612">
        <f t="shared" si="29"/>
        <v>1</v>
      </c>
    </row>
    <row r="613" spans="1:17" x14ac:dyDescent="0.3">
      <c r="A613" t="s">
        <v>842</v>
      </c>
      <c r="B613" t="s">
        <v>64</v>
      </c>
      <c r="C613">
        <v>4</v>
      </c>
      <c r="D613">
        <v>8800</v>
      </c>
      <c r="E613" t="s">
        <v>1146</v>
      </c>
      <c r="F613">
        <v>5</v>
      </c>
      <c r="G613">
        <v>8.6</v>
      </c>
      <c r="H613">
        <v>3200</v>
      </c>
      <c r="I613">
        <v>1</v>
      </c>
      <c r="J613">
        <f>1</f>
        <v>1</v>
      </c>
      <c r="K613">
        <v>1</v>
      </c>
      <c r="L613">
        <v>0</v>
      </c>
      <c r="M613">
        <f t="shared" ca="1" si="27"/>
        <v>0.97349948384706808</v>
      </c>
      <c r="N613">
        <v>0</v>
      </c>
      <c r="O613">
        <v>0</v>
      </c>
      <c r="P613">
        <f t="shared" ca="1" si="28"/>
        <v>0.56868131417251422</v>
      </c>
      <c r="Q613">
        <f t="shared" si="29"/>
        <v>1</v>
      </c>
    </row>
    <row r="614" spans="1:17" x14ac:dyDescent="0.3">
      <c r="A614" t="s">
        <v>283</v>
      </c>
      <c r="B614" t="s">
        <v>62</v>
      </c>
      <c r="C614">
        <v>7</v>
      </c>
      <c r="D614">
        <v>31200</v>
      </c>
      <c r="E614" t="s">
        <v>68</v>
      </c>
      <c r="F614">
        <v>70</v>
      </c>
      <c r="G614">
        <v>2</v>
      </c>
      <c r="H614">
        <v>5900</v>
      </c>
      <c r="I614">
        <v>0</v>
      </c>
      <c r="J614">
        <f>1</f>
        <v>1</v>
      </c>
      <c r="K614">
        <v>1</v>
      </c>
      <c r="L614">
        <v>0</v>
      </c>
      <c r="M614">
        <f t="shared" ca="1" si="27"/>
        <v>0.94722042502139814</v>
      </c>
      <c r="N614">
        <v>0</v>
      </c>
      <c r="O614">
        <v>0</v>
      </c>
      <c r="P614">
        <f t="shared" ca="1" si="28"/>
        <v>0.95115472753668007</v>
      </c>
      <c r="Q614">
        <f t="shared" si="29"/>
        <v>1</v>
      </c>
    </row>
    <row r="615" spans="1:17" x14ac:dyDescent="0.3">
      <c r="A615" t="s">
        <v>479</v>
      </c>
      <c r="B615" t="s">
        <v>513</v>
      </c>
      <c r="C615">
        <v>4</v>
      </c>
      <c r="D615">
        <v>100600</v>
      </c>
      <c r="E615" t="s">
        <v>68</v>
      </c>
      <c r="F615">
        <v>58</v>
      </c>
      <c r="G615">
        <v>7.2</v>
      </c>
      <c r="H615">
        <v>8000</v>
      </c>
      <c r="I615">
        <v>0</v>
      </c>
      <c r="J615">
        <f>1</f>
        <v>1</v>
      </c>
      <c r="K615">
        <v>1</v>
      </c>
      <c r="L615">
        <v>0</v>
      </c>
      <c r="M615">
        <f t="shared" ca="1" si="27"/>
        <v>0.14940358681502441</v>
      </c>
      <c r="N615">
        <v>0</v>
      </c>
      <c r="O615">
        <v>0</v>
      </c>
      <c r="P615">
        <f t="shared" ca="1" si="28"/>
        <v>1.2635540399198453E-2</v>
      </c>
      <c r="Q615">
        <f t="shared" si="29"/>
        <v>1</v>
      </c>
    </row>
    <row r="616" spans="1:17" x14ac:dyDescent="0.3">
      <c r="A616" t="s">
        <v>1088</v>
      </c>
      <c r="B616" t="s">
        <v>65</v>
      </c>
      <c r="C616">
        <v>8</v>
      </c>
      <c r="D616">
        <v>42100</v>
      </c>
      <c r="E616" t="s">
        <v>1146</v>
      </c>
      <c r="F616">
        <v>6</v>
      </c>
      <c r="G616">
        <v>11.6</v>
      </c>
      <c r="H616">
        <v>3500</v>
      </c>
      <c r="I616">
        <v>1</v>
      </c>
      <c r="J616">
        <f>1</f>
        <v>1</v>
      </c>
      <c r="K616">
        <v>1</v>
      </c>
      <c r="L616">
        <v>0</v>
      </c>
      <c r="M616">
        <f t="shared" ca="1" si="27"/>
        <v>0.55467469653917001</v>
      </c>
      <c r="N616">
        <v>0</v>
      </c>
      <c r="O616">
        <v>0</v>
      </c>
      <c r="P616">
        <f t="shared" ca="1" si="28"/>
        <v>0.285708392639623</v>
      </c>
      <c r="Q616">
        <f t="shared" si="29"/>
        <v>1</v>
      </c>
    </row>
    <row r="617" spans="1:17" x14ac:dyDescent="0.3">
      <c r="A617" t="s">
        <v>810</v>
      </c>
      <c r="B617" t="s">
        <v>513</v>
      </c>
      <c r="C617">
        <v>2</v>
      </c>
      <c r="D617">
        <v>75200</v>
      </c>
      <c r="E617" t="s">
        <v>1146</v>
      </c>
      <c r="F617">
        <v>6</v>
      </c>
      <c r="G617">
        <v>6.3</v>
      </c>
      <c r="H617">
        <v>6100</v>
      </c>
      <c r="I617">
        <v>1</v>
      </c>
      <c r="J617">
        <f>1</f>
        <v>1</v>
      </c>
      <c r="K617">
        <v>1</v>
      </c>
      <c r="L617">
        <v>0</v>
      </c>
      <c r="M617">
        <f t="shared" ca="1" si="27"/>
        <v>0.35820601937311936</v>
      </c>
      <c r="N617">
        <v>0</v>
      </c>
      <c r="O617">
        <v>0</v>
      </c>
      <c r="P617">
        <f t="shared" ca="1" si="28"/>
        <v>2.3533516915563157E-2</v>
      </c>
      <c r="Q617">
        <f t="shared" si="29"/>
        <v>1</v>
      </c>
    </row>
    <row r="618" spans="1:17" x14ac:dyDescent="0.3">
      <c r="A618" t="s">
        <v>171</v>
      </c>
      <c r="B618" t="s">
        <v>513</v>
      </c>
      <c r="C618">
        <v>5</v>
      </c>
      <c r="D618">
        <v>85400</v>
      </c>
      <c r="E618" t="s">
        <v>68</v>
      </c>
      <c r="F618">
        <v>39</v>
      </c>
      <c r="G618">
        <v>6.9</v>
      </c>
      <c r="H618">
        <v>6100</v>
      </c>
      <c r="I618">
        <v>0</v>
      </c>
      <c r="J618">
        <f>1</f>
        <v>1</v>
      </c>
      <c r="K618">
        <v>1</v>
      </c>
      <c r="L618">
        <v>0</v>
      </c>
      <c r="M618">
        <f t="shared" ca="1" si="27"/>
        <v>0.30731999932614473</v>
      </c>
      <c r="N618">
        <v>0</v>
      </c>
      <c r="O618">
        <v>0</v>
      </c>
      <c r="P618">
        <f t="shared" ca="1" si="28"/>
        <v>0.92093662541736809</v>
      </c>
      <c r="Q618">
        <f t="shared" si="29"/>
        <v>1</v>
      </c>
    </row>
    <row r="619" spans="1:17" x14ac:dyDescent="0.3">
      <c r="A619" t="s">
        <v>744</v>
      </c>
      <c r="B619" t="s">
        <v>62</v>
      </c>
      <c r="C619">
        <v>6</v>
      </c>
      <c r="D619">
        <v>48800</v>
      </c>
      <c r="E619" t="s">
        <v>1146</v>
      </c>
      <c r="F619">
        <v>8</v>
      </c>
      <c r="G619">
        <v>9.1</v>
      </c>
      <c r="H619">
        <v>100</v>
      </c>
      <c r="I619">
        <v>1</v>
      </c>
      <c r="J619">
        <f>1</f>
        <v>1</v>
      </c>
      <c r="K619">
        <v>1</v>
      </c>
      <c r="L619">
        <v>0</v>
      </c>
      <c r="M619">
        <f t="shared" ca="1" si="27"/>
        <v>0.7195850333552305</v>
      </c>
      <c r="N619">
        <v>0</v>
      </c>
      <c r="O619">
        <v>0</v>
      </c>
      <c r="P619">
        <f t="shared" ca="1" si="28"/>
        <v>0.19584815192929006</v>
      </c>
      <c r="Q619">
        <f t="shared" si="29"/>
        <v>1</v>
      </c>
    </row>
    <row r="620" spans="1:17" x14ac:dyDescent="0.3">
      <c r="A620" t="s">
        <v>1079</v>
      </c>
      <c r="B620" t="s">
        <v>62</v>
      </c>
      <c r="C620">
        <v>9</v>
      </c>
      <c r="D620">
        <v>63600</v>
      </c>
      <c r="E620" t="s">
        <v>1146</v>
      </c>
      <c r="F620">
        <v>8</v>
      </c>
      <c r="G620">
        <v>8.4</v>
      </c>
      <c r="H620">
        <v>9200</v>
      </c>
      <c r="I620">
        <v>1</v>
      </c>
      <c r="J620">
        <f>1</f>
        <v>1</v>
      </c>
      <c r="K620">
        <v>1</v>
      </c>
      <c r="L620">
        <v>0</v>
      </c>
      <c r="M620">
        <f t="shared" ca="1" si="27"/>
        <v>0.81428435095630192</v>
      </c>
      <c r="N620">
        <v>0</v>
      </c>
      <c r="O620">
        <v>0</v>
      </c>
      <c r="P620">
        <f t="shared" ca="1" si="28"/>
        <v>0.37520051650578035</v>
      </c>
      <c r="Q620">
        <f t="shared" si="29"/>
        <v>1</v>
      </c>
    </row>
    <row r="621" spans="1:17" x14ac:dyDescent="0.3">
      <c r="A621" t="s">
        <v>1050</v>
      </c>
      <c r="B621" t="s">
        <v>62</v>
      </c>
      <c r="C621">
        <v>6</v>
      </c>
      <c r="D621">
        <v>33400</v>
      </c>
      <c r="E621" t="s">
        <v>1146</v>
      </c>
      <c r="F621">
        <v>10</v>
      </c>
      <c r="G621">
        <v>8</v>
      </c>
      <c r="H621">
        <v>13000</v>
      </c>
      <c r="I621">
        <v>1</v>
      </c>
      <c r="J621">
        <f>1</f>
        <v>1</v>
      </c>
      <c r="K621">
        <v>1</v>
      </c>
      <c r="L621">
        <v>0</v>
      </c>
      <c r="M621">
        <f t="shared" ca="1" si="27"/>
        <v>0.19687790396124816</v>
      </c>
      <c r="N621">
        <v>0</v>
      </c>
      <c r="O621">
        <v>0</v>
      </c>
      <c r="P621">
        <f t="shared" ca="1" si="28"/>
        <v>0.31287045207613706</v>
      </c>
      <c r="Q621">
        <f t="shared" si="29"/>
        <v>1</v>
      </c>
    </row>
    <row r="622" spans="1:17" x14ac:dyDescent="0.3">
      <c r="A622" t="s">
        <v>206</v>
      </c>
      <c r="B622" t="s">
        <v>65</v>
      </c>
      <c r="C622">
        <v>6</v>
      </c>
      <c r="D622">
        <v>49000</v>
      </c>
      <c r="E622" t="s">
        <v>68</v>
      </c>
      <c r="F622">
        <v>42</v>
      </c>
      <c r="G622">
        <v>0.8</v>
      </c>
      <c r="H622">
        <v>9500</v>
      </c>
      <c r="I622">
        <v>0</v>
      </c>
      <c r="J622">
        <f>1</f>
        <v>1</v>
      </c>
      <c r="K622">
        <v>1</v>
      </c>
      <c r="L622">
        <v>0</v>
      </c>
      <c r="M622">
        <f t="shared" ca="1" si="27"/>
        <v>0.55252988607365727</v>
      </c>
      <c r="N622">
        <v>0</v>
      </c>
      <c r="O622">
        <v>0</v>
      </c>
      <c r="P622">
        <f t="shared" ca="1" si="28"/>
        <v>0.15237733144984988</v>
      </c>
      <c r="Q622">
        <f t="shared" si="29"/>
        <v>1</v>
      </c>
    </row>
    <row r="623" spans="1:17" x14ac:dyDescent="0.3">
      <c r="A623" t="s">
        <v>159</v>
      </c>
      <c r="B623" t="s">
        <v>64</v>
      </c>
      <c r="C623">
        <v>7</v>
      </c>
      <c r="D623">
        <v>23300</v>
      </c>
      <c r="E623" t="s">
        <v>67</v>
      </c>
      <c r="F623">
        <v>112</v>
      </c>
      <c r="G623">
        <v>7.5</v>
      </c>
      <c r="H623">
        <v>14100</v>
      </c>
      <c r="I623">
        <v>0</v>
      </c>
      <c r="J623">
        <f>1</f>
        <v>1</v>
      </c>
      <c r="K623">
        <v>1</v>
      </c>
      <c r="L623">
        <v>0</v>
      </c>
      <c r="M623">
        <f t="shared" ca="1" si="27"/>
        <v>0.14199865016518332</v>
      </c>
      <c r="N623">
        <v>0</v>
      </c>
      <c r="O623">
        <v>0</v>
      </c>
      <c r="P623">
        <f t="shared" ca="1" si="28"/>
        <v>3.9623379344098875E-2</v>
      </c>
      <c r="Q623">
        <f t="shared" si="29"/>
        <v>1</v>
      </c>
    </row>
    <row r="624" spans="1:17" x14ac:dyDescent="0.3">
      <c r="A624" t="s">
        <v>1073</v>
      </c>
      <c r="B624" t="s">
        <v>513</v>
      </c>
      <c r="C624">
        <v>6</v>
      </c>
      <c r="D624">
        <v>87200</v>
      </c>
      <c r="E624" t="s">
        <v>1146</v>
      </c>
      <c r="F624">
        <v>10</v>
      </c>
      <c r="G624">
        <v>10.8</v>
      </c>
      <c r="H624">
        <v>10300</v>
      </c>
      <c r="I624">
        <v>1</v>
      </c>
      <c r="J624">
        <f>1</f>
        <v>1</v>
      </c>
      <c r="K624">
        <v>1</v>
      </c>
      <c r="L624">
        <v>0</v>
      </c>
      <c r="M624">
        <f t="shared" ca="1" si="27"/>
        <v>0.52926375094351574</v>
      </c>
      <c r="N624">
        <v>0</v>
      </c>
      <c r="O624">
        <v>0</v>
      </c>
      <c r="P624">
        <f t="shared" ca="1" si="28"/>
        <v>0.31189129356468048</v>
      </c>
      <c r="Q624">
        <f t="shared" si="29"/>
        <v>1</v>
      </c>
    </row>
    <row r="625" spans="1:17" x14ac:dyDescent="0.3">
      <c r="A625" t="s">
        <v>432</v>
      </c>
      <c r="B625" t="s">
        <v>513</v>
      </c>
      <c r="C625">
        <v>6</v>
      </c>
      <c r="D625">
        <v>112500</v>
      </c>
      <c r="E625" t="s">
        <v>68</v>
      </c>
      <c r="F625">
        <v>73</v>
      </c>
      <c r="G625">
        <v>13</v>
      </c>
      <c r="H625">
        <v>8400</v>
      </c>
      <c r="I625">
        <v>0</v>
      </c>
      <c r="J625">
        <f>1</f>
        <v>1</v>
      </c>
      <c r="K625">
        <v>1</v>
      </c>
      <c r="L625">
        <v>0</v>
      </c>
      <c r="M625">
        <f t="shared" ca="1" si="27"/>
        <v>0.37598622857808273</v>
      </c>
      <c r="N625">
        <v>0</v>
      </c>
      <c r="O625">
        <v>0</v>
      </c>
      <c r="P625">
        <f t="shared" ca="1" si="28"/>
        <v>0.52302508940587999</v>
      </c>
      <c r="Q625">
        <f t="shared" si="29"/>
        <v>1</v>
      </c>
    </row>
    <row r="626" spans="1:17" x14ac:dyDescent="0.3">
      <c r="A626" t="s">
        <v>615</v>
      </c>
      <c r="B626" t="s">
        <v>62</v>
      </c>
      <c r="C626">
        <v>3</v>
      </c>
      <c r="D626">
        <v>18400</v>
      </c>
      <c r="E626" t="s">
        <v>69</v>
      </c>
      <c r="F626">
        <v>29</v>
      </c>
      <c r="G626">
        <v>1.1000000000000001</v>
      </c>
      <c r="H626">
        <v>800</v>
      </c>
      <c r="I626">
        <v>0</v>
      </c>
      <c r="J626">
        <f>1</f>
        <v>1</v>
      </c>
      <c r="K626">
        <v>1</v>
      </c>
      <c r="L626">
        <v>0</v>
      </c>
      <c r="M626">
        <f t="shared" ca="1" si="27"/>
        <v>4.3535414335723055E-2</v>
      </c>
      <c r="N626">
        <v>0</v>
      </c>
      <c r="O626">
        <v>0</v>
      </c>
      <c r="P626">
        <f t="shared" ca="1" si="28"/>
        <v>0.98392900971532726</v>
      </c>
      <c r="Q626">
        <f t="shared" si="29"/>
        <v>1</v>
      </c>
    </row>
    <row r="627" spans="1:17" x14ac:dyDescent="0.3">
      <c r="A627" t="s">
        <v>154</v>
      </c>
      <c r="B627" t="s">
        <v>65</v>
      </c>
      <c r="C627">
        <v>3</v>
      </c>
      <c r="D627">
        <v>57200</v>
      </c>
      <c r="E627" t="s">
        <v>69</v>
      </c>
      <c r="F627">
        <v>51</v>
      </c>
      <c r="G627">
        <v>2.6</v>
      </c>
      <c r="H627">
        <v>9800</v>
      </c>
      <c r="I627">
        <v>0</v>
      </c>
      <c r="J627">
        <f>1</f>
        <v>1</v>
      </c>
      <c r="K627">
        <v>1</v>
      </c>
      <c r="L627">
        <v>0</v>
      </c>
      <c r="M627">
        <f t="shared" ca="1" si="27"/>
        <v>0.27434155327571819</v>
      </c>
      <c r="N627">
        <v>0</v>
      </c>
      <c r="O627">
        <v>0</v>
      </c>
      <c r="P627">
        <f t="shared" ca="1" si="28"/>
        <v>0.27250376384733777</v>
      </c>
      <c r="Q627">
        <f t="shared" si="29"/>
        <v>1</v>
      </c>
    </row>
    <row r="628" spans="1:17" x14ac:dyDescent="0.3">
      <c r="A628" t="s">
        <v>875</v>
      </c>
      <c r="B628" t="s">
        <v>513</v>
      </c>
      <c r="C628">
        <v>4</v>
      </c>
      <c r="D628">
        <v>30500</v>
      </c>
      <c r="E628" t="s">
        <v>67</v>
      </c>
      <c r="F628">
        <v>48</v>
      </c>
      <c r="G628">
        <v>8.8000000000000007</v>
      </c>
      <c r="H628">
        <v>11300</v>
      </c>
      <c r="I628">
        <v>1</v>
      </c>
      <c r="J628">
        <f>1</f>
        <v>1</v>
      </c>
      <c r="K628">
        <v>1</v>
      </c>
      <c r="L628">
        <v>0</v>
      </c>
      <c r="M628">
        <f t="shared" ca="1" si="27"/>
        <v>0.57211420286714287</v>
      </c>
      <c r="N628">
        <v>0</v>
      </c>
      <c r="O628">
        <v>0</v>
      </c>
      <c r="P628">
        <f t="shared" ca="1" si="28"/>
        <v>8.1195164912724049E-3</v>
      </c>
      <c r="Q628">
        <f t="shared" si="29"/>
        <v>1</v>
      </c>
    </row>
    <row r="629" spans="1:17" x14ac:dyDescent="0.3">
      <c r="A629" t="s">
        <v>297</v>
      </c>
      <c r="B629" t="s">
        <v>513</v>
      </c>
      <c r="C629">
        <v>9</v>
      </c>
      <c r="D629">
        <v>39800</v>
      </c>
      <c r="E629" t="s">
        <v>69</v>
      </c>
      <c r="F629">
        <v>58</v>
      </c>
      <c r="G629">
        <v>6.5</v>
      </c>
      <c r="H629">
        <v>3700</v>
      </c>
      <c r="I629">
        <v>0</v>
      </c>
      <c r="J629">
        <f>1</f>
        <v>1</v>
      </c>
      <c r="K629">
        <v>1</v>
      </c>
      <c r="L629">
        <v>0</v>
      </c>
      <c r="M629">
        <f t="shared" ca="1" si="27"/>
        <v>1.2786069382384135E-2</v>
      </c>
      <c r="N629">
        <v>0</v>
      </c>
      <c r="O629">
        <v>0</v>
      </c>
      <c r="P629">
        <f t="shared" ca="1" si="28"/>
        <v>4.7382245975674309E-2</v>
      </c>
      <c r="Q629">
        <f t="shared" si="29"/>
        <v>1</v>
      </c>
    </row>
    <row r="630" spans="1:17" x14ac:dyDescent="0.3">
      <c r="A630" t="s">
        <v>1063</v>
      </c>
      <c r="B630" t="s">
        <v>62</v>
      </c>
      <c r="C630">
        <v>7</v>
      </c>
      <c r="D630">
        <v>107300</v>
      </c>
      <c r="E630" t="s">
        <v>1146</v>
      </c>
      <c r="F630">
        <v>8</v>
      </c>
      <c r="G630">
        <v>7.8</v>
      </c>
      <c r="H630">
        <v>6800</v>
      </c>
      <c r="I630">
        <v>1</v>
      </c>
      <c r="J630">
        <f>1</f>
        <v>1</v>
      </c>
      <c r="K630">
        <v>1</v>
      </c>
      <c r="L630">
        <v>0</v>
      </c>
      <c r="M630">
        <f t="shared" ca="1" si="27"/>
        <v>0.72392827454615682</v>
      </c>
      <c r="N630">
        <v>0</v>
      </c>
      <c r="O630">
        <v>0</v>
      </c>
      <c r="P630">
        <f t="shared" ca="1" si="28"/>
        <v>0.70488757208959063</v>
      </c>
      <c r="Q630">
        <f t="shared" si="29"/>
        <v>1</v>
      </c>
    </row>
    <row r="631" spans="1:17" x14ac:dyDescent="0.3">
      <c r="A631" t="s">
        <v>265</v>
      </c>
      <c r="B631" t="s">
        <v>513</v>
      </c>
      <c r="C631">
        <v>9</v>
      </c>
      <c r="D631">
        <v>104400</v>
      </c>
      <c r="E631" t="s">
        <v>67</v>
      </c>
      <c r="F631">
        <v>77</v>
      </c>
      <c r="G631">
        <v>4.9000000000000004</v>
      </c>
      <c r="H631">
        <v>13200</v>
      </c>
      <c r="I631">
        <v>0</v>
      </c>
      <c r="J631">
        <f>1</f>
        <v>1</v>
      </c>
      <c r="K631">
        <v>1</v>
      </c>
      <c r="L631">
        <v>0</v>
      </c>
      <c r="M631">
        <f t="shared" ca="1" si="27"/>
        <v>0.2143293481228401</v>
      </c>
      <c r="N631">
        <v>0</v>
      </c>
      <c r="O631">
        <v>0</v>
      </c>
      <c r="P631">
        <f t="shared" ca="1" si="28"/>
        <v>9.2335874836112719E-2</v>
      </c>
      <c r="Q631">
        <f t="shared" si="29"/>
        <v>1</v>
      </c>
    </row>
    <row r="632" spans="1:17" x14ac:dyDescent="0.3">
      <c r="A632" t="s">
        <v>1129</v>
      </c>
      <c r="B632" t="s">
        <v>62</v>
      </c>
      <c r="C632">
        <v>3</v>
      </c>
      <c r="D632">
        <v>25800</v>
      </c>
      <c r="E632" t="s">
        <v>1146</v>
      </c>
      <c r="F632">
        <v>6</v>
      </c>
      <c r="G632">
        <v>5.0999999999999996</v>
      </c>
      <c r="H632">
        <v>2300</v>
      </c>
      <c r="I632">
        <v>1</v>
      </c>
      <c r="J632">
        <f>1</f>
        <v>1</v>
      </c>
      <c r="K632">
        <v>1</v>
      </c>
      <c r="L632">
        <v>0</v>
      </c>
      <c r="M632">
        <f t="shared" ca="1" si="27"/>
        <v>0.9813936408842644</v>
      </c>
      <c r="N632">
        <v>0</v>
      </c>
      <c r="O632">
        <v>0</v>
      </c>
      <c r="P632">
        <f t="shared" ca="1" si="28"/>
        <v>0.77065989784070321</v>
      </c>
      <c r="Q632">
        <f t="shared" si="29"/>
        <v>1</v>
      </c>
    </row>
    <row r="633" spans="1:17" x14ac:dyDescent="0.3">
      <c r="A633" t="s">
        <v>576</v>
      </c>
      <c r="B633" t="s">
        <v>513</v>
      </c>
      <c r="C633">
        <v>8</v>
      </c>
      <c r="D633">
        <v>57800</v>
      </c>
      <c r="E633" t="s">
        <v>68</v>
      </c>
      <c r="F633">
        <v>22</v>
      </c>
      <c r="G633">
        <v>9.9</v>
      </c>
      <c r="H633">
        <v>8600</v>
      </c>
      <c r="I633">
        <v>0</v>
      </c>
      <c r="J633">
        <f>1</f>
        <v>1</v>
      </c>
      <c r="K633">
        <v>1</v>
      </c>
      <c r="L633">
        <v>0</v>
      </c>
      <c r="M633">
        <f t="shared" ca="1" si="27"/>
        <v>0.76105737262634821</v>
      </c>
      <c r="N633">
        <v>0</v>
      </c>
      <c r="O633">
        <v>0</v>
      </c>
      <c r="P633">
        <f t="shared" ca="1" si="28"/>
        <v>0.55087683440534874</v>
      </c>
      <c r="Q633">
        <f t="shared" si="29"/>
        <v>1</v>
      </c>
    </row>
    <row r="634" spans="1:17" x14ac:dyDescent="0.3">
      <c r="A634" t="s">
        <v>389</v>
      </c>
      <c r="B634" t="s">
        <v>64</v>
      </c>
      <c r="C634">
        <v>5</v>
      </c>
      <c r="D634">
        <v>25900</v>
      </c>
      <c r="E634" t="s">
        <v>68</v>
      </c>
      <c r="F634">
        <v>34</v>
      </c>
      <c r="G634">
        <v>7.4</v>
      </c>
      <c r="H634">
        <v>3400</v>
      </c>
      <c r="I634">
        <v>0</v>
      </c>
      <c r="J634">
        <f>1</f>
        <v>1</v>
      </c>
      <c r="K634">
        <v>1</v>
      </c>
      <c r="L634">
        <v>0</v>
      </c>
      <c r="M634">
        <f t="shared" ca="1" si="27"/>
        <v>0.93611937369516107</v>
      </c>
      <c r="N634">
        <v>0</v>
      </c>
      <c r="O634">
        <v>0</v>
      </c>
      <c r="P634">
        <f t="shared" ca="1" si="28"/>
        <v>0.99676772187325935</v>
      </c>
      <c r="Q634">
        <f t="shared" si="29"/>
        <v>1</v>
      </c>
    </row>
    <row r="635" spans="1:17" x14ac:dyDescent="0.3">
      <c r="A635" t="s">
        <v>1113</v>
      </c>
      <c r="B635" t="s">
        <v>65</v>
      </c>
      <c r="C635">
        <v>6</v>
      </c>
      <c r="D635">
        <v>125900</v>
      </c>
      <c r="E635" t="s">
        <v>1146</v>
      </c>
      <c r="F635">
        <v>8</v>
      </c>
      <c r="G635">
        <v>8.4</v>
      </c>
      <c r="H635">
        <v>9500</v>
      </c>
      <c r="I635">
        <v>1</v>
      </c>
      <c r="J635">
        <f>1</f>
        <v>1</v>
      </c>
      <c r="K635">
        <v>1</v>
      </c>
      <c r="L635">
        <v>0</v>
      </c>
      <c r="M635">
        <f t="shared" ca="1" si="27"/>
        <v>0.36985276032473013</v>
      </c>
      <c r="N635">
        <v>0</v>
      </c>
      <c r="O635">
        <v>0</v>
      </c>
      <c r="P635">
        <f t="shared" ca="1" si="28"/>
        <v>0.68459275611159753</v>
      </c>
      <c r="Q635">
        <f t="shared" si="29"/>
        <v>1</v>
      </c>
    </row>
    <row r="636" spans="1:17" x14ac:dyDescent="0.3">
      <c r="A636" t="s">
        <v>641</v>
      </c>
      <c r="B636" t="s">
        <v>65</v>
      </c>
      <c r="C636">
        <v>5</v>
      </c>
      <c r="D636">
        <v>20000</v>
      </c>
      <c r="E636" t="s">
        <v>1146</v>
      </c>
      <c r="F636">
        <v>10</v>
      </c>
      <c r="G636">
        <v>11.2</v>
      </c>
      <c r="H636">
        <v>1900</v>
      </c>
      <c r="I636">
        <v>1</v>
      </c>
      <c r="J636">
        <f>1</f>
        <v>1</v>
      </c>
      <c r="K636">
        <v>1</v>
      </c>
      <c r="L636">
        <v>0</v>
      </c>
      <c r="M636">
        <f t="shared" ca="1" si="27"/>
        <v>0.30156800463544098</v>
      </c>
      <c r="N636">
        <v>0</v>
      </c>
      <c r="O636">
        <v>0</v>
      </c>
      <c r="P636">
        <f t="shared" ca="1" si="28"/>
        <v>0.25567092533774183</v>
      </c>
      <c r="Q636">
        <f t="shared" si="29"/>
        <v>1</v>
      </c>
    </row>
    <row r="637" spans="1:17" x14ac:dyDescent="0.3">
      <c r="A637" t="s">
        <v>611</v>
      </c>
      <c r="B637" t="s">
        <v>64</v>
      </c>
      <c r="C637">
        <v>6</v>
      </c>
      <c r="D637">
        <v>18400</v>
      </c>
      <c r="E637" t="s">
        <v>66</v>
      </c>
      <c r="F637">
        <v>20</v>
      </c>
      <c r="G637">
        <v>2.6</v>
      </c>
      <c r="H637">
        <v>9400</v>
      </c>
      <c r="I637">
        <v>0</v>
      </c>
      <c r="J637">
        <f>1</f>
        <v>1</v>
      </c>
      <c r="K637">
        <v>1</v>
      </c>
      <c r="L637">
        <v>0</v>
      </c>
      <c r="M637">
        <f t="shared" ca="1" si="27"/>
        <v>0.25421809955971653</v>
      </c>
      <c r="N637">
        <v>0</v>
      </c>
      <c r="O637">
        <v>0</v>
      </c>
      <c r="P637">
        <f t="shared" ca="1" si="28"/>
        <v>0.82884163472657579</v>
      </c>
      <c r="Q637">
        <f t="shared" si="29"/>
        <v>1</v>
      </c>
    </row>
    <row r="638" spans="1:17" x14ac:dyDescent="0.3">
      <c r="A638" t="s">
        <v>1115</v>
      </c>
      <c r="B638" t="s">
        <v>513</v>
      </c>
      <c r="C638">
        <v>4</v>
      </c>
      <c r="D638">
        <v>35200</v>
      </c>
      <c r="E638" t="s">
        <v>1146</v>
      </c>
      <c r="F638">
        <v>7</v>
      </c>
      <c r="G638">
        <v>3.3</v>
      </c>
      <c r="H638">
        <v>5700</v>
      </c>
      <c r="I638">
        <v>1</v>
      </c>
      <c r="J638">
        <f>1</f>
        <v>1</v>
      </c>
      <c r="K638">
        <v>1</v>
      </c>
      <c r="L638">
        <v>0</v>
      </c>
      <c r="M638">
        <f t="shared" ca="1" si="27"/>
        <v>0.22153807757503485</v>
      </c>
      <c r="N638">
        <v>0</v>
      </c>
      <c r="O638">
        <v>0</v>
      </c>
      <c r="P638">
        <f t="shared" ca="1" si="28"/>
        <v>0.37289038027450971</v>
      </c>
      <c r="Q638">
        <f t="shared" si="29"/>
        <v>1</v>
      </c>
    </row>
    <row r="639" spans="1:17" x14ac:dyDescent="0.3">
      <c r="A639" t="s">
        <v>412</v>
      </c>
      <c r="B639" t="s">
        <v>513</v>
      </c>
      <c r="C639">
        <v>4</v>
      </c>
      <c r="D639">
        <v>77900</v>
      </c>
      <c r="E639" t="s">
        <v>66</v>
      </c>
      <c r="F639">
        <v>45</v>
      </c>
      <c r="G639">
        <v>5.6</v>
      </c>
      <c r="H639">
        <v>8300</v>
      </c>
      <c r="I639">
        <v>0</v>
      </c>
      <c r="J639">
        <f>1</f>
        <v>1</v>
      </c>
      <c r="K639">
        <v>1</v>
      </c>
      <c r="L639">
        <v>0</v>
      </c>
      <c r="M639">
        <f t="shared" ca="1" si="27"/>
        <v>0.94121788413197482</v>
      </c>
      <c r="N639">
        <v>0</v>
      </c>
      <c r="O639">
        <v>0</v>
      </c>
      <c r="P639">
        <f t="shared" ca="1" si="28"/>
        <v>0.73898033272791153</v>
      </c>
      <c r="Q639">
        <f t="shared" si="29"/>
        <v>1</v>
      </c>
    </row>
    <row r="640" spans="1:17" x14ac:dyDescent="0.3">
      <c r="A640" t="s">
        <v>593</v>
      </c>
      <c r="B640" t="s">
        <v>65</v>
      </c>
      <c r="C640">
        <v>3</v>
      </c>
      <c r="D640">
        <v>34600</v>
      </c>
      <c r="E640" t="s">
        <v>66</v>
      </c>
      <c r="F640">
        <v>34</v>
      </c>
      <c r="G640">
        <v>6.8</v>
      </c>
      <c r="H640">
        <v>3300</v>
      </c>
      <c r="I640">
        <v>0</v>
      </c>
      <c r="J640">
        <f>1</f>
        <v>1</v>
      </c>
      <c r="K640">
        <v>1</v>
      </c>
      <c r="L640">
        <v>0</v>
      </c>
      <c r="M640">
        <f t="shared" ca="1" si="27"/>
        <v>2.376292688009507E-2</v>
      </c>
      <c r="N640">
        <v>0</v>
      </c>
      <c r="O640">
        <v>0</v>
      </c>
      <c r="P640">
        <f t="shared" ca="1" si="28"/>
        <v>0.71931755740472059</v>
      </c>
      <c r="Q640">
        <f t="shared" si="29"/>
        <v>1</v>
      </c>
    </row>
    <row r="641" spans="1:17" x14ac:dyDescent="0.3">
      <c r="A641" t="s">
        <v>190</v>
      </c>
      <c r="B641" t="s">
        <v>513</v>
      </c>
      <c r="C641">
        <v>6</v>
      </c>
      <c r="D641">
        <v>39800</v>
      </c>
      <c r="E641" t="s">
        <v>69</v>
      </c>
      <c r="F641">
        <v>46</v>
      </c>
      <c r="G641">
        <v>9.9</v>
      </c>
      <c r="H641">
        <v>7300</v>
      </c>
      <c r="I641">
        <v>0</v>
      </c>
      <c r="J641">
        <f>1</f>
        <v>1</v>
      </c>
      <c r="K641">
        <v>1</v>
      </c>
      <c r="L641">
        <v>0</v>
      </c>
      <c r="M641">
        <f t="shared" ca="1" si="27"/>
        <v>0.34193236155289131</v>
      </c>
      <c r="N641">
        <v>0</v>
      </c>
      <c r="O641">
        <v>0</v>
      </c>
      <c r="P641">
        <f t="shared" ca="1" si="28"/>
        <v>0.7049301243284869</v>
      </c>
      <c r="Q641">
        <f t="shared" si="29"/>
        <v>1</v>
      </c>
    </row>
    <row r="642" spans="1:17" x14ac:dyDescent="0.3">
      <c r="A642" t="s">
        <v>566</v>
      </c>
      <c r="B642" t="s">
        <v>62</v>
      </c>
      <c r="C642">
        <v>5</v>
      </c>
      <c r="D642">
        <v>33800</v>
      </c>
      <c r="E642" t="s">
        <v>69</v>
      </c>
      <c r="F642">
        <v>34</v>
      </c>
      <c r="G642">
        <v>0.4</v>
      </c>
      <c r="H642">
        <v>5300</v>
      </c>
      <c r="I642">
        <v>0</v>
      </c>
      <c r="J642">
        <f>1</f>
        <v>1</v>
      </c>
      <c r="K642">
        <v>1</v>
      </c>
      <c r="L642">
        <v>0</v>
      </c>
      <c r="M642">
        <f t="shared" ref="M642:M705" ca="1" si="30">RAND()</f>
        <v>0.38023899561616015</v>
      </c>
      <c r="N642">
        <v>0</v>
      </c>
      <c r="O642">
        <v>0</v>
      </c>
      <c r="P642">
        <f t="shared" ref="P642:P705" ca="1" si="31">IF(L642=0,RAND(),"")</f>
        <v>0.38670964610569647</v>
      </c>
      <c r="Q642">
        <f t="shared" si="29"/>
        <v>1</v>
      </c>
    </row>
    <row r="643" spans="1:17" x14ac:dyDescent="0.3">
      <c r="A643" t="s">
        <v>163</v>
      </c>
      <c r="B643" t="s">
        <v>513</v>
      </c>
      <c r="C643">
        <v>5</v>
      </c>
      <c r="D643">
        <v>37700</v>
      </c>
      <c r="E643" t="s">
        <v>67</v>
      </c>
      <c r="F643">
        <v>76</v>
      </c>
      <c r="G643">
        <v>11.7</v>
      </c>
      <c r="H643">
        <v>6200</v>
      </c>
      <c r="I643">
        <v>0</v>
      </c>
      <c r="J643">
        <f>1</f>
        <v>1</v>
      </c>
      <c r="K643">
        <v>1</v>
      </c>
      <c r="L643">
        <v>0</v>
      </c>
      <c r="M643">
        <f t="shared" ca="1" si="30"/>
        <v>0.22890281664966816</v>
      </c>
      <c r="N643">
        <v>0</v>
      </c>
      <c r="O643">
        <v>0</v>
      </c>
      <c r="P643">
        <f t="shared" ca="1" si="31"/>
        <v>0.74098299294964098</v>
      </c>
      <c r="Q643">
        <f t="shared" ref="Q643:Q706" si="32">IF(OR(L643=1,O643=1), 0,1)</f>
        <v>1</v>
      </c>
    </row>
    <row r="644" spans="1:17" x14ac:dyDescent="0.3">
      <c r="A644" t="s">
        <v>518</v>
      </c>
      <c r="B644" t="s">
        <v>64</v>
      </c>
      <c r="C644">
        <v>7</v>
      </c>
      <c r="D644">
        <v>29700</v>
      </c>
      <c r="E644" t="s">
        <v>67</v>
      </c>
      <c r="F644">
        <v>55</v>
      </c>
      <c r="G644">
        <v>5.9</v>
      </c>
      <c r="H644">
        <v>4600</v>
      </c>
      <c r="I644">
        <v>0</v>
      </c>
      <c r="J644">
        <f>1</f>
        <v>1</v>
      </c>
      <c r="K644">
        <v>1</v>
      </c>
      <c r="L644">
        <v>0</v>
      </c>
      <c r="M644">
        <f t="shared" ca="1" si="30"/>
        <v>0.28190382548944959</v>
      </c>
      <c r="N644">
        <v>0</v>
      </c>
      <c r="O644">
        <v>0</v>
      </c>
      <c r="P644">
        <f t="shared" ca="1" si="31"/>
        <v>0.47322395842992482</v>
      </c>
      <c r="Q644">
        <f t="shared" si="32"/>
        <v>1</v>
      </c>
    </row>
    <row r="645" spans="1:17" x14ac:dyDescent="0.3">
      <c r="A645" t="s">
        <v>1046</v>
      </c>
      <c r="B645" t="s">
        <v>62</v>
      </c>
      <c r="C645">
        <v>5</v>
      </c>
      <c r="D645">
        <v>27100</v>
      </c>
      <c r="E645" t="s">
        <v>1146</v>
      </c>
      <c r="F645">
        <v>9</v>
      </c>
      <c r="G645">
        <v>1.2</v>
      </c>
      <c r="H645">
        <v>13500</v>
      </c>
      <c r="I645">
        <v>1</v>
      </c>
      <c r="J645">
        <f>1</f>
        <v>1</v>
      </c>
      <c r="K645">
        <v>1</v>
      </c>
      <c r="L645">
        <v>0</v>
      </c>
      <c r="M645">
        <f t="shared" ca="1" si="30"/>
        <v>0.42661859368415656</v>
      </c>
      <c r="N645">
        <v>0</v>
      </c>
      <c r="O645">
        <v>0</v>
      </c>
      <c r="P645">
        <f t="shared" ca="1" si="31"/>
        <v>0.23619388342346503</v>
      </c>
      <c r="Q645">
        <f t="shared" si="32"/>
        <v>1</v>
      </c>
    </row>
    <row r="646" spans="1:17" x14ac:dyDescent="0.3">
      <c r="A646" t="s">
        <v>145</v>
      </c>
      <c r="B646" t="s">
        <v>64</v>
      </c>
      <c r="C646">
        <v>6</v>
      </c>
      <c r="D646">
        <v>13100</v>
      </c>
      <c r="E646" t="s">
        <v>67</v>
      </c>
      <c r="F646">
        <v>111</v>
      </c>
      <c r="G646">
        <v>4.3</v>
      </c>
      <c r="H646">
        <v>0</v>
      </c>
      <c r="I646">
        <v>0</v>
      </c>
      <c r="J646">
        <f>1</f>
        <v>1</v>
      </c>
      <c r="K646">
        <v>1</v>
      </c>
      <c r="L646">
        <v>0</v>
      </c>
      <c r="M646">
        <f t="shared" ca="1" si="30"/>
        <v>0.38570908495500966</v>
      </c>
      <c r="N646">
        <v>0</v>
      </c>
      <c r="O646">
        <v>0</v>
      </c>
      <c r="P646">
        <f t="shared" ca="1" si="31"/>
        <v>0.19845679300611718</v>
      </c>
      <c r="Q646">
        <f t="shared" si="32"/>
        <v>1</v>
      </c>
    </row>
    <row r="647" spans="1:17" x14ac:dyDescent="0.3">
      <c r="A647" t="s">
        <v>1091</v>
      </c>
      <c r="B647" t="s">
        <v>513</v>
      </c>
      <c r="C647">
        <v>8</v>
      </c>
      <c r="D647">
        <v>54400</v>
      </c>
      <c r="E647" t="s">
        <v>1146</v>
      </c>
      <c r="F647">
        <v>1</v>
      </c>
      <c r="G647">
        <v>6</v>
      </c>
      <c r="H647">
        <v>9200</v>
      </c>
      <c r="I647">
        <v>1</v>
      </c>
      <c r="J647">
        <f>1</f>
        <v>1</v>
      </c>
      <c r="K647">
        <v>1</v>
      </c>
      <c r="L647">
        <v>0</v>
      </c>
      <c r="M647">
        <f t="shared" ca="1" si="30"/>
        <v>0.40578332600159872</v>
      </c>
      <c r="N647">
        <v>0</v>
      </c>
      <c r="O647">
        <v>0</v>
      </c>
      <c r="P647">
        <f t="shared" ca="1" si="31"/>
        <v>0.81398589820914424</v>
      </c>
      <c r="Q647">
        <f t="shared" si="32"/>
        <v>1</v>
      </c>
    </row>
    <row r="648" spans="1:17" x14ac:dyDescent="0.3">
      <c r="A648" t="s">
        <v>497</v>
      </c>
      <c r="B648" t="s">
        <v>513</v>
      </c>
      <c r="C648">
        <v>5</v>
      </c>
      <c r="D648">
        <v>14300</v>
      </c>
      <c r="E648" t="s">
        <v>68</v>
      </c>
      <c r="F648">
        <v>53</v>
      </c>
      <c r="G648">
        <v>14.5</v>
      </c>
      <c r="H648">
        <v>8600</v>
      </c>
      <c r="I648">
        <v>0</v>
      </c>
      <c r="J648">
        <f>1</f>
        <v>1</v>
      </c>
      <c r="K648">
        <v>1</v>
      </c>
      <c r="L648">
        <v>0</v>
      </c>
      <c r="M648">
        <f t="shared" ca="1" si="30"/>
        <v>0.34982874175052769</v>
      </c>
      <c r="N648">
        <v>0</v>
      </c>
      <c r="O648">
        <v>0</v>
      </c>
      <c r="P648">
        <f t="shared" ca="1" si="31"/>
        <v>0.51952500134164614</v>
      </c>
      <c r="Q648">
        <f t="shared" si="32"/>
        <v>1</v>
      </c>
    </row>
    <row r="649" spans="1:17" x14ac:dyDescent="0.3">
      <c r="A649" t="s">
        <v>763</v>
      </c>
      <c r="B649" t="s">
        <v>65</v>
      </c>
      <c r="C649">
        <v>7</v>
      </c>
      <c r="D649">
        <v>75900</v>
      </c>
      <c r="E649" t="s">
        <v>1146</v>
      </c>
      <c r="F649">
        <v>1</v>
      </c>
      <c r="G649">
        <v>0.7</v>
      </c>
      <c r="H649">
        <v>0</v>
      </c>
      <c r="I649">
        <v>1</v>
      </c>
      <c r="J649">
        <f>1</f>
        <v>1</v>
      </c>
      <c r="K649">
        <v>1</v>
      </c>
      <c r="L649">
        <v>0</v>
      </c>
      <c r="M649">
        <f t="shared" ca="1" si="30"/>
        <v>0.41547566179864592</v>
      </c>
      <c r="N649">
        <v>0</v>
      </c>
      <c r="O649">
        <v>0</v>
      </c>
      <c r="P649">
        <f t="shared" ca="1" si="31"/>
        <v>0.74912487667151872</v>
      </c>
      <c r="Q649">
        <f t="shared" si="32"/>
        <v>1</v>
      </c>
    </row>
    <row r="650" spans="1:17" x14ac:dyDescent="0.3">
      <c r="A650" t="s">
        <v>426</v>
      </c>
      <c r="B650" t="s">
        <v>64</v>
      </c>
      <c r="C650">
        <v>4</v>
      </c>
      <c r="D650">
        <v>15100</v>
      </c>
      <c r="E650" t="s">
        <v>68</v>
      </c>
      <c r="F650">
        <v>22</v>
      </c>
      <c r="G650">
        <v>6.8</v>
      </c>
      <c r="H650">
        <v>6600</v>
      </c>
      <c r="I650">
        <v>0</v>
      </c>
      <c r="J650">
        <f>1</f>
        <v>1</v>
      </c>
      <c r="K650">
        <v>1</v>
      </c>
      <c r="L650">
        <v>0</v>
      </c>
      <c r="M650">
        <f t="shared" ca="1" si="30"/>
        <v>0.60503303440596712</v>
      </c>
      <c r="N650">
        <v>0</v>
      </c>
      <c r="O650">
        <v>0</v>
      </c>
      <c r="P650">
        <f t="shared" ca="1" si="31"/>
        <v>9.3791956469852722E-2</v>
      </c>
      <c r="Q650">
        <f t="shared" si="32"/>
        <v>1</v>
      </c>
    </row>
    <row r="651" spans="1:17" x14ac:dyDescent="0.3">
      <c r="A651" t="s">
        <v>271</v>
      </c>
      <c r="B651" t="s">
        <v>62</v>
      </c>
      <c r="C651">
        <v>7</v>
      </c>
      <c r="D651">
        <v>72100</v>
      </c>
      <c r="E651" t="s">
        <v>69</v>
      </c>
      <c r="F651">
        <v>60</v>
      </c>
      <c r="G651">
        <v>8.8000000000000007</v>
      </c>
      <c r="H651">
        <v>6600</v>
      </c>
      <c r="I651">
        <v>0</v>
      </c>
      <c r="J651">
        <f>1</f>
        <v>1</v>
      </c>
      <c r="K651">
        <v>1</v>
      </c>
      <c r="L651">
        <v>0</v>
      </c>
      <c r="M651">
        <f t="shared" ca="1" si="30"/>
        <v>0.48989052283267565</v>
      </c>
      <c r="N651">
        <v>0</v>
      </c>
      <c r="O651">
        <v>0</v>
      </c>
      <c r="P651">
        <f t="shared" ca="1" si="31"/>
        <v>0.58405629844893447</v>
      </c>
      <c r="Q651">
        <f t="shared" si="32"/>
        <v>1</v>
      </c>
    </row>
    <row r="652" spans="1:17" x14ac:dyDescent="0.3">
      <c r="A652" t="s">
        <v>591</v>
      </c>
      <c r="B652" t="s">
        <v>513</v>
      </c>
      <c r="C652">
        <v>5</v>
      </c>
      <c r="D652">
        <v>18800</v>
      </c>
      <c r="E652" t="s">
        <v>66</v>
      </c>
      <c r="F652">
        <v>57</v>
      </c>
      <c r="G652">
        <v>8.6999999999999993</v>
      </c>
      <c r="H652">
        <v>2700</v>
      </c>
      <c r="I652">
        <v>0</v>
      </c>
      <c r="J652">
        <f>1</f>
        <v>1</v>
      </c>
      <c r="K652">
        <v>1</v>
      </c>
      <c r="L652">
        <v>0</v>
      </c>
      <c r="M652">
        <f t="shared" ca="1" si="30"/>
        <v>0.41783021805195242</v>
      </c>
      <c r="N652">
        <v>0</v>
      </c>
      <c r="O652">
        <v>0</v>
      </c>
      <c r="P652">
        <f t="shared" ca="1" si="31"/>
        <v>0.56871878231999373</v>
      </c>
      <c r="Q652">
        <f t="shared" si="32"/>
        <v>1</v>
      </c>
    </row>
    <row r="653" spans="1:17" x14ac:dyDescent="0.3">
      <c r="A653" t="s">
        <v>393</v>
      </c>
      <c r="B653" t="s">
        <v>65</v>
      </c>
      <c r="C653">
        <v>3</v>
      </c>
      <c r="D653">
        <v>32900</v>
      </c>
      <c r="E653" t="s">
        <v>67</v>
      </c>
      <c r="F653">
        <v>111</v>
      </c>
      <c r="G653">
        <v>4</v>
      </c>
      <c r="H653">
        <v>6700</v>
      </c>
      <c r="I653">
        <v>0</v>
      </c>
      <c r="J653">
        <f>1</f>
        <v>1</v>
      </c>
      <c r="K653">
        <v>1</v>
      </c>
      <c r="L653">
        <v>0</v>
      </c>
      <c r="M653">
        <f t="shared" ca="1" si="30"/>
        <v>0.78100812665599173</v>
      </c>
      <c r="N653">
        <v>0</v>
      </c>
      <c r="O653">
        <v>0</v>
      </c>
      <c r="P653">
        <f t="shared" ca="1" si="31"/>
        <v>0.33987123162096322</v>
      </c>
      <c r="Q653">
        <f t="shared" si="32"/>
        <v>1</v>
      </c>
    </row>
    <row r="654" spans="1:17" x14ac:dyDescent="0.3">
      <c r="A654" t="s">
        <v>730</v>
      </c>
      <c r="B654" t="s">
        <v>65</v>
      </c>
      <c r="C654">
        <v>5</v>
      </c>
      <c r="D654">
        <v>24800</v>
      </c>
      <c r="E654" t="s">
        <v>1146</v>
      </c>
      <c r="F654">
        <v>0</v>
      </c>
      <c r="G654">
        <v>5.4</v>
      </c>
      <c r="H654">
        <v>4500</v>
      </c>
      <c r="I654">
        <v>1</v>
      </c>
      <c r="J654">
        <f>1</f>
        <v>1</v>
      </c>
      <c r="K654">
        <v>1</v>
      </c>
      <c r="L654">
        <v>0</v>
      </c>
      <c r="M654">
        <f t="shared" ca="1" si="30"/>
        <v>0.61414130457250871</v>
      </c>
      <c r="N654">
        <v>0</v>
      </c>
      <c r="O654">
        <v>0</v>
      </c>
      <c r="P654">
        <f t="shared" ca="1" si="31"/>
        <v>0.40182533632555006</v>
      </c>
      <c r="Q654">
        <f t="shared" si="32"/>
        <v>1</v>
      </c>
    </row>
    <row r="655" spans="1:17" x14ac:dyDescent="0.3">
      <c r="A655" t="s">
        <v>645</v>
      </c>
      <c r="B655" t="s">
        <v>65</v>
      </c>
      <c r="C655">
        <v>8</v>
      </c>
      <c r="D655">
        <v>49700</v>
      </c>
      <c r="E655" t="s">
        <v>1146</v>
      </c>
      <c r="F655">
        <v>3</v>
      </c>
      <c r="G655">
        <v>6.5</v>
      </c>
      <c r="H655">
        <v>11000</v>
      </c>
      <c r="I655">
        <v>1</v>
      </c>
      <c r="J655">
        <f>1</f>
        <v>1</v>
      </c>
      <c r="K655">
        <v>1</v>
      </c>
      <c r="L655">
        <v>0</v>
      </c>
      <c r="M655">
        <f t="shared" ca="1" si="30"/>
        <v>0.5675619501370226</v>
      </c>
      <c r="N655">
        <v>0</v>
      </c>
      <c r="O655">
        <v>0</v>
      </c>
      <c r="P655">
        <f t="shared" ca="1" si="31"/>
        <v>8.5536707853580918E-2</v>
      </c>
      <c r="Q655">
        <f t="shared" si="32"/>
        <v>1</v>
      </c>
    </row>
    <row r="656" spans="1:17" x14ac:dyDescent="0.3">
      <c r="A656" t="s">
        <v>658</v>
      </c>
      <c r="B656" t="s">
        <v>513</v>
      </c>
      <c r="C656">
        <v>2</v>
      </c>
      <c r="D656">
        <v>32400</v>
      </c>
      <c r="E656" t="s">
        <v>1146</v>
      </c>
      <c r="F656">
        <v>9</v>
      </c>
      <c r="G656">
        <v>7.5</v>
      </c>
      <c r="H656">
        <v>2500</v>
      </c>
      <c r="I656">
        <v>1</v>
      </c>
      <c r="J656">
        <f>1</f>
        <v>1</v>
      </c>
      <c r="K656">
        <v>1</v>
      </c>
      <c r="L656">
        <v>0</v>
      </c>
      <c r="M656">
        <f t="shared" ca="1" si="30"/>
        <v>0.54725046566138635</v>
      </c>
      <c r="N656">
        <v>0</v>
      </c>
      <c r="O656">
        <v>0</v>
      </c>
      <c r="P656">
        <f t="shared" ca="1" si="31"/>
        <v>0.82877208357846521</v>
      </c>
      <c r="Q656">
        <f t="shared" si="32"/>
        <v>1</v>
      </c>
    </row>
    <row r="657" spans="1:17" x14ac:dyDescent="0.3">
      <c r="A657" t="s">
        <v>659</v>
      </c>
      <c r="B657" t="s">
        <v>64</v>
      </c>
      <c r="C657">
        <v>8</v>
      </c>
      <c r="D657">
        <v>159600</v>
      </c>
      <c r="E657" t="s">
        <v>1146</v>
      </c>
      <c r="F657">
        <v>8</v>
      </c>
      <c r="G657">
        <v>10.5</v>
      </c>
      <c r="H657">
        <v>9300</v>
      </c>
      <c r="I657">
        <v>1</v>
      </c>
      <c r="J657">
        <f>1</f>
        <v>1</v>
      </c>
      <c r="K657">
        <v>1</v>
      </c>
      <c r="L657">
        <v>0</v>
      </c>
      <c r="M657">
        <f t="shared" ca="1" si="30"/>
        <v>0.23243244293899823</v>
      </c>
      <c r="N657">
        <v>0</v>
      </c>
      <c r="O657">
        <v>0</v>
      </c>
      <c r="P657">
        <f t="shared" ca="1" si="31"/>
        <v>0.53902725402821539</v>
      </c>
      <c r="Q657">
        <f t="shared" si="32"/>
        <v>1</v>
      </c>
    </row>
    <row r="658" spans="1:17" x14ac:dyDescent="0.3">
      <c r="A658" t="s">
        <v>483</v>
      </c>
      <c r="B658" t="s">
        <v>62</v>
      </c>
      <c r="C658">
        <v>8</v>
      </c>
      <c r="D658">
        <v>44200</v>
      </c>
      <c r="E658" t="s">
        <v>66</v>
      </c>
      <c r="F658">
        <v>22</v>
      </c>
      <c r="G658">
        <v>5.8</v>
      </c>
      <c r="H658">
        <v>8300</v>
      </c>
      <c r="I658">
        <v>0</v>
      </c>
      <c r="J658">
        <f>1</f>
        <v>1</v>
      </c>
      <c r="K658">
        <v>1</v>
      </c>
      <c r="L658">
        <v>0</v>
      </c>
      <c r="M658">
        <f t="shared" ca="1" si="30"/>
        <v>0.81593245060285546</v>
      </c>
      <c r="N658">
        <v>0</v>
      </c>
      <c r="O658">
        <v>0</v>
      </c>
      <c r="P658">
        <f t="shared" ca="1" si="31"/>
        <v>0.16626507947578573</v>
      </c>
      <c r="Q658">
        <f t="shared" si="32"/>
        <v>1</v>
      </c>
    </row>
    <row r="659" spans="1:17" x14ac:dyDescent="0.3">
      <c r="A659" t="s">
        <v>519</v>
      </c>
      <c r="B659" t="s">
        <v>513</v>
      </c>
      <c r="C659">
        <v>6</v>
      </c>
      <c r="D659">
        <v>44600</v>
      </c>
      <c r="E659" t="s">
        <v>68</v>
      </c>
      <c r="F659">
        <v>68</v>
      </c>
      <c r="G659">
        <v>13.7</v>
      </c>
      <c r="H659">
        <v>5800</v>
      </c>
      <c r="I659">
        <v>0</v>
      </c>
      <c r="J659">
        <f>1</f>
        <v>1</v>
      </c>
      <c r="K659">
        <v>1</v>
      </c>
      <c r="L659">
        <v>0</v>
      </c>
      <c r="M659">
        <f t="shared" ca="1" si="30"/>
        <v>0.69937011626855516</v>
      </c>
      <c r="N659">
        <v>0</v>
      </c>
      <c r="O659">
        <v>0</v>
      </c>
      <c r="P659">
        <f t="shared" ca="1" si="31"/>
        <v>0.17776316366163458</v>
      </c>
      <c r="Q659">
        <f t="shared" si="32"/>
        <v>1</v>
      </c>
    </row>
    <row r="660" spans="1:17" x14ac:dyDescent="0.3">
      <c r="A660" t="s">
        <v>284</v>
      </c>
      <c r="B660" t="s">
        <v>62</v>
      </c>
      <c r="C660">
        <v>3</v>
      </c>
      <c r="D660">
        <v>48300</v>
      </c>
      <c r="E660" t="s">
        <v>67</v>
      </c>
      <c r="F660">
        <v>108</v>
      </c>
      <c r="G660">
        <v>4.0999999999999996</v>
      </c>
      <c r="H660">
        <v>0</v>
      </c>
      <c r="I660">
        <v>0</v>
      </c>
      <c r="J660">
        <f>1</f>
        <v>1</v>
      </c>
      <c r="K660">
        <v>1</v>
      </c>
      <c r="L660">
        <v>0</v>
      </c>
      <c r="M660">
        <f t="shared" ca="1" si="30"/>
        <v>0.21788433435337373</v>
      </c>
      <c r="N660">
        <v>0</v>
      </c>
      <c r="O660">
        <v>0</v>
      </c>
      <c r="P660">
        <f t="shared" ca="1" si="31"/>
        <v>0.23217930877495196</v>
      </c>
      <c r="Q660">
        <f t="shared" si="32"/>
        <v>1</v>
      </c>
    </row>
    <row r="661" spans="1:17" x14ac:dyDescent="0.3">
      <c r="A661" t="s">
        <v>979</v>
      </c>
      <c r="B661" t="s">
        <v>65</v>
      </c>
      <c r="C661">
        <v>2</v>
      </c>
      <c r="D661">
        <v>22900</v>
      </c>
      <c r="E661" t="s">
        <v>1146</v>
      </c>
      <c r="F661">
        <v>10</v>
      </c>
      <c r="G661">
        <v>10.6</v>
      </c>
      <c r="H661">
        <v>2200</v>
      </c>
      <c r="I661">
        <v>1</v>
      </c>
      <c r="J661">
        <f>1</f>
        <v>1</v>
      </c>
      <c r="K661">
        <v>1</v>
      </c>
      <c r="L661">
        <v>0</v>
      </c>
      <c r="M661">
        <f t="shared" ca="1" si="30"/>
        <v>0.78654677133153938</v>
      </c>
      <c r="N661">
        <v>0</v>
      </c>
      <c r="O661">
        <v>0</v>
      </c>
      <c r="P661">
        <f t="shared" ca="1" si="31"/>
        <v>0.13149612883806316</v>
      </c>
      <c r="Q661">
        <f t="shared" si="32"/>
        <v>1</v>
      </c>
    </row>
    <row r="662" spans="1:17" x14ac:dyDescent="0.3">
      <c r="A662" t="s">
        <v>671</v>
      </c>
      <c r="B662" t="s">
        <v>513</v>
      </c>
      <c r="C662">
        <v>9</v>
      </c>
      <c r="D662">
        <v>51400</v>
      </c>
      <c r="E662" t="s">
        <v>1146</v>
      </c>
      <c r="F662">
        <v>10</v>
      </c>
      <c r="G662">
        <v>2.2000000000000002</v>
      </c>
      <c r="H662">
        <v>9000</v>
      </c>
      <c r="I662">
        <v>1</v>
      </c>
      <c r="J662">
        <f>1</f>
        <v>1</v>
      </c>
      <c r="K662">
        <v>1</v>
      </c>
      <c r="L662">
        <v>0</v>
      </c>
      <c r="M662">
        <f t="shared" ca="1" si="30"/>
        <v>0.17484512662028184</v>
      </c>
      <c r="N662">
        <v>0</v>
      </c>
      <c r="O662">
        <v>0</v>
      </c>
      <c r="P662">
        <f t="shared" ca="1" si="31"/>
        <v>0.45327387087546267</v>
      </c>
      <c r="Q662">
        <f t="shared" si="32"/>
        <v>1</v>
      </c>
    </row>
    <row r="663" spans="1:17" x14ac:dyDescent="0.3">
      <c r="A663" t="s">
        <v>592</v>
      </c>
      <c r="B663" t="s">
        <v>513</v>
      </c>
      <c r="C663">
        <v>8</v>
      </c>
      <c r="D663">
        <v>34900</v>
      </c>
      <c r="E663" t="s">
        <v>67</v>
      </c>
      <c r="F663">
        <v>81</v>
      </c>
      <c r="G663">
        <v>11.5</v>
      </c>
      <c r="H663">
        <v>9700</v>
      </c>
      <c r="I663">
        <v>0</v>
      </c>
      <c r="J663">
        <f>1</f>
        <v>1</v>
      </c>
      <c r="K663">
        <v>1</v>
      </c>
      <c r="L663">
        <v>0</v>
      </c>
      <c r="M663">
        <f t="shared" ca="1" si="30"/>
        <v>8.3723348936368569E-2</v>
      </c>
      <c r="N663">
        <v>0</v>
      </c>
      <c r="O663">
        <v>0</v>
      </c>
      <c r="P663">
        <f t="shared" ca="1" si="31"/>
        <v>0.70033800639696708</v>
      </c>
      <c r="Q663">
        <f t="shared" si="32"/>
        <v>1</v>
      </c>
    </row>
    <row r="664" spans="1:17" x14ac:dyDescent="0.3">
      <c r="A664" t="s">
        <v>838</v>
      </c>
      <c r="B664" t="s">
        <v>65</v>
      </c>
      <c r="C664">
        <v>6</v>
      </c>
      <c r="D664">
        <v>15600</v>
      </c>
      <c r="E664" t="s">
        <v>1146</v>
      </c>
      <c r="F664">
        <v>6</v>
      </c>
      <c r="G664">
        <v>12.3</v>
      </c>
      <c r="H664">
        <v>5900</v>
      </c>
      <c r="I664">
        <v>1</v>
      </c>
      <c r="J664">
        <f>1</f>
        <v>1</v>
      </c>
      <c r="K664">
        <v>1</v>
      </c>
      <c r="L664">
        <v>0</v>
      </c>
      <c r="M664">
        <f t="shared" ca="1" si="30"/>
        <v>0.94921091356363829</v>
      </c>
      <c r="N664">
        <v>0</v>
      </c>
      <c r="O664">
        <v>0</v>
      </c>
      <c r="P664">
        <f t="shared" ca="1" si="31"/>
        <v>0.48519185123373676</v>
      </c>
      <c r="Q664">
        <f t="shared" si="32"/>
        <v>1</v>
      </c>
    </row>
    <row r="665" spans="1:17" x14ac:dyDescent="0.3">
      <c r="A665" t="s">
        <v>933</v>
      </c>
      <c r="B665" t="s">
        <v>62</v>
      </c>
      <c r="C665">
        <v>8</v>
      </c>
      <c r="D665">
        <v>74100</v>
      </c>
      <c r="E665" t="s">
        <v>1146</v>
      </c>
      <c r="F665">
        <v>4</v>
      </c>
      <c r="G665">
        <v>9</v>
      </c>
      <c r="H665">
        <v>9200</v>
      </c>
      <c r="I665">
        <v>1</v>
      </c>
      <c r="J665">
        <f>1</f>
        <v>1</v>
      </c>
      <c r="K665">
        <v>1</v>
      </c>
      <c r="L665">
        <v>0</v>
      </c>
      <c r="M665">
        <f t="shared" ca="1" si="30"/>
        <v>0.91269293258810114</v>
      </c>
      <c r="N665">
        <v>0</v>
      </c>
      <c r="O665">
        <v>0</v>
      </c>
      <c r="P665">
        <f t="shared" ca="1" si="31"/>
        <v>0.17723466313173919</v>
      </c>
      <c r="Q665">
        <f t="shared" si="32"/>
        <v>1</v>
      </c>
    </row>
    <row r="666" spans="1:17" x14ac:dyDescent="0.3">
      <c r="A666" t="s">
        <v>142</v>
      </c>
      <c r="B666" t="s">
        <v>62</v>
      </c>
      <c r="C666">
        <v>6</v>
      </c>
      <c r="D666">
        <v>72300</v>
      </c>
      <c r="E666" t="s">
        <v>69</v>
      </c>
      <c r="F666">
        <v>27</v>
      </c>
      <c r="G666">
        <v>9.8000000000000007</v>
      </c>
      <c r="H666">
        <v>2400</v>
      </c>
      <c r="I666">
        <v>0</v>
      </c>
      <c r="J666">
        <f>1</f>
        <v>1</v>
      </c>
      <c r="K666">
        <v>1</v>
      </c>
      <c r="L666">
        <v>0</v>
      </c>
      <c r="M666">
        <f t="shared" ca="1" si="30"/>
        <v>0.17428460044121286</v>
      </c>
      <c r="N666">
        <v>0</v>
      </c>
      <c r="O666">
        <v>0</v>
      </c>
      <c r="P666">
        <f t="shared" ca="1" si="31"/>
        <v>0.8138533256149495</v>
      </c>
      <c r="Q666">
        <f t="shared" si="32"/>
        <v>1</v>
      </c>
    </row>
    <row r="667" spans="1:17" x14ac:dyDescent="0.3">
      <c r="A667" t="s">
        <v>1132</v>
      </c>
      <c r="B667" t="s">
        <v>65</v>
      </c>
      <c r="C667">
        <v>5</v>
      </c>
      <c r="D667">
        <v>166100</v>
      </c>
      <c r="E667" t="s">
        <v>1146</v>
      </c>
      <c r="F667">
        <v>9</v>
      </c>
      <c r="G667">
        <v>11.7</v>
      </c>
      <c r="H667">
        <v>12200</v>
      </c>
      <c r="I667">
        <v>1</v>
      </c>
      <c r="J667">
        <f>1</f>
        <v>1</v>
      </c>
      <c r="K667">
        <v>1</v>
      </c>
      <c r="L667">
        <v>0</v>
      </c>
      <c r="M667">
        <f t="shared" ca="1" si="30"/>
        <v>0.88126508535447001</v>
      </c>
      <c r="N667">
        <v>0</v>
      </c>
      <c r="O667">
        <v>0</v>
      </c>
      <c r="P667">
        <f t="shared" ca="1" si="31"/>
        <v>0.18257953179828557</v>
      </c>
      <c r="Q667">
        <f t="shared" si="32"/>
        <v>1</v>
      </c>
    </row>
    <row r="668" spans="1:17" x14ac:dyDescent="0.3">
      <c r="A668" t="s">
        <v>411</v>
      </c>
      <c r="B668" t="s">
        <v>64</v>
      </c>
      <c r="C668">
        <v>6</v>
      </c>
      <c r="D668">
        <v>65000</v>
      </c>
      <c r="E668" t="s">
        <v>66</v>
      </c>
      <c r="F668">
        <v>58</v>
      </c>
      <c r="G668">
        <v>8</v>
      </c>
      <c r="H668">
        <v>0</v>
      </c>
      <c r="I668">
        <v>0</v>
      </c>
      <c r="J668">
        <f>1</f>
        <v>1</v>
      </c>
      <c r="K668">
        <v>1</v>
      </c>
      <c r="L668">
        <v>0</v>
      </c>
      <c r="M668">
        <f t="shared" ca="1" si="30"/>
        <v>0.36644166647849208</v>
      </c>
      <c r="N668">
        <v>0</v>
      </c>
      <c r="O668">
        <v>0</v>
      </c>
      <c r="P668">
        <f t="shared" ca="1" si="31"/>
        <v>0.48522661236339004</v>
      </c>
      <c r="Q668">
        <f t="shared" si="32"/>
        <v>1</v>
      </c>
    </row>
    <row r="669" spans="1:17" x14ac:dyDescent="0.3">
      <c r="A669" t="s">
        <v>1143</v>
      </c>
      <c r="B669" t="s">
        <v>64</v>
      </c>
      <c r="C669">
        <v>9</v>
      </c>
      <c r="D669">
        <v>42500</v>
      </c>
      <c r="E669" t="s">
        <v>1146</v>
      </c>
      <c r="F669">
        <v>5</v>
      </c>
      <c r="G669">
        <v>8.4</v>
      </c>
      <c r="H669">
        <v>6000</v>
      </c>
      <c r="I669">
        <v>1</v>
      </c>
      <c r="J669">
        <f>1</f>
        <v>1</v>
      </c>
      <c r="K669">
        <v>1</v>
      </c>
      <c r="L669">
        <v>0</v>
      </c>
      <c r="M669">
        <f t="shared" ca="1" si="30"/>
        <v>8.6603329486479863E-2</v>
      </c>
      <c r="N669">
        <v>0</v>
      </c>
      <c r="O669">
        <v>0</v>
      </c>
      <c r="P669">
        <f t="shared" ca="1" si="31"/>
        <v>0.15751779996336346</v>
      </c>
      <c r="Q669">
        <f t="shared" si="32"/>
        <v>1</v>
      </c>
    </row>
    <row r="670" spans="1:17" x14ac:dyDescent="0.3">
      <c r="A670" t="s">
        <v>707</v>
      </c>
      <c r="B670" t="s">
        <v>65</v>
      </c>
      <c r="C670">
        <v>1</v>
      </c>
      <c r="D670">
        <v>51400</v>
      </c>
      <c r="E670" t="s">
        <v>1146</v>
      </c>
      <c r="F670">
        <v>8</v>
      </c>
      <c r="G670">
        <v>10.7</v>
      </c>
      <c r="H670">
        <v>7300</v>
      </c>
      <c r="I670">
        <v>1</v>
      </c>
      <c r="J670">
        <f>1</f>
        <v>1</v>
      </c>
      <c r="K670">
        <v>1</v>
      </c>
      <c r="L670">
        <v>0</v>
      </c>
      <c r="M670">
        <f t="shared" ca="1" si="30"/>
        <v>0.94938748135679629</v>
      </c>
      <c r="N670">
        <v>0</v>
      </c>
      <c r="O670">
        <v>0</v>
      </c>
      <c r="P670">
        <f t="shared" ca="1" si="31"/>
        <v>0.93165742362612514</v>
      </c>
      <c r="Q670">
        <f t="shared" si="32"/>
        <v>1</v>
      </c>
    </row>
    <row r="671" spans="1:17" x14ac:dyDescent="0.3">
      <c r="A671" t="s">
        <v>661</v>
      </c>
      <c r="B671" t="s">
        <v>65</v>
      </c>
      <c r="C671">
        <v>2</v>
      </c>
      <c r="D671">
        <v>22600</v>
      </c>
      <c r="E671" t="s">
        <v>1146</v>
      </c>
      <c r="F671">
        <v>5</v>
      </c>
      <c r="G671">
        <v>2.7</v>
      </c>
      <c r="H671">
        <v>0</v>
      </c>
      <c r="I671">
        <v>1</v>
      </c>
      <c r="J671">
        <f>1</f>
        <v>1</v>
      </c>
      <c r="K671">
        <v>1</v>
      </c>
      <c r="L671">
        <v>0</v>
      </c>
      <c r="M671">
        <f t="shared" ca="1" si="30"/>
        <v>1.781860818387293E-2</v>
      </c>
      <c r="N671">
        <v>0</v>
      </c>
      <c r="O671">
        <v>0</v>
      </c>
      <c r="P671">
        <f t="shared" ca="1" si="31"/>
        <v>5.8748455367923613E-2</v>
      </c>
      <c r="Q671">
        <f t="shared" si="32"/>
        <v>1</v>
      </c>
    </row>
    <row r="672" spans="1:17" x14ac:dyDescent="0.3">
      <c r="A672" t="s">
        <v>1103</v>
      </c>
      <c r="B672" t="s">
        <v>513</v>
      </c>
      <c r="C672">
        <v>9</v>
      </c>
      <c r="D672">
        <v>28200</v>
      </c>
      <c r="E672" t="s">
        <v>1146</v>
      </c>
      <c r="F672">
        <v>0</v>
      </c>
      <c r="G672">
        <v>8.5</v>
      </c>
      <c r="H672">
        <v>6500</v>
      </c>
      <c r="I672">
        <v>1</v>
      </c>
      <c r="J672">
        <f>1</f>
        <v>1</v>
      </c>
      <c r="K672">
        <v>1</v>
      </c>
      <c r="L672">
        <v>0</v>
      </c>
      <c r="M672">
        <f t="shared" ca="1" si="30"/>
        <v>0.78567868575897004</v>
      </c>
      <c r="N672">
        <v>0</v>
      </c>
      <c r="O672">
        <v>0</v>
      </c>
      <c r="P672">
        <f t="shared" ca="1" si="31"/>
        <v>0.96441213989654795</v>
      </c>
      <c r="Q672">
        <f t="shared" si="32"/>
        <v>1</v>
      </c>
    </row>
    <row r="673" spans="1:17" x14ac:dyDescent="0.3">
      <c r="A673" t="s">
        <v>449</v>
      </c>
      <c r="B673" t="s">
        <v>513</v>
      </c>
      <c r="C673">
        <v>3</v>
      </c>
      <c r="D673">
        <v>54300</v>
      </c>
      <c r="E673" t="s">
        <v>66</v>
      </c>
      <c r="F673">
        <v>50</v>
      </c>
      <c r="G673">
        <v>1.7</v>
      </c>
      <c r="H673">
        <v>3900</v>
      </c>
      <c r="I673">
        <v>0</v>
      </c>
      <c r="J673">
        <f>1</f>
        <v>1</v>
      </c>
      <c r="K673">
        <v>1</v>
      </c>
      <c r="L673">
        <v>0</v>
      </c>
      <c r="M673">
        <f t="shared" ca="1" si="30"/>
        <v>0.40194558582325923</v>
      </c>
      <c r="N673">
        <v>0</v>
      </c>
      <c r="O673">
        <v>0</v>
      </c>
      <c r="P673">
        <f t="shared" ca="1" si="31"/>
        <v>0.78121678077209156</v>
      </c>
      <c r="Q673">
        <f t="shared" si="32"/>
        <v>1</v>
      </c>
    </row>
    <row r="674" spans="1:17" x14ac:dyDescent="0.3">
      <c r="A674" t="s">
        <v>208</v>
      </c>
      <c r="B674" t="s">
        <v>62</v>
      </c>
      <c r="C674">
        <v>5</v>
      </c>
      <c r="D674">
        <v>26500</v>
      </c>
      <c r="E674" t="s">
        <v>66</v>
      </c>
      <c r="F674">
        <v>66</v>
      </c>
      <c r="G674">
        <v>2.2000000000000002</v>
      </c>
      <c r="H674">
        <v>5500</v>
      </c>
      <c r="I674">
        <v>0</v>
      </c>
      <c r="J674">
        <f>1</f>
        <v>1</v>
      </c>
      <c r="K674">
        <v>1</v>
      </c>
      <c r="L674">
        <v>0</v>
      </c>
      <c r="M674">
        <f t="shared" ca="1" si="30"/>
        <v>0.57587518722400155</v>
      </c>
      <c r="N674">
        <v>0</v>
      </c>
      <c r="O674">
        <v>0</v>
      </c>
      <c r="P674">
        <f t="shared" ca="1" si="31"/>
        <v>0.34688804126505624</v>
      </c>
      <c r="Q674">
        <f t="shared" si="32"/>
        <v>1</v>
      </c>
    </row>
    <row r="675" spans="1:17" x14ac:dyDescent="0.3">
      <c r="A675" t="s">
        <v>831</v>
      </c>
      <c r="B675" t="s">
        <v>65</v>
      </c>
      <c r="C675">
        <v>7</v>
      </c>
      <c r="D675">
        <v>28000</v>
      </c>
      <c r="E675" t="s">
        <v>1146</v>
      </c>
      <c r="F675">
        <v>8</v>
      </c>
      <c r="G675">
        <v>5.9</v>
      </c>
      <c r="H675">
        <v>9300</v>
      </c>
      <c r="I675">
        <v>1</v>
      </c>
      <c r="J675">
        <f>1</f>
        <v>1</v>
      </c>
      <c r="K675">
        <v>1</v>
      </c>
      <c r="L675">
        <v>0</v>
      </c>
      <c r="M675">
        <f t="shared" ca="1" si="30"/>
        <v>0.40668811821590134</v>
      </c>
      <c r="N675">
        <v>0</v>
      </c>
      <c r="O675">
        <v>0</v>
      </c>
      <c r="P675">
        <f t="shared" ca="1" si="31"/>
        <v>0.18691768833101663</v>
      </c>
      <c r="Q675">
        <f t="shared" si="32"/>
        <v>1</v>
      </c>
    </row>
    <row r="676" spans="1:17" x14ac:dyDescent="0.3">
      <c r="A676" t="s">
        <v>314</v>
      </c>
      <c r="B676" t="s">
        <v>65</v>
      </c>
      <c r="C676">
        <v>4</v>
      </c>
      <c r="D676">
        <v>51700</v>
      </c>
      <c r="E676" t="s">
        <v>69</v>
      </c>
      <c r="F676">
        <v>56</v>
      </c>
      <c r="G676">
        <v>10</v>
      </c>
      <c r="H676">
        <v>8200</v>
      </c>
      <c r="I676">
        <v>0</v>
      </c>
      <c r="J676">
        <f>1</f>
        <v>1</v>
      </c>
      <c r="K676">
        <v>1</v>
      </c>
      <c r="L676">
        <v>0</v>
      </c>
      <c r="M676">
        <f t="shared" ca="1" si="30"/>
        <v>0.96895488004297947</v>
      </c>
      <c r="N676">
        <v>0</v>
      </c>
      <c r="O676">
        <v>0</v>
      </c>
      <c r="P676">
        <f t="shared" ca="1" si="31"/>
        <v>0.1385567901792335</v>
      </c>
      <c r="Q676">
        <f t="shared" si="32"/>
        <v>1</v>
      </c>
    </row>
    <row r="677" spans="1:17" x14ac:dyDescent="0.3">
      <c r="A677" t="s">
        <v>169</v>
      </c>
      <c r="B677" t="s">
        <v>513</v>
      </c>
      <c r="C677">
        <v>5</v>
      </c>
      <c r="D677">
        <v>30500</v>
      </c>
      <c r="E677" t="s">
        <v>67</v>
      </c>
      <c r="F677">
        <v>112</v>
      </c>
      <c r="G677">
        <v>11.4</v>
      </c>
      <c r="H677">
        <v>5000</v>
      </c>
      <c r="I677">
        <v>0</v>
      </c>
      <c r="J677">
        <f>1</f>
        <v>1</v>
      </c>
      <c r="K677">
        <v>1</v>
      </c>
      <c r="L677">
        <v>0</v>
      </c>
      <c r="M677">
        <f t="shared" ca="1" si="30"/>
        <v>0.4209510423897278</v>
      </c>
      <c r="N677">
        <v>0</v>
      </c>
      <c r="O677">
        <v>0</v>
      </c>
      <c r="P677">
        <f t="shared" ca="1" si="31"/>
        <v>0.18619335344078791</v>
      </c>
      <c r="Q677">
        <f t="shared" si="32"/>
        <v>1</v>
      </c>
    </row>
    <row r="678" spans="1:17" x14ac:dyDescent="0.3">
      <c r="A678" t="s">
        <v>395</v>
      </c>
      <c r="B678" t="s">
        <v>65</v>
      </c>
      <c r="C678">
        <v>5</v>
      </c>
      <c r="D678">
        <v>59200</v>
      </c>
      <c r="E678" t="s">
        <v>69</v>
      </c>
      <c r="F678">
        <v>15</v>
      </c>
      <c r="G678">
        <v>11.4</v>
      </c>
      <c r="H678">
        <v>14500</v>
      </c>
      <c r="I678">
        <v>0</v>
      </c>
      <c r="J678">
        <f>1</f>
        <v>1</v>
      </c>
      <c r="K678">
        <v>1</v>
      </c>
      <c r="L678">
        <v>0</v>
      </c>
      <c r="M678">
        <f t="shared" ca="1" si="30"/>
        <v>0.70722659809786692</v>
      </c>
      <c r="N678">
        <v>0</v>
      </c>
      <c r="O678">
        <v>0</v>
      </c>
      <c r="P678">
        <f t="shared" ca="1" si="31"/>
        <v>0.98208748716623473</v>
      </c>
      <c r="Q678">
        <f t="shared" si="32"/>
        <v>1</v>
      </c>
    </row>
    <row r="679" spans="1:17" x14ac:dyDescent="0.3">
      <c r="A679" t="s">
        <v>198</v>
      </c>
      <c r="B679" t="s">
        <v>62</v>
      </c>
      <c r="C679">
        <v>7</v>
      </c>
      <c r="D679">
        <v>48300</v>
      </c>
      <c r="E679" t="s">
        <v>67</v>
      </c>
      <c r="F679">
        <v>100</v>
      </c>
      <c r="G679">
        <v>9.4</v>
      </c>
      <c r="H679">
        <v>7100</v>
      </c>
      <c r="I679">
        <v>0</v>
      </c>
      <c r="J679">
        <f>1</f>
        <v>1</v>
      </c>
      <c r="K679">
        <v>1</v>
      </c>
      <c r="L679">
        <v>0</v>
      </c>
      <c r="M679">
        <f t="shared" ca="1" si="30"/>
        <v>8.5390433358663032E-3</v>
      </c>
      <c r="N679">
        <v>0</v>
      </c>
      <c r="O679">
        <v>0</v>
      </c>
      <c r="P679">
        <f t="shared" ca="1" si="31"/>
        <v>0.91331184824103739</v>
      </c>
      <c r="Q679">
        <f t="shared" si="32"/>
        <v>1</v>
      </c>
    </row>
    <row r="680" spans="1:17" x14ac:dyDescent="0.3">
      <c r="A680" t="s">
        <v>521</v>
      </c>
      <c r="B680" t="s">
        <v>64</v>
      </c>
      <c r="C680">
        <v>7</v>
      </c>
      <c r="D680">
        <v>23000</v>
      </c>
      <c r="E680" t="s">
        <v>68</v>
      </c>
      <c r="F680">
        <v>20</v>
      </c>
      <c r="G680">
        <v>7.2</v>
      </c>
      <c r="H680">
        <v>6000</v>
      </c>
      <c r="I680">
        <v>0</v>
      </c>
      <c r="J680">
        <f>1</f>
        <v>1</v>
      </c>
      <c r="K680">
        <v>1</v>
      </c>
      <c r="L680">
        <v>0</v>
      </c>
      <c r="M680">
        <f t="shared" ca="1" si="30"/>
        <v>0.81241159704432653</v>
      </c>
      <c r="N680">
        <v>0</v>
      </c>
      <c r="O680">
        <v>0</v>
      </c>
      <c r="P680">
        <f t="shared" ca="1" si="31"/>
        <v>0.58573794553773106</v>
      </c>
      <c r="Q680">
        <f t="shared" si="32"/>
        <v>1</v>
      </c>
    </row>
    <row r="681" spans="1:17" x14ac:dyDescent="0.3">
      <c r="A681" t="s">
        <v>363</v>
      </c>
      <c r="B681" t="s">
        <v>62</v>
      </c>
      <c r="C681">
        <v>4</v>
      </c>
      <c r="D681">
        <v>30200</v>
      </c>
      <c r="E681" t="s">
        <v>68</v>
      </c>
      <c r="F681">
        <v>30</v>
      </c>
      <c r="G681">
        <v>3</v>
      </c>
      <c r="H681">
        <v>5400</v>
      </c>
      <c r="I681">
        <v>0</v>
      </c>
      <c r="J681">
        <f>1</f>
        <v>1</v>
      </c>
      <c r="K681">
        <v>1</v>
      </c>
      <c r="L681">
        <v>0</v>
      </c>
      <c r="M681">
        <f t="shared" ca="1" si="30"/>
        <v>0.40690615049467893</v>
      </c>
      <c r="N681">
        <v>0</v>
      </c>
      <c r="O681">
        <v>0</v>
      </c>
      <c r="P681">
        <f t="shared" ca="1" si="31"/>
        <v>0.76133309180175079</v>
      </c>
      <c r="Q681">
        <f t="shared" si="32"/>
        <v>1</v>
      </c>
    </row>
    <row r="682" spans="1:17" x14ac:dyDescent="0.3">
      <c r="A682" t="s">
        <v>973</v>
      </c>
      <c r="B682" t="s">
        <v>65</v>
      </c>
      <c r="C682">
        <v>10</v>
      </c>
      <c r="D682">
        <v>33500</v>
      </c>
      <c r="E682" t="s">
        <v>1146</v>
      </c>
      <c r="F682">
        <v>2</v>
      </c>
      <c r="G682">
        <v>13.9</v>
      </c>
      <c r="H682">
        <v>5100</v>
      </c>
      <c r="I682">
        <v>1</v>
      </c>
      <c r="J682">
        <f>1</f>
        <v>1</v>
      </c>
      <c r="K682">
        <v>1</v>
      </c>
      <c r="L682">
        <v>0</v>
      </c>
      <c r="M682">
        <f t="shared" ca="1" si="30"/>
        <v>0.52225386077847002</v>
      </c>
      <c r="N682">
        <v>0</v>
      </c>
      <c r="O682">
        <v>0</v>
      </c>
      <c r="P682">
        <f t="shared" ca="1" si="31"/>
        <v>0.48667491851815792</v>
      </c>
      <c r="Q682">
        <f t="shared" si="32"/>
        <v>1</v>
      </c>
    </row>
    <row r="683" spans="1:17" x14ac:dyDescent="0.3">
      <c r="A683" t="s">
        <v>174</v>
      </c>
      <c r="B683" t="s">
        <v>62</v>
      </c>
      <c r="C683">
        <v>9</v>
      </c>
      <c r="D683">
        <v>52600</v>
      </c>
      <c r="E683" t="s">
        <v>69</v>
      </c>
      <c r="F683">
        <v>35</v>
      </c>
      <c r="G683">
        <v>4.5999999999999996</v>
      </c>
      <c r="H683">
        <v>12300</v>
      </c>
      <c r="I683">
        <v>0</v>
      </c>
      <c r="J683">
        <f>1</f>
        <v>1</v>
      </c>
      <c r="K683">
        <v>1</v>
      </c>
      <c r="L683">
        <v>0</v>
      </c>
      <c r="M683">
        <f t="shared" ca="1" si="30"/>
        <v>0.45056694480799675</v>
      </c>
      <c r="N683">
        <v>0</v>
      </c>
      <c r="O683">
        <v>0</v>
      </c>
      <c r="P683">
        <f t="shared" ca="1" si="31"/>
        <v>0.24666876535233662</v>
      </c>
      <c r="Q683">
        <f t="shared" si="32"/>
        <v>1</v>
      </c>
    </row>
    <row r="684" spans="1:17" x14ac:dyDescent="0.3">
      <c r="A684" t="s">
        <v>1130</v>
      </c>
      <c r="B684" t="s">
        <v>513</v>
      </c>
      <c r="C684">
        <v>9</v>
      </c>
      <c r="D684">
        <v>129400</v>
      </c>
      <c r="E684" t="s">
        <v>1146</v>
      </c>
      <c r="F684">
        <v>5</v>
      </c>
      <c r="G684">
        <v>5.8</v>
      </c>
      <c r="H684">
        <v>4800</v>
      </c>
      <c r="I684">
        <v>1</v>
      </c>
      <c r="J684">
        <f>1</f>
        <v>1</v>
      </c>
      <c r="K684">
        <v>1</v>
      </c>
      <c r="L684">
        <v>0</v>
      </c>
      <c r="M684">
        <f t="shared" ca="1" si="30"/>
        <v>0.73693617537172762</v>
      </c>
      <c r="N684">
        <v>0</v>
      </c>
      <c r="O684">
        <v>0</v>
      </c>
      <c r="P684">
        <f t="shared" ca="1" si="31"/>
        <v>0.47141276291286083</v>
      </c>
      <c r="Q684">
        <f t="shared" si="32"/>
        <v>1</v>
      </c>
    </row>
    <row r="685" spans="1:17" x14ac:dyDescent="0.3">
      <c r="A685" t="s">
        <v>635</v>
      </c>
      <c r="B685" t="s">
        <v>65</v>
      </c>
      <c r="C685">
        <v>7</v>
      </c>
      <c r="D685">
        <v>37000</v>
      </c>
      <c r="E685" t="s">
        <v>1146</v>
      </c>
      <c r="F685">
        <v>4</v>
      </c>
      <c r="G685">
        <v>4.9000000000000004</v>
      </c>
      <c r="H685">
        <v>2200</v>
      </c>
      <c r="I685">
        <v>1</v>
      </c>
      <c r="J685">
        <f>1</f>
        <v>1</v>
      </c>
      <c r="K685">
        <v>1</v>
      </c>
      <c r="L685">
        <v>0</v>
      </c>
      <c r="M685">
        <f t="shared" ca="1" si="30"/>
        <v>1.4297897404845772E-3</v>
      </c>
      <c r="N685">
        <v>0</v>
      </c>
      <c r="O685">
        <v>0</v>
      </c>
      <c r="P685">
        <f t="shared" ca="1" si="31"/>
        <v>6.6090750981812052E-3</v>
      </c>
      <c r="Q685">
        <f t="shared" si="32"/>
        <v>1</v>
      </c>
    </row>
    <row r="686" spans="1:17" x14ac:dyDescent="0.3">
      <c r="A686" t="s">
        <v>587</v>
      </c>
      <c r="B686" t="s">
        <v>513</v>
      </c>
      <c r="C686">
        <v>3</v>
      </c>
      <c r="D686">
        <v>38500</v>
      </c>
      <c r="E686" t="s">
        <v>68</v>
      </c>
      <c r="F686">
        <v>58</v>
      </c>
      <c r="G686">
        <v>9</v>
      </c>
      <c r="H686">
        <v>5500</v>
      </c>
      <c r="I686">
        <v>0</v>
      </c>
      <c r="J686">
        <f>1</f>
        <v>1</v>
      </c>
      <c r="K686">
        <v>1</v>
      </c>
      <c r="L686">
        <v>0</v>
      </c>
      <c r="M686">
        <f t="shared" ca="1" si="30"/>
        <v>0.7744640627133702</v>
      </c>
      <c r="N686">
        <v>0</v>
      </c>
      <c r="O686">
        <v>0</v>
      </c>
      <c r="P686">
        <f t="shared" ca="1" si="31"/>
        <v>0.11145959716329201</v>
      </c>
      <c r="Q686">
        <f t="shared" si="32"/>
        <v>1</v>
      </c>
    </row>
    <row r="687" spans="1:17" x14ac:dyDescent="0.3">
      <c r="A687" t="s">
        <v>296</v>
      </c>
      <c r="B687" t="s">
        <v>513</v>
      </c>
      <c r="C687">
        <v>9</v>
      </c>
      <c r="D687">
        <v>9400</v>
      </c>
      <c r="E687" t="s">
        <v>68</v>
      </c>
      <c r="F687">
        <v>57</v>
      </c>
      <c r="G687">
        <v>12</v>
      </c>
      <c r="H687">
        <v>3900</v>
      </c>
      <c r="I687">
        <v>0</v>
      </c>
      <c r="J687">
        <f>1</f>
        <v>1</v>
      </c>
      <c r="K687">
        <v>1</v>
      </c>
      <c r="L687">
        <v>0</v>
      </c>
      <c r="M687">
        <f t="shared" ca="1" si="30"/>
        <v>1.1157719138647937E-2</v>
      </c>
      <c r="N687">
        <v>0</v>
      </c>
      <c r="O687">
        <v>0</v>
      </c>
      <c r="P687">
        <f t="shared" ca="1" si="31"/>
        <v>0.41979607415266784</v>
      </c>
      <c r="Q687">
        <f t="shared" si="32"/>
        <v>1</v>
      </c>
    </row>
    <row r="688" spans="1:17" x14ac:dyDescent="0.3">
      <c r="A688" t="s">
        <v>558</v>
      </c>
      <c r="B688" t="s">
        <v>65</v>
      </c>
      <c r="C688">
        <v>4</v>
      </c>
      <c r="D688">
        <v>23900</v>
      </c>
      <c r="E688" t="s">
        <v>67</v>
      </c>
      <c r="F688">
        <v>93</v>
      </c>
      <c r="G688">
        <v>13.5</v>
      </c>
      <c r="H688">
        <v>6200</v>
      </c>
      <c r="I688">
        <v>0</v>
      </c>
      <c r="J688">
        <f>1</f>
        <v>1</v>
      </c>
      <c r="K688">
        <v>1</v>
      </c>
      <c r="L688">
        <v>0</v>
      </c>
      <c r="M688">
        <f t="shared" ca="1" si="30"/>
        <v>0.41933119984334688</v>
      </c>
      <c r="N688">
        <v>0</v>
      </c>
      <c r="O688">
        <v>0</v>
      </c>
      <c r="P688">
        <f t="shared" ca="1" si="31"/>
        <v>0.27879050445806985</v>
      </c>
      <c r="Q688">
        <f t="shared" si="32"/>
        <v>1</v>
      </c>
    </row>
    <row r="689" spans="1:17" x14ac:dyDescent="0.3">
      <c r="A689" t="s">
        <v>260</v>
      </c>
      <c r="B689" t="s">
        <v>65</v>
      </c>
      <c r="C689">
        <v>4</v>
      </c>
      <c r="D689">
        <v>91900</v>
      </c>
      <c r="E689" t="s">
        <v>66</v>
      </c>
      <c r="F689">
        <v>24</v>
      </c>
      <c r="G689">
        <v>9.6</v>
      </c>
      <c r="H689">
        <v>12100</v>
      </c>
      <c r="I689">
        <v>0</v>
      </c>
      <c r="J689">
        <f>1</f>
        <v>1</v>
      </c>
      <c r="K689">
        <v>1</v>
      </c>
      <c r="L689">
        <v>0</v>
      </c>
      <c r="M689">
        <f t="shared" ca="1" si="30"/>
        <v>0.32921864581696902</v>
      </c>
      <c r="N689">
        <v>0</v>
      </c>
      <c r="O689">
        <v>0</v>
      </c>
      <c r="P689">
        <f t="shared" ca="1" si="31"/>
        <v>0.43191353431125434</v>
      </c>
      <c r="Q689">
        <f t="shared" si="32"/>
        <v>1</v>
      </c>
    </row>
    <row r="690" spans="1:17" x14ac:dyDescent="0.3">
      <c r="A690" t="s">
        <v>149</v>
      </c>
      <c r="B690" t="s">
        <v>65</v>
      </c>
      <c r="C690">
        <v>8</v>
      </c>
      <c r="D690">
        <v>32300</v>
      </c>
      <c r="E690" t="s">
        <v>66</v>
      </c>
      <c r="F690">
        <v>61</v>
      </c>
      <c r="G690">
        <v>13.4</v>
      </c>
      <c r="H690">
        <v>6700</v>
      </c>
      <c r="I690">
        <v>0</v>
      </c>
      <c r="J690">
        <f>1</f>
        <v>1</v>
      </c>
      <c r="K690">
        <v>1</v>
      </c>
      <c r="L690">
        <v>0</v>
      </c>
      <c r="M690">
        <f t="shared" ca="1" si="30"/>
        <v>0.64535143398540928</v>
      </c>
      <c r="N690">
        <v>0</v>
      </c>
      <c r="O690">
        <v>0</v>
      </c>
      <c r="P690">
        <f t="shared" ca="1" si="31"/>
        <v>0.94888454909696818</v>
      </c>
      <c r="Q690">
        <f t="shared" si="32"/>
        <v>1</v>
      </c>
    </row>
    <row r="691" spans="1:17" x14ac:dyDescent="0.3">
      <c r="A691" t="s">
        <v>323</v>
      </c>
      <c r="B691" t="s">
        <v>65</v>
      </c>
      <c r="C691">
        <v>10</v>
      </c>
      <c r="D691">
        <v>85700</v>
      </c>
      <c r="E691" t="s">
        <v>69</v>
      </c>
      <c r="F691">
        <v>17</v>
      </c>
      <c r="G691">
        <v>10.5</v>
      </c>
      <c r="H691">
        <v>5100</v>
      </c>
      <c r="I691">
        <v>0</v>
      </c>
      <c r="J691">
        <f>1</f>
        <v>1</v>
      </c>
      <c r="K691">
        <v>1</v>
      </c>
      <c r="L691">
        <v>0</v>
      </c>
      <c r="M691">
        <f t="shared" ca="1" si="30"/>
        <v>0.8883762247148943</v>
      </c>
      <c r="N691">
        <v>0</v>
      </c>
      <c r="O691">
        <v>0</v>
      </c>
      <c r="P691">
        <f t="shared" ca="1" si="31"/>
        <v>0.56291699199285961</v>
      </c>
      <c r="Q691">
        <f t="shared" si="32"/>
        <v>1</v>
      </c>
    </row>
    <row r="692" spans="1:17" x14ac:dyDescent="0.3">
      <c r="A692" t="s">
        <v>876</v>
      </c>
      <c r="B692" t="s">
        <v>65</v>
      </c>
      <c r="C692">
        <v>5</v>
      </c>
      <c r="D692">
        <v>26700</v>
      </c>
      <c r="E692" t="s">
        <v>66</v>
      </c>
      <c r="F692">
        <v>16</v>
      </c>
      <c r="G692">
        <v>7.7</v>
      </c>
      <c r="H692">
        <v>4200</v>
      </c>
      <c r="I692">
        <v>1</v>
      </c>
      <c r="J692">
        <f>1</f>
        <v>1</v>
      </c>
      <c r="K692">
        <v>1</v>
      </c>
      <c r="L692">
        <v>0</v>
      </c>
      <c r="M692">
        <f t="shared" ca="1" si="30"/>
        <v>0.968470039139675</v>
      </c>
      <c r="N692">
        <v>0</v>
      </c>
      <c r="O692">
        <v>0</v>
      </c>
      <c r="P692">
        <f t="shared" ca="1" si="31"/>
        <v>0.49941945080102867</v>
      </c>
      <c r="Q692">
        <f t="shared" si="32"/>
        <v>1</v>
      </c>
    </row>
    <row r="693" spans="1:17" x14ac:dyDescent="0.3">
      <c r="A693" t="s">
        <v>345</v>
      </c>
      <c r="B693" t="s">
        <v>513</v>
      </c>
      <c r="C693">
        <v>1</v>
      </c>
      <c r="D693">
        <v>28200</v>
      </c>
      <c r="E693" t="s">
        <v>66</v>
      </c>
      <c r="F693">
        <v>22</v>
      </c>
      <c r="G693">
        <v>4.4000000000000004</v>
      </c>
      <c r="H693">
        <v>7100</v>
      </c>
      <c r="I693">
        <v>0</v>
      </c>
      <c r="J693">
        <f>1</f>
        <v>1</v>
      </c>
      <c r="K693">
        <v>1</v>
      </c>
      <c r="L693">
        <v>0</v>
      </c>
      <c r="M693">
        <f t="shared" ca="1" si="30"/>
        <v>0.3783882102176922</v>
      </c>
      <c r="N693">
        <v>0</v>
      </c>
      <c r="O693">
        <v>0</v>
      </c>
      <c r="P693">
        <f t="shared" ca="1" si="31"/>
        <v>0.51324314539099702</v>
      </c>
      <c r="Q693">
        <f t="shared" si="32"/>
        <v>1</v>
      </c>
    </row>
    <row r="694" spans="1:17" x14ac:dyDescent="0.3">
      <c r="A694" t="s">
        <v>473</v>
      </c>
      <c r="B694" t="s">
        <v>65</v>
      </c>
      <c r="C694">
        <v>10</v>
      </c>
      <c r="D694">
        <v>27700</v>
      </c>
      <c r="E694" t="s">
        <v>66</v>
      </c>
      <c r="F694">
        <v>68</v>
      </c>
      <c r="G694">
        <v>1.3</v>
      </c>
      <c r="H694">
        <v>12000</v>
      </c>
      <c r="I694">
        <v>0</v>
      </c>
      <c r="J694">
        <f>1</f>
        <v>1</v>
      </c>
      <c r="K694">
        <v>1</v>
      </c>
      <c r="L694">
        <v>0</v>
      </c>
      <c r="M694">
        <f t="shared" ca="1" si="30"/>
        <v>0.38908300768717063</v>
      </c>
      <c r="N694">
        <v>0</v>
      </c>
      <c r="O694">
        <v>0</v>
      </c>
      <c r="P694">
        <f t="shared" ca="1" si="31"/>
        <v>0.24312493612438868</v>
      </c>
      <c r="Q694">
        <f t="shared" si="32"/>
        <v>1</v>
      </c>
    </row>
    <row r="695" spans="1:17" x14ac:dyDescent="0.3">
      <c r="A695" t="s">
        <v>935</v>
      </c>
      <c r="B695" t="s">
        <v>513</v>
      </c>
      <c r="C695">
        <v>5</v>
      </c>
      <c r="D695">
        <v>26600</v>
      </c>
      <c r="E695" t="s">
        <v>1146</v>
      </c>
      <c r="F695">
        <v>6</v>
      </c>
      <c r="G695">
        <v>14.1</v>
      </c>
      <c r="H695">
        <v>700</v>
      </c>
      <c r="I695">
        <v>1</v>
      </c>
      <c r="J695">
        <f>1</f>
        <v>1</v>
      </c>
      <c r="K695">
        <v>1</v>
      </c>
      <c r="L695">
        <v>0</v>
      </c>
      <c r="M695">
        <f t="shared" ca="1" si="30"/>
        <v>0.67809251116830604</v>
      </c>
      <c r="N695">
        <v>0</v>
      </c>
      <c r="O695">
        <v>0</v>
      </c>
      <c r="P695">
        <f t="shared" ca="1" si="31"/>
        <v>0.85430296798508676</v>
      </c>
      <c r="Q695">
        <f t="shared" si="32"/>
        <v>1</v>
      </c>
    </row>
    <row r="696" spans="1:17" x14ac:dyDescent="0.3">
      <c r="A696" t="s">
        <v>742</v>
      </c>
      <c r="B696" t="s">
        <v>62</v>
      </c>
      <c r="C696">
        <v>8</v>
      </c>
      <c r="D696">
        <v>78900</v>
      </c>
      <c r="E696" t="s">
        <v>1146</v>
      </c>
      <c r="F696">
        <v>8</v>
      </c>
      <c r="G696">
        <v>3</v>
      </c>
      <c r="H696">
        <v>2500</v>
      </c>
      <c r="I696">
        <v>1</v>
      </c>
      <c r="J696">
        <f>1</f>
        <v>1</v>
      </c>
      <c r="K696">
        <v>1</v>
      </c>
      <c r="L696">
        <v>0</v>
      </c>
      <c r="M696">
        <f t="shared" ca="1" si="30"/>
        <v>0.88660721962236966</v>
      </c>
      <c r="N696">
        <v>0</v>
      </c>
      <c r="O696">
        <v>0</v>
      </c>
      <c r="P696">
        <f t="shared" ca="1" si="31"/>
        <v>0.55127391426637151</v>
      </c>
      <c r="Q696">
        <f t="shared" si="32"/>
        <v>1</v>
      </c>
    </row>
    <row r="697" spans="1:17" x14ac:dyDescent="0.3">
      <c r="A697" t="s">
        <v>1028</v>
      </c>
      <c r="B697" t="s">
        <v>513</v>
      </c>
      <c r="C697">
        <v>6</v>
      </c>
      <c r="D697">
        <v>68500</v>
      </c>
      <c r="E697" t="s">
        <v>1146</v>
      </c>
      <c r="F697">
        <v>0</v>
      </c>
      <c r="G697">
        <v>9.1</v>
      </c>
      <c r="H697">
        <v>3600</v>
      </c>
      <c r="I697">
        <v>1</v>
      </c>
      <c r="J697">
        <f>1</f>
        <v>1</v>
      </c>
      <c r="K697">
        <v>1</v>
      </c>
      <c r="L697">
        <v>0</v>
      </c>
      <c r="M697">
        <f t="shared" ca="1" si="30"/>
        <v>0.68624814623136265</v>
      </c>
      <c r="N697">
        <v>0</v>
      </c>
      <c r="O697">
        <v>0</v>
      </c>
      <c r="P697">
        <f t="shared" ca="1" si="31"/>
        <v>0.85005046763576519</v>
      </c>
      <c r="Q697">
        <f t="shared" si="32"/>
        <v>1</v>
      </c>
    </row>
    <row r="698" spans="1:17" x14ac:dyDescent="0.3">
      <c r="A698" t="s">
        <v>675</v>
      </c>
      <c r="B698" t="s">
        <v>64</v>
      </c>
      <c r="C698">
        <v>8</v>
      </c>
      <c r="D698">
        <v>64400</v>
      </c>
      <c r="E698" t="s">
        <v>1146</v>
      </c>
      <c r="F698">
        <v>7</v>
      </c>
      <c r="G698">
        <v>10</v>
      </c>
      <c r="H698">
        <v>4200</v>
      </c>
      <c r="I698">
        <v>1</v>
      </c>
      <c r="J698">
        <f>1</f>
        <v>1</v>
      </c>
      <c r="K698">
        <v>1</v>
      </c>
      <c r="L698">
        <v>0</v>
      </c>
      <c r="M698">
        <f t="shared" ca="1" si="30"/>
        <v>0.75639470439656309</v>
      </c>
      <c r="N698">
        <v>0</v>
      </c>
      <c r="O698">
        <v>0</v>
      </c>
      <c r="P698">
        <f t="shared" ca="1" si="31"/>
        <v>0.69256731384335513</v>
      </c>
      <c r="Q698">
        <f t="shared" si="32"/>
        <v>1</v>
      </c>
    </row>
    <row r="699" spans="1:17" x14ac:dyDescent="0.3">
      <c r="A699" t="s">
        <v>114</v>
      </c>
      <c r="B699" t="s">
        <v>62</v>
      </c>
      <c r="C699">
        <v>10</v>
      </c>
      <c r="D699">
        <v>20400</v>
      </c>
      <c r="E699" t="s">
        <v>66</v>
      </c>
      <c r="F699">
        <v>22</v>
      </c>
      <c r="G699">
        <v>4.0999999999999996</v>
      </c>
      <c r="H699">
        <v>15400</v>
      </c>
      <c r="I699">
        <v>0</v>
      </c>
      <c r="J699">
        <f>1</f>
        <v>1</v>
      </c>
      <c r="K699">
        <v>1</v>
      </c>
      <c r="L699">
        <v>0</v>
      </c>
      <c r="M699">
        <f t="shared" ca="1" si="30"/>
        <v>0.91789913931457201</v>
      </c>
      <c r="N699">
        <v>0</v>
      </c>
      <c r="O699">
        <v>0</v>
      </c>
      <c r="P699">
        <f t="shared" ca="1" si="31"/>
        <v>1.4256156523122177E-2</v>
      </c>
      <c r="Q699">
        <f t="shared" si="32"/>
        <v>1</v>
      </c>
    </row>
    <row r="700" spans="1:17" x14ac:dyDescent="0.3">
      <c r="A700" t="s">
        <v>236</v>
      </c>
      <c r="B700" t="s">
        <v>65</v>
      </c>
      <c r="C700">
        <v>6</v>
      </c>
      <c r="D700">
        <v>38700</v>
      </c>
      <c r="E700" t="s">
        <v>67</v>
      </c>
      <c r="F700">
        <v>108</v>
      </c>
      <c r="G700">
        <v>0.9</v>
      </c>
      <c r="H700">
        <v>3900</v>
      </c>
      <c r="I700">
        <v>0</v>
      </c>
      <c r="J700">
        <f>1</f>
        <v>1</v>
      </c>
      <c r="K700">
        <v>1</v>
      </c>
      <c r="L700">
        <v>0</v>
      </c>
      <c r="M700">
        <f t="shared" ca="1" si="30"/>
        <v>0.23379847324646563</v>
      </c>
      <c r="N700">
        <v>0</v>
      </c>
      <c r="O700">
        <v>0</v>
      </c>
      <c r="P700">
        <f t="shared" ca="1" si="31"/>
        <v>0.90476593044340792</v>
      </c>
      <c r="Q700">
        <f t="shared" si="32"/>
        <v>1</v>
      </c>
    </row>
    <row r="701" spans="1:17" x14ac:dyDescent="0.3">
      <c r="A701" t="s">
        <v>468</v>
      </c>
      <c r="B701" t="s">
        <v>62</v>
      </c>
      <c r="C701">
        <v>8</v>
      </c>
      <c r="D701">
        <v>110700</v>
      </c>
      <c r="E701" t="s">
        <v>68</v>
      </c>
      <c r="F701">
        <v>36</v>
      </c>
      <c r="G701">
        <v>5.4</v>
      </c>
      <c r="H701">
        <v>9200</v>
      </c>
      <c r="I701">
        <v>0</v>
      </c>
      <c r="J701">
        <f>1</f>
        <v>1</v>
      </c>
      <c r="K701">
        <v>1</v>
      </c>
      <c r="L701">
        <v>0</v>
      </c>
      <c r="M701">
        <f t="shared" ca="1" si="30"/>
        <v>0.5944565640287911</v>
      </c>
      <c r="N701">
        <v>0</v>
      </c>
      <c r="O701">
        <v>0</v>
      </c>
      <c r="P701">
        <f t="shared" ca="1" si="31"/>
        <v>0.75325801106264223</v>
      </c>
      <c r="Q701">
        <f t="shared" si="32"/>
        <v>1</v>
      </c>
    </row>
    <row r="702" spans="1:17" x14ac:dyDescent="0.3">
      <c r="A702" t="s">
        <v>1110</v>
      </c>
      <c r="B702" t="s">
        <v>62</v>
      </c>
      <c r="C702">
        <v>7</v>
      </c>
      <c r="D702">
        <v>53900</v>
      </c>
      <c r="E702" t="s">
        <v>1146</v>
      </c>
      <c r="F702">
        <v>9</v>
      </c>
      <c r="G702">
        <v>2</v>
      </c>
      <c r="H702">
        <v>300</v>
      </c>
      <c r="I702">
        <v>1</v>
      </c>
      <c r="J702">
        <f>1</f>
        <v>1</v>
      </c>
      <c r="K702">
        <v>1</v>
      </c>
      <c r="L702">
        <v>0</v>
      </c>
      <c r="M702">
        <f t="shared" ca="1" si="30"/>
        <v>0.51908858891215159</v>
      </c>
      <c r="N702">
        <v>0</v>
      </c>
      <c r="O702">
        <v>0</v>
      </c>
      <c r="P702">
        <f t="shared" ca="1" si="31"/>
        <v>0.64799517454734257</v>
      </c>
      <c r="Q702">
        <f t="shared" si="32"/>
        <v>1</v>
      </c>
    </row>
    <row r="703" spans="1:17" x14ac:dyDescent="0.3">
      <c r="A703" t="s">
        <v>711</v>
      </c>
      <c r="B703" t="s">
        <v>62</v>
      </c>
      <c r="C703">
        <v>3</v>
      </c>
      <c r="D703">
        <v>16600</v>
      </c>
      <c r="E703" t="s">
        <v>1146</v>
      </c>
      <c r="F703">
        <v>10</v>
      </c>
      <c r="G703">
        <v>2.9</v>
      </c>
      <c r="H703">
        <v>1900</v>
      </c>
      <c r="I703">
        <v>1</v>
      </c>
      <c r="J703">
        <f>1</f>
        <v>1</v>
      </c>
      <c r="K703">
        <v>1</v>
      </c>
      <c r="L703">
        <v>0</v>
      </c>
      <c r="M703">
        <f t="shared" ca="1" si="30"/>
        <v>0.88610280076126757</v>
      </c>
      <c r="N703">
        <v>0</v>
      </c>
      <c r="O703">
        <v>0</v>
      </c>
      <c r="P703">
        <f t="shared" ca="1" si="31"/>
        <v>0.10709419914890028</v>
      </c>
      <c r="Q703">
        <f t="shared" si="32"/>
        <v>1</v>
      </c>
    </row>
    <row r="704" spans="1:17" x14ac:dyDescent="0.3">
      <c r="A704" t="s">
        <v>1089</v>
      </c>
      <c r="B704" t="s">
        <v>65</v>
      </c>
      <c r="C704">
        <v>3</v>
      </c>
      <c r="D704">
        <v>48600</v>
      </c>
      <c r="E704" t="s">
        <v>1146</v>
      </c>
      <c r="F704">
        <v>7</v>
      </c>
      <c r="G704">
        <v>3.5</v>
      </c>
      <c r="H704">
        <v>8400</v>
      </c>
      <c r="I704">
        <v>1</v>
      </c>
      <c r="J704">
        <f>1</f>
        <v>1</v>
      </c>
      <c r="K704">
        <v>1</v>
      </c>
      <c r="L704">
        <v>0</v>
      </c>
      <c r="M704">
        <f t="shared" ca="1" si="30"/>
        <v>0.96114662551224028</v>
      </c>
      <c r="N704">
        <v>0</v>
      </c>
      <c r="O704">
        <v>0</v>
      </c>
      <c r="P704">
        <f t="shared" ca="1" si="31"/>
        <v>0.94572022552950052</v>
      </c>
      <c r="Q704">
        <f t="shared" si="32"/>
        <v>1</v>
      </c>
    </row>
    <row r="705" spans="1:17" x14ac:dyDescent="0.3">
      <c r="A705" t="s">
        <v>331</v>
      </c>
      <c r="B705" t="s">
        <v>64</v>
      </c>
      <c r="C705">
        <v>4</v>
      </c>
      <c r="D705">
        <v>24200</v>
      </c>
      <c r="E705" t="s">
        <v>67</v>
      </c>
      <c r="F705">
        <v>90</v>
      </c>
      <c r="G705">
        <v>10.1</v>
      </c>
      <c r="H705">
        <v>2900</v>
      </c>
      <c r="I705">
        <v>0</v>
      </c>
      <c r="J705">
        <f>1</f>
        <v>1</v>
      </c>
      <c r="K705">
        <v>1</v>
      </c>
      <c r="L705">
        <v>0</v>
      </c>
      <c r="M705">
        <f t="shared" ca="1" si="30"/>
        <v>0.2325684724967414</v>
      </c>
      <c r="N705">
        <v>0</v>
      </c>
      <c r="O705">
        <v>0</v>
      </c>
      <c r="P705">
        <f t="shared" ca="1" si="31"/>
        <v>0.73812613025742269</v>
      </c>
      <c r="Q705">
        <f t="shared" si="32"/>
        <v>1</v>
      </c>
    </row>
    <row r="706" spans="1:17" x14ac:dyDescent="0.3">
      <c r="A706" t="s">
        <v>882</v>
      </c>
      <c r="B706" t="s">
        <v>64</v>
      </c>
      <c r="C706">
        <v>5</v>
      </c>
      <c r="D706">
        <v>66100</v>
      </c>
      <c r="E706" t="s">
        <v>1146</v>
      </c>
      <c r="F706">
        <v>7</v>
      </c>
      <c r="G706">
        <v>9.1</v>
      </c>
      <c r="H706">
        <v>6300</v>
      </c>
      <c r="I706">
        <v>1</v>
      </c>
      <c r="J706">
        <f>1</f>
        <v>1</v>
      </c>
      <c r="K706">
        <v>1</v>
      </c>
      <c r="L706">
        <v>0</v>
      </c>
      <c r="M706">
        <f t="shared" ref="M706:M769" ca="1" si="33">RAND()</f>
        <v>0.14838524808154963</v>
      </c>
      <c r="N706">
        <v>0</v>
      </c>
      <c r="O706">
        <v>0</v>
      </c>
      <c r="P706">
        <f t="shared" ref="P706:P769" ca="1" si="34">IF(L706=0,RAND(),"")</f>
        <v>0.83333976534396159</v>
      </c>
      <c r="Q706">
        <f t="shared" si="32"/>
        <v>1</v>
      </c>
    </row>
    <row r="707" spans="1:17" x14ac:dyDescent="0.3">
      <c r="A707" t="s">
        <v>325</v>
      </c>
      <c r="B707" t="s">
        <v>65</v>
      </c>
      <c r="C707">
        <v>4</v>
      </c>
      <c r="D707">
        <v>29900</v>
      </c>
      <c r="E707" t="s">
        <v>66</v>
      </c>
      <c r="F707">
        <v>34</v>
      </c>
      <c r="G707">
        <v>13.9</v>
      </c>
      <c r="H707">
        <v>4600</v>
      </c>
      <c r="I707">
        <v>0</v>
      </c>
      <c r="J707">
        <f>1</f>
        <v>1</v>
      </c>
      <c r="K707">
        <v>1</v>
      </c>
      <c r="L707">
        <v>0</v>
      </c>
      <c r="M707">
        <f t="shared" ca="1" si="33"/>
        <v>0.15312679784749073</v>
      </c>
      <c r="N707">
        <v>0</v>
      </c>
      <c r="O707">
        <v>0</v>
      </c>
      <c r="P707">
        <f t="shared" ca="1" si="34"/>
        <v>0.84472010172716239</v>
      </c>
      <c r="Q707">
        <f t="shared" ref="Q707:Q770" si="35">IF(OR(L707=1,O707=1), 0,1)</f>
        <v>1</v>
      </c>
    </row>
    <row r="708" spans="1:17" x14ac:dyDescent="0.3">
      <c r="A708" t="s">
        <v>203</v>
      </c>
      <c r="B708" t="s">
        <v>513</v>
      </c>
      <c r="C708">
        <v>6</v>
      </c>
      <c r="D708">
        <v>66400</v>
      </c>
      <c r="E708" t="s">
        <v>67</v>
      </c>
      <c r="F708">
        <v>109</v>
      </c>
      <c r="G708">
        <v>7.3</v>
      </c>
      <c r="H708">
        <v>13500</v>
      </c>
      <c r="I708">
        <v>0</v>
      </c>
      <c r="J708">
        <f>1</f>
        <v>1</v>
      </c>
      <c r="K708">
        <v>1</v>
      </c>
      <c r="L708">
        <v>0</v>
      </c>
      <c r="M708">
        <f t="shared" ca="1" si="33"/>
        <v>0.11970321770826164</v>
      </c>
      <c r="N708">
        <v>0</v>
      </c>
      <c r="O708">
        <v>0</v>
      </c>
      <c r="P708">
        <f t="shared" ca="1" si="34"/>
        <v>0.9122933474696564</v>
      </c>
      <c r="Q708">
        <f t="shared" si="35"/>
        <v>1</v>
      </c>
    </row>
    <row r="709" spans="1:17" x14ac:dyDescent="0.3">
      <c r="A709" t="s">
        <v>435</v>
      </c>
      <c r="B709" t="s">
        <v>64</v>
      </c>
      <c r="C709">
        <v>5</v>
      </c>
      <c r="D709">
        <v>24300</v>
      </c>
      <c r="E709" t="s">
        <v>67</v>
      </c>
      <c r="F709">
        <v>66</v>
      </c>
      <c r="G709">
        <v>2.2000000000000002</v>
      </c>
      <c r="H709">
        <v>6300</v>
      </c>
      <c r="I709">
        <v>0</v>
      </c>
      <c r="J709">
        <f>1</f>
        <v>1</v>
      </c>
      <c r="K709">
        <v>1</v>
      </c>
      <c r="L709">
        <v>0</v>
      </c>
      <c r="M709">
        <f t="shared" ca="1" si="33"/>
        <v>0.255561917612522</v>
      </c>
      <c r="N709">
        <v>0</v>
      </c>
      <c r="O709">
        <v>0</v>
      </c>
      <c r="P709">
        <f t="shared" ca="1" si="34"/>
        <v>0.98087631995280078</v>
      </c>
      <c r="Q709">
        <f t="shared" si="35"/>
        <v>1</v>
      </c>
    </row>
    <row r="710" spans="1:17" x14ac:dyDescent="0.3">
      <c r="A710" t="s">
        <v>143</v>
      </c>
      <c r="B710" t="s">
        <v>62</v>
      </c>
      <c r="C710">
        <v>5</v>
      </c>
      <c r="D710">
        <v>69600</v>
      </c>
      <c r="E710" t="s">
        <v>69</v>
      </c>
      <c r="F710">
        <v>14</v>
      </c>
      <c r="G710">
        <v>7.3</v>
      </c>
      <c r="H710">
        <v>9700</v>
      </c>
      <c r="I710">
        <v>0</v>
      </c>
      <c r="J710">
        <f>1</f>
        <v>1</v>
      </c>
      <c r="K710">
        <v>1</v>
      </c>
      <c r="L710">
        <v>0</v>
      </c>
      <c r="M710">
        <f t="shared" ca="1" si="33"/>
        <v>8.3827522177496117E-2</v>
      </c>
      <c r="N710">
        <v>0</v>
      </c>
      <c r="O710">
        <v>0</v>
      </c>
      <c r="P710">
        <f t="shared" ca="1" si="34"/>
        <v>0.57697142131855184</v>
      </c>
      <c r="Q710">
        <f t="shared" si="35"/>
        <v>1</v>
      </c>
    </row>
    <row r="711" spans="1:17" x14ac:dyDescent="0.3">
      <c r="A711" t="s">
        <v>177</v>
      </c>
      <c r="B711" t="s">
        <v>65</v>
      </c>
      <c r="C711">
        <v>6</v>
      </c>
      <c r="D711">
        <v>95700</v>
      </c>
      <c r="E711" t="s">
        <v>69</v>
      </c>
      <c r="F711">
        <v>28</v>
      </c>
      <c r="G711">
        <v>12.8</v>
      </c>
      <c r="H711">
        <v>6200</v>
      </c>
      <c r="I711">
        <v>0</v>
      </c>
      <c r="J711">
        <f>1</f>
        <v>1</v>
      </c>
      <c r="K711">
        <v>1</v>
      </c>
      <c r="L711">
        <v>0</v>
      </c>
      <c r="M711">
        <f t="shared" ca="1" si="33"/>
        <v>0.27191843396065374</v>
      </c>
      <c r="N711">
        <v>0</v>
      </c>
      <c r="O711">
        <v>0</v>
      </c>
      <c r="P711">
        <f t="shared" ca="1" si="34"/>
        <v>0.84275797380360418</v>
      </c>
      <c r="Q711">
        <f t="shared" si="35"/>
        <v>1</v>
      </c>
    </row>
    <row r="712" spans="1:17" x14ac:dyDescent="0.3">
      <c r="A712" t="s">
        <v>1049</v>
      </c>
      <c r="B712" t="s">
        <v>62</v>
      </c>
      <c r="C712">
        <v>9</v>
      </c>
      <c r="D712">
        <v>34300</v>
      </c>
      <c r="E712" t="s">
        <v>1146</v>
      </c>
      <c r="F712">
        <v>6</v>
      </c>
      <c r="G712">
        <v>4.7</v>
      </c>
      <c r="H712">
        <v>5700</v>
      </c>
      <c r="I712">
        <v>1</v>
      </c>
      <c r="J712">
        <f>1</f>
        <v>1</v>
      </c>
      <c r="K712">
        <v>1</v>
      </c>
      <c r="L712">
        <v>0</v>
      </c>
      <c r="M712">
        <f t="shared" ca="1" si="33"/>
        <v>3.5365558412148501E-2</v>
      </c>
      <c r="N712">
        <v>0</v>
      </c>
      <c r="O712">
        <v>0</v>
      </c>
      <c r="P712">
        <f t="shared" ca="1" si="34"/>
        <v>9.2548238974165309E-2</v>
      </c>
      <c r="Q712">
        <f t="shared" si="35"/>
        <v>1</v>
      </c>
    </row>
    <row r="713" spans="1:17" x14ac:dyDescent="0.3">
      <c r="A713" t="s">
        <v>958</v>
      </c>
      <c r="B713" t="s">
        <v>65</v>
      </c>
      <c r="C713">
        <v>6</v>
      </c>
      <c r="D713">
        <v>76500</v>
      </c>
      <c r="E713" t="s">
        <v>1146</v>
      </c>
      <c r="F713">
        <v>10</v>
      </c>
      <c r="G713">
        <v>3.7</v>
      </c>
      <c r="H713">
        <v>11400</v>
      </c>
      <c r="I713">
        <v>1</v>
      </c>
      <c r="J713">
        <f>1</f>
        <v>1</v>
      </c>
      <c r="K713">
        <v>1</v>
      </c>
      <c r="L713">
        <v>0</v>
      </c>
      <c r="M713">
        <f t="shared" ca="1" si="33"/>
        <v>0.98518469298769218</v>
      </c>
      <c r="N713">
        <v>0</v>
      </c>
      <c r="O713">
        <v>0</v>
      </c>
      <c r="P713">
        <f t="shared" ca="1" si="34"/>
        <v>0.58485062535907173</v>
      </c>
      <c r="Q713">
        <f t="shared" si="35"/>
        <v>1</v>
      </c>
    </row>
    <row r="714" spans="1:17" x14ac:dyDescent="0.3">
      <c r="A714" t="s">
        <v>666</v>
      </c>
      <c r="B714" t="s">
        <v>64</v>
      </c>
      <c r="C714">
        <v>7</v>
      </c>
      <c r="D714">
        <v>34100</v>
      </c>
      <c r="E714" t="s">
        <v>1146</v>
      </c>
      <c r="F714">
        <v>9</v>
      </c>
      <c r="G714">
        <v>2.8</v>
      </c>
      <c r="H714">
        <v>0</v>
      </c>
      <c r="I714">
        <v>1</v>
      </c>
      <c r="J714">
        <f>1</f>
        <v>1</v>
      </c>
      <c r="K714">
        <v>1</v>
      </c>
      <c r="L714">
        <v>0</v>
      </c>
      <c r="M714">
        <f t="shared" ca="1" si="33"/>
        <v>0.25619476975414401</v>
      </c>
      <c r="N714">
        <v>0</v>
      </c>
      <c r="O714">
        <v>0</v>
      </c>
      <c r="P714">
        <f t="shared" ca="1" si="34"/>
        <v>0.37339520047822017</v>
      </c>
      <c r="Q714">
        <f t="shared" si="35"/>
        <v>1</v>
      </c>
    </row>
    <row r="715" spans="1:17" x14ac:dyDescent="0.3">
      <c r="A715" t="s">
        <v>584</v>
      </c>
      <c r="B715" t="s">
        <v>513</v>
      </c>
      <c r="C715">
        <v>3</v>
      </c>
      <c r="D715">
        <v>21600</v>
      </c>
      <c r="E715" t="s">
        <v>69</v>
      </c>
      <c r="F715">
        <v>31</v>
      </c>
      <c r="G715">
        <v>14.6</v>
      </c>
      <c r="H715">
        <v>0</v>
      </c>
      <c r="I715">
        <v>0</v>
      </c>
      <c r="J715">
        <f>1</f>
        <v>1</v>
      </c>
      <c r="K715">
        <v>1</v>
      </c>
      <c r="L715">
        <v>0</v>
      </c>
      <c r="M715">
        <f t="shared" ca="1" si="33"/>
        <v>0.43244937508495529</v>
      </c>
      <c r="N715">
        <v>0</v>
      </c>
      <c r="O715">
        <v>0</v>
      </c>
      <c r="P715">
        <f t="shared" ca="1" si="34"/>
        <v>0.64703721649583279</v>
      </c>
      <c r="Q715">
        <f t="shared" si="35"/>
        <v>1</v>
      </c>
    </row>
    <row r="716" spans="1:17" x14ac:dyDescent="0.3">
      <c r="A716" t="s">
        <v>1023</v>
      </c>
      <c r="B716" t="s">
        <v>62</v>
      </c>
      <c r="C716">
        <v>2</v>
      </c>
      <c r="D716">
        <v>28100</v>
      </c>
      <c r="E716" t="s">
        <v>1146</v>
      </c>
      <c r="F716">
        <v>3</v>
      </c>
      <c r="G716">
        <v>3.6</v>
      </c>
      <c r="H716">
        <v>3200</v>
      </c>
      <c r="I716">
        <v>1</v>
      </c>
      <c r="J716">
        <f>1</f>
        <v>1</v>
      </c>
      <c r="K716">
        <v>1</v>
      </c>
      <c r="L716">
        <v>0</v>
      </c>
      <c r="M716">
        <f t="shared" ca="1" si="33"/>
        <v>0.81323628008939541</v>
      </c>
      <c r="N716">
        <v>0</v>
      </c>
      <c r="O716">
        <v>0</v>
      </c>
      <c r="P716">
        <f t="shared" ca="1" si="34"/>
        <v>0.94115100371166993</v>
      </c>
      <c r="Q716">
        <f t="shared" si="35"/>
        <v>1</v>
      </c>
    </row>
    <row r="717" spans="1:17" x14ac:dyDescent="0.3">
      <c r="A717" t="s">
        <v>1027</v>
      </c>
      <c r="B717" t="s">
        <v>65</v>
      </c>
      <c r="C717">
        <v>3</v>
      </c>
      <c r="D717">
        <v>20200</v>
      </c>
      <c r="E717" t="s">
        <v>1146</v>
      </c>
      <c r="F717">
        <v>10</v>
      </c>
      <c r="G717">
        <v>7.3</v>
      </c>
      <c r="H717">
        <v>1700</v>
      </c>
      <c r="I717">
        <v>1</v>
      </c>
      <c r="J717">
        <f>1</f>
        <v>1</v>
      </c>
      <c r="K717">
        <v>1</v>
      </c>
      <c r="L717">
        <v>0</v>
      </c>
      <c r="M717">
        <f t="shared" ca="1" si="33"/>
        <v>0.30783710970614953</v>
      </c>
      <c r="N717">
        <v>0</v>
      </c>
      <c r="O717">
        <v>0</v>
      </c>
      <c r="P717">
        <f t="shared" ca="1" si="34"/>
        <v>0.19327381631388607</v>
      </c>
      <c r="Q717">
        <f t="shared" si="35"/>
        <v>1</v>
      </c>
    </row>
    <row r="718" spans="1:17" x14ac:dyDescent="0.3">
      <c r="A718" t="s">
        <v>157</v>
      </c>
      <c r="B718" t="s">
        <v>65</v>
      </c>
      <c r="C718">
        <v>4</v>
      </c>
      <c r="D718">
        <v>28300</v>
      </c>
      <c r="E718" t="s">
        <v>66</v>
      </c>
      <c r="F718">
        <v>32</v>
      </c>
      <c r="G718">
        <v>9.8000000000000007</v>
      </c>
      <c r="H718">
        <v>14100</v>
      </c>
      <c r="I718">
        <v>0</v>
      </c>
      <c r="J718">
        <f>1</f>
        <v>1</v>
      </c>
      <c r="K718">
        <v>1</v>
      </c>
      <c r="L718">
        <v>0</v>
      </c>
      <c r="M718">
        <f t="shared" ca="1" si="33"/>
        <v>0.16208391703376701</v>
      </c>
      <c r="N718">
        <v>0</v>
      </c>
      <c r="O718">
        <v>0</v>
      </c>
      <c r="P718">
        <f t="shared" ca="1" si="34"/>
        <v>0.67074722682349752</v>
      </c>
      <c r="Q718">
        <f t="shared" si="35"/>
        <v>1</v>
      </c>
    </row>
    <row r="719" spans="1:17" x14ac:dyDescent="0.3">
      <c r="A719" t="s">
        <v>514</v>
      </c>
      <c r="B719" t="s">
        <v>65</v>
      </c>
      <c r="C719">
        <v>5</v>
      </c>
      <c r="D719">
        <v>31900</v>
      </c>
      <c r="E719" t="s">
        <v>67</v>
      </c>
      <c r="F719">
        <v>56</v>
      </c>
      <c r="G719">
        <v>13.9</v>
      </c>
      <c r="H719">
        <v>2700</v>
      </c>
      <c r="I719">
        <v>0</v>
      </c>
      <c r="J719">
        <f>1</f>
        <v>1</v>
      </c>
      <c r="K719">
        <v>1</v>
      </c>
      <c r="L719">
        <v>0</v>
      </c>
      <c r="M719">
        <f t="shared" ca="1" si="33"/>
        <v>0.75536923891311825</v>
      </c>
      <c r="N719">
        <v>0</v>
      </c>
      <c r="O719">
        <v>0</v>
      </c>
      <c r="P719">
        <f t="shared" ca="1" si="34"/>
        <v>3.3990339092852651E-2</v>
      </c>
      <c r="Q719">
        <f t="shared" si="35"/>
        <v>1</v>
      </c>
    </row>
    <row r="720" spans="1:17" x14ac:dyDescent="0.3">
      <c r="A720" t="s">
        <v>617</v>
      </c>
      <c r="B720" t="s">
        <v>513</v>
      </c>
      <c r="C720">
        <v>1</v>
      </c>
      <c r="D720">
        <v>57900</v>
      </c>
      <c r="E720" t="s">
        <v>66</v>
      </c>
      <c r="F720">
        <v>44</v>
      </c>
      <c r="G720">
        <v>7</v>
      </c>
      <c r="H720">
        <v>900</v>
      </c>
      <c r="I720">
        <v>0</v>
      </c>
      <c r="J720">
        <f>1</f>
        <v>1</v>
      </c>
      <c r="K720">
        <v>1</v>
      </c>
      <c r="L720">
        <v>0</v>
      </c>
      <c r="M720">
        <f t="shared" ca="1" si="33"/>
        <v>0.68572617982735329</v>
      </c>
      <c r="N720">
        <v>0</v>
      </c>
      <c r="O720">
        <v>0</v>
      </c>
      <c r="P720">
        <f t="shared" ca="1" si="34"/>
        <v>0.10359813296101439</v>
      </c>
      <c r="Q720">
        <f t="shared" si="35"/>
        <v>1</v>
      </c>
    </row>
    <row r="721" spans="1:17" x14ac:dyDescent="0.3">
      <c r="A721" t="s">
        <v>673</v>
      </c>
      <c r="B721" t="s">
        <v>513</v>
      </c>
      <c r="C721">
        <v>7</v>
      </c>
      <c r="D721">
        <v>36400</v>
      </c>
      <c r="E721" t="s">
        <v>1146</v>
      </c>
      <c r="F721">
        <v>10</v>
      </c>
      <c r="G721">
        <v>1.7</v>
      </c>
      <c r="H721">
        <v>8000</v>
      </c>
      <c r="I721">
        <v>1</v>
      </c>
      <c r="J721">
        <f>1</f>
        <v>1</v>
      </c>
      <c r="K721">
        <v>1</v>
      </c>
      <c r="L721">
        <v>0</v>
      </c>
      <c r="M721">
        <f t="shared" ca="1" si="33"/>
        <v>0.45650655052113964</v>
      </c>
      <c r="N721">
        <v>0</v>
      </c>
      <c r="O721">
        <v>0</v>
      </c>
      <c r="P721">
        <f t="shared" ca="1" si="34"/>
        <v>4.504032671522884E-2</v>
      </c>
      <c r="Q721">
        <f t="shared" si="35"/>
        <v>1</v>
      </c>
    </row>
    <row r="722" spans="1:17" x14ac:dyDescent="0.3">
      <c r="A722" t="s">
        <v>308</v>
      </c>
      <c r="B722" t="s">
        <v>64</v>
      </c>
      <c r="C722">
        <v>8</v>
      </c>
      <c r="D722">
        <v>25300</v>
      </c>
      <c r="E722" t="s">
        <v>69</v>
      </c>
      <c r="F722">
        <v>24</v>
      </c>
      <c r="G722">
        <v>10.4</v>
      </c>
      <c r="H722">
        <v>4500</v>
      </c>
      <c r="I722">
        <v>0</v>
      </c>
      <c r="J722">
        <f>1</f>
        <v>1</v>
      </c>
      <c r="K722">
        <v>1</v>
      </c>
      <c r="L722">
        <v>0</v>
      </c>
      <c r="M722">
        <f t="shared" ca="1" si="33"/>
        <v>0.30022294003059657</v>
      </c>
      <c r="N722">
        <v>0</v>
      </c>
      <c r="O722">
        <v>0</v>
      </c>
      <c r="P722">
        <f t="shared" ca="1" si="34"/>
        <v>0.14655422327920786</v>
      </c>
      <c r="Q722">
        <f t="shared" si="35"/>
        <v>1</v>
      </c>
    </row>
    <row r="723" spans="1:17" x14ac:dyDescent="0.3">
      <c r="A723" t="s">
        <v>399</v>
      </c>
      <c r="B723" t="s">
        <v>64</v>
      </c>
      <c r="C723">
        <v>6</v>
      </c>
      <c r="D723">
        <v>26400</v>
      </c>
      <c r="E723" t="s">
        <v>68</v>
      </c>
      <c r="F723">
        <v>41</v>
      </c>
      <c r="G723">
        <v>7.2</v>
      </c>
      <c r="H723">
        <v>4100</v>
      </c>
      <c r="I723">
        <v>0</v>
      </c>
      <c r="J723">
        <f>1</f>
        <v>1</v>
      </c>
      <c r="K723">
        <v>1</v>
      </c>
      <c r="L723">
        <v>0</v>
      </c>
      <c r="M723">
        <f t="shared" ca="1" si="33"/>
        <v>0.60774320021434813</v>
      </c>
      <c r="N723">
        <v>0</v>
      </c>
      <c r="O723">
        <v>0</v>
      </c>
      <c r="P723">
        <f t="shared" ca="1" si="34"/>
        <v>0.40243998335649822</v>
      </c>
      <c r="Q723">
        <f t="shared" si="35"/>
        <v>1</v>
      </c>
    </row>
    <row r="724" spans="1:17" x14ac:dyDescent="0.3">
      <c r="A724" t="s">
        <v>113</v>
      </c>
      <c r="B724" t="s">
        <v>65</v>
      </c>
      <c r="C724">
        <v>9</v>
      </c>
      <c r="D724">
        <v>98700</v>
      </c>
      <c r="E724" t="s">
        <v>67</v>
      </c>
      <c r="F724">
        <v>72</v>
      </c>
      <c r="G724">
        <v>3.2</v>
      </c>
      <c r="H724">
        <v>12200</v>
      </c>
      <c r="I724">
        <v>0</v>
      </c>
      <c r="J724">
        <f>1</f>
        <v>1</v>
      </c>
      <c r="K724">
        <v>1</v>
      </c>
      <c r="L724">
        <v>0</v>
      </c>
      <c r="M724">
        <f t="shared" ca="1" si="33"/>
        <v>0.9549247755641771</v>
      </c>
      <c r="N724">
        <v>0</v>
      </c>
      <c r="O724">
        <v>0</v>
      </c>
      <c r="P724">
        <f t="shared" ca="1" si="34"/>
        <v>0.51149130286591793</v>
      </c>
      <c r="Q724">
        <f t="shared" si="35"/>
        <v>1</v>
      </c>
    </row>
    <row r="725" spans="1:17" x14ac:dyDescent="0.3">
      <c r="A725" t="s">
        <v>549</v>
      </c>
      <c r="B725" t="s">
        <v>65</v>
      </c>
      <c r="C725">
        <v>7</v>
      </c>
      <c r="D725">
        <v>71500</v>
      </c>
      <c r="E725" t="s">
        <v>67</v>
      </c>
      <c r="F725">
        <v>59</v>
      </c>
      <c r="G725">
        <v>11.6</v>
      </c>
      <c r="H725">
        <v>13100</v>
      </c>
      <c r="I725">
        <v>0</v>
      </c>
      <c r="J725">
        <f>1</f>
        <v>1</v>
      </c>
      <c r="K725">
        <v>1</v>
      </c>
      <c r="L725">
        <v>0</v>
      </c>
      <c r="M725">
        <f t="shared" ca="1" si="33"/>
        <v>0.19170412109821666</v>
      </c>
      <c r="N725">
        <v>0</v>
      </c>
      <c r="O725">
        <v>0</v>
      </c>
      <c r="P725">
        <f t="shared" ca="1" si="34"/>
        <v>0.66669738059639028</v>
      </c>
      <c r="Q725">
        <f t="shared" si="35"/>
        <v>1</v>
      </c>
    </row>
    <row r="726" spans="1:17" x14ac:dyDescent="0.3">
      <c r="A726" t="s">
        <v>162</v>
      </c>
      <c r="B726" t="s">
        <v>513</v>
      </c>
      <c r="C726">
        <v>1</v>
      </c>
      <c r="D726">
        <v>49600</v>
      </c>
      <c r="E726" t="s">
        <v>69</v>
      </c>
      <c r="F726">
        <v>20</v>
      </c>
      <c r="G726">
        <v>2.2000000000000002</v>
      </c>
      <c r="H726">
        <v>11200</v>
      </c>
      <c r="I726">
        <v>0</v>
      </c>
      <c r="J726">
        <f>1</f>
        <v>1</v>
      </c>
      <c r="K726">
        <v>1</v>
      </c>
      <c r="L726">
        <v>0</v>
      </c>
      <c r="M726">
        <f t="shared" ca="1" si="33"/>
        <v>0.12190807166350315</v>
      </c>
      <c r="N726">
        <v>0</v>
      </c>
      <c r="O726">
        <v>0</v>
      </c>
      <c r="P726">
        <f t="shared" ca="1" si="34"/>
        <v>0.94585921647658155</v>
      </c>
      <c r="Q726">
        <f t="shared" si="35"/>
        <v>1</v>
      </c>
    </row>
    <row r="727" spans="1:17" x14ac:dyDescent="0.3">
      <c r="A727" t="s">
        <v>916</v>
      </c>
      <c r="B727" t="s">
        <v>64</v>
      </c>
      <c r="C727">
        <v>7</v>
      </c>
      <c r="D727">
        <v>59800</v>
      </c>
      <c r="E727" t="s">
        <v>68</v>
      </c>
      <c r="F727">
        <v>48</v>
      </c>
      <c r="G727">
        <v>7</v>
      </c>
      <c r="H727">
        <v>6600</v>
      </c>
      <c r="I727">
        <v>1</v>
      </c>
      <c r="J727">
        <f>1</f>
        <v>1</v>
      </c>
      <c r="K727">
        <v>1</v>
      </c>
      <c r="L727">
        <v>0</v>
      </c>
      <c r="M727">
        <f t="shared" ca="1" si="33"/>
        <v>0.72301482096069059</v>
      </c>
      <c r="N727">
        <v>0</v>
      </c>
      <c r="O727">
        <v>0</v>
      </c>
      <c r="P727">
        <f t="shared" ca="1" si="34"/>
        <v>9.5829623726155999E-2</v>
      </c>
      <c r="Q727">
        <f t="shared" si="35"/>
        <v>1</v>
      </c>
    </row>
    <row r="728" spans="1:17" x14ac:dyDescent="0.3">
      <c r="A728" t="s">
        <v>286</v>
      </c>
      <c r="B728" t="s">
        <v>64</v>
      </c>
      <c r="C728">
        <v>7</v>
      </c>
      <c r="D728">
        <v>23900</v>
      </c>
      <c r="E728" t="s">
        <v>69</v>
      </c>
      <c r="F728">
        <v>54</v>
      </c>
      <c r="G728">
        <v>7.1</v>
      </c>
      <c r="H728">
        <v>7500</v>
      </c>
      <c r="I728">
        <v>0</v>
      </c>
      <c r="J728">
        <f>1</f>
        <v>1</v>
      </c>
      <c r="K728">
        <v>1</v>
      </c>
      <c r="L728">
        <v>0</v>
      </c>
      <c r="M728">
        <f t="shared" ca="1" si="33"/>
        <v>0.86436559639962152</v>
      </c>
      <c r="N728">
        <v>0</v>
      </c>
      <c r="O728">
        <v>0</v>
      </c>
      <c r="P728">
        <f t="shared" ca="1" si="34"/>
        <v>0.90816446793816641</v>
      </c>
      <c r="Q728">
        <f t="shared" si="35"/>
        <v>1</v>
      </c>
    </row>
    <row r="729" spans="1:17" x14ac:dyDescent="0.3">
      <c r="A729" t="s">
        <v>748</v>
      </c>
      <c r="B729" t="s">
        <v>64</v>
      </c>
      <c r="C729">
        <v>7</v>
      </c>
      <c r="D729">
        <v>163100</v>
      </c>
      <c r="E729" t="s">
        <v>1146</v>
      </c>
      <c r="F729">
        <v>9</v>
      </c>
      <c r="G729">
        <v>4.5999999999999996</v>
      </c>
      <c r="H729">
        <v>3000</v>
      </c>
      <c r="I729">
        <v>1</v>
      </c>
      <c r="J729">
        <f>1</f>
        <v>1</v>
      </c>
      <c r="K729">
        <v>1</v>
      </c>
      <c r="L729">
        <v>0</v>
      </c>
      <c r="M729">
        <f t="shared" ca="1" si="33"/>
        <v>0.86942866462621471</v>
      </c>
      <c r="N729">
        <v>0</v>
      </c>
      <c r="O729">
        <v>0</v>
      </c>
      <c r="P729">
        <f t="shared" ca="1" si="34"/>
        <v>0.96063485032633089</v>
      </c>
      <c r="Q729">
        <f t="shared" si="35"/>
        <v>1</v>
      </c>
    </row>
    <row r="730" spans="1:17" x14ac:dyDescent="0.3">
      <c r="A730" t="s">
        <v>358</v>
      </c>
      <c r="B730" t="s">
        <v>64</v>
      </c>
      <c r="C730">
        <v>6</v>
      </c>
      <c r="D730">
        <v>145500</v>
      </c>
      <c r="E730" t="s">
        <v>66</v>
      </c>
      <c r="F730">
        <v>65</v>
      </c>
      <c r="G730">
        <v>11.3</v>
      </c>
      <c r="H730">
        <v>9200</v>
      </c>
      <c r="I730">
        <v>0</v>
      </c>
      <c r="J730">
        <f>1</f>
        <v>1</v>
      </c>
      <c r="K730">
        <v>1</v>
      </c>
      <c r="L730">
        <v>0</v>
      </c>
      <c r="M730">
        <f t="shared" ca="1" si="33"/>
        <v>0.89308506078293903</v>
      </c>
      <c r="N730">
        <v>0</v>
      </c>
      <c r="O730">
        <v>0</v>
      </c>
      <c r="P730">
        <f t="shared" ca="1" si="34"/>
        <v>0.46170267579378921</v>
      </c>
      <c r="Q730">
        <f t="shared" si="35"/>
        <v>1</v>
      </c>
    </row>
    <row r="731" spans="1:17" x14ac:dyDescent="0.3">
      <c r="A731" t="s">
        <v>820</v>
      </c>
      <c r="B731" t="s">
        <v>62</v>
      </c>
      <c r="C731">
        <v>7</v>
      </c>
      <c r="D731">
        <v>46500</v>
      </c>
      <c r="E731" t="s">
        <v>1146</v>
      </c>
      <c r="F731">
        <v>8</v>
      </c>
      <c r="G731">
        <v>8.3000000000000007</v>
      </c>
      <c r="H731">
        <v>800</v>
      </c>
      <c r="I731">
        <v>1</v>
      </c>
      <c r="J731">
        <f>1</f>
        <v>1</v>
      </c>
      <c r="K731">
        <v>1</v>
      </c>
      <c r="L731">
        <v>0</v>
      </c>
      <c r="M731">
        <f t="shared" ca="1" si="33"/>
        <v>0.1256484870845227</v>
      </c>
      <c r="N731">
        <v>0</v>
      </c>
      <c r="O731">
        <v>0</v>
      </c>
      <c r="P731">
        <f t="shared" ca="1" si="34"/>
        <v>5.8221583688072953E-2</v>
      </c>
      <c r="Q731">
        <f t="shared" si="35"/>
        <v>1</v>
      </c>
    </row>
    <row r="732" spans="1:17" x14ac:dyDescent="0.3">
      <c r="A732" t="s">
        <v>835</v>
      </c>
      <c r="B732" t="s">
        <v>62</v>
      </c>
      <c r="C732">
        <v>4</v>
      </c>
      <c r="D732">
        <v>35600</v>
      </c>
      <c r="E732" t="s">
        <v>1146</v>
      </c>
      <c r="F732">
        <v>0</v>
      </c>
      <c r="G732">
        <v>2.2999999999999998</v>
      </c>
      <c r="H732">
        <v>700</v>
      </c>
      <c r="I732">
        <v>1</v>
      </c>
      <c r="J732">
        <f>1</f>
        <v>1</v>
      </c>
      <c r="K732">
        <v>1</v>
      </c>
      <c r="L732">
        <v>0</v>
      </c>
      <c r="M732">
        <f t="shared" ca="1" si="33"/>
        <v>0.96322993504863019</v>
      </c>
      <c r="N732">
        <v>0</v>
      </c>
      <c r="O732">
        <v>0</v>
      </c>
      <c r="P732">
        <f t="shared" ca="1" si="34"/>
        <v>0.48342864803164243</v>
      </c>
      <c r="Q732">
        <f t="shared" si="35"/>
        <v>1</v>
      </c>
    </row>
    <row r="733" spans="1:17" x14ac:dyDescent="0.3">
      <c r="A733" t="s">
        <v>565</v>
      </c>
      <c r="B733" t="s">
        <v>513</v>
      </c>
      <c r="C733">
        <v>5</v>
      </c>
      <c r="D733">
        <v>16700</v>
      </c>
      <c r="E733" t="s">
        <v>68</v>
      </c>
      <c r="F733">
        <v>50</v>
      </c>
      <c r="G733">
        <v>1</v>
      </c>
      <c r="H733">
        <v>5100</v>
      </c>
      <c r="I733">
        <v>0</v>
      </c>
      <c r="J733">
        <f>1</f>
        <v>1</v>
      </c>
      <c r="K733">
        <v>1</v>
      </c>
      <c r="L733">
        <v>0</v>
      </c>
      <c r="M733">
        <f t="shared" ca="1" si="33"/>
        <v>0.64865758499144699</v>
      </c>
      <c r="N733">
        <v>0</v>
      </c>
      <c r="O733">
        <v>0</v>
      </c>
      <c r="P733">
        <f t="shared" ca="1" si="34"/>
        <v>0.10128573121411688</v>
      </c>
      <c r="Q733">
        <f t="shared" si="35"/>
        <v>1</v>
      </c>
    </row>
    <row r="734" spans="1:17" x14ac:dyDescent="0.3">
      <c r="A734" t="s">
        <v>372</v>
      </c>
      <c r="B734" t="s">
        <v>513</v>
      </c>
      <c r="C734">
        <v>8</v>
      </c>
      <c r="D734">
        <v>36800</v>
      </c>
      <c r="E734" t="s">
        <v>69</v>
      </c>
      <c r="F734">
        <v>46</v>
      </c>
      <c r="G734">
        <v>5.9</v>
      </c>
      <c r="H734">
        <v>6900</v>
      </c>
      <c r="I734">
        <v>0</v>
      </c>
      <c r="J734">
        <f>1</f>
        <v>1</v>
      </c>
      <c r="K734">
        <v>1</v>
      </c>
      <c r="L734">
        <v>0</v>
      </c>
      <c r="M734">
        <f t="shared" ca="1" si="33"/>
        <v>0.33380136705462149</v>
      </c>
      <c r="N734">
        <v>0</v>
      </c>
      <c r="O734">
        <v>0</v>
      </c>
      <c r="P734">
        <f t="shared" ca="1" si="34"/>
        <v>0.26006000586790612</v>
      </c>
      <c r="Q734">
        <f t="shared" si="35"/>
        <v>1</v>
      </c>
    </row>
    <row r="735" spans="1:17" x14ac:dyDescent="0.3">
      <c r="A735" t="s">
        <v>1031</v>
      </c>
      <c r="B735" t="s">
        <v>513</v>
      </c>
      <c r="C735">
        <v>6</v>
      </c>
      <c r="D735">
        <v>63000</v>
      </c>
      <c r="E735" t="s">
        <v>1146</v>
      </c>
      <c r="F735">
        <v>10</v>
      </c>
      <c r="G735">
        <v>11</v>
      </c>
      <c r="H735">
        <v>5000</v>
      </c>
      <c r="I735">
        <v>1</v>
      </c>
      <c r="J735">
        <f>1</f>
        <v>1</v>
      </c>
      <c r="K735">
        <v>1</v>
      </c>
      <c r="L735">
        <v>0</v>
      </c>
      <c r="M735">
        <f t="shared" ca="1" si="33"/>
        <v>0.51170290338129321</v>
      </c>
      <c r="N735">
        <v>0</v>
      </c>
      <c r="O735">
        <v>0</v>
      </c>
      <c r="P735">
        <f t="shared" ca="1" si="34"/>
        <v>0.80195205770184896</v>
      </c>
      <c r="Q735">
        <f t="shared" si="35"/>
        <v>1</v>
      </c>
    </row>
    <row r="736" spans="1:17" x14ac:dyDescent="0.3">
      <c r="A736" t="s">
        <v>231</v>
      </c>
      <c r="B736" t="s">
        <v>513</v>
      </c>
      <c r="C736">
        <v>5</v>
      </c>
      <c r="D736">
        <v>60800</v>
      </c>
      <c r="E736" t="s">
        <v>69</v>
      </c>
      <c r="F736">
        <v>54</v>
      </c>
      <c r="G736">
        <v>5.9</v>
      </c>
      <c r="H736">
        <v>3700</v>
      </c>
      <c r="I736">
        <v>0</v>
      </c>
      <c r="J736">
        <f>1</f>
        <v>1</v>
      </c>
      <c r="K736">
        <v>1</v>
      </c>
      <c r="L736">
        <v>0</v>
      </c>
      <c r="M736">
        <f t="shared" ca="1" si="33"/>
        <v>0.8559094798315755</v>
      </c>
      <c r="N736">
        <v>0</v>
      </c>
      <c r="O736">
        <v>0</v>
      </c>
      <c r="P736">
        <f t="shared" ca="1" si="34"/>
        <v>0.11256126692698287</v>
      </c>
      <c r="Q736">
        <f t="shared" si="35"/>
        <v>1</v>
      </c>
    </row>
    <row r="737" spans="1:17" x14ac:dyDescent="0.3">
      <c r="A737" t="s">
        <v>560</v>
      </c>
      <c r="B737" t="s">
        <v>513</v>
      </c>
      <c r="C737">
        <v>2</v>
      </c>
      <c r="D737">
        <v>35400</v>
      </c>
      <c r="E737" t="s">
        <v>68</v>
      </c>
      <c r="F737">
        <v>59</v>
      </c>
      <c r="G737">
        <v>12.4</v>
      </c>
      <c r="H737">
        <v>9500</v>
      </c>
      <c r="I737">
        <v>0</v>
      </c>
      <c r="J737">
        <f>1</f>
        <v>1</v>
      </c>
      <c r="K737">
        <v>1</v>
      </c>
      <c r="L737">
        <v>0</v>
      </c>
      <c r="M737">
        <f t="shared" ca="1" si="33"/>
        <v>5.7257714504313384E-2</v>
      </c>
      <c r="N737">
        <v>0</v>
      </c>
      <c r="O737">
        <v>0</v>
      </c>
      <c r="P737">
        <f t="shared" ca="1" si="34"/>
        <v>0.96216155955786553</v>
      </c>
      <c r="Q737">
        <f t="shared" si="35"/>
        <v>1</v>
      </c>
    </row>
    <row r="738" spans="1:17" x14ac:dyDescent="0.3">
      <c r="A738" t="s">
        <v>868</v>
      </c>
      <c r="B738" t="s">
        <v>65</v>
      </c>
      <c r="C738">
        <v>5</v>
      </c>
      <c r="D738">
        <v>64400</v>
      </c>
      <c r="E738" t="s">
        <v>1146</v>
      </c>
      <c r="F738">
        <v>4</v>
      </c>
      <c r="G738">
        <v>13.1</v>
      </c>
      <c r="H738">
        <v>7300</v>
      </c>
      <c r="I738">
        <v>1</v>
      </c>
      <c r="J738">
        <f>1</f>
        <v>1</v>
      </c>
      <c r="K738">
        <v>1</v>
      </c>
      <c r="L738">
        <v>0</v>
      </c>
      <c r="M738">
        <f t="shared" ca="1" si="33"/>
        <v>0.19126153926190159</v>
      </c>
      <c r="N738">
        <v>0</v>
      </c>
      <c r="O738">
        <v>0</v>
      </c>
      <c r="P738">
        <f t="shared" ca="1" si="34"/>
        <v>0.46668398564911995</v>
      </c>
      <c r="Q738">
        <f t="shared" si="35"/>
        <v>1</v>
      </c>
    </row>
    <row r="739" spans="1:17" x14ac:dyDescent="0.3">
      <c r="A739" t="s">
        <v>955</v>
      </c>
      <c r="B739" t="s">
        <v>513</v>
      </c>
      <c r="C739">
        <v>6</v>
      </c>
      <c r="D739">
        <v>20400</v>
      </c>
      <c r="E739" t="s">
        <v>1146</v>
      </c>
      <c r="F739">
        <v>7</v>
      </c>
      <c r="G739">
        <v>14.9</v>
      </c>
      <c r="H739">
        <v>1400</v>
      </c>
      <c r="I739">
        <v>1</v>
      </c>
      <c r="J739">
        <f>1</f>
        <v>1</v>
      </c>
      <c r="K739">
        <v>1</v>
      </c>
      <c r="L739">
        <v>0</v>
      </c>
      <c r="M739">
        <f t="shared" ca="1" si="33"/>
        <v>0.98086023139779421</v>
      </c>
      <c r="N739">
        <v>0</v>
      </c>
      <c r="O739">
        <v>0</v>
      </c>
      <c r="P739">
        <f t="shared" ca="1" si="34"/>
        <v>5.6377426743092873E-2</v>
      </c>
      <c r="Q739">
        <f t="shared" si="35"/>
        <v>1</v>
      </c>
    </row>
    <row r="740" spans="1:17" x14ac:dyDescent="0.3">
      <c r="A740" t="s">
        <v>1010</v>
      </c>
      <c r="B740" t="s">
        <v>64</v>
      </c>
      <c r="C740">
        <v>7</v>
      </c>
      <c r="D740">
        <v>72200</v>
      </c>
      <c r="E740" t="s">
        <v>1146</v>
      </c>
      <c r="F740">
        <v>1</v>
      </c>
      <c r="G740">
        <v>8.5</v>
      </c>
      <c r="H740">
        <v>10900</v>
      </c>
      <c r="I740">
        <v>1</v>
      </c>
      <c r="J740">
        <f>1</f>
        <v>1</v>
      </c>
      <c r="K740">
        <v>1</v>
      </c>
      <c r="L740">
        <v>0</v>
      </c>
      <c r="M740">
        <f t="shared" ca="1" si="33"/>
        <v>0.43377874770989278</v>
      </c>
      <c r="N740">
        <v>0</v>
      </c>
      <c r="O740">
        <v>0</v>
      </c>
      <c r="P740">
        <f t="shared" ca="1" si="34"/>
        <v>0.14950388392548031</v>
      </c>
      <c r="Q740">
        <f t="shared" si="35"/>
        <v>1</v>
      </c>
    </row>
    <row r="741" spans="1:17" x14ac:dyDescent="0.3">
      <c r="A741" t="s">
        <v>330</v>
      </c>
      <c r="B741" t="s">
        <v>65</v>
      </c>
      <c r="C741">
        <v>6</v>
      </c>
      <c r="D741">
        <v>35000</v>
      </c>
      <c r="E741" t="s">
        <v>67</v>
      </c>
      <c r="F741">
        <v>66</v>
      </c>
      <c r="G741">
        <v>1.2</v>
      </c>
      <c r="H741">
        <v>6400</v>
      </c>
      <c r="I741">
        <v>0</v>
      </c>
      <c r="J741">
        <f>1</f>
        <v>1</v>
      </c>
      <c r="K741">
        <v>1</v>
      </c>
      <c r="L741">
        <v>0</v>
      </c>
      <c r="M741">
        <f t="shared" ca="1" si="33"/>
        <v>0.83381386491953069</v>
      </c>
      <c r="N741">
        <v>0</v>
      </c>
      <c r="O741">
        <v>0</v>
      </c>
      <c r="P741">
        <f t="shared" ca="1" si="34"/>
        <v>0.99326121812654544</v>
      </c>
      <c r="Q741">
        <f t="shared" si="35"/>
        <v>1</v>
      </c>
    </row>
    <row r="742" spans="1:17" x14ac:dyDescent="0.3">
      <c r="A742" t="s">
        <v>885</v>
      </c>
      <c r="B742" t="s">
        <v>513</v>
      </c>
      <c r="C742">
        <v>4</v>
      </c>
      <c r="D742">
        <v>17800</v>
      </c>
      <c r="E742" t="s">
        <v>1146</v>
      </c>
      <c r="F742">
        <v>3</v>
      </c>
      <c r="G742">
        <v>11</v>
      </c>
      <c r="H742">
        <v>0</v>
      </c>
      <c r="I742">
        <v>1</v>
      </c>
      <c r="J742">
        <f>1</f>
        <v>1</v>
      </c>
      <c r="K742">
        <v>1</v>
      </c>
      <c r="L742">
        <v>0</v>
      </c>
      <c r="M742">
        <f t="shared" ca="1" si="33"/>
        <v>0.59988840505488961</v>
      </c>
      <c r="N742">
        <v>0</v>
      </c>
      <c r="O742">
        <v>0</v>
      </c>
      <c r="P742">
        <f t="shared" ca="1" si="34"/>
        <v>5.0089759576188442E-3</v>
      </c>
      <c r="Q742">
        <f t="shared" si="35"/>
        <v>1</v>
      </c>
    </row>
    <row r="743" spans="1:17" x14ac:dyDescent="0.3">
      <c r="A743" t="s">
        <v>571</v>
      </c>
      <c r="B743" t="s">
        <v>65</v>
      </c>
      <c r="C743">
        <v>5</v>
      </c>
      <c r="D743">
        <v>41800</v>
      </c>
      <c r="E743" t="s">
        <v>69</v>
      </c>
      <c r="F743">
        <v>57</v>
      </c>
      <c r="G743">
        <v>1.2</v>
      </c>
      <c r="H743">
        <v>9400</v>
      </c>
      <c r="I743">
        <v>0</v>
      </c>
      <c r="J743">
        <f>1</f>
        <v>1</v>
      </c>
      <c r="K743">
        <v>1</v>
      </c>
      <c r="L743">
        <v>0</v>
      </c>
      <c r="M743">
        <f t="shared" ca="1" si="33"/>
        <v>0.67746804254976267</v>
      </c>
      <c r="N743">
        <v>0</v>
      </c>
      <c r="O743">
        <v>0</v>
      </c>
      <c r="P743">
        <f t="shared" ca="1" si="34"/>
        <v>0.43202443156415593</v>
      </c>
      <c r="Q743">
        <f t="shared" si="35"/>
        <v>1</v>
      </c>
    </row>
    <row r="744" spans="1:17" x14ac:dyDescent="0.3">
      <c r="A744" t="s">
        <v>1037</v>
      </c>
      <c r="B744" t="s">
        <v>65</v>
      </c>
      <c r="C744">
        <v>6</v>
      </c>
      <c r="D744">
        <v>25500</v>
      </c>
      <c r="E744" t="s">
        <v>1146</v>
      </c>
      <c r="F744">
        <v>4</v>
      </c>
      <c r="G744">
        <v>12.8</v>
      </c>
      <c r="H744">
        <v>7700</v>
      </c>
      <c r="I744">
        <v>1</v>
      </c>
      <c r="J744">
        <f>1</f>
        <v>1</v>
      </c>
      <c r="K744">
        <v>1</v>
      </c>
      <c r="L744">
        <v>0</v>
      </c>
      <c r="M744">
        <f t="shared" ca="1" si="33"/>
        <v>0.12809864980291696</v>
      </c>
      <c r="N744">
        <v>0</v>
      </c>
      <c r="O744">
        <v>0</v>
      </c>
      <c r="P744">
        <f t="shared" ca="1" si="34"/>
        <v>0.49778528067270056</v>
      </c>
      <c r="Q744">
        <f t="shared" si="35"/>
        <v>1</v>
      </c>
    </row>
    <row r="745" spans="1:17" x14ac:dyDescent="0.3">
      <c r="A745" t="s">
        <v>506</v>
      </c>
      <c r="B745" t="s">
        <v>62</v>
      </c>
      <c r="C745">
        <v>4</v>
      </c>
      <c r="D745">
        <v>43500</v>
      </c>
      <c r="E745" t="s">
        <v>69</v>
      </c>
      <c r="F745">
        <v>51</v>
      </c>
      <c r="G745">
        <v>7.7</v>
      </c>
      <c r="H745">
        <v>900</v>
      </c>
      <c r="I745">
        <v>0</v>
      </c>
      <c r="J745">
        <f>1</f>
        <v>1</v>
      </c>
      <c r="K745">
        <v>1</v>
      </c>
      <c r="L745">
        <v>0</v>
      </c>
      <c r="M745">
        <f t="shared" ca="1" si="33"/>
        <v>0.7929331990894567</v>
      </c>
      <c r="N745">
        <v>0</v>
      </c>
      <c r="O745">
        <v>0</v>
      </c>
      <c r="P745">
        <f t="shared" ca="1" si="34"/>
        <v>0.99591878165563297</v>
      </c>
      <c r="Q745">
        <f t="shared" si="35"/>
        <v>1</v>
      </c>
    </row>
    <row r="746" spans="1:17" x14ac:dyDescent="0.3">
      <c r="A746" t="s">
        <v>851</v>
      </c>
      <c r="B746" t="s">
        <v>64</v>
      </c>
      <c r="C746">
        <v>5</v>
      </c>
      <c r="D746">
        <v>27300</v>
      </c>
      <c r="E746" t="s">
        <v>1146</v>
      </c>
      <c r="F746">
        <v>5</v>
      </c>
      <c r="G746">
        <v>8.1999999999999993</v>
      </c>
      <c r="H746">
        <v>0</v>
      </c>
      <c r="I746">
        <v>1</v>
      </c>
      <c r="J746">
        <f>1</f>
        <v>1</v>
      </c>
      <c r="K746">
        <v>1</v>
      </c>
      <c r="L746">
        <v>0</v>
      </c>
      <c r="M746">
        <f t="shared" ca="1" si="33"/>
        <v>2.4927359293344886E-2</v>
      </c>
      <c r="N746">
        <v>0</v>
      </c>
      <c r="O746">
        <v>0</v>
      </c>
      <c r="P746">
        <f t="shared" ca="1" si="34"/>
        <v>0.86393827747503993</v>
      </c>
      <c r="Q746">
        <f t="shared" si="35"/>
        <v>1</v>
      </c>
    </row>
    <row r="747" spans="1:17" x14ac:dyDescent="0.3">
      <c r="A747" t="s">
        <v>704</v>
      </c>
      <c r="B747" t="s">
        <v>62</v>
      </c>
      <c r="C747">
        <v>4</v>
      </c>
      <c r="D747">
        <v>33300</v>
      </c>
      <c r="E747" t="s">
        <v>1146</v>
      </c>
      <c r="F747">
        <v>3</v>
      </c>
      <c r="G747">
        <v>8.3000000000000007</v>
      </c>
      <c r="H747">
        <v>300</v>
      </c>
      <c r="I747">
        <v>1</v>
      </c>
      <c r="J747">
        <f>1</f>
        <v>1</v>
      </c>
      <c r="K747">
        <v>1</v>
      </c>
      <c r="L747">
        <v>0</v>
      </c>
      <c r="M747">
        <f t="shared" ca="1" si="33"/>
        <v>0.99293440238310549</v>
      </c>
      <c r="N747">
        <v>0</v>
      </c>
      <c r="O747">
        <v>0</v>
      </c>
      <c r="P747">
        <f t="shared" ca="1" si="34"/>
        <v>0.35109076349376067</v>
      </c>
      <c r="Q747">
        <f t="shared" si="35"/>
        <v>1</v>
      </c>
    </row>
    <row r="748" spans="1:17" x14ac:dyDescent="0.3">
      <c r="A748" t="s">
        <v>1102</v>
      </c>
      <c r="B748" t="s">
        <v>513</v>
      </c>
      <c r="C748">
        <v>10</v>
      </c>
      <c r="D748">
        <v>24800</v>
      </c>
      <c r="E748" t="s">
        <v>1146</v>
      </c>
      <c r="F748">
        <v>3</v>
      </c>
      <c r="G748">
        <v>1.4</v>
      </c>
      <c r="H748">
        <v>5500</v>
      </c>
      <c r="I748">
        <v>1</v>
      </c>
      <c r="J748">
        <f>1</f>
        <v>1</v>
      </c>
      <c r="K748">
        <v>1</v>
      </c>
      <c r="L748">
        <v>0</v>
      </c>
      <c r="M748">
        <f t="shared" ca="1" si="33"/>
        <v>0.78871761584827349</v>
      </c>
      <c r="N748">
        <v>0</v>
      </c>
      <c r="O748">
        <v>0</v>
      </c>
      <c r="P748">
        <f t="shared" ca="1" si="34"/>
        <v>0.38644870508997553</v>
      </c>
      <c r="Q748">
        <f t="shared" si="35"/>
        <v>1</v>
      </c>
    </row>
    <row r="749" spans="1:17" x14ac:dyDescent="0.3">
      <c r="A749" t="s">
        <v>298</v>
      </c>
      <c r="B749" t="s">
        <v>65</v>
      </c>
      <c r="C749">
        <v>5</v>
      </c>
      <c r="D749">
        <v>59000</v>
      </c>
      <c r="E749" t="s">
        <v>68</v>
      </c>
      <c r="F749">
        <v>65</v>
      </c>
      <c r="G749">
        <v>7</v>
      </c>
      <c r="H749">
        <v>7400</v>
      </c>
      <c r="I749">
        <v>0</v>
      </c>
      <c r="J749">
        <f>1</f>
        <v>1</v>
      </c>
      <c r="K749">
        <v>1</v>
      </c>
      <c r="L749">
        <v>0</v>
      </c>
      <c r="M749">
        <f t="shared" ca="1" si="33"/>
        <v>0.97869403150591983</v>
      </c>
      <c r="N749">
        <v>0</v>
      </c>
      <c r="O749">
        <v>0</v>
      </c>
      <c r="P749">
        <f t="shared" ca="1" si="34"/>
        <v>0.86391576499922884</v>
      </c>
      <c r="Q749">
        <f t="shared" si="35"/>
        <v>1</v>
      </c>
    </row>
    <row r="750" spans="1:17" x14ac:dyDescent="0.3">
      <c r="A750" t="s">
        <v>911</v>
      </c>
      <c r="B750" t="s">
        <v>64</v>
      </c>
      <c r="C750">
        <v>7</v>
      </c>
      <c r="D750">
        <v>74100</v>
      </c>
      <c r="E750" t="s">
        <v>1146</v>
      </c>
      <c r="F750">
        <v>1</v>
      </c>
      <c r="G750">
        <v>2.9</v>
      </c>
      <c r="H750">
        <v>10900</v>
      </c>
      <c r="I750">
        <v>1</v>
      </c>
      <c r="J750">
        <f>1</f>
        <v>1</v>
      </c>
      <c r="K750">
        <v>1</v>
      </c>
      <c r="L750">
        <v>0</v>
      </c>
      <c r="M750">
        <f t="shared" ca="1" si="33"/>
        <v>0.22315424941640338</v>
      </c>
      <c r="N750">
        <v>0</v>
      </c>
      <c r="O750">
        <v>0</v>
      </c>
      <c r="P750">
        <f t="shared" ca="1" si="34"/>
        <v>0.52746703105368198</v>
      </c>
      <c r="Q750">
        <f t="shared" si="35"/>
        <v>1</v>
      </c>
    </row>
    <row r="751" spans="1:17" x14ac:dyDescent="0.3">
      <c r="A751" t="s">
        <v>446</v>
      </c>
      <c r="B751" t="s">
        <v>64</v>
      </c>
      <c r="C751">
        <v>7</v>
      </c>
      <c r="D751">
        <v>46300</v>
      </c>
      <c r="E751" t="s">
        <v>66</v>
      </c>
      <c r="F751">
        <v>31</v>
      </c>
      <c r="G751">
        <v>5.9</v>
      </c>
      <c r="H751">
        <v>6400</v>
      </c>
      <c r="I751">
        <v>0</v>
      </c>
      <c r="J751">
        <f>1</f>
        <v>1</v>
      </c>
      <c r="K751">
        <v>1</v>
      </c>
      <c r="L751">
        <v>0</v>
      </c>
      <c r="M751">
        <f t="shared" ca="1" si="33"/>
        <v>7.86063900207149E-2</v>
      </c>
      <c r="N751">
        <v>0</v>
      </c>
      <c r="O751">
        <v>0</v>
      </c>
      <c r="P751">
        <f t="shared" ca="1" si="34"/>
        <v>0.1362808180356786</v>
      </c>
      <c r="Q751">
        <f t="shared" si="35"/>
        <v>1</v>
      </c>
    </row>
    <row r="752" spans="1:17" x14ac:dyDescent="0.3">
      <c r="A752" t="s">
        <v>1071</v>
      </c>
      <c r="B752" t="s">
        <v>65</v>
      </c>
      <c r="C752">
        <v>7</v>
      </c>
      <c r="D752">
        <v>66200</v>
      </c>
      <c r="E752" t="s">
        <v>1146</v>
      </c>
      <c r="F752">
        <v>9</v>
      </c>
      <c r="G752">
        <v>3.3</v>
      </c>
      <c r="H752">
        <v>5400</v>
      </c>
      <c r="I752">
        <v>1</v>
      </c>
      <c r="J752">
        <f>1</f>
        <v>1</v>
      </c>
      <c r="K752">
        <v>1</v>
      </c>
      <c r="L752">
        <v>0</v>
      </c>
      <c r="M752">
        <f t="shared" ca="1" si="33"/>
        <v>0.16274157158659552</v>
      </c>
      <c r="N752">
        <v>0</v>
      </c>
      <c r="O752">
        <v>0</v>
      </c>
      <c r="P752">
        <f t="shared" ca="1" si="34"/>
        <v>0.80218475925246202</v>
      </c>
      <c r="Q752">
        <f t="shared" si="35"/>
        <v>1</v>
      </c>
    </row>
    <row r="753" spans="1:17" x14ac:dyDescent="0.3">
      <c r="A753" t="s">
        <v>774</v>
      </c>
      <c r="B753" t="s">
        <v>513</v>
      </c>
      <c r="C753">
        <v>6</v>
      </c>
      <c r="D753">
        <v>24100</v>
      </c>
      <c r="E753" t="s">
        <v>1146</v>
      </c>
      <c r="F753">
        <v>1</v>
      </c>
      <c r="G753">
        <v>4.9000000000000004</v>
      </c>
      <c r="H753">
        <v>5600</v>
      </c>
      <c r="I753">
        <v>1</v>
      </c>
      <c r="J753">
        <f>1</f>
        <v>1</v>
      </c>
      <c r="K753">
        <v>1</v>
      </c>
      <c r="L753">
        <v>0</v>
      </c>
      <c r="M753">
        <f t="shared" ca="1" si="33"/>
        <v>0.89628478236508069</v>
      </c>
      <c r="N753">
        <v>0</v>
      </c>
      <c r="O753">
        <v>0</v>
      </c>
      <c r="P753">
        <f t="shared" ca="1" si="34"/>
        <v>0.26937965332277947</v>
      </c>
      <c r="Q753">
        <f t="shared" si="35"/>
        <v>1</v>
      </c>
    </row>
    <row r="754" spans="1:17" x14ac:dyDescent="0.3">
      <c r="A754" t="s">
        <v>583</v>
      </c>
      <c r="B754" t="s">
        <v>62</v>
      </c>
      <c r="C754">
        <v>4</v>
      </c>
      <c r="D754">
        <v>89000</v>
      </c>
      <c r="E754" t="s">
        <v>67</v>
      </c>
      <c r="F754">
        <v>55</v>
      </c>
      <c r="G754">
        <v>8.3000000000000007</v>
      </c>
      <c r="H754">
        <v>8500</v>
      </c>
      <c r="I754">
        <v>0</v>
      </c>
      <c r="J754">
        <f>1</f>
        <v>1</v>
      </c>
      <c r="K754">
        <v>1</v>
      </c>
      <c r="L754">
        <v>0</v>
      </c>
      <c r="M754">
        <f t="shared" ca="1" si="33"/>
        <v>0.49589956542786606</v>
      </c>
      <c r="N754">
        <v>0</v>
      </c>
      <c r="O754">
        <v>0</v>
      </c>
      <c r="P754">
        <f t="shared" ca="1" si="34"/>
        <v>0.36940234244207215</v>
      </c>
      <c r="Q754">
        <f t="shared" si="35"/>
        <v>1</v>
      </c>
    </row>
    <row r="755" spans="1:17" x14ac:dyDescent="0.3">
      <c r="A755" t="s">
        <v>934</v>
      </c>
      <c r="B755" t="s">
        <v>64</v>
      </c>
      <c r="C755">
        <v>8</v>
      </c>
      <c r="D755">
        <v>45400</v>
      </c>
      <c r="E755" t="s">
        <v>67</v>
      </c>
      <c r="F755">
        <v>108</v>
      </c>
      <c r="G755">
        <v>7.2</v>
      </c>
      <c r="H755">
        <v>9500</v>
      </c>
      <c r="I755">
        <v>1</v>
      </c>
      <c r="J755">
        <f>1</f>
        <v>1</v>
      </c>
      <c r="K755">
        <v>1</v>
      </c>
      <c r="L755">
        <v>0</v>
      </c>
      <c r="M755">
        <f t="shared" ca="1" si="33"/>
        <v>0.2685761620504753</v>
      </c>
      <c r="N755">
        <v>0</v>
      </c>
      <c r="O755">
        <v>0</v>
      </c>
      <c r="P755">
        <f t="shared" ca="1" si="34"/>
        <v>0.25264931400931268</v>
      </c>
      <c r="Q755">
        <f t="shared" si="35"/>
        <v>1</v>
      </c>
    </row>
    <row r="756" spans="1:17" x14ac:dyDescent="0.3">
      <c r="A756" t="s">
        <v>1062</v>
      </c>
      <c r="B756" t="s">
        <v>62</v>
      </c>
      <c r="C756">
        <v>5</v>
      </c>
      <c r="D756">
        <v>44200</v>
      </c>
      <c r="E756" t="s">
        <v>1146</v>
      </c>
      <c r="F756">
        <v>3</v>
      </c>
      <c r="G756">
        <v>3.6</v>
      </c>
      <c r="H756">
        <v>4100</v>
      </c>
      <c r="I756">
        <v>1</v>
      </c>
      <c r="J756">
        <f>1</f>
        <v>1</v>
      </c>
      <c r="K756">
        <v>1</v>
      </c>
      <c r="L756">
        <v>0</v>
      </c>
      <c r="M756">
        <f t="shared" ca="1" si="33"/>
        <v>0.56105701005982189</v>
      </c>
      <c r="N756">
        <v>0</v>
      </c>
      <c r="O756">
        <v>0</v>
      </c>
      <c r="P756">
        <f t="shared" ca="1" si="34"/>
        <v>0.787941791659308</v>
      </c>
      <c r="Q756">
        <f t="shared" si="35"/>
        <v>1</v>
      </c>
    </row>
    <row r="757" spans="1:17" x14ac:dyDescent="0.3">
      <c r="A757" t="s">
        <v>356</v>
      </c>
      <c r="B757" t="s">
        <v>513</v>
      </c>
      <c r="C757">
        <v>2</v>
      </c>
      <c r="D757">
        <v>18100</v>
      </c>
      <c r="E757" t="s">
        <v>67</v>
      </c>
      <c r="F757">
        <v>95</v>
      </c>
      <c r="G757">
        <v>6.8</v>
      </c>
      <c r="H757">
        <v>11500</v>
      </c>
      <c r="I757">
        <v>0</v>
      </c>
      <c r="J757">
        <f>1</f>
        <v>1</v>
      </c>
      <c r="K757">
        <v>1</v>
      </c>
      <c r="L757">
        <v>0</v>
      </c>
      <c r="M757">
        <f t="shared" ca="1" si="33"/>
        <v>0.44376381466975601</v>
      </c>
      <c r="N757">
        <v>0</v>
      </c>
      <c r="O757">
        <v>0</v>
      </c>
      <c r="P757">
        <f t="shared" ca="1" si="34"/>
        <v>0.96013069613783608</v>
      </c>
      <c r="Q757">
        <f t="shared" si="35"/>
        <v>1</v>
      </c>
    </row>
    <row r="758" spans="1:17" x14ac:dyDescent="0.3">
      <c r="A758" t="s">
        <v>258</v>
      </c>
      <c r="B758" t="s">
        <v>65</v>
      </c>
      <c r="C758">
        <v>5</v>
      </c>
      <c r="D758">
        <v>16400</v>
      </c>
      <c r="E758" t="s">
        <v>67</v>
      </c>
      <c r="F758">
        <v>100</v>
      </c>
      <c r="G758">
        <v>2.7</v>
      </c>
      <c r="H758">
        <v>11000</v>
      </c>
      <c r="I758">
        <v>0</v>
      </c>
      <c r="J758">
        <f>1</f>
        <v>1</v>
      </c>
      <c r="K758">
        <v>1</v>
      </c>
      <c r="L758">
        <v>0</v>
      </c>
      <c r="M758">
        <f t="shared" ca="1" si="33"/>
        <v>0.95851566518715203</v>
      </c>
      <c r="N758">
        <v>0</v>
      </c>
      <c r="O758">
        <v>0</v>
      </c>
      <c r="P758">
        <f t="shared" ca="1" si="34"/>
        <v>0.85388712866706407</v>
      </c>
      <c r="Q758">
        <f t="shared" si="35"/>
        <v>1</v>
      </c>
    </row>
    <row r="759" spans="1:17" x14ac:dyDescent="0.3">
      <c r="A759" t="s">
        <v>689</v>
      </c>
      <c r="B759" t="s">
        <v>513</v>
      </c>
      <c r="C759">
        <v>5</v>
      </c>
      <c r="D759">
        <v>27600</v>
      </c>
      <c r="E759" t="s">
        <v>1146</v>
      </c>
      <c r="F759">
        <v>3</v>
      </c>
      <c r="G759">
        <v>3.9</v>
      </c>
      <c r="H759">
        <v>0</v>
      </c>
      <c r="I759">
        <v>1</v>
      </c>
      <c r="J759">
        <f>1</f>
        <v>1</v>
      </c>
      <c r="K759">
        <v>1</v>
      </c>
      <c r="L759">
        <v>0</v>
      </c>
      <c r="M759">
        <f t="shared" ca="1" si="33"/>
        <v>0.85684774358224347</v>
      </c>
      <c r="N759">
        <v>0</v>
      </c>
      <c r="O759">
        <v>0</v>
      </c>
      <c r="P759">
        <f t="shared" ca="1" si="34"/>
        <v>0.83477612600283468</v>
      </c>
      <c r="Q759">
        <f t="shared" si="35"/>
        <v>1</v>
      </c>
    </row>
    <row r="760" spans="1:17" x14ac:dyDescent="0.3">
      <c r="A760" t="s">
        <v>385</v>
      </c>
      <c r="B760" t="s">
        <v>65</v>
      </c>
      <c r="C760">
        <v>8</v>
      </c>
      <c r="D760">
        <v>32100</v>
      </c>
      <c r="E760" t="s">
        <v>67</v>
      </c>
      <c r="F760">
        <v>60</v>
      </c>
      <c r="G760">
        <v>7.4</v>
      </c>
      <c r="H760">
        <v>9300</v>
      </c>
      <c r="I760">
        <v>0</v>
      </c>
      <c r="J760">
        <f>1</f>
        <v>1</v>
      </c>
      <c r="K760">
        <v>1</v>
      </c>
      <c r="L760">
        <v>0</v>
      </c>
      <c r="M760">
        <f t="shared" ca="1" si="33"/>
        <v>0.8112121402803254</v>
      </c>
      <c r="N760">
        <v>0</v>
      </c>
      <c r="O760">
        <v>0</v>
      </c>
      <c r="P760">
        <f t="shared" ca="1" si="34"/>
        <v>0.1837610632115011</v>
      </c>
      <c r="Q760">
        <f t="shared" si="35"/>
        <v>1</v>
      </c>
    </row>
    <row r="761" spans="1:17" x14ac:dyDescent="0.3">
      <c r="A761" t="s">
        <v>306</v>
      </c>
      <c r="B761" t="s">
        <v>62</v>
      </c>
      <c r="C761">
        <v>2</v>
      </c>
      <c r="D761">
        <v>43700</v>
      </c>
      <c r="E761" t="s">
        <v>66</v>
      </c>
      <c r="F761">
        <v>32</v>
      </c>
      <c r="G761">
        <v>2.2000000000000002</v>
      </c>
      <c r="H761">
        <v>1400</v>
      </c>
      <c r="I761">
        <v>0</v>
      </c>
      <c r="J761">
        <f>1</f>
        <v>1</v>
      </c>
      <c r="K761">
        <v>1</v>
      </c>
      <c r="L761">
        <v>0</v>
      </c>
      <c r="M761">
        <f t="shared" ca="1" si="33"/>
        <v>2.8258045613359761E-2</v>
      </c>
      <c r="N761">
        <v>0</v>
      </c>
      <c r="O761">
        <v>0</v>
      </c>
      <c r="P761">
        <f t="shared" ca="1" si="34"/>
        <v>0.26110085644310943</v>
      </c>
      <c r="Q761">
        <f t="shared" si="35"/>
        <v>1</v>
      </c>
    </row>
    <row r="762" spans="1:17" x14ac:dyDescent="0.3">
      <c r="A762" t="s">
        <v>259</v>
      </c>
      <c r="B762" t="s">
        <v>62</v>
      </c>
      <c r="C762">
        <v>6</v>
      </c>
      <c r="D762">
        <v>45200</v>
      </c>
      <c r="E762" t="s">
        <v>69</v>
      </c>
      <c r="F762">
        <v>54</v>
      </c>
      <c r="G762">
        <v>0.9</v>
      </c>
      <c r="H762">
        <v>4400</v>
      </c>
      <c r="I762">
        <v>0</v>
      </c>
      <c r="J762">
        <f>1</f>
        <v>1</v>
      </c>
      <c r="K762">
        <v>1</v>
      </c>
      <c r="L762">
        <v>0</v>
      </c>
      <c r="M762">
        <f t="shared" ca="1" si="33"/>
        <v>0.49688695829181262</v>
      </c>
      <c r="N762">
        <v>0</v>
      </c>
      <c r="O762">
        <v>0</v>
      </c>
      <c r="P762">
        <f t="shared" ca="1" si="34"/>
        <v>0.49092421280015697</v>
      </c>
      <c r="Q762">
        <f t="shared" si="35"/>
        <v>1</v>
      </c>
    </row>
    <row r="763" spans="1:17" x14ac:dyDescent="0.3">
      <c r="A763" t="s">
        <v>349</v>
      </c>
      <c r="B763" t="s">
        <v>513</v>
      </c>
      <c r="C763">
        <v>3</v>
      </c>
      <c r="D763">
        <v>20800</v>
      </c>
      <c r="E763" t="s">
        <v>69</v>
      </c>
      <c r="F763">
        <v>34</v>
      </c>
      <c r="G763">
        <v>3.3</v>
      </c>
      <c r="H763">
        <v>5600</v>
      </c>
      <c r="I763">
        <v>0</v>
      </c>
      <c r="J763">
        <f>1</f>
        <v>1</v>
      </c>
      <c r="K763">
        <v>1</v>
      </c>
      <c r="L763">
        <v>0</v>
      </c>
      <c r="M763">
        <f t="shared" ca="1" si="33"/>
        <v>3.2391279819799168E-2</v>
      </c>
      <c r="N763">
        <v>0</v>
      </c>
      <c r="O763">
        <v>0</v>
      </c>
      <c r="P763">
        <f t="shared" ca="1" si="34"/>
        <v>0.82600530638741854</v>
      </c>
      <c r="Q763">
        <f t="shared" si="35"/>
        <v>1</v>
      </c>
    </row>
    <row r="764" spans="1:17" x14ac:dyDescent="0.3">
      <c r="A764" t="s">
        <v>324</v>
      </c>
      <c r="B764" t="s">
        <v>65</v>
      </c>
      <c r="C764">
        <v>7</v>
      </c>
      <c r="D764">
        <v>84100</v>
      </c>
      <c r="E764" t="s">
        <v>67</v>
      </c>
      <c r="F764">
        <v>118</v>
      </c>
      <c r="G764">
        <v>6.5</v>
      </c>
      <c r="H764">
        <v>15200</v>
      </c>
      <c r="I764">
        <v>0</v>
      </c>
      <c r="J764">
        <f>1</f>
        <v>1</v>
      </c>
      <c r="K764">
        <v>1</v>
      </c>
      <c r="L764">
        <v>0</v>
      </c>
      <c r="M764">
        <f t="shared" ca="1" si="33"/>
        <v>0.9318534025215216</v>
      </c>
      <c r="N764">
        <v>0</v>
      </c>
      <c r="O764">
        <v>0</v>
      </c>
      <c r="P764">
        <f t="shared" ca="1" si="34"/>
        <v>0.8958871995383948</v>
      </c>
      <c r="Q764">
        <f t="shared" si="35"/>
        <v>1</v>
      </c>
    </row>
    <row r="765" spans="1:17" x14ac:dyDescent="0.3">
      <c r="A765" t="s">
        <v>192</v>
      </c>
      <c r="B765" t="s">
        <v>62</v>
      </c>
      <c r="C765">
        <v>5</v>
      </c>
      <c r="D765">
        <v>31900</v>
      </c>
      <c r="E765" t="s">
        <v>68</v>
      </c>
      <c r="F765">
        <v>45</v>
      </c>
      <c r="G765">
        <v>6.6</v>
      </c>
      <c r="H765">
        <v>5500</v>
      </c>
      <c r="I765">
        <v>0</v>
      </c>
      <c r="J765">
        <f>1</f>
        <v>1</v>
      </c>
      <c r="K765">
        <v>1</v>
      </c>
      <c r="L765">
        <v>0</v>
      </c>
      <c r="M765">
        <f t="shared" ca="1" si="33"/>
        <v>0.70195103955066918</v>
      </c>
      <c r="N765">
        <v>0</v>
      </c>
      <c r="O765">
        <v>0</v>
      </c>
      <c r="P765">
        <f t="shared" ca="1" si="34"/>
        <v>0.82509750835298268</v>
      </c>
      <c r="Q765">
        <f t="shared" si="35"/>
        <v>1</v>
      </c>
    </row>
    <row r="766" spans="1:17" x14ac:dyDescent="0.3">
      <c r="A766" t="s">
        <v>226</v>
      </c>
      <c r="B766" t="s">
        <v>64</v>
      </c>
      <c r="C766">
        <v>6</v>
      </c>
      <c r="D766">
        <v>71300</v>
      </c>
      <c r="E766" t="s">
        <v>68</v>
      </c>
      <c r="F766">
        <v>40</v>
      </c>
      <c r="G766">
        <v>10.8</v>
      </c>
      <c r="H766">
        <v>9700</v>
      </c>
      <c r="I766">
        <v>0</v>
      </c>
      <c r="J766">
        <f>1</f>
        <v>1</v>
      </c>
      <c r="K766">
        <v>1</v>
      </c>
      <c r="L766">
        <v>0</v>
      </c>
      <c r="M766">
        <f t="shared" ca="1" si="33"/>
        <v>0.65299249577422336</v>
      </c>
      <c r="N766">
        <v>0</v>
      </c>
      <c r="O766">
        <v>0</v>
      </c>
      <c r="P766">
        <f t="shared" ca="1" si="34"/>
        <v>0.79004666722285644</v>
      </c>
      <c r="Q766">
        <f t="shared" si="35"/>
        <v>1</v>
      </c>
    </row>
    <row r="767" spans="1:17" x14ac:dyDescent="0.3">
      <c r="A767" t="s">
        <v>357</v>
      </c>
      <c r="B767" t="s">
        <v>64</v>
      </c>
      <c r="C767">
        <v>3</v>
      </c>
      <c r="D767">
        <v>57500</v>
      </c>
      <c r="E767" t="s">
        <v>69</v>
      </c>
      <c r="F767">
        <v>58</v>
      </c>
      <c r="G767">
        <v>10.7</v>
      </c>
      <c r="H767">
        <v>0</v>
      </c>
      <c r="I767">
        <v>0</v>
      </c>
      <c r="J767">
        <f>1</f>
        <v>1</v>
      </c>
      <c r="K767">
        <v>1</v>
      </c>
      <c r="L767">
        <v>0</v>
      </c>
      <c r="M767">
        <f t="shared" ca="1" si="33"/>
        <v>0.58443840907621969</v>
      </c>
      <c r="N767">
        <v>0</v>
      </c>
      <c r="O767">
        <v>0</v>
      </c>
      <c r="P767">
        <f t="shared" ca="1" si="34"/>
        <v>0.87423436554335698</v>
      </c>
      <c r="Q767">
        <f t="shared" si="35"/>
        <v>1</v>
      </c>
    </row>
    <row r="768" spans="1:17" x14ac:dyDescent="0.3">
      <c r="A768" t="s">
        <v>176</v>
      </c>
      <c r="B768" t="s">
        <v>64</v>
      </c>
      <c r="C768">
        <v>7</v>
      </c>
      <c r="D768">
        <v>71700</v>
      </c>
      <c r="E768" t="s">
        <v>67</v>
      </c>
      <c r="F768">
        <v>117</v>
      </c>
      <c r="G768">
        <v>4</v>
      </c>
      <c r="H768">
        <v>10700</v>
      </c>
      <c r="I768">
        <v>0</v>
      </c>
      <c r="J768">
        <f>1</f>
        <v>1</v>
      </c>
      <c r="K768">
        <v>1</v>
      </c>
      <c r="L768">
        <v>0</v>
      </c>
      <c r="M768">
        <f t="shared" ca="1" si="33"/>
        <v>0.53598677642950376</v>
      </c>
      <c r="N768">
        <v>0</v>
      </c>
      <c r="O768">
        <v>0</v>
      </c>
      <c r="P768">
        <f t="shared" ca="1" si="34"/>
        <v>0.52584462221482009</v>
      </c>
      <c r="Q768">
        <f t="shared" si="35"/>
        <v>1</v>
      </c>
    </row>
    <row r="769" spans="1:17" x14ac:dyDescent="0.3">
      <c r="A769" t="s">
        <v>392</v>
      </c>
      <c r="B769" t="s">
        <v>65</v>
      </c>
      <c r="C769">
        <v>5</v>
      </c>
      <c r="D769">
        <v>14900</v>
      </c>
      <c r="E769" t="s">
        <v>66</v>
      </c>
      <c r="F769">
        <v>52</v>
      </c>
      <c r="G769">
        <v>10</v>
      </c>
      <c r="H769">
        <v>9800</v>
      </c>
      <c r="I769">
        <v>0</v>
      </c>
      <c r="J769">
        <f>1</f>
        <v>1</v>
      </c>
      <c r="K769">
        <v>1</v>
      </c>
      <c r="L769">
        <v>0</v>
      </c>
      <c r="M769">
        <f t="shared" ca="1" si="33"/>
        <v>9.2091926096682042E-2</v>
      </c>
      <c r="N769">
        <v>0</v>
      </c>
      <c r="O769">
        <v>0</v>
      </c>
      <c r="P769">
        <f t="shared" ca="1" si="34"/>
        <v>1.3117033938209954E-2</v>
      </c>
      <c r="Q769">
        <f t="shared" si="35"/>
        <v>1</v>
      </c>
    </row>
    <row r="770" spans="1:17" x14ac:dyDescent="0.3">
      <c r="A770" t="s">
        <v>417</v>
      </c>
      <c r="B770" t="s">
        <v>513</v>
      </c>
      <c r="C770">
        <v>6</v>
      </c>
      <c r="D770">
        <v>37900</v>
      </c>
      <c r="E770" t="s">
        <v>67</v>
      </c>
      <c r="F770">
        <v>92</v>
      </c>
      <c r="G770">
        <v>12.2</v>
      </c>
      <c r="H770">
        <v>7700</v>
      </c>
      <c r="I770">
        <v>0</v>
      </c>
      <c r="J770">
        <f>1</f>
        <v>1</v>
      </c>
      <c r="K770">
        <v>1</v>
      </c>
      <c r="L770">
        <v>0</v>
      </c>
      <c r="M770">
        <f t="shared" ref="M770:M833" ca="1" si="36">RAND()</f>
        <v>0.89245650776554708</v>
      </c>
      <c r="N770">
        <v>0</v>
      </c>
      <c r="O770">
        <v>0</v>
      </c>
      <c r="P770">
        <f t="shared" ref="P770:P833" ca="1" si="37">IF(L770=0,RAND(),"")</f>
        <v>0.34613645835049445</v>
      </c>
      <c r="Q770">
        <f t="shared" si="35"/>
        <v>1</v>
      </c>
    </row>
    <row r="771" spans="1:17" x14ac:dyDescent="0.3">
      <c r="A771" t="s">
        <v>752</v>
      </c>
      <c r="B771" t="s">
        <v>62</v>
      </c>
      <c r="C771">
        <v>6</v>
      </c>
      <c r="D771">
        <v>39100</v>
      </c>
      <c r="E771" t="s">
        <v>1146</v>
      </c>
      <c r="F771">
        <v>9</v>
      </c>
      <c r="G771">
        <v>3.1</v>
      </c>
      <c r="H771">
        <v>7300</v>
      </c>
      <c r="I771">
        <v>1</v>
      </c>
      <c r="J771">
        <f>1</f>
        <v>1</v>
      </c>
      <c r="K771">
        <v>1</v>
      </c>
      <c r="L771">
        <v>0</v>
      </c>
      <c r="M771">
        <f t="shared" ca="1" si="36"/>
        <v>4.385620830987369E-3</v>
      </c>
      <c r="N771">
        <v>0</v>
      </c>
      <c r="O771">
        <v>0</v>
      </c>
      <c r="P771">
        <f t="shared" ca="1" si="37"/>
        <v>0.29817911106551032</v>
      </c>
      <c r="Q771">
        <f t="shared" ref="Q771:Q834" si="38">IF(OR(L771=1,O771=1), 0,1)</f>
        <v>1</v>
      </c>
    </row>
    <row r="772" spans="1:17" x14ac:dyDescent="0.3">
      <c r="A772" t="s">
        <v>1057</v>
      </c>
      <c r="B772" t="s">
        <v>62</v>
      </c>
      <c r="C772">
        <v>6</v>
      </c>
      <c r="D772">
        <v>40500</v>
      </c>
      <c r="E772" t="s">
        <v>1146</v>
      </c>
      <c r="F772">
        <v>0</v>
      </c>
      <c r="G772">
        <v>4.5</v>
      </c>
      <c r="H772">
        <v>5400</v>
      </c>
      <c r="I772">
        <v>1</v>
      </c>
      <c r="J772">
        <f>1</f>
        <v>1</v>
      </c>
      <c r="K772">
        <v>1</v>
      </c>
      <c r="L772">
        <v>0</v>
      </c>
      <c r="M772">
        <f t="shared" ca="1" si="36"/>
        <v>0.39005392416968565</v>
      </c>
      <c r="N772">
        <v>0</v>
      </c>
      <c r="O772">
        <v>0</v>
      </c>
      <c r="P772">
        <f t="shared" ca="1" si="37"/>
        <v>0.1897350103533324</v>
      </c>
      <c r="Q772">
        <f t="shared" si="38"/>
        <v>1</v>
      </c>
    </row>
    <row r="773" spans="1:17" x14ac:dyDescent="0.3">
      <c r="A773" t="s">
        <v>618</v>
      </c>
      <c r="B773" t="s">
        <v>513</v>
      </c>
      <c r="C773">
        <v>3</v>
      </c>
      <c r="D773">
        <v>51000</v>
      </c>
      <c r="E773" t="s">
        <v>69</v>
      </c>
      <c r="F773">
        <v>60</v>
      </c>
      <c r="G773">
        <v>6.6</v>
      </c>
      <c r="H773">
        <v>1800</v>
      </c>
      <c r="I773">
        <v>0</v>
      </c>
      <c r="J773">
        <f>1</f>
        <v>1</v>
      </c>
      <c r="K773">
        <v>1</v>
      </c>
      <c r="L773">
        <v>0</v>
      </c>
      <c r="M773">
        <f t="shared" ca="1" si="36"/>
        <v>0.98628803261028797</v>
      </c>
      <c r="N773">
        <v>0</v>
      </c>
      <c r="O773">
        <v>0</v>
      </c>
      <c r="P773">
        <f t="shared" ca="1" si="37"/>
        <v>0.15239224892590997</v>
      </c>
      <c r="Q773">
        <f t="shared" si="38"/>
        <v>1</v>
      </c>
    </row>
    <row r="774" spans="1:17" x14ac:dyDescent="0.3">
      <c r="A774" t="s">
        <v>750</v>
      </c>
      <c r="B774" t="s">
        <v>65</v>
      </c>
      <c r="C774">
        <v>6</v>
      </c>
      <c r="D774">
        <v>42900</v>
      </c>
      <c r="E774" t="s">
        <v>1146</v>
      </c>
      <c r="F774">
        <v>0</v>
      </c>
      <c r="G774">
        <v>8</v>
      </c>
      <c r="H774">
        <v>1500</v>
      </c>
      <c r="I774">
        <v>1</v>
      </c>
      <c r="J774">
        <f>1</f>
        <v>1</v>
      </c>
      <c r="K774">
        <v>1</v>
      </c>
      <c r="L774">
        <v>0</v>
      </c>
      <c r="M774">
        <f t="shared" ca="1" si="36"/>
        <v>0.19397101306413911</v>
      </c>
      <c r="N774">
        <v>0</v>
      </c>
      <c r="O774">
        <v>0</v>
      </c>
      <c r="P774">
        <f t="shared" ca="1" si="37"/>
        <v>0.69558606345974083</v>
      </c>
      <c r="Q774">
        <f t="shared" si="38"/>
        <v>1</v>
      </c>
    </row>
    <row r="775" spans="1:17" x14ac:dyDescent="0.3">
      <c r="A775" t="s">
        <v>172</v>
      </c>
      <c r="B775" t="s">
        <v>65</v>
      </c>
      <c r="C775">
        <v>3</v>
      </c>
      <c r="D775">
        <v>21600</v>
      </c>
      <c r="E775" t="s">
        <v>67</v>
      </c>
      <c r="F775">
        <v>48</v>
      </c>
      <c r="G775">
        <v>7.6</v>
      </c>
      <c r="H775">
        <v>700</v>
      </c>
      <c r="I775">
        <v>0</v>
      </c>
      <c r="J775">
        <f>1</f>
        <v>1</v>
      </c>
      <c r="K775">
        <v>1</v>
      </c>
      <c r="L775">
        <v>0</v>
      </c>
      <c r="M775">
        <f t="shared" ca="1" si="36"/>
        <v>0.2537098519049259</v>
      </c>
      <c r="N775">
        <v>0</v>
      </c>
      <c r="O775">
        <v>0</v>
      </c>
      <c r="P775">
        <f t="shared" ca="1" si="37"/>
        <v>0.80779902734982556</v>
      </c>
      <c r="Q775">
        <f t="shared" si="38"/>
        <v>1</v>
      </c>
    </row>
    <row r="776" spans="1:17" x14ac:dyDescent="0.3">
      <c r="A776" t="s">
        <v>317</v>
      </c>
      <c r="B776" t="s">
        <v>64</v>
      </c>
      <c r="C776">
        <v>7</v>
      </c>
      <c r="D776">
        <v>79000</v>
      </c>
      <c r="E776" t="s">
        <v>66</v>
      </c>
      <c r="F776">
        <v>59</v>
      </c>
      <c r="G776">
        <v>10</v>
      </c>
      <c r="H776">
        <v>5600</v>
      </c>
      <c r="I776">
        <v>0</v>
      </c>
      <c r="J776">
        <f>1</f>
        <v>1</v>
      </c>
      <c r="K776">
        <v>1</v>
      </c>
      <c r="L776">
        <v>0</v>
      </c>
      <c r="M776">
        <f t="shared" ca="1" si="36"/>
        <v>7.3206191128466824E-2</v>
      </c>
      <c r="N776">
        <v>0</v>
      </c>
      <c r="O776">
        <v>0</v>
      </c>
      <c r="P776">
        <f t="shared" ca="1" si="37"/>
        <v>0.92883534763428077</v>
      </c>
      <c r="Q776">
        <f t="shared" si="38"/>
        <v>1</v>
      </c>
    </row>
    <row r="777" spans="1:17" x14ac:dyDescent="0.3">
      <c r="A777" t="s">
        <v>454</v>
      </c>
      <c r="B777" t="s">
        <v>62</v>
      </c>
      <c r="C777">
        <v>8</v>
      </c>
      <c r="D777">
        <v>71400</v>
      </c>
      <c r="E777" t="s">
        <v>66</v>
      </c>
      <c r="F777">
        <v>55</v>
      </c>
      <c r="G777">
        <v>4.8</v>
      </c>
      <c r="H777">
        <v>4300</v>
      </c>
      <c r="I777">
        <v>0</v>
      </c>
      <c r="J777">
        <f>1</f>
        <v>1</v>
      </c>
      <c r="K777">
        <v>1</v>
      </c>
      <c r="L777">
        <v>0</v>
      </c>
      <c r="M777">
        <f t="shared" ca="1" si="36"/>
        <v>0.69011210088104091</v>
      </c>
      <c r="N777">
        <v>0</v>
      </c>
      <c r="O777">
        <v>0</v>
      </c>
      <c r="P777">
        <f t="shared" ca="1" si="37"/>
        <v>6.550667017169165E-2</v>
      </c>
      <c r="Q777">
        <f t="shared" si="38"/>
        <v>1</v>
      </c>
    </row>
    <row r="778" spans="1:17" x14ac:dyDescent="0.3">
      <c r="A778" t="s">
        <v>197</v>
      </c>
      <c r="B778" t="s">
        <v>513</v>
      </c>
      <c r="C778">
        <v>8</v>
      </c>
      <c r="D778">
        <v>61600</v>
      </c>
      <c r="E778" t="s">
        <v>67</v>
      </c>
      <c r="F778">
        <v>68</v>
      </c>
      <c r="G778">
        <v>14.5</v>
      </c>
      <c r="H778">
        <v>1700</v>
      </c>
      <c r="I778">
        <v>0</v>
      </c>
      <c r="J778">
        <f>1</f>
        <v>1</v>
      </c>
      <c r="K778">
        <v>1</v>
      </c>
      <c r="L778">
        <v>0</v>
      </c>
      <c r="M778">
        <f t="shared" ca="1" si="36"/>
        <v>0.93920028357870122</v>
      </c>
      <c r="N778">
        <v>0</v>
      </c>
      <c r="O778">
        <v>0</v>
      </c>
      <c r="P778">
        <f t="shared" ca="1" si="37"/>
        <v>0.90389081261698934</v>
      </c>
      <c r="Q778">
        <f t="shared" si="38"/>
        <v>1</v>
      </c>
    </row>
    <row r="779" spans="1:17" x14ac:dyDescent="0.3">
      <c r="A779" t="s">
        <v>441</v>
      </c>
      <c r="B779" t="s">
        <v>513</v>
      </c>
      <c r="C779">
        <v>3</v>
      </c>
      <c r="D779">
        <v>38900</v>
      </c>
      <c r="E779" t="s">
        <v>67</v>
      </c>
      <c r="F779">
        <v>112</v>
      </c>
      <c r="G779">
        <v>1.6</v>
      </c>
      <c r="H779">
        <v>19100</v>
      </c>
      <c r="I779">
        <v>0</v>
      </c>
      <c r="J779">
        <f>1</f>
        <v>1</v>
      </c>
      <c r="K779">
        <v>1</v>
      </c>
      <c r="L779">
        <v>0</v>
      </c>
      <c r="M779">
        <f t="shared" ca="1" si="36"/>
        <v>0.22492111496620348</v>
      </c>
      <c r="N779">
        <v>0</v>
      </c>
      <c r="O779">
        <v>0</v>
      </c>
      <c r="P779">
        <f t="shared" ca="1" si="37"/>
        <v>0.76121637566708567</v>
      </c>
      <c r="Q779">
        <f t="shared" si="38"/>
        <v>1</v>
      </c>
    </row>
    <row r="780" spans="1:17" x14ac:dyDescent="0.3">
      <c r="A780" t="s">
        <v>930</v>
      </c>
      <c r="B780" t="s">
        <v>62</v>
      </c>
      <c r="C780">
        <v>7</v>
      </c>
      <c r="D780">
        <v>121800</v>
      </c>
      <c r="E780" t="s">
        <v>1146</v>
      </c>
      <c r="F780">
        <v>2</v>
      </c>
      <c r="G780">
        <v>7.4</v>
      </c>
      <c r="H780">
        <v>2800</v>
      </c>
      <c r="I780">
        <v>1</v>
      </c>
      <c r="J780">
        <f>1</f>
        <v>1</v>
      </c>
      <c r="K780">
        <v>1</v>
      </c>
      <c r="L780">
        <v>0</v>
      </c>
      <c r="M780">
        <f t="shared" ca="1" si="36"/>
        <v>0.11674454392453149</v>
      </c>
      <c r="N780">
        <v>0</v>
      </c>
      <c r="O780">
        <v>0</v>
      </c>
      <c r="P780">
        <f t="shared" ca="1" si="37"/>
        <v>0.4345550443102123</v>
      </c>
      <c r="Q780">
        <f t="shared" si="38"/>
        <v>1</v>
      </c>
    </row>
    <row r="781" spans="1:17" x14ac:dyDescent="0.3">
      <c r="A781" t="s">
        <v>790</v>
      </c>
      <c r="B781" t="s">
        <v>62</v>
      </c>
      <c r="C781">
        <v>7</v>
      </c>
      <c r="D781">
        <v>61200</v>
      </c>
      <c r="E781" t="s">
        <v>1146</v>
      </c>
      <c r="F781">
        <v>4</v>
      </c>
      <c r="G781">
        <v>8.5</v>
      </c>
      <c r="H781">
        <v>1900</v>
      </c>
      <c r="I781">
        <v>1</v>
      </c>
      <c r="J781">
        <f>1</f>
        <v>1</v>
      </c>
      <c r="K781">
        <v>1</v>
      </c>
      <c r="L781">
        <v>0</v>
      </c>
      <c r="M781">
        <f t="shared" ca="1" si="36"/>
        <v>0.26702511799333739</v>
      </c>
      <c r="N781">
        <v>0</v>
      </c>
      <c r="O781">
        <v>0</v>
      </c>
      <c r="P781">
        <f t="shared" ca="1" si="37"/>
        <v>0.97839394939806168</v>
      </c>
      <c r="Q781">
        <f t="shared" si="38"/>
        <v>1</v>
      </c>
    </row>
    <row r="782" spans="1:17" x14ac:dyDescent="0.3">
      <c r="A782" t="s">
        <v>1045</v>
      </c>
      <c r="B782" t="s">
        <v>513</v>
      </c>
      <c r="C782">
        <v>9</v>
      </c>
      <c r="D782">
        <v>82400</v>
      </c>
      <c r="E782" t="s">
        <v>1146</v>
      </c>
      <c r="F782">
        <v>8</v>
      </c>
      <c r="G782">
        <v>9.6</v>
      </c>
      <c r="H782">
        <v>9800</v>
      </c>
      <c r="I782">
        <v>1</v>
      </c>
      <c r="J782">
        <f>1</f>
        <v>1</v>
      </c>
      <c r="K782">
        <v>1</v>
      </c>
      <c r="L782">
        <v>0</v>
      </c>
      <c r="M782">
        <f t="shared" ca="1" si="36"/>
        <v>0.18621411805268473</v>
      </c>
      <c r="N782">
        <v>0</v>
      </c>
      <c r="O782">
        <v>0</v>
      </c>
      <c r="P782">
        <f t="shared" ca="1" si="37"/>
        <v>0.83589499413784119</v>
      </c>
      <c r="Q782">
        <f t="shared" si="38"/>
        <v>1</v>
      </c>
    </row>
    <row r="783" spans="1:17" x14ac:dyDescent="0.3">
      <c r="A783" t="s">
        <v>241</v>
      </c>
      <c r="B783" t="s">
        <v>513</v>
      </c>
      <c r="C783">
        <v>7</v>
      </c>
      <c r="D783">
        <v>71400</v>
      </c>
      <c r="E783" t="s">
        <v>66</v>
      </c>
      <c r="F783">
        <v>45</v>
      </c>
      <c r="G783">
        <v>1.3</v>
      </c>
      <c r="H783">
        <v>10400</v>
      </c>
      <c r="I783">
        <v>0</v>
      </c>
      <c r="J783">
        <f>1</f>
        <v>1</v>
      </c>
      <c r="K783">
        <v>1</v>
      </c>
      <c r="L783">
        <v>0</v>
      </c>
      <c r="M783">
        <f t="shared" ca="1" si="36"/>
        <v>0.60331433826783543</v>
      </c>
      <c r="N783">
        <v>0</v>
      </c>
      <c r="O783">
        <v>0</v>
      </c>
      <c r="P783">
        <f t="shared" ca="1" si="37"/>
        <v>0.10557311323649488</v>
      </c>
      <c r="Q783">
        <f t="shared" si="38"/>
        <v>1</v>
      </c>
    </row>
    <row r="784" spans="1:17" x14ac:dyDescent="0.3">
      <c r="A784" t="s">
        <v>833</v>
      </c>
      <c r="B784" t="s">
        <v>62</v>
      </c>
      <c r="C784">
        <v>7</v>
      </c>
      <c r="D784">
        <v>44600</v>
      </c>
      <c r="E784" t="s">
        <v>1146</v>
      </c>
      <c r="F784">
        <v>6</v>
      </c>
      <c r="G784">
        <v>8.5</v>
      </c>
      <c r="H784">
        <v>6700</v>
      </c>
      <c r="I784">
        <v>1</v>
      </c>
      <c r="J784">
        <f>1</f>
        <v>1</v>
      </c>
      <c r="K784">
        <v>1</v>
      </c>
      <c r="L784">
        <v>0</v>
      </c>
      <c r="M784">
        <f t="shared" ca="1" si="36"/>
        <v>0.45820348358626817</v>
      </c>
      <c r="N784">
        <v>0</v>
      </c>
      <c r="O784">
        <v>0</v>
      </c>
      <c r="P784">
        <f t="shared" ca="1" si="37"/>
        <v>0.65078810367468265</v>
      </c>
      <c r="Q784">
        <f t="shared" si="38"/>
        <v>1</v>
      </c>
    </row>
    <row r="785" spans="1:17" x14ac:dyDescent="0.3">
      <c r="A785" t="s">
        <v>622</v>
      </c>
      <c r="B785" t="s">
        <v>513</v>
      </c>
      <c r="C785">
        <v>5</v>
      </c>
      <c r="D785">
        <v>56300</v>
      </c>
      <c r="E785" t="s">
        <v>66</v>
      </c>
      <c r="F785">
        <v>65</v>
      </c>
      <c r="G785">
        <v>14.4</v>
      </c>
      <c r="H785">
        <v>13000</v>
      </c>
      <c r="I785">
        <v>0</v>
      </c>
      <c r="J785">
        <f>1</f>
        <v>1</v>
      </c>
      <c r="K785">
        <v>1</v>
      </c>
      <c r="L785">
        <v>0</v>
      </c>
      <c r="M785">
        <f t="shared" ca="1" si="36"/>
        <v>0.70412736426429234</v>
      </c>
      <c r="N785">
        <v>0</v>
      </c>
      <c r="O785">
        <v>0</v>
      </c>
      <c r="P785">
        <f t="shared" ca="1" si="37"/>
        <v>0.14412634777133182</v>
      </c>
      <c r="Q785">
        <f t="shared" si="38"/>
        <v>1</v>
      </c>
    </row>
    <row r="786" spans="1:17" x14ac:dyDescent="0.3">
      <c r="A786" t="s">
        <v>785</v>
      </c>
      <c r="B786" t="s">
        <v>65</v>
      </c>
      <c r="C786">
        <v>9</v>
      </c>
      <c r="D786">
        <v>35300</v>
      </c>
      <c r="E786" t="s">
        <v>1146</v>
      </c>
      <c r="F786">
        <v>4</v>
      </c>
      <c r="G786">
        <v>10.4</v>
      </c>
      <c r="H786">
        <v>10300</v>
      </c>
      <c r="I786">
        <v>1</v>
      </c>
      <c r="J786">
        <f>1</f>
        <v>1</v>
      </c>
      <c r="K786">
        <v>1</v>
      </c>
      <c r="L786">
        <v>0</v>
      </c>
      <c r="M786">
        <f t="shared" ca="1" si="36"/>
        <v>0.86576127334406228</v>
      </c>
      <c r="N786">
        <v>0</v>
      </c>
      <c r="O786">
        <v>0</v>
      </c>
      <c r="P786">
        <f t="shared" ca="1" si="37"/>
        <v>0.17465453502680506</v>
      </c>
      <c r="Q786">
        <f t="shared" si="38"/>
        <v>1</v>
      </c>
    </row>
    <row r="787" spans="1:17" x14ac:dyDescent="0.3">
      <c r="A787" t="s">
        <v>937</v>
      </c>
      <c r="B787" t="s">
        <v>64</v>
      </c>
      <c r="C787">
        <v>3</v>
      </c>
      <c r="D787">
        <v>57600</v>
      </c>
      <c r="E787" t="s">
        <v>66</v>
      </c>
      <c r="F787">
        <v>65</v>
      </c>
      <c r="G787">
        <v>10</v>
      </c>
      <c r="H787">
        <v>0</v>
      </c>
      <c r="I787">
        <v>1</v>
      </c>
      <c r="J787">
        <f>1</f>
        <v>1</v>
      </c>
      <c r="K787">
        <v>1</v>
      </c>
      <c r="L787">
        <v>0</v>
      </c>
      <c r="M787">
        <f t="shared" ca="1" si="36"/>
        <v>0.68970995105331501</v>
      </c>
      <c r="N787">
        <v>0</v>
      </c>
      <c r="O787">
        <v>0</v>
      </c>
      <c r="P787">
        <f t="shared" ca="1" si="37"/>
        <v>0.61012633509923309</v>
      </c>
      <c r="Q787">
        <f t="shared" si="38"/>
        <v>1</v>
      </c>
    </row>
    <row r="788" spans="1:17" x14ac:dyDescent="0.3">
      <c r="A788" t="s">
        <v>111</v>
      </c>
      <c r="B788" t="s">
        <v>513</v>
      </c>
      <c r="C788">
        <v>5</v>
      </c>
      <c r="D788">
        <v>14300</v>
      </c>
      <c r="E788" t="s">
        <v>69</v>
      </c>
      <c r="F788">
        <v>55</v>
      </c>
      <c r="G788">
        <v>8.4</v>
      </c>
      <c r="H788">
        <v>6800</v>
      </c>
      <c r="I788">
        <v>0</v>
      </c>
      <c r="J788">
        <f>1</f>
        <v>1</v>
      </c>
      <c r="K788">
        <v>1</v>
      </c>
      <c r="L788">
        <v>0</v>
      </c>
      <c r="M788">
        <f t="shared" ca="1" si="36"/>
        <v>0.26853014831460775</v>
      </c>
      <c r="N788">
        <v>0</v>
      </c>
      <c r="O788">
        <v>0</v>
      </c>
      <c r="P788">
        <f t="shared" ca="1" si="37"/>
        <v>0.96169920046375457</v>
      </c>
      <c r="Q788">
        <f t="shared" si="38"/>
        <v>1</v>
      </c>
    </row>
    <row r="789" spans="1:17" x14ac:dyDescent="0.3">
      <c r="A789" t="s">
        <v>403</v>
      </c>
      <c r="B789" t="s">
        <v>64</v>
      </c>
      <c r="C789">
        <v>3</v>
      </c>
      <c r="D789">
        <v>14800</v>
      </c>
      <c r="E789" t="s">
        <v>66</v>
      </c>
      <c r="F789">
        <v>48</v>
      </c>
      <c r="G789">
        <v>1</v>
      </c>
      <c r="H789">
        <v>2300</v>
      </c>
      <c r="I789">
        <v>0</v>
      </c>
      <c r="J789">
        <f>1</f>
        <v>1</v>
      </c>
      <c r="K789">
        <v>1</v>
      </c>
      <c r="L789">
        <v>0</v>
      </c>
      <c r="M789">
        <f t="shared" ca="1" si="36"/>
        <v>0.91940684544275542</v>
      </c>
      <c r="N789">
        <v>0</v>
      </c>
      <c r="O789">
        <v>0</v>
      </c>
      <c r="P789">
        <f t="shared" ca="1" si="37"/>
        <v>0.59065906716636363</v>
      </c>
      <c r="Q789">
        <f t="shared" si="38"/>
        <v>1</v>
      </c>
    </row>
    <row r="790" spans="1:17" x14ac:dyDescent="0.3">
      <c r="A790" t="s">
        <v>1059</v>
      </c>
      <c r="B790" t="s">
        <v>65</v>
      </c>
      <c r="C790">
        <v>5</v>
      </c>
      <c r="D790">
        <v>106600</v>
      </c>
      <c r="E790" t="s">
        <v>1146</v>
      </c>
      <c r="F790">
        <v>7</v>
      </c>
      <c r="G790">
        <v>5.2</v>
      </c>
      <c r="H790">
        <v>1500</v>
      </c>
      <c r="I790">
        <v>1</v>
      </c>
      <c r="J790">
        <f>1</f>
        <v>1</v>
      </c>
      <c r="K790">
        <v>1</v>
      </c>
      <c r="L790">
        <v>0</v>
      </c>
      <c r="M790">
        <f t="shared" ca="1" si="36"/>
        <v>5.132753375404131E-2</v>
      </c>
      <c r="N790">
        <v>0</v>
      </c>
      <c r="O790">
        <v>0</v>
      </c>
      <c r="P790">
        <f t="shared" ca="1" si="37"/>
        <v>0.89958512965285709</v>
      </c>
      <c r="Q790">
        <f t="shared" si="38"/>
        <v>1</v>
      </c>
    </row>
    <row r="791" spans="1:17" x14ac:dyDescent="0.3">
      <c r="A791" t="s">
        <v>864</v>
      </c>
      <c r="B791" t="s">
        <v>64</v>
      </c>
      <c r="C791">
        <v>7</v>
      </c>
      <c r="D791">
        <v>23100</v>
      </c>
      <c r="E791" t="s">
        <v>1146</v>
      </c>
      <c r="F791">
        <v>8</v>
      </c>
      <c r="G791">
        <v>10.5</v>
      </c>
      <c r="H791">
        <v>0</v>
      </c>
      <c r="I791">
        <v>1</v>
      </c>
      <c r="J791">
        <f>1</f>
        <v>1</v>
      </c>
      <c r="K791">
        <v>1</v>
      </c>
      <c r="L791">
        <v>0</v>
      </c>
      <c r="M791">
        <f t="shared" ca="1" si="36"/>
        <v>0.14857442034570989</v>
      </c>
      <c r="N791">
        <v>0</v>
      </c>
      <c r="O791">
        <v>0</v>
      </c>
      <c r="P791">
        <f t="shared" ca="1" si="37"/>
        <v>0.82699484879572638</v>
      </c>
      <c r="Q791">
        <f t="shared" si="38"/>
        <v>1</v>
      </c>
    </row>
    <row r="792" spans="1:17" x14ac:dyDescent="0.3">
      <c r="A792" t="s">
        <v>387</v>
      </c>
      <c r="B792" t="s">
        <v>62</v>
      </c>
      <c r="C792">
        <v>4</v>
      </c>
      <c r="D792">
        <v>49900</v>
      </c>
      <c r="E792" t="s">
        <v>66</v>
      </c>
      <c r="F792">
        <v>52</v>
      </c>
      <c r="G792">
        <v>8.6</v>
      </c>
      <c r="H792">
        <v>11400</v>
      </c>
      <c r="I792">
        <v>0</v>
      </c>
      <c r="J792">
        <f>1</f>
        <v>1</v>
      </c>
      <c r="K792">
        <v>1</v>
      </c>
      <c r="L792">
        <v>0</v>
      </c>
      <c r="M792">
        <f t="shared" ca="1" si="36"/>
        <v>0.57846721310690297</v>
      </c>
      <c r="N792">
        <v>0</v>
      </c>
      <c r="O792">
        <v>0</v>
      </c>
      <c r="P792">
        <f t="shared" ca="1" si="37"/>
        <v>0.5222068221437649</v>
      </c>
      <c r="Q792">
        <f t="shared" si="38"/>
        <v>1</v>
      </c>
    </row>
    <row r="793" spans="1:17" x14ac:dyDescent="0.3">
      <c r="A793" t="s">
        <v>269</v>
      </c>
      <c r="B793" t="s">
        <v>65</v>
      </c>
      <c r="C793">
        <v>4</v>
      </c>
      <c r="D793">
        <v>66000</v>
      </c>
      <c r="E793" t="s">
        <v>67</v>
      </c>
      <c r="F793">
        <v>63</v>
      </c>
      <c r="G793">
        <v>2.1</v>
      </c>
      <c r="H793">
        <v>8600</v>
      </c>
      <c r="I793">
        <v>0</v>
      </c>
      <c r="J793">
        <f>1</f>
        <v>1</v>
      </c>
      <c r="K793">
        <v>1</v>
      </c>
      <c r="L793">
        <v>0</v>
      </c>
      <c r="M793">
        <f t="shared" ca="1" si="36"/>
        <v>0.55514143375629876</v>
      </c>
      <c r="N793">
        <v>0</v>
      </c>
      <c r="O793">
        <v>0</v>
      </c>
      <c r="P793">
        <f t="shared" ca="1" si="37"/>
        <v>0.98572644332860548</v>
      </c>
      <c r="Q793">
        <f t="shared" si="38"/>
        <v>1</v>
      </c>
    </row>
    <row r="794" spans="1:17" x14ac:dyDescent="0.3">
      <c r="A794" t="s">
        <v>575</v>
      </c>
      <c r="B794" t="s">
        <v>62</v>
      </c>
      <c r="C794">
        <v>5</v>
      </c>
      <c r="D794">
        <v>35600</v>
      </c>
      <c r="E794" t="s">
        <v>67</v>
      </c>
      <c r="F794">
        <v>75</v>
      </c>
      <c r="G794">
        <v>1</v>
      </c>
      <c r="H794">
        <v>2100</v>
      </c>
      <c r="I794">
        <v>0</v>
      </c>
      <c r="J794">
        <f>1</f>
        <v>1</v>
      </c>
      <c r="K794">
        <v>1</v>
      </c>
      <c r="L794">
        <v>0</v>
      </c>
      <c r="M794">
        <f t="shared" ca="1" si="36"/>
        <v>5.324016808776677E-2</v>
      </c>
      <c r="N794">
        <v>0</v>
      </c>
      <c r="O794">
        <v>0</v>
      </c>
      <c r="P794">
        <f t="shared" ca="1" si="37"/>
        <v>0.6233997110529953</v>
      </c>
      <c r="Q794">
        <f t="shared" si="38"/>
        <v>1</v>
      </c>
    </row>
    <row r="795" spans="1:17" x14ac:dyDescent="0.3">
      <c r="A795" t="s">
        <v>1118</v>
      </c>
      <c r="B795" t="s">
        <v>62</v>
      </c>
      <c r="C795">
        <v>1</v>
      </c>
      <c r="D795">
        <v>49900</v>
      </c>
      <c r="E795" t="s">
        <v>69</v>
      </c>
      <c r="F795">
        <v>21</v>
      </c>
      <c r="G795">
        <v>9.1</v>
      </c>
      <c r="H795">
        <v>2700</v>
      </c>
      <c r="I795">
        <v>1</v>
      </c>
      <c r="J795">
        <f>1</f>
        <v>1</v>
      </c>
      <c r="K795">
        <v>1</v>
      </c>
      <c r="L795">
        <v>0</v>
      </c>
      <c r="M795">
        <f t="shared" ca="1" si="36"/>
        <v>0.39734056307477272</v>
      </c>
      <c r="N795">
        <v>0</v>
      </c>
      <c r="O795">
        <v>0</v>
      </c>
      <c r="P795">
        <f t="shared" ca="1" si="37"/>
        <v>0.61637009643277152</v>
      </c>
      <c r="Q795">
        <f t="shared" si="38"/>
        <v>1</v>
      </c>
    </row>
    <row r="796" spans="1:17" x14ac:dyDescent="0.3">
      <c r="A796" t="s">
        <v>630</v>
      </c>
      <c r="B796" t="s">
        <v>64</v>
      </c>
      <c r="C796">
        <v>6</v>
      </c>
      <c r="D796">
        <v>41200</v>
      </c>
      <c r="E796" t="s">
        <v>1146</v>
      </c>
      <c r="F796">
        <v>3</v>
      </c>
      <c r="G796">
        <v>4.5999999999999996</v>
      </c>
      <c r="H796">
        <v>2700</v>
      </c>
      <c r="I796">
        <v>1</v>
      </c>
      <c r="J796">
        <f>1</f>
        <v>1</v>
      </c>
      <c r="K796">
        <v>1</v>
      </c>
      <c r="L796">
        <v>0</v>
      </c>
      <c r="M796">
        <f t="shared" ca="1" si="36"/>
        <v>0.72252322756991516</v>
      </c>
      <c r="N796">
        <v>0</v>
      </c>
      <c r="O796">
        <v>0</v>
      </c>
      <c r="P796">
        <f t="shared" ca="1" si="37"/>
        <v>0.47509800790034018</v>
      </c>
      <c r="Q796">
        <f t="shared" si="38"/>
        <v>1</v>
      </c>
    </row>
    <row r="797" spans="1:17" x14ac:dyDescent="0.3">
      <c r="A797" t="s">
        <v>528</v>
      </c>
      <c r="B797" t="s">
        <v>62</v>
      </c>
      <c r="C797">
        <v>4</v>
      </c>
      <c r="D797">
        <v>31200</v>
      </c>
      <c r="E797" t="s">
        <v>69</v>
      </c>
      <c r="F797">
        <v>10</v>
      </c>
      <c r="G797">
        <v>2.2999999999999998</v>
      </c>
      <c r="H797">
        <v>10500</v>
      </c>
      <c r="I797">
        <v>0</v>
      </c>
      <c r="J797">
        <f>1</f>
        <v>1</v>
      </c>
      <c r="K797">
        <v>1</v>
      </c>
      <c r="L797">
        <v>0</v>
      </c>
      <c r="M797">
        <f t="shared" ca="1" si="36"/>
        <v>0.26035021181163975</v>
      </c>
      <c r="N797">
        <v>0</v>
      </c>
      <c r="O797">
        <v>0</v>
      </c>
      <c r="P797">
        <f t="shared" ca="1" si="37"/>
        <v>5.9902040149108049E-2</v>
      </c>
      <c r="Q797">
        <f t="shared" si="38"/>
        <v>1</v>
      </c>
    </row>
    <row r="798" spans="1:17" x14ac:dyDescent="0.3">
      <c r="A798" t="s">
        <v>644</v>
      </c>
      <c r="B798" t="s">
        <v>65</v>
      </c>
      <c r="C798">
        <v>4</v>
      </c>
      <c r="D798">
        <v>41300</v>
      </c>
      <c r="E798" t="s">
        <v>1146</v>
      </c>
      <c r="F798">
        <v>1</v>
      </c>
      <c r="G798">
        <v>7.5</v>
      </c>
      <c r="H798">
        <v>8600</v>
      </c>
      <c r="I798">
        <v>1</v>
      </c>
      <c r="J798">
        <f>1</f>
        <v>1</v>
      </c>
      <c r="K798">
        <v>1</v>
      </c>
      <c r="L798">
        <v>0</v>
      </c>
      <c r="M798">
        <f t="shared" ca="1" si="36"/>
        <v>5.3330132203261993E-2</v>
      </c>
      <c r="N798">
        <v>0</v>
      </c>
      <c r="O798">
        <v>0</v>
      </c>
      <c r="P798">
        <f t="shared" ca="1" si="37"/>
        <v>0.97463349380033204</v>
      </c>
      <c r="Q798">
        <f t="shared" si="38"/>
        <v>1</v>
      </c>
    </row>
    <row r="799" spans="1:17" x14ac:dyDescent="0.3">
      <c r="A799" t="s">
        <v>238</v>
      </c>
      <c r="B799" t="s">
        <v>62</v>
      </c>
      <c r="C799">
        <v>7</v>
      </c>
      <c r="D799">
        <v>28500</v>
      </c>
      <c r="E799" t="s">
        <v>69</v>
      </c>
      <c r="F799">
        <v>38</v>
      </c>
      <c r="G799">
        <v>6.8</v>
      </c>
      <c r="H799">
        <v>5400</v>
      </c>
      <c r="I799">
        <v>0</v>
      </c>
      <c r="J799">
        <f>1</f>
        <v>1</v>
      </c>
      <c r="K799">
        <v>1</v>
      </c>
      <c r="L799">
        <v>0</v>
      </c>
      <c r="M799">
        <f t="shared" ca="1" si="36"/>
        <v>0.97048062948033542</v>
      </c>
      <c r="N799">
        <v>0</v>
      </c>
      <c r="O799">
        <v>0</v>
      </c>
      <c r="P799">
        <f t="shared" ca="1" si="37"/>
        <v>0.62152732475068884</v>
      </c>
      <c r="Q799">
        <f t="shared" si="38"/>
        <v>1</v>
      </c>
    </row>
    <row r="800" spans="1:17" x14ac:dyDescent="0.3">
      <c r="A800" t="s">
        <v>255</v>
      </c>
      <c r="B800" t="s">
        <v>62</v>
      </c>
      <c r="C800">
        <v>2</v>
      </c>
      <c r="D800">
        <v>27600</v>
      </c>
      <c r="E800" t="s">
        <v>67</v>
      </c>
      <c r="F800">
        <v>83</v>
      </c>
      <c r="G800">
        <v>0.3</v>
      </c>
      <c r="H800">
        <v>7900</v>
      </c>
      <c r="I800">
        <v>0</v>
      </c>
      <c r="J800">
        <f>1</f>
        <v>1</v>
      </c>
      <c r="K800">
        <v>1</v>
      </c>
      <c r="L800">
        <v>0</v>
      </c>
      <c r="M800">
        <f t="shared" ca="1" si="36"/>
        <v>0.21805883299036477</v>
      </c>
      <c r="N800">
        <v>0</v>
      </c>
      <c r="O800">
        <v>0</v>
      </c>
      <c r="P800">
        <f t="shared" ca="1" si="37"/>
        <v>0.86736313556181244</v>
      </c>
      <c r="Q800">
        <f t="shared" si="38"/>
        <v>1</v>
      </c>
    </row>
    <row r="801" spans="1:17" x14ac:dyDescent="0.3">
      <c r="A801" t="s">
        <v>901</v>
      </c>
      <c r="B801" t="s">
        <v>65</v>
      </c>
      <c r="C801">
        <v>5</v>
      </c>
      <c r="D801">
        <v>84300</v>
      </c>
      <c r="E801" t="s">
        <v>1146</v>
      </c>
      <c r="F801">
        <v>9</v>
      </c>
      <c r="G801">
        <v>8.6999999999999993</v>
      </c>
      <c r="H801">
        <v>2500</v>
      </c>
      <c r="I801">
        <v>1</v>
      </c>
      <c r="J801">
        <f>1</f>
        <v>1</v>
      </c>
      <c r="K801">
        <v>1</v>
      </c>
      <c r="L801">
        <v>0</v>
      </c>
      <c r="M801">
        <f t="shared" ca="1" si="36"/>
        <v>0.41234873923176518</v>
      </c>
      <c r="N801">
        <v>0</v>
      </c>
      <c r="O801">
        <v>0</v>
      </c>
      <c r="P801">
        <f t="shared" ca="1" si="37"/>
        <v>0.97292442383852895</v>
      </c>
      <c r="Q801">
        <f t="shared" si="38"/>
        <v>1</v>
      </c>
    </row>
    <row r="802" spans="1:17" x14ac:dyDescent="0.3">
      <c r="A802" t="s">
        <v>360</v>
      </c>
      <c r="B802" t="s">
        <v>513</v>
      </c>
      <c r="C802">
        <v>7</v>
      </c>
      <c r="D802">
        <v>46600</v>
      </c>
      <c r="E802" t="s">
        <v>68</v>
      </c>
      <c r="F802">
        <v>72</v>
      </c>
      <c r="G802">
        <v>4</v>
      </c>
      <c r="H802">
        <v>4600</v>
      </c>
      <c r="I802">
        <v>0</v>
      </c>
      <c r="J802">
        <f>1</f>
        <v>1</v>
      </c>
      <c r="K802">
        <v>1</v>
      </c>
      <c r="L802">
        <v>0</v>
      </c>
      <c r="M802">
        <f t="shared" ca="1" si="36"/>
        <v>0.9949524469615052</v>
      </c>
      <c r="N802">
        <v>0</v>
      </c>
      <c r="O802">
        <v>0</v>
      </c>
      <c r="P802">
        <f t="shared" ca="1" si="37"/>
        <v>1.3341940610327119E-2</v>
      </c>
      <c r="Q802">
        <f t="shared" si="38"/>
        <v>1</v>
      </c>
    </row>
    <row r="803" spans="1:17" x14ac:dyDescent="0.3">
      <c r="A803" t="s">
        <v>710</v>
      </c>
      <c r="B803" t="s">
        <v>64</v>
      </c>
      <c r="C803">
        <v>4</v>
      </c>
      <c r="D803">
        <v>34500</v>
      </c>
      <c r="E803" t="s">
        <v>1146</v>
      </c>
      <c r="F803">
        <v>7</v>
      </c>
      <c r="G803">
        <v>8.4</v>
      </c>
      <c r="H803">
        <v>5400</v>
      </c>
      <c r="I803">
        <v>1</v>
      </c>
      <c r="J803">
        <f>1</f>
        <v>1</v>
      </c>
      <c r="K803">
        <v>1</v>
      </c>
      <c r="L803">
        <v>0</v>
      </c>
      <c r="M803">
        <f t="shared" ca="1" si="36"/>
        <v>0.48571923864797517</v>
      </c>
      <c r="N803">
        <v>0</v>
      </c>
      <c r="O803">
        <v>0</v>
      </c>
      <c r="P803">
        <f t="shared" ca="1" si="37"/>
        <v>0.62308881856030207</v>
      </c>
      <c r="Q803">
        <f t="shared" si="38"/>
        <v>1</v>
      </c>
    </row>
    <row r="804" spans="1:17" x14ac:dyDescent="0.3">
      <c r="A804" t="s">
        <v>397</v>
      </c>
      <c r="B804" t="s">
        <v>513</v>
      </c>
      <c r="C804">
        <v>6</v>
      </c>
      <c r="D804">
        <v>42500</v>
      </c>
      <c r="E804" t="s">
        <v>69</v>
      </c>
      <c r="F804">
        <v>47</v>
      </c>
      <c r="G804">
        <v>6.6</v>
      </c>
      <c r="H804">
        <v>5200</v>
      </c>
      <c r="I804">
        <v>0</v>
      </c>
      <c r="J804">
        <f>1</f>
        <v>1</v>
      </c>
      <c r="K804">
        <v>1</v>
      </c>
      <c r="L804">
        <v>0</v>
      </c>
      <c r="M804">
        <f t="shared" ca="1" si="36"/>
        <v>0.49581345974305102</v>
      </c>
      <c r="N804">
        <v>0</v>
      </c>
      <c r="O804">
        <v>0</v>
      </c>
      <c r="P804">
        <f t="shared" ca="1" si="37"/>
        <v>0.48582308675645425</v>
      </c>
      <c r="Q804">
        <f t="shared" si="38"/>
        <v>1</v>
      </c>
    </row>
    <row r="805" spans="1:17" x14ac:dyDescent="0.3">
      <c r="A805" t="s">
        <v>398</v>
      </c>
      <c r="B805" t="s">
        <v>513</v>
      </c>
      <c r="C805">
        <v>3</v>
      </c>
      <c r="D805">
        <v>41900</v>
      </c>
      <c r="E805" t="s">
        <v>67</v>
      </c>
      <c r="F805">
        <v>63</v>
      </c>
      <c r="G805">
        <v>12.7</v>
      </c>
      <c r="H805">
        <v>3400</v>
      </c>
      <c r="I805">
        <v>0</v>
      </c>
      <c r="J805">
        <f>1</f>
        <v>1</v>
      </c>
      <c r="K805">
        <v>1</v>
      </c>
      <c r="L805">
        <v>0</v>
      </c>
      <c r="M805">
        <f t="shared" ca="1" si="36"/>
        <v>0.19450397352760096</v>
      </c>
      <c r="N805">
        <v>0</v>
      </c>
      <c r="O805">
        <v>0</v>
      </c>
      <c r="P805">
        <f t="shared" ca="1" si="37"/>
        <v>0.69873778142157306</v>
      </c>
      <c r="Q805">
        <f t="shared" si="38"/>
        <v>1</v>
      </c>
    </row>
    <row r="806" spans="1:17" x14ac:dyDescent="0.3">
      <c r="A806" t="s">
        <v>881</v>
      </c>
      <c r="B806" t="s">
        <v>62</v>
      </c>
      <c r="C806">
        <v>9</v>
      </c>
      <c r="D806">
        <v>53700</v>
      </c>
      <c r="E806" t="s">
        <v>1146</v>
      </c>
      <c r="F806">
        <v>2</v>
      </c>
      <c r="G806">
        <v>2.1</v>
      </c>
      <c r="H806">
        <v>200</v>
      </c>
      <c r="I806">
        <v>1</v>
      </c>
      <c r="J806">
        <f>1</f>
        <v>1</v>
      </c>
      <c r="K806">
        <v>1</v>
      </c>
      <c r="L806">
        <v>0</v>
      </c>
      <c r="M806">
        <f t="shared" ca="1" si="36"/>
        <v>0.59539991996370945</v>
      </c>
      <c r="N806">
        <v>0</v>
      </c>
      <c r="O806">
        <v>0</v>
      </c>
      <c r="P806">
        <f t="shared" ca="1" si="37"/>
        <v>2.5418357331132624E-2</v>
      </c>
      <c r="Q806">
        <f t="shared" si="38"/>
        <v>1</v>
      </c>
    </row>
    <row r="807" spans="1:17" x14ac:dyDescent="0.3">
      <c r="A807" t="s">
        <v>727</v>
      </c>
      <c r="B807" t="s">
        <v>513</v>
      </c>
      <c r="C807">
        <v>5</v>
      </c>
      <c r="D807">
        <v>22600</v>
      </c>
      <c r="E807" t="s">
        <v>1146</v>
      </c>
      <c r="F807">
        <v>5</v>
      </c>
      <c r="G807">
        <v>1.4</v>
      </c>
      <c r="H807">
        <v>6100</v>
      </c>
      <c r="I807">
        <v>1</v>
      </c>
      <c r="J807">
        <f>1</f>
        <v>1</v>
      </c>
      <c r="K807">
        <v>1</v>
      </c>
      <c r="L807">
        <v>0</v>
      </c>
      <c r="M807">
        <f t="shared" ca="1" si="36"/>
        <v>0.34756231266710602</v>
      </c>
      <c r="N807">
        <v>0</v>
      </c>
      <c r="O807">
        <v>0</v>
      </c>
      <c r="P807">
        <f t="shared" ca="1" si="37"/>
        <v>0.42319749026401454</v>
      </c>
      <c r="Q807">
        <f t="shared" si="38"/>
        <v>1</v>
      </c>
    </row>
    <row r="808" spans="1:17" x14ac:dyDescent="0.3">
      <c r="A808" t="s">
        <v>664</v>
      </c>
      <c r="B808" t="s">
        <v>513</v>
      </c>
      <c r="C808">
        <v>5</v>
      </c>
      <c r="D808">
        <v>63300</v>
      </c>
      <c r="E808" t="s">
        <v>1146</v>
      </c>
      <c r="F808">
        <v>2</v>
      </c>
      <c r="G808">
        <v>1.9</v>
      </c>
      <c r="H808">
        <v>5800</v>
      </c>
      <c r="I808">
        <v>1</v>
      </c>
      <c r="J808">
        <f>1</f>
        <v>1</v>
      </c>
      <c r="K808">
        <v>1</v>
      </c>
      <c r="L808">
        <v>0</v>
      </c>
      <c r="M808">
        <f t="shared" ca="1" si="36"/>
        <v>0.57746353330949218</v>
      </c>
      <c r="N808">
        <v>0</v>
      </c>
      <c r="O808">
        <v>0</v>
      </c>
      <c r="P808">
        <f t="shared" ca="1" si="37"/>
        <v>0.53151205430991111</v>
      </c>
      <c r="Q808">
        <f t="shared" si="38"/>
        <v>1</v>
      </c>
    </row>
    <row r="809" spans="1:17" x14ac:dyDescent="0.3">
      <c r="A809" t="s">
        <v>164</v>
      </c>
      <c r="B809" t="s">
        <v>62</v>
      </c>
      <c r="C809">
        <v>4</v>
      </c>
      <c r="D809">
        <v>44200</v>
      </c>
      <c r="E809" t="s">
        <v>69</v>
      </c>
      <c r="F809">
        <v>23</v>
      </c>
      <c r="G809">
        <v>0.6</v>
      </c>
      <c r="H809">
        <v>7700</v>
      </c>
      <c r="I809">
        <v>0</v>
      </c>
      <c r="J809">
        <f>1</f>
        <v>1</v>
      </c>
      <c r="K809">
        <v>1</v>
      </c>
      <c r="L809">
        <v>0</v>
      </c>
      <c r="M809">
        <f t="shared" ca="1" si="36"/>
        <v>0.65057700794105267</v>
      </c>
      <c r="N809">
        <v>0</v>
      </c>
      <c r="O809">
        <v>0</v>
      </c>
      <c r="P809">
        <f t="shared" ca="1" si="37"/>
        <v>0.50811879584752229</v>
      </c>
      <c r="Q809">
        <f t="shared" si="38"/>
        <v>1</v>
      </c>
    </row>
    <row r="810" spans="1:17" x14ac:dyDescent="0.3">
      <c r="A810" t="s">
        <v>196</v>
      </c>
      <c r="B810" t="s">
        <v>65</v>
      </c>
      <c r="C810">
        <v>2</v>
      </c>
      <c r="D810">
        <v>20400</v>
      </c>
      <c r="E810" t="s">
        <v>67</v>
      </c>
      <c r="F810">
        <v>91</v>
      </c>
      <c r="G810">
        <v>0.9</v>
      </c>
      <c r="H810">
        <v>3100</v>
      </c>
      <c r="I810">
        <v>0</v>
      </c>
      <c r="J810">
        <f>1</f>
        <v>1</v>
      </c>
      <c r="K810">
        <v>1</v>
      </c>
      <c r="L810">
        <v>0</v>
      </c>
      <c r="M810">
        <f t="shared" ca="1" si="36"/>
        <v>0.73107687217010331</v>
      </c>
      <c r="N810">
        <v>0</v>
      </c>
      <c r="O810">
        <v>0</v>
      </c>
      <c r="P810">
        <f t="shared" ca="1" si="37"/>
        <v>0.3854901239008347</v>
      </c>
      <c r="Q810">
        <f t="shared" si="38"/>
        <v>1</v>
      </c>
    </row>
    <row r="811" spans="1:17" x14ac:dyDescent="0.3">
      <c r="A811" t="s">
        <v>215</v>
      </c>
      <c r="B811" t="s">
        <v>513</v>
      </c>
      <c r="C811">
        <v>6</v>
      </c>
      <c r="D811">
        <v>105400</v>
      </c>
      <c r="E811" t="s">
        <v>66</v>
      </c>
      <c r="F811">
        <v>46</v>
      </c>
      <c r="G811">
        <v>6.3</v>
      </c>
      <c r="H811">
        <v>11300</v>
      </c>
      <c r="I811">
        <v>0</v>
      </c>
      <c r="J811">
        <f>1</f>
        <v>1</v>
      </c>
      <c r="K811">
        <v>1</v>
      </c>
      <c r="L811">
        <v>0</v>
      </c>
      <c r="M811">
        <f t="shared" ca="1" si="36"/>
        <v>0.69781199612456957</v>
      </c>
      <c r="N811">
        <v>0</v>
      </c>
      <c r="O811">
        <v>0</v>
      </c>
      <c r="P811">
        <f t="shared" ca="1" si="37"/>
        <v>0.93288578330137439</v>
      </c>
      <c r="Q811">
        <f t="shared" si="38"/>
        <v>1</v>
      </c>
    </row>
    <row r="812" spans="1:17" x14ac:dyDescent="0.3">
      <c r="A812" t="s">
        <v>870</v>
      </c>
      <c r="B812" t="s">
        <v>62</v>
      </c>
      <c r="C812">
        <v>2</v>
      </c>
      <c r="D812">
        <v>19800</v>
      </c>
      <c r="E812" t="s">
        <v>1146</v>
      </c>
      <c r="F812">
        <v>2</v>
      </c>
      <c r="G812">
        <v>4.7</v>
      </c>
      <c r="H812">
        <v>6900</v>
      </c>
      <c r="I812">
        <v>1</v>
      </c>
      <c r="J812">
        <f>1</f>
        <v>1</v>
      </c>
      <c r="K812">
        <v>1</v>
      </c>
      <c r="L812">
        <v>0</v>
      </c>
      <c r="M812">
        <f t="shared" ca="1" si="36"/>
        <v>0.45119782508358086</v>
      </c>
      <c r="N812">
        <v>0</v>
      </c>
      <c r="O812">
        <v>0</v>
      </c>
      <c r="P812">
        <f t="shared" ca="1" si="37"/>
        <v>0.36689887055660109</v>
      </c>
      <c r="Q812">
        <f t="shared" si="38"/>
        <v>1</v>
      </c>
    </row>
    <row r="813" spans="1:17" x14ac:dyDescent="0.3">
      <c r="A813" t="s">
        <v>438</v>
      </c>
      <c r="B813" t="s">
        <v>64</v>
      </c>
      <c r="C813">
        <v>4</v>
      </c>
      <c r="D813">
        <v>53800</v>
      </c>
      <c r="E813" t="s">
        <v>66</v>
      </c>
      <c r="F813">
        <v>33</v>
      </c>
      <c r="G813">
        <v>2.9</v>
      </c>
      <c r="H813">
        <v>500</v>
      </c>
      <c r="I813">
        <v>0</v>
      </c>
      <c r="J813">
        <f>1</f>
        <v>1</v>
      </c>
      <c r="K813">
        <v>1</v>
      </c>
      <c r="L813">
        <v>0</v>
      </c>
      <c r="M813">
        <f t="shared" ca="1" si="36"/>
        <v>0.78030817506771577</v>
      </c>
      <c r="N813">
        <v>0</v>
      </c>
      <c r="O813">
        <v>0</v>
      </c>
      <c r="P813">
        <f t="shared" ca="1" si="37"/>
        <v>0.86974263807767971</v>
      </c>
      <c r="Q813">
        <f t="shared" si="38"/>
        <v>1</v>
      </c>
    </row>
    <row r="814" spans="1:17" x14ac:dyDescent="0.3">
      <c r="A814" t="s">
        <v>1021</v>
      </c>
      <c r="B814" t="s">
        <v>62</v>
      </c>
      <c r="C814">
        <v>4</v>
      </c>
      <c r="D814">
        <v>37500</v>
      </c>
      <c r="E814" t="s">
        <v>1146</v>
      </c>
      <c r="F814">
        <v>4</v>
      </c>
      <c r="G814">
        <v>7.1</v>
      </c>
      <c r="H814">
        <v>10600</v>
      </c>
      <c r="I814">
        <v>1</v>
      </c>
      <c r="J814">
        <f>1</f>
        <v>1</v>
      </c>
      <c r="K814">
        <v>1</v>
      </c>
      <c r="L814">
        <v>0</v>
      </c>
      <c r="M814">
        <f t="shared" ca="1" si="36"/>
        <v>0.59417486543586995</v>
      </c>
      <c r="N814">
        <v>0</v>
      </c>
      <c r="O814">
        <v>0</v>
      </c>
      <c r="P814">
        <f t="shared" ca="1" si="37"/>
        <v>0.85984387881746005</v>
      </c>
      <c r="Q814">
        <f t="shared" si="38"/>
        <v>1</v>
      </c>
    </row>
    <row r="815" spans="1:17" x14ac:dyDescent="0.3">
      <c r="A815" t="s">
        <v>337</v>
      </c>
      <c r="B815" t="s">
        <v>62</v>
      </c>
      <c r="C815">
        <v>7</v>
      </c>
      <c r="D815">
        <v>51200</v>
      </c>
      <c r="E815" t="s">
        <v>66</v>
      </c>
      <c r="F815">
        <v>38</v>
      </c>
      <c r="G815">
        <v>4.9000000000000004</v>
      </c>
      <c r="H815">
        <v>1000</v>
      </c>
      <c r="I815">
        <v>0</v>
      </c>
      <c r="J815">
        <f>1</f>
        <v>1</v>
      </c>
      <c r="K815">
        <v>1</v>
      </c>
      <c r="L815">
        <v>0</v>
      </c>
      <c r="M815">
        <f t="shared" ca="1" si="36"/>
        <v>5.5952772290946529E-2</v>
      </c>
      <c r="N815">
        <v>0</v>
      </c>
      <c r="O815">
        <v>0</v>
      </c>
      <c r="P815">
        <f t="shared" ca="1" si="37"/>
        <v>0.80040349202456884</v>
      </c>
      <c r="Q815">
        <f t="shared" si="38"/>
        <v>1</v>
      </c>
    </row>
    <row r="816" spans="1:17" x14ac:dyDescent="0.3">
      <c r="A816" t="s">
        <v>807</v>
      </c>
      <c r="B816" t="s">
        <v>62</v>
      </c>
      <c r="C816">
        <v>6</v>
      </c>
      <c r="D816">
        <v>149400</v>
      </c>
      <c r="E816" t="s">
        <v>1146</v>
      </c>
      <c r="F816">
        <v>4</v>
      </c>
      <c r="G816">
        <v>9.1</v>
      </c>
      <c r="H816">
        <v>8300</v>
      </c>
      <c r="I816">
        <v>1</v>
      </c>
      <c r="J816">
        <f>1</f>
        <v>1</v>
      </c>
      <c r="K816">
        <v>1</v>
      </c>
      <c r="L816">
        <v>0</v>
      </c>
      <c r="M816">
        <f t="shared" ca="1" si="36"/>
        <v>0.41328040359370799</v>
      </c>
      <c r="N816">
        <v>0</v>
      </c>
      <c r="O816">
        <v>0</v>
      </c>
      <c r="P816">
        <f t="shared" ca="1" si="37"/>
        <v>0.91612880398285323</v>
      </c>
      <c r="Q816">
        <f t="shared" si="38"/>
        <v>1</v>
      </c>
    </row>
    <row r="817" spans="1:17" x14ac:dyDescent="0.3">
      <c r="A817" t="s">
        <v>166</v>
      </c>
      <c r="B817" t="s">
        <v>64</v>
      </c>
      <c r="C817">
        <v>3</v>
      </c>
      <c r="D817">
        <v>36200</v>
      </c>
      <c r="E817" t="s">
        <v>67</v>
      </c>
      <c r="F817">
        <v>72</v>
      </c>
      <c r="G817">
        <v>7.5</v>
      </c>
      <c r="H817">
        <v>5100</v>
      </c>
      <c r="I817">
        <v>0</v>
      </c>
      <c r="J817">
        <f>1</f>
        <v>1</v>
      </c>
      <c r="K817">
        <v>1</v>
      </c>
      <c r="L817">
        <v>0</v>
      </c>
      <c r="M817">
        <f t="shared" ca="1" si="36"/>
        <v>0.2079195660151848</v>
      </c>
      <c r="N817">
        <v>0</v>
      </c>
      <c r="O817">
        <v>0</v>
      </c>
      <c r="P817">
        <f t="shared" ca="1" si="37"/>
        <v>0.70665412116884141</v>
      </c>
      <c r="Q817">
        <f t="shared" si="38"/>
        <v>1</v>
      </c>
    </row>
    <row r="818" spans="1:17" x14ac:dyDescent="0.3">
      <c r="A818" t="s">
        <v>273</v>
      </c>
      <c r="B818" t="s">
        <v>65</v>
      </c>
      <c r="C818">
        <v>8</v>
      </c>
      <c r="D818">
        <v>40600</v>
      </c>
      <c r="E818" t="s">
        <v>66</v>
      </c>
      <c r="F818">
        <v>24</v>
      </c>
      <c r="G818">
        <v>9.8000000000000007</v>
      </c>
      <c r="H818">
        <v>4200</v>
      </c>
      <c r="I818">
        <v>0</v>
      </c>
      <c r="J818">
        <f>1</f>
        <v>1</v>
      </c>
      <c r="K818">
        <v>1</v>
      </c>
      <c r="L818">
        <v>0</v>
      </c>
      <c r="M818">
        <f t="shared" ca="1" si="36"/>
        <v>0.24351428577622292</v>
      </c>
      <c r="N818">
        <v>0</v>
      </c>
      <c r="O818">
        <v>0</v>
      </c>
      <c r="P818">
        <f t="shared" ca="1" si="37"/>
        <v>0.32941352635240506</v>
      </c>
      <c r="Q818">
        <f t="shared" si="38"/>
        <v>1</v>
      </c>
    </row>
    <row r="819" spans="1:17" x14ac:dyDescent="0.3">
      <c r="A819" t="s">
        <v>245</v>
      </c>
      <c r="B819" t="s">
        <v>62</v>
      </c>
      <c r="C819">
        <v>2</v>
      </c>
      <c r="D819">
        <v>38500</v>
      </c>
      <c r="E819" t="s">
        <v>68</v>
      </c>
      <c r="F819">
        <v>50</v>
      </c>
      <c r="G819">
        <v>8.6</v>
      </c>
      <c r="H819">
        <v>7700</v>
      </c>
      <c r="I819">
        <v>0</v>
      </c>
      <c r="J819">
        <f>1</f>
        <v>1</v>
      </c>
      <c r="K819">
        <v>1</v>
      </c>
      <c r="L819">
        <v>0</v>
      </c>
      <c r="M819">
        <f t="shared" ca="1" si="36"/>
        <v>1.8013915836949779E-2</v>
      </c>
      <c r="N819">
        <v>0</v>
      </c>
      <c r="O819">
        <v>0</v>
      </c>
      <c r="P819">
        <f t="shared" ca="1" si="37"/>
        <v>7.021629610239255E-2</v>
      </c>
      <c r="Q819">
        <f t="shared" si="38"/>
        <v>1</v>
      </c>
    </row>
    <row r="820" spans="1:17" x14ac:dyDescent="0.3">
      <c r="A820" t="s">
        <v>1033</v>
      </c>
      <c r="B820" t="s">
        <v>65</v>
      </c>
      <c r="C820">
        <v>4</v>
      </c>
      <c r="D820">
        <v>31900</v>
      </c>
      <c r="E820" t="s">
        <v>1146</v>
      </c>
      <c r="F820">
        <v>7</v>
      </c>
      <c r="G820">
        <v>12.7</v>
      </c>
      <c r="H820">
        <v>300</v>
      </c>
      <c r="I820">
        <v>1</v>
      </c>
      <c r="J820">
        <f>1</f>
        <v>1</v>
      </c>
      <c r="K820">
        <v>1</v>
      </c>
      <c r="L820">
        <v>0</v>
      </c>
      <c r="M820">
        <f t="shared" ca="1" si="36"/>
        <v>0.96001897181808404</v>
      </c>
      <c r="N820">
        <v>0</v>
      </c>
      <c r="O820">
        <v>0</v>
      </c>
      <c r="P820">
        <f t="shared" ca="1" si="37"/>
        <v>0.55691524349881283</v>
      </c>
      <c r="Q820">
        <f t="shared" si="38"/>
        <v>1</v>
      </c>
    </row>
    <row r="821" spans="1:17" x14ac:dyDescent="0.3">
      <c r="A821" t="s">
        <v>778</v>
      </c>
      <c r="B821" t="s">
        <v>62</v>
      </c>
      <c r="C821">
        <v>6</v>
      </c>
      <c r="D821">
        <v>57100</v>
      </c>
      <c r="E821" t="s">
        <v>1146</v>
      </c>
      <c r="F821">
        <v>5</v>
      </c>
      <c r="G821">
        <v>5.2</v>
      </c>
      <c r="H821">
        <v>1900</v>
      </c>
      <c r="I821">
        <v>1</v>
      </c>
      <c r="J821">
        <f>1</f>
        <v>1</v>
      </c>
      <c r="K821">
        <v>1</v>
      </c>
      <c r="L821">
        <v>0</v>
      </c>
      <c r="M821">
        <f t="shared" ca="1" si="36"/>
        <v>0.76756544987686348</v>
      </c>
      <c r="N821">
        <v>0</v>
      </c>
      <c r="O821">
        <v>0</v>
      </c>
      <c r="P821">
        <f t="shared" ca="1" si="37"/>
        <v>0.48377780851527807</v>
      </c>
      <c r="Q821">
        <f t="shared" si="38"/>
        <v>1</v>
      </c>
    </row>
    <row r="822" spans="1:17" x14ac:dyDescent="0.3">
      <c r="A822" t="s">
        <v>480</v>
      </c>
      <c r="B822" t="s">
        <v>65</v>
      </c>
      <c r="C822">
        <v>8</v>
      </c>
      <c r="D822">
        <v>52900</v>
      </c>
      <c r="E822" t="s">
        <v>66</v>
      </c>
      <c r="F822">
        <v>55</v>
      </c>
      <c r="G822">
        <v>4.8</v>
      </c>
      <c r="H822">
        <v>7600</v>
      </c>
      <c r="I822">
        <v>0</v>
      </c>
      <c r="J822">
        <f>1</f>
        <v>1</v>
      </c>
      <c r="K822">
        <v>1</v>
      </c>
      <c r="L822">
        <v>0</v>
      </c>
      <c r="M822">
        <f t="shared" ca="1" si="36"/>
        <v>0.51470693701719727</v>
      </c>
      <c r="N822">
        <v>0</v>
      </c>
      <c r="O822">
        <v>0</v>
      </c>
      <c r="P822">
        <f t="shared" ca="1" si="37"/>
        <v>0.29738510462227619</v>
      </c>
      <c r="Q822">
        <f t="shared" si="38"/>
        <v>1</v>
      </c>
    </row>
    <row r="823" spans="1:17" x14ac:dyDescent="0.3">
      <c r="A823" t="s">
        <v>1014</v>
      </c>
      <c r="B823" t="s">
        <v>65</v>
      </c>
      <c r="C823">
        <v>6</v>
      </c>
      <c r="D823">
        <v>22700</v>
      </c>
      <c r="E823" t="s">
        <v>1146</v>
      </c>
      <c r="F823">
        <v>8</v>
      </c>
      <c r="G823">
        <v>6.9</v>
      </c>
      <c r="H823">
        <v>8500</v>
      </c>
      <c r="I823">
        <v>1</v>
      </c>
      <c r="J823">
        <f>1</f>
        <v>1</v>
      </c>
      <c r="K823">
        <v>1</v>
      </c>
      <c r="L823">
        <v>0</v>
      </c>
      <c r="M823">
        <f t="shared" ca="1" si="36"/>
        <v>0.1725807244357197</v>
      </c>
      <c r="N823">
        <v>0</v>
      </c>
      <c r="O823">
        <v>0</v>
      </c>
      <c r="P823">
        <f t="shared" ca="1" si="37"/>
        <v>0.81759209112534381</v>
      </c>
      <c r="Q823">
        <f t="shared" si="38"/>
        <v>1</v>
      </c>
    </row>
    <row r="824" spans="1:17" x14ac:dyDescent="0.3">
      <c r="A824" t="s">
        <v>559</v>
      </c>
      <c r="B824" t="s">
        <v>65</v>
      </c>
      <c r="C824">
        <v>3</v>
      </c>
      <c r="D824">
        <v>39700</v>
      </c>
      <c r="E824" t="s">
        <v>67</v>
      </c>
      <c r="F824">
        <v>81</v>
      </c>
      <c r="G824">
        <v>2.5</v>
      </c>
      <c r="H824">
        <v>0</v>
      </c>
      <c r="I824">
        <v>0</v>
      </c>
      <c r="J824">
        <f>1</f>
        <v>1</v>
      </c>
      <c r="K824">
        <v>1</v>
      </c>
      <c r="L824">
        <v>0</v>
      </c>
      <c r="M824">
        <f t="shared" ca="1" si="36"/>
        <v>0.23967015519190138</v>
      </c>
      <c r="N824">
        <v>0</v>
      </c>
      <c r="O824">
        <v>0</v>
      </c>
      <c r="P824">
        <f t="shared" ca="1" si="37"/>
        <v>0.3408663487356649</v>
      </c>
      <c r="Q824">
        <f t="shared" si="38"/>
        <v>1</v>
      </c>
    </row>
    <row r="825" spans="1:17" x14ac:dyDescent="0.3">
      <c r="A825" t="s">
        <v>187</v>
      </c>
      <c r="B825" t="s">
        <v>513</v>
      </c>
      <c r="C825">
        <v>5</v>
      </c>
      <c r="D825">
        <v>18700</v>
      </c>
      <c r="E825" t="s">
        <v>66</v>
      </c>
      <c r="F825">
        <v>48</v>
      </c>
      <c r="G825">
        <v>10.7</v>
      </c>
      <c r="H825">
        <v>4200</v>
      </c>
      <c r="I825">
        <v>0</v>
      </c>
      <c r="J825">
        <f>1</f>
        <v>1</v>
      </c>
      <c r="K825">
        <v>1</v>
      </c>
      <c r="L825">
        <v>0</v>
      </c>
      <c r="M825">
        <f t="shared" ca="1" si="36"/>
        <v>0.26872580832777049</v>
      </c>
      <c r="N825">
        <v>0</v>
      </c>
      <c r="O825">
        <v>0</v>
      </c>
      <c r="P825">
        <f t="shared" ca="1" si="37"/>
        <v>0.7452260282881471</v>
      </c>
      <c r="Q825">
        <f t="shared" si="38"/>
        <v>1</v>
      </c>
    </row>
    <row r="826" spans="1:17" x14ac:dyDescent="0.3">
      <c r="A826" t="s">
        <v>336</v>
      </c>
      <c r="B826" t="s">
        <v>64</v>
      </c>
      <c r="C826">
        <v>4</v>
      </c>
      <c r="D826">
        <v>66700</v>
      </c>
      <c r="E826" t="s">
        <v>69</v>
      </c>
      <c r="F826">
        <v>15</v>
      </c>
      <c r="G826">
        <v>5.6</v>
      </c>
      <c r="H826">
        <v>5100</v>
      </c>
      <c r="I826">
        <v>0</v>
      </c>
      <c r="J826">
        <f>1</f>
        <v>1</v>
      </c>
      <c r="K826">
        <v>1</v>
      </c>
      <c r="L826">
        <v>0</v>
      </c>
      <c r="M826">
        <f t="shared" ca="1" si="36"/>
        <v>0.63549584620093713</v>
      </c>
      <c r="N826">
        <v>0</v>
      </c>
      <c r="O826">
        <v>0</v>
      </c>
      <c r="P826">
        <f t="shared" ca="1" si="37"/>
        <v>0.89847618588874301</v>
      </c>
      <c r="Q826">
        <f t="shared" si="38"/>
        <v>1</v>
      </c>
    </row>
    <row r="827" spans="1:17" x14ac:dyDescent="0.3">
      <c r="A827" t="s">
        <v>716</v>
      </c>
      <c r="B827" t="s">
        <v>65</v>
      </c>
      <c r="C827">
        <v>8</v>
      </c>
      <c r="D827">
        <v>55400</v>
      </c>
      <c r="E827" t="s">
        <v>1146</v>
      </c>
      <c r="F827">
        <v>2</v>
      </c>
      <c r="G827">
        <v>3.4</v>
      </c>
      <c r="H827">
        <v>1100</v>
      </c>
      <c r="I827">
        <v>1</v>
      </c>
      <c r="J827">
        <f>1</f>
        <v>1</v>
      </c>
      <c r="K827">
        <v>1</v>
      </c>
      <c r="L827">
        <v>0</v>
      </c>
      <c r="M827">
        <f t="shared" ca="1" si="36"/>
        <v>0.42873086312850561</v>
      </c>
      <c r="N827">
        <v>0</v>
      </c>
      <c r="O827">
        <v>0</v>
      </c>
      <c r="P827">
        <f t="shared" ca="1" si="37"/>
        <v>0.47571328390907974</v>
      </c>
      <c r="Q827">
        <f t="shared" si="38"/>
        <v>1</v>
      </c>
    </row>
    <row r="828" spans="1:17" x14ac:dyDescent="0.3">
      <c r="A828" t="s">
        <v>683</v>
      </c>
      <c r="B828" t="s">
        <v>65</v>
      </c>
      <c r="C828">
        <v>7</v>
      </c>
      <c r="D828">
        <v>47300</v>
      </c>
      <c r="E828" t="s">
        <v>1146</v>
      </c>
      <c r="F828">
        <v>3</v>
      </c>
      <c r="G828">
        <v>4.5</v>
      </c>
      <c r="H828">
        <v>6500</v>
      </c>
      <c r="I828">
        <v>1</v>
      </c>
      <c r="J828">
        <f>1</f>
        <v>1</v>
      </c>
      <c r="K828">
        <v>1</v>
      </c>
      <c r="L828">
        <v>0</v>
      </c>
      <c r="M828">
        <f t="shared" ca="1" si="36"/>
        <v>0.39977019378060275</v>
      </c>
      <c r="N828">
        <v>0</v>
      </c>
      <c r="O828">
        <v>0</v>
      </c>
      <c r="P828">
        <f t="shared" ca="1" si="37"/>
        <v>0.20499538286181285</v>
      </c>
      <c r="Q828">
        <f t="shared" si="38"/>
        <v>1</v>
      </c>
    </row>
    <row r="829" spans="1:17" x14ac:dyDescent="0.3">
      <c r="A829" t="s">
        <v>597</v>
      </c>
      <c r="B829" t="s">
        <v>64</v>
      </c>
      <c r="C829">
        <v>9</v>
      </c>
      <c r="D829">
        <v>28800</v>
      </c>
      <c r="E829" t="s">
        <v>69</v>
      </c>
      <c r="F829">
        <v>17</v>
      </c>
      <c r="G829">
        <v>8.1999999999999993</v>
      </c>
      <c r="H829">
        <v>4600</v>
      </c>
      <c r="I829">
        <v>0</v>
      </c>
      <c r="J829">
        <f>1</f>
        <v>1</v>
      </c>
      <c r="K829">
        <v>1</v>
      </c>
      <c r="L829">
        <v>0</v>
      </c>
      <c r="M829">
        <f t="shared" ca="1" si="36"/>
        <v>0.31673585777323798</v>
      </c>
      <c r="N829">
        <v>0</v>
      </c>
      <c r="O829">
        <v>0</v>
      </c>
      <c r="P829">
        <f t="shared" ca="1" si="37"/>
        <v>0.95106235994948929</v>
      </c>
      <c r="Q829">
        <f t="shared" si="38"/>
        <v>1</v>
      </c>
    </row>
    <row r="830" spans="1:17" x14ac:dyDescent="0.3">
      <c r="A830" t="s">
        <v>729</v>
      </c>
      <c r="B830" t="s">
        <v>62</v>
      </c>
      <c r="C830">
        <v>8</v>
      </c>
      <c r="D830">
        <v>42200</v>
      </c>
      <c r="E830" t="s">
        <v>1146</v>
      </c>
      <c r="F830">
        <v>10</v>
      </c>
      <c r="G830">
        <v>6.7</v>
      </c>
      <c r="H830">
        <v>8800</v>
      </c>
      <c r="I830">
        <v>1</v>
      </c>
      <c r="J830">
        <f>1</f>
        <v>1</v>
      </c>
      <c r="K830">
        <v>1</v>
      </c>
      <c r="L830">
        <v>0</v>
      </c>
      <c r="M830">
        <f t="shared" ca="1" si="36"/>
        <v>0.41180178623119024</v>
      </c>
      <c r="N830">
        <v>0</v>
      </c>
      <c r="O830">
        <v>0</v>
      </c>
      <c r="P830">
        <f t="shared" ca="1" si="37"/>
        <v>0.94942438556298392</v>
      </c>
      <c r="Q830">
        <f t="shared" si="38"/>
        <v>1</v>
      </c>
    </row>
    <row r="831" spans="1:17" x14ac:dyDescent="0.3">
      <c r="A831" t="s">
        <v>913</v>
      </c>
      <c r="B831" t="s">
        <v>64</v>
      </c>
      <c r="C831">
        <v>6</v>
      </c>
      <c r="D831">
        <v>47700</v>
      </c>
      <c r="E831" t="s">
        <v>1146</v>
      </c>
      <c r="F831">
        <v>6</v>
      </c>
      <c r="G831">
        <v>6</v>
      </c>
      <c r="H831">
        <v>10900</v>
      </c>
      <c r="I831">
        <v>1</v>
      </c>
      <c r="J831">
        <f>1</f>
        <v>1</v>
      </c>
      <c r="K831">
        <v>1</v>
      </c>
      <c r="L831">
        <v>0</v>
      </c>
      <c r="M831">
        <f t="shared" ca="1" si="36"/>
        <v>0.77732878781824366</v>
      </c>
      <c r="N831">
        <v>0</v>
      </c>
      <c r="O831">
        <v>0</v>
      </c>
      <c r="P831">
        <f t="shared" ca="1" si="37"/>
        <v>0.97472347446474061</v>
      </c>
      <c r="Q831">
        <f t="shared" si="38"/>
        <v>1</v>
      </c>
    </row>
    <row r="832" spans="1:17" x14ac:dyDescent="0.3">
      <c r="A832" t="s">
        <v>954</v>
      </c>
      <c r="B832" t="s">
        <v>513</v>
      </c>
      <c r="C832">
        <v>4</v>
      </c>
      <c r="D832">
        <v>22500</v>
      </c>
      <c r="E832" t="s">
        <v>1146</v>
      </c>
      <c r="F832">
        <v>4</v>
      </c>
      <c r="G832">
        <v>10.9</v>
      </c>
      <c r="H832">
        <v>2400</v>
      </c>
      <c r="I832">
        <v>1</v>
      </c>
      <c r="J832">
        <f>1</f>
        <v>1</v>
      </c>
      <c r="K832">
        <v>1</v>
      </c>
      <c r="L832">
        <v>0</v>
      </c>
      <c r="M832">
        <f t="shared" ca="1" si="36"/>
        <v>0.1393471735429308</v>
      </c>
      <c r="N832">
        <v>0</v>
      </c>
      <c r="O832">
        <v>0</v>
      </c>
      <c r="P832">
        <f t="shared" ca="1" si="37"/>
        <v>0.35918694340588087</v>
      </c>
      <c r="Q832">
        <f t="shared" si="38"/>
        <v>1</v>
      </c>
    </row>
    <row r="833" spans="1:17" x14ac:dyDescent="0.3">
      <c r="A833" t="s">
        <v>476</v>
      </c>
      <c r="B833" t="s">
        <v>64</v>
      </c>
      <c r="C833">
        <v>1</v>
      </c>
      <c r="D833">
        <v>18100</v>
      </c>
      <c r="E833" t="s">
        <v>67</v>
      </c>
      <c r="F833">
        <v>94</v>
      </c>
      <c r="G833">
        <v>7.7</v>
      </c>
      <c r="H833">
        <v>3300</v>
      </c>
      <c r="I833">
        <v>0</v>
      </c>
      <c r="J833">
        <f>1</f>
        <v>1</v>
      </c>
      <c r="K833">
        <v>1</v>
      </c>
      <c r="L833">
        <v>0</v>
      </c>
      <c r="M833">
        <f t="shared" ca="1" si="36"/>
        <v>5.1110254153587831E-2</v>
      </c>
      <c r="N833">
        <v>0</v>
      </c>
      <c r="O833">
        <v>0</v>
      </c>
      <c r="P833">
        <f t="shared" ca="1" si="37"/>
        <v>5.2546121763570541E-2</v>
      </c>
      <c r="Q833">
        <f t="shared" si="38"/>
        <v>1</v>
      </c>
    </row>
    <row r="834" spans="1:17" x14ac:dyDescent="0.3">
      <c r="A834" t="s">
        <v>1072</v>
      </c>
      <c r="B834" t="s">
        <v>513</v>
      </c>
      <c r="C834">
        <v>1</v>
      </c>
      <c r="D834">
        <v>42300</v>
      </c>
      <c r="E834" t="s">
        <v>1146</v>
      </c>
      <c r="F834">
        <v>1</v>
      </c>
      <c r="G834">
        <v>14</v>
      </c>
      <c r="H834">
        <v>12900</v>
      </c>
      <c r="I834">
        <v>1</v>
      </c>
      <c r="J834">
        <f>1</f>
        <v>1</v>
      </c>
      <c r="K834">
        <v>1</v>
      </c>
      <c r="L834">
        <v>0</v>
      </c>
      <c r="M834">
        <f t="shared" ref="M834:M897" ca="1" si="39">RAND()</f>
        <v>0.15127671878416915</v>
      </c>
      <c r="N834">
        <v>0</v>
      </c>
      <c r="O834">
        <v>0</v>
      </c>
      <c r="P834">
        <f t="shared" ref="P834:P897" ca="1" si="40">IF(L834=0,RAND(),"")</f>
        <v>0.99585479465485605</v>
      </c>
      <c r="Q834">
        <f t="shared" si="38"/>
        <v>1</v>
      </c>
    </row>
    <row r="835" spans="1:17" x14ac:dyDescent="0.3">
      <c r="A835" t="s">
        <v>920</v>
      </c>
      <c r="B835" t="s">
        <v>65</v>
      </c>
      <c r="C835">
        <v>5</v>
      </c>
      <c r="D835">
        <v>53400</v>
      </c>
      <c r="E835" t="s">
        <v>1146</v>
      </c>
      <c r="F835">
        <v>6</v>
      </c>
      <c r="G835">
        <v>9.6999999999999993</v>
      </c>
      <c r="H835">
        <v>2900</v>
      </c>
      <c r="I835">
        <v>1</v>
      </c>
      <c r="J835">
        <f>1</f>
        <v>1</v>
      </c>
      <c r="K835">
        <v>1</v>
      </c>
      <c r="L835">
        <v>0</v>
      </c>
      <c r="M835">
        <f t="shared" ca="1" si="39"/>
        <v>0.79656675185032044</v>
      </c>
      <c r="N835">
        <v>0</v>
      </c>
      <c r="O835">
        <v>0</v>
      </c>
      <c r="P835">
        <f t="shared" ca="1" si="40"/>
        <v>0.96161498539949763</v>
      </c>
      <c r="Q835">
        <f t="shared" ref="Q835:Q898" si="41">IF(OR(L835=1,O835=1), 0,1)</f>
        <v>1</v>
      </c>
    </row>
    <row r="836" spans="1:17" x14ac:dyDescent="0.3">
      <c r="A836" t="s">
        <v>760</v>
      </c>
      <c r="B836" t="s">
        <v>65</v>
      </c>
      <c r="C836">
        <v>10</v>
      </c>
      <c r="D836">
        <v>49300</v>
      </c>
      <c r="E836" t="s">
        <v>1146</v>
      </c>
      <c r="F836">
        <v>7</v>
      </c>
      <c r="G836">
        <v>4.0999999999999996</v>
      </c>
      <c r="H836">
        <v>2200</v>
      </c>
      <c r="I836">
        <v>1</v>
      </c>
      <c r="J836">
        <f>1</f>
        <v>1</v>
      </c>
      <c r="K836">
        <v>1</v>
      </c>
      <c r="L836">
        <v>0</v>
      </c>
      <c r="M836">
        <f t="shared" ca="1" si="39"/>
        <v>0.25460324844708082</v>
      </c>
      <c r="N836">
        <v>0</v>
      </c>
      <c r="O836">
        <v>0</v>
      </c>
      <c r="P836">
        <f t="shared" ca="1" si="40"/>
        <v>0.66367808061440969</v>
      </c>
      <c r="Q836">
        <f t="shared" si="41"/>
        <v>1</v>
      </c>
    </row>
    <row r="837" spans="1:17" x14ac:dyDescent="0.3">
      <c r="A837" t="s">
        <v>1048</v>
      </c>
      <c r="B837" t="s">
        <v>62</v>
      </c>
      <c r="C837">
        <v>5</v>
      </c>
      <c r="D837">
        <v>111300</v>
      </c>
      <c r="E837" t="s">
        <v>1146</v>
      </c>
      <c r="F837">
        <v>8</v>
      </c>
      <c r="G837">
        <v>4.3</v>
      </c>
      <c r="H837">
        <v>1300</v>
      </c>
      <c r="I837">
        <v>1</v>
      </c>
      <c r="J837">
        <f>1</f>
        <v>1</v>
      </c>
      <c r="K837">
        <v>1</v>
      </c>
      <c r="L837">
        <v>0</v>
      </c>
      <c r="M837">
        <f t="shared" ca="1" si="39"/>
        <v>0.99312628284766624</v>
      </c>
      <c r="N837">
        <v>0</v>
      </c>
      <c r="O837">
        <v>0</v>
      </c>
      <c r="P837">
        <f t="shared" ca="1" si="40"/>
        <v>0.26549886870868289</v>
      </c>
      <c r="Q837">
        <f t="shared" si="41"/>
        <v>1</v>
      </c>
    </row>
    <row r="838" spans="1:17" x14ac:dyDescent="0.3">
      <c r="A838" t="s">
        <v>1029</v>
      </c>
      <c r="B838" t="s">
        <v>513</v>
      </c>
      <c r="C838">
        <v>4</v>
      </c>
      <c r="D838">
        <v>92300</v>
      </c>
      <c r="E838" t="s">
        <v>1146</v>
      </c>
      <c r="F838">
        <v>7</v>
      </c>
      <c r="G838">
        <v>3.1</v>
      </c>
      <c r="H838">
        <v>0</v>
      </c>
      <c r="I838">
        <v>1</v>
      </c>
      <c r="J838">
        <f>1</f>
        <v>1</v>
      </c>
      <c r="K838">
        <v>1</v>
      </c>
      <c r="L838">
        <v>0</v>
      </c>
      <c r="M838">
        <f t="shared" ca="1" si="39"/>
        <v>0.64698977544089897</v>
      </c>
      <c r="N838">
        <v>0</v>
      </c>
      <c r="O838">
        <v>0</v>
      </c>
      <c r="P838">
        <f t="shared" ca="1" si="40"/>
        <v>0.98976208308285629</v>
      </c>
      <c r="Q838">
        <f t="shared" si="41"/>
        <v>1</v>
      </c>
    </row>
    <row r="839" spans="1:17" x14ac:dyDescent="0.3">
      <c r="A839" t="s">
        <v>125</v>
      </c>
      <c r="B839" t="s">
        <v>62</v>
      </c>
      <c r="C839">
        <v>4</v>
      </c>
      <c r="D839">
        <v>44200</v>
      </c>
      <c r="E839" t="s">
        <v>69</v>
      </c>
      <c r="F839">
        <v>27</v>
      </c>
      <c r="G839">
        <v>4.5</v>
      </c>
      <c r="H839">
        <v>10100</v>
      </c>
      <c r="I839">
        <v>0</v>
      </c>
      <c r="J839">
        <f>1</f>
        <v>1</v>
      </c>
      <c r="K839">
        <v>1</v>
      </c>
      <c r="L839">
        <v>0</v>
      </c>
      <c r="M839">
        <f t="shared" ca="1" si="39"/>
        <v>0.58027829194313563</v>
      </c>
      <c r="N839">
        <v>0</v>
      </c>
      <c r="O839">
        <v>0</v>
      </c>
      <c r="P839">
        <f t="shared" ca="1" si="40"/>
        <v>0.14215651706630239</v>
      </c>
      <c r="Q839">
        <f t="shared" si="41"/>
        <v>1</v>
      </c>
    </row>
    <row r="840" spans="1:17" x14ac:dyDescent="0.3">
      <c r="A840" t="s">
        <v>633</v>
      </c>
      <c r="B840" t="s">
        <v>65</v>
      </c>
      <c r="C840">
        <v>4</v>
      </c>
      <c r="D840">
        <v>32800</v>
      </c>
      <c r="E840" t="s">
        <v>1146</v>
      </c>
      <c r="F840">
        <v>7</v>
      </c>
      <c r="G840">
        <v>0.9</v>
      </c>
      <c r="H840">
        <v>4300</v>
      </c>
      <c r="I840">
        <v>1</v>
      </c>
      <c r="J840">
        <f>1</f>
        <v>1</v>
      </c>
      <c r="K840">
        <v>1</v>
      </c>
      <c r="L840">
        <v>0</v>
      </c>
      <c r="M840">
        <f t="shared" ca="1" si="39"/>
        <v>0.21442541258465575</v>
      </c>
      <c r="N840">
        <v>0</v>
      </c>
      <c r="O840">
        <v>0</v>
      </c>
      <c r="P840">
        <f t="shared" ca="1" si="40"/>
        <v>0.66963059234513733</v>
      </c>
      <c r="Q840">
        <f t="shared" si="41"/>
        <v>1</v>
      </c>
    </row>
    <row r="841" spans="1:17" x14ac:dyDescent="0.3">
      <c r="A841" t="s">
        <v>501</v>
      </c>
      <c r="B841" t="s">
        <v>513</v>
      </c>
      <c r="C841">
        <v>5</v>
      </c>
      <c r="D841">
        <v>41500</v>
      </c>
      <c r="E841" t="s">
        <v>69</v>
      </c>
      <c r="F841">
        <v>57</v>
      </c>
      <c r="G841">
        <v>13.3</v>
      </c>
      <c r="H841">
        <v>5300</v>
      </c>
      <c r="I841">
        <v>0</v>
      </c>
      <c r="J841">
        <f>1</f>
        <v>1</v>
      </c>
      <c r="K841">
        <v>1</v>
      </c>
      <c r="L841">
        <v>0</v>
      </c>
      <c r="M841">
        <f t="shared" ca="1" si="39"/>
        <v>0.32697408579714737</v>
      </c>
      <c r="N841">
        <v>0</v>
      </c>
      <c r="O841">
        <v>0</v>
      </c>
      <c r="P841">
        <f t="shared" ca="1" si="40"/>
        <v>0.38329913228954704</v>
      </c>
      <c r="Q841">
        <f t="shared" si="41"/>
        <v>1</v>
      </c>
    </row>
    <row r="842" spans="1:17" x14ac:dyDescent="0.3">
      <c r="A842" t="s">
        <v>706</v>
      </c>
      <c r="B842" t="s">
        <v>62</v>
      </c>
      <c r="C842">
        <v>6</v>
      </c>
      <c r="D842">
        <v>25200</v>
      </c>
      <c r="E842" t="s">
        <v>1146</v>
      </c>
      <c r="F842">
        <v>7</v>
      </c>
      <c r="G842">
        <v>5.9</v>
      </c>
      <c r="H842">
        <v>8500</v>
      </c>
      <c r="I842">
        <v>1</v>
      </c>
      <c r="J842">
        <f>1</f>
        <v>1</v>
      </c>
      <c r="K842">
        <v>1</v>
      </c>
      <c r="L842">
        <v>0</v>
      </c>
      <c r="M842">
        <f t="shared" ca="1" si="39"/>
        <v>0.89846237664962458</v>
      </c>
      <c r="N842">
        <v>0</v>
      </c>
      <c r="O842">
        <v>0</v>
      </c>
      <c r="P842">
        <f t="shared" ca="1" si="40"/>
        <v>0.4949694690915627</v>
      </c>
      <c r="Q842">
        <f t="shared" si="41"/>
        <v>1</v>
      </c>
    </row>
    <row r="843" spans="1:17" x14ac:dyDescent="0.3">
      <c r="A843" t="s">
        <v>784</v>
      </c>
      <c r="B843" t="s">
        <v>62</v>
      </c>
      <c r="C843">
        <v>4</v>
      </c>
      <c r="D843">
        <v>42200</v>
      </c>
      <c r="E843" t="s">
        <v>1146</v>
      </c>
      <c r="F843">
        <v>4</v>
      </c>
      <c r="G843">
        <v>6.1</v>
      </c>
      <c r="H843">
        <v>5500</v>
      </c>
      <c r="I843">
        <v>1</v>
      </c>
      <c r="J843">
        <f>1</f>
        <v>1</v>
      </c>
      <c r="K843">
        <v>1</v>
      </c>
      <c r="L843">
        <v>0</v>
      </c>
      <c r="M843">
        <f t="shared" ca="1" si="39"/>
        <v>0.12294834900747798</v>
      </c>
      <c r="N843">
        <v>0</v>
      </c>
      <c r="O843">
        <v>0</v>
      </c>
      <c r="P843">
        <f t="shared" ca="1" si="40"/>
        <v>0.40211902345413819</v>
      </c>
      <c r="Q843">
        <f t="shared" si="41"/>
        <v>1</v>
      </c>
    </row>
    <row r="844" spans="1:17" x14ac:dyDescent="0.3">
      <c r="A844" t="s">
        <v>991</v>
      </c>
      <c r="B844" t="s">
        <v>513</v>
      </c>
      <c r="C844">
        <v>2</v>
      </c>
      <c r="D844">
        <v>80200</v>
      </c>
      <c r="E844" t="s">
        <v>66</v>
      </c>
      <c r="F844">
        <v>32</v>
      </c>
      <c r="G844">
        <v>3.8</v>
      </c>
      <c r="H844">
        <v>14800</v>
      </c>
      <c r="I844">
        <v>1</v>
      </c>
      <c r="J844">
        <f>1</f>
        <v>1</v>
      </c>
      <c r="K844">
        <v>1</v>
      </c>
      <c r="L844">
        <v>0</v>
      </c>
      <c r="M844">
        <f t="shared" ca="1" si="39"/>
        <v>0.10919758191800732</v>
      </c>
      <c r="N844">
        <v>0</v>
      </c>
      <c r="O844">
        <v>0</v>
      </c>
      <c r="P844">
        <f t="shared" ca="1" si="40"/>
        <v>0.85594039846535841</v>
      </c>
      <c r="Q844">
        <f t="shared" si="41"/>
        <v>1</v>
      </c>
    </row>
    <row r="845" spans="1:17" x14ac:dyDescent="0.3">
      <c r="A845" t="s">
        <v>919</v>
      </c>
      <c r="B845" t="s">
        <v>513</v>
      </c>
      <c r="C845">
        <v>4</v>
      </c>
      <c r="D845">
        <v>25200</v>
      </c>
      <c r="E845" t="s">
        <v>1146</v>
      </c>
      <c r="F845">
        <v>0</v>
      </c>
      <c r="G845">
        <v>1.8</v>
      </c>
      <c r="H845">
        <v>0</v>
      </c>
      <c r="I845">
        <v>1</v>
      </c>
      <c r="J845">
        <f>1</f>
        <v>1</v>
      </c>
      <c r="K845">
        <v>1</v>
      </c>
      <c r="L845">
        <v>0</v>
      </c>
      <c r="M845">
        <f t="shared" ca="1" si="39"/>
        <v>0.4750988118567433</v>
      </c>
      <c r="N845">
        <v>0</v>
      </c>
      <c r="O845">
        <v>0</v>
      </c>
      <c r="P845">
        <f t="shared" ca="1" si="40"/>
        <v>0.89236111098811355</v>
      </c>
      <c r="Q845">
        <f t="shared" si="41"/>
        <v>1</v>
      </c>
    </row>
    <row r="846" spans="1:17" x14ac:dyDescent="0.3">
      <c r="A846" t="s">
        <v>859</v>
      </c>
      <c r="B846" t="s">
        <v>62</v>
      </c>
      <c r="C846">
        <v>7</v>
      </c>
      <c r="D846">
        <v>37500</v>
      </c>
      <c r="E846" t="s">
        <v>1146</v>
      </c>
      <c r="F846">
        <v>3</v>
      </c>
      <c r="G846">
        <v>2.1</v>
      </c>
      <c r="H846">
        <v>4900</v>
      </c>
      <c r="I846">
        <v>1</v>
      </c>
      <c r="J846">
        <f>1</f>
        <v>1</v>
      </c>
      <c r="K846">
        <v>1</v>
      </c>
      <c r="L846">
        <v>0</v>
      </c>
      <c r="M846">
        <f t="shared" ca="1" si="39"/>
        <v>0.34653195635952649</v>
      </c>
      <c r="N846">
        <v>0</v>
      </c>
      <c r="O846">
        <v>0</v>
      </c>
      <c r="P846">
        <f t="shared" ca="1" si="40"/>
        <v>0.7122497001019884</v>
      </c>
      <c r="Q846">
        <f t="shared" si="41"/>
        <v>1</v>
      </c>
    </row>
    <row r="847" spans="1:17" x14ac:dyDescent="0.3">
      <c r="A847" t="s">
        <v>600</v>
      </c>
      <c r="B847" t="s">
        <v>513</v>
      </c>
      <c r="C847">
        <v>6</v>
      </c>
      <c r="D847">
        <v>39500</v>
      </c>
      <c r="E847" t="s">
        <v>68</v>
      </c>
      <c r="F847">
        <v>35</v>
      </c>
      <c r="G847">
        <v>2.9</v>
      </c>
      <c r="H847">
        <v>9900</v>
      </c>
      <c r="I847">
        <v>0</v>
      </c>
      <c r="J847">
        <f>1</f>
        <v>1</v>
      </c>
      <c r="K847">
        <v>1</v>
      </c>
      <c r="L847">
        <v>0</v>
      </c>
      <c r="M847">
        <f t="shared" ca="1" si="39"/>
        <v>0.54019916597786177</v>
      </c>
      <c r="N847">
        <v>0</v>
      </c>
      <c r="O847">
        <v>0</v>
      </c>
      <c r="P847">
        <f t="shared" ca="1" si="40"/>
        <v>0.50372017532423874</v>
      </c>
      <c r="Q847">
        <f t="shared" si="41"/>
        <v>1</v>
      </c>
    </row>
    <row r="848" spans="1:17" x14ac:dyDescent="0.3">
      <c r="A848" t="s">
        <v>793</v>
      </c>
      <c r="B848" t="s">
        <v>62</v>
      </c>
      <c r="C848">
        <v>8</v>
      </c>
      <c r="D848">
        <v>15700</v>
      </c>
      <c r="E848" t="s">
        <v>1146</v>
      </c>
      <c r="F848">
        <v>1</v>
      </c>
      <c r="G848">
        <v>10</v>
      </c>
      <c r="H848">
        <v>7300</v>
      </c>
      <c r="I848">
        <v>1</v>
      </c>
      <c r="J848">
        <f>1</f>
        <v>1</v>
      </c>
      <c r="K848">
        <v>1</v>
      </c>
      <c r="L848">
        <v>0</v>
      </c>
      <c r="M848">
        <f t="shared" ca="1" si="39"/>
        <v>0.15642750041085607</v>
      </c>
      <c r="N848">
        <v>0</v>
      </c>
      <c r="O848">
        <v>0</v>
      </c>
      <c r="P848">
        <f t="shared" ca="1" si="40"/>
        <v>0.20651961728224266</v>
      </c>
      <c r="Q848">
        <f t="shared" si="41"/>
        <v>1</v>
      </c>
    </row>
    <row r="849" spans="1:17" x14ac:dyDescent="0.3">
      <c r="A849" t="s">
        <v>332</v>
      </c>
      <c r="B849" t="s">
        <v>513</v>
      </c>
      <c r="C849">
        <v>2</v>
      </c>
      <c r="D849">
        <v>17400</v>
      </c>
      <c r="E849" t="s">
        <v>67</v>
      </c>
      <c r="F849">
        <v>108</v>
      </c>
      <c r="G849">
        <v>2.8</v>
      </c>
      <c r="H849">
        <v>0</v>
      </c>
      <c r="I849">
        <v>0</v>
      </c>
      <c r="J849">
        <f>1</f>
        <v>1</v>
      </c>
      <c r="K849">
        <v>1</v>
      </c>
      <c r="L849">
        <v>0</v>
      </c>
      <c r="M849">
        <f t="shared" ca="1" si="39"/>
        <v>3.7025871271141431E-2</v>
      </c>
      <c r="N849">
        <v>0</v>
      </c>
      <c r="O849">
        <v>0</v>
      </c>
      <c r="P849">
        <f t="shared" ca="1" si="40"/>
        <v>0.76521576179182882</v>
      </c>
      <c r="Q849">
        <f t="shared" si="41"/>
        <v>1</v>
      </c>
    </row>
    <row r="850" spans="1:17" x14ac:dyDescent="0.3">
      <c r="A850" t="s">
        <v>837</v>
      </c>
      <c r="B850" t="s">
        <v>513</v>
      </c>
      <c r="C850">
        <v>8</v>
      </c>
      <c r="D850">
        <v>89600</v>
      </c>
      <c r="E850" t="s">
        <v>1146</v>
      </c>
      <c r="F850">
        <v>6</v>
      </c>
      <c r="G850">
        <v>4.2</v>
      </c>
      <c r="H850">
        <v>8100</v>
      </c>
      <c r="I850">
        <v>1</v>
      </c>
      <c r="J850">
        <f>1</f>
        <v>1</v>
      </c>
      <c r="K850">
        <v>1</v>
      </c>
      <c r="L850">
        <v>0</v>
      </c>
      <c r="M850">
        <f t="shared" ca="1" si="39"/>
        <v>0.36179018383266714</v>
      </c>
      <c r="N850">
        <v>0</v>
      </c>
      <c r="O850">
        <v>0</v>
      </c>
      <c r="P850">
        <f t="shared" ca="1" si="40"/>
        <v>0.99591165801842008</v>
      </c>
      <c r="Q850">
        <f t="shared" si="41"/>
        <v>1</v>
      </c>
    </row>
    <row r="851" spans="1:17" x14ac:dyDescent="0.3">
      <c r="A851" t="s">
        <v>910</v>
      </c>
      <c r="B851" t="s">
        <v>62</v>
      </c>
      <c r="C851">
        <v>2</v>
      </c>
      <c r="D851">
        <v>62600</v>
      </c>
      <c r="E851" t="s">
        <v>1146</v>
      </c>
      <c r="F851">
        <v>4</v>
      </c>
      <c r="G851">
        <v>5.0999999999999996</v>
      </c>
      <c r="H851">
        <v>7000</v>
      </c>
      <c r="I851">
        <v>1</v>
      </c>
      <c r="J851">
        <f>1</f>
        <v>1</v>
      </c>
      <c r="K851">
        <v>1</v>
      </c>
      <c r="L851">
        <v>0</v>
      </c>
      <c r="M851">
        <f t="shared" ca="1" si="39"/>
        <v>0.16287126167189214</v>
      </c>
      <c r="N851">
        <v>0</v>
      </c>
      <c r="O851">
        <v>0</v>
      </c>
      <c r="P851">
        <f t="shared" ca="1" si="40"/>
        <v>0.47318736540790629</v>
      </c>
      <c r="Q851">
        <f t="shared" si="41"/>
        <v>1</v>
      </c>
    </row>
    <row r="852" spans="1:17" x14ac:dyDescent="0.3">
      <c r="A852" t="s">
        <v>687</v>
      </c>
      <c r="B852" t="s">
        <v>513</v>
      </c>
      <c r="C852">
        <v>7</v>
      </c>
      <c r="D852">
        <v>74900</v>
      </c>
      <c r="E852" t="s">
        <v>1146</v>
      </c>
      <c r="F852">
        <v>5</v>
      </c>
      <c r="G852">
        <v>14.7</v>
      </c>
      <c r="H852">
        <v>3600</v>
      </c>
      <c r="I852">
        <v>1</v>
      </c>
      <c r="J852">
        <f>1</f>
        <v>1</v>
      </c>
      <c r="K852">
        <v>1</v>
      </c>
      <c r="L852">
        <v>0</v>
      </c>
      <c r="M852">
        <f t="shared" ca="1" si="39"/>
        <v>0.71997735412332098</v>
      </c>
      <c r="N852">
        <v>0</v>
      </c>
      <c r="O852">
        <v>0</v>
      </c>
      <c r="P852">
        <f t="shared" ca="1" si="40"/>
        <v>0.62061645606471172</v>
      </c>
      <c r="Q852">
        <f t="shared" si="41"/>
        <v>1</v>
      </c>
    </row>
    <row r="853" spans="1:17" x14ac:dyDescent="0.3">
      <c r="A853" t="s">
        <v>708</v>
      </c>
      <c r="B853" t="s">
        <v>62</v>
      </c>
      <c r="C853">
        <v>6</v>
      </c>
      <c r="D853">
        <v>22200</v>
      </c>
      <c r="E853" t="s">
        <v>66</v>
      </c>
      <c r="F853">
        <v>44</v>
      </c>
      <c r="G853">
        <v>1.1000000000000001</v>
      </c>
      <c r="H853">
        <v>3500</v>
      </c>
      <c r="I853">
        <v>1</v>
      </c>
      <c r="J853">
        <f>1</f>
        <v>1</v>
      </c>
      <c r="K853">
        <v>1</v>
      </c>
      <c r="L853">
        <v>0</v>
      </c>
      <c r="M853">
        <f t="shared" ca="1" si="39"/>
        <v>0.58323246844494969</v>
      </c>
      <c r="N853">
        <v>0</v>
      </c>
      <c r="O853">
        <v>0</v>
      </c>
      <c r="P853">
        <f t="shared" ca="1" si="40"/>
        <v>0.55474885155594322</v>
      </c>
      <c r="Q853">
        <f t="shared" si="41"/>
        <v>1</v>
      </c>
    </row>
    <row r="854" spans="1:17" x14ac:dyDescent="0.3">
      <c r="A854" t="s">
        <v>181</v>
      </c>
      <c r="B854" t="s">
        <v>64</v>
      </c>
      <c r="C854">
        <v>2</v>
      </c>
      <c r="D854">
        <v>39200</v>
      </c>
      <c r="E854" t="s">
        <v>66</v>
      </c>
      <c r="F854">
        <v>48</v>
      </c>
      <c r="G854">
        <v>8.8000000000000007</v>
      </c>
      <c r="H854">
        <v>0</v>
      </c>
      <c r="I854">
        <v>0</v>
      </c>
      <c r="J854">
        <f>1</f>
        <v>1</v>
      </c>
      <c r="K854">
        <v>1</v>
      </c>
      <c r="L854">
        <v>0</v>
      </c>
      <c r="M854">
        <f t="shared" ca="1" si="39"/>
        <v>0.35024305560936797</v>
      </c>
      <c r="N854">
        <v>0</v>
      </c>
      <c r="O854">
        <v>0</v>
      </c>
      <c r="P854">
        <f t="shared" ca="1" si="40"/>
        <v>0.64907968201928512</v>
      </c>
      <c r="Q854">
        <f t="shared" si="41"/>
        <v>1</v>
      </c>
    </row>
    <row r="855" spans="1:17" x14ac:dyDescent="0.3">
      <c r="A855" t="s">
        <v>950</v>
      </c>
      <c r="B855" t="s">
        <v>513</v>
      </c>
      <c r="C855">
        <v>5</v>
      </c>
      <c r="D855">
        <v>42100</v>
      </c>
      <c r="E855" t="s">
        <v>1146</v>
      </c>
      <c r="F855">
        <v>5</v>
      </c>
      <c r="G855">
        <v>10</v>
      </c>
      <c r="H855">
        <v>8900</v>
      </c>
      <c r="I855">
        <v>1</v>
      </c>
      <c r="J855">
        <f>1</f>
        <v>1</v>
      </c>
      <c r="K855">
        <v>1</v>
      </c>
      <c r="L855">
        <v>0</v>
      </c>
      <c r="M855">
        <f t="shared" ca="1" si="39"/>
        <v>0.6280910638604037</v>
      </c>
      <c r="N855">
        <v>0</v>
      </c>
      <c r="O855">
        <v>0</v>
      </c>
      <c r="P855">
        <f t="shared" ca="1" si="40"/>
        <v>0.95731323776834687</v>
      </c>
      <c r="Q855">
        <f t="shared" si="41"/>
        <v>1</v>
      </c>
    </row>
    <row r="856" spans="1:17" x14ac:dyDescent="0.3">
      <c r="A856" t="s">
        <v>745</v>
      </c>
      <c r="B856" t="s">
        <v>64</v>
      </c>
      <c r="C856">
        <v>3</v>
      </c>
      <c r="D856">
        <v>28200</v>
      </c>
      <c r="E856" t="s">
        <v>1146</v>
      </c>
      <c r="F856">
        <v>3</v>
      </c>
      <c r="G856">
        <v>3.1</v>
      </c>
      <c r="H856">
        <v>2800</v>
      </c>
      <c r="I856">
        <v>1</v>
      </c>
      <c r="J856">
        <f>1</f>
        <v>1</v>
      </c>
      <c r="K856">
        <v>1</v>
      </c>
      <c r="L856">
        <v>0</v>
      </c>
      <c r="M856">
        <f t="shared" ca="1" si="39"/>
        <v>0.86262673750877883</v>
      </c>
      <c r="N856">
        <v>0</v>
      </c>
      <c r="O856">
        <v>0</v>
      </c>
      <c r="P856">
        <f t="shared" ca="1" si="40"/>
        <v>0.90929438867976164</v>
      </c>
      <c r="Q856">
        <f t="shared" si="41"/>
        <v>1</v>
      </c>
    </row>
    <row r="857" spans="1:17" x14ac:dyDescent="0.3">
      <c r="A857" t="s">
        <v>488</v>
      </c>
      <c r="B857" t="s">
        <v>62</v>
      </c>
      <c r="C857">
        <v>5</v>
      </c>
      <c r="D857">
        <v>60200</v>
      </c>
      <c r="E857" t="s">
        <v>66</v>
      </c>
      <c r="F857">
        <v>34</v>
      </c>
      <c r="G857">
        <v>2.7</v>
      </c>
      <c r="H857">
        <v>300</v>
      </c>
      <c r="I857">
        <v>0</v>
      </c>
      <c r="J857">
        <f>1</f>
        <v>1</v>
      </c>
      <c r="K857">
        <v>1</v>
      </c>
      <c r="L857">
        <v>0</v>
      </c>
      <c r="M857">
        <f t="shared" ca="1" si="39"/>
        <v>0.59575495564889946</v>
      </c>
      <c r="N857">
        <v>0</v>
      </c>
      <c r="O857">
        <v>0</v>
      </c>
      <c r="P857">
        <f t="shared" ca="1" si="40"/>
        <v>0.20654726166591109</v>
      </c>
      <c r="Q857">
        <f t="shared" si="41"/>
        <v>1</v>
      </c>
    </row>
    <row r="858" spans="1:17" x14ac:dyDescent="0.3">
      <c r="A858" t="s">
        <v>447</v>
      </c>
      <c r="B858" t="s">
        <v>65</v>
      </c>
      <c r="C858">
        <v>4</v>
      </c>
      <c r="D858">
        <v>46300</v>
      </c>
      <c r="E858" t="s">
        <v>67</v>
      </c>
      <c r="F858">
        <v>92</v>
      </c>
      <c r="G858">
        <v>1.8</v>
      </c>
      <c r="H858">
        <v>5600</v>
      </c>
      <c r="I858">
        <v>0</v>
      </c>
      <c r="J858">
        <f>1</f>
        <v>1</v>
      </c>
      <c r="K858">
        <v>1</v>
      </c>
      <c r="L858">
        <v>0</v>
      </c>
      <c r="M858">
        <f t="shared" ca="1" si="39"/>
        <v>0.8545043353609002</v>
      </c>
      <c r="N858">
        <v>0</v>
      </c>
      <c r="O858">
        <v>0</v>
      </c>
      <c r="P858">
        <f t="shared" ca="1" si="40"/>
        <v>0.57654251102680443</v>
      </c>
      <c r="Q858">
        <f t="shared" si="41"/>
        <v>1</v>
      </c>
    </row>
    <row r="859" spans="1:17" x14ac:dyDescent="0.3">
      <c r="A859" t="s">
        <v>1086</v>
      </c>
      <c r="B859" t="s">
        <v>65</v>
      </c>
      <c r="C859">
        <v>4</v>
      </c>
      <c r="D859">
        <v>33400</v>
      </c>
      <c r="E859" t="s">
        <v>1146</v>
      </c>
      <c r="F859">
        <v>4</v>
      </c>
      <c r="G859">
        <v>0.5</v>
      </c>
      <c r="H859">
        <v>5900</v>
      </c>
      <c r="I859">
        <v>1</v>
      </c>
      <c r="J859">
        <f>1</f>
        <v>1</v>
      </c>
      <c r="K859">
        <v>1</v>
      </c>
      <c r="L859">
        <v>0</v>
      </c>
      <c r="M859">
        <f t="shared" ca="1" si="39"/>
        <v>0.91898338073932728</v>
      </c>
      <c r="N859">
        <v>0</v>
      </c>
      <c r="O859">
        <v>0</v>
      </c>
      <c r="P859">
        <f t="shared" ca="1" si="40"/>
        <v>0.69171634521902736</v>
      </c>
      <c r="Q859">
        <f t="shared" si="41"/>
        <v>1</v>
      </c>
    </row>
    <row r="860" spans="1:17" x14ac:dyDescent="0.3">
      <c r="A860" t="s">
        <v>960</v>
      </c>
      <c r="B860" t="s">
        <v>513</v>
      </c>
      <c r="C860">
        <v>2</v>
      </c>
      <c r="D860">
        <v>134600</v>
      </c>
      <c r="E860" t="s">
        <v>1146</v>
      </c>
      <c r="F860">
        <v>2</v>
      </c>
      <c r="G860">
        <v>11.2</v>
      </c>
      <c r="H860">
        <v>12100</v>
      </c>
      <c r="I860">
        <v>1</v>
      </c>
      <c r="J860">
        <f>1</f>
        <v>1</v>
      </c>
      <c r="K860">
        <v>1</v>
      </c>
      <c r="L860">
        <v>0</v>
      </c>
      <c r="M860">
        <f t="shared" ca="1" si="39"/>
        <v>0.48986227948855832</v>
      </c>
      <c r="N860">
        <v>0</v>
      </c>
      <c r="O860">
        <v>0</v>
      </c>
      <c r="P860">
        <f t="shared" ca="1" si="40"/>
        <v>0.30789600917218551</v>
      </c>
      <c r="Q860">
        <f t="shared" si="41"/>
        <v>1</v>
      </c>
    </row>
    <row r="861" spans="1:17" x14ac:dyDescent="0.3">
      <c r="A861" t="s">
        <v>657</v>
      </c>
      <c r="B861" t="s">
        <v>62</v>
      </c>
      <c r="C861">
        <v>5</v>
      </c>
      <c r="D861">
        <v>48200</v>
      </c>
      <c r="E861" t="s">
        <v>1146</v>
      </c>
      <c r="F861">
        <v>5</v>
      </c>
      <c r="G861">
        <v>1.4</v>
      </c>
      <c r="H861">
        <v>6000</v>
      </c>
      <c r="I861">
        <v>1</v>
      </c>
      <c r="J861">
        <f>1</f>
        <v>1</v>
      </c>
      <c r="K861">
        <v>1</v>
      </c>
      <c r="L861">
        <v>0</v>
      </c>
      <c r="M861">
        <f t="shared" ca="1" si="39"/>
        <v>0.36845035942882198</v>
      </c>
      <c r="N861">
        <v>0</v>
      </c>
      <c r="O861">
        <v>0</v>
      </c>
      <c r="P861">
        <f t="shared" ca="1" si="40"/>
        <v>0.38717596715821856</v>
      </c>
      <c r="Q861">
        <f t="shared" si="41"/>
        <v>1</v>
      </c>
    </row>
    <row r="862" spans="1:17" x14ac:dyDescent="0.3">
      <c r="A862" t="s">
        <v>1098</v>
      </c>
      <c r="B862" t="s">
        <v>513</v>
      </c>
      <c r="C862">
        <v>7</v>
      </c>
      <c r="D862">
        <v>11700</v>
      </c>
      <c r="E862" t="s">
        <v>1146</v>
      </c>
      <c r="F862">
        <v>0</v>
      </c>
      <c r="G862">
        <v>13</v>
      </c>
      <c r="H862">
        <v>6600</v>
      </c>
      <c r="I862">
        <v>1</v>
      </c>
      <c r="J862">
        <f>1</f>
        <v>1</v>
      </c>
      <c r="K862">
        <v>1</v>
      </c>
      <c r="L862">
        <v>0</v>
      </c>
      <c r="M862">
        <f t="shared" ca="1" si="39"/>
        <v>0.34652869061100566</v>
      </c>
      <c r="N862">
        <v>0</v>
      </c>
      <c r="O862">
        <v>0</v>
      </c>
      <c r="P862">
        <f t="shared" ca="1" si="40"/>
        <v>0.79027406943635192</v>
      </c>
      <c r="Q862">
        <f t="shared" si="41"/>
        <v>1</v>
      </c>
    </row>
    <row r="863" spans="1:17" x14ac:dyDescent="0.3">
      <c r="A863" t="s">
        <v>214</v>
      </c>
      <c r="B863" t="s">
        <v>64</v>
      </c>
      <c r="C863">
        <v>4</v>
      </c>
      <c r="D863">
        <v>27300</v>
      </c>
      <c r="E863" t="s">
        <v>69</v>
      </c>
      <c r="F863">
        <v>16</v>
      </c>
      <c r="G863">
        <v>3.2</v>
      </c>
      <c r="H863">
        <v>200</v>
      </c>
      <c r="I863">
        <v>0</v>
      </c>
      <c r="J863">
        <f>1</f>
        <v>1</v>
      </c>
      <c r="K863">
        <v>1</v>
      </c>
      <c r="L863">
        <v>0</v>
      </c>
      <c r="M863">
        <f t="shared" ca="1" si="39"/>
        <v>0.64428990371984041</v>
      </c>
      <c r="N863">
        <v>0</v>
      </c>
      <c r="O863">
        <v>0</v>
      </c>
      <c r="P863">
        <f t="shared" ca="1" si="40"/>
        <v>0.46552767241658621</v>
      </c>
      <c r="Q863">
        <f t="shared" si="41"/>
        <v>1</v>
      </c>
    </row>
    <row r="864" spans="1:17" x14ac:dyDescent="0.3">
      <c r="A864" t="s">
        <v>721</v>
      </c>
      <c r="B864" t="s">
        <v>62</v>
      </c>
      <c r="C864">
        <v>4</v>
      </c>
      <c r="D864">
        <v>25400</v>
      </c>
      <c r="E864" t="s">
        <v>1146</v>
      </c>
      <c r="F864">
        <v>10</v>
      </c>
      <c r="G864">
        <v>5.8</v>
      </c>
      <c r="H864">
        <v>7500</v>
      </c>
      <c r="I864">
        <v>1</v>
      </c>
      <c r="J864">
        <f>1</f>
        <v>1</v>
      </c>
      <c r="K864">
        <v>1</v>
      </c>
      <c r="L864">
        <v>0</v>
      </c>
      <c r="M864">
        <f t="shared" ca="1" si="39"/>
        <v>0.3127665178483805</v>
      </c>
      <c r="N864">
        <v>0</v>
      </c>
      <c r="O864">
        <v>0</v>
      </c>
      <c r="P864">
        <f t="shared" ca="1" si="40"/>
        <v>0.32823748130344466</v>
      </c>
      <c r="Q864">
        <f t="shared" si="41"/>
        <v>1</v>
      </c>
    </row>
    <row r="865" spans="1:17" x14ac:dyDescent="0.3">
      <c r="A865" t="s">
        <v>178</v>
      </c>
      <c r="B865" t="s">
        <v>64</v>
      </c>
      <c r="C865">
        <v>6</v>
      </c>
      <c r="D865">
        <v>41700</v>
      </c>
      <c r="E865" t="s">
        <v>69</v>
      </c>
      <c r="F865">
        <v>30</v>
      </c>
      <c r="G865">
        <v>4.5999999999999996</v>
      </c>
      <c r="H865">
        <v>7500</v>
      </c>
      <c r="I865">
        <v>0</v>
      </c>
      <c r="J865">
        <f>1</f>
        <v>1</v>
      </c>
      <c r="K865">
        <v>1</v>
      </c>
      <c r="L865">
        <v>0</v>
      </c>
      <c r="M865">
        <f t="shared" ca="1" si="39"/>
        <v>2.0005621717769539E-2</v>
      </c>
      <c r="N865">
        <v>0</v>
      </c>
      <c r="O865">
        <v>0</v>
      </c>
      <c r="P865">
        <f t="shared" ca="1" si="40"/>
        <v>0.6719479670387063</v>
      </c>
      <c r="Q865">
        <f t="shared" si="41"/>
        <v>1</v>
      </c>
    </row>
    <row r="866" spans="1:17" x14ac:dyDescent="0.3">
      <c r="A866" t="s">
        <v>130</v>
      </c>
      <c r="B866" t="s">
        <v>513</v>
      </c>
      <c r="C866">
        <v>9</v>
      </c>
      <c r="D866">
        <v>48300</v>
      </c>
      <c r="E866" t="s">
        <v>66</v>
      </c>
      <c r="F866">
        <v>32</v>
      </c>
      <c r="G866">
        <v>4.8</v>
      </c>
      <c r="H866">
        <v>4800</v>
      </c>
      <c r="I866">
        <v>0</v>
      </c>
      <c r="J866">
        <f>1</f>
        <v>1</v>
      </c>
      <c r="K866">
        <v>1</v>
      </c>
      <c r="L866">
        <v>0</v>
      </c>
      <c r="M866">
        <f t="shared" ca="1" si="39"/>
        <v>0.77520988975596306</v>
      </c>
      <c r="N866">
        <v>0</v>
      </c>
      <c r="O866">
        <v>0</v>
      </c>
      <c r="P866">
        <f t="shared" ca="1" si="40"/>
        <v>0.10389514364099284</v>
      </c>
      <c r="Q866">
        <f t="shared" si="41"/>
        <v>1</v>
      </c>
    </row>
    <row r="867" spans="1:17" x14ac:dyDescent="0.3">
      <c r="A867" t="s">
        <v>770</v>
      </c>
      <c r="B867" t="s">
        <v>65</v>
      </c>
      <c r="C867">
        <v>5</v>
      </c>
      <c r="D867">
        <v>25700</v>
      </c>
      <c r="E867" t="s">
        <v>1146</v>
      </c>
      <c r="F867">
        <v>7</v>
      </c>
      <c r="G867">
        <v>11.9</v>
      </c>
      <c r="H867">
        <v>5800</v>
      </c>
      <c r="I867">
        <v>1</v>
      </c>
      <c r="J867">
        <f>1</f>
        <v>1</v>
      </c>
      <c r="K867">
        <v>1</v>
      </c>
      <c r="L867">
        <v>0</v>
      </c>
      <c r="M867">
        <f t="shared" ca="1" si="39"/>
        <v>0.47685491630870258</v>
      </c>
      <c r="N867">
        <v>0</v>
      </c>
      <c r="O867">
        <v>0</v>
      </c>
      <c r="P867">
        <f t="shared" ca="1" si="40"/>
        <v>0.20627499949376449</v>
      </c>
      <c r="Q867">
        <f t="shared" si="41"/>
        <v>1</v>
      </c>
    </row>
    <row r="868" spans="1:17" x14ac:dyDescent="0.3">
      <c r="A868" t="s">
        <v>612</v>
      </c>
      <c r="B868" t="s">
        <v>65</v>
      </c>
      <c r="C868">
        <v>6</v>
      </c>
      <c r="D868">
        <v>43400</v>
      </c>
      <c r="E868" t="s">
        <v>68</v>
      </c>
      <c r="F868">
        <v>55</v>
      </c>
      <c r="G868">
        <v>11.7</v>
      </c>
      <c r="H868">
        <v>4100</v>
      </c>
      <c r="I868">
        <v>0</v>
      </c>
      <c r="J868">
        <f>1</f>
        <v>1</v>
      </c>
      <c r="K868">
        <v>1</v>
      </c>
      <c r="L868">
        <v>0</v>
      </c>
      <c r="M868">
        <f t="shared" ca="1" si="39"/>
        <v>0.22274373534487524</v>
      </c>
      <c r="N868">
        <v>0</v>
      </c>
      <c r="O868">
        <v>0</v>
      </c>
      <c r="P868">
        <f t="shared" ca="1" si="40"/>
        <v>0.85333279683996899</v>
      </c>
      <c r="Q868">
        <f t="shared" si="41"/>
        <v>1</v>
      </c>
    </row>
    <row r="869" spans="1:17" x14ac:dyDescent="0.3">
      <c r="A869" t="s">
        <v>1030</v>
      </c>
      <c r="B869" t="s">
        <v>64</v>
      </c>
      <c r="C869">
        <v>9</v>
      </c>
      <c r="D869">
        <v>62100</v>
      </c>
      <c r="E869" t="s">
        <v>1146</v>
      </c>
      <c r="F869">
        <v>9</v>
      </c>
      <c r="G869">
        <v>2.5</v>
      </c>
      <c r="H869">
        <v>400</v>
      </c>
      <c r="I869">
        <v>1</v>
      </c>
      <c r="J869">
        <f>1</f>
        <v>1</v>
      </c>
      <c r="K869">
        <v>1</v>
      </c>
      <c r="L869">
        <v>0</v>
      </c>
      <c r="M869">
        <f t="shared" ca="1" si="39"/>
        <v>0.6607779599672664</v>
      </c>
      <c r="N869">
        <v>0</v>
      </c>
      <c r="O869">
        <v>0</v>
      </c>
      <c r="P869">
        <f t="shared" ca="1" si="40"/>
        <v>0.95486065736528813</v>
      </c>
      <c r="Q869">
        <f t="shared" si="41"/>
        <v>1</v>
      </c>
    </row>
    <row r="870" spans="1:17" x14ac:dyDescent="0.3">
      <c r="A870" t="s">
        <v>183</v>
      </c>
      <c r="B870" t="s">
        <v>513</v>
      </c>
      <c r="C870">
        <v>3</v>
      </c>
      <c r="D870">
        <v>26700</v>
      </c>
      <c r="E870" t="s">
        <v>69</v>
      </c>
      <c r="F870">
        <v>27</v>
      </c>
      <c r="G870">
        <v>2.6</v>
      </c>
      <c r="H870">
        <v>5400</v>
      </c>
      <c r="I870">
        <v>0</v>
      </c>
      <c r="J870">
        <f>1</f>
        <v>1</v>
      </c>
      <c r="K870">
        <v>1</v>
      </c>
      <c r="L870">
        <v>0</v>
      </c>
      <c r="M870">
        <f t="shared" ca="1" si="39"/>
        <v>0.89716195465235626</v>
      </c>
      <c r="N870">
        <v>0</v>
      </c>
      <c r="O870">
        <v>0</v>
      </c>
      <c r="P870">
        <f t="shared" ca="1" si="40"/>
        <v>0.80147450899482664</v>
      </c>
      <c r="Q870">
        <f t="shared" si="41"/>
        <v>1</v>
      </c>
    </row>
    <row r="871" spans="1:17" x14ac:dyDescent="0.3">
      <c r="A871" t="s">
        <v>1097</v>
      </c>
      <c r="B871" t="s">
        <v>64</v>
      </c>
      <c r="C871">
        <v>6</v>
      </c>
      <c r="D871">
        <v>31100</v>
      </c>
      <c r="E871" t="s">
        <v>1146</v>
      </c>
      <c r="F871">
        <v>4</v>
      </c>
      <c r="G871">
        <v>10.3</v>
      </c>
      <c r="H871">
        <v>12200</v>
      </c>
      <c r="I871">
        <v>1</v>
      </c>
      <c r="J871">
        <f>1</f>
        <v>1</v>
      </c>
      <c r="K871">
        <v>1</v>
      </c>
      <c r="L871">
        <v>0</v>
      </c>
      <c r="M871">
        <f t="shared" ca="1" si="39"/>
        <v>0.93938980340947587</v>
      </c>
      <c r="N871">
        <v>0</v>
      </c>
      <c r="O871">
        <v>0</v>
      </c>
      <c r="P871">
        <f t="shared" ca="1" si="40"/>
        <v>0.22063015299590238</v>
      </c>
      <c r="Q871">
        <f t="shared" si="41"/>
        <v>1</v>
      </c>
    </row>
    <row r="872" spans="1:17" x14ac:dyDescent="0.3">
      <c r="A872" t="s">
        <v>350</v>
      </c>
      <c r="B872" t="s">
        <v>65</v>
      </c>
      <c r="C872">
        <v>9</v>
      </c>
      <c r="D872">
        <v>28300</v>
      </c>
      <c r="E872" t="s">
        <v>67</v>
      </c>
      <c r="F872">
        <v>113</v>
      </c>
      <c r="G872">
        <v>4.4000000000000004</v>
      </c>
      <c r="H872">
        <v>3600</v>
      </c>
      <c r="I872">
        <v>0</v>
      </c>
      <c r="J872">
        <f>1</f>
        <v>1</v>
      </c>
      <c r="K872">
        <v>1</v>
      </c>
      <c r="L872">
        <v>0</v>
      </c>
      <c r="M872">
        <f t="shared" ca="1" si="39"/>
        <v>0.44693556894258235</v>
      </c>
      <c r="N872">
        <v>0</v>
      </c>
      <c r="O872">
        <v>0</v>
      </c>
      <c r="P872">
        <f t="shared" ca="1" si="40"/>
        <v>0.93952023967808607</v>
      </c>
      <c r="Q872">
        <f t="shared" si="41"/>
        <v>1</v>
      </c>
    </row>
    <row r="873" spans="1:17" x14ac:dyDescent="0.3">
      <c r="A873" t="s">
        <v>343</v>
      </c>
      <c r="B873" t="s">
        <v>62</v>
      </c>
      <c r="C873">
        <v>9</v>
      </c>
      <c r="D873">
        <v>35800</v>
      </c>
      <c r="E873" t="s">
        <v>68</v>
      </c>
      <c r="F873">
        <v>46</v>
      </c>
      <c r="G873">
        <v>0.2</v>
      </c>
      <c r="H873">
        <v>6900</v>
      </c>
      <c r="I873">
        <v>0</v>
      </c>
      <c r="J873">
        <f>1</f>
        <v>1</v>
      </c>
      <c r="K873">
        <v>1</v>
      </c>
      <c r="L873">
        <v>0</v>
      </c>
      <c r="M873">
        <f t="shared" ca="1" si="39"/>
        <v>0.92154795048413063</v>
      </c>
      <c r="N873">
        <v>0</v>
      </c>
      <c r="O873">
        <v>0</v>
      </c>
      <c r="P873">
        <f t="shared" ca="1" si="40"/>
        <v>0.54685389064884882</v>
      </c>
      <c r="Q873">
        <f t="shared" si="41"/>
        <v>1</v>
      </c>
    </row>
    <row r="874" spans="1:17" x14ac:dyDescent="0.3">
      <c r="A874" t="s">
        <v>677</v>
      </c>
      <c r="B874" t="s">
        <v>62</v>
      </c>
      <c r="C874">
        <v>4</v>
      </c>
      <c r="D874">
        <v>49500</v>
      </c>
      <c r="E874" t="s">
        <v>1146</v>
      </c>
      <c r="F874">
        <v>1</v>
      </c>
      <c r="G874">
        <v>5.6</v>
      </c>
      <c r="H874">
        <v>5900</v>
      </c>
      <c r="I874">
        <v>1</v>
      </c>
      <c r="J874">
        <f>1</f>
        <v>1</v>
      </c>
      <c r="K874">
        <v>1</v>
      </c>
      <c r="L874">
        <v>0</v>
      </c>
      <c r="M874">
        <f t="shared" ca="1" si="39"/>
        <v>0.28762131127623369</v>
      </c>
      <c r="N874">
        <v>0</v>
      </c>
      <c r="O874">
        <v>0</v>
      </c>
      <c r="P874">
        <f t="shared" ca="1" si="40"/>
        <v>0.19152687263621049</v>
      </c>
      <c r="Q874">
        <f t="shared" si="41"/>
        <v>1</v>
      </c>
    </row>
    <row r="875" spans="1:17" x14ac:dyDescent="0.3">
      <c r="A875" t="s">
        <v>1013</v>
      </c>
      <c r="B875" t="s">
        <v>62</v>
      </c>
      <c r="C875">
        <v>8</v>
      </c>
      <c r="D875">
        <v>25500</v>
      </c>
      <c r="E875" t="s">
        <v>1146</v>
      </c>
      <c r="F875">
        <v>2</v>
      </c>
      <c r="G875">
        <v>5.5</v>
      </c>
      <c r="H875">
        <v>2000</v>
      </c>
      <c r="I875">
        <v>1</v>
      </c>
      <c r="J875">
        <f>1</f>
        <v>1</v>
      </c>
      <c r="K875">
        <v>1</v>
      </c>
      <c r="L875">
        <v>0</v>
      </c>
      <c r="M875">
        <f t="shared" ca="1" si="39"/>
        <v>6.1805603411118071E-2</v>
      </c>
      <c r="N875">
        <v>0</v>
      </c>
      <c r="O875">
        <v>0</v>
      </c>
      <c r="P875">
        <f t="shared" ca="1" si="40"/>
        <v>0.72453501757366345</v>
      </c>
      <c r="Q875">
        <f t="shared" si="41"/>
        <v>1</v>
      </c>
    </row>
    <row r="876" spans="1:17" x14ac:dyDescent="0.3">
      <c r="A876" t="s">
        <v>718</v>
      </c>
      <c r="B876" t="s">
        <v>513</v>
      </c>
      <c r="C876">
        <v>10</v>
      </c>
      <c r="D876">
        <v>43500</v>
      </c>
      <c r="E876" t="s">
        <v>1146</v>
      </c>
      <c r="F876">
        <v>4</v>
      </c>
      <c r="G876">
        <v>7.9</v>
      </c>
      <c r="H876">
        <v>3500</v>
      </c>
      <c r="I876">
        <v>1</v>
      </c>
      <c r="J876">
        <f>1</f>
        <v>1</v>
      </c>
      <c r="K876">
        <v>1</v>
      </c>
      <c r="L876">
        <v>0</v>
      </c>
      <c r="M876">
        <f t="shared" ca="1" si="39"/>
        <v>0.44872018271272118</v>
      </c>
      <c r="N876">
        <v>0</v>
      </c>
      <c r="O876">
        <v>0</v>
      </c>
      <c r="P876">
        <f t="shared" ca="1" si="40"/>
        <v>0.82957964543253504</v>
      </c>
      <c r="Q876">
        <f t="shared" si="41"/>
        <v>1</v>
      </c>
    </row>
    <row r="877" spans="1:17" x14ac:dyDescent="0.3">
      <c r="A877" t="s">
        <v>1084</v>
      </c>
      <c r="B877" t="s">
        <v>513</v>
      </c>
      <c r="C877">
        <v>5</v>
      </c>
      <c r="D877">
        <v>92900</v>
      </c>
      <c r="E877" t="s">
        <v>1146</v>
      </c>
      <c r="F877">
        <v>2</v>
      </c>
      <c r="G877">
        <v>13.7</v>
      </c>
      <c r="H877">
        <v>0</v>
      </c>
      <c r="I877">
        <v>1</v>
      </c>
      <c r="J877">
        <f>1</f>
        <v>1</v>
      </c>
      <c r="K877">
        <v>1</v>
      </c>
      <c r="L877">
        <v>0</v>
      </c>
      <c r="M877">
        <f t="shared" ca="1" si="39"/>
        <v>0.64632941160513901</v>
      </c>
      <c r="N877">
        <v>0</v>
      </c>
      <c r="O877">
        <v>0</v>
      </c>
      <c r="P877">
        <f t="shared" ca="1" si="40"/>
        <v>0.26845604871721962</v>
      </c>
      <c r="Q877">
        <f t="shared" si="41"/>
        <v>1</v>
      </c>
    </row>
    <row r="878" spans="1:17" x14ac:dyDescent="0.3">
      <c r="A878" t="s">
        <v>1019</v>
      </c>
      <c r="B878" t="s">
        <v>513</v>
      </c>
      <c r="C878">
        <v>10</v>
      </c>
      <c r="D878">
        <v>34500</v>
      </c>
      <c r="E878" t="s">
        <v>1146</v>
      </c>
      <c r="F878">
        <v>7</v>
      </c>
      <c r="G878">
        <v>3.4</v>
      </c>
      <c r="H878">
        <v>900</v>
      </c>
      <c r="I878">
        <v>1</v>
      </c>
      <c r="J878">
        <f>1</f>
        <v>1</v>
      </c>
      <c r="K878">
        <v>1</v>
      </c>
      <c r="L878">
        <v>0</v>
      </c>
      <c r="M878">
        <f t="shared" ca="1" si="39"/>
        <v>0.56025208447465091</v>
      </c>
      <c r="N878">
        <v>0</v>
      </c>
      <c r="O878">
        <v>0</v>
      </c>
      <c r="P878">
        <f t="shared" ca="1" si="40"/>
        <v>0.40153530041283336</v>
      </c>
      <c r="Q878">
        <f t="shared" si="41"/>
        <v>1</v>
      </c>
    </row>
    <row r="879" spans="1:17" x14ac:dyDescent="0.3">
      <c r="A879" t="s">
        <v>138</v>
      </c>
      <c r="B879" t="s">
        <v>513</v>
      </c>
      <c r="C879">
        <v>6</v>
      </c>
      <c r="D879">
        <v>47300</v>
      </c>
      <c r="E879" t="s">
        <v>66</v>
      </c>
      <c r="F879">
        <v>44</v>
      </c>
      <c r="G879">
        <v>4.8</v>
      </c>
      <c r="H879">
        <v>0</v>
      </c>
      <c r="I879">
        <v>0</v>
      </c>
      <c r="J879">
        <f>1</f>
        <v>1</v>
      </c>
      <c r="K879">
        <v>1</v>
      </c>
      <c r="L879">
        <v>0</v>
      </c>
      <c r="M879">
        <f t="shared" ca="1" si="39"/>
        <v>0.58671025311292657</v>
      </c>
      <c r="N879">
        <v>0</v>
      </c>
      <c r="O879">
        <v>0</v>
      </c>
      <c r="P879">
        <f t="shared" ca="1" si="40"/>
        <v>0.31589518961165131</v>
      </c>
      <c r="Q879">
        <f t="shared" si="41"/>
        <v>1</v>
      </c>
    </row>
    <row r="880" spans="1:17" x14ac:dyDescent="0.3">
      <c r="A880" t="s">
        <v>359</v>
      </c>
      <c r="B880" t="s">
        <v>64</v>
      </c>
      <c r="C880">
        <v>7</v>
      </c>
      <c r="D880">
        <v>31400</v>
      </c>
      <c r="E880" t="s">
        <v>66</v>
      </c>
      <c r="F880">
        <v>59</v>
      </c>
      <c r="G880">
        <v>11.1</v>
      </c>
      <c r="H880">
        <v>4200</v>
      </c>
      <c r="I880">
        <v>0</v>
      </c>
      <c r="J880">
        <f>1</f>
        <v>1</v>
      </c>
      <c r="K880">
        <v>1</v>
      </c>
      <c r="L880">
        <v>0</v>
      </c>
      <c r="M880">
        <f t="shared" ca="1" si="39"/>
        <v>0.40944659941716333</v>
      </c>
      <c r="N880">
        <v>0</v>
      </c>
      <c r="O880">
        <v>0</v>
      </c>
      <c r="P880">
        <f t="shared" ca="1" si="40"/>
        <v>0.83735584445546862</v>
      </c>
      <c r="Q880">
        <f t="shared" si="41"/>
        <v>1</v>
      </c>
    </row>
    <row r="881" spans="1:17" x14ac:dyDescent="0.3">
      <c r="A881" t="s">
        <v>402</v>
      </c>
      <c r="B881" t="s">
        <v>513</v>
      </c>
      <c r="C881">
        <v>8</v>
      </c>
      <c r="D881">
        <v>85000</v>
      </c>
      <c r="E881" t="s">
        <v>66</v>
      </c>
      <c r="F881">
        <v>48</v>
      </c>
      <c r="G881">
        <v>3.2</v>
      </c>
      <c r="H881">
        <v>200</v>
      </c>
      <c r="I881">
        <v>0</v>
      </c>
      <c r="J881">
        <f>1</f>
        <v>1</v>
      </c>
      <c r="K881">
        <v>1</v>
      </c>
      <c r="L881">
        <v>0</v>
      </c>
      <c r="M881">
        <f t="shared" ca="1" si="39"/>
        <v>0.79767701040074601</v>
      </c>
      <c r="N881">
        <v>0</v>
      </c>
      <c r="O881">
        <v>0</v>
      </c>
      <c r="P881">
        <f t="shared" ca="1" si="40"/>
        <v>0.1378250432426148</v>
      </c>
      <c r="Q881">
        <f t="shared" si="41"/>
        <v>1</v>
      </c>
    </row>
    <row r="882" spans="1:17" x14ac:dyDescent="0.3">
      <c r="A882" t="s">
        <v>224</v>
      </c>
      <c r="B882" t="s">
        <v>64</v>
      </c>
      <c r="C882">
        <v>3</v>
      </c>
      <c r="D882">
        <v>37300</v>
      </c>
      <c r="E882" t="s">
        <v>68</v>
      </c>
      <c r="F882">
        <v>47</v>
      </c>
      <c r="G882">
        <v>8.6</v>
      </c>
      <c r="H882">
        <v>7200</v>
      </c>
      <c r="I882">
        <v>0</v>
      </c>
      <c r="J882">
        <f>1</f>
        <v>1</v>
      </c>
      <c r="K882">
        <v>1</v>
      </c>
      <c r="L882">
        <v>0</v>
      </c>
      <c r="M882">
        <f t="shared" ca="1" si="39"/>
        <v>0.37713292310794388</v>
      </c>
      <c r="N882">
        <v>0</v>
      </c>
      <c r="O882">
        <v>0</v>
      </c>
      <c r="P882">
        <f t="shared" ca="1" si="40"/>
        <v>0.70131279553421033</v>
      </c>
      <c r="Q882">
        <f t="shared" si="41"/>
        <v>1</v>
      </c>
    </row>
    <row r="883" spans="1:17" x14ac:dyDescent="0.3">
      <c r="A883" t="s">
        <v>293</v>
      </c>
      <c r="B883" t="s">
        <v>513</v>
      </c>
      <c r="C883">
        <v>5</v>
      </c>
      <c r="D883">
        <v>66100</v>
      </c>
      <c r="E883" t="s">
        <v>68</v>
      </c>
      <c r="F883">
        <v>37</v>
      </c>
      <c r="G883">
        <v>6.2</v>
      </c>
      <c r="H883">
        <v>2900</v>
      </c>
      <c r="I883">
        <v>0</v>
      </c>
      <c r="J883">
        <f>1</f>
        <v>1</v>
      </c>
      <c r="K883">
        <v>1</v>
      </c>
      <c r="L883">
        <v>0</v>
      </c>
      <c r="M883">
        <f t="shared" ca="1" si="39"/>
        <v>0.66512086171033658</v>
      </c>
      <c r="N883">
        <v>0</v>
      </c>
      <c r="O883">
        <v>0</v>
      </c>
      <c r="P883">
        <f t="shared" ca="1" si="40"/>
        <v>0.40670475642745141</v>
      </c>
      <c r="Q883">
        <f t="shared" si="41"/>
        <v>1</v>
      </c>
    </row>
    <row r="884" spans="1:17" x14ac:dyDescent="0.3">
      <c r="A884" t="s">
        <v>313</v>
      </c>
      <c r="B884" t="s">
        <v>62</v>
      </c>
      <c r="C884">
        <v>7</v>
      </c>
      <c r="D884">
        <v>77200</v>
      </c>
      <c r="E884" t="s">
        <v>67</v>
      </c>
      <c r="F884">
        <v>47</v>
      </c>
      <c r="G884">
        <v>7.2</v>
      </c>
      <c r="H884">
        <v>9100</v>
      </c>
      <c r="I884">
        <v>0</v>
      </c>
      <c r="J884">
        <f>1</f>
        <v>1</v>
      </c>
      <c r="K884">
        <v>1</v>
      </c>
      <c r="L884">
        <v>0</v>
      </c>
      <c r="M884">
        <f t="shared" ca="1" si="39"/>
        <v>0.20359319662507613</v>
      </c>
      <c r="N884">
        <v>0</v>
      </c>
      <c r="O884">
        <v>0</v>
      </c>
      <c r="P884">
        <f t="shared" ca="1" si="40"/>
        <v>8.8895152401826105E-2</v>
      </c>
      <c r="Q884">
        <f t="shared" si="41"/>
        <v>1</v>
      </c>
    </row>
    <row r="885" spans="1:17" x14ac:dyDescent="0.3">
      <c r="A885" t="s">
        <v>530</v>
      </c>
      <c r="B885" t="s">
        <v>62</v>
      </c>
      <c r="C885">
        <v>7</v>
      </c>
      <c r="D885">
        <v>17000</v>
      </c>
      <c r="E885" t="s">
        <v>66</v>
      </c>
      <c r="F885">
        <v>31</v>
      </c>
      <c r="G885">
        <v>4</v>
      </c>
      <c r="H885">
        <v>10000</v>
      </c>
      <c r="I885">
        <v>0</v>
      </c>
      <c r="J885">
        <f>1</f>
        <v>1</v>
      </c>
      <c r="K885">
        <v>1</v>
      </c>
      <c r="L885">
        <v>0</v>
      </c>
      <c r="M885">
        <f t="shared" ca="1" si="39"/>
        <v>0.80869162391649541</v>
      </c>
      <c r="N885">
        <v>0</v>
      </c>
      <c r="O885">
        <v>0</v>
      </c>
      <c r="P885">
        <f t="shared" ca="1" si="40"/>
        <v>0.74466235952457882</v>
      </c>
      <c r="Q885">
        <f t="shared" si="41"/>
        <v>1</v>
      </c>
    </row>
    <row r="886" spans="1:17" x14ac:dyDescent="0.3">
      <c r="A886" t="s">
        <v>362</v>
      </c>
      <c r="B886" t="s">
        <v>513</v>
      </c>
      <c r="C886">
        <v>7</v>
      </c>
      <c r="D886">
        <v>34900</v>
      </c>
      <c r="E886" t="s">
        <v>67</v>
      </c>
      <c r="F886">
        <v>45</v>
      </c>
      <c r="G886">
        <v>2.5</v>
      </c>
      <c r="H886">
        <v>10500</v>
      </c>
      <c r="I886">
        <v>0</v>
      </c>
      <c r="J886">
        <f>1</f>
        <v>1</v>
      </c>
      <c r="K886">
        <v>1</v>
      </c>
      <c r="L886">
        <v>0</v>
      </c>
      <c r="M886">
        <f t="shared" ca="1" si="39"/>
        <v>0.19491156253485165</v>
      </c>
      <c r="N886">
        <v>0</v>
      </c>
      <c r="O886">
        <v>0</v>
      </c>
      <c r="P886">
        <f t="shared" ca="1" si="40"/>
        <v>0.46947252072942602</v>
      </c>
      <c r="Q886">
        <f t="shared" si="41"/>
        <v>1</v>
      </c>
    </row>
    <row r="887" spans="1:17" x14ac:dyDescent="0.3">
      <c r="A887" t="s">
        <v>223</v>
      </c>
      <c r="B887" t="s">
        <v>64</v>
      </c>
      <c r="C887">
        <v>5</v>
      </c>
      <c r="D887">
        <v>29200</v>
      </c>
      <c r="E887" t="s">
        <v>69</v>
      </c>
      <c r="F887">
        <v>54</v>
      </c>
      <c r="G887">
        <v>1.3</v>
      </c>
      <c r="H887">
        <v>6000</v>
      </c>
      <c r="I887">
        <v>0</v>
      </c>
      <c r="J887">
        <f>1</f>
        <v>1</v>
      </c>
      <c r="K887">
        <v>1</v>
      </c>
      <c r="L887">
        <v>0</v>
      </c>
      <c r="M887">
        <f t="shared" ca="1" si="39"/>
        <v>0.55730005488035006</v>
      </c>
      <c r="N887">
        <v>0</v>
      </c>
      <c r="O887">
        <v>0</v>
      </c>
      <c r="P887">
        <f t="shared" ca="1" si="40"/>
        <v>0.42722534000945778</v>
      </c>
      <c r="Q887">
        <f t="shared" si="41"/>
        <v>1</v>
      </c>
    </row>
    <row r="888" spans="1:17" x14ac:dyDescent="0.3">
      <c r="A888" t="s">
        <v>858</v>
      </c>
      <c r="B888" t="s">
        <v>65</v>
      </c>
      <c r="C888">
        <v>4</v>
      </c>
      <c r="D888">
        <v>28200</v>
      </c>
      <c r="E888" t="s">
        <v>1146</v>
      </c>
      <c r="F888">
        <v>7</v>
      </c>
      <c r="G888">
        <v>9.5</v>
      </c>
      <c r="H888">
        <v>6700</v>
      </c>
      <c r="I888">
        <v>1</v>
      </c>
      <c r="J888">
        <f>1</f>
        <v>1</v>
      </c>
      <c r="K888">
        <v>1</v>
      </c>
      <c r="L888">
        <v>0</v>
      </c>
      <c r="M888">
        <f t="shared" ca="1" si="39"/>
        <v>0.81321895719356752</v>
      </c>
      <c r="N888">
        <v>0</v>
      </c>
      <c r="O888">
        <v>0</v>
      </c>
      <c r="P888">
        <f t="shared" ca="1" si="40"/>
        <v>0.59250014465288392</v>
      </c>
      <c r="Q888">
        <f t="shared" si="41"/>
        <v>1</v>
      </c>
    </row>
    <row r="889" spans="1:17" x14ac:dyDescent="0.3">
      <c r="A889" t="s">
        <v>464</v>
      </c>
      <c r="B889" t="s">
        <v>513</v>
      </c>
      <c r="C889">
        <v>9</v>
      </c>
      <c r="D889">
        <v>49400</v>
      </c>
      <c r="E889" t="s">
        <v>67</v>
      </c>
      <c r="F889">
        <v>96</v>
      </c>
      <c r="G889">
        <v>11</v>
      </c>
      <c r="H889">
        <v>9400</v>
      </c>
      <c r="I889">
        <v>0</v>
      </c>
      <c r="J889">
        <f>1</f>
        <v>1</v>
      </c>
      <c r="K889">
        <v>1</v>
      </c>
      <c r="L889">
        <v>0</v>
      </c>
      <c r="M889">
        <f t="shared" ca="1" si="39"/>
        <v>0.77195027140797123</v>
      </c>
      <c r="N889">
        <v>0</v>
      </c>
      <c r="O889">
        <v>0</v>
      </c>
      <c r="P889">
        <f t="shared" ca="1" si="40"/>
        <v>0.77129046476929308</v>
      </c>
      <c r="Q889">
        <f t="shared" si="41"/>
        <v>1</v>
      </c>
    </row>
    <row r="890" spans="1:17" x14ac:dyDescent="0.3">
      <c r="A890" t="s">
        <v>201</v>
      </c>
      <c r="B890" t="s">
        <v>65</v>
      </c>
      <c r="C890">
        <v>4</v>
      </c>
      <c r="D890">
        <v>30200</v>
      </c>
      <c r="E890" t="s">
        <v>68</v>
      </c>
      <c r="F890">
        <v>72</v>
      </c>
      <c r="G890">
        <v>9.1</v>
      </c>
      <c r="H890">
        <v>4500</v>
      </c>
      <c r="I890">
        <v>0</v>
      </c>
      <c r="J890">
        <f>1</f>
        <v>1</v>
      </c>
      <c r="K890">
        <v>1</v>
      </c>
      <c r="L890">
        <v>0</v>
      </c>
      <c r="M890">
        <f t="shared" ca="1" si="39"/>
        <v>0.92555681080210039</v>
      </c>
      <c r="N890">
        <v>0</v>
      </c>
      <c r="O890">
        <v>0</v>
      </c>
      <c r="P890">
        <f t="shared" ca="1" si="40"/>
        <v>0.93013003301394304</v>
      </c>
      <c r="Q890">
        <f t="shared" si="41"/>
        <v>1</v>
      </c>
    </row>
    <row r="891" spans="1:17" x14ac:dyDescent="0.3">
      <c r="A891" t="s">
        <v>779</v>
      </c>
      <c r="B891" t="s">
        <v>513</v>
      </c>
      <c r="C891">
        <v>5</v>
      </c>
      <c r="D891">
        <v>35500</v>
      </c>
      <c r="E891" t="s">
        <v>1146</v>
      </c>
      <c r="F891">
        <v>9</v>
      </c>
      <c r="G891">
        <v>10.7</v>
      </c>
      <c r="H891">
        <v>11300</v>
      </c>
      <c r="I891">
        <v>1</v>
      </c>
      <c r="J891">
        <f>1</f>
        <v>1</v>
      </c>
      <c r="K891">
        <v>1</v>
      </c>
      <c r="L891">
        <v>0</v>
      </c>
      <c r="M891">
        <f t="shared" ca="1" si="39"/>
        <v>0.32067499535675115</v>
      </c>
      <c r="N891">
        <v>0</v>
      </c>
      <c r="O891">
        <v>0</v>
      </c>
      <c r="P891">
        <f t="shared" ca="1" si="40"/>
        <v>2.7420313010983799E-2</v>
      </c>
      <c r="Q891">
        <f t="shared" si="41"/>
        <v>1</v>
      </c>
    </row>
    <row r="892" spans="1:17" x14ac:dyDescent="0.3">
      <c r="A892" t="s">
        <v>367</v>
      </c>
      <c r="B892" t="s">
        <v>513</v>
      </c>
      <c r="C892">
        <v>7</v>
      </c>
      <c r="D892">
        <v>43900</v>
      </c>
      <c r="E892" t="s">
        <v>66</v>
      </c>
      <c r="F892">
        <v>25</v>
      </c>
      <c r="G892">
        <v>12.6</v>
      </c>
      <c r="H892">
        <v>4200</v>
      </c>
      <c r="I892">
        <v>0</v>
      </c>
      <c r="J892">
        <f>1</f>
        <v>1</v>
      </c>
      <c r="K892">
        <v>1</v>
      </c>
      <c r="L892">
        <v>0</v>
      </c>
      <c r="M892">
        <f t="shared" ca="1" si="39"/>
        <v>0.51940886051737234</v>
      </c>
      <c r="N892">
        <v>0</v>
      </c>
      <c r="O892">
        <v>0</v>
      </c>
      <c r="P892">
        <f t="shared" ca="1" si="40"/>
        <v>0.47701047989429801</v>
      </c>
      <c r="Q892">
        <f t="shared" si="41"/>
        <v>1</v>
      </c>
    </row>
    <row r="893" spans="1:17" x14ac:dyDescent="0.3">
      <c r="A893" t="s">
        <v>498</v>
      </c>
      <c r="B893" t="s">
        <v>513</v>
      </c>
      <c r="C893">
        <v>10</v>
      </c>
      <c r="D893">
        <v>55400</v>
      </c>
      <c r="E893" t="s">
        <v>68</v>
      </c>
      <c r="F893">
        <v>38</v>
      </c>
      <c r="G893">
        <v>11</v>
      </c>
      <c r="H893">
        <v>10800</v>
      </c>
      <c r="I893">
        <v>0</v>
      </c>
      <c r="J893">
        <f>1</f>
        <v>1</v>
      </c>
      <c r="K893">
        <v>1</v>
      </c>
      <c r="L893">
        <v>0</v>
      </c>
      <c r="M893">
        <f t="shared" ca="1" si="39"/>
        <v>0.94506251043298484</v>
      </c>
      <c r="N893">
        <v>0</v>
      </c>
      <c r="O893">
        <v>0</v>
      </c>
      <c r="P893">
        <f t="shared" ca="1" si="40"/>
        <v>0.72350957513424918</v>
      </c>
      <c r="Q893">
        <f t="shared" si="41"/>
        <v>1</v>
      </c>
    </row>
    <row r="894" spans="1:17" x14ac:dyDescent="0.3">
      <c r="A894" t="s">
        <v>829</v>
      </c>
      <c r="B894" t="s">
        <v>65</v>
      </c>
      <c r="C894">
        <v>5</v>
      </c>
      <c r="D894">
        <v>36200</v>
      </c>
      <c r="E894" t="s">
        <v>1146</v>
      </c>
      <c r="F894">
        <v>10</v>
      </c>
      <c r="G894">
        <v>10.1</v>
      </c>
      <c r="H894">
        <v>14400</v>
      </c>
      <c r="I894">
        <v>1</v>
      </c>
      <c r="J894">
        <f>1</f>
        <v>1</v>
      </c>
      <c r="K894">
        <v>1</v>
      </c>
      <c r="L894">
        <v>0</v>
      </c>
      <c r="M894">
        <f t="shared" ca="1" si="39"/>
        <v>7.5600901818188571E-2</v>
      </c>
      <c r="N894">
        <v>0</v>
      </c>
      <c r="O894">
        <v>0</v>
      </c>
      <c r="P894">
        <f t="shared" ca="1" si="40"/>
        <v>5.224212693286312E-2</v>
      </c>
      <c r="Q894">
        <f t="shared" si="41"/>
        <v>1</v>
      </c>
    </row>
    <row r="895" spans="1:17" x14ac:dyDescent="0.3">
      <c r="A895" t="s">
        <v>165</v>
      </c>
      <c r="B895" t="s">
        <v>65</v>
      </c>
      <c r="C895">
        <v>4</v>
      </c>
      <c r="D895">
        <v>23800</v>
      </c>
      <c r="E895" t="s">
        <v>67</v>
      </c>
      <c r="F895">
        <v>69</v>
      </c>
      <c r="G895">
        <v>4.9000000000000004</v>
      </c>
      <c r="H895">
        <v>1500</v>
      </c>
      <c r="I895">
        <v>0</v>
      </c>
      <c r="J895">
        <f>1</f>
        <v>1</v>
      </c>
      <c r="K895">
        <v>1</v>
      </c>
      <c r="L895">
        <v>0</v>
      </c>
      <c r="M895">
        <f t="shared" ca="1" si="39"/>
        <v>0.7496192078883348</v>
      </c>
      <c r="N895">
        <v>0</v>
      </c>
      <c r="O895">
        <v>0</v>
      </c>
      <c r="P895">
        <f t="shared" ca="1" si="40"/>
        <v>0.55785189815563208</v>
      </c>
      <c r="Q895">
        <f t="shared" si="41"/>
        <v>1</v>
      </c>
    </row>
    <row r="896" spans="1:17" x14ac:dyDescent="0.3">
      <c r="A896" t="s">
        <v>465</v>
      </c>
      <c r="B896" t="s">
        <v>65</v>
      </c>
      <c r="C896">
        <v>7</v>
      </c>
      <c r="D896">
        <v>35200</v>
      </c>
      <c r="E896" t="s">
        <v>69</v>
      </c>
      <c r="F896">
        <v>50</v>
      </c>
      <c r="G896">
        <v>9.9</v>
      </c>
      <c r="H896">
        <v>0</v>
      </c>
      <c r="I896">
        <v>0</v>
      </c>
      <c r="J896">
        <f>1</f>
        <v>1</v>
      </c>
      <c r="K896">
        <v>1</v>
      </c>
      <c r="L896">
        <v>0</v>
      </c>
      <c r="M896">
        <f t="shared" ca="1" si="39"/>
        <v>2.1257332077809443E-2</v>
      </c>
      <c r="N896">
        <v>0</v>
      </c>
      <c r="O896">
        <v>0</v>
      </c>
      <c r="P896">
        <f t="shared" ca="1" si="40"/>
        <v>0.38463656022956461</v>
      </c>
      <c r="Q896">
        <f t="shared" si="41"/>
        <v>1</v>
      </c>
    </row>
    <row r="897" spans="1:17" x14ac:dyDescent="0.3">
      <c r="A897" t="s">
        <v>621</v>
      </c>
      <c r="B897" t="s">
        <v>65</v>
      </c>
      <c r="C897">
        <v>5</v>
      </c>
      <c r="D897">
        <v>34300</v>
      </c>
      <c r="E897" t="s">
        <v>66</v>
      </c>
      <c r="F897">
        <v>59</v>
      </c>
      <c r="G897">
        <v>5.2</v>
      </c>
      <c r="H897">
        <v>11400</v>
      </c>
      <c r="I897">
        <v>0</v>
      </c>
      <c r="J897">
        <f>1</f>
        <v>1</v>
      </c>
      <c r="K897">
        <v>1</v>
      </c>
      <c r="L897">
        <v>0</v>
      </c>
      <c r="M897">
        <f t="shared" ca="1" si="39"/>
        <v>6.1870643466314879E-2</v>
      </c>
      <c r="N897">
        <v>0</v>
      </c>
      <c r="O897">
        <v>0</v>
      </c>
      <c r="P897">
        <f t="shared" ca="1" si="40"/>
        <v>0.10018753911246558</v>
      </c>
      <c r="Q897">
        <f t="shared" si="41"/>
        <v>1</v>
      </c>
    </row>
    <row r="898" spans="1:17" x14ac:dyDescent="0.3">
      <c r="A898" t="s">
        <v>586</v>
      </c>
      <c r="B898" t="s">
        <v>513</v>
      </c>
      <c r="C898">
        <v>1</v>
      </c>
      <c r="D898">
        <v>41200</v>
      </c>
      <c r="E898" t="s">
        <v>66</v>
      </c>
      <c r="F898">
        <v>16</v>
      </c>
      <c r="G898">
        <v>4.8</v>
      </c>
      <c r="H898">
        <v>2100</v>
      </c>
      <c r="I898">
        <v>0</v>
      </c>
      <c r="J898">
        <f>1</f>
        <v>1</v>
      </c>
      <c r="K898">
        <v>1</v>
      </c>
      <c r="L898">
        <v>0</v>
      </c>
      <c r="M898">
        <f t="shared" ref="M898:M961" ca="1" si="42">RAND()</f>
        <v>0.57702056655262235</v>
      </c>
      <c r="N898">
        <v>0</v>
      </c>
      <c r="O898">
        <v>0</v>
      </c>
      <c r="P898">
        <f t="shared" ref="P898:P961" ca="1" si="43">IF(L898=0,RAND(),"")</f>
        <v>0.31739919824260077</v>
      </c>
      <c r="Q898">
        <f t="shared" si="41"/>
        <v>1</v>
      </c>
    </row>
    <row r="899" spans="1:17" x14ac:dyDescent="0.3">
      <c r="A899" t="s">
        <v>1044</v>
      </c>
      <c r="B899" t="s">
        <v>65</v>
      </c>
      <c r="C899">
        <v>2</v>
      </c>
      <c r="D899">
        <v>41000</v>
      </c>
      <c r="E899" t="s">
        <v>1146</v>
      </c>
      <c r="F899">
        <v>0</v>
      </c>
      <c r="G899">
        <v>4.5999999999999996</v>
      </c>
      <c r="H899">
        <v>2200</v>
      </c>
      <c r="I899">
        <v>1</v>
      </c>
      <c r="J899">
        <f>1</f>
        <v>1</v>
      </c>
      <c r="K899">
        <v>1</v>
      </c>
      <c r="L899">
        <v>0</v>
      </c>
      <c r="M899">
        <f t="shared" ca="1" si="42"/>
        <v>0.62265695683634914</v>
      </c>
      <c r="N899">
        <v>0</v>
      </c>
      <c r="O899">
        <v>0</v>
      </c>
      <c r="P899">
        <f t="shared" ca="1" si="43"/>
        <v>0.95865527915547599</v>
      </c>
      <c r="Q899">
        <f t="shared" ref="Q899:Q962" si="44">IF(OR(L899=1,O899=1), 0,1)</f>
        <v>1</v>
      </c>
    </row>
    <row r="900" spans="1:17" x14ac:dyDescent="0.3">
      <c r="A900" t="s">
        <v>1034</v>
      </c>
      <c r="B900" t="s">
        <v>513</v>
      </c>
      <c r="C900">
        <v>6</v>
      </c>
      <c r="D900">
        <v>25800</v>
      </c>
      <c r="E900" t="s">
        <v>1146</v>
      </c>
      <c r="F900">
        <v>7</v>
      </c>
      <c r="G900">
        <v>3</v>
      </c>
      <c r="H900">
        <v>4700</v>
      </c>
      <c r="I900">
        <v>1</v>
      </c>
      <c r="J900">
        <f>1</f>
        <v>1</v>
      </c>
      <c r="K900">
        <v>1</v>
      </c>
      <c r="L900">
        <v>0</v>
      </c>
      <c r="M900">
        <f t="shared" ca="1" si="42"/>
        <v>0.33749317102941412</v>
      </c>
      <c r="N900">
        <v>0</v>
      </c>
      <c r="O900">
        <v>0</v>
      </c>
      <c r="P900">
        <f t="shared" ca="1" si="43"/>
        <v>0.66478859226216713</v>
      </c>
      <c r="Q900">
        <f t="shared" si="44"/>
        <v>1</v>
      </c>
    </row>
    <row r="901" spans="1:17" x14ac:dyDescent="0.3">
      <c r="A901" t="s">
        <v>266</v>
      </c>
      <c r="B901" t="s">
        <v>62</v>
      </c>
      <c r="C901">
        <v>5</v>
      </c>
      <c r="D901">
        <v>28200</v>
      </c>
      <c r="E901" t="s">
        <v>67</v>
      </c>
      <c r="F901">
        <v>72</v>
      </c>
      <c r="G901">
        <v>7.4</v>
      </c>
      <c r="H901">
        <v>6600</v>
      </c>
      <c r="I901">
        <v>0</v>
      </c>
      <c r="J901">
        <f>1</f>
        <v>1</v>
      </c>
      <c r="K901">
        <v>1</v>
      </c>
      <c r="L901">
        <v>0</v>
      </c>
      <c r="M901">
        <f t="shared" ca="1" si="42"/>
        <v>0.20976968169372034</v>
      </c>
      <c r="N901">
        <v>0</v>
      </c>
      <c r="O901">
        <v>0</v>
      </c>
      <c r="P901">
        <f t="shared" ca="1" si="43"/>
        <v>0.50998858674944858</v>
      </c>
      <c r="Q901">
        <f t="shared" si="44"/>
        <v>1</v>
      </c>
    </row>
    <row r="902" spans="1:17" x14ac:dyDescent="0.3">
      <c r="A902" t="s">
        <v>525</v>
      </c>
      <c r="B902" t="s">
        <v>513</v>
      </c>
      <c r="C902">
        <v>4</v>
      </c>
      <c r="D902">
        <v>17800</v>
      </c>
      <c r="E902" t="s">
        <v>68</v>
      </c>
      <c r="F902">
        <v>47</v>
      </c>
      <c r="G902">
        <v>5.0999999999999996</v>
      </c>
      <c r="H902">
        <v>5000</v>
      </c>
      <c r="I902">
        <v>0</v>
      </c>
      <c r="J902">
        <f>1</f>
        <v>1</v>
      </c>
      <c r="K902">
        <v>1</v>
      </c>
      <c r="L902">
        <v>0</v>
      </c>
      <c r="M902">
        <f t="shared" ca="1" si="42"/>
        <v>0.66753270722996438</v>
      </c>
      <c r="N902">
        <v>0</v>
      </c>
      <c r="O902">
        <v>0</v>
      </c>
      <c r="P902">
        <f t="shared" ca="1" si="43"/>
        <v>0.24319850801277476</v>
      </c>
      <c r="Q902">
        <f t="shared" si="44"/>
        <v>1</v>
      </c>
    </row>
    <row r="903" spans="1:17" x14ac:dyDescent="0.3">
      <c r="A903" t="s">
        <v>665</v>
      </c>
      <c r="B903" t="s">
        <v>62</v>
      </c>
      <c r="C903">
        <v>7</v>
      </c>
      <c r="D903">
        <v>20700</v>
      </c>
      <c r="E903" t="s">
        <v>1146</v>
      </c>
      <c r="F903">
        <v>10</v>
      </c>
      <c r="G903">
        <v>1.1000000000000001</v>
      </c>
      <c r="H903">
        <v>600</v>
      </c>
      <c r="I903">
        <v>1</v>
      </c>
      <c r="J903">
        <f>1</f>
        <v>1</v>
      </c>
      <c r="K903">
        <v>1</v>
      </c>
      <c r="L903">
        <v>0</v>
      </c>
      <c r="M903">
        <f t="shared" ca="1" si="42"/>
        <v>0.39732851555772875</v>
      </c>
      <c r="N903">
        <v>0</v>
      </c>
      <c r="O903">
        <v>0</v>
      </c>
      <c r="P903">
        <f t="shared" ca="1" si="43"/>
        <v>0.32623167913647055</v>
      </c>
      <c r="Q903">
        <f t="shared" si="44"/>
        <v>1</v>
      </c>
    </row>
    <row r="904" spans="1:17" x14ac:dyDescent="0.3">
      <c r="A904" t="s">
        <v>709</v>
      </c>
      <c r="B904" t="s">
        <v>62</v>
      </c>
      <c r="C904">
        <v>9</v>
      </c>
      <c r="D904">
        <v>61000</v>
      </c>
      <c r="E904" t="s">
        <v>1146</v>
      </c>
      <c r="F904">
        <v>2</v>
      </c>
      <c r="G904">
        <v>6.4</v>
      </c>
      <c r="H904">
        <v>9900</v>
      </c>
      <c r="I904">
        <v>1</v>
      </c>
      <c r="J904">
        <f>1</f>
        <v>1</v>
      </c>
      <c r="K904">
        <v>1</v>
      </c>
      <c r="L904">
        <v>0</v>
      </c>
      <c r="M904">
        <f t="shared" ca="1" si="42"/>
        <v>0.41903394184342013</v>
      </c>
      <c r="N904">
        <v>0</v>
      </c>
      <c r="O904">
        <v>0</v>
      </c>
      <c r="P904">
        <f t="shared" ca="1" si="43"/>
        <v>0.75181552347082226</v>
      </c>
      <c r="Q904">
        <f t="shared" si="44"/>
        <v>1</v>
      </c>
    </row>
    <row r="905" spans="1:17" x14ac:dyDescent="0.3">
      <c r="A905" t="s">
        <v>1039</v>
      </c>
      <c r="B905" t="s">
        <v>513</v>
      </c>
      <c r="C905">
        <v>6</v>
      </c>
      <c r="D905">
        <v>28100</v>
      </c>
      <c r="E905" t="s">
        <v>1146</v>
      </c>
      <c r="F905">
        <v>0</v>
      </c>
      <c r="G905">
        <v>2.5</v>
      </c>
      <c r="H905">
        <v>4700</v>
      </c>
      <c r="I905">
        <v>1</v>
      </c>
      <c r="J905">
        <f>1</f>
        <v>1</v>
      </c>
      <c r="K905">
        <v>1</v>
      </c>
      <c r="L905">
        <v>0</v>
      </c>
      <c r="M905">
        <f t="shared" ca="1" si="42"/>
        <v>0.9724677485963571</v>
      </c>
      <c r="N905">
        <v>0</v>
      </c>
      <c r="O905">
        <v>0</v>
      </c>
      <c r="P905">
        <f t="shared" ca="1" si="43"/>
        <v>0.48243144667684401</v>
      </c>
      <c r="Q905">
        <f t="shared" si="44"/>
        <v>1</v>
      </c>
    </row>
    <row r="906" spans="1:17" x14ac:dyDescent="0.3">
      <c r="A906" t="s">
        <v>1026</v>
      </c>
      <c r="B906" t="s">
        <v>65</v>
      </c>
      <c r="C906">
        <v>5</v>
      </c>
      <c r="D906">
        <v>11200</v>
      </c>
      <c r="E906" t="s">
        <v>1146</v>
      </c>
      <c r="F906">
        <v>10</v>
      </c>
      <c r="G906">
        <v>2.6</v>
      </c>
      <c r="H906">
        <v>0</v>
      </c>
      <c r="I906">
        <v>1</v>
      </c>
      <c r="J906">
        <f>1</f>
        <v>1</v>
      </c>
      <c r="K906">
        <v>1</v>
      </c>
      <c r="L906">
        <v>0</v>
      </c>
      <c r="M906">
        <f t="shared" ca="1" si="42"/>
        <v>0.67314473527516838</v>
      </c>
      <c r="N906">
        <v>0</v>
      </c>
      <c r="O906">
        <v>0</v>
      </c>
      <c r="P906">
        <f t="shared" ca="1" si="43"/>
        <v>0.51032333915608052</v>
      </c>
      <c r="Q906">
        <f t="shared" si="44"/>
        <v>1</v>
      </c>
    </row>
    <row r="907" spans="1:17" x14ac:dyDescent="0.3">
      <c r="A907" t="s">
        <v>1040</v>
      </c>
      <c r="B907" t="s">
        <v>513</v>
      </c>
      <c r="C907">
        <v>4</v>
      </c>
      <c r="D907">
        <v>40300</v>
      </c>
      <c r="E907" t="s">
        <v>1146</v>
      </c>
      <c r="F907">
        <v>2</v>
      </c>
      <c r="G907">
        <v>4.7</v>
      </c>
      <c r="H907">
        <v>900</v>
      </c>
      <c r="I907">
        <v>1</v>
      </c>
      <c r="J907">
        <f>1</f>
        <v>1</v>
      </c>
      <c r="K907">
        <v>1</v>
      </c>
      <c r="L907">
        <v>0</v>
      </c>
      <c r="M907">
        <f t="shared" ca="1" si="42"/>
        <v>0.33225394239995276</v>
      </c>
      <c r="N907">
        <v>0</v>
      </c>
      <c r="O907">
        <v>0</v>
      </c>
      <c r="P907">
        <f t="shared" ca="1" si="43"/>
        <v>0.95140225523666211</v>
      </c>
      <c r="Q907">
        <f t="shared" si="44"/>
        <v>1</v>
      </c>
    </row>
    <row r="908" spans="1:17" x14ac:dyDescent="0.3">
      <c r="A908" t="s">
        <v>270</v>
      </c>
      <c r="B908" t="s">
        <v>513</v>
      </c>
      <c r="C908">
        <v>9</v>
      </c>
      <c r="D908">
        <v>109600</v>
      </c>
      <c r="E908" t="s">
        <v>66</v>
      </c>
      <c r="F908">
        <v>57</v>
      </c>
      <c r="G908">
        <v>11.3</v>
      </c>
      <c r="H908">
        <v>14200</v>
      </c>
      <c r="I908">
        <v>0</v>
      </c>
      <c r="J908">
        <f>1</f>
        <v>1</v>
      </c>
      <c r="K908">
        <v>1</v>
      </c>
      <c r="L908">
        <v>0</v>
      </c>
      <c r="M908">
        <f t="shared" ca="1" si="42"/>
        <v>0.77846304124808385</v>
      </c>
      <c r="N908">
        <v>0</v>
      </c>
      <c r="O908">
        <v>0</v>
      </c>
      <c r="P908">
        <f t="shared" ca="1" si="43"/>
        <v>0.50184033177140119</v>
      </c>
      <c r="Q908">
        <f t="shared" si="44"/>
        <v>1</v>
      </c>
    </row>
    <row r="909" spans="1:17" x14ac:dyDescent="0.3">
      <c r="A909" t="s">
        <v>352</v>
      </c>
      <c r="B909" t="s">
        <v>62</v>
      </c>
      <c r="C909">
        <v>4</v>
      </c>
      <c r="D909">
        <v>25400</v>
      </c>
      <c r="E909" t="s">
        <v>68</v>
      </c>
      <c r="F909">
        <v>29</v>
      </c>
      <c r="G909">
        <v>6</v>
      </c>
      <c r="H909">
        <v>0</v>
      </c>
      <c r="I909">
        <v>0</v>
      </c>
      <c r="J909">
        <f>1</f>
        <v>1</v>
      </c>
      <c r="K909">
        <v>1</v>
      </c>
      <c r="L909">
        <v>0</v>
      </c>
      <c r="M909">
        <f t="shared" ca="1" si="42"/>
        <v>6.0828423697229184E-2</v>
      </c>
      <c r="N909">
        <v>0</v>
      </c>
      <c r="O909">
        <v>0</v>
      </c>
      <c r="P909">
        <f t="shared" ca="1" si="43"/>
        <v>0.45231261725256211</v>
      </c>
      <c r="Q909">
        <f t="shared" si="44"/>
        <v>1</v>
      </c>
    </row>
    <row r="910" spans="1:17" x14ac:dyDescent="0.3">
      <c r="A910" t="s">
        <v>180</v>
      </c>
      <c r="B910" t="s">
        <v>513</v>
      </c>
      <c r="C910">
        <v>4</v>
      </c>
      <c r="D910">
        <v>45200</v>
      </c>
      <c r="E910" t="s">
        <v>68</v>
      </c>
      <c r="F910">
        <v>46</v>
      </c>
      <c r="G910">
        <v>11.5</v>
      </c>
      <c r="H910">
        <v>5200</v>
      </c>
      <c r="I910">
        <v>0</v>
      </c>
      <c r="J910">
        <f>1</f>
        <v>1</v>
      </c>
      <c r="K910">
        <v>1</v>
      </c>
      <c r="L910">
        <f>1</f>
        <v>1</v>
      </c>
      <c r="M910">
        <f t="shared" ca="1" si="42"/>
        <v>0.68394522251988188</v>
      </c>
      <c r="N910">
        <v>0</v>
      </c>
      <c r="O910">
        <v>0</v>
      </c>
      <c r="P910" t="str">
        <f t="shared" ca="1" si="43"/>
        <v/>
      </c>
      <c r="Q910">
        <f t="shared" si="44"/>
        <v>0</v>
      </c>
    </row>
    <row r="911" spans="1:17" x14ac:dyDescent="0.3">
      <c r="A911" t="s">
        <v>315</v>
      </c>
      <c r="B911" t="s">
        <v>513</v>
      </c>
      <c r="C911">
        <v>3</v>
      </c>
      <c r="D911">
        <v>32000</v>
      </c>
      <c r="E911" t="s">
        <v>69</v>
      </c>
      <c r="F911">
        <v>51</v>
      </c>
      <c r="G911">
        <v>7.3</v>
      </c>
      <c r="H911">
        <v>4600</v>
      </c>
      <c r="I911">
        <v>0</v>
      </c>
      <c r="J911">
        <f>1</f>
        <v>1</v>
      </c>
      <c r="K911">
        <v>1</v>
      </c>
      <c r="L911">
        <f>1</f>
        <v>1</v>
      </c>
      <c r="M911">
        <f t="shared" ca="1" si="42"/>
        <v>0.82828280947598154</v>
      </c>
      <c r="N911">
        <v>0</v>
      </c>
      <c r="O911">
        <v>0</v>
      </c>
      <c r="P911" t="str">
        <f t="shared" ca="1" si="43"/>
        <v/>
      </c>
      <c r="Q911">
        <f t="shared" si="44"/>
        <v>0</v>
      </c>
    </row>
    <row r="912" spans="1:17" x14ac:dyDescent="0.3">
      <c r="A912" t="s">
        <v>747</v>
      </c>
      <c r="B912" t="s">
        <v>513</v>
      </c>
      <c r="C912">
        <v>2</v>
      </c>
      <c r="D912">
        <v>27800</v>
      </c>
      <c r="E912" t="s">
        <v>1146</v>
      </c>
      <c r="F912">
        <v>2</v>
      </c>
      <c r="G912">
        <v>8</v>
      </c>
      <c r="H912">
        <v>4800</v>
      </c>
      <c r="I912">
        <v>1</v>
      </c>
      <c r="J912">
        <f>1</f>
        <v>1</v>
      </c>
      <c r="K912">
        <v>1</v>
      </c>
      <c r="L912">
        <f>1</f>
        <v>1</v>
      </c>
      <c r="M912">
        <f t="shared" ca="1" si="42"/>
        <v>0.15779938115318082</v>
      </c>
      <c r="N912">
        <v>0</v>
      </c>
      <c r="O912">
        <v>0</v>
      </c>
      <c r="P912" t="str">
        <f t="shared" ca="1" si="43"/>
        <v/>
      </c>
      <c r="Q912">
        <f t="shared" si="44"/>
        <v>0</v>
      </c>
    </row>
    <row r="913" spans="1:17" x14ac:dyDescent="0.3">
      <c r="A913" t="s">
        <v>229</v>
      </c>
      <c r="B913" t="s">
        <v>513</v>
      </c>
      <c r="C913">
        <v>3</v>
      </c>
      <c r="D913">
        <v>53900</v>
      </c>
      <c r="E913" t="s">
        <v>69</v>
      </c>
      <c r="F913">
        <v>13</v>
      </c>
      <c r="G913">
        <v>10</v>
      </c>
      <c r="H913">
        <v>8900</v>
      </c>
      <c r="I913">
        <v>0</v>
      </c>
      <c r="J913">
        <f>1</f>
        <v>1</v>
      </c>
      <c r="K913">
        <v>1</v>
      </c>
      <c r="L913">
        <f>1</f>
        <v>1</v>
      </c>
      <c r="M913">
        <f t="shared" ca="1" si="42"/>
        <v>0.60275467757402257</v>
      </c>
      <c r="N913">
        <v>0</v>
      </c>
      <c r="O913">
        <v>0</v>
      </c>
      <c r="P913" t="str">
        <f t="shared" ca="1" si="43"/>
        <v/>
      </c>
      <c r="Q913">
        <f t="shared" si="44"/>
        <v>0</v>
      </c>
    </row>
    <row r="914" spans="1:17" x14ac:dyDescent="0.3">
      <c r="A914" t="s">
        <v>303</v>
      </c>
      <c r="B914" t="s">
        <v>62</v>
      </c>
      <c r="C914">
        <v>5</v>
      </c>
      <c r="D914">
        <v>25400</v>
      </c>
      <c r="E914" t="s">
        <v>67</v>
      </c>
      <c r="F914">
        <v>108</v>
      </c>
      <c r="G914">
        <v>7.7</v>
      </c>
      <c r="H914">
        <v>13500</v>
      </c>
      <c r="I914">
        <v>0</v>
      </c>
      <c r="J914">
        <f>1</f>
        <v>1</v>
      </c>
      <c r="K914">
        <v>1</v>
      </c>
      <c r="L914">
        <f>1</f>
        <v>1</v>
      </c>
      <c r="M914">
        <f t="shared" ca="1" si="42"/>
        <v>0.40626606260826281</v>
      </c>
      <c r="N914">
        <v>0</v>
      </c>
      <c r="O914">
        <v>0</v>
      </c>
      <c r="P914" t="str">
        <f t="shared" ca="1" si="43"/>
        <v/>
      </c>
      <c r="Q914">
        <f t="shared" si="44"/>
        <v>0</v>
      </c>
    </row>
    <row r="915" spans="1:17" x14ac:dyDescent="0.3">
      <c r="A915" t="s">
        <v>1081</v>
      </c>
      <c r="B915" t="s">
        <v>62</v>
      </c>
      <c r="C915">
        <v>4</v>
      </c>
      <c r="D915">
        <v>17100</v>
      </c>
      <c r="E915" t="s">
        <v>1146</v>
      </c>
      <c r="F915">
        <v>2</v>
      </c>
      <c r="G915">
        <v>3.7</v>
      </c>
      <c r="H915">
        <v>0</v>
      </c>
      <c r="I915">
        <v>1</v>
      </c>
      <c r="J915">
        <f>1</f>
        <v>1</v>
      </c>
      <c r="K915">
        <v>1</v>
      </c>
      <c r="L915">
        <f>1</f>
        <v>1</v>
      </c>
      <c r="M915">
        <f t="shared" ca="1" si="42"/>
        <v>0.28757690894148769</v>
      </c>
      <c r="N915">
        <v>0</v>
      </c>
      <c r="O915">
        <v>0</v>
      </c>
      <c r="P915" t="str">
        <f t="shared" ca="1" si="43"/>
        <v/>
      </c>
      <c r="Q915">
        <f t="shared" si="44"/>
        <v>0</v>
      </c>
    </row>
    <row r="916" spans="1:17" x14ac:dyDescent="0.3">
      <c r="A916" t="s">
        <v>326</v>
      </c>
      <c r="B916" t="s">
        <v>513</v>
      </c>
      <c r="C916">
        <v>3</v>
      </c>
      <c r="D916">
        <v>33100</v>
      </c>
      <c r="E916" t="s">
        <v>66</v>
      </c>
      <c r="F916">
        <v>65</v>
      </c>
      <c r="G916">
        <v>9.8000000000000007</v>
      </c>
      <c r="H916">
        <v>6500</v>
      </c>
      <c r="I916">
        <v>0</v>
      </c>
      <c r="J916">
        <f>1</f>
        <v>1</v>
      </c>
      <c r="K916">
        <v>1</v>
      </c>
      <c r="L916">
        <f>1</f>
        <v>1</v>
      </c>
      <c r="M916">
        <f t="shared" ca="1" si="42"/>
        <v>0.2026773371797379</v>
      </c>
      <c r="N916">
        <v>0</v>
      </c>
      <c r="O916">
        <v>0</v>
      </c>
      <c r="P916" t="str">
        <f t="shared" ca="1" si="43"/>
        <v/>
      </c>
      <c r="Q916">
        <f t="shared" si="44"/>
        <v>0</v>
      </c>
    </row>
    <row r="917" spans="1:17" x14ac:dyDescent="0.3">
      <c r="A917" t="s">
        <v>800</v>
      </c>
      <c r="B917" t="s">
        <v>64</v>
      </c>
      <c r="C917">
        <v>7</v>
      </c>
      <c r="D917">
        <v>108000</v>
      </c>
      <c r="E917" t="s">
        <v>67</v>
      </c>
      <c r="F917">
        <v>85</v>
      </c>
      <c r="G917">
        <v>7.3</v>
      </c>
      <c r="H917">
        <v>1100</v>
      </c>
      <c r="I917">
        <v>1</v>
      </c>
      <c r="J917">
        <f>1</f>
        <v>1</v>
      </c>
      <c r="K917">
        <v>1</v>
      </c>
      <c r="L917">
        <f>1</f>
        <v>1</v>
      </c>
      <c r="M917">
        <f t="shared" ca="1" si="42"/>
        <v>0.70776006740788544</v>
      </c>
      <c r="N917">
        <v>0</v>
      </c>
      <c r="O917">
        <v>0</v>
      </c>
      <c r="P917" t="str">
        <f t="shared" ca="1" si="43"/>
        <v/>
      </c>
      <c r="Q917">
        <f t="shared" si="44"/>
        <v>0</v>
      </c>
    </row>
    <row r="918" spans="1:17" x14ac:dyDescent="0.3">
      <c r="A918" t="s">
        <v>952</v>
      </c>
      <c r="B918" t="s">
        <v>65</v>
      </c>
      <c r="C918">
        <v>4</v>
      </c>
      <c r="D918">
        <v>29800</v>
      </c>
      <c r="E918" t="s">
        <v>1146</v>
      </c>
      <c r="F918">
        <v>0</v>
      </c>
      <c r="G918">
        <v>13.3</v>
      </c>
      <c r="H918">
        <v>0</v>
      </c>
      <c r="I918">
        <v>1</v>
      </c>
      <c r="J918">
        <f>1</f>
        <v>1</v>
      </c>
      <c r="K918">
        <v>1</v>
      </c>
      <c r="L918">
        <f>1</f>
        <v>1</v>
      </c>
      <c r="M918">
        <f t="shared" ca="1" si="42"/>
        <v>0.88043772202279758</v>
      </c>
      <c r="N918">
        <v>0</v>
      </c>
      <c r="O918">
        <v>0</v>
      </c>
      <c r="P918" t="str">
        <f t="shared" ca="1" si="43"/>
        <v/>
      </c>
      <c r="Q918">
        <f t="shared" si="44"/>
        <v>0</v>
      </c>
    </row>
    <row r="919" spans="1:17" x14ac:dyDescent="0.3">
      <c r="A919" t="s">
        <v>182</v>
      </c>
      <c r="B919" t="s">
        <v>65</v>
      </c>
      <c r="C919">
        <v>2</v>
      </c>
      <c r="D919">
        <v>26000</v>
      </c>
      <c r="E919" t="s">
        <v>66</v>
      </c>
      <c r="F919">
        <v>26</v>
      </c>
      <c r="G919">
        <v>4.0999999999999996</v>
      </c>
      <c r="H919">
        <v>13300</v>
      </c>
      <c r="I919">
        <v>0</v>
      </c>
      <c r="J919">
        <f>1</f>
        <v>1</v>
      </c>
      <c r="K919">
        <v>1</v>
      </c>
      <c r="L919">
        <f>1</f>
        <v>1</v>
      </c>
      <c r="M919">
        <f t="shared" ca="1" si="42"/>
        <v>3.0312945563810367E-2</v>
      </c>
      <c r="N919">
        <v>0</v>
      </c>
      <c r="O919">
        <v>0</v>
      </c>
      <c r="P919" t="str">
        <f t="shared" ca="1" si="43"/>
        <v/>
      </c>
      <c r="Q919">
        <f t="shared" si="44"/>
        <v>0</v>
      </c>
    </row>
    <row r="920" spans="1:17" x14ac:dyDescent="0.3">
      <c r="A920" t="s">
        <v>1078</v>
      </c>
      <c r="B920" t="s">
        <v>513</v>
      </c>
      <c r="C920">
        <v>9</v>
      </c>
      <c r="D920">
        <v>110300</v>
      </c>
      <c r="E920" t="s">
        <v>1146</v>
      </c>
      <c r="F920">
        <v>8</v>
      </c>
      <c r="G920">
        <v>7.9</v>
      </c>
      <c r="H920">
        <v>8100</v>
      </c>
      <c r="I920">
        <v>1</v>
      </c>
      <c r="J920">
        <f>1</f>
        <v>1</v>
      </c>
      <c r="K920">
        <v>1</v>
      </c>
      <c r="L920">
        <f>1</f>
        <v>1</v>
      </c>
      <c r="M920">
        <f t="shared" ca="1" si="42"/>
        <v>0.27874417951184927</v>
      </c>
      <c r="N920">
        <v>0</v>
      </c>
      <c r="O920">
        <v>0</v>
      </c>
      <c r="P920" t="str">
        <f t="shared" ca="1" si="43"/>
        <v/>
      </c>
      <c r="Q920">
        <f t="shared" si="44"/>
        <v>0</v>
      </c>
    </row>
    <row r="921" spans="1:17" x14ac:dyDescent="0.3">
      <c r="A921" t="s">
        <v>1111</v>
      </c>
      <c r="B921" t="s">
        <v>62</v>
      </c>
      <c r="C921">
        <v>7</v>
      </c>
      <c r="D921">
        <v>20700</v>
      </c>
      <c r="E921" t="s">
        <v>1146</v>
      </c>
      <c r="F921">
        <v>1</v>
      </c>
      <c r="G921">
        <v>9.3000000000000007</v>
      </c>
      <c r="H921">
        <v>12800</v>
      </c>
      <c r="I921">
        <v>1</v>
      </c>
      <c r="J921">
        <f>1</f>
        <v>1</v>
      </c>
      <c r="K921">
        <v>1</v>
      </c>
      <c r="L921">
        <f>1</f>
        <v>1</v>
      </c>
      <c r="M921">
        <f t="shared" ca="1" si="42"/>
        <v>0.86965984727255941</v>
      </c>
      <c r="N921">
        <v>0</v>
      </c>
      <c r="O921">
        <v>0</v>
      </c>
      <c r="P921" t="str">
        <f t="shared" ca="1" si="43"/>
        <v/>
      </c>
      <c r="Q921">
        <f t="shared" si="44"/>
        <v>0</v>
      </c>
    </row>
    <row r="922" spans="1:17" x14ac:dyDescent="0.3">
      <c r="A922" t="s">
        <v>167</v>
      </c>
      <c r="B922" t="s">
        <v>62</v>
      </c>
      <c r="C922">
        <v>8</v>
      </c>
      <c r="D922">
        <v>113500</v>
      </c>
      <c r="E922" t="s">
        <v>66</v>
      </c>
      <c r="F922">
        <v>23</v>
      </c>
      <c r="G922">
        <v>8.5</v>
      </c>
      <c r="H922">
        <v>4100</v>
      </c>
      <c r="I922">
        <v>0</v>
      </c>
      <c r="J922">
        <f>1</f>
        <v>1</v>
      </c>
      <c r="K922">
        <v>1</v>
      </c>
      <c r="L922">
        <f>1</f>
        <v>1</v>
      </c>
      <c r="M922">
        <f t="shared" ca="1" si="42"/>
        <v>0.58081193035848599</v>
      </c>
      <c r="N922">
        <v>0</v>
      </c>
      <c r="O922">
        <v>0</v>
      </c>
      <c r="P922" t="str">
        <f t="shared" ca="1" si="43"/>
        <v/>
      </c>
      <c r="Q922">
        <f t="shared" si="44"/>
        <v>0</v>
      </c>
    </row>
    <row r="923" spans="1:17" x14ac:dyDescent="0.3">
      <c r="A923" t="s">
        <v>1008</v>
      </c>
      <c r="B923" t="s">
        <v>65</v>
      </c>
      <c r="C923">
        <v>4</v>
      </c>
      <c r="D923">
        <v>32800</v>
      </c>
      <c r="E923" t="s">
        <v>1146</v>
      </c>
      <c r="F923">
        <v>0</v>
      </c>
      <c r="G923">
        <v>11.2</v>
      </c>
      <c r="H923">
        <v>2600</v>
      </c>
      <c r="I923">
        <v>1</v>
      </c>
      <c r="J923">
        <f>1</f>
        <v>1</v>
      </c>
      <c r="K923">
        <v>1</v>
      </c>
      <c r="L923">
        <f>1</f>
        <v>1</v>
      </c>
      <c r="M923">
        <f t="shared" ca="1" si="42"/>
        <v>0.56954561156228056</v>
      </c>
      <c r="N923">
        <v>0</v>
      </c>
      <c r="O923">
        <v>0</v>
      </c>
      <c r="P923" t="str">
        <f t="shared" ca="1" si="43"/>
        <v/>
      </c>
      <c r="Q923">
        <f t="shared" si="44"/>
        <v>0</v>
      </c>
    </row>
    <row r="924" spans="1:17" x14ac:dyDescent="0.3">
      <c r="A924" t="s">
        <v>929</v>
      </c>
      <c r="B924" t="s">
        <v>62</v>
      </c>
      <c r="C924">
        <v>5</v>
      </c>
      <c r="D924">
        <v>167700</v>
      </c>
      <c r="E924" t="s">
        <v>1146</v>
      </c>
      <c r="F924">
        <v>5</v>
      </c>
      <c r="G924">
        <v>6.8</v>
      </c>
      <c r="H924">
        <v>9100</v>
      </c>
      <c r="I924">
        <v>1</v>
      </c>
      <c r="J924">
        <f>1</f>
        <v>1</v>
      </c>
      <c r="K924">
        <v>1</v>
      </c>
      <c r="L924">
        <f>1</f>
        <v>1</v>
      </c>
      <c r="M924">
        <f t="shared" ca="1" si="42"/>
        <v>0.16992655639474408</v>
      </c>
      <c r="N924">
        <v>0</v>
      </c>
      <c r="O924">
        <v>0</v>
      </c>
      <c r="P924" t="str">
        <f t="shared" ca="1" si="43"/>
        <v/>
      </c>
      <c r="Q924">
        <f t="shared" si="44"/>
        <v>0</v>
      </c>
    </row>
    <row r="925" spans="1:17" x14ac:dyDescent="0.3">
      <c r="A925" t="s">
        <v>619</v>
      </c>
      <c r="B925" t="s">
        <v>65</v>
      </c>
      <c r="C925">
        <v>9</v>
      </c>
      <c r="D925">
        <v>69400</v>
      </c>
      <c r="E925" t="s">
        <v>68</v>
      </c>
      <c r="F925">
        <v>27</v>
      </c>
      <c r="G925">
        <v>5.2</v>
      </c>
      <c r="H925">
        <v>10200</v>
      </c>
      <c r="I925">
        <v>0</v>
      </c>
      <c r="J925">
        <f>1</f>
        <v>1</v>
      </c>
      <c r="K925">
        <v>1</v>
      </c>
      <c r="L925">
        <f>1</f>
        <v>1</v>
      </c>
      <c r="M925">
        <f t="shared" ca="1" si="42"/>
        <v>0.80078522425000476</v>
      </c>
      <c r="N925">
        <v>0</v>
      </c>
      <c r="O925">
        <v>0</v>
      </c>
      <c r="P925" t="str">
        <f t="shared" ca="1" si="43"/>
        <v/>
      </c>
      <c r="Q925">
        <f t="shared" si="44"/>
        <v>0</v>
      </c>
    </row>
    <row r="926" spans="1:17" x14ac:dyDescent="0.3">
      <c r="A926" t="s">
        <v>789</v>
      </c>
      <c r="B926" t="s">
        <v>513</v>
      </c>
      <c r="C926">
        <v>7</v>
      </c>
      <c r="D926">
        <v>54500</v>
      </c>
      <c r="E926" t="s">
        <v>1146</v>
      </c>
      <c r="F926">
        <v>8</v>
      </c>
      <c r="G926">
        <v>1.8</v>
      </c>
      <c r="H926">
        <v>6800</v>
      </c>
      <c r="I926">
        <v>1</v>
      </c>
      <c r="J926">
        <f>1</f>
        <v>1</v>
      </c>
      <c r="K926">
        <v>1</v>
      </c>
      <c r="L926">
        <f>1</f>
        <v>1</v>
      </c>
      <c r="M926">
        <f t="shared" ca="1" si="42"/>
        <v>0.46443486348428009</v>
      </c>
      <c r="N926">
        <v>0</v>
      </c>
      <c r="O926">
        <v>0</v>
      </c>
      <c r="P926" t="str">
        <f t="shared" ca="1" si="43"/>
        <v/>
      </c>
      <c r="Q926">
        <f t="shared" si="44"/>
        <v>0</v>
      </c>
    </row>
    <row r="927" spans="1:17" x14ac:dyDescent="0.3">
      <c r="A927" t="s">
        <v>371</v>
      </c>
      <c r="B927" t="s">
        <v>65</v>
      </c>
      <c r="C927">
        <v>7</v>
      </c>
      <c r="D927">
        <v>39900</v>
      </c>
      <c r="E927" t="s">
        <v>67</v>
      </c>
      <c r="F927">
        <v>59</v>
      </c>
      <c r="G927">
        <v>5.9</v>
      </c>
      <c r="H927">
        <v>5100</v>
      </c>
      <c r="I927">
        <v>0</v>
      </c>
      <c r="J927">
        <f>1</f>
        <v>1</v>
      </c>
      <c r="K927">
        <v>1</v>
      </c>
      <c r="L927">
        <f>1</f>
        <v>1</v>
      </c>
      <c r="M927">
        <f t="shared" ca="1" si="42"/>
        <v>7.8826920754971885E-3</v>
      </c>
      <c r="N927">
        <v>0</v>
      </c>
      <c r="O927">
        <v>0</v>
      </c>
      <c r="P927" t="str">
        <f t="shared" ca="1" si="43"/>
        <v/>
      </c>
      <c r="Q927">
        <f t="shared" si="44"/>
        <v>0</v>
      </c>
    </row>
    <row r="928" spans="1:17" x14ac:dyDescent="0.3">
      <c r="A928" t="s">
        <v>119</v>
      </c>
      <c r="B928" t="s">
        <v>64</v>
      </c>
      <c r="C928">
        <v>3</v>
      </c>
      <c r="D928">
        <v>28400</v>
      </c>
      <c r="E928" t="s">
        <v>66</v>
      </c>
      <c r="F928">
        <v>41</v>
      </c>
      <c r="G928">
        <v>6.4</v>
      </c>
      <c r="H928">
        <v>2100</v>
      </c>
      <c r="I928">
        <v>0</v>
      </c>
      <c r="J928">
        <f>1</f>
        <v>1</v>
      </c>
      <c r="K928">
        <v>1</v>
      </c>
      <c r="L928">
        <f>1</f>
        <v>1</v>
      </c>
      <c r="M928">
        <f t="shared" ca="1" si="42"/>
        <v>0.35736016463351217</v>
      </c>
      <c r="N928">
        <v>0</v>
      </c>
      <c r="O928">
        <v>0</v>
      </c>
      <c r="P928" t="str">
        <f t="shared" ca="1" si="43"/>
        <v/>
      </c>
      <c r="Q928">
        <f t="shared" si="44"/>
        <v>0</v>
      </c>
    </row>
    <row r="929" spans="1:17" x14ac:dyDescent="0.3">
      <c r="A929" t="s">
        <v>563</v>
      </c>
      <c r="B929" t="s">
        <v>513</v>
      </c>
      <c r="C929">
        <v>4</v>
      </c>
      <c r="D929">
        <v>31700</v>
      </c>
      <c r="E929" t="s">
        <v>69</v>
      </c>
      <c r="F929">
        <v>37</v>
      </c>
      <c r="G929">
        <v>11.6</v>
      </c>
      <c r="H929">
        <v>1100</v>
      </c>
      <c r="I929">
        <v>0</v>
      </c>
      <c r="J929">
        <f>1</f>
        <v>1</v>
      </c>
      <c r="K929">
        <v>1</v>
      </c>
      <c r="L929">
        <f>1</f>
        <v>1</v>
      </c>
      <c r="M929">
        <f t="shared" ca="1" si="42"/>
        <v>0.14177894313408734</v>
      </c>
      <c r="N929">
        <v>0</v>
      </c>
      <c r="O929">
        <v>0</v>
      </c>
      <c r="P929" t="str">
        <f t="shared" ca="1" si="43"/>
        <v/>
      </c>
      <c r="Q929">
        <f t="shared" si="44"/>
        <v>0</v>
      </c>
    </row>
    <row r="930" spans="1:17" x14ac:dyDescent="0.3">
      <c r="A930" t="s">
        <v>217</v>
      </c>
      <c r="B930" t="s">
        <v>62</v>
      </c>
      <c r="C930">
        <v>3</v>
      </c>
      <c r="D930">
        <v>45200</v>
      </c>
      <c r="E930" t="s">
        <v>69</v>
      </c>
      <c r="F930">
        <v>27</v>
      </c>
      <c r="G930">
        <v>8.3000000000000007</v>
      </c>
      <c r="H930">
        <v>11400</v>
      </c>
      <c r="I930">
        <v>0</v>
      </c>
      <c r="J930">
        <f>1</f>
        <v>1</v>
      </c>
      <c r="K930">
        <v>1</v>
      </c>
      <c r="L930">
        <f>1</f>
        <v>1</v>
      </c>
      <c r="M930">
        <f t="shared" ca="1" si="42"/>
        <v>0.33334147190929131</v>
      </c>
      <c r="N930">
        <v>0</v>
      </c>
      <c r="O930">
        <v>0</v>
      </c>
      <c r="P930" t="str">
        <f t="shared" ca="1" si="43"/>
        <v/>
      </c>
      <c r="Q930">
        <f t="shared" si="44"/>
        <v>0</v>
      </c>
    </row>
    <row r="931" spans="1:17" x14ac:dyDescent="0.3">
      <c r="A931" t="s">
        <v>541</v>
      </c>
      <c r="B931" t="s">
        <v>513</v>
      </c>
      <c r="C931">
        <v>9</v>
      </c>
      <c r="D931">
        <v>113200</v>
      </c>
      <c r="E931" t="s">
        <v>67</v>
      </c>
      <c r="F931">
        <v>117</v>
      </c>
      <c r="G931">
        <v>14</v>
      </c>
      <c r="H931">
        <v>13900</v>
      </c>
      <c r="I931">
        <v>0</v>
      </c>
      <c r="J931">
        <f>1</f>
        <v>1</v>
      </c>
      <c r="K931">
        <v>1</v>
      </c>
      <c r="L931">
        <f>1</f>
        <v>1</v>
      </c>
      <c r="M931">
        <f t="shared" ca="1" si="42"/>
        <v>0.83800764241538428</v>
      </c>
      <c r="N931">
        <v>0</v>
      </c>
      <c r="O931">
        <v>0</v>
      </c>
      <c r="P931" t="str">
        <f t="shared" ca="1" si="43"/>
        <v/>
      </c>
      <c r="Q931">
        <f t="shared" si="44"/>
        <v>0</v>
      </c>
    </row>
    <row r="932" spans="1:17" x14ac:dyDescent="0.3">
      <c r="A932" t="s">
        <v>925</v>
      </c>
      <c r="B932" t="s">
        <v>65</v>
      </c>
      <c r="C932">
        <v>8</v>
      </c>
      <c r="D932">
        <v>76000</v>
      </c>
      <c r="E932" t="s">
        <v>1146</v>
      </c>
      <c r="F932">
        <v>3</v>
      </c>
      <c r="G932">
        <v>6.6</v>
      </c>
      <c r="H932">
        <v>12400</v>
      </c>
      <c r="I932">
        <v>1</v>
      </c>
      <c r="J932">
        <f>1</f>
        <v>1</v>
      </c>
      <c r="K932">
        <v>1</v>
      </c>
      <c r="L932">
        <f>1</f>
        <v>1</v>
      </c>
      <c r="M932">
        <f t="shared" ca="1" si="42"/>
        <v>0.3979521613532051</v>
      </c>
      <c r="N932">
        <v>0</v>
      </c>
      <c r="O932">
        <v>0</v>
      </c>
      <c r="P932" t="str">
        <f t="shared" ca="1" si="43"/>
        <v/>
      </c>
      <c r="Q932">
        <f t="shared" si="44"/>
        <v>0</v>
      </c>
    </row>
    <row r="933" spans="1:17" x14ac:dyDescent="0.3">
      <c r="A933" t="s">
        <v>862</v>
      </c>
      <c r="B933" t="s">
        <v>64</v>
      </c>
      <c r="C933">
        <v>5</v>
      </c>
      <c r="D933">
        <v>30800</v>
      </c>
      <c r="E933" t="s">
        <v>1146</v>
      </c>
      <c r="F933">
        <v>10</v>
      </c>
      <c r="G933">
        <v>9.6999999999999993</v>
      </c>
      <c r="H933">
        <v>5300</v>
      </c>
      <c r="I933">
        <v>1</v>
      </c>
      <c r="J933">
        <f>1</f>
        <v>1</v>
      </c>
      <c r="K933">
        <v>1</v>
      </c>
      <c r="L933">
        <f>1</f>
        <v>1</v>
      </c>
      <c r="M933">
        <f t="shared" ca="1" si="42"/>
        <v>0.64949025978537422</v>
      </c>
      <c r="N933">
        <v>0</v>
      </c>
      <c r="O933">
        <v>0</v>
      </c>
      <c r="P933" t="str">
        <f t="shared" ca="1" si="43"/>
        <v/>
      </c>
      <c r="Q933">
        <f t="shared" si="44"/>
        <v>0</v>
      </c>
    </row>
    <row r="934" spans="1:17" x14ac:dyDescent="0.3">
      <c r="A934" t="s">
        <v>669</v>
      </c>
      <c r="B934" t="s">
        <v>62</v>
      </c>
      <c r="C934">
        <v>10</v>
      </c>
      <c r="D934">
        <v>65300</v>
      </c>
      <c r="E934" t="s">
        <v>1146</v>
      </c>
      <c r="F934">
        <v>4</v>
      </c>
      <c r="G934">
        <v>2.7</v>
      </c>
      <c r="H934">
        <v>4400</v>
      </c>
      <c r="I934">
        <v>1</v>
      </c>
      <c r="J934">
        <f>1</f>
        <v>1</v>
      </c>
      <c r="K934">
        <v>1</v>
      </c>
      <c r="L934">
        <f>1</f>
        <v>1</v>
      </c>
      <c r="M934">
        <f t="shared" ca="1" si="42"/>
        <v>0.17803571723599454</v>
      </c>
      <c r="N934">
        <v>0</v>
      </c>
      <c r="O934">
        <v>0</v>
      </c>
      <c r="P934" t="str">
        <f t="shared" ca="1" si="43"/>
        <v/>
      </c>
      <c r="Q934">
        <f t="shared" si="44"/>
        <v>0</v>
      </c>
    </row>
    <row r="935" spans="1:17" x14ac:dyDescent="0.3">
      <c r="A935" t="s">
        <v>904</v>
      </c>
      <c r="B935" t="s">
        <v>64</v>
      </c>
      <c r="C935">
        <v>7</v>
      </c>
      <c r="D935">
        <v>62800</v>
      </c>
      <c r="E935" t="s">
        <v>1146</v>
      </c>
      <c r="F935">
        <v>8</v>
      </c>
      <c r="G935">
        <v>0.8</v>
      </c>
      <c r="H935">
        <v>6600</v>
      </c>
      <c r="I935">
        <v>1</v>
      </c>
      <c r="J935">
        <f>1</f>
        <v>1</v>
      </c>
      <c r="K935">
        <v>1</v>
      </c>
      <c r="L935">
        <f>1</f>
        <v>1</v>
      </c>
      <c r="M935">
        <f t="shared" ca="1" si="42"/>
        <v>0.72023778613798384</v>
      </c>
      <c r="N935">
        <v>0</v>
      </c>
      <c r="O935">
        <v>0</v>
      </c>
      <c r="P935" t="str">
        <f t="shared" ca="1" si="43"/>
        <v/>
      </c>
      <c r="Q935">
        <f t="shared" si="44"/>
        <v>0</v>
      </c>
    </row>
    <row r="936" spans="1:17" x14ac:dyDescent="0.3">
      <c r="A936" t="s">
        <v>492</v>
      </c>
      <c r="B936" t="s">
        <v>513</v>
      </c>
      <c r="C936">
        <v>6</v>
      </c>
      <c r="D936">
        <v>30100</v>
      </c>
      <c r="E936" t="s">
        <v>69</v>
      </c>
      <c r="F936">
        <v>42</v>
      </c>
      <c r="G936">
        <v>13.9</v>
      </c>
      <c r="H936">
        <v>11300</v>
      </c>
      <c r="I936">
        <v>0</v>
      </c>
      <c r="J936">
        <f>1</f>
        <v>1</v>
      </c>
      <c r="K936">
        <v>1</v>
      </c>
      <c r="L936">
        <f>1</f>
        <v>1</v>
      </c>
      <c r="M936">
        <f t="shared" ca="1" si="42"/>
        <v>0.3653352364257082</v>
      </c>
      <c r="N936">
        <v>0</v>
      </c>
      <c r="O936">
        <v>0</v>
      </c>
      <c r="P936" t="str">
        <f t="shared" ca="1" si="43"/>
        <v/>
      </c>
      <c r="Q936">
        <f t="shared" si="44"/>
        <v>0</v>
      </c>
    </row>
    <row r="937" spans="1:17" x14ac:dyDescent="0.3">
      <c r="A937" t="s">
        <v>880</v>
      </c>
      <c r="B937" t="s">
        <v>513</v>
      </c>
      <c r="C937">
        <v>6</v>
      </c>
      <c r="D937">
        <v>44000</v>
      </c>
      <c r="E937" t="s">
        <v>1146</v>
      </c>
      <c r="F937">
        <v>10</v>
      </c>
      <c r="G937">
        <v>5</v>
      </c>
      <c r="H937">
        <v>4000</v>
      </c>
      <c r="I937">
        <v>1</v>
      </c>
      <c r="J937">
        <f>1</f>
        <v>1</v>
      </c>
      <c r="K937">
        <v>1</v>
      </c>
      <c r="L937">
        <f>1</f>
        <v>1</v>
      </c>
      <c r="M937">
        <f t="shared" ca="1" si="42"/>
        <v>0.71127489865034621</v>
      </c>
      <c r="N937">
        <v>0</v>
      </c>
      <c r="O937">
        <v>0</v>
      </c>
      <c r="P937" t="str">
        <f t="shared" ca="1" si="43"/>
        <v/>
      </c>
      <c r="Q937">
        <f t="shared" si="44"/>
        <v>0</v>
      </c>
    </row>
    <row r="938" spans="1:17" x14ac:dyDescent="0.3">
      <c r="A938" t="s">
        <v>751</v>
      </c>
      <c r="B938" t="s">
        <v>64</v>
      </c>
      <c r="C938">
        <v>8</v>
      </c>
      <c r="D938">
        <v>38800</v>
      </c>
      <c r="E938" t="s">
        <v>1146</v>
      </c>
      <c r="F938">
        <v>7</v>
      </c>
      <c r="G938">
        <v>5</v>
      </c>
      <c r="H938">
        <v>5800</v>
      </c>
      <c r="I938">
        <v>1</v>
      </c>
      <c r="J938">
        <f>1</f>
        <v>1</v>
      </c>
      <c r="K938">
        <v>1</v>
      </c>
      <c r="L938">
        <f>1</f>
        <v>1</v>
      </c>
      <c r="M938">
        <f t="shared" ca="1" si="42"/>
        <v>0.53581208565565275</v>
      </c>
      <c r="N938">
        <v>0</v>
      </c>
      <c r="O938">
        <v>0</v>
      </c>
      <c r="P938" t="str">
        <f t="shared" ca="1" si="43"/>
        <v/>
      </c>
      <c r="Q938">
        <f t="shared" si="44"/>
        <v>0</v>
      </c>
    </row>
    <row r="939" spans="1:17" x14ac:dyDescent="0.3">
      <c r="A939" t="s">
        <v>825</v>
      </c>
      <c r="B939" t="s">
        <v>64</v>
      </c>
      <c r="C939">
        <v>3</v>
      </c>
      <c r="D939">
        <v>82900</v>
      </c>
      <c r="E939" t="s">
        <v>1146</v>
      </c>
      <c r="F939">
        <v>2</v>
      </c>
      <c r="G939">
        <v>4.4000000000000004</v>
      </c>
      <c r="H939">
        <v>800</v>
      </c>
      <c r="I939">
        <v>1</v>
      </c>
      <c r="J939">
        <f>1</f>
        <v>1</v>
      </c>
      <c r="K939">
        <v>1</v>
      </c>
      <c r="L939">
        <f>1</f>
        <v>1</v>
      </c>
      <c r="M939">
        <f t="shared" ca="1" si="42"/>
        <v>0.97883501637698622</v>
      </c>
      <c r="N939">
        <v>0</v>
      </c>
      <c r="O939">
        <v>0</v>
      </c>
      <c r="P939" t="str">
        <f t="shared" ca="1" si="43"/>
        <v/>
      </c>
      <c r="Q939">
        <f t="shared" si="44"/>
        <v>0</v>
      </c>
    </row>
    <row r="940" spans="1:17" x14ac:dyDescent="0.3">
      <c r="A940" t="s">
        <v>437</v>
      </c>
      <c r="B940" t="s">
        <v>513</v>
      </c>
      <c r="C940">
        <v>8</v>
      </c>
      <c r="D940">
        <v>49400</v>
      </c>
      <c r="E940" t="s">
        <v>66</v>
      </c>
      <c r="F940">
        <v>53</v>
      </c>
      <c r="G940">
        <v>11.7</v>
      </c>
      <c r="H940">
        <v>6100</v>
      </c>
      <c r="I940">
        <v>0</v>
      </c>
      <c r="J940">
        <f>1</f>
        <v>1</v>
      </c>
      <c r="K940">
        <v>1</v>
      </c>
      <c r="L940">
        <f>1</f>
        <v>1</v>
      </c>
      <c r="M940">
        <f t="shared" ca="1" si="42"/>
        <v>0.9134714229539046</v>
      </c>
      <c r="N940">
        <v>0</v>
      </c>
      <c r="O940">
        <v>0</v>
      </c>
      <c r="P940" t="str">
        <f t="shared" ca="1" si="43"/>
        <v/>
      </c>
      <c r="Q940">
        <f t="shared" si="44"/>
        <v>0</v>
      </c>
    </row>
    <row r="941" spans="1:17" x14ac:dyDescent="0.3">
      <c r="A941" t="s">
        <v>341</v>
      </c>
      <c r="B941" t="s">
        <v>513</v>
      </c>
      <c r="C941">
        <v>7</v>
      </c>
      <c r="D941">
        <v>44600</v>
      </c>
      <c r="E941" t="s">
        <v>67</v>
      </c>
      <c r="F941">
        <v>68</v>
      </c>
      <c r="G941">
        <v>13.2</v>
      </c>
      <c r="H941">
        <v>10900</v>
      </c>
      <c r="I941">
        <v>0</v>
      </c>
      <c r="J941">
        <f>1</f>
        <v>1</v>
      </c>
      <c r="K941">
        <v>1</v>
      </c>
      <c r="L941">
        <f>1</f>
        <v>1</v>
      </c>
      <c r="M941">
        <f t="shared" ca="1" si="42"/>
        <v>0.61858313330819126</v>
      </c>
      <c r="N941">
        <v>0</v>
      </c>
      <c r="O941">
        <v>0</v>
      </c>
      <c r="P941" t="str">
        <f t="shared" ca="1" si="43"/>
        <v/>
      </c>
      <c r="Q941">
        <f t="shared" si="44"/>
        <v>0</v>
      </c>
    </row>
    <row r="942" spans="1:17" x14ac:dyDescent="0.3">
      <c r="A942" t="s">
        <v>782</v>
      </c>
      <c r="B942" t="s">
        <v>513</v>
      </c>
      <c r="C942">
        <v>4</v>
      </c>
      <c r="D942">
        <v>114700</v>
      </c>
      <c r="E942" t="s">
        <v>1146</v>
      </c>
      <c r="F942">
        <v>6</v>
      </c>
      <c r="G942">
        <v>14.2</v>
      </c>
      <c r="H942">
        <v>7200</v>
      </c>
      <c r="I942">
        <v>1</v>
      </c>
      <c r="J942">
        <f>1</f>
        <v>1</v>
      </c>
      <c r="K942">
        <v>1</v>
      </c>
      <c r="L942">
        <f>1</f>
        <v>1</v>
      </c>
      <c r="M942">
        <f t="shared" ca="1" si="42"/>
        <v>0.27038458165048185</v>
      </c>
      <c r="N942">
        <v>0</v>
      </c>
      <c r="O942">
        <v>0</v>
      </c>
      <c r="P942" t="str">
        <f t="shared" ca="1" si="43"/>
        <v/>
      </c>
      <c r="Q942">
        <f t="shared" si="44"/>
        <v>0</v>
      </c>
    </row>
    <row r="943" spans="1:17" x14ac:dyDescent="0.3">
      <c r="A943" t="s">
        <v>984</v>
      </c>
      <c r="B943" t="s">
        <v>65</v>
      </c>
      <c r="C943">
        <v>4</v>
      </c>
      <c r="D943">
        <v>18100</v>
      </c>
      <c r="E943" t="s">
        <v>1146</v>
      </c>
      <c r="F943">
        <v>9</v>
      </c>
      <c r="G943">
        <v>6.3</v>
      </c>
      <c r="H943">
        <v>6400</v>
      </c>
      <c r="I943">
        <v>1</v>
      </c>
      <c r="J943">
        <f>1</f>
        <v>1</v>
      </c>
      <c r="K943">
        <v>1</v>
      </c>
      <c r="L943">
        <f>1</f>
        <v>1</v>
      </c>
      <c r="M943">
        <f t="shared" ca="1" si="42"/>
        <v>0.57365161160138955</v>
      </c>
      <c r="N943">
        <v>0</v>
      </c>
      <c r="O943">
        <v>0</v>
      </c>
      <c r="P943" t="str">
        <f t="shared" ca="1" si="43"/>
        <v/>
      </c>
      <c r="Q943">
        <f t="shared" si="44"/>
        <v>0</v>
      </c>
    </row>
    <row r="944" spans="1:17" x14ac:dyDescent="0.3">
      <c r="A944" t="s">
        <v>189</v>
      </c>
      <c r="B944" t="s">
        <v>65</v>
      </c>
      <c r="C944">
        <v>4</v>
      </c>
      <c r="D944">
        <v>46500</v>
      </c>
      <c r="E944" t="s">
        <v>66</v>
      </c>
      <c r="F944">
        <v>56</v>
      </c>
      <c r="G944">
        <v>12.5</v>
      </c>
      <c r="H944">
        <v>0</v>
      </c>
      <c r="I944">
        <v>0</v>
      </c>
      <c r="J944">
        <f>1</f>
        <v>1</v>
      </c>
      <c r="K944">
        <v>1</v>
      </c>
      <c r="L944">
        <f>1</f>
        <v>1</v>
      </c>
      <c r="M944">
        <f t="shared" ca="1" si="42"/>
        <v>0.60285074142482131</v>
      </c>
      <c r="N944">
        <v>0</v>
      </c>
      <c r="O944">
        <v>0</v>
      </c>
      <c r="P944" t="str">
        <f t="shared" ca="1" si="43"/>
        <v/>
      </c>
      <c r="Q944">
        <f t="shared" si="44"/>
        <v>0</v>
      </c>
    </row>
    <row r="945" spans="1:17" x14ac:dyDescent="0.3">
      <c r="A945" t="s">
        <v>534</v>
      </c>
      <c r="B945" t="s">
        <v>513</v>
      </c>
      <c r="C945">
        <v>5</v>
      </c>
      <c r="D945">
        <v>35800</v>
      </c>
      <c r="E945" t="s">
        <v>69</v>
      </c>
      <c r="F945">
        <v>56</v>
      </c>
      <c r="G945">
        <v>5.9</v>
      </c>
      <c r="H945">
        <v>10100</v>
      </c>
      <c r="I945">
        <v>0</v>
      </c>
      <c r="J945">
        <f>1</f>
        <v>1</v>
      </c>
      <c r="K945">
        <v>1</v>
      </c>
      <c r="L945">
        <f>1</f>
        <v>1</v>
      </c>
      <c r="M945">
        <f t="shared" ca="1" si="42"/>
        <v>0.37813022052614376</v>
      </c>
      <c r="N945">
        <v>0</v>
      </c>
      <c r="O945">
        <v>0</v>
      </c>
      <c r="P945" t="str">
        <f t="shared" ca="1" si="43"/>
        <v/>
      </c>
      <c r="Q945">
        <f t="shared" si="44"/>
        <v>0</v>
      </c>
    </row>
    <row r="946" spans="1:17" x14ac:dyDescent="0.3">
      <c r="A946" t="s">
        <v>463</v>
      </c>
      <c r="B946" t="s">
        <v>62</v>
      </c>
      <c r="C946">
        <v>4</v>
      </c>
      <c r="D946">
        <v>16600</v>
      </c>
      <c r="E946" t="s">
        <v>66</v>
      </c>
      <c r="F946">
        <v>58</v>
      </c>
      <c r="G946">
        <v>5</v>
      </c>
      <c r="H946">
        <v>3300</v>
      </c>
      <c r="I946">
        <v>0</v>
      </c>
      <c r="J946">
        <f>1</f>
        <v>1</v>
      </c>
      <c r="K946">
        <v>1</v>
      </c>
      <c r="L946">
        <f>1</f>
        <v>1</v>
      </c>
      <c r="M946">
        <f t="shared" ca="1" si="42"/>
        <v>0.49365825411853403</v>
      </c>
      <c r="N946">
        <v>0</v>
      </c>
      <c r="O946">
        <v>0</v>
      </c>
      <c r="P946" t="str">
        <f t="shared" ca="1" si="43"/>
        <v/>
      </c>
      <c r="Q946">
        <f t="shared" si="44"/>
        <v>0</v>
      </c>
    </row>
    <row r="947" spans="1:17" x14ac:dyDescent="0.3">
      <c r="A947" t="s">
        <v>277</v>
      </c>
      <c r="B947" t="s">
        <v>513</v>
      </c>
      <c r="C947">
        <v>9</v>
      </c>
      <c r="D947">
        <v>69300</v>
      </c>
      <c r="E947" t="s">
        <v>68</v>
      </c>
      <c r="F947">
        <v>21</v>
      </c>
      <c r="G947">
        <v>12.5</v>
      </c>
      <c r="H947">
        <v>7200</v>
      </c>
      <c r="I947">
        <v>0</v>
      </c>
      <c r="J947">
        <f>1</f>
        <v>1</v>
      </c>
      <c r="K947">
        <v>1</v>
      </c>
      <c r="L947">
        <f>1</f>
        <v>1</v>
      </c>
      <c r="M947">
        <f t="shared" ca="1" si="42"/>
        <v>0.15250007378457808</v>
      </c>
      <c r="N947">
        <v>0</v>
      </c>
      <c r="O947">
        <v>0</v>
      </c>
      <c r="P947" t="str">
        <f t="shared" ca="1" si="43"/>
        <v/>
      </c>
      <c r="Q947">
        <f t="shared" si="44"/>
        <v>0</v>
      </c>
    </row>
    <row r="948" spans="1:17" x14ac:dyDescent="0.3">
      <c r="A948" t="s">
        <v>739</v>
      </c>
      <c r="B948" t="s">
        <v>513</v>
      </c>
      <c r="C948">
        <v>5</v>
      </c>
      <c r="D948">
        <v>38200</v>
      </c>
      <c r="E948" t="s">
        <v>69</v>
      </c>
      <c r="F948">
        <v>47</v>
      </c>
      <c r="G948">
        <v>8.1999999999999993</v>
      </c>
      <c r="H948">
        <v>2800</v>
      </c>
      <c r="I948">
        <v>1</v>
      </c>
      <c r="J948">
        <f>1</f>
        <v>1</v>
      </c>
      <c r="K948">
        <v>1</v>
      </c>
      <c r="L948">
        <f>1</f>
        <v>1</v>
      </c>
      <c r="M948">
        <f t="shared" ca="1" si="42"/>
        <v>0.29369009920430245</v>
      </c>
      <c r="N948">
        <v>0</v>
      </c>
      <c r="O948">
        <v>0</v>
      </c>
      <c r="P948" t="str">
        <f t="shared" ca="1" si="43"/>
        <v/>
      </c>
      <c r="Q948">
        <f t="shared" si="44"/>
        <v>0</v>
      </c>
    </row>
    <row r="949" spans="1:17" x14ac:dyDescent="0.3">
      <c r="A949" t="s">
        <v>542</v>
      </c>
      <c r="B949" t="s">
        <v>65</v>
      </c>
      <c r="C949">
        <v>4</v>
      </c>
      <c r="D949">
        <v>61500</v>
      </c>
      <c r="E949" t="s">
        <v>66</v>
      </c>
      <c r="F949">
        <v>56</v>
      </c>
      <c r="G949">
        <v>6.7</v>
      </c>
      <c r="H949">
        <v>9300</v>
      </c>
      <c r="I949">
        <v>0</v>
      </c>
      <c r="J949">
        <f>1</f>
        <v>1</v>
      </c>
      <c r="K949">
        <v>1</v>
      </c>
      <c r="L949">
        <f>1</f>
        <v>1</v>
      </c>
      <c r="M949">
        <f t="shared" ca="1" si="42"/>
        <v>6.6605655317477752E-2</v>
      </c>
      <c r="N949">
        <v>0</v>
      </c>
      <c r="O949">
        <v>0</v>
      </c>
      <c r="P949" t="str">
        <f t="shared" ca="1" si="43"/>
        <v/>
      </c>
      <c r="Q949">
        <f t="shared" si="44"/>
        <v>0</v>
      </c>
    </row>
    <row r="950" spans="1:17" x14ac:dyDescent="0.3">
      <c r="A950" t="s">
        <v>805</v>
      </c>
      <c r="B950" t="s">
        <v>64</v>
      </c>
      <c r="C950">
        <v>6</v>
      </c>
      <c r="D950">
        <v>20400</v>
      </c>
      <c r="E950" t="s">
        <v>1146</v>
      </c>
      <c r="F950">
        <v>2</v>
      </c>
      <c r="G950">
        <v>5.5</v>
      </c>
      <c r="H950">
        <v>0</v>
      </c>
      <c r="I950">
        <v>1</v>
      </c>
      <c r="J950">
        <f>1</f>
        <v>1</v>
      </c>
      <c r="K950">
        <v>1</v>
      </c>
      <c r="L950">
        <f>1</f>
        <v>1</v>
      </c>
      <c r="M950">
        <f t="shared" ca="1" si="42"/>
        <v>0.51833459220773781</v>
      </c>
      <c r="N950">
        <v>0</v>
      </c>
      <c r="O950">
        <v>0</v>
      </c>
      <c r="P950" t="str">
        <f t="shared" ca="1" si="43"/>
        <v/>
      </c>
      <c r="Q950">
        <f t="shared" si="44"/>
        <v>0</v>
      </c>
    </row>
    <row r="951" spans="1:17" x14ac:dyDescent="0.3">
      <c r="A951" t="s">
        <v>906</v>
      </c>
      <c r="B951" t="s">
        <v>64</v>
      </c>
      <c r="C951">
        <v>6</v>
      </c>
      <c r="D951">
        <v>50400</v>
      </c>
      <c r="E951" t="s">
        <v>1146</v>
      </c>
      <c r="F951">
        <v>3</v>
      </c>
      <c r="G951">
        <v>8.4</v>
      </c>
      <c r="H951">
        <v>6100</v>
      </c>
      <c r="I951">
        <v>1</v>
      </c>
      <c r="J951">
        <f>1</f>
        <v>1</v>
      </c>
      <c r="K951">
        <v>1</v>
      </c>
      <c r="L951">
        <f>1</f>
        <v>1</v>
      </c>
      <c r="M951">
        <f t="shared" ca="1" si="42"/>
        <v>5.0748488054570551E-2</v>
      </c>
      <c r="N951">
        <v>0</v>
      </c>
      <c r="O951">
        <v>0</v>
      </c>
      <c r="P951" t="str">
        <f t="shared" ca="1" si="43"/>
        <v/>
      </c>
      <c r="Q951">
        <f t="shared" si="44"/>
        <v>0</v>
      </c>
    </row>
    <row r="952" spans="1:17" x14ac:dyDescent="0.3">
      <c r="A952" t="s">
        <v>482</v>
      </c>
      <c r="B952" t="s">
        <v>64</v>
      </c>
      <c r="C952">
        <v>10</v>
      </c>
      <c r="D952">
        <v>50300</v>
      </c>
      <c r="E952" t="s">
        <v>68</v>
      </c>
      <c r="F952">
        <v>61</v>
      </c>
      <c r="G952">
        <v>4.0999999999999996</v>
      </c>
      <c r="H952">
        <v>8200</v>
      </c>
      <c r="I952">
        <v>0</v>
      </c>
      <c r="J952">
        <f>1</f>
        <v>1</v>
      </c>
      <c r="K952">
        <v>1</v>
      </c>
      <c r="L952">
        <f>1</f>
        <v>1</v>
      </c>
      <c r="M952">
        <f t="shared" ca="1" si="42"/>
        <v>0.38007389806027569</v>
      </c>
      <c r="N952">
        <v>0</v>
      </c>
      <c r="O952">
        <v>0</v>
      </c>
      <c r="P952" t="str">
        <f t="shared" ca="1" si="43"/>
        <v/>
      </c>
      <c r="Q952">
        <f t="shared" si="44"/>
        <v>0</v>
      </c>
    </row>
    <row r="953" spans="1:17" x14ac:dyDescent="0.3">
      <c r="A953" t="s">
        <v>147</v>
      </c>
      <c r="B953" t="s">
        <v>513</v>
      </c>
      <c r="C953">
        <v>3</v>
      </c>
      <c r="D953">
        <v>18200</v>
      </c>
      <c r="E953" t="s">
        <v>67</v>
      </c>
      <c r="F953">
        <v>103</v>
      </c>
      <c r="G953">
        <v>2.5</v>
      </c>
      <c r="H953">
        <v>5200</v>
      </c>
      <c r="I953">
        <v>0</v>
      </c>
      <c r="J953">
        <f>1</f>
        <v>1</v>
      </c>
      <c r="K953">
        <v>1</v>
      </c>
      <c r="L953">
        <f>1</f>
        <v>1</v>
      </c>
      <c r="M953">
        <f t="shared" ca="1" si="42"/>
        <v>0.30443925051325416</v>
      </c>
      <c r="N953">
        <v>0</v>
      </c>
      <c r="O953">
        <v>0</v>
      </c>
      <c r="P953" t="str">
        <f t="shared" ca="1" si="43"/>
        <v/>
      </c>
      <c r="Q953">
        <f t="shared" si="44"/>
        <v>0</v>
      </c>
    </row>
    <row r="954" spans="1:17" x14ac:dyDescent="0.3">
      <c r="A954" t="s">
        <v>987</v>
      </c>
      <c r="B954" t="s">
        <v>62</v>
      </c>
      <c r="C954">
        <v>3</v>
      </c>
      <c r="D954">
        <v>37800</v>
      </c>
      <c r="E954" t="s">
        <v>1146</v>
      </c>
      <c r="F954">
        <v>3</v>
      </c>
      <c r="G954">
        <v>0.3</v>
      </c>
      <c r="H954">
        <v>0</v>
      </c>
      <c r="I954">
        <v>1</v>
      </c>
      <c r="J954">
        <f>1</f>
        <v>1</v>
      </c>
      <c r="K954">
        <v>1</v>
      </c>
      <c r="L954">
        <f>1</f>
        <v>1</v>
      </c>
      <c r="M954">
        <f t="shared" ca="1" si="42"/>
        <v>0.93839064019158303</v>
      </c>
      <c r="N954">
        <v>0</v>
      </c>
      <c r="O954">
        <v>0</v>
      </c>
      <c r="P954" t="str">
        <f t="shared" ca="1" si="43"/>
        <v/>
      </c>
      <c r="Q954">
        <f t="shared" si="44"/>
        <v>0</v>
      </c>
    </row>
    <row r="955" spans="1:17" x14ac:dyDescent="0.3">
      <c r="A955" t="s">
        <v>628</v>
      </c>
      <c r="B955" t="s">
        <v>65</v>
      </c>
      <c r="C955">
        <v>4</v>
      </c>
      <c r="D955">
        <v>66400</v>
      </c>
      <c r="E955" t="s">
        <v>67</v>
      </c>
      <c r="F955">
        <v>64</v>
      </c>
      <c r="G955">
        <v>12.1</v>
      </c>
      <c r="H955">
        <v>4500</v>
      </c>
      <c r="I955">
        <v>0</v>
      </c>
      <c r="J955">
        <f>1</f>
        <v>1</v>
      </c>
      <c r="K955">
        <v>1</v>
      </c>
      <c r="L955">
        <f>1</f>
        <v>1</v>
      </c>
      <c r="M955">
        <f t="shared" ca="1" si="42"/>
        <v>0.26906487941160173</v>
      </c>
      <c r="N955">
        <v>0</v>
      </c>
      <c r="O955">
        <v>0</v>
      </c>
      <c r="P955" t="str">
        <f t="shared" ca="1" si="43"/>
        <v/>
      </c>
      <c r="Q955">
        <f t="shared" si="44"/>
        <v>0</v>
      </c>
    </row>
    <row r="956" spans="1:17" x14ac:dyDescent="0.3">
      <c r="A956" t="s">
        <v>212</v>
      </c>
      <c r="B956" t="s">
        <v>64</v>
      </c>
      <c r="C956">
        <v>4</v>
      </c>
      <c r="D956">
        <v>39800</v>
      </c>
      <c r="E956" t="s">
        <v>69</v>
      </c>
      <c r="F956">
        <v>20</v>
      </c>
      <c r="G956">
        <v>8.8000000000000007</v>
      </c>
      <c r="H956">
        <v>9400</v>
      </c>
      <c r="I956">
        <v>0</v>
      </c>
      <c r="J956">
        <f>1</f>
        <v>1</v>
      </c>
      <c r="K956">
        <v>1</v>
      </c>
      <c r="L956">
        <f>1</f>
        <v>1</v>
      </c>
      <c r="M956">
        <f t="shared" ca="1" si="42"/>
        <v>0.38702879201385998</v>
      </c>
      <c r="N956">
        <v>0</v>
      </c>
      <c r="O956">
        <v>0</v>
      </c>
      <c r="P956" t="str">
        <f t="shared" ca="1" si="43"/>
        <v/>
      </c>
      <c r="Q956">
        <f t="shared" si="44"/>
        <v>0</v>
      </c>
    </row>
    <row r="957" spans="1:17" x14ac:dyDescent="0.3">
      <c r="A957" t="s">
        <v>391</v>
      </c>
      <c r="B957" t="s">
        <v>64</v>
      </c>
      <c r="C957">
        <v>10</v>
      </c>
      <c r="D957">
        <v>26500</v>
      </c>
      <c r="E957" t="s">
        <v>67</v>
      </c>
      <c r="F957">
        <v>108</v>
      </c>
      <c r="G957">
        <v>4.7</v>
      </c>
      <c r="H957">
        <v>4900</v>
      </c>
      <c r="I957">
        <v>0</v>
      </c>
      <c r="J957">
        <f>1</f>
        <v>1</v>
      </c>
      <c r="K957">
        <v>1</v>
      </c>
      <c r="L957">
        <f>1</f>
        <v>1</v>
      </c>
      <c r="M957">
        <f t="shared" ca="1" si="42"/>
        <v>0.36174470837370265</v>
      </c>
      <c r="N957">
        <v>0</v>
      </c>
      <c r="O957">
        <v>0</v>
      </c>
      <c r="P957" t="str">
        <f t="shared" ca="1" si="43"/>
        <v/>
      </c>
      <c r="Q957">
        <f t="shared" si="44"/>
        <v>0</v>
      </c>
    </row>
    <row r="958" spans="1:17" x14ac:dyDescent="0.3">
      <c r="A958" t="s">
        <v>184</v>
      </c>
      <c r="B958" t="s">
        <v>65</v>
      </c>
      <c r="C958">
        <v>4</v>
      </c>
      <c r="D958">
        <v>38600</v>
      </c>
      <c r="E958" t="s">
        <v>68</v>
      </c>
      <c r="F958">
        <v>75</v>
      </c>
      <c r="G958">
        <v>6.1</v>
      </c>
      <c r="H958">
        <v>6700</v>
      </c>
      <c r="I958">
        <v>0</v>
      </c>
      <c r="J958">
        <f>1</f>
        <v>1</v>
      </c>
      <c r="K958">
        <v>1</v>
      </c>
      <c r="L958">
        <f>1</f>
        <v>1</v>
      </c>
      <c r="M958">
        <f t="shared" ca="1" si="42"/>
        <v>0.69487360706196122</v>
      </c>
      <c r="N958">
        <v>0</v>
      </c>
      <c r="O958">
        <v>0</v>
      </c>
      <c r="P958" t="str">
        <f t="shared" ca="1" si="43"/>
        <v/>
      </c>
      <c r="Q958">
        <f t="shared" si="44"/>
        <v>0</v>
      </c>
    </row>
    <row r="959" spans="1:17" x14ac:dyDescent="0.3">
      <c r="A959" t="s">
        <v>967</v>
      </c>
      <c r="B959" t="s">
        <v>62</v>
      </c>
      <c r="C959">
        <v>4</v>
      </c>
      <c r="D959">
        <v>49100</v>
      </c>
      <c r="E959" t="s">
        <v>1146</v>
      </c>
      <c r="F959">
        <v>4</v>
      </c>
      <c r="G959">
        <v>3.5</v>
      </c>
      <c r="H959">
        <v>4200</v>
      </c>
      <c r="I959">
        <v>1</v>
      </c>
      <c r="J959">
        <f>1</f>
        <v>1</v>
      </c>
      <c r="K959">
        <v>1</v>
      </c>
      <c r="L959">
        <f>1</f>
        <v>1</v>
      </c>
      <c r="M959">
        <f t="shared" ca="1" si="42"/>
        <v>0.53996077973584211</v>
      </c>
      <c r="N959">
        <v>0</v>
      </c>
      <c r="O959">
        <v>0</v>
      </c>
      <c r="P959" t="str">
        <f t="shared" ca="1" si="43"/>
        <v/>
      </c>
      <c r="Q959">
        <f t="shared" si="44"/>
        <v>0</v>
      </c>
    </row>
    <row r="960" spans="1:17" x14ac:dyDescent="0.3">
      <c r="A960" t="s">
        <v>809</v>
      </c>
      <c r="B960" t="s">
        <v>62</v>
      </c>
      <c r="C960">
        <v>5</v>
      </c>
      <c r="D960">
        <v>23300</v>
      </c>
      <c r="E960" t="s">
        <v>1146</v>
      </c>
      <c r="F960">
        <v>2</v>
      </c>
      <c r="G960">
        <v>9.5</v>
      </c>
      <c r="H960">
        <v>7000</v>
      </c>
      <c r="I960">
        <v>1</v>
      </c>
      <c r="J960">
        <f>1</f>
        <v>1</v>
      </c>
      <c r="K960">
        <v>1</v>
      </c>
      <c r="L960">
        <f>1</f>
        <v>1</v>
      </c>
      <c r="M960">
        <f t="shared" ca="1" si="42"/>
        <v>0.69138135788120758</v>
      </c>
      <c r="N960">
        <v>0</v>
      </c>
      <c r="O960">
        <v>0</v>
      </c>
      <c r="P960" t="str">
        <f t="shared" ca="1" si="43"/>
        <v/>
      </c>
      <c r="Q960">
        <f t="shared" si="44"/>
        <v>0</v>
      </c>
    </row>
    <row r="961" spans="1:17" x14ac:dyDescent="0.3">
      <c r="A961" t="s">
        <v>746</v>
      </c>
      <c r="B961" t="s">
        <v>64</v>
      </c>
      <c r="C961">
        <v>5</v>
      </c>
      <c r="D961">
        <v>17600</v>
      </c>
      <c r="E961" t="s">
        <v>1146</v>
      </c>
      <c r="F961">
        <v>0</v>
      </c>
      <c r="G961">
        <v>2.2000000000000002</v>
      </c>
      <c r="H961">
        <v>1200</v>
      </c>
      <c r="I961">
        <v>1</v>
      </c>
      <c r="J961">
        <f>1</f>
        <v>1</v>
      </c>
      <c r="K961">
        <v>1</v>
      </c>
      <c r="L961">
        <f>1</f>
        <v>1</v>
      </c>
      <c r="M961">
        <f t="shared" ca="1" si="42"/>
        <v>0.44744896822772762</v>
      </c>
      <c r="N961">
        <v>0</v>
      </c>
      <c r="O961">
        <v>0</v>
      </c>
      <c r="P961" t="str">
        <f t="shared" ca="1" si="43"/>
        <v/>
      </c>
      <c r="Q961">
        <f t="shared" si="44"/>
        <v>0</v>
      </c>
    </row>
    <row r="962" spans="1:17" x14ac:dyDescent="0.3">
      <c r="A962" t="s">
        <v>361</v>
      </c>
      <c r="B962" t="s">
        <v>64</v>
      </c>
      <c r="C962">
        <v>9</v>
      </c>
      <c r="D962">
        <v>28400</v>
      </c>
      <c r="E962" t="s">
        <v>68</v>
      </c>
      <c r="F962">
        <v>74</v>
      </c>
      <c r="G962">
        <v>8.4</v>
      </c>
      <c r="H962">
        <v>0</v>
      </c>
      <c r="I962">
        <v>0</v>
      </c>
      <c r="J962">
        <f>1</f>
        <v>1</v>
      </c>
      <c r="K962">
        <v>1</v>
      </c>
      <c r="L962">
        <f>1</f>
        <v>1</v>
      </c>
      <c r="M962">
        <f t="shared" ref="M962:M1025" ca="1" si="45">RAND()</f>
        <v>8.8245434543011592E-2</v>
      </c>
      <c r="N962">
        <v>0</v>
      </c>
      <c r="O962">
        <v>0</v>
      </c>
      <c r="P962" t="str">
        <f t="shared" ref="P962:P1025" ca="1" si="46">IF(L962=0,RAND(),"")</f>
        <v/>
      </c>
      <c r="Q962">
        <f t="shared" si="44"/>
        <v>0</v>
      </c>
    </row>
    <row r="963" spans="1:17" x14ac:dyDescent="0.3">
      <c r="A963" t="s">
        <v>305</v>
      </c>
      <c r="B963" t="s">
        <v>513</v>
      </c>
      <c r="C963">
        <v>9</v>
      </c>
      <c r="D963">
        <v>49800</v>
      </c>
      <c r="E963" t="s">
        <v>68</v>
      </c>
      <c r="F963">
        <v>41</v>
      </c>
      <c r="G963">
        <v>14</v>
      </c>
      <c r="H963">
        <v>6400</v>
      </c>
      <c r="I963">
        <v>0</v>
      </c>
      <c r="J963">
        <f>1</f>
        <v>1</v>
      </c>
      <c r="K963">
        <v>1</v>
      </c>
      <c r="L963">
        <f>1</f>
        <v>1</v>
      </c>
      <c r="M963">
        <f t="shared" ca="1" si="45"/>
        <v>0.74978280171428369</v>
      </c>
      <c r="N963">
        <v>0</v>
      </c>
      <c r="O963">
        <v>0</v>
      </c>
      <c r="P963" t="str">
        <f t="shared" ca="1" si="46"/>
        <v/>
      </c>
      <c r="Q963">
        <f t="shared" ref="Q963:Q1026" si="47">IF(OR(L963=1,O963=1), 0,1)</f>
        <v>0</v>
      </c>
    </row>
    <row r="964" spans="1:17" x14ac:dyDescent="0.3">
      <c r="A964" t="s">
        <v>834</v>
      </c>
      <c r="B964" t="s">
        <v>64</v>
      </c>
      <c r="C964">
        <v>3</v>
      </c>
      <c r="D964">
        <v>21400</v>
      </c>
      <c r="E964" t="s">
        <v>1146</v>
      </c>
      <c r="F964">
        <v>4</v>
      </c>
      <c r="G964">
        <v>7.7</v>
      </c>
      <c r="H964">
        <v>0</v>
      </c>
      <c r="I964">
        <v>1</v>
      </c>
      <c r="J964">
        <f>1</f>
        <v>1</v>
      </c>
      <c r="K964">
        <v>1</v>
      </c>
      <c r="L964">
        <f>1</f>
        <v>1</v>
      </c>
      <c r="M964">
        <f t="shared" ca="1" si="45"/>
        <v>7.7626897097123226E-2</v>
      </c>
      <c r="N964">
        <v>0</v>
      </c>
      <c r="O964">
        <v>0</v>
      </c>
      <c r="P964" t="str">
        <f t="shared" ca="1" si="46"/>
        <v/>
      </c>
      <c r="Q964">
        <f t="shared" si="47"/>
        <v>0</v>
      </c>
    </row>
    <row r="965" spans="1:17" x14ac:dyDescent="0.3">
      <c r="A965" t="s">
        <v>556</v>
      </c>
      <c r="B965" t="s">
        <v>62</v>
      </c>
      <c r="C965">
        <v>3</v>
      </c>
      <c r="D965">
        <v>22900</v>
      </c>
      <c r="E965" t="s">
        <v>66</v>
      </c>
      <c r="F965">
        <v>69</v>
      </c>
      <c r="G965">
        <v>8</v>
      </c>
      <c r="H965">
        <v>3200</v>
      </c>
      <c r="I965">
        <v>0</v>
      </c>
      <c r="J965">
        <f>1</f>
        <v>1</v>
      </c>
      <c r="K965">
        <v>1</v>
      </c>
      <c r="L965">
        <f>1</f>
        <v>1</v>
      </c>
      <c r="M965">
        <f t="shared" ca="1" si="45"/>
        <v>0.97945017787890376</v>
      </c>
      <c r="N965">
        <v>0</v>
      </c>
      <c r="O965">
        <v>0</v>
      </c>
      <c r="P965" t="str">
        <f t="shared" ca="1" si="46"/>
        <v/>
      </c>
      <c r="Q965">
        <f t="shared" si="47"/>
        <v>0</v>
      </c>
    </row>
    <row r="966" spans="1:17" x14ac:dyDescent="0.3">
      <c r="A966" t="s">
        <v>491</v>
      </c>
      <c r="B966" t="s">
        <v>62</v>
      </c>
      <c r="C966">
        <v>2</v>
      </c>
      <c r="D966">
        <v>20200</v>
      </c>
      <c r="E966" t="s">
        <v>68</v>
      </c>
      <c r="F966">
        <v>45</v>
      </c>
      <c r="G966">
        <v>2.2000000000000002</v>
      </c>
      <c r="H966">
        <v>10400</v>
      </c>
      <c r="I966">
        <v>0</v>
      </c>
      <c r="J966">
        <f>1</f>
        <v>1</v>
      </c>
      <c r="K966">
        <v>1</v>
      </c>
      <c r="L966">
        <f>1</f>
        <v>1</v>
      </c>
      <c r="M966">
        <f t="shared" ca="1" si="45"/>
        <v>0.4931359256346598</v>
      </c>
      <c r="N966">
        <v>0</v>
      </c>
      <c r="O966">
        <v>0</v>
      </c>
      <c r="P966" t="str">
        <f t="shared" ca="1" si="46"/>
        <v/>
      </c>
      <c r="Q966">
        <f t="shared" si="47"/>
        <v>0</v>
      </c>
    </row>
    <row r="967" spans="1:17" x14ac:dyDescent="0.3">
      <c r="A967" t="s">
        <v>873</v>
      </c>
      <c r="B967" t="s">
        <v>65</v>
      </c>
      <c r="C967">
        <v>7</v>
      </c>
      <c r="D967">
        <v>64100</v>
      </c>
      <c r="E967" t="s">
        <v>1146</v>
      </c>
      <c r="F967">
        <v>9</v>
      </c>
      <c r="G967">
        <v>8.8000000000000007</v>
      </c>
      <c r="H967">
        <v>4200</v>
      </c>
      <c r="I967">
        <v>1</v>
      </c>
      <c r="J967">
        <f>1</f>
        <v>1</v>
      </c>
      <c r="K967">
        <v>1</v>
      </c>
      <c r="L967">
        <f>1</f>
        <v>1</v>
      </c>
      <c r="M967">
        <f t="shared" ca="1" si="45"/>
        <v>0.52795558817931532</v>
      </c>
      <c r="N967">
        <v>0</v>
      </c>
      <c r="O967">
        <v>0</v>
      </c>
      <c r="P967" t="str">
        <f t="shared" ca="1" si="46"/>
        <v/>
      </c>
      <c r="Q967">
        <f t="shared" si="47"/>
        <v>0</v>
      </c>
    </row>
    <row r="968" spans="1:17" x14ac:dyDescent="0.3">
      <c r="A968" t="s">
        <v>970</v>
      </c>
      <c r="B968" t="s">
        <v>513</v>
      </c>
      <c r="C968">
        <v>6</v>
      </c>
      <c r="D968">
        <v>57200</v>
      </c>
      <c r="E968" t="s">
        <v>1146</v>
      </c>
      <c r="F968">
        <v>7</v>
      </c>
      <c r="G968">
        <v>12</v>
      </c>
      <c r="H968">
        <v>3500</v>
      </c>
      <c r="I968">
        <v>1</v>
      </c>
      <c r="J968">
        <f>1</f>
        <v>1</v>
      </c>
      <c r="K968">
        <v>1</v>
      </c>
      <c r="L968">
        <f>1</f>
        <v>1</v>
      </c>
      <c r="M968">
        <f t="shared" ca="1" si="45"/>
        <v>0.80949290415938235</v>
      </c>
      <c r="N968">
        <v>0</v>
      </c>
      <c r="O968">
        <v>0</v>
      </c>
      <c r="P968" t="str">
        <f t="shared" ca="1" si="46"/>
        <v/>
      </c>
      <c r="Q968">
        <f t="shared" si="47"/>
        <v>0</v>
      </c>
    </row>
    <row r="969" spans="1:17" x14ac:dyDescent="0.3">
      <c r="A969" t="s">
        <v>348</v>
      </c>
      <c r="B969" t="s">
        <v>62</v>
      </c>
      <c r="C969">
        <v>6</v>
      </c>
      <c r="D969">
        <v>43700</v>
      </c>
      <c r="E969" t="s">
        <v>69</v>
      </c>
      <c r="F969">
        <v>27</v>
      </c>
      <c r="G969">
        <v>2.5</v>
      </c>
      <c r="H969">
        <v>1700</v>
      </c>
      <c r="I969">
        <v>0</v>
      </c>
      <c r="J969">
        <f>1</f>
        <v>1</v>
      </c>
      <c r="K969">
        <v>1</v>
      </c>
      <c r="L969">
        <f>1</f>
        <v>1</v>
      </c>
      <c r="M969">
        <f t="shared" ca="1" si="45"/>
        <v>0.83293698887002399</v>
      </c>
      <c r="N969">
        <v>0</v>
      </c>
      <c r="O969">
        <v>0</v>
      </c>
      <c r="P969" t="str">
        <f t="shared" ca="1" si="46"/>
        <v/>
      </c>
      <c r="Q969">
        <f t="shared" si="47"/>
        <v>0</v>
      </c>
    </row>
    <row r="970" spans="1:17" x14ac:dyDescent="0.3">
      <c r="A970" t="s">
        <v>965</v>
      </c>
      <c r="B970" t="s">
        <v>513</v>
      </c>
      <c r="C970">
        <v>7</v>
      </c>
      <c r="D970">
        <v>24500</v>
      </c>
      <c r="E970" t="s">
        <v>1146</v>
      </c>
      <c r="F970">
        <v>3</v>
      </c>
      <c r="G970">
        <v>13.3</v>
      </c>
      <c r="H970">
        <v>0</v>
      </c>
      <c r="I970">
        <v>1</v>
      </c>
      <c r="J970">
        <f>1</f>
        <v>1</v>
      </c>
      <c r="K970">
        <v>1</v>
      </c>
      <c r="L970">
        <f>1</f>
        <v>1</v>
      </c>
      <c r="M970">
        <f t="shared" ca="1" si="45"/>
        <v>0.70697091478309027</v>
      </c>
      <c r="N970">
        <v>0</v>
      </c>
      <c r="O970">
        <v>0</v>
      </c>
      <c r="P970" t="str">
        <f t="shared" ca="1" si="46"/>
        <v/>
      </c>
      <c r="Q970">
        <f t="shared" si="47"/>
        <v>0</v>
      </c>
    </row>
    <row r="971" spans="1:17" x14ac:dyDescent="0.3">
      <c r="A971" t="s">
        <v>1104</v>
      </c>
      <c r="B971" t="s">
        <v>65</v>
      </c>
      <c r="C971">
        <v>3</v>
      </c>
      <c r="D971">
        <v>30000</v>
      </c>
      <c r="E971" t="s">
        <v>1146</v>
      </c>
      <c r="F971">
        <v>8</v>
      </c>
      <c r="G971">
        <v>12.6</v>
      </c>
      <c r="H971">
        <v>9500</v>
      </c>
      <c r="I971">
        <v>1</v>
      </c>
      <c r="J971">
        <f>1</f>
        <v>1</v>
      </c>
      <c r="K971">
        <v>1</v>
      </c>
      <c r="L971">
        <f>1</f>
        <v>1</v>
      </c>
      <c r="M971">
        <f t="shared" ca="1" si="45"/>
        <v>0.49159568187805192</v>
      </c>
      <c r="N971">
        <v>0</v>
      </c>
      <c r="O971">
        <v>0</v>
      </c>
      <c r="P971" t="str">
        <f t="shared" ca="1" si="46"/>
        <v/>
      </c>
      <c r="Q971">
        <f t="shared" si="47"/>
        <v>0</v>
      </c>
    </row>
    <row r="972" spans="1:17" x14ac:dyDescent="0.3">
      <c r="A972" t="s">
        <v>915</v>
      </c>
      <c r="B972" t="s">
        <v>513</v>
      </c>
      <c r="C972">
        <v>4</v>
      </c>
      <c r="D972">
        <v>35400</v>
      </c>
      <c r="E972" t="s">
        <v>68</v>
      </c>
      <c r="F972">
        <v>32</v>
      </c>
      <c r="G972">
        <v>4</v>
      </c>
      <c r="H972">
        <v>7900</v>
      </c>
      <c r="I972">
        <v>1</v>
      </c>
      <c r="J972">
        <f>1</f>
        <v>1</v>
      </c>
      <c r="K972">
        <v>1</v>
      </c>
      <c r="L972">
        <f>1</f>
        <v>1</v>
      </c>
      <c r="M972">
        <f t="shared" ca="1" si="45"/>
        <v>0.43474957528928726</v>
      </c>
      <c r="N972">
        <v>0</v>
      </c>
      <c r="O972">
        <v>0</v>
      </c>
      <c r="P972" t="str">
        <f t="shared" ca="1" si="46"/>
        <v/>
      </c>
      <c r="Q972">
        <f t="shared" si="47"/>
        <v>0</v>
      </c>
    </row>
    <row r="973" spans="1:17" x14ac:dyDescent="0.3">
      <c r="A973" t="s">
        <v>679</v>
      </c>
      <c r="B973" t="s">
        <v>64</v>
      </c>
      <c r="C973">
        <v>5</v>
      </c>
      <c r="D973">
        <v>43600</v>
      </c>
      <c r="E973" t="s">
        <v>1146</v>
      </c>
      <c r="F973">
        <v>9</v>
      </c>
      <c r="G973">
        <v>2.8</v>
      </c>
      <c r="H973">
        <v>10100</v>
      </c>
      <c r="I973">
        <v>1</v>
      </c>
      <c r="J973">
        <f>1</f>
        <v>1</v>
      </c>
      <c r="K973">
        <v>1</v>
      </c>
      <c r="L973">
        <f>1</f>
        <v>1</v>
      </c>
      <c r="M973">
        <f t="shared" ca="1" si="45"/>
        <v>0.43857766349870575</v>
      </c>
      <c r="N973">
        <v>0</v>
      </c>
      <c r="O973">
        <v>0</v>
      </c>
      <c r="P973" t="str">
        <f t="shared" ca="1" si="46"/>
        <v/>
      </c>
      <c r="Q973">
        <f t="shared" si="47"/>
        <v>0</v>
      </c>
    </row>
    <row r="974" spans="1:17" x14ac:dyDescent="0.3">
      <c r="A974" t="s">
        <v>135</v>
      </c>
      <c r="B974" t="s">
        <v>513</v>
      </c>
      <c r="C974">
        <v>10</v>
      </c>
      <c r="D974">
        <v>47400</v>
      </c>
      <c r="E974" t="s">
        <v>68</v>
      </c>
      <c r="F974">
        <v>54</v>
      </c>
      <c r="G974">
        <v>9.5</v>
      </c>
      <c r="H974">
        <v>10400</v>
      </c>
      <c r="I974">
        <v>0</v>
      </c>
      <c r="J974">
        <f>1</f>
        <v>1</v>
      </c>
      <c r="K974">
        <v>1</v>
      </c>
      <c r="L974">
        <f>1</f>
        <v>1</v>
      </c>
      <c r="M974">
        <f t="shared" ca="1" si="45"/>
        <v>0.18343735720673504</v>
      </c>
      <c r="N974">
        <v>0</v>
      </c>
      <c r="O974">
        <v>0</v>
      </c>
      <c r="P974" t="str">
        <f t="shared" ca="1" si="46"/>
        <v/>
      </c>
      <c r="Q974">
        <f t="shared" si="47"/>
        <v>0</v>
      </c>
    </row>
    <row r="975" spans="1:17" x14ac:dyDescent="0.3">
      <c r="A975" t="s">
        <v>693</v>
      </c>
      <c r="B975" t="s">
        <v>62</v>
      </c>
      <c r="C975">
        <v>8</v>
      </c>
      <c r="D975">
        <v>22000</v>
      </c>
      <c r="E975" t="s">
        <v>1146</v>
      </c>
      <c r="F975">
        <v>7</v>
      </c>
      <c r="G975">
        <v>2.7</v>
      </c>
      <c r="H975">
        <v>600</v>
      </c>
      <c r="I975">
        <v>1</v>
      </c>
      <c r="J975">
        <f>1</f>
        <v>1</v>
      </c>
      <c r="K975">
        <v>1</v>
      </c>
      <c r="L975">
        <f>1</f>
        <v>1</v>
      </c>
      <c r="M975">
        <f t="shared" ca="1" si="45"/>
        <v>1.587741866055159E-2</v>
      </c>
      <c r="N975">
        <v>0</v>
      </c>
      <c r="O975">
        <v>0</v>
      </c>
      <c r="P975" t="str">
        <f t="shared" ca="1" si="46"/>
        <v/>
      </c>
      <c r="Q975">
        <f t="shared" si="47"/>
        <v>0</v>
      </c>
    </row>
    <row r="976" spans="1:17" x14ac:dyDescent="0.3">
      <c r="A976" t="s">
        <v>1041</v>
      </c>
      <c r="B976" t="s">
        <v>65</v>
      </c>
      <c r="C976">
        <v>6</v>
      </c>
      <c r="D976">
        <v>29000</v>
      </c>
      <c r="E976" t="s">
        <v>1146</v>
      </c>
      <c r="F976">
        <v>4</v>
      </c>
      <c r="G976">
        <v>5</v>
      </c>
      <c r="H976">
        <v>9000</v>
      </c>
      <c r="I976">
        <v>1</v>
      </c>
      <c r="J976">
        <f>1</f>
        <v>1</v>
      </c>
      <c r="K976">
        <v>1</v>
      </c>
      <c r="L976">
        <f>1</f>
        <v>1</v>
      </c>
      <c r="M976">
        <f t="shared" ca="1" si="45"/>
        <v>0.35338653755716931</v>
      </c>
      <c r="N976">
        <v>0</v>
      </c>
      <c r="O976">
        <v>0</v>
      </c>
      <c r="P976" t="str">
        <f t="shared" ca="1" si="46"/>
        <v/>
      </c>
      <c r="Q976">
        <f t="shared" si="47"/>
        <v>0</v>
      </c>
    </row>
    <row r="977" spans="1:17" x14ac:dyDescent="0.3">
      <c r="A977" t="s">
        <v>765</v>
      </c>
      <c r="B977" t="s">
        <v>64</v>
      </c>
      <c r="C977">
        <v>8</v>
      </c>
      <c r="D977">
        <v>45700</v>
      </c>
      <c r="E977" t="s">
        <v>1146</v>
      </c>
      <c r="F977">
        <v>10</v>
      </c>
      <c r="G977">
        <v>8.6999999999999993</v>
      </c>
      <c r="H977">
        <v>9700</v>
      </c>
      <c r="I977">
        <v>1</v>
      </c>
      <c r="J977">
        <f>1</f>
        <v>1</v>
      </c>
      <c r="K977">
        <v>1</v>
      </c>
      <c r="L977">
        <f>1</f>
        <v>1</v>
      </c>
      <c r="M977">
        <f t="shared" ca="1" si="45"/>
        <v>0.9794252311190399</v>
      </c>
      <c r="N977">
        <v>0</v>
      </c>
      <c r="O977">
        <v>0</v>
      </c>
      <c r="P977" t="str">
        <f t="shared" ca="1" si="46"/>
        <v/>
      </c>
      <c r="Q977">
        <f t="shared" si="47"/>
        <v>0</v>
      </c>
    </row>
    <row r="978" spans="1:17" x14ac:dyDescent="0.3">
      <c r="A978" t="s">
        <v>564</v>
      </c>
      <c r="B978" t="s">
        <v>64</v>
      </c>
      <c r="C978">
        <v>10</v>
      </c>
      <c r="D978">
        <v>39800</v>
      </c>
      <c r="E978" t="s">
        <v>68</v>
      </c>
      <c r="F978">
        <v>50</v>
      </c>
      <c r="G978">
        <v>5.7</v>
      </c>
      <c r="H978">
        <v>6300</v>
      </c>
      <c r="I978">
        <v>0</v>
      </c>
      <c r="J978">
        <f>1</f>
        <v>1</v>
      </c>
      <c r="K978">
        <v>1</v>
      </c>
      <c r="L978">
        <f>1</f>
        <v>1</v>
      </c>
      <c r="M978">
        <f t="shared" ca="1" si="45"/>
        <v>0.60898621586538815</v>
      </c>
      <c r="N978">
        <v>0</v>
      </c>
      <c r="O978">
        <v>0</v>
      </c>
      <c r="P978" t="str">
        <f t="shared" ca="1" si="46"/>
        <v/>
      </c>
      <c r="Q978">
        <f t="shared" si="47"/>
        <v>0</v>
      </c>
    </row>
    <row r="979" spans="1:17" x14ac:dyDescent="0.3">
      <c r="A979" t="s">
        <v>195</v>
      </c>
      <c r="B979" t="s">
        <v>62</v>
      </c>
      <c r="C979">
        <v>6</v>
      </c>
      <c r="D979">
        <v>11800</v>
      </c>
      <c r="E979" t="s">
        <v>67</v>
      </c>
      <c r="F979">
        <v>89</v>
      </c>
      <c r="G979">
        <v>2</v>
      </c>
      <c r="H979">
        <v>7700</v>
      </c>
      <c r="I979">
        <v>0</v>
      </c>
      <c r="J979">
        <f>1</f>
        <v>1</v>
      </c>
      <c r="K979">
        <v>1</v>
      </c>
      <c r="L979">
        <f>1</f>
        <v>1</v>
      </c>
      <c r="M979">
        <f t="shared" ca="1" si="45"/>
        <v>0.28388075066467033</v>
      </c>
      <c r="N979">
        <v>0</v>
      </c>
      <c r="O979">
        <v>0</v>
      </c>
      <c r="P979" t="str">
        <f t="shared" ca="1" si="46"/>
        <v/>
      </c>
      <c r="Q979">
        <f t="shared" si="47"/>
        <v>0</v>
      </c>
    </row>
    <row r="980" spans="1:17" x14ac:dyDescent="0.3">
      <c r="A980" t="s">
        <v>504</v>
      </c>
      <c r="B980" t="s">
        <v>62</v>
      </c>
      <c r="C980">
        <v>3</v>
      </c>
      <c r="D980">
        <v>50300</v>
      </c>
      <c r="E980" t="s">
        <v>67</v>
      </c>
      <c r="F980">
        <v>70</v>
      </c>
      <c r="G980">
        <v>4.0999999999999996</v>
      </c>
      <c r="H980">
        <v>6900</v>
      </c>
      <c r="I980">
        <v>0</v>
      </c>
      <c r="J980">
        <f>1</f>
        <v>1</v>
      </c>
      <c r="K980">
        <v>1</v>
      </c>
      <c r="L980">
        <f>1</f>
        <v>1</v>
      </c>
      <c r="M980">
        <f t="shared" ca="1" si="45"/>
        <v>0.22090960644956847</v>
      </c>
      <c r="N980">
        <v>0</v>
      </c>
      <c r="O980">
        <v>0</v>
      </c>
      <c r="P980" t="str">
        <f t="shared" ca="1" si="46"/>
        <v/>
      </c>
      <c r="Q980">
        <f t="shared" si="47"/>
        <v>0</v>
      </c>
    </row>
    <row r="981" spans="1:17" x14ac:dyDescent="0.3">
      <c r="A981" t="s">
        <v>253</v>
      </c>
      <c r="B981" t="s">
        <v>64</v>
      </c>
      <c r="C981">
        <v>6</v>
      </c>
      <c r="D981">
        <v>63100</v>
      </c>
      <c r="E981" t="s">
        <v>67</v>
      </c>
      <c r="F981">
        <v>70</v>
      </c>
      <c r="G981">
        <v>7.9</v>
      </c>
      <c r="H981">
        <v>8400</v>
      </c>
      <c r="I981">
        <v>0</v>
      </c>
      <c r="J981">
        <f>1</f>
        <v>1</v>
      </c>
      <c r="K981">
        <v>1</v>
      </c>
      <c r="L981">
        <f>1</f>
        <v>1</v>
      </c>
      <c r="M981">
        <f t="shared" ca="1" si="45"/>
        <v>0.10677200820761312</v>
      </c>
      <c r="N981">
        <v>0</v>
      </c>
      <c r="O981">
        <v>0</v>
      </c>
      <c r="P981" t="str">
        <f t="shared" ca="1" si="46"/>
        <v/>
      </c>
      <c r="Q981">
        <f t="shared" si="47"/>
        <v>0</v>
      </c>
    </row>
    <row r="982" spans="1:17" x14ac:dyDescent="0.3">
      <c r="A982" t="s">
        <v>261</v>
      </c>
      <c r="B982" t="s">
        <v>513</v>
      </c>
      <c r="C982">
        <v>10</v>
      </c>
      <c r="D982">
        <v>20200</v>
      </c>
      <c r="E982" t="s">
        <v>67</v>
      </c>
      <c r="F982">
        <v>93</v>
      </c>
      <c r="G982">
        <v>12.3</v>
      </c>
      <c r="H982">
        <v>0</v>
      </c>
      <c r="I982">
        <v>0</v>
      </c>
      <c r="J982">
        <f>1</f>
        <v>1</v>
      </c>
      <c r="K982">
        <v>1</v>
      </c>
      <c r="L982">
        <f>1</f>
        <v>1</v>
      </c>
      <c r="M982">
        <f t="shared" ca="1" si="45"/>
        <v>7.2760055018792014E-2</v>
      </c>
      <c r="N982">
        <v>0</v>
      </c>
      <c r="O982">
        <v>0</v>
      </c>
      <c r="P982" t="str">
        <f t="shared" ca="1" si="46"/>
        <v/>
      </c>
      <c r="Q982">
        <f t="shared" si="47"/>
        <v>0</v>
      </c>
    </row>
    <row r="983" spans="1:17" x14ac:dyDescent="0.3">
      <c r="A983" t="s">
        <v>1127</v>
      </c>
      <c r="B983" t="s">
        <v>65</v>
      </c>
      <c r="C983">
        <v>5</v>
      </c>
      <c r="D983">
        <v>59100</v>
      </c>
      <c r="E983" t="s">
        <v>1146</v>
      </c>
      <c r="F983">
        <v>1</v>
      </c>
      <c r="G983">
        <v>3.7</v>
      </c>
      <c r="H983">
        <v>1200</v>
      </c>
      <c r="I983">
        <v>1</v>
      </c>
      <c r="J983">
        <f>1</f>
        <v>1</v>
      </c>
      <c r="K983">
        <v>1</v>
      </c>
      <c r="L983">
        <f>1</f>
        <v>1</v>
      </c>
      <c r="M983">
        <f t="shared" ca="1" si="45"/>
        <v>0.33850053870616181</v>
      </c>
      <c r="N983">
        <v>0</v>
      </c>
      <c r="O983">
        <v>0</v>
      </c>
      <c r="P983" t="str">
        <f t="shared" ca="1" si="46"/>
        <v/>
      </c>
      <c r="Q983">
        <f t="shared" si="47"/>
        <v>0</v>
      </c>
    </row>
    <row r="984" spans="1:17" x14ac:dyDescent="0.3">
      <c r="A984" t="s">
        <v>456</v>
      </c>
      <c r="B984" t="s">
        <v>513</v>
      </c>
      <c r="C984">
        <v>5</v>
      </c>
      <c r="D984">
        <v>45000</v>
      </c>
      <c r="E984" t="s">
        <v>67</v>
      </c>
      <c r="F984">
        <v>111</v>
      </c>
      <c r="G984">
        <v>8.6</v>
      </c>
      <c r="H984">
        <v>10700</v>
      </c>
      <c r="I984">
        <v>0</v>
      </c>
      <c r="J984">
        <f>1</f>
        <v>1</v>
      </c>
      <c r="K984">
        <v>1</v>
      </c>
      <c r="L984">
        <f>1</f>
        <v>1</v>
      </c>
      <c r="M984">
        <f t="shared" ca="1" si="45"/>
        <v>0.48697548939703084</v>
      </c>
      <c r="N984">
        <v>0</v>
      </c>
      <c r="O984">
        <v>0</v>
      </c>
      <c r="P984" t="str">
        <f t="shared" ca="1" si="46"/>
        <v/>
      </c>
      <c r="Q984">
        <f t="shared" si="47"/>
        <v>0</v>
      </c>
    </row>
    <row r="985" spans="1:17" x14ac:dyDescent="0.3">
      <c r="A985" t="s">
        <v>1122</v>
      </c>
      <c r="B985" t="s">
        <v>65</v>
      </c>
      <c r="C985">
        <v>3</v>
      </c>
      <c r="D985">
        <v>55800</v>
      </c>
      <c r="E985" t="s">
        <v>1146</v>
      </c>
      <c r="F985">
        <v>7</v>
      </c>
      <c r="G985">
        <v>10.8</v>
      </c>
      <c r="H985">
        <v>1000</v>
      </c>
      <c r="I985">
        <v>1</v>
      </c>
      <c r="J985">
        <f>1</f>
        <v>1</v>
      </c>
      <c r="K985">
        <v>1</v>
      </c>
      <c r="L985">
        <f>1</f>
        <v>1</v>
      </c>
      <c r="M985">
        <f t="shared" ca="1" si="45"/>
        <v>0.72891756298514354</v>
      </c>
      <c r="N985">
        <v>0</v>
      </c>
      <c r="O985">
        <v>0</v>
      </c>
      <c r="P985" t="str">
        <f t="shared" ca="1" si="46"/>
        <v/>
      </c>
      <c r="Q985">
        <f t="shared" si="47"/>
        <v>0</v>
      </c>
    </row>
    <row r="986" spans="1:17" x14ac:dyDescent="0.3">
      <c r="A986" t="s">
        <v>1051</v>
      </c>
      <c r="B986" t="s">
        <v>513</v>
      </c>
      <c r="C986">
        <v>1</v>
      </c>
      <c r="D986">
        <v>26100</v>
      </c>
      <c r="E986" t="s">
        <v>1146</v>
      </c>
      <c r="F986">
        <v>4</v>
      </c>
      <c r="G986">
        <v>5.9</v>
      </c>
      <c r="H986">
        <v>8200</v>
      </c>
      <c r="I986">
        <v>1</v>
      </c>
      <c r="J986">
        <f>1</f>
        <v>1</v>
      </c>
      <c r="K986">
        <v>1</v>
      </c>
      <c r="L986">
        <f>1</f>
        <v>1</v>
      </c>
      <c r="M986">
        <f t="shared" ca="1" si="45"/>
        <v>0.8833767947368647</v>
      </c>
      <c r="N986">
        <v>0</v>
      </c>
      <c r="O986">
        <v>0</v>
      </c>
      <c r="P986" t="str">
        <f t="shared" ca="1" si="46"/>
        <v/>
      </c>
      <c r="Q986">
        <f t="shared" si="47"/>
        <v>0</v>
      </c>
    </row>
    <row r="987" spans="1:17" x14ac:dyDescent="0.3">
      <c r="A987" t="s">
        <v>230</v>
      </c>
      <c r="B987" t="s">
        <v>64</v>
      </c>
      <c r="C987">
        <v>3</v>
      </c>
      <c r="D987">
        <v>37700</v>
      </c>
      <c r="E987" t="s">
        <v>66</v>
      </c>
      <c r="F987">
        <v>28</v>
      </c>
      <c r="G987">
        <v>1.7</v>
      </c>
      <c r="H987">
        <v>1200</v>
      </c>
      <c r="I987">
        <v>0</v>
      </c>
      <c r="J987">
        <f>1</f>
        <v>1</v>
      </c>
      <c r="K987">
        <v>1</v>
      </c>
      <c r="L987">
        <f>1</f>
        <v>1</v>
      </c>
      <c r="M987">
        <f t="shared" ca="1" si="45"/>
        <v>0.26501879036165865</v>
      </c>
      <c r="N987">
        <v>0</v>
      </c>
      <c r="O987">
        <v>0</v>
      </c>
      <c r="P987" t="str">
        <f t="shared" ca="1" si="46"/>
        <v/>
      </c>
      <c r="Q987">
        <f t="shared" si="47"/>
        <v>0</v>
      </c>
    </row>
    <row r="988" spans="1:17" x14ac:dyDescent="0.3">
      <c r="A988" t="s">
        <v>472</v>
      </c>
      <c r="B988" t="s">
        <v>513</v>
      </c>
      <c r="C988">
        <v>5</v>
      </c>
      <c r="D988">
        <v>21700</v>
      </c>
      <c r="E988" t="s">
        <v>67</v>
      </c>
      <c r="F988">
        <v>46</v>
      </c>
      <c r="G988">
        <v>11.9</v>
      </c>
      <c r="H988">
        <v>6600</v>
      </c>
      <c r="I988">
        <v>0</v>
      </c>
      <c r="J988">
        <f>1</f>
        <v>1</v>
      </c>
      <c r="K988">
        <v>1</v>
      </c>
      <c r="L988">
        <f>1</f>
        <v>1</v>
      </c>
      <c r="M988">
        <f t="shared" ca="1" si="45"/>
        <v>0.69977223270986311</v>
      </c>
      <c r="N988">
        <v>0</v>
      </c>
      <c r="O988">
        <v>0</v>
      </c>
      <c r="P988" t="str">
        <f t="shared" ca="1" si="46"/>
        <v/>
      </c>
      <c r="Q988">
        <f t="shared" si="47"/>
        <v>0</v>
      </c>
    </row>
    <row r="989" spans="1:17" x14ac:dyDescent="0.3">
      <c r="A989" t="s">
        <v>538</v>
      </c>
      <c r="B989" t="s">
        <v>65</v>
      </c>
      <c r="C989">
        <v>6</v>
      </c>
      <c r="D989">
        <v>14800</v>
      </c>
      <c r="E989" t="s">
        <v>68</v>
      </c>
      <c r="F989">
        <v>61</v>
      </c>
      <c r="G989">
        <v>5.8</v>
      </c>
      <c r="H989">
        <v>3400</v>
      </c>
      <c r="I989">
        <v>0</v>
      </c>
      <c r="J989">
        <f>1</f>
        <v>1</v>
      </c>
      <c r="K989">
        <v>1</v>
      </c>
      <c r="L989">
        <f>1</f>
        <v>1</v>
      </c>
      <c r="M989">
        <f t="shared" ca="1" si="45"/>
        <v>0.44009286541269377</v>
      </c>
      <c r="N989">
        <v>0</v>
      </c>
      <c r="O989">
        <v>0</v>
      </c>
      <c r="P989" t="str">
        <f t="shared" ca="1" si="46"/>
        <v/>
      </c>
      <c r="Q989">
        <f t="shared" si="47"/>
        <v>0</v>
      </c>
    </row>
    <row r="990" spans="1:17" x14ac:dyDescent="0.3">
      <c r="A990" t="s">
        <v>767</v>
      </c>
      <c r="B990" t="s">
        <v>513</v>
      </c>
      <c r="C990">
        <v>4</v>
      </c>
      <c r="D990">
        <v>27500</v>
      </c>
      <c r="E990" t="s">
        <v>1146</v>
      </c>
      <c r="F990">
        <v>2</v>
      </c>
      <c r="G990">
        <v>5</v>
      </c>
      <c r="H990">
        <v>7400</v>
      </c>
      <c r="I990">
        <v>1</v>
      </c>
      <c r="J990">
        <f>1</f>
        <v>1</v>
      </c>
      <c r="K990">
        <v>1</v>
      </c>
      <c r="L990">
        <f>1</f>
        <v>1</v>
      </c>
      <c r="M990">
        <f t="shared" ca="1" si="45"/>
        <v>0.54114878251776266</v>
      </c>
      <c r="N990">
        <v>0</v>
      </c>
      <c r="O990">
        <v>0</v>
      </c>
      <c r="P990" t="str">
        <f t="shared" ca="1" si="46"/>
        <v/>
      </c>
      <c r="Q990">
        <f t="shared" si="47"/>
        <v>0</v>
      </c>
    </row>
    <row r="991" spans="1:17" x14ac:dyDescent="0.3">
      <c r="A991" t="s">
        <v>577</v>
      </c>
      <c r="B991" t="s">
        <v>64</v>
      </c>
      <c r="C991">
        <v>5</v>
      </c>
      <c r="D991">
        <v>55900</v>
      </c>
      <c r="E991" t="s">
        <v>66</v>
      </c>
      <c r="F991">
        <v>68</v>
      </c>
      <c r="G991">
        <v>12</v>
      </c>
      <c r="H991">
        <v>9000</v>
      </c>
      <c r="I991">
        <v>0</v>
      </c>
      <c r="J991">
        <f>1</f>
        <v>1</v>
      </c>
      <c r="K991">
        <v>1</v>
      </c>
      <c r="L991">
        <f>1</f>
        <v>1</v>
      </c>
      <c r="M991">
        <f t="shared" ca="1" si="45"/>
        <v>0.6254313708268382</v>
      </c>
      <c r="N991">
        <v>0</v>
      </c>
      <c r="O991">
        <v>0</v>
      </c>
      <c r="P991" t="str">
        <f t="shared" ca="1" si="46"/>
        <v/>
      </c>
      <c r="Q991">
        <f t="shared" si="47"/>
        <v>0</v>
      </c>
    </row>
    <row r="992" spans="1:17" x14ac:dyDescent="0.3">
      <c r="A992" t="s">
        <v>938</v>
      </c>
      <c r="B992" t="s">
        <v>513</v>
      </c>
      <c r="C992">
        <v>5</v>
      </c>
      <c r="D992">
        <v>51900</v>
      </c>
      <c r="E992" t="s">
        <v>1146</v>
      </c>
      <c r="F992">
        <v>9</v>
      </c>
      <c r="G992">
        <v>10.8</v>
      </c>
      <c r="H992">
        <v>3400</v>
      </c>
      <c r="I992">
        <v>1</v>
      </c>
      <c r="J992">
        <f>1</f>
        <v>1</v>
      </c>
      <c r="K992">
        <v>1</v>
      </c>
      <c r="L992">
        <f>1</f>
        <v>1</v>
      </c>
      <c r="M992">
        <f t="shared" ca="1" si="45"/>
        <v>0.24788614109876006</v>
      </c>
      <c r="N992">
        <v>0</v>
      </c>
      <c r="O992">
        <v>0</v>
      </c>
      <c r="P992" t="str">
        <f t="shared" ca="1" si="46"/>
        <v/>
      </c>
      <c r="Q992">
        <f t="shared" si="47"/>
        <v>0</v>
      </c>
    </row>
    <row r="993" spans="1:17" x14ac:dyDescent="0.3">
      <c r="A993" t="s">
        <v>998</v>
      </c>
      <c r="B993" t="s">
        <v>62</v>
      </c>
      <c r="C993">
        <v>4</v>
      </c>
      <c r="D993">
        <v>30900</v>
      </c>
      <c r="E993" t="s">
        <v>1146</v>
      </c>
      <c r="F993">
        <v>1</v>
      </c>
      <c r="G993">
        <v>1.4</v>
      </c>
      <c r="H993">
        <v>0</v>
      </c>
      <c r="I993">
        <v>1</v>
      </c>
      <c r="J993">
        <f>1</f>
        <v>1</v>
      </c>
      <c r="K993">
        <v>1</v>
      </c>
      <c r="L993">
        <f>1</f>
        <v>1</v>
      </c>
      <c r="M993">
        <f t="shared" ca="1" si="45"/>
        <v>0.89825306350722434</v>
      </c>
      <c r="N993">
        <v>0</v>
      </c>
      <c r="O993">
        <v>0</v>
      </c>
      <c r="P993" t="str">
        <f t="shared" ca="1" si="46"/>
        <v/>
      </c>
      <c r="Q993">
        <f t="shared" si="47"/>
        <v>0</v>
      </c>
    </row>
    <row r="994" spans="1:17" x14ac:dyDescent="0.3">
      <c r="A994" t="s">
        <v>396</v>
      </c>
      <c r="B994" t="s">
        <v>513</v>
      </c>
      <c r="C994">
        <v>9</v>
      </c>
      <c r="D994">
        <v>162400</v>
      </c>
      <c r="E994" t="s">
        <v>67</v>
      </c>
      <c r="F994">
        <v>106</v>
      </c>
      <c r="G994">
        <v>6.5</v>
      </c>
      <c r="H994">
        <v>8700</v>
      </c>
      <c r="I994">
        <v>0</v>
      </c>
      <c r="J994">
        <f>1</f>
        <v>1</v>
      </c>
      <c r="K994">
        <v>1</v>
      </c>
      <c r="L994">
        <f>1</f>
        <v>1</v>
      </c>
      <c r="M994">
        <f t="shared" ca="1" si="45"/>
        <v>0.37439818688637605</v>
      </c>
      <c r="N994">
        <v>0</v>
      </c>
      <c r="O994">
        <v>0</v>
      </c>
      <c r="P994" t="str">
        <f t="shared" ca="1" si="46"/>
        <v/>
      </c>
      <c r="Q994">
        <f t="shared" si="47"/>
        <v>0</v>
      </c>
    </row>
    <row r="995" spans="1:17" x14ac:dyDescent="0.3">
      <c r="A995" t="s">
        <v>1120</v>
      </c>
      <c r="B995" t="s">
        <v>64</v>
      </c>
      <c r="C995">
        <v>5</v>
      </c>
      <c r="D995">
        <v>17500</v>
      </c>
      <c r="E995" t="s">
        <v>1146</v>
      </c>
      <c r="F995">
        <v>0</v>
      </c>
      <c r="G995">
        <v>2.5</v>
      </c>
      <c r="H995">
        <v>0</v>
      </c>
      <c r="I995">
        <v>1</v>
      </c>
      <c r="J995">
        <f>1</f>
        <v>1</v>
      </c>
      <c r="K995">
        <v>1</v>
      </c>
      <c r="L995">
        <f>1</f>
        <v>1</v>
      </c>
      <c r="M995">
        <f t="shared" ca="1" si="45"/>
        <v>0.11708341154344803</v>
      </c>
      <c r="N995">
        <v>0</v>
      </c>
      <c r="O995">
        <v>0</v>
      </c>
      <c r="P995" t="str">
        <f t="shared" ca="1" si="46"/>
        <v/>
      </c>
      <c r="Q995">
        <f t="shared" si="47"/>
        <v>0</v>
      </c>
    </row>
    <row r="996" spans="1:17" x14ac:dyDescent="0.3">
      <c r="A996" t="s">
        <v>415</v>
      </c>
      <c r="B996" t="s">
        <v>513</v>
      </c>
      <c r="C996">
        <v>3</v>
      </c>
      <c r="D996">
        <v>117600</v>
      </c>
      <c r="E996" t="s">
        <v>66</v>
      </c>
      <c r="F996">
        <v>40</v>
      </c>
      <c r="G996">
        <v>9.5</v>
      </c>
      <c r="H996">
        <v>400</v>
      </c>
      <c r="I996">
        <v>0</v>
      </c>
      <c r="J996">
        <f>1</f>
        <v>1</v>
      </c>
      <c r="K996">
        <v>1</v>
      </c>
      <c r="L996">
        <f>1</f>
        <v>1</v>
      </c>
      <c r="M996">
        <f t="shared" ca="1" si="45"/>
        <v>0.91986959178238548</v>
      </c>
      <c r="N996">
        <v>0</v>
      </c>
      <c r="O996">
        <v>0</v>
      </c>
      <c r="P996" t="str">
        <f t="shared" ca="1" si="46"/>
        <v/>
      </c>
      <c r="Q996">
        <f t="shared" si="47"/>
        <v>0</v>
      </c>
    </row>
    <row r="997" spans="1:17" x14ac:dyDescent="0.3">
      <c r="A997" t="s">
        <v>515</v>
      </c>
      <c r="B997" t="s">
        <v>62</v>
      </c>
      <c r="C997">
        <v>3</v>
      </c>
      <c r="D997">
        <v>60000</v>
      </c>
      <c r="E997" t="s">
        <v>67</v>
      </c>
      <c r="F997">
        <v>96</v>
      </c>
      <c r="G997">
        <v>5.7</v>
      </c>
      <c r="H997">
        <v>5800</v>
      </c>
      <c r="I997">
        <v>0</v>
      </c>
      <c r="J997">
        <f>1</f>
        <v>1</v>
      </c>
      <c r="K997">
        <v>1</v>
      </c>
      <c r="L997">
        <f>1</f>
        <v>1</v>
      </c>
      <c r="M997">
        <f t="shared" ca="1" si="45"/>
        <v>0.13200640648002548</v>
      </c>
      <c r="N997">
        <v>0</v>
      </c>
      <c r="O997">
        <v>0</v>
      </c>
      <c r="P997" t="str">
        <f t="shared" ca="1" si="46"/>
        <v/>
      </c>
      <c r="Q997">
        <f t="shared" si="47"/>
        <v>0</v>
      </c>
    </row>
    <row r="998" spans="1:17" x14ac:dyDescent="0.3">
      <c r="A998" t="s">
        <v>1101</v>
      </c>
      <c r="B998" t="s">
        <v>65</v>
      </c>
      <c r="C998">
        <v>3</v>
      </c>
      <c r="D998">
        <v>27300</v>
      </c>
      <c r="E998" t="s">
        <v>1146</v>
      </c>
      <c r="F998">
        <v>8</v>
      </c>
      <c r="G998">
        <v>12.8</v>
      </c>
      <c r="H998">
        <v>0</v>
      </c>
      <c r="I998">
        <v>1</v>
      </c>
      <c r="J998">
        <f>1</f>
        <v>1</v>
      </c>
      <c r="K998">
        <v>1</v>
      </c>
      <c r="L998">
        <f>1</f>
        <v>1</v>
      </c>
      <c r="M998">
        <f t="shared" ca="1" si="45"/>
        <v>0.47288847282697544</v>
      </c>
      <c r="N998">
        <v>0</v>
      </c>
      <c r="O998">
        <v>0</v>
      </c>
      <c r="P998" t="str">
        <f t="shared" ca="1" si="46"/>
        <v/>
      </c>
      <c r="Q998">
        <f t="shared" si="47"/>
        <v>0</v>
      </c>
    </row>
    <row r="999" spans="1:17" x14ac:dyDescent="0.3">
      <c r="A999" t="s">
        <v>1009</v>
      </c>
      <c r="B999" t="s">
        <v>64</v>
      </c>
      <c r="C999">
        <v>8</v>
      </c>
      <c r="D999">
        <v>105100</v>
      </c>
      <c r="E999" t="s">
        <v>69</v>
      </c>
      <c r="F999">
        <v>31</v>
      </c>
      <c r="G999">
        <v>9.4</v>
      </c>
      <c r="H999">
        <v>5600</v>
      </c>
      <c r="I999">
        <v>1</v>
      </c>
      <c r="J999">
        <f>1</f>
        <v>1</v>
      </c>
      <c r="K999">
        <v>1</v>
      </c>
      <c r="L999">
        <f>1</f>
        <v>1</v>
      </c>
      <c r="M999">
        <f t="shared" ca="1" si="45"/>
        <v>0.89067574160286755</v>
      </c>
      <c r="N999">
        <v>0</v>
      </c>
      <c r="O999">
        <v>0</v>
      </c>
      <c r="P999" t="str">
        <f t="shared" ca="1" si="46"/>
        <v/>
      </c>
      <c r="Q999">
        <f t="shared" si="47"/>
        <v>0</v>
      </c>
    </row>
    <row r="1000" spans="1:17" x14ac:dyDescent="0.3">
      <c r="A1000" t="s">
        <v>295</v>
      </c>
      <c r="B1000" t="s">
        <v>513</v>
      </c>
      <c r="C1000">
        <v>2</v>
      </c>
      <c r="D1000">
        <v>8400</v>
      </c>
      <c r="E1000" t="s">
        <v>67</v>
      </c>
      <c r="F1000">
        <v>105</v>
      </c>
      <c r="G1000">
        <v>6.5</v>
      </c>
      <c r="H1000">
        <v>13300</v>
      </c>
      <c r="I1000">
        <v>0</v>
      </c>
      <c r="J1000">
        <f>1</f>
        <v>1</v>
      </c>
      <c r="K1000">
        <v>1</v>
      </c>
      <c r="L1000">
        <f>1</f>
        <v>1</v>
      </c>
      <c r="M1000">
        <f t="shared" ca="1" si="45"/>
        <v>0.74109690184769217</v>
      </c>
      <c r="N1000">
        <v>0</v>
      </c>
      <c r="O1000">
        <v>0</v>
      </c>
      <c r="P1000" t="str">
        <f t="shared" ca="1" si="46"/>
        <v/>
      </c>
      <c r="Q1000">
        <f t="shared" si="47"/>
        <v>0</v>
      </c>
    </row>
    <row r="1001" spans="1:17" x14ac:dyDescent="0.3">
      <c r="A1001" t="s">
        <v>131</v>
      </c>
      <c r="B1001" t="s">
        <v>62</v>
      </c>
      <c r="C1001">
        <v>6</v>
      </c>
      <c r="D1001">
        <v>30300</v>
      </c>
      <c r="E1001" t="s">
        <v>69</v>
      </c>
      <c r="F1001">
        <v>22</v>
      </c>
      <c r="G1001">
        <v>6.6</v>
      </c>
      <c r="H1001">
        <v>11800</v>
      </c>
      <c r="I1001">
        <v>0</v>
      </c>
      <c r="J1001">
        <f>1</f>
        <v>1</v>
      </c>
      <c r="K1001">
        <v>1</v>
      </c>
      <c r="L1001">
        <f>1</f>
        <v>1</v>
      </c>
      <c r="M1001">
        <f t="shared" ca="1" si="45"/>
        <v>0.12787271113943888</v>
      </c>
      <c r="N1001">
        <v>0</v>
      </c>
      <c r="O1001">
        <v>0</v>
      </c>
      <c r="P1001" t="str">
        <f t="shared" ca="1" si="46"/>
        <v/>
      </c>
      <c r="Q1001">
        <f t="shared" si="47"/>
        <v>0</v>
      </c>
    </row>
    <row r="1002" spans="1:17" x14ac:dyDescent="0.3">
      <c r="A1002" t="s">
        <v>1095</v>
      </c>
      <c r="B1002" t="s">
        <v>64</v>
      </c>
      <c r="C1002">
        <v>6</v>
      </c>
      <c r="D1002">
        <v>72600</v>
      </c>
      <c r="E1002" t="s">
        <v>1146</v>
      </c>
      <c r="F1002">
        <v>4</v>
      </c>
      <c r="G1002">
        <v>1.1000000000000001</v>
      </c>
      <c r="H1002">
        <v>9200</v>
      </c>
      <c r="I1002">
        <v>1</v>
      </c>
      <c r="J1002">
        <f>1</f>
        <v>1</v>
      </c>
      <c r="K1002">
        <v>1</v>
      </c>
      <c r="L1002">
        <f>1</f>
        <v>1</v>
      </c>
      <c r="M1002">
        <f t="shared" ca="1" si="45"/>
        <v>0.20255718166686043</v>
      </c>
      <c r="N1002">
        <v>0</v>
      </c>
      <c r="O1002">
        <v>0</v>
      </c>
      <c r="P1002" t="str">
        <f t="shared" ca="1" si="46"/>
        <v/>
      </c>
      <c r="Q1002">
        <f t="shared" si="47"/>
        <v>0</v>
      </c>
    </row>
    <row r="1003" spans="1:17" x14ac:dyDescent="0.3">
      <c r="A1003" t="s">
        <v>614</v>
      </c>
      <c r="B1003" t="s">
        <v>65</v>
      </c>
      <c r="C1003">
        <v>4</v>
      </c>
      <c r="D1003">
        <v>90900</v>
      </c>
      <c r="E1003" t="s">
        <v>67</v>
      </c>
      <c r="F1003">
        <v>105</v>
      </c>
      <c r="G1003">
        <v>5.0999999999999996</v>
      </c>
      <c r="H1003">
        <v>3300</v>
      </c>
      <c r="I1003">
        <v>0</v>
      </c>
      <c r="J1003">
        <f>1</f>
        <v>1</v>
      </c>
      <c r="K1003">
        <v>1</v>
      </c>
      <c r="L1003">
        <f>1</f>
        <v>1</v>
      </c>
      <c r="M1003">
        <f t="shared" ca="1" si="45"/>
        <v>0.21559673625002351</v>
      </c>
      <c r="N1003">
        <v>0</v>
      </c>
      <c r="O1003">
        <v>0</v>
      </c>
      <c r="P1003" t="str">
        <f t="shared" ca="1" si="46"/>
        <v/>
      </c>
      <c r="Q1003">
        <f t="shared" si="47"/>
        <v>0</v>
      </c>
    </row>
    <row r="1004" spans="1:17" x14ac:dyDescent="0.3">
      <c r="A1004" t="s">
        <v>1145</v>
      </c>
      <c r="B1004" t="s">
        <v>513</v>
      </c>
      <c r="C1004">
        <v>7</v>
      </c>
      <c r="D1004">
        <v>62300</v>
      </c>
      <c r="E1004" t="s">
        <v>1146</v>
      </c>
      <c r="F1004">
        <v>8</v>
      </c>
      <c r="G1004">
        <v>8.6999999999999993</v>
      </c>
      <c r="H1004">
        <v>0</v>
      </c>
      <c r="I1004">
        <v>1</v>
      </c>
      <c r="J1004">
        <f>1</f>
        <v>1</v>
      </c>
      <c r="K1004">
        <v>1</v>
      </c>
      <c r="L1004">
        <f>1</f>
        <v>1</v>
      </c>
      <c r="M1004">
        <f t="shared" ca="1" si="45"/>
        <v>0.61161566429352354</v>
      </c>
      <c r="N1004">
        <v>0</v>
      </c>
      <c r="O1004">
        <v>0</v>
      </c>
      <c r="P1004" t="str">
        <f t="shared" ca="1" si="46"/>
        <v/>
      </c>
      <c r="Q1004">
        <f t="shared" si="47"/>
        <v>0</v>
      </c>
    </row>
    <row r="1005" spans="1:17" x14ac:dyDescent="0.3">
      <c r="A1005" t="s">
        <v>777</v>
      </c>
      <c r="B1005" t="s">
        <v>62</v>
      </c>
      <c r="C1005">
        <v>8</v>
      </c>
      <c r="D1005">
        <v>67300</v>
      </c>
      <c r="E1005" t="s">
        <v>1146</v>
      </c>
      <c r="F1005">
        <v>7</v>
      </c>
      <c r="G1005">
        <v>9.6999999999999993</v>
      </c>
      <c r="H1005">
        <v>7300</v>
      </c>
      <c r="I1005">
        <v>1</v>
      </c>
      <c r="J1005">
        <f>1</f>
        <v>1</v>
      </c>
      <c r="K1005">
        <v>1</v>
      </c>
      <c r="L1005">
        <f>1</f>
        <v>1</v>
      </c>
      <c r="M1005">
        <f t="shared" ca="1" si="45"/>
        <v>0.14191284192601827</v>
      </c>
      <c r="N1005">
        <v>0</v>
      </c>
      <c r="O1005">
        <v>0</v>
      </c>
      <c r="P1005" t="str">
        <f t="shared" ca="1" si="46"/>
        <v/>
      </c>
      <c r="Q1005">
        <f t="shared" si="47"/>
        <v>0</v>
      </c>
    </row>
    <row r="1006" spans="1:17" x14ac:dyDescent="0.3">
      <c r="A1006" t="s">
        <v>532</v>
      </c>
      <c r="B1006" t="s">
        <v>65</v>
      </c>
      <c r="C1006">
        <v>6</v>
      </c>
      <c r="D1006">
        <v>81500</v>
      </c>
      <c r="E1006" t="s">
        <v>67</v>
      </c>
      <c r="F1006">
        <v>68</v>
      </c>
      <c r="G1006">
        <v>6.3</v>
      </c>
      <c r="H1006">
        <v>3000</v>
      </c>
      <c r="I1006">
        <v>0</v>
      </c>
      <c r="J1006">
        <f>1</f>
        <v>1</v>
      </c>
      <c r="K1006">
        <v>1</v>
      </c>
      <c r="L1006">
        <f>1</f>
        <v>1</v>
      </c>
      <c r="M1006">
        <f t="shared" ca="1" si="45"/>
        <v>0.39743599226436976</v>
      </c>
      <c r="N1006">
        <v>0</v>
      </c>
      <c r="O1006">
        <v>0</v>
      </c>
      <c r="P1006" t="str">
        <f t="shared" ca="1" si="46"/>
        <v/>
      </c>
      <c r="Q1006">
        <f t="shared" si="47"/>
        <v>0</v>
      </c>
    </row>
    <row r="1007" spans="1:17" x14ac:dyDescent="0.3">
      <c r="A1007" t="s">
        <v>124</v>
      </c>
      <c r="B1007" t="s">
        <v>62</v>
      </c>
      <c r="C1007">
        <v>4</v>
      </c>
      <c r="D1007">
        <v>42800</v>
      </c>
      <c r="E1007" t="s">
        <v>69</v>
      </c>
      <c r="F1007">
        <v>29</v>
      </c>
      <c r="G1007">
        <v>8.9</v>
      </c>
      <c r="H1007">
        <v>4800</v>
      </c>
      <c r="I1007">
        <v>0</v>
      </c>
      <c r="J1007">
        <f>1</f>
        <v>1</v>
      </c>
      <c r="K1007">
        <v>1</v>
      </c>
      <c r="L1007">
        <f>1</f>
        <v>1</v>
      </c>
      <c r="M1007">
        <f t="shared" ca="1" si="45"/>
        <v>0.29099321507615994</v>
      </c>
      <c r="N1007">
        <v>0</v>
      </c>
      <c r="O1007">
        <v>0</v>
      </c>
      <c r="P1007" t="str">
        <f t="shared" ca="1" si="46"/>
        <v/>
      </c>
      <c r="Q1007">
        <f t="shared" si="47"/>
        <v>0</v>
      </c>
    </row>
    <row r="1008" spans="1:17" x14ac:dyDescent="0.3">
      <c r="A1008" t="s">
        <v>735</v>
      </c>
      <c r="B1008" t="s">
        <v>64</v>
      </c>
      <c r="C1008">
        <v>3</v>
      </c>
      <c r="D1008">
        <v>35800</v>
      </c>
      <c r="E1008" t="s">
        <v>1146</v>
      </c>
      <c r="F1008">
        <v>2</v>
      </c>
      <c r="G1008">
        <v>11.5</v>
      </c>
      <c r="H1008">
        <v>0</v>
      </c>
      <c r="I1008">
        <v>1</v>
      </c>
      <c r="J1008">
        <f>1</f>
        <v>1</v>
      </c>
      <c r="K1008">
        <v>1</v>
      </c>
      <c r="L1008">
        <f>1</f>
        <v>1</v>
      </c>
      <c r="M1008">
        <f t="shared" ca="1" si="45"/>
        <v>0.82988721052492054</v>
      </c>
      <c r="N1008">
        <v>0</v>
      </c>
      <c r="O1008">
        <v>0</v>
      </c>
      <c r="P1008" t="str">
        <f t="shared" ca="1" si="46"/>
        <v/>
      </c>
      <c r="Q1008">
        <f t="shared" si="47"/>
        <v>0</v>
      </c>
    </row>
    <row r="1009" spans="1:17" x14ac:dyDescent="0.3">
      <c r="A1009" t="s">
        <v>139</v>
      </c>
      <c r="B1009" t="s">
        <v>65</v>
      </c>
      <c r="C1009">
        <v>2</v>
      </c>
      <c r="D1009">
        <v>41200</v>
      </c>
      <c r="E1009" t="s">
        <v>69</v>
      </c>
      <c r="F1009">
        <v>59</v>
      </c>
      <c r="G1009">
        <v>11.4</v>
      </c>
      <c r="H1009">
        <v>2200</v>
      </c>
      <c r="I1009">
        <v>0</v>
      </c>
      <c r="J1009">
        <f>1</f>
        <v>1</v>
      </c>
      <c r="K1009">
        <v>1</v>
      </c>
      <c r="L1009">
        <f>1</f>
        <v>1</v>
      </c>
      <c r="M1009">
        <f t="shared" ca="1" si="45"/>
        <v>0.24935645363618564</v>
      </c>
      <c r="N1009">
        <v>0</v>
      </c>
      <c r="O1009">
        <v>0</v>
      </c>
      <c r="P1009" t="str">
        <f t="shared" ca="1" si="46"/>
        <v/>
      </c>
      <c r="Q1009">
        <f t="shared" si="47"/>
        <v>0</v>
      </c>
    </row>
    <row r="1010" spans="1:17" x14ac:dyDescent="0.3">
      <c r="A1010" t="s">
        <v>626</v>
      </c>
      <c r="B1010" t="s">
        <v>64</v>
      </c>
      <c r="C1010">
        <v>10</v>
      </c>
      <c r="D1010">
        <v>35100</v>
      </c>
      <c r="E1010" t="s">
        <v>66</v>
      </c>
      <c r="F1010">
        <v>51</v>
      </c>
      <c r="G1010">
        <v>11.7</v>
      </c>
      <c r="H1010">
        <v>4900</v>
      </c>
      <c r="I1010">
        <v>0</v>
      </c>
      <c r="J1010">
        <f>1</f>
        <v>1</v>
      </c>
      <c r="K1010">
        <v>1</v>
      </c>
      <c r="L1010">
        <f>1</f>
        <v>1</v>
      </c>
      <c r="M1010">
        <f t="shared" ca="1" si="45"/>
        <v>0.58707256051954126</v>
      </c>
      <c r="N1010">
        <v>0</v>
      </c>
      <c r="O1010">
        <v>0</v>
      </c>
      <c r="P1010" t="str">
        <f t="shared" ca="1" si="46"/>
        <v/>
      </c>
      <c r="Q1010">
        <f t="shared" si="47"/>
        <v>0</v>
      </c>
    </row>
    <row r="1011" spans="1:17" x14ac:dyDescent="0.3">
      <c r="A1011" t="s">
        <v>986</v>
      </c>
      <c r="B1011" t="s">
        <v>513</v>
      </c>
      <c r="C1011">
        <v>6</v>
      </c>
      <c r="D1011">
        <v>24700</v>
      </c>
      <c r="E1011" t="s">
        <v>67</v>
      </c>
      <c r="F1011">
        <v>46</v>
      </c>
      <c r="G1011">
        <v>6.8</v>
      </c>
      <c r="H1011">
        <v>100</v>
      </c>
      <c r="I1011">
        <v>1</v>
      </c>
      <c r="J1011">
        <f>1</f>
        <v>1</v>
      </c>
      <c r="K1011">
        <v>1</v>
      </c>
      <c r="L1011">
        <f>1</f>
        <v>1</v>
      </c>
      <c r="M1011">
        <f t="shared" ca="1" si="45"/>
        <v>0.93123957217578379</v>
      </c>
      <c r="N1011">
        <v>0</v>
      </c>
      <c r="O1011">
        <v>0</v>
      </c>
      <c r="P1011" t="str">
        <f t="shared" ca="1" si="46"/>
        <v/>
      </c>
      <c r="Q1011">
        <f t="shared" si="47"/>
        <v>0</v>
      </c>
    </row>
    <row r="1012" spans="1:17" x14ac:dyDescent="0.3">
      <c r="A1012" t="s">
        <v>918</v>
      </c>
      <c r="B1012" t="s">
        <v>513</v>
      </c>
      <c r="C1012">
        <v>5</v>
      </c>
      <c r="D1012">
        <v>21800</v>
      </c>
      <c r="E1012" t="s">
        <v>1146</v>
      </c>
      <c r="F1012">
        <v>5</v>
      </c>
      <c r="G1012">
        <v>2.8</v>
      </c>
      <c r="H1012">
        <v>0</v>
      </c>
      <c r="I1012">
        <v>1</v>
      </c>
      <c r="J1012">
        <f>1</f>
        <v>1</v>
      </c>
      <c r="K1012">
        <v>1</v>
      </c>
      <c r="L1012">
        <f>1</f>
        <v>1</v>
      </c>
      <c r="M1012">
        <f t="shared" ca="1" si="45"/>
        <v>0.37335993508681953</v>
      </c>
      <c r="N1012">
        <v>0</v>
      </c>
      <c r="O1012">
        <v>0</v>
      </c>
      <c r="P1012" t="str">
        <f t="shared" ca="1" si="46"/>
        <v/>
      </c>
      <c r="Q1012">
        <f t="shared" si="47"/>
        <v>0</v>
      </c>
    </row>
    <row r="1013" spans="1:17" x14ac:dyDescent="0.3">
      <c r="A1013" t="s">
        <v>1093</v>
      </c>
      <c r="B1013" t="s">
        <v>65</v>
      </c>
      <c r="C1013">
        <v>2</v>
      </c>
      <c r="D1013">
        <v>96500</v>
      </c>
      <c r="E1013" t="s">
        <v>1146</v>
      </c>
      <c r="F1013">
        <v>3</v>
      </c>
      <c r="G1013">
        <v>8.8000000000000007</v>
      </c>
      <c r="H1013">
        <v>1800</v>
      </c>
      <c r="I1013">
        <v>1</v>
      </c>
      <c r="J1013">
        <f>1</f>
        <v>1</v>
      </c>
      <c r="K1013">
        <v>1</v>
      </c>
      <c r="L1013">
        <f>1</f>
        <v>1</v>
      </c>
      <c r="M1013">
        <f t="shared" ca="1" si="45"/>
        <v>0.95403387588163568</v>
      </c>
      <c r="N1013">
        <v>0</v>
      </c>
      <c r="O1013">
        <v>0</v>
      </c>
      <c r="P1013" t="str">
        <f t="shared" ca="1" si="46"/>
        <v/>
      </c>
      <c r="Q1013">
        <f t="shared" si="47"/>
        <v>0</v>
      </c>
    </row>
    <row r="1014" spans="1:17" x14ac:dyDescent="0.3">
      <c r="A1014" t="s">
        <v>451</v>
      </c>
      <c r="B1014" t="s">
        <v>513</v>
      </c>
      <c r="C1014">
        <v>5</v>
      </c>
      <c r="D1014">
        <v>43100</v>
      </c>
      <c r="E1014" t="s">
        <v>67</v>
      </c>
      <c r="F1014">
        <v>90</v>
      </c>
      <c r="G1014">
        <v>12.8</v>
      </c>
      <c r="H1014">
        <v>12900</v>
      </c>
      <c r="I1014">
        <v>0</v>
      </c>
      <c r="J1014">
        <f>1</f>
        <v>1</v>
      </c>
      <c r="K1014">
        <v>1</v>
      </c>
      <c r="L1014">
        <f>1</f>
        <v>1</v>
      </c>
      <c r="M1014">
        <f t="shared" ca="1" si="45"/>
        <v>0.63782398029301679</v>
      </c>
      <c r="N1014">
        <v>0</v>
      </c>
      <c r="O1014">
        <v>0</v>
      </c>
      <c r="P1014" t="str">
        <f t="shared" ca="1" si="46"/>
        <v/>
      </c>
      <c r="Q1014">
        <f t="shared" si="47"/>
        <v>0</v>
      </c>
    </row>
    <row r="1015" spans="1:17" x14ac:dyDescent="0.3">
      <c r="A1015" t="s">
        <v>280</v>
      </c>
      <c r="B1015" t="s">
        <v>62</v>
      </c>
      <c r="C1015">
        <v>5</v>
      </c>
      <c r="D1015">
        <v>48400</v>
      </c>
      <c r="E1015" t="s">
        <v>66</v>
      </c>
      <c r="F1015">
        <v>48</v>
      </c>
      <c r="G1015">
        <v>3</v>
      </c>
      <c r="H1015">
        <v>4300</v>
      </c>
      <c r="I1015">
        <v>0</v>
      </c>
      <c r="J1015">
        <f>1</f>
        <v>1</v>
      </c>
      <c r="K1015">
        <v>1</v>
      </c>
      <c r="L1015">
        <f>1</f>
        <v>1</v>
      </c>
      <c r="M1015">
        <f t="shared" ca="1" si="45"/>
        <v>0.28093198286619325</v>
      </c>
      <c r="N1015">
        <v>0</v>
      </c>
      <c r="O1015">
        <v>0</v>
      </c>
      <c r="P1015" t="str">
        <f t="shared" ca="1" si="46"/>
        <v/>
      </c>
      <c r="Q1015">
        <f t="shared" si="47"/>
        <v>0</v>
      </c>
    </row>
    <row r="1016" spans="1:17" x14ac:dyDescent="0.3">
      <c r="A1016" t="s">
        <v>444</v>
      </c>
      <c r="B1016" t="s">
        <v>64</v>
      </c>
      <c r="C1016">
        <v>4</v>
      </c>
      <c r="D1016">
        <v>25300</v>
      </c>
      <c r="E1016" t="s">
        <v>66</v>
      </c>
      <c r="F1016">
        <v>23</v>
      </c>
      <c r="G1016">
        <v>11</v>
      </c>
      <c r="H1016">
        <v>6800</v>
      </c>
      <c r="I1016">
        <v>0</v>
      </c>
      <c r="J1016">
        <f>1</f>
        <v>1</v>
      </c>
      <c r="K1016">
        <v>1</v>
      </c>
      <c r="L1016">
        <f>1</f>
        <v>1</v>
      </c>
      <c r="M1016">
        <f t="shared" ca="1" si="45"/>
        <v>0.1828514878862928</v>
      </c>
      <c r="N1016">
        <v>0</v>
      </c>
      <c r="O1016">
        <v>0</v>
      </c>
      <c r="P1016" t="str">
        <f t="shared" ca="1" si="46"/>
        <v/>
      </c>
      <c r="Q1016">
        <f t="shared" si="47"/>
        <v>0</v>
      </c>
    </row>
    <row r="1017" spans="1:17" x14ac:dyDescent="0.3">
      <c r="A1017" t="s">
        <v>460</v>
      </c>
      <c r="B1017" t="s">
        <v>65</v>
      </c>
      <c r="C1017">
        <v>7</v>
      </c>
      <c r="D1017">
        <v>48200</v>
      </c>
      <c r="E1017" t="s">
        <v>67</v>
      </c>
      <c r="F1017">
        <v>51</v>
      </c>
      <c r="G1017">
        <v>11.2</v>
      </c>
      <c r="H1017">
        <v>9100</v>
      </c>
      <c r="I1017">
        <v>0</v>
      </c>
      <c r="J1017">
        <f>1</f>
        <v>1</v>
      </c>
      <c r="K1017">
        <v>1</v>
      </c>
      <c r="L1017">
        <f>1</f>
        <v>1</v>
      </c>
      <c r="M1017">
        <f t="shared" ca="1" si="45"/>
        <v>0.69156281114990137</v>
      </c>
      <c r="N1017">
        <v>0</v>
      </c>
      <c r="O1017">
        <v>0</v>
      </c>
      <c r="P1017" t="str">
        <f t="shared" ca="1" si="46"/>
        <v/>
      </c>
      <c r="Q1017">
        <f t="shared" si="47"/>
        <v>0</v>
      </c>
    </row>
    <row r="1018" spans="1:17" x14ac:dyDescent="0.3">
      <c r="A1018" t="s">
        <v>616</v>
      </c>
      <c r="B1018" t="s">
        <v>64</v>
      </c>
      <c r="C1018">
        <v>6</v>
      </c>
      <c r="D1018">
        <v>21900</v>
      </c>
      <c r="E1018" t="s">
        <v>66</v>
      </c>
      <c r="F1018">
        <v>15</v>
      </c>
      <c r="G1018">
        <v>7.2</v>
      </c>
      <c r="H1018">
        <v>5400</v>
      </c>
      <c r="I1018">
        <v>0</v>
      </c>
      <c r="J1018">
        <f>1</f>
        <v>1</v>
      </c>
      <c r="K1018">
        <v>1</v>
      </c>
      <c r="L1018">
        <f>1</f>
        <v>1</v>
      </c>
      <c r="M1018">
        <f t="shared" ca="1" si="45"/>
        <v>0.29785863425005643</v>
      </c>
      <c r="N1018">
        <v>0</v>
      </c>
      <c r="O1018">
        <v>0</v>
      </c>
      <c r="P1018" t="str">
        <f t="shared" ca="1" si="46"/>
        <v/>
      </c>
      <c r="Q1018">
        <f t="shared" si="47"/>
        <v>0</v>
      </c>
    </row>
    <row r="1019" spans="1:17" x14ac:dyDescent="0.3">
      <c r="A1019" t="s">
        <v>116</v>
      </c>
      <c r="B1019" t="s">
        <v>62</v>
      </c>
      <c r="C1019">
        <v>3</v>
      </c>
      <c r="D1019">
        <v>47300</v>
      </c>
      <c r="E1019" t="s">
        <v>68</v>
      </c>
      <c r="F1019">
        <v>70</v>
      </c>
      <c r="G1019">
        <v>9.8000000000000007</v>
      </c>
      <c r="H1019">
        <v>4200</v>
      </c>
      <c r="I1019">
        <v>0</v>
      </c>
      <c r="J1019">
        <f>1</f>
        <v>1</v>
      </c>
      <c r="K1019">
        <v>1</v>
      </c>
      <c r="L1019">
        <f>1</f>
        <v>1</v>
      </c>
      <c r="M1019">
        <f t="shared" ca="1" si="45"/>
        <v>0.25415347393550691</v>
      </c>
      <c r="N1019">
        <v>0</v>
      </c>
      <c r="O1019">
        <v>0</v>
      </c>
      <c r="P1019" t="str">
        <f t="shared" ca="1" si="46"/>
        <v/>
      </c>
      <c r="Q1019">
        <f t="shared" si="47"/>
        <v>0</v>
      </c>
    </row>
    <row r="1020" spans="1:17" x14ac:dyDescent="0.3">
      <c r="A1020" t="s">
        <v>688</v>
      </c>
      <c r="B1020" t="s">
        <v>64</v>
      </c>
      <c r="C1020">
        <v>3</v>
      </c>
      <c r="D1020">
        <v>68900</v>
      </c>
      <c r="E1020" t="s">
        <v>1146</v>
      </c>
      <c r="F1020">
        <v>0</v>
      </c>
      <c r="G1020">
        <v>2.8</v>
      </c>
      <c r="H1020">
        <v>7200</v>
      </c>
      <c r="I1020">
        <v>1</v>
      </c>
      <c r="J1020">
        <f>1</f>
        <v>1</v>
      </c>
      <c r="K1020">
        <v>1</v>
      </c>
      <c r="L1020">
        <f>1</f>
        <v>1</v>
      </c>
      <c r="M1020">
        <f t="shared" ca="1" si="45"/>
        <v>0.71573838713470728</v>
      </c>
      <c r="N1020">
        <v>0</v>
      </c>
      <c r="O1020">
        <v>0</v>
      </c>
      <c r="P1020" t="str">
        <f t="shared" ca="1" si="46"/>
        <v/>
      </c>
      <c r="Q1020">
        <f t="shared" si="47"/>
        <v>0</v>
      </c>
    </row>
    <row r="1021" spans="1:17" x14ac:dyDescent="0.3">
      <c r="A1021" t="s">
        <v>517</v>
      </c>
      <c r="B1021" t="s">
        <v>513</v>
      </c>
      <c r="C1021">
        <v>7</v>
      </c>
      <c r="D1021">
        <v>20400</v>
      </c>
      <c r="E1021" t="s">
        <v>66</v>
      </c>
      <c r="F1021">
        <v>16</v>
      </c>
      <c r="G1021">
        <v>14</v>
      </c>
      <c r="H1021">
        <v>3900</v>
      </c>
      <c r="I1021">
        <v>0</v>
      </c>
      <c r="J1021">
        <f>1</f>
        <v>1</v>
      </c>
      <c r="K1021">
        <v>1</v>
      </c>
      <c r="L1021">
        <f>1</f>
        <v>1</v>
      </c>
      <c r="M1021">
        <f t="shared" ca="1" si="45"/>
        <v>7.5180898339380797E-2</v>
      </c>
      <c r="N1021">
        <v>0</v>
      </c>
      <c r="O1021">
        <v>0</v>
      </c>
      <c r="P1021" t="str">
        <f t="shared" ca="1" si="46"/>
        <v/>
      </c>
      <c r="Q1021">
        <f t="shared" si="47"/>
        <v>0</v>
      </c>
    </row>
    <row r="1022" spans="1:17" x14ac:dyDescent="0.3">
      <c r="A1022" t="s">
        <v>674</v>
      </c>
      <c r="B1022" t="s">
        <v>513</v>
      </c>
      <c r="C1022">
        <v>4</v>
      </c>
      <c r="D1022">
        <v>67400</v>
      </c>
      <c r="E1022" t="s">
        <v>1146</v>
      </c>
      <c r="F1022">
        <v>7</v>
      </c>
      <c r="G1022">
        <v>2.1</v>
      </c>
      <c r="H1022">
        <v>6600</v>
      </c>
      <c r="I1022">
        <v>1</v>
      </c>
      <c r="J1022">
        <f>1</f>
        <v>1</v>
      </c>
      <c r="K1022">
        <v>1</v>
      </c>
      <c r="L1022">
        <f>1</f>
        <v>1</v>
      </c>
      <c r="M1022">
        <f t="shared" ca="1" si="45"/>
        <v>0.29493271651125996</v>
      </c>
      <c r="N1022">
        <v>0</v>
      </c>
      <c r="O1022">
        <v>0</v>
      </c>
      <c r="P1022" t="str">
        <f t="shared" ca="1" si="46"/>
        <v/>
      </c>
      <c r="Q1022">
        <f t="shared" si="47"/>
        <v>0</v>
      </c>
    </row>
    <row r="1023" spans="1:17" x14ac:dyDescent="0.3">
      <c r="A1023" t="s">
        <v>1092</v>
      </c>
      <c r="B1023" t="s">
        <v>64</v>
      </c>
      <c r="C1023">
        <v>6</v>
      </c>
      <c r="D1023">
        <v>24600</v>
      </c>
      <c r="E1023" t="s">
        <v>1146</v>
      </c>
      <c r="F1023">
        <v>3</v>
      </c>
      <c r="G1023">
        <v>0.9</v>
      </c>
      <c r="H1023">
        <v>0</v>
      </c>
      <c r="I1023">
        <v>1</v>
      </c>
      <c r="J1023">
        <f>1</f>
        <v>1</v>
      </c>
      <c r="K1023">
        <v>1</v>
      </c>
      <c r="L1023">
        <f>1</f>
        <v>1</v>
      </c>
      <c r="M1023">
        <f t="shared" ca="1" si="45"/>
        <v>4.4525985975090165E-2</v>
      </c>
      <c r="N1023">
        <v>0</v>
      </c>
      <c r="O1023">
        <v>0</v>
      </c>
      <c r="P1023" t="str">
        <f t="shared" ca="1" si="46"/>
        <v/>
      </c>
      <c r="Q1023">
        <f t="shared" si="47"/>
        <v>0</v>
      </c>
    </row>
    <row r="1024" spans="1:17" x14ac:dyDescent="0.3">
      <c r="A1024" t="s">
        <v>461</v>
      </c>
      <c r="B1024" t="s">
        <v>65</v>
      </c>
      <c r="C1024">
        <v>7</v>
      </c>
      <c r="D1024">
        <v>41600</v>
      </c>
      <c r="E1024" t="s">
        <v>69</v>
      </c>
      <c r="F1024">
        <v>27</v>
      </c>
      <c r="G1024">
        <v>8.9</v>
      </c>
      <c r="H1024">
        <v>4000</v>
      </c>
      <c r="I1024">
        <v>0</v>
      </c>
      <c r="J1024">
        <f>1</f>
        <v>1</v>
      </c>
      <c r="K1024">
        <v>1</v>
      </c>
      <c r="L1024">
        <f>1</f>
        <v>1</v>
      </c>
      <c r="M1024">
        <f t="shared" ca="1" si="45"/>
        <v>8.9308877758351279E-2</v>
      </c>
      <c r="N1024">
        <v>0</v>
      </c>
      <c r="O1024">
        <v>0</v>
      </c>
      <c r="P1024" t="str">
        <f t="shared" ca="1" si="46"/>
        <v/>
      </c>
      <c r="Q1024">
        <f t="shared" si="47"/>
        <v>0</v>
      </c>
    </row>
    <row r="1025" spans="1:17" x14ac:dyDescent="0.3">
      <c r="A1025" t="s">
        <v>152</v>
      </c>
      <c r="B1025" t="s">
        <v>513</v>
      </c>
      <c r="C1025">
        <v>6</v>
      </c>
      <c r="D1025">
        <v>35800</v>
      </c>
      <c r="E1025" t="s">
        <v>66</v>
      </c>
      <c r="F1025">
        <v>33</v>
      </c>
      <c r="G1025">
        <v>5.7</v>
      </c>
      <c r="H1025">
        <v>4900</v>
      </c>
      <c r="I1025">
        <v>0</v>
      </c>
      <c r="J1025">
        <f>1</f>
        <v>1</v>
      </c>
      <c r="K1025">
        <v>1</v>
      </c>
      <c r="L1025">
        <f>1</f>
        <v>1</v>
      </c>
      <c r="M1025">
        <f t="shared" ca="1" si="45"/>
        <v>0.30611225784564122</v>
      </c>
      <c r="N1025">
        <v>0</v>
      </c>
      <c r="O1025">
        <v>0</v>
      </c>
      <c r="P1025" t="str">
        <f t="shared" ca="1" si="46"/>
        <v/>
      </c>
      <c r="Q1025">
        <f t="shared" si="47"/>
        <v>0</v>
      </c>
    </row>
    <row r="1026" spans="1:17" x14ac:dyDescent="0.3">
      <c r="A1026" t="s">
        <v>771</v>
      </c>
      <c r="B1026" t="s">
        <v>64</v>
      </c>
      <c r="C1026">
        <v>1</v>
      </c>
      <c r="D1026">
        <v>54100</v>
      </c>
      <c r="E1026" t="s">
        <v>1146</v>
      </c>
      <c r="F1026">
        <v>1</v>
      </c>
      <c r="G1026">
        <v>8.6999999999999993</v>
      </c>
      <c r="H1026">
        <v>1000</v>
      </c>
      <c r="I1026">
        <v>1</v>
      </c>
      <c r="J1026">
        <f>1</f>
        <v>1</v>
      </c>
      <c r="K1026">
        <v>1</v>
      </c>
      <c r="L1026">
        <f>1</f>
        <v>1</v>
      </c>
      <c r="M1026">
        <f t="shared" ref="M1026:M1033" ca="1" si="48">RAND()</f>
        <v>0.83447181289751704</v>
      </c>
      <c r="N1026">
        <v>0</v>
      </c>
      <c r="O1026">
        <v>0</v>
      </c>
      <c r="P1026" t="str">
        <f t="shared" ref="P1026:P1033" ca="1" si="49">IF(L1026=0,RAND(),"")</f>
        <v/>
      </c>
      <c r="Q1026">
        <f t="shared" si="47"/>
        <v>0</v>
      </c>
    </row>
    <row r="1027" spans="1:17" x14ac:dyDescent="0.3">
      <c r="A1027" t="s">
        <v>992</v>
      </c>
      <c r="B1027" t="s">
        <v>65</v>
      </c>
      <c r="C1027">
        <v>9</v>
      </c>
      <c r="D1027">
        <v>64500</v>
      </c>
      <c r="E1027" t="s">
        <v>1146</v>
      </c>
      <c r="F1027">
        <v>0</v>
      </c>
      <c r="G1027">
        <v>10.6</v>
      </c>
      <c r="H1027">
        <v>4900</v>
      </c>
      <c r="I1027">
        <v>1</v>
      </c>
      <c r="J1027">
        <f>1</f>
        <v>1</v>
      </c>
      <c r="K1027">
        <v>1</v>
      </c>
      <c r="L1027">
        <f>1</f>
        <v>1</v>
      </c>
      <c r="M1027">
        <f t="shared" ca="1" si="48"/>
        <v>0.90337836796109672</v>
      </c>
      <c r="N1027">
        <v>0</v>
      </c>
      <c r="O1027">
        <v>0</v>
      </c>
      <c r="P1027" t="str">
        <f t="shared" ca="1" si="49"/>
        <v/>
      </c>
      <c r="Q1027">
        <f t="shared" ref="Q1027:Q1033" si="50">IF(OR(L1027=1,O1027=1), 0,1)</f>
        <v>0</v>
      </c>
    </row>
    <row r="1028" spans="1:17" x14ac:dyDescent="0.3">
      <c r="A1028" t="s">
        <v>869</v>
      </c>
      <c r="B1028" t="s">
        <v>62</v>
      </c>
      <c r="C1028">
        <v>4</v>
      </c>
      <c r="D1028">
        <v>23300</v>
      </c>
      <c r="E1028" t="s">
        <v>1146</v>
      </c>
      <c r="F1028">
        <v>10</v>
      </c>
      <c r="G1028">
        <v>6.7</v>
      </c>
      <c r="H1028">
        <v>700</v>
      </c>
      <c r="I1028">
        <v>1</v>
      </c>
      <c r="J1028">
        <f>1</f>
        <v>1</v>
      </c>
      <c r="K1028">
        <v>1</v>
      </c>
      <c r="L1028">
        <f>1</f>
        <v>1</v>
      </c>
      <c r="M1028">
        <f t="shared" ca="1" si="48"/>
        <v>0.51586669362689264</v>
      </c>
      <c r="N1028">
        <v>0</v>
      </c>
      <c r="O1028">
        <v>0</v>
      </c>
      <c r="P1028" t="str">
        <f t="shared" ca="1" si="49"/>
        <v/>
      </c>
      <c r="Q1028">
        <f t="shared" si="50"/>
        <v>0</v>
      </c>
    </row>
    <row r="1029" spans="1:17" x14ac:dyDescent="0.3">
      <c r="A1029" t="s">
        <v>573</v>
      </c>
      <c r="B1029" t="s">
        <v>65</v>
      </c>
      <c r="C1029">
        <v>6</v>
      </c>
      <c r="D1029">
        <v>63600</v>
      </c>
      <c r="E1029" t="s">
        <v>66</v>
      </c>
      <c r="F1029">
        <v>30</v>
      </c>
      <c r="G1029">
        <v>0.4</v>
      </c>
      <c r="H1029">
        <v>11000</v>
      </c>
      <c r="I1029">
        <v>0</v>
      </c>
      <c r="J1029">
        <f>1</f>
        <v>1</v>
      </c>
      <c r="K1029">
        <v>1</v>
      </c>
      <c r="L1029">
        <f>1</f>
        <v>1</v>
      </c>
      <c r="M1029">
        <f t="shared" ca="1" si="48"/>
        <v>0.72732496719083195</v>
      </c>
      <c r="N1029">
        <v>0</v>
      </c>
      <c r="O1029">
        <v>0</v>
      </c>
      <c r="P1029" t="str">
        <f t="shared" ca="1" si="49"/>
        <v/>
      </c>
      <c r="Q1029">
        <f t="shared" si="50"/>
        <v>0</v>
      </c>
    </row>
    <row r="1030" spans="1:17" x14ac:dyDescent="0.3">
      <c r="A1030" t="s">
        <v>697</v>
      </c>
      <c r="B1030" t="s">
        <v>62</v>
      </c>
      <c r="C1030">
        <v>2</v>
      </c>
      <c r="D1030">
        <v>21700</v>
      </c>
      <c r="E1030" t="s">
        <v>1146</v>
      </c>
      <c r="F1030">
        <v>4</v>
      </c>
      <c r="G1030">
        <v>8.9</v>
      </c>
      <c r="H1030">
        <v>7500</v>
      </c>
      <c r="I1030">
        <v>1</v>
      </c>
      <c r="J1030">
        <f>1</f>
        <v>1</v>
      </c>
      <c r="K1030">
        <v>1</v>
      </c>
      <c r="L1030">
        <f>1</f>
        <v>1</v>
      </c>
      <c r="M1030">
        <f t="shared" ca="1" si="48"/>
        <v>0.51741573121866913</v>
      </c>
      <c r="N1030">
        <v>0</v>
      </c>
      <c r="O1030">
        <v>0</v>
      </c>
      <c r="P1030" t="str">
        <f t="shared" ca="1" si="49"/>
        <v/>
      </c>
      <c r="Q1030">
        <f t="shared" si="50"/>
        <v>0</v>
      </c>
    </row>
    <row r="1031" spans="1:17" x14ac:dyDescent="0.3">
      <c r="A1031" t="s">
        <v>754</v>
      </c>
      <c r="B1031" t="s">
        <v>62</v>
      </c>
      <c r="C1031">
        <v>6</v>
      </c>
      <c r="D1031">
        <v>34900</v>
      </c>
      <c r="E1031" t="s">
        <v>1146</v>
      </c>
      <c r="F1031">
        <v>2</v>
      </c>
      <c r="G1031">
        <v>4.5999999999999996</v>
      </c>
      <c r="H1031">
        <v>6300</v>
      </c>
      <c r="I1031">
        <v>1</v>
      </c>
      <c r="J1031">
        <f>1</f>
        <v>1</v>
      </c>
      <c r="K1031">
        <v>1</v>
      </c>
      <c r="L1031">
        <f>1</f>
        <v>1</v>
      </c>
      <c r="M1031">
        <f t="shared" ca="1" si="48"/>
        <v>0.41581354458510966</v>
      </c>
      <c r="N1031">
        <v>0</v>
      </c>
      <c r="O1031">
        <v>0</v>
      </c>
      <c r="P1031" t="str">
        <f t="shared" ca="1" si="49"/>
        <v/>
      </c>
      <c r="Q1031">
        <f t="shared" si="50"/>
        <v>0</v>
      </c>
    </row>
    <row r="1032" spans="1:17" x14ac:dyDescent="0.3">
      <c r="A1032" t="s">
        <v>795</v>
      </c>
      <c r="B1032" t="s">
        <v>513</v>
      </c>
      <c r="C1032">
        <v>11</v>
      </c>
      <c r="D1032">
        <v>132300</v>
      </c>
      <c r="E1032" t="s">
        <v>1146</v>
      </c>
      <c r="F1032">
        <v>2</v>
      </c>
      <c r="G1032">
        <v>10.199999999999999</v>
      </c>
      <c r="H1032">
        <v>13000</v>
      </c>
      <c r="I1032">
        <v>1</v>
      </c>
      <c r="J1032">
        <f>1</f>
        <v>1</v>
      </c>
      <c r="K1032">
        <v>1</v>
      </c>
      <c r="L1032">
        <f>1</f>
        <v>1</v>
      </c>
      <c r="M1032">
        <f t="shared" ca="1" si="48"/>
        <v>4.2543444846072642E-3</v>
      </c>
      <c r="N1032">
        <v>0</v>
      </c>
      <c r="O1032">
        <v>0</v>
      </c>
      <c r="P1032" t="str">
        <f t="shared" ca="1" si="49"/>
        <v/>
      </c>
      <c r="Q1032">
        <f t="shared" si="50"/>
        <v>0</v>
      </c>
    </row>
    <row r="1033" spans="1:17" x14ac:dyDescent="0.3">
      <c r="A1033" t="s">
        <v>985</v>
      </c>
      <c r="B1033" t="s">
        <v>513</v>
      </c>
      <c r="C1033">
        <v>7</v>
      </c>
      <c r="D1033">
        <v>37100</v>
      </c>
      <c r="E1033" t="s">
        <v>1146</v>
      </c>
      <c r="F1033">
        <v>4</v>
      </c>
      <c r="G1033">
        <v>8.6999999999999993</v>
      </c>
      <c r="H1033">
        <v>1700</v>
      </c>
      <c r="I1033">
        <v>1</v>
      </c>
      <c r="J1033">
        <f>1</f>
        <v>1</v>
      </c>
      <c r="K1033">
        <v>1</v>
      </c>
      <c r="L1033">
        <f>1</f>
        <v>1</v>
      </c>
      <c r="M1033">
        <f t="shared" ca="1" si="48"/>
        <v>0.31222408108522615</v>
      </c>
      <c r="N1033">
        <v>0</v>
      </c>
      <c r="O1033">
        <v>0</v>
      </c>
      <c r="P1033" t="str">
        <f t="shared" ca="1" si="49"/>
        <v/>
      </c>
      <c r="Q1033">
        <f t="shared" si="50"/>
        <v>0</v>
      </c>
    </row>
  </sheetData>
  <sortState xmlns:xlrd2="http://schemas.microsoft.com/office/spreadsheetml/2017/richdata2" ref="A2:Q1033">
    <sortCondition ref="P2:P10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HISP</vt:lpstr>
      <vt:lpstr>KRWSIP_Program_Baseline Data</vt:lpstr>
      <vt:lpstr>Baseline_Characteristics_t-test</vt:lpstr>
      <vt:lpstr>Baseline_RCT</vt:lpstr>
      <vt:lpstr>Endline_Data_charecteristics</vt:lpstr>
      <vt:lpstr>KRWSIP_Program_Endline_Data</vt:lpstr>
      <vt:lpstr>Endline_RCT</vt:lpstr>
      <vt:lpstr>Graphs </vt:lpstr>
      <vt:lpstr>OLS_Regression Analysis</vt:lpstr>
      <vt:lpstr>Baseline2P</vt:lpstr>
      <vt:lpstr>F_Baseline_data</vt:lpstr>
      <vt:lpstr>Endline2P</vt:lpstr>
      <vt:lpstr>F_Endline_Data</vt:lpstr>
      <vt:lpstr>F_Endline_Data(full)</vt:lpstr>
      <vt:lpstr>Endline_Data_charecteristics!Print_Area</vt:lpstr>
      <vt:lpstr>'OLS_Regression Analysis'!Print_Area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Meshack Otieno</dc:creator>
  <cp:lastModifiedBy>Meshack Otieno</cp:lastModifiedBy>
  <cp:lastPrinted>2026-07-15T19:01:19Z</cp:lastPrinted>
  <dcterms:created xsi:type="dcterms:W3CDTF">2015-06-05T18:17:20Z</dcterms:created>
  <dcterms:modified xsi:type="dcterms:W3CDTF">2026-10-09T20:54:06Z</dcterms:modified>
</cp:coreProperties>
</file>